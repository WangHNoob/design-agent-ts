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  <sheet name="Sheet3" sheetId="4" r:id="rId2"/>
    <sheet name="Sheet2" sheetId="2" r:id="rId3"/>
    <sheet name="目标选取规则" sheetId="3" r:id="rId4"/>
    <sheet name="Sheet4" sheetId="5" r:id="rId5"/>
    <sheet name="Sheet5" sheetId="6" r:id="rId6"/>
  </sheets>
  <definedNames>
    <definedName name="_xlnm._FilterDatabase" localSheetId="0" hidden="1">Sheet1!$A$6:$BC$2312</definedName>
  </definedNames>
  <calcPr calcId="144525"/>
</workbook>
</file>

<file path=xl/comments1.xml><?xml version="1.0" encoding="utf-8"?>
<comments xmlns="http://schemas.openxmlformats.org/spreadsheetml/2006/main">
  <authors>
    <author>dongyapeng</author>
    <author>admin</author>
    <author>Administrator</author>
    <author>PC</author>
    <author>A</author>
  </authors>
  <commentList>
    <comment ref="S1" authorId="0">
      <text>
        <r>
          <rPr>
            <sz val="9"/>
            <rFont val="宋体"/>
            <charset val="134"/>
          </rPr>
          <t>值越大，镜头距离角色越远</t>
        </r>
      </text>
    </comment>
    <comment ref="T1" authorId="0">
      <text>
        <r>
          <rPr>
            <sz val="9"/>
            <rFont val="宋体"/>
            <charset val="134"/>
          </rPr>
          <t>值越小，主角越靠近屏幕右侧</t>
        </r>
      </text>
    </comment>
    <comment ref="A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该表用于角色战斗技能配置和战斗前端调试</t>
        </r>
      </text>
    </comment>
    <comment ref="D2" authorId="1">
      <text>
        <r>
          <rPr>
            <b/>
            <sz val="9"/>
            <rFont val="宋体"/>
            <charset val="134"/>
          </rPr>
          <t xml:space="preserve">admi影响显示的伤害/治疗数字颜色
</t>
        </r>
      </text>
    </comment>
    <comment ref="E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影响属性伤害的颜色，只填0或1，其他改用buff来写
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不填</t>
        </r>
      </text>
    </comment>
    <comment ref="K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调试防止收刀未结束就切镜头</t>
        </r>
      </text>
    </comment>
    <comment ref="O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目标中心：攻击多个敌人时对应人群中间
中间：场景中间（敌阵和己阵之间）</t>
        </r>
      </text>
    </comment>
    <comment ref="V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控制以谁为目标</t>
        </r>
      </text>
    </comment>
    <comment ref="W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控制技能范围</t>
        </r>
      </text>
    </comment>
    <comment ref="Y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统一-0.1</t>
        </r>
      </text>
    </comment>
    <comment ref="AN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连接符请用两次&amp;&amp;</t>
        </r>
      </text>
    </comment>
    <comment ref="AX2" authorId="2">
      <text>
        <r>
          <rPr>
            <sz val="9"/>
            <rFont val="宋体"/>
            <charset val="134"/>
          </rPr>
          <t xml:space="preserve">模型根据技能释放开启多光源
0默认值不开启 1开启 
</t>
        </r>
      </text>
    </comment>
    <comment ref="AY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战斗中切换bgm
填写bgm名称
填写的最后一个bgm会一直循环（前边的bgm为一次性）
填写格式：BGM-OP&amp;&amp;BGM-Battle06</t>
        </r>
      </text>
    </comment>
    <comment ref="P32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12</t>
        </r>
      </text>
    </comment>
    <comment ref="P38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15</t>
        </r>
      </text>
    </comment>
    <comment ref="AS235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Particles/crocodile/crocodile_attack05_light</t>
        </r>
      </text>
    </comment>
    <comment ref="AP465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1316</t>
        </r>
      </text>
    </comment>
    <comment ref="AE481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Particles/lvankov001/lvankov001_body_attack09_c</t>
        </r>
      </text>
    </comment>
    <comment ref="P495" authorId="4">
      <text>
        <r>
          <rPr>
            <b/>
            <sz val="9"/>
            <rFont val="宋体"/>
            <charset val="134"/>
          </rPr>
          <t>A:</t>
        </r>
        <r>
          <rPr>
            <sz val="9"/>
            <rFont val="宋体"/>
            <charset val="134"/>
          </rPr>
          <t xml:space="preserve">
14.5
</t>
        </r>
      </text>
    </comment>
    <comment ref="AS1778" authorId="3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Particles/crocodile/crocodile_attack05_light</t>
        </r>
      </text>
    </comment>
  </commentList>
</comments>
</file>

<file path=xl/sharedStrings.xml><?xml version="1.0" encoding="utf-8"?>
<sst xmlns="http://schemas.openxmlformats.org/spreadsheetml/2006/main" count="13159" uniqueCount="7569">
  <si>
    <t>7</t>
  </si>
  <si>
    <t>技能Id
1W-2W正常小怪
2W-3W随机锁敌小怪
3W+用于世界BOSS</t>
  </si>
  <si>
    <t>EmptyKey-B2</t>
  </si>
  <si>
    <t>EmptyKey-C2</t>
  </si>
  <si>
    <t>技能输出类型
1-输出
2-防御
3-治疗
4-控制</t>
  </si>
  <si>
    <t>技能附带元素类型
（说明见sheet2）</t>
  </si>
  <si>
    <t>技能状态属性</t>
  </si>
  <si>
    <t>攻击方式
1-近战
2-远程</t>
  </si>
  <si>
    <t>对应
SailorSkillAnimation表</t>
  </si>
  <si>
    <t>技能时长</t>
  </si>
  <si>
    <t>连击技能时长</t>
  </si>
  <si>
    <t>后摇时长
（有连击时长时不能有值，尽量用在终结技上）</t>
  </si>
  <si>
    <r>
      <rPr>
        <sz val="11"/>
        <color theme="1"/>
        <rFont val="等线"/>
        <charset val="134"/>
      </rPr>
      <t>是否显示 总伤害
0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不显示
1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 xml:space="preserve">显示 </t>
    </r>
  </si>
  <si>
    <t>显示总伤害的时间</t>
  </si>
  <si>
    <t>技能声音</t>
  </si>
  <si>
    <t>攻击站位类型
0-原地
1-近战，目标前
2-正对中间
3-中间
4-近战，目标中心
5-当前位置</t>
  </si>
  <si>
    <t>攻击站位修正值</t>
  </si>
  <si>
    <t>摄像机大类型
0-近战
1-远程
2-不动</t>
  </si>
  <si>
    <t>摄像机是否动态的
0-不跟随
1-为跟随</t>
  </si>
  <si>
    <t>显示摄像机用远近修正值</t>
  </si>
  <si>
    <t>显示摄像机用左右修正值</t>
  </si>
  <si>
    <t>显示摄像机用上下修正值</t>
  </si>
  <si>
    <t>目标选取规则（中心点）
0-第一个
1-对位，优先攻击前排
2-对位，优先攻击后排
3-随机目标
4-血量最高的目标
5-血量最低的目标
6-绝对对位，打穿一条线</t>
  </si>
  <si>
    <t>目标选取规则
SelectRuleMutiEnum表</t>
  </si>
  <si>
    <t>连击数</t>
  </si>
  <si>
    <t>连击修正时间</t>
  </si>
  <si>
    <r>
      <rPr>
        <sz val="11"/>
        <color theme="1"/>
        <rFont val="等线"/>
        <charset val="134"/>
      </rPr>
      <t>死亡效果
0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普通
1</t>
    </r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击飞</t>
    </r>
  </si>
  <si>
    <t>摄像机切回过程
0-硬切
1-转回来</t>
  </si>
  <si>
    <t>显示切屏的时间点</t>
  </si>
  <si>
    <t>显示切屏的类型
1-白屏
2-黑屏</t>
  </si>
  <si>
    <t>是否有单独的摄像机</t>
  </si>
  <si>
    <t>摄机路径</t>
  </si>
  <si>
    <t>Pve镜头技跳过的时间点</t>
  </si>
  <si>
    <t>特殊镜头整体偏移量</t>
  </si>
  <si>
    <t>0-默认  
1-直接回到原点  
2-砸下来</t>
  </si>
  <si>
    <t>是否为抓取技
（建议只有打单体的技能为抓取技）</t>
  </si>
  <si>
    <t xml:space="preserve">0:英雄  
1:技能特效（全局第一个）  
2:被击特效（release第一个）   </t>
  </si>
  <si>
    <t>参照的骨骼名</t>
  </si>
  <si>
    <t>抓取的时间点</t>
  </si>
  <si>
    <t>抓取的持续时间</t>
  </si>
  <si>
    <t>各种特效</t>
  </si>
  <si>
    <t>EmptyKey-AO2</t>
  </si>
  <si>
    <t>各种特效-AP2</t>
  </si>
  <si>
    <t>EmptyKey-AQ2</t>
  </si>
  <si>
    <t>EmptyKey-AR2</t>
  </si>
  <si>
    <t>光照特殊动画</t>
  </si>
  <si>
    <t>特写特效id</t>
  </si>
  <si>
    <t>修正镜头技相机朝向：0默认为修正RotateY为-90   1为不修正（因为Unity5.6与Unity2019 相机动画导入有差异）</t>
  </si>
  <si>
    <t>是否是跳出技能 
1表示是跳出技能 
0表示不是</t>
  </si>
  <si>
    <t>Pvp镜头技跳过的时间点</t>
  </si>
  <si>
    <t>开启模型多光源</t>
  </si>
  <si>
    <t>播放专属BGM</t>
  </si>
  <si>
    <t>隐藏战斗UI</t>
  </si>
  <si>
    <t>EmptyKey-AX2</t>
  </si>
  <si>
    <t>EmptyKey-AY2</t>
  </si>
  <si>
    <t>EmptyKey-AZ2</t>
  </si>
  <si>
    <t>SkillId</t>
  </si>
  <si>
    <t>SkillReleaseType</t>
  </si>
  <si>
    <t>SkillElementType</t>
  </si>
  <si>
    <t>SkillState</t>
  </si>
  <si>
    <t>AttackType</t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</si>
  <si>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ailorSkillAnimationId</t>
    </r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</si>
  <si>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killLength</t>
    </r>
  </si>
  <si>
    <t>SkillComboLength</t>
  </si>
  <si>
    <t>SkillLastLength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</si>
  <si>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sTotalDamageShow</t>
    </r>
  </si>
  <si>
    <t>TotalDamageShowTimer</t>
  </si>
  <si>
    <t>Audio</t>
  </si>
  <si>
    <t>AttackStandType</t>
  </si>
  <si>
    <t>AttackStandFixValue</t>
  </si>
  <si>
    <t>CameraClass</t>
  </si>
  <si>
    <t>IsCameraDynamic</t>
  </si>
  <si>
    <r>
      <rPr>
        <sz val="11"/>
        <color theme="1"/>
        <rFont val="等线"/>
        <charset val="134"/>
      </rPr>
      <t>C</t>
    </r>
    <r>
      <rPr>
        <sz val="11"/>
        <color theme="1"/>
        <rFont val="等线"/>
        <charset val="134"/>
      </rPr>
      <t>ameraSelectRuleHeightFix</t>
    </r>
  </si>
  <si>
    <t>CameraSelectRuleAboutFix</t>
  </si>
  <si>
    <t>CameraSelectRuleUpDownFix</t>
  </si>
  <si>
    <t>TargetSelectRuleSingle</t>
  </si>
  <si>
    <t>SelectRuleMuti</t>
  </si>
  <si>
    <t>ComboCounter</t>
  </si>
  <si>
    <t>ComboFixTimeValue</t>
  </si>
  <si>
    <t>DeadEffect</t>
  </si>
  <si>
    <r>
      <rPr>
        <sz val="11"/>
        <color theme="1"/>
        <rFont val="等线"/>
        <charset val="134"/>
      </rPr>
      <t>C</t>
    </r>
    <r>
      <rPr>
        <sz val="11"/>
        <color theme="1"/>
        <rFont val="等线"/>
        <charset val="134"/>
      </rPr>
      <t>amRevertType</t>
    </r>
  </si>
  <si>
    <t>ShowCoverTime</t>
  </si>
  <si>
    <t>ShowCoverType</t>
  </si>
  <si>
    <t>IsSpecialCam</t>
  </si>
  <si>
    <t>SpecialCamUrl</t>
  </si>
  <si>
    <t>SpecialCamSkipTimePoint</t>
  </si>
  <si>
    <t>SpecialCamOffset</t>
  </si>
  <si>
    <t>SpecialCamJumpBackType</t>
  </si>
  <si>
    <t>IsGrabbingSkill</t>
  </si>
  <si>
    <t>GrabBoneSourceType</t>
  </si>
  <si>
    <t>GrabBoneName</t>
  </si>
  <si>
    <t>GrabStartTime</t>
  </si>
  <si>
    <t>GrabLastTime</t>
  </si>
  <si>
    <t>Effects</t>
  </si>
  <si>
    <t>EffBones</t>
  </si>
  <si>
    <t>WEffects</t>
  </si>
  <si>
    <t>WEffBones</t>
  </si>
  <si>
    <t>ForceSelfPosition</t>
  </si>
  <si>
    <t>SpecialLightAnimResPath</t>
  </si>
  <si>
    <t>BuffFeatureEffectId</t>
  </si>
  <si>
    <t>ModifyRotationY</t>
  </si>
  <si>
    <t>pvpSpecialCamSkipTimePoint</t>
  </si>
  <si>
    <t>enableAddLighting</t>
  </si>
  <si>
    <t>BGMs</t>
  </si>
  <si>
    <t>hideBattlePanel</t>
  </si>
  <si>
    <t>int</t>
  </si>
  <si>
    <t>array_int</t>
  </si>
  <si>
    <t>double</t>
  </si>
  <si>
    <r>
      <rPr>
        <sz val="11"/>
        <color theme="1"/>
        <rFont val="等线"/>
        <charset val="134"/>
      </rPr>
      <t>d</t>
    </r>
    <r>
      <rPr>
        <sz val="11"/>
        <color theme="1"/>
        <rFont val="等线"/>
        <charset val="134"/>
      </rPr>
      <t>ouble</t>
    </r>
  </si>
  <si>
    <t>string</t>
  </si>
  <si>
    <r>
      <rPr>
        <sz val="11"/>
        <color theme="1"/>
        <rFont val="等线"/>
        <charset val="134"/>
      </rPr>
      <t>i</t>
    </r>
    <r>
      <rPr>
        <sz val="11"/>
        <color theme="1"/>
        <rFont val="等线"/>
        <charset val="134"/>
      </rPr>
      <t>nt</t>
    </r>
  </si>
  <si>
    <t>array_float</t>
  </si>
  <si>
    <r>
      <rPr>
        <sz val="11"/>
        <color theme="1"/>
        <rFont val="等线"/>
        <charset val="134"/>
      </rPr>
      <t>s</t>
    </r>
    <r>
      <rPr>
        <sz val="11"/>
        <color theme="1"/>
        <rFont val="等线"/>
        <charset val="134"/>
      </rPr>
      <t>tring</t>
    </r>
  </si>
  <si>
    <r>
      <rPr>
        <sz val="11"/>
        <color theme="1"/>
        <rFont val="宋体"/>
        <charset val="134"/>
      </rPr>
      <t>d</t>
    </r>
    <r>
      <rPr>
        <sz val="11"/>
        <color theme="1"/>
        <rFont val="等线"/>
        <charset val="134"/>
      </rPr>
      <t>ouble</t>
    </r>
  </si>
  <si>
    <r>
      <rPr>
        <sz val="11"/>
        <color theme="1"/>
        <rFont val="等线"/>
        <charset val="134"/>
      </rPr>
      <t>array_</t>
    </r>
    <r>
      <rPr>
        <sz val="11"/>
        <color theme="1"/>
        <rFont val="等线"/>
        <charset val="134"/>
      </rPr>
      <t>int</t>
    </r>
  </si>
  <si>
    <t>array_string(intern)</t>
  </si>
  <si>
    <t>array_string</t>
  </si>
  <si>
    <t>primary</t>
  </si>
  <si>
    <t>none</t>
  </si>
  <si>
    <r>
      <rPr>
        <sz val="11"/>
        <color theme="1"/>
        <rFont val="等线"/>
        <charset val="134"/>
      </rPr>
      <t>n</t>
    </r>
    <r>
      <rPr>
        <sz val="11"/>
        <color theme="1"/>
        <rFont val="等线"/>
        <charset val="134"/>
      </rPr>
      <t>one</t>
    </r>
  </si>
  <si>
    <t>skillId</t>
  </si>
  <si>
    <t>skillReleaseType</t>
  </si>
  <si>
    <t>skillElementType</t>
  </si>
  <si>
    <t>skillState</t>
  </si>
  <si>
    <t>attackType</t>
  </si>
  <si>
    <t>skillLength</t>
  </si>
  <si>
    <t>skillLastLength</t>
  </si>
  <si>
    <t>targetSelectRuleSingle</t>
  </si>
  <si>
    <t>selectRuleMuti</t>
  </si>
  <si>
    <t>comboCounter</t>
  </si>
  <si>
    <t>comboFixTimeValue</t>
  </si>
  <si>
    <t>isJumpOutSkill</t>
  </si>
  <si>
    <t>路飞</t>
  </si>
  <si>
    <t>橡胶手枪</t>
  </si>
  <si>
    <t>101</t>
  </si>
  <si>
    <r>
      <rPr>
        <sz val="11"/>
        <color theme="1"/>
        <rFont val="等线"/>
        <charset val="134"/>
        <scheme val="minor"/>
      </rPr>
      <t>LuffyCZ_attack_swing1=0.27#LuffyCZ_attack_swing2=0.63#LuffyCZ_attack_swing2=1.14#</t>
    </r>
    <r>
      <rPr>
        <sz val="11"/>
        <color theme="0"/>
        <rFont val="等线"/>
        <charset val="134"/>
        <scheme val="minor"/>
      </rPr>
      <t>punch_hit_small01=0.41#punch_hit_small01=0.77#kick_general01=1.27</t>
    </r>
  </si>
  <si>
    <t>root</t>
  </si>
  <si>
    <t>橡胶机关枪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</si>
  <si>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</t>
    </r>
  </si>
  <si>
    <r>
      <rPr>
        <sz val="11"/>
        <color theme="1"/>
        <rFont val="等线"/>
        <charset val="134"/>
      </rPr>
      <t>LuffyCZ_machinegun_xuli=0.13#</t>
    </r>
    <r>
      <rPr>
        <sz val="11"/>
        <color theme="6" tint="-0.25"/>
        <rFont val="等线"/>
        <charset val="134"/>
      </rPr>
      <t>LuffyCZ_machinegun_swing1=0.68#LuffyCZ_machinegun_swing1=0.79#LuffyCZ_machinegun_swing1=0.89#LuffyCZ_machinegun_swing1=0.99#LuffyCZ_machinegun_swing1=1.09#LuffyCZ_machinegun_swing1=1.2#LuffyCZ_machinegun_swing1=1.3#LuffyCZ_machinegun_swing1=1.41#LuffyCZ_machinegun_swing1=1.51#LuffyCZ_machinegun_swing1=1.61#LuffyCZ_machinegun_swing1=1.71#LuffyCZ_machinegun_swing1=1.82#LuffyCZ_machinegun_swing1=1.92#LuffyCZ_machinegun_swing1=2.02#LuffyCZ_machinegun_swing1=2.12#LuffyCZ_machinegun_swing1=2.25#</t>
    </r>
    <r>
      <rPr>
        <sz val="11"/>
        <color theme="9" tint="-0.5"/>
        <rFont val="等线"/>
        <charset val="134"/>
      </rPr>
      <t>LuffyCZ_machinegun_swing2=0.58#LuffyCZ_machinegun_swing2=0.88#LuffyCZ_machinegun_swing2=1.29#LuffyCZ_machinegun_swing2=1.59#LuffyCZ_machinegun_swing2end=2.25#</t>
    </r>
    <r>
      <rPr>
        <sz val="11"/>
        <color theme="4" tint="-0.25"/>
        <rFont val="等线"/>
        <charset val="134"/>
      </rPr>
      <t>CV_LuffyCZ_machinegun=0.02</t>
    </r>
  </si>
  <si>
    <t>橡胶·巨人枪</t>
  </si>
  <si>
    <t>103</t>
  </si>
  <si>
    <r>
      <rPr>
        <sz val="11"/>
        <color rgb="FFFF0000"/>
        <rFont val="等线"/>
        <charset val="134"/>
        <scheme val="minor"/>
      </rPr>
      <t>CV_LuffyCZ_giantgun1=0.39#CV_LuffyCZ_giantgun2=2.07</t>
    </r>
    <r>
      <rPr>
        <sz val="11"/>
        <color theme="1"/>
        <rFont val="等线"/>
        <charset val="134"/>
        <scheme val="minor"/>
      </rPr>
      <t>#LuffyCZ_giantgun_air=0.98#LuffyCZ_giantgun_whoosh=2.06#LuffyCZ_attack_swing2=2.87#LuffyCZ_giantgun_louqi=3.73#LuffyCZ_giantgun_hitground=4.93#</t>
    </r>
    <r>
      <rPr>
        <sz val="11"/>
        <color rgb="FFFF0000"/>
        <rFont val="等线"/>
        <charset val="134"/>
        <scheme val="minor"/>
      </rPr>
      <t>punch_hit_giant01=3</t>
    </r>
  </si>
  <si>
    <t>Particles/luffy001_body/luffy001_body_attack03_C</t>
  </si>
  <si>
    <t>橡胶·巨人斧</t>
  </si>
  <si>
    <t>104</t>
  </si>
  <si>
    <r>
      <rPr>
        <sz val="11"/>
        <color rgb="FFFF0000"/>
        <rFont val="等线"/>
        <charset val="134"/>
        <scheme val="minor"/>
      </rPr>
      <t>CV_LuffyCZ_giantaxe1=0.17#CV_LuffyCZ_giantaxe2=2.06#</t>
    </r>
    <r>
      <rPr>
        <sz val="11"/>
        <color theme="1"/>
        <rFont val="等线"/>
        <charset val="134"/>
        <scheme val="minor"/>
      </rPr>
      <t>LuffyCZ_giantaxe_jump=0.12#LuffyCZ_giantaxe_air=1.09#LuffyCZ_giantaxe_feet=2.51#LuffyCZ_attack_swing2=3.33#LuffyCZ_giantgun_louqi=5.17#LuffyCZ_giantgun_hitground=6.38#</t>
    </r>
    <r>
      <rPr>
        <sz val="11"/>
        <color rgb="FFFF0000"/>
        <rFont val="等线"/>
        <charset val="134"/>
        <scheme val="minor"/>
      </rPr>
      <t>bodyrock_hit02=3.48#punch_hit_medium01=3.48</t>
    </r>
  </si>
  <si>
    <r>
      <rPr>
        <sz val="11"/>
        <color theme="1"/>
        <rFont val="等线"/>
        <charset val="134"/>
      </rPr>
      <t>Particles/luffy001_body/luffy001_body_attack0</t>
    </r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_C</t>
    </r>
  </si>
  <si>
    <t>二挡</t>
  </si>
  <si>
    <t>105</t>
  </si>
  <si>
    <r>
      <rPr>
        <sz val="11"/>
        <color theme="1"/>
        <rFont val="等线"/>
        <charset val="134"/>
      </rPr>
      <t>CV_LuffyCZ_second1=0.49#CV_LuffyCZ_second2=3.96#CV_LuffyCZ_second3=9.15#LuffyCZ_second_xuli=0#mihawkCZ_wu_focus=0.69#LuffyCZ_second_wenzi=2.11#whoosh_lazer=2.03#LuffyCZ_second_steam=2.7#LuffyCZ_second_cast=3.34#whooshlarge_general=4.43#LuffyCZ_second_swing1=5.45#LuffyCZ_second_swing1=6.16#LuffyCZ_second_jump1=6.5#LuffyCZ_second_swing2=7.04#LuffyCZ_second_swing3=7.93#LuffyCZ_attack_swing1=8.35#LuffyCZ_second_jump2=8.57#LuffyCZ_second_crash=9.23#LuffyCZ_hitground=10.35#</t>
    </r>
    <r>
      <rPr>
        <sz val="11"/>
        <color rgb="FFFF0000"/>
        <rFont val="等线"/>
        <charset val="134"/>
      </rPr>
      <t>punch_hit_small01=5.64#punch_hit_small01=6.37#kick_general02=7.17#bodyrock_hit01=7.17#punch_hit_small02=8.45#punch_hit_giant01=10.22</t>
    </r>
  </si>
  <si>
    <t>Particles/luffy001_body/luffy001_body_attack05_C</t>
  </si>
  <si>
    <t>5&amp;&amp;102&amp;&amp;102&amp;&amp;102&amp;&amp;102&amp;&amp;102&amp;&amp;102</t>
  </si>
  <si>
    <t>root&amp;&amp;Point007&amp;&amp;Bip001 Spine1&amp;&amp;Point013&amp;&amp;Point069&amp;&amp;Point029&amp;&amp;Point074</t>
  </si>
  <si>
    <t>橡胶回旋弹</t>
  </si>
  <si>
    <t>106</t>
  </si>
  <si>
    <r>
      <rPr>
        <sz val="11"/>
        <color rgb="FFFF0000"/>
        <rFont val="等线"/>
        <charset val="134"/>
        <scheme val="minor"/>
      </rPr>
      <t>CV_LuffyCZ_huixuan=0#</t>
    </r>
    <r>
      <rPr>
        <sz val="11"/>
        <rFont val="等线"/>
        <charset val="134"/>
        <scheme val="minor"/>
      </rPr>
      <t>LuffyCZ_huixuan_1=0.09#LuffyCZ_huixuan_2=0.62#LuffyCZ_huixuan_3=0.84#LuffyCZ_huixuan_4=1.44#</t>
    </r>
    <r>
      <rPr>
        <sz val="11"/>
        <color rgb="FFFF0000"/>
        <rFont val="等线"/>
        <charset val="134"/>
        <scheme val="minor"/>
      </rPr>
      <t>punch_hit_giant01=0.76</t>
    </r>
  </si>
  <si>
    <r>
      <rPr>
        <sz val="11"/>
        <color theme="1"/>
        <rFont val="等线"/>
        <charset val="134"/>
      </rPr>
      <t>r</t>
    </r>
    <r>
      <rPr>
        <sz val="11"/>
        <color theme="1"/>
        <rFont val="等线"/>
        <charset val="134"/>
      </rPr>
      <t>oot</t>
    </r>
  </si>
  <si>
    <t>#CV_luffy_XJshort=0#CV_TEMP_luffy_CirclePunch=0.8</t>
  </si>
  <si>
    <t>橡胶Jet导弹</t>
  </si>
  <si>
    <t>107</t>
  </si>
  <si>
    <r>
      <rPr>
        <sz val="11"/>
        <color rgb="FFFF0000"/>
        <rFont val="等线"/>
        <charset val="134"/>
        <scheme val="minor"/>
      </rPr>
      <t>CV_LuffyCZ_JETrocket1=0.02#CV_LuffyCZ_JETrocket2=2.99#CV_LuffyCZ_JETrocket3=4.89#</t>
    </r>
    <r>
      <rPr>
        <sz val="11"/>
        <rFont val="等线"/>
        <charset val="134"/>
        <scheme val="minor"/>
      </rPr>
      <t>whooshlarge_crash01=0.33#LuffyCZ_JETrocket_jump=0.34#LuffyCZ_JETrocket_swing1=1.71#LuffyCZ_JETrocket_swing2=3.32#LuffyCZ_JETrocket_swing3=4.53#</t>
    </r>
    <r>
      <rPr>
        <sz val="11"/>
        <color rgb="FFFF0000"/>
        <rFont val="等线"/>
        <charset val="134"/>
        <scheme val="minor"/>
      </rPr>
      <t>kick_general02=1.85#bodyrock_hit01=1.85#kick_general01=3.48#bodyrock_hit02=3.48#LuffyCZ_JETrocket_rockhit=5.36#punch_hit_giant01=5.53</t>
    </r>
  </si>
  <si>
    <t>Particles/luffy001_body/luffy001_body_attack10_C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</si>
  <si>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02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102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102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102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102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102</t>
    </r>
  </si>
  <si>
    <t>Point007&amp;&amp;Bip001 Spine1&amp;&amp;Point013&amp;&amp;Point069&amp;&amp;Point029&amp;&amp;Point074</t>
  </si>
  <si>
    <t>橡胶长枪</t>
  </si>
  <si>
    <t>108</t>
  </si>
  <si>
    <r>
      <rPr>
        <sz val="11"/>
        <rFont val="等线"/>
        <charset val="134"/>
        <scheme val="minor"/>
      </rPr>
      <t>LuffyCZ_changqiang_swing=0#LuffyCZ_attack_swing1=0.8#LuffyCZ_hitground=2.08#</t>
    </r>
    <r>
      <rPr>
        <sz val="11"/>
        <color rgb="FFFF0000"/>
        <rFont val="等线"/>
        <charset val="134"/>
        <scheme val="minor"/>
      </rPr>
      <t>bodyrock_hit01=0.94#kick_general02=0.94</t>
    </r>
  </si>
  <si>
    <t>#CV_luffy_XJshort=0#CV_TEMP_luffy_Waraxe=0.85</t>
  </si>
  <si>
    <t>佐罗</t>
  </si>
  <si>
    <t>索隆普攻</t>
  </si>
  <si>
    <t>201</t>
  </si>
  <si>
    <r>
      <rPr>
        <sz val="11"/>
        <color theme="1"/>
        <rFont val="等线"/>
        <charset val="134"/>
        <scheme val="minor"/>
      </rPr>
      <t>ZoroCZ_attack_swing1=0.15#ZoroCZ_attack_swing1=0.51#ZoroCZ_attack_swing2=0.9#ZoroCZ_attack_swing3=1.74#ZoroCZ_swordin=2.52#</t>
    </r>
    <r>
      <rPr>
        <sz val="11"/>
        <color rgb="FFFF0000"/>
        <rFont val="等线"/>
        <charset val="134"/>
        <scheme val="minor"/>
      </rPr>
      <t>slash_general01=0.26#slash_general01=0.61#slash_general01=1.01#slash_general01=1.88</t>
    </r>
  </si>
  <si>
    <t>三千世界</t>
  </si>
  <si>
    <t>202</t>
  </si>
  <si>
    <r>
      <rPr>
        <sz val="11"/>
        <color theme="1"/>
        <rFont val="等线"/>
        <charset val="134"/>
        <scheme val="minor"/>
      </rPr>
      <t>ZoroCZ_world_swordout=0.2#ZoroCZ_world_swing=1.38#whooshlarge_general=2.24#ZoroCZ_world_cast=2.42#CV_ZoroCZ_world=1.46#</t>
    </r>
    <r>
      <rPr>
        <sz val="11"/>
        <color rgb="FFFF0000"/>
        <rFont val="等线"/>
        <charset val="134"/>
        <scheme val="minor"/>
      </rPr>
      <t>slash_large=2.48</t>
    </r>
  </si>
  <si>
    <r>
      <rPr>
        <sz val="11"/>
        <color theme="1"/>
        <rFont val="宋体"/>
        <charset val="134"/>
      </rPr>
      <t>Particles/zoro001_body/zoro001_body_attack0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_C</t>
    </r>
  </si>
  <si>
    <t>一刀流·三十六烦恼凤</t>
  </si>
  <si>
    <t>203</t>
  </si>
  <si>
    <r>
      <rPr>
        <sz val="11"/>
        <color theme="1"/>
        <rFont val="等线"/>
        <charset val="134"/>
        <scheme val="minor"/>
      </rPr>
      <t>ZoroCZ_fannao_jump=0.13#ZoroCZ_fannao_cast=0.46#ZoroCZ_swordin=1.33#CV_ZoroCZ_fannao=0.24#</t>
    </r>
    <r>
      <rPr>
        <sz val="11"/>
        <color rgb="FFFF0000"/>
        <rFont val="等线"/>
        <charset val="134"/>
        <scheme val="minor"/>
      </rPr>
      <t>slash_large=0.14</t>
    </r>
  </si>
  <si>
    <t>鬼斩</t>
  </si>
  <si>
    <t>204</t>
  </si>
  <si>
    <r>
      <rPr>
        <sz val="11"/>
        <color theme="1"/>
        <rFont val="等线"/>
        <charset val="134"/>
      </rPr>
      <t>ZoroCZ_evil_swordout1=0#ZoroCZ_evil_swordout2=0.4#ZoroCZ_evil_xuli=0.74#ZoroCZ_evil_slash=2.12#whooshsmall_general=2.22#ZoroCZ_evil_swordin=3.31#CV_ZoroCZ_evil=0.97#</t>
    </r>
    <r>
      <rPr>
        <sz val="11"/>
        <color rgb="FFFF0000"/>
        <rFont val="等线"/>
        <charset val="134"/>
      </rPr>
      <t>slash_large=2.1</t>
    </r>
  </si>
  <si>
    <t>Particles/zoro001_body/zoro001_body_attack04_C</t>
  </si>
  <si>
    <t>一刀流·居合·狮子歌歌</t>
  </si>
  <si>
    <t>205</t>
  </si>
  <si>
    <r>
      <rPr>
        <sz val="11"/>
        <color theme="1"/>
        <rFont val="等线"/>
        <charset val="134"/>
        <scheme val="minor"/>
      </rPr>
      <t>whooshsmall_general=0.17#ZoroCZ_evil_swordout1=0.66#ZoroCZ_swing_delay=1.52#ZoroCZ_attack_swing1=2.52#bodyrock_hit01=2.64#ZoroCZ_lion_ground=2.64#ZoroCZ_lion_crash=3.26#ZoroCZ_lion_swordin=4.14#CV_ZoroCZ_lion1=0.55#CV_ZoroCZ_lion2=4.29#whooshsmall_general=4.29#</t>
    </r>
    <r>
      <rPr>
        <sz val="11"/>
        <color rgb="FFFF0000"/>
        <rFont val="等线"/>
        <charset val="134"/>
        <scheme val="minor"/>
      </rPr>
      <t>slash_large=3.32#slash_large=4.72</t>
    </r>
  </si>
  <si>
    <t>Particles/zoro001_body/zoro001_body_attack05_C</t>
  </si>
  <si>
    <t>#CV_TEMP_zoro_Lion=3</t>
  </si>
  <si>
    <t>虎狩</t>
  </si>
  <si>
    <t>206</t>
  </si>
  <si>
    <r>
      <rPr>
        <sz val="11"/>
        <color theme="1"/>
        <rFont val="宋体"/>
        <charset val="134"/>
      </rPr>
      <t>r</t>
    </r>
    <r>
      <rPr>
        <sz val="11"/>
        <color theme="1"/>
        <rFont val="等线"/>
        <charset val="134"/>
      </rPr>
      <t>oot</t>
    </r>
  </si>
  <si>
    <t>二刀流·居合·罗生门</t>
  </si>
  <si>
    <t>207</t>
  </si>
  <si>
    <r>
      <rPr>
        <sz val="11"/>
        <color theme="1"/>
        <rFont val="等线"/>
        <charset val="134"/>
        <scheme val="minor"/>
      </rPr>
      <t>ZoroCZ_luoshengmen_ready=0.2#ZoroCZ_luoshengmen_swing=1.04#ZoroCZ_luoshengmen_swordin=1.65#ZoroCZ_luoshengmen_back=2.03#CV_ZoroCZ_luoshengmen=0.65#</t>
    </r>
    <r>
      <rPr>
        <sz val="11"/>
        <color rgb="FFFF0000"/>
        <rFont val="等线"/>
        <charset val="134"/>
        <scheme val="minor"/>
      </rPr>
      <t>slash_general01=1.08#slash_general01=1.3#slash_general01=1.45</t>
    </r>
  </si>
  <si>
    <t>#CV_TEMP_zoro_Rashomon=0.3</t>
  </si>
  <si>
    <t>阿修罗·壹雾银</t>
  </si>
  <si>
    <r>
      <rPr>
        <sz val="11"/>
        <color theme="1"/>
        <rFont val="等线"/>
        <charset val="134"/>
        <scheme val="minor"/>
      </rPr>
      <t>ZoroCZ_axiuluo_ghost=0.7#ZoroCZ_axiuluo_swing=2.11#ZoroCZ_axiuluo_crash=3.34#whooshlarge_slashly01=4.35#CV_ZoroCZ_axiuluo1=0.99#CV_ZoroCZ_axiuluo2=3.37#</t>
    </r>
    <r>
      <rPr>
        <sz val="11"/>
        <color rgb="FFFF0000"/>
        <rFont val="等线"/>
        <charset val="134"/>
        <scheme val="minor"/>
      </rPr>
      <t>slash_general01=4.61#slash_general01=4.75#slash_general01=4.94</t>
    </r>
  </si>
  <si>
    <t>Particles/zoro001_body/zoro001_body_attack08_C</t>
  </si>
  <si>
    <t>#CV_TEMP_zoro_AsuraOneSilver=2.2</t>
  </si>
  <si>
    <t>山智</t>
  </si>
  <si>
    <t>山治普攻</t>
  </si>
  <si>
    <t>301</t>
  </si>
  <si>
    <t>sanji_Kick=0.1#sanji_Kick=0.45#se_Jump02=0.972#sanji_Kick=1.4</t>
  </si>
  <si>
    <t>串烧</t>
  </si>
  <si>
    <t>302</t>
  </si>
  <si>
    <t>sanji_Kick=0.319#se_Jump02=0.9#sanji_Kick=1#se_Jump02=1.1#sanji_Circle=1.116#sanji_Kick=1.2#se_Jump02=1.3#sanji_Kick=1.3#sanji_Circle=1.4#se_Jump02=1.5#sanji_Kick=1.5#sanji_Circle=1.668#se_Jump02=1.7#se_Jump02=1.74#sanji_Circle=1.877#se_Jump02=1.94#se_Jump02=2.14#se_Jump02=2.34#sanji_Kick=2.692#sanji_Kick_Heavy=2.692#SE_012035=2.761#se_Jump02=2.96</t>
  </si>
  <si>
    <t>#CV_TEMP_sanji_CS=0.7</t>
  </si>
  <si>
    <t>宴会旋转桌</t>
  </si>
  <si>
    <t>303</t>
  </si>
  <si>
    <t>sanji_Circle=1.2#sanji_Circle=1.626#sanji_Kick=1.2#sanji_Kick=1.626#sanji_Kick=1.3#sanji_Kick=1.726#sanji_Kick=1.433#sanji_Kick=1.536#sanji_Kick=2.378#se_Jump02=2.165#sanji_Kick_Heavy=3.705#CV_sanji_Partytable=1</t>
  </si>
  <si>
    <r>
      <rPr>
        <sz val="11"/>
        <color theme="1"/>
        <rFont val="等线"/>
        <charset val="134"/>
      </rPr>
      <t>Particles/sanji001_body/sanji001_body_attack0</t>
    </r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_C</t>
    </r>
  </si>
  <si>
    <t>粗碎</t>
  </si>
  <si>
    <t>304</t>
  </si>
  <si>
    <t>sanji_Rush=0.388#se_Jump02=0.523#se_Jump02=0.76#se_Jump02=0.9#se_Jump02=1.04#se_Jump02=1.152#se_Jump02=1.3#se_Rock_Fall02=1.654#sanji_Kick_Heavy=1.654#SE_012035=1.68#CV_sanji_Coarse=0.5</t>
  </si>
  <si>
    <t>画龙点睛</t>
  </si>
  <si>
    <t>305</t>
  </si>
  <si>
    <t>ultimate_Sign=0#sanji_Rush=1.491#sanji_Rush=1.644#sanji_Rush=1.8#sanji_Rush=2#se_Fire_Throw=2.366#sanji_Firekick_Ultra=4#se_Fire_Throw=3.748#se_Fire_Throw=3.876#se_Fire_Throw=4#se_Fire_Throw=4.112#se_Fire_Throw=4.245#se_Jump02=4.711#sanji_Kick=5.8#se_Fire_Throw=5.8#CV_sanji_DragonEye=2.8</t>
  </si>
  <si>
    <t>Particles/sanji001_body/sanji001_body_attack05_C</t>
  </si>
  <si>
    <t>#CV_TEMP_sanji_DiabloJump=0</t>
  </si>
  <si>
    <t>最上乘绞肉</t>
  </si>
  <si>
    <t>306</t>
  </si>
  <si>
    <t>sanji_Kick=0.2#sanji_Kick=0.6#sanji_Kick=1.117#sanji_Rush=1.317#sanji_Kick_Heavy=1.8#se_Jump02=1.7#se_Jump02=2.484#sanji_Kicks_Speedy=2.778#sanji_Kick_Heavy=3.6#CV_sanji_MeatTop=1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</si>
  <si>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sanji001_body/sanji001_body_attack08_C</t>
    </r>
  </si>
  <si>
    <t>一级绞肉</t>
  </si>
  <si>
    <t>307</t>
  </si>
  <si>
    <t>sanji_Kick=0#sanji_Kick=0.443#sanji_Rush=1.04#sanji_Kick=1.197#sanji_Kicks_Speedy=1.294#sanji_Kick=2.25#sanji_Kick_Heavy=2.444#se_Jump02=2.549#CV_sanji_Meat1=0</t>
  </si>
  <si>
    <t>三级绞肉</t>
  </si>
  <si>
    <t>308</t>
  </si>
  <si>
    <t>sanji_Kick_Heavy=0.302#se_Jump02=0.56#sanji_Kicks_Speed=0.474#sanji_Kick=1.726#sanji_Kick=1.927#se_Jump02=1.8#sanji_Kick=2.2#sanji_Kick_Heavy=2</t>
  </si>
  <si>
    <t>#CV_TEMP_sanji_Meat3=0</t>
  </si>
  <si>
    <t>撒谎布</t>
  </si>
  <si>
    <t>必杀·火炎星</t>
  </si>
  <si>
    <t>401</t>
  </si>
  <si>
    <t>usopp_Shoot01=0.402#usopp_Shoot01=0.9#usopp_Shoot02=1.6#usopp_Shoot02=2.3#usopp_Obj_Flying=2.5</t>
  </si>
  <si>
    <t>必杀·火鸟星</t>
  </si>
  <si>
    <t>402</t>
  </si>
  <si>
    <t>usopp_Adjust=0.575#usopp_Draw=1.35#usopp_Obj_Flying=3.2#usopp_Phoenix_Bomb=3.9#usopp_Phoenix_Flying=4.628#CV_usopp_BS=0#CV_usopp_FireBird=0.8</t>
  </si>
  <si>
    <r>
      <rPr>
        <sz val="11"/>
        <color theme="1"/>
        <rFont val="等线"/>
        <charset val="134"/>
      </rPr>
      <t>P</t>
    </r>
    <r>
      <rPr>
        <sz val="11"/>
        <color theme="1"/>
        <rFont val="等线"/>
        <charset val="134"/>
      </rPr>
      <t>articles/</t>
    </r>
    <r>
      <rPr>
        <sz val="11"/>
        <color theme="1"/>
        <rFont val="等线"/>
        <charset val="134"/>
      </rPr>
      <t>usopp001_body/usopp001_body_attack02_c</t>
    </r>
  </si>
  <si>
    <t>-5,0,2&amp;&amp;-5,0,-2&amp;&amp;-5,0,0&amp;&amp;-7,0,0</t>
  </si>
  <si>
    <t>必杀·乌索普黄金铁锤</t>
  </si>
  <si>
    <t>403</t>
  </si>
  <si>
    <t>usopp_Cloth=0.55#usopp_Swing=1.949#usopp_Cloth=2.23#usopp_Tap=2.28#usopp_Baloon_Pop=3#usopp_Surprise=3.866#usopp_Tap=3.968#usopp_Escape=5.354#CV_usopp_BS=0#CV_usopp_GoldenPound=1.2</t>
  </si>
  <si>
    <r>
      <rPr>
        <sz val="11"/>
        <color theme="1"/>
        <rFont val="等线"/>
        <charset val="134"/>
      </rPr>
      <t>P</t>
    </r>
    <r>
      <rPr>
        <sz val="11"/>
        <color theme="1"/>
        <rFont val="等线"/>
        <charset val="134"/>
      </rPr>
      <t>articles/</t>
    </r>
    <r>
      <rPr>
        <sz val="11"/>
        <color theme="1"/>
        <rFont val="等线"/>
        <charset val="134"/>
      </rPr>
      <t>usopp001_body/usopp001_body_attack03_c</t>
    </r>
  </si>
  <si>
    <t>35&amp;&amp;57</t>
  </si>
  <si>
    <t>root&amp;&amp;wuqir</t>
  </si>
  <si>
    <t>必杀·手里剑流星群</t>
  </si>
  <si>
    <t>404</t>
  </si>
  <si>
    <t>usopp_Shoot01=0.5#usopp_Shoot01=1.166#usopp_Shoot01=1.733#usopp_Shoot02=2.5#usopp_Shuriken=0.6#usopp_Shuriken=0.832#usopp_Shuriken=1.266#usopp_Shuriken=1.766#usopp_Shuriken=1.961#usopp_Shuriken=2.468#usopp_Shuriken=2.713#CV_usopp_BS=0#CV_usopp_Shuriken=0.9</t>
  </si>
  <si>
    <t>必杀·特用油星</t>
  </si>
  <si>
    <t>405</t>
  </si>
  <si>
    <t>usopp_Cloth=0.2#usopp_Throw=0.5#Squish_WetSlimeHit2=1#CV_usopp_Oil=0</t>
  </si>
  <si>
    <t>#CV_usopp_BS=0#CV_TEMP_usopp_SpeicalOil=0.8</t>
  </si>
  <si>
    <t>必杀·烟星</t>
  </si>
  <si>
    <t>406</t>
  </si>
  <si>
    <t>usopp_Shoot01=0.533#usopp_Obj_Flying=0.787#CV_usopp_Smoke=0</t>
  </si>
  <si>
    <t>#CV_usopp_BS=0</t>
  </si>
  <si>
    <t>必杀·年糕星</t>
  </si>
  <si>
    <t>407</t>
  </si>
  <si>
    <t>se_jump01=0.2#usopp_Shoot01=0.57#usopp_Obj_Flying=0.8#Squish_WetSlimeHit2=1.36#usopp_Tap=1.36</t>
  </si>
  <si>
    <t>必杀·天龙星</t>
  </si>
  <si>
    <t>408</t>
  </si>
  <si>
    <t>ultimate_Sign=0#usopp_Draw=0.2#usopp_Obj_Flying=2.141#nami_Wind_Push=2.141#nami_Electric01=2.312#luffy_Punch_Giant02=2.314#usopp_Wind=3.615#usopp_Dragon_Attack=3.885#usopp_Dragon_Roar=6.4#nami_Lightning03=8#usopp_Elec_Spark=8#nami_Lightning01=8.893#nami_Lightning02=9.3#usopp_Explosion=9.3#Explo_Rock1=10#Explo_Small_Bomb3=10#usopp_Elec_Explosion=10#CV_usopp_SkyDragon=0.5</t>
  </si>
  <si>
    <t>Particles/usopp001_body/usopp001_body_attack08_c</t>
  </si>
  <si>
    <t>0,0,-1</t>
  </si>
  <si>
    <t>#CV_usopp_BS=0.5#CV_TEMP_usopp_Skydragon=4.5</t>
  </si>
  <si>
    <t>奈美</t>
  </si>
  <si>
    <t>回力棒</t>
  </si>
  <si>
    <t>501</t>
  </si>
  <si>
    <t>nami_Stick_Fold=0.3#nami_Stick_Swing=0.449#nami_Stick_Swing=0.47#nami_Stick_Swing=0.54#nami_Stick_Spin02=0.7#nami_Stick_Spin02=0.8#nami_Shoot=1.7#nami_Stick_Joint=2.5</t>
  </si>
  <si>
    <t>雷云</t>
  </si>
  <si>
    <t>502</t>
  </si>
  <si>
    <t>nami_Stick_Fold=0.309#nami_Stick_Spin02=0.54#nami_Bubble=1.341#nami_Bubble=1.6#nami_Bubble=1.8#nami_Bubble=2#nami_Bubble=2.2#nami_Bubble=2.4#nami_Bubble_Passing=2.8#nami_Cloud_Storm=3.245#nami_Stick_Swing=5.449#nami_Stick_Joint=5.6#CV_nami_HeatColdBubble=1</t>
  </si>
  <si>
    <t>Particles/nami001_body/nami001_body_attack02_C</t>
  </si>
  <si>
    <t>电气泡</t>
  </si>
  <si>
    <t>503</t>
  </si>
  <si>
    <t>nami_Stick_Fold=0.431#nami_Stick_Spin02=0.6#nami_Stick_Swing=1.3#nami_Electric01=1.378#nami_Electric01=1.538#CV_nami_EletricBubble=0.5</t>
  </si>
  <si>
    <t>风速计</t>
  </si>
  <si>
    <t>504</t>
  </si>
  <si>
    <t>nami_Stick_Fold=0.509#nami_Stick_Spin01=0.597#nami_Stick_Swing=1.2#nami_Electric01=1.443#nami_Electric01=1.578</t>
  </si>
  <si>
    <t>wuqi03</t>
  </si>
  <si>
    <t>#CV_TEMP_nami_WindSpeed=0.2</t>
  </si>
  <si>
    <t>天候！雷光枪！</t>
  </si>
  <si>
    <t>505</t>
  </si>
  <si>
    <t>ultimate_Sign=0#nami_Cloth=1.5#se_Jump02=1.7#nami_Electric02=2.3#nami_Electric03=2.6#nami_Electric01=2.978#nami_Wind_Push=3.458#nami_Electric03=3.839#nami_Lightning02=5.1#nami_Lightning01=5.151#nami_Lightning03=5.237#nami_Electric01=5.7</t>
  </si>
  <si>
    <t>Particles/nami001_body/nami001_body_attack05_C</t>
  </si>
  <si>
    <t>98&amp;&amp;100</t>
  </si>
  <si>
    <t>root&amp;&amp;wuqi02</t>
  </si>
  <si>
    <t>#CV_TEMP_nami_ThunderLancer=2.5</t>
  </si>
  <si>
    <t>电气泡-落雷</t>
  </si>
  <si>
    <t>506</t>
  </si>
  <si>
    <t>nami_Stick_Fold=0.431#nami_Stick_Spin02=0.6#nami_Stick_Swing=1.3#nami_Electric01=1.378#nami_Electric01=1.538#nami_Lightning01=2.2#nami_Lightning02=2.5#nami_Lightning03=2.7#CV_nami_EletricBubble=0.5</t>
  </si>
  <si>
    <t>风速计-落雷</t>
  </si>
  <si>
    <t>507</t>
  </si>
  <si>
    <t>超级龙卷风</t>
  </si>
  <si>
    <t>508</t>
  </si>
  <si>
    <t>nami_Stick_Spin01=0.3#nami_Show_Sudden=1.157#nami_Show_Sudden=1.2#nami_Show_Cute=1.4#nami_Show_Cute=1.57#nami_Stick_Spin02=2.08#nami_Stick_Spin02=2.522#nami_Stick_Spin02=3.018#nami_Stick_Spin02=3.46#nami_Stick_Spin02=3.957#zoro_Spin_Wind=2.12#zoro_Spin_Wind=2.92#zoro_Spin_Wind=3.616#nami_Wind_Push=2.12#nami_Wind_Push=2.378#nami_Wind_Push=2.636#nami_Wind_Push=2.894#nami_Wind_Push=3.152#nami_Wind_Push=3.41#nami_Wind_Push=3.668#nami_Wind_Push=3.926#nami_Wind_Push=4.184</t>
  </si>
  <si>
    <t>Particles/nami001_body/nami001_body_attack08_C</t>
  </si>
  <si>
    <t>#CV_TEMP_nami_Tornado=1</t>
  </si>
  <si>
    <t>雾里看花</t>
  </si>
  <si>
    <t>509</t>
  </si>
  <si>
    <t>nami_WindBuff=0#nami_Stick_Spin02=0#nami_WindIce=0#nami_Buff=1.6#nami_Stick_Swing=3.02#nami_Stick_Swing=3.131#nami_Stick_Fold=3.319</t>
  </si>
  <si>
    <t>0</t>
  </si>
  <si>
    <t>76&amp;&amp;77</t>
  </si>
  <si>
    <t>root&amp;&amp;wuqi</t>
  </si>
  <si>
    <t>#CV_TEMP_nami_Mirage=0.4</t>
  </si>
  <si>
    <t>冷气泡上天</t>
  </si>
  <si>
    <t>510</t>
  </si>
  <si>
    <t>nami_Cloth=0#se_Jump02=0.117#nami_Stick_Spin02=0.2#nami_Cloth=1#nami_Bubble=1.2#nami_Bubble=1.4#nami_Bubble=1.6#nami_Bubble=1.8#nami_Bubble_Passing=1.538#nami_WindBuff=0.4#nami_Rain=1.038#CV_nami_ColdBubble=0.2</t>
  </si>
  <si>
    <t>弗兰奇</t>
  </si>
  <si>
    <t>重拳+手指枪</t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</si>
  <si>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01</t>
    </r>
  </si>
  <si>
    <t>FrankyCZ_attack_swing1=0.04#FrankyCZ_attack_swing2=0.88#FrankyCZ_attack_impact=1.48#FrankyCZ_attack_shoot=1.93#punch_hit_small01=0.32#punch_hit_small01=1.2</t>
  </si>
  <si>
    <t>62&amp;&amp;63</t>
  </si>
  <si>
    <t>root&amp;&amp;Bip001 L Finger2Nub</t>
  </si>
  <si>
    <t>武器左手</t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</si>
  <si>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02</t>
    </r>
  </si>
  <si>
    <r>
      <rPr>
        <sz val="11"/>
        <color theme="1"/>
        <rFont val="等线"/>
        <charset val="134"/>
        <scheme val="minor"/>
      </rPr>
      <t>FrankyCZ_left_ready=0.03#FrankyCZ_left_cannon=0.81#FrankyCZ_left_cannon=1.49#FrankyCZ_left_cannon=2.36#</t>
    </r>
    <r>
      <rPr>
        <sz val="11"/>
        <color rgb="FFFF0000"/>
        <rFont val="等线"/>
        <charset val="134"/>
        <scheme val="minor"/>
      </rPr>
      <t>FrankyCZ_left_hit=1.16#FrankyCZ_left_hit=1.81#FrankyCZ_left_hit=2.68#</t>
    </r>
    <r>
      <rPr>
        <sz val="11"/>
        <color theme="1"/>
        <rFont val="等线"/>
        <charset val="134"/>
        <scheme val="minor"/>
      </rPr>
      <t>CV_FrankyCZ_left=0.04</t>
    </r>
  </si>
  <si>
    <t>新鲜火焰</t>
  </si>
  <si>
    <r>
      <rPr>
        <sz val="11"/>
        <color theme="1"/>
        <rFont val="等线"/>
        <charset val="134"/>
      </rPr>
      <t>603</t>
    </r>
  </si>
  <si>
    <r>
      <rPr>
        <sz val="11"/>
        <color theme="1"/>
        <rFont val="等线"/>
        <charset val="134"/>
      </rPr>
      <t>CV_FrankyCZ_fire=0.06#FrankyCZ_fire=0.58#AceCZ_firepunch_cast=0.7#</t>
    </r>
    <r>
      <rPr>
        <sz val="11"/>
        <color rgb="FFFF0000"/>
        <rFont val="等线"/>
        <charset val="134"/>
      </rPr>
      <t>smallfire_hit=0.78#smallfire_hit=0.95#smallfire_hit=1.13#smallfire_hit=1.33</t>
    </r>
  </si>
  <si>
    <t>强壮右手</t>
  </si>
  <si>
    <r>
      <rPr>
        <sz val="11"/>
        <color theme="1"/>
        <rFont val="等线"/>
        <charset val="134"/>
      </rPr>
      <t>604</t>
    </r>
  </si>
  <si>
    <r>
      <rPr>
        <sz val="11"/>
        <color theme="1"/>
        <rFont val="等线"/>
        <charset val="134"/>
        <scheme val="minor"/>
      </rPr>
      <t>FrankyCZ_right_red=0.01#FrankyCZ_right_yellow=0.72#FrankyCZ_right_orange=1.48#FrankyCZ_right_green=2.18#FrankyCZ_right_cyan=2.77#FrankyCZ_right_final=3.62#CV_FrankyCZ_right=0.06#</t>
    </r>
    <r>
      <rPr>
        <sz val="11"/>
        <color rgb="FFFF0000"/>
        <rFont val="等线"/>
        <charset val="134"/>
        <scheme val="minor"/>
      </rPr>
      <t>punch_hit_small01=0.21#punch_hit_small01=1.09#punch_hit_small01=1.72#bodyrock_hit02=2.94</t>
    </r>
  </si>
  <si>
    <t>风来炮</t>
  </si>
  <si>
    <r>
      <rPr>
        <sz val="11"/>
        <color theme="1"/>
        <rFont val="等线"/>
        <charset val="134"/>
      </rPr>
      <t>605</t>
    </r>
  </si>
  <si>
    <t>whooshlarge_slashly01=0#FrankyCZ_wind_pao=1.61#FrankyCZ_wind_inside=2.86#FrankyCZ_wind_swing=3.68#FrankyCZ_wind_energy=3.95#FrankyCZ_wind_cast=6.26#kick_general01=7.25#kick_general01=7.5#FrankyCZ_wind_youxi=7.88#CV_FrankyCZ_wing1=0.33#CV_FrankyCZ_wind2=2.9#CV_FrankyCZ_youxi=7.8</t>
  </si>
  <si>
    <t>Particles/franky001_body/franky001_body_attack05_c</t>
  </si>
  <si>
    <t>能量可乐</t>
  </si>
  <si>
    <r>
      <rPr>
        <sz val="11"/>
        <color theme="1"/>
        <rFont val="等线"/>
        <charset val="134"/>
      </rPr>
      <t>606</t>
    </r>
  </si>
  <si>
    <t>FrankyCZ_cole_bottle=0.36#FrankyCZ_cole_inside=1.09#FrankyCZ_cole_drink=1.61#FrankyCZ_cole_charge=2.17#CV_FrankyCZ_cole=0.27</t>
  </si>
  <si>
    <t>Particles/franky001_body/franky001_body_attack06_c</t>
  </si>
  <si>
    <t>星星盾牌</t>
  </si>
  <si>
    <r>
      <rPr>
        <sz val="11"/>
        <color theme="1"/>
        <rFont val="等线"/>
        <charset val="134"/>
      </rPr>
      <t>607</t>
    </r>
  </si>
  <si>
    <t>CV_FrankyCZ_windshild=0.1#FrankyCZ_windsheild=0.52</t>
  </si>
  <si>
    <t>#CV_TEMP_franky_StarShield=0</t>
  </si>
  <si>
    <t>弗兰奇BOXING</t>
  </si>
  <si>
    <r>
      <rPr>
        <sz val="11"/>
        <color theme="1"/>
        <rFont val="等线"/>
        <charset val="134"/>
      </rPr>
      <t>608</t>
    </r>
  </si>
  <si>
    <r>
      <rPr>
        <sz val="11"/>
        <color theme="1"/>
        <rFont val="等线"/>
        <charset val="134"/>
        <scheme val="minor"/>
      </rPr>
      <t>CV_FrankyCZ_boxing=0.16#FrankyCZ_boxing_swing1=0.54#FrankyCZ_boxing_swing2=0.97#FrankyCZ_boxing_swing3=2.07#FrankyCZ_boxing_swing3=2.43#FrankyCZ_boxing_swing3=2.7#FrankyCZ_boxing_swing3=2.93#FrankyCZ_boxing_swing3=3.22#FrankyCZ_boxing_swing3=3.46#FrankyCZ_boxing_swing3=3.68#FrankyCZ_boxing_swing3=4.02#</t>
    </r>
    <r>
      <rPr>
        <sz val="11"/>
        <color rgb="FFFF0000"/>
        <rFont val="等线"/>
        <charset val="134"/>
        <scheme val="minor"/>
      </rPr>
      <t>punch_hit_small01=0.71#punch_hit_small01=1.6#punch_hit_small01=2.23#punch_hit_small01=2.54#punch_hit_small01=2.81#punch_hit_small01=3.06#punch_hit_small01=3.28#punch_hit_small01=3.52#punch_hit_small01=3.73#punch_hit_medium01=4.2</t>
    </r>
  </si>
  <si>
    <t>Particles/franky001_body/franky001_body_attack08_c</t>
  </si>
  <si>
    <t>乔巴</t>
  </si>
  <si>
    <t>治疗-81</t>
  </si>
  <si>
    <t>701</t>
  </si>
  <si>
    <t>chopper_JumpThrow=0.6#chopper_Heal=0.792#chopper_Foot=1.4</t>
  </si>
  <si>
    <t>80&amp;&amp;81</t>
  </si>
  <si>
    <r>
      <rPr>
        <sz val="11"/>
        <color theme="1"/>
        <rFont val="等线"/>
        <charset val="134"/>
      </rPr>
      <t>重量强化-重敲</t>
    </r>
    <r>
      <rPr>
        <sz val="11"/>
        <color theme="1"/>
        <rFont val="等线"/>
        <charset val="134"/>
      </rPr>
      <t>-82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</si>
  <si>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00402</t>
    </r>
  </si>
  <si>
    <t>chopper_Punch02=1.309#chopper_Punch02=1.551#chopper_Punch02=1.809#chopper_Punch02=2.009#SE_012035=1.431#SE_012035=1.649#SE_012035=1.909#SE_012035=2.1#se_Rock_Fall02=1.509#se_Rock_Fall02=1.969#mihawk_Swing03=2.2#chopper_Punch01=2.666#chopper_Punch03=2.817#chopper_Punch02=2.839#CV_chopper_HeavyBell=0.3</t>
  </si>
  <si>
    <r>
      <rPr>
        <sz val="11"/>
        <color theme="1"/>
        <rFont val="等线"/>
        <charset val="134"/>
      </rPr>
      <t>蓝波球-</t>
    </r>
    <r>
      <rPr>
        <sz val="11"/>
        <color theme="1"/>
        <rFont val="等线"/>
        <charset val="134"/>
      </rPr>
      <t>83</t>
    </r>
  </si>
  <si>
    <t>chopper_Sweat=0.166#chopper_JumpThrow=0.853#chopper_Ultramove=1.666#zoro_Swordenergy=2#chopper_Punch01=4.512#chopper_Punch03=4.712#chopper_Punch02=4.812#chopper_Punch02=4.929#chopper_Punch02=5.046#chopper_Punch02=5.159#chopper_Punch02=5.273#chopper_Punch03=5.372#chopper_Punch02=5.509#chopper_Punch02=5.65#chopper_Punch01=6.2#franky_Punch_Heavy=6.311#CV_chopper_SakuraSnow=0</t>
  </si>
  <si>
    <t>Particles/chopper_body/chopper_body_attack03_01_C</t>
  </si>
  <si>
    <t>wuqil</t>
  </si>
  <si>
    <t>#CV_TEMP_chopper_BlueBall=0.5#CV_chopper_SakuraSnow=2</t>
  </si>
  <si>
    <t>皮毛强化</t>
  </si>
  <si>
    <t>704</t>
  </si>
  <si>
    <t>chopper_Sweat=0.166#chopper_JumpThrow=0.853#chopper_Move01=1.7#chopper_TransformBall=1.8#CV_chopper_Guard=0.7</t>
  </si>
  <si>
    <t>治愈-85</t>
  </si>
  <si>
    <t>chopper_JumpThrow=0#chopper_Grind=0.5#chopper_Sweat=1.2#chopper_Spill=2.2</t>
  </si>
  <si>
    <t>Particles/chopper_body/chopper_body_attack05_C</t>
  </si>
  <si>
    <t>86&amp;&amp;87&amp;&amp;88</t>
  </si>
  <si>
    <t>root&amp;&amp;wuqil&amp;&amp;wuqir</t>
  </si>
  <si>
    <t>解毒-86</t>
  </si>
  <si>
    <t>buggy_Funny02=0.4#chopper_Med=0.8#buggy_Funny03=1.8#chopper_Bottlecrash=2.4#chopper_Luck=2.6</t>
  </si>
  <si>
    <t>89&amp;&amp;90</t>
  </si>
  <si>
    <r>
      <rPr>
        <sz val="11"/>
        <color theme="1"/>
        <rFont val="等线"/>
        <charset val="134"/>
      </rPr>
      <t>腕力强化-十字架</t>
    </r>
    <r>
      <rPr>
        <sz val="11"/>
        <color theme="1"/>
        <rFont val="等线"/>
        <charset val="134"/>
      </rPr>
      <t>-87</t>
    </r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</si>
  <si>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00507</t>
    </r>
  </si>
  <si>
    <t>nami_Cloth=0#chopper_JumpThrow=0.734#chopper_Spill=0.6#Mr3_SwingObj=1.6#zoro_Swordenergy=2#smoke_Swing03=3.095#SE_012035=3.331#se_Rock_Fall02=3.33#kuma_HitGround=3.2#CV_chopper_Cross=0.7</t>
  </si>
  <si>
    <t>Particles/chopper_body/chopper_body_attack07_C</t>
  </si>
  <si>
    <r>
      <rPr>
        <sz val="11"/>
        <color theme="1"/>
        <rFont val="等线"/>
        <charset val="134"/>
      </rPr>
      <t>92</t>
    </r>
    <r>
      <rPr>
        <sz val="11"/>
        <color theme="1"/>
        <rFont val="等线"/>
        <charset val="134"/>
      </rPr>
      <t>&amp;&amp;92</t>
    </r>
  </si>
  <si>
    <t>Bip001 R Finger1&amp;&amp;Bip001 L Finger1</t>
  </si>
  <si>
    <t>急救针</t>
  </si>
  <si>
    <t>nami_Cloth=0.2#chopper_JumpThrow=1.2#buggy_Funny02=2.702#chopper_Heal=2.992#chopper_Luck=3.048#CV_chopper_Heal=0.5</t>
  </si>
  <si>
    <t>绷带</t>
  </si>
  <si>
    <t>nami_Cloth=0#mihawk_Swing03=0.4#chopper_Spill=0.512#usopp_Cloth=0.725#mihawk_Swing03=0.789</t>
  </si>
  <si>
    <t>强高</t>
  </si>
  <si>
    <t>强高普攻</t>
  </si>
  <si>
    <t>801</t>
  </si>
  <si>
    <t>smoke_Swing02=0.1</t>
  </si>
  <si>
    <t>强高催眠</t>
  </si>
  <si>
    <t>802</t>
  </si>
  <si>
    <t>se_Hypnotize=0.4</t>
  </si>
  <si>
    <t>强高主动技能2</t>
  </si>
  <si>
    <t>803</t>
  </si>
  <si>
    <t>kuzan_Swing=0#zoro_Jumpspin=0.6#enel_Spin=1.2#enel_Spin=1.438#enel_Spin=1.7#smoke_Swing02=1.977#se_Jump02=2.384#se_Jump02=2.8</t>
  </si>
  <si>
    <t>特效药</t>
  </si>
  <si>
    <t>chopper_Move01=0.2#chopper_Heal02=0.4</t>
  </si>
  <si>
    <t>路奇</t>
  </si>
  <si>
    <t>路奇-变身普攻</t>
  </si>
  <si>
    <t>smoke_Swing02=0#brook_Swing01=0.318#smoke_Swing02=0.461#brook_Swing01=0.766#tashigi_Swing01=0.965#se_Jump01=1.199#smoke_Swing03=1.477</t>
  </si>
  <si>
    <t>巴基</t>
  </si>
  <si>
    <t>小丑飞刀</t>
  </si>
  <si>
    <t>901</t>
  </si>
  <si>
    <t>buggy_Funny01=0.129#buggy_Funny01=0.346#buggy_Swing01=0.2#buggy_Swing01=0.473</t>
  </si>
  <si>
    <t>四分五裂·炮弹</t>
  </si>
  <si>
    <t>902</t>
  </si>
  <si>
    <t>buggy_ArmShoot01=0#buggy_ArmProject01=0.474#CV_buggy_DividedGun=0</t>
  </si>
  <si>
    <t>#CV_TEMP_buggy_DividedGun=0</t>
  </si>
  <si>
    <t>四分五裂·仙贝</t>
  </si>
  <si>
    <t>903</t>
  </si>
  <si>
    <t>buggy_SwingCircle01=0#CV_buggy_Scallop=0</t>
  </si>
  <si>
    <t>Point009</t>
  </si>
  <si>
    <t>#CV_TEMP_buggy_Scallop=0</t>
  </si>
  <si>
    <t>四分五裂·嘉年华</t>
  </si>
  <si>
    <t>904</t>
  </si>
  <si>
    <t>buggy_SwingCircle01=0#buggy_Charge01=0.2#buggy_SwingCircle02=1.328#buggy_Funny02=1.865#CV_buggy_DividedFestival=0</t>
  </si>
  <si>
    <t>#CV_TEMP_buggy_DividedFestival=0</t>
  </si>
  <si>
    <t>空中螺旋大杂耍</t>
  </si>
  <si>
    <t>905</t>
  </si>
  <si>
    <t>buggy_Charge03=0.49#buggy_Charge03=1#buggy_Funny02=2.684#SE_012035=2.684#CV_buggy_SkyCircus=0.5</t>
  </si>
  <si>
    <t>Particles/buggy/buggy_attack05_c</t>
  </si>
  <si>
    <t>#CV_TEMP_buggy_SkyCircus=0</t>
  </si>
  <si>
    <t>四分五裂·紧急逃脱</t>
  </si>
  <si>
    <t>906</t>
  </si>
  <si>
    <t>buggy_Charge01=0#buggy_Funny02=0.116#buggy_Funny02=0.7#CV_buggy_Escape=0</t>
  </si>
  <si>
    <t>巴基弹</t>
  </si>
  <si>
    <t>907</t>
  </si>
  <si>
    <t>usopp_Cloth=0.1#buggy_Funny02=0.4#buggy_Funny03=0.9#grenade_boom=1.3#Explo_Rock1=1.3#CV_buggy_BuggyCannon=0</t>
  </si>
  <si>
    <t>#CV_TEMP_buggy_BuggyCannon=0</t>
  </si>
  <si>
    <t>特制巴基弹</t>
  </si>
  <si>
    <t>908</t>
  </si>
  <si>
    <t>ultimate_Sign=0#buggy_Funny02=1.4#buggy_Charge02=1.697#buggy_Funny03=2.31#grenade_boom=3.1#Explo_Small_Bomb3=3.1#machinegun_boom=3.1#Explo_Rock1=3.1#CV_buggy_SpecialBuggyCannon=0</t>
  </si>
  <si>
    <t>Particles/buggy/buggy_attack08_c</t>
  </si>
  <si>
    <t>#CV_TEMP_buggy_SpecialBuggyCannon=0.5</t>
  </si>
  <si>
    <t>布鲁克</t>
  </si>
  <si>
    <t>普攻—拐杖剑</t>
  </si>
  <si>
    <t>1001</t>
  </si>
  <si>
    <t>brook_Draw01=0#brook_Swing01=0.166#brook_Swing01=0.469#brook_Swing03=0.768</t>
  </si>
  <si>
    <t>黎明歌·极光突</t>
  </si>
  <si>
    <t>1002</t>
  </si>
  <si>
    <t>brook_Draw01=0#brook_Swing03=0.3#brook_Charge01=0.553#CV_brook_Spine=0</t>
  </si>
  <si>
    <t>Particles/brook/brook_attack02_C</t>
  </si>
  <si>
    <t>身体超轻</t>
  </si>
  <si>
    <t>1003</t>
  </si>
  <si>
    <t>brook_SpeedSteps=0#brook_StepMoves=0</t>
  </si>
  <si>
    <t>圆舞曲·轮舞</t>
  </si>
  <si>
    <t>1004</t>
  </si>
  <si>
    <t>se_Jump02=0.107#se_Jump02=0.2#brook_Swing03=0.368#brook_Swing02=0.52</t>
  </si>
  <si>
    <t>催眠曲</t>
  </si>
  <si>
    <t>1005</t>
  </si>
  <si>
    <t>nami_Cloth=0.4#brook_Violin=0.851#CV_brook_Sleep=0</t>
  </si>
  <si>
    <t>Particles/brook/brook_attack05_C</t>
  </si>
  <si>
    <t>酒樽舞曲·连环击</t>
  </si>
  <si>
    <t>1006</t>
  </si>
  <si>
    <t>usopp_Cloth=0#brook_Swing01=0.195#brook_Swing01=0.292#brook_Swing02=0.43#brook_Swing02=0.514#brook_Swing02=0.612#brook_Swing01=0.692#CV_brook_Wine=0</t>
  </si>
  <si>
    <t>革命舞曲·突进击</t>
  </si>
  <si>
    <t>1007</t>
  </si>
  <si>
    <t>nami_Cloth=0#brook_Fire=0.229#brook_Swing03=0.36#zoro_Slash_Heavy=0.36#zoro_Slash_Long=0.421#CV_brook_Rebel=0</t>
  </si>
  <si>
    <t>鼻歌三丁·燕尾斩</t>
  </si>
  <si>
    <t>1008</t>
  </si>
  <si>
    <t>brook_Draw02=0#brook_Footsteps=0.458#se_WindLoop1=0.8#brook_Footsteps=1.115#brook_Footsteps=1.744#brook_Footsteps=2.315#brook_Footsteps=2.915#brook_Footsteps=3.526#brook_Footsteps02=4.081#brook_BlinkSwing=4.4#brook_BlinkSwing=4.628#brook_Footsteps02=4.657#brook_Footsteps=5.231#brook_Footsteps=5.663#brook_Sheath=6.495#chopper_Punch02=7.057#zoro_Slash_Long=7.057#brook_MultiSlash=7.125#CV_brook_ArrowSlash=3.8</t>
  </si>
  <si>
    <t>Particles/brook/brook_attack08_C</t>
  </si>
  <si>
    <t>斯摩格</t>
  </si>
  <si>
    <t>十手三连</t>
  </si>
  <si>
    <t>1101</t>
  </si>
  <si>
    <t>smoke_Swing02=0#smoke_Swing03=0.63#smoke_Swing04=1.082</t>
  </si>
  <si>
    <t>白·拳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</si>
  <si>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102</t>
    </r>
  </si>
  <si>
    <t>smoke_Swing02=0#smoke_SteamCharge02=0.3#smoke_HitEcho=0.5#smoke_PunchesCloth=0.5#CV_smoker_WhitePunch=0</t>
  </si>
  <si>
    <t>白·蛇</t>
  </si>
  <si>
    <t>1103</t>
  </si>
  <si>
    <t>smoke_Swing02=0#smoke_SteamFlying02=0.2#smoke_SteamFlying04=0.549#smoke_Swing04=0.852#smoke_PunchesCloth=1.2#SE_012035=1.2#se_Rock_Fall02=1.268#CV_smoker_WhiteSnake=0</t>
  </si>
  <si>
    <t>Point006</t>
  </si>
  <si>
    <t>136&amp;&amp;441&amp;&amp;441&amp;&amp;441&amp;&amp;441&amp;&amp;441&amp;&amp;441&amp;&amp;441&amp;&amp;441&amp;&amp;441&amp;&amp;442</t>
  </si>
  <si>
    <t>wuqir&amp;&amp;Point007&amp;&amp;Point008&amp;&amp;Point009&amp;&amp;Point010&amp;&amp;Point011&amp;&amp;Point005&amp;&amp;Point004&amp;&amp;Point003&amp;&amp;Point002&amp;&amp;Point006</t>
  </si>
  <si>
    <t>#CV_TEMP_smoke_WhiteSnake=0</t>
  </si>
  <si>
    <t>十手乱舞</t>
  </si>
  <si>
    <t>1104</t>
  </si>
  <si>
    <t>smoke_Swing02=0#smoke_FastPunches=0.436#smoke_Swing03=1.272#smoke_Swing03=1.6</t>
  </si>
  <si>
    <t>白色疾风（非倒地）</t>
  </si>
  <si>
    <t>1105</t>
  </si>
  <si>
    <t>se_Jump02=0#smoke_SteamFlying04=0#smoke_SteamFlying02=0.6#smoke_SteamLanding=1.226#CV_smoker_WhiteWind=0</t>
  </si>
  <si>
    <t>138&amp;&amp;139&amp;&amp;140</t>
  </si>
  <si>
    <t>root&amp;&amp;Bip001&amp;&amp;Bip001 R Foot</t>
  </si>
  <si>
    <t>白色疾风（废弃）</t>
  </si>
  <si>
    <t>1106</t>
  </si>
  <si>
    <t>烟雾喷射</t>
  </si>
  <si>
    <t>1107</t>
  </si>
  <si>
    <t>smoke_SteamFlying03=0.533#smoke_SteamFlying02=0.8#smoke_Swing05=1.6#smoke_HitEcho=2.538#SE_012035=3#se_Rock_Fall02=3.069</t>
  </si>
  <si>
    <t>Particles/smoker/smoker_attack06_C</t>
  </si>
  <si>
    <t>#CV_TEMP_smoke_WhiteOut=0</t>
  </si>
  <si>
    <t>白色冲击</t>
  </si>
  <si>
    <t>1108</t>
  </si>
  <si>
    <t>smoke_SteamFlying01=0.1#smoke_FastPunches=1.27#smoke_SteamFlying02=1.324#smoke_PunchesCloth=1.324#smoke_PunchesCloth=1.466#smoke_PunchesCloth=1.6#smoke_PunchesCloth=1.7#smoke_PunchesCloth=1.8#smoke_PunchesCloth=1.878#smoke_PunchesCloth=2#smoke_PunchesCloth=2.1#smoke_PunchesCloth=2.2#se_Rock_Fall02=2.148</t>
  </si>
  <si>
    <t>Bip001 R Toe0Nub</t>
  </si>
  <si>
    <t>#CV_TEMP_smoke_WhiteBlow=0.5</t>
  </si>
  <si>
    <t>白·蔓</t>
  </si>
  <si>
    <t>1109</t>
  </si>
  <si>
    <t>ultimate_Sign=0#smoke_PunchesCloth=0.706#smoke_Swing02=1#smoke_SteamCharge01=1.765#smoke_SteamFlying01=2.8#smoke_SteamFlying05=4.488#smoke_SteamFlying06=6.231#smoke_SteamFlying07=8.448#smoke_SteamFlying08=8.448#SE_012035=8.448#smoke_PunchesCloth=8.448#SE_012035=9.4#se_Rock_Fall02=9.4#smoke_HeavyHit=9.4#CV_smoker_WhiteCirrus=0.8</t>
  </si>
  <si>
    <t>Particles/smoker/smoker_attack08_C</t>
  </si>
  <si>
    <t>Bip001 R Foot</t>
  </si>
  <si>
    <t>#CV_TEMP_smoke_WhiteVine=1#CV_TEMP_smoke01=2</t>
  </si>
  <si>
    <t>Mr.1</t>
  </si>
  <si>
    <t>手刀</t>
  </si>
  <si>
    <t>1201</t>
  </si>
  <si>
    <t>se_Slowswing=0.367#se_Slowswing=0.8#se_Jump01=1.38#se_Slowswing=1.4</t>
  </si>
  <si>
    <t>斩人</t>
  </si>
  <si>
    <t>1202</t>
  </si>
  <si>
    <t>kuma_Swing02=0.255#zoro_Jumphit=0.9#kuma_Laser01=0.9</t>
  </si>
  <si>
    <t>微尘斩</t>
  </si>
  <si>
    <t>1203</t>
  </si>
  <si>
    <t>kuzan_Swing02=1.36#zoro_Slash=1.493#zoro_Jumphit=1.434#zoro_Slash_Long=1.4</t>
  </si>
  <si>
    <t>#CV_TEMP_mr1_AtomicSupa=0</t>
  </si>
  <si>
    <t>灭裂斩</t>
  </si>
  <si>
    <t>1204</t>
  </si>
  <si>
    <t>usopp_Cloth=0.832#zoro_Slash=1#kuzan_Iceshoot02=0.959</t>
  </si>
  <si>
    <t>#CV_TEMP_mr1_SupaBreak=0</t>
  </si>
  <si>
    <t>微尘斩速刀</t>
  </si>
  <si>
    <t>1205</t>
  </si>
  <si>
    <t>usopp_Cloth=0.303#se_Jump02=0.58#kuzan_Iceshoot02=0.648#zoro_Jumpspin=0.725#se_Jump02=0.822#se_Jump02=0.946#se_Jump02=1.084#se_Jump02=1.197</t>
  </si>
  <si>
    <t>发泡雏菊斩</t>
  </si>
  <si>
    <t>1206</t>
  </si>
  <si>
    <t>smoke_Swing02=0.284#kuma_Swing02=0.604#zoro_Slash_Long=0.727#zoro_Jumphit=0.8</t>
  </si>
  <si>
    <t>螺旋抜斩</t>
  </si>
  <si>
    <t>1207</t>
  </si>
  <si>
    <t>kuma_Swing02=0.741#smoke_Swing02=0.961#zoro_Spin_Wind=1.5#zoro_Spin_Wind=2.3#kuzan_Iceshoot02=3#zoro_Jumpspin=2.9#Mr1_SpinWind=3.6#Mr1_SpinWind=4.4#Mr1_SpinWind=5.2#Mr1_SpinWind=5.957#zoro_Jumphit=6.6#zoro_Slash_Long=6.6</t>
  </si>
  <si>
    <t>Particles/mr1/mr1_attack07_c</t>
  </si>
  <si>
    <t>177&amp;&amp;178&amp;&amp;179</t>
  </si>
  <si>
    <t>root&amp;&amp;Bip001 L Hand&amp;&amp;Bip001 R Hand</t>
  </si>
  <si>
    <t>#CV_TEMP_mr1_SpiralHollow=2</t>
  </si>
  <si>
    <t>刀刃旋风</t>
  </si>
  <si>
    <t>1208</t>
  </si>
  <si>
    <t>kuzan_Swing=0.382#kuzan_Swing=0.683#zoro_Spin_Wind=0.714#zoro_Spin_Wind=0.992#usopp_Cloth=1.674#se_Jump02=1.653#zoro_Spin_Wind=2.745#kuzan_Iceshoot02=2.762#zoro_Jumpspin=2.858#se_Jump02=2.94#se_Jump02=3.008#kuzan_Iceshoot02=3.008#se_Jump02=3.134#se_Jump02=3.226#kuzan_Iceshoot02=3.226#se_Jump02=3.314#se_Jump02=3.411#kuzan_Iceshoot02=3.411#zoro_Jumpspin=3.52#zoro_Spin_Wind=3.149#SE_012035=4.195#se_Rock_Fall02=4.265</t>
  </si>
  <si>
    <t>Particles/mr1/mr1_attack08_c</t>
  </si>
  <si>
    <t>181&amp;&amp;182</t>
  </si>
  <si>
    <t>Bip001 L Hand&amp;&amp;Bip001 R Hand</t>
  </si>
  <si>
    <t>塔西琪</t>
  </si>
  <si>
    <t>普攻</t>
  </si>
  <si>
    <t>1301</t>
  </si>
  <si>
    <t>zoro_Swing01=0.1#zoro_Swing02=0.4#zoro_Swing01=0.9</t>
  </si>
  <si>
    <t>薄霞·闪</t>
  </si>
  <si>
    <t>1302</t>
  </si>
  <si>
    <t>zoro_Sheath_Begin=0.202#se_Jump02=0.509#zoro_Slash=0.9#zoro_Swing01=0.841</t>
  </si>
  <si>
    <t>时雨·轮</t>
  </si>
  <si>
    <t>1303</t>
  </si>
  <si>
    <t>zoro_Swing01=0.1#zoro_Swing02=0.53#se_Jump01=0.53#se_Slowswing=0.696#zoro_Swing01=0.9#zoro_Swing01=1.2#zoro_Swing01=1.432#zoro_Swing02=2.033#se_Normalswing=2.256</t>
  </si>
  <si>
    <t>薄霞·暮</t>
  </si>
  <si>
    <t>1304</t>
  </si>
  <si>
    <t>tashigi_Swing01=0#zoro_Swing01=0.538#zoro_Jumpspin=0.7#zoro_Slash_Long=0.72</t>
  </si>
  <si>
    <t>薄霞·蝶</t>
  </si>
  <si>
    <t>1305</t>
  </si>
  <si>
    <t>zoro_Sheath_Begin=0.167#zoro_Swing01=0.667#zoro_Slash=0.667#zoro_Slash=1.109#zoro_Slash=1.52#zoro_Slash_Long=2.029#se_Jump02=1.914#zoro_Swing02=2.282#se_Jump01=2.282#zoro_Swing02=2.174</t>
  </si>
  <si>
    <t>时雨·峰</t>
  </si>
  <si>
    <t>1306</t>
  </si>
  <si>
    <t>tashigi_Swing01=0#zoro_Swing01=0.298#se_Jump01=0.4#usopp_Cloth=0.781#se_MoveEcho=1.2#se_MoveEcho=1.4#zoro_Sheath_End=1.456#smoke_Swing04=1.818#SE_012035=2.037#se_Rock_Fall02=2.086</t>
  </si>
  <si>
    <t>斩时雨</t>
  </si>
  <si>
    <t>1307</t>
  </si>
  <si>
    <t>ultimate_Sign=0#tashigi_Swing01=1.353#zoro_Slash_Heavy=1.694</t>
  </si>
  <si>
    <t>Particles/tashigi/tashigi_attack07_C</t>
  </si>
  <si>
    <t>#CV_TEMP_tashigi_SlashRain=0.5</t>
  </si>
  <si>
    <t>薄霞·千本樱</t>
  </si>
  <si>
    <t>1308</t>
  </si>
  <si>
    <t>se_Sakura=0#zoro_Sheath_Begin=0.593#se_Unsheath=0.848#zoro_Slash=2.656#zoro_Slash_Heavy=3.061#zoro_Slash_Long=3.204</t>
  </si>
  <si>
    <t>Particles/tashigi/tashigi_attack08_C</t>
  </si>
  <si>
    <t>#CV_TEMP_tashigi_SenbonZakura=0</t>
  </si>
  <si>
    <t>Mr.3</t>
  </si>
  <si>
    <t>蜡烛箭</t>
  </si>
  <si>
    <t>1401</t>
  </si>
  <si>
    <t>kuzan_Swing=0.1#Squish_WetSlimeHit2=0.27#Foot_GoopSlime1_Land01=0.27#kuzan_Swing=0.4#Squish_WetSlimeHit2=0.57#Foot_GoopSlime1_Land01=0.57#franky_Swing01=1#smoke_Swing03=1#Squish_WetSlimeHit2=1.266#Foot_GoopSlime1_Land02=1.266</t>
  </si>
  <si>
    <r>
      <rPr>
        <sz val="11"/>
        <color theme="1"/>
        <rFont val="等线"/>
        <charset val="134"/>
      </rPr>
      <t>183</t>
    </r>
    <r>
      <rPr>
        <sz val="11"/>
        <color theme="1"/>
        <rFont val="等线"/>
        <charset val="134"/>
      </rPr>
      <t>&amp;&amp;487</t>
    </r>
  </si>
  <si>
    <r>
      <rPr>
        <sz val="11"/>
        <color theme="1"/>
        <rFont val="等线"/>
        <charset val="134"/>
      </rPr>
      <t>root</t>
    </r>
    <r>
      <rPr>
        <sz val="11"/>
        <color theme="1"/>
        <rFont val="等线"/>
        <charset val="134"/>
      </rPr>
      <t>&amp;&amp;Bip001 HeadNub</t>
    </r>
  </si>
  <si>
    <t>蜡烛锤</t>
  </si>
  <si>
    <t>1402</t>
  </si>
  <si>
    <t>kuma_Swing02=0#smoke_Swing05=0.2#Foot_GoopSlime1_Land01=0.2#Swish_SwingHugeShovel=0.562#Foot_GoopSlime1_Land02=0.7#Swish_SwingHugeShovel=0.7</t>
  </si>
  <si>
    <r>
      <rPr>
        <sz val="11"/>
        <color theme="1"/>
        <rFont val="等线"/>
        <charset val="134"/>
      </rPr>
      <t>184</t>
    </r>
    <r>
      <rPr>
        <sz val="11"/>
        <color theme="1"/>
        <rFont val="等线"/>
        <charset val="134"/>
      </rPr>
      <t>&amp;&amp;487</t>
    </r>
  </si>
  <si>
    <r>
      <rPr>
        <sz val="11"/>
        <color theme="1"/>
        <rFont val="等线"/>
        <charset val="134"/>
      </rPr>
      <t>Bip001 R Hand</t>
    </r>
    <r>
      <rPr>
        <sz val="11"/>
        <color theme="1"/>
        <rFont val="等线"/>
        <charset val="134"/>
      </rPr>
      <t>&amp;&amp;Bip001 HeadNub</t>
    </r>
  </si>
  <si>
    <t>蜡烛锁</t>
  </si>
  <si>
    <t>1403</t>
  </si>
  <si>
    <t>smoke_Swing05=0.2#Foot_GoopSlime1_Land01=0.8#Foot_GoopSlime1_Land02=0.666#Mr3_SwingObj=0.666#Swish_Rope_WebSwing1=1.451#Squish_WetSlimeHit2=1.451</t>
  </si>
  <si>
    <r>
      <rPr>
        <sz val="11"/>
        <color theme="1"/>
        <rFont val="等线"/>
        <charset val="134"/>
      </rPr>
      <t>185</t>
    </r>
    <r>
      <rPr>
        <sz val="11"/>
        <color theme="1"/>
        <rFont val="等线"/>
        <charset val="134"/>
      </rPr>
      <t>&amp;&amp;487</t>
    </r>
  </si>
  <si>
    <t>Bip001 R Hand&amp;&amp;Bip001 HeadNub</t>
  </si>
  <si>
    <t>蜡烛壁</t>
  </si>
  <si>
    <t>1404</t>
  </si>
  <si>
    <t>Foot_GoopSlime1_Land01=0.5#Swish_Rope_WebSwing1=1.8#Whoosh_MeteorPassby01=0.566#smoke_Swing05=0#Whoosh_MeteorPassby03=1.032#Foot_GoopSlime1_Land02=0.5#Squish_WetSlimeHit2=0.8#Squish_WetSlime4=1.705#Squish_WetSlime1=0.5#Squish_WetSlime1=0.643#Squish_WetSlime1=0.9#Squish_WetSlime1=1.4#Squish_WetSlime1=1.474#se_Rock_Fall02=2.5</t>
  </si>
  <si>
    <t>Particles/mr3/mr3_attack04_C</t>
  </si>
  <si>
    <t>Bip001 HeadNub</t>
  </si>
  <si>
    <t>蜡烛锥</t>
  </si>
  <si>
    <t>1405</t>
  </si>
  <si>
    <t>kuzan_Swing=0.1#buggy_Charge03=0.3#Foot_GoopSlime1_Land01=0.366#nami_Wind_Push=0.521#Mr3_Arrow=1.2#franky_Swing01=1.1#se_Shoot_Hit=1.3#Mr3_Arrow=1.3#franky_Swing01=1.2#se_Shoot_Hit=1.4#Mr3_Arrow=1.4#franky_Swing01=1.3#se_Shoot_Hit=1.5#Mr3_Arrow=1.5#franky_Swing01=1.4#se_Shoot_Hit=1.5#Foot_GoopSlime1_Land02=1.32#Foot_GoopSlime1_Land02=1.43#Foot_GoopSlime1_Land02=1.535#Foot_GoopSlime1_Land02=1.6</t>
  </si>
  <si>
    <t>点燃！蜡烛盔甲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</si>
  <si>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406</t>
    </r>
  </si>
  <si>
    <t>Mr3_EnergyIn=0.7#Mr3_StabSwing=2.305#nami_Cloth=2.5#smoke_Swing05=3.5#Mr3_EnergyRoundUp=4.115#enel_Pose=4.115#Mr3_EnergyPop=5.316#Mr3_EnergyPop=5.866#Mr3_EnergyPop=6.5#Mr3_EnergyPop=7.161#Mr3_BigSwing=7.6</t>
  </si>
  <si>
    <t>Particles/mr3/mr3_attack06_C</t>
  </si>
  <si>
    <r>
      <rPr>
        <sz val="11"/>
        <color theme="1"/>
        <rFont val="等线"/>
        <charset val="134"/>
      </rPr>
      <t>482</t>
    </r>
    <r>
      <rPr>
        <sz val="11"/>
        <color theme="1"/>
        <rFont val="等线"/>
        <charset val="134"/>
      </rPr>
      <t>&amp;&amp;487</t>
    </r>
  </si>
  <si>
    <t>Bip001 L Hand&amp;&amp;Bip001 HeadNub</t>
  </si>
  <si>
    <t>蜡烛盔甲普攻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</si>
  <si>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00907</t>
    </r>
  </si>
  <si>
    <t>franky_Swing01=0.43#franky_Swing01=0.53#franky_Swing01=0.63#franky_Swing01=0.73#franky_Swing01=0.83#franky_Swing01=0.93#smoke_Swing01=1.5#SE_012035=1.6#se_Rock_Fall02=1.6</t>
  </si>
  <si>
    <t>冠军之拳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</si>
  <si>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00908</t>
    </r>
  </si>
  <si>
    <t>smoke_Swing05=0.2#Mr3_StabSwing=0.492#nami_Wind_Push=0.8#nami_Wind_Push=1.4#Mr3_StabSwing=1.85#nami_Wind_Push=2.021#nami_Wind_Push=2.542</t>
  </si>
  <si>
    <r>
      <rPr>
        <sz val="11"/>
        <color theme="1"/>
        <rFont val="等线"/>
        <charset val="134"/>
      </rPr>
      <t>190</t>
    </r>
    <r>
      <rPr>
        <sz val="11"/>
        <color theme="1"/>
        <rFont val="等线"/>
        <charset val="134"/>
      </rPr>
      <t>&amp;&amp;487</t>
    </r>
  </si>
  <si>
    <t>Mr.2</t>
  </si>
  <si>
    <t>1501</t>
  </si>
  <si>
    <t>Mr2_Swing01=0.26#Mr2_Swing01=0.56#Mr2_Swing02=1.23#Mr2_Swing01=1.3#Mr2_Swing01=1.3</t>
  </si>
  <si>
    <t>人妖之道</t>
  </si>
  <si>
    <t>1502</t>
  </si>
  <si>
    <t>Mr2_MoveCircle01=0#Mr2_Swing02=0.274#Mr2_Swing02=0.5#crocodile_Swing01=0.3#Mr2_Move02=0.8#se_Sakura=2#CV_mr2_Hemophrodie=0</t>
  </si>
  <si>
    <t>Particles/bentham/bentham_attack02_c</t>
  </si>
  <si>
    <t>人妖拳法·脚尖踢</t>
  </si>
  <si>
    <t>1503</t>
  </si>
  <si>
    <t>se_Jump01=0.1#Mr2_Move01=0.4#Mr2_Move02=0.673#Mr2_MoveCircle01=1.37#se_Jump02=1.441#se_Jump01=1.841#CV_mr2_Kick=0</t>
  </si>
  <si>
    <t>人妖拳法·夏日晴空的回忆录</t>
  </si>
  <si>
    <t>1504</t>
  </si>
  <si>
    <t>Mr2_Attacks01=0.1#Mr2_MoveCircle01=0.2#Mr2_MoveCircle01=0.53#Mr2_MoveCircle01=0.843#Mr2_AttackHeavy01=1.2#CV_mr2_SummerMemory=0</t>
  </si>
  <si>
    <t>#CV_TEMP_mr2_SummerMemory=0</t>
  </si>
  <si>
    <t>人妖拳法·旋转鞭打</t>
  </si>
  <si>
    <t>1505</t>
  </si>
  <si>
    <t>smoke_Swing05=0#Mr2_Swing01=0.698#Mr2_AttackHeavy04=0.844#Mr2_Attacks01=0.844#Mr2_Swing02=1.906#CV_mr2_CircleWhip=0</t>
  </si>
  <si>
    <t>#CV_TEMP_mr2_SpinWhip=0</t>
  </si>
  <si>
    <t>人妖拳法·冬日晴空的回忆录</t>
  </si>
  <si>
    <t>1506</t>
  </si>
  <si>
    <t>Mr2_MoveCircle01=0.2#Mr2_MoveCircle01=0.5#Mr2_Funny01=0.8#Mr2_Swing01=0.833#Mr2_Funny02=1.3#Mr2_Funny02=1.9#zoro_Swordenergy=2.2#Mr2_AttackHeavy02=4.137#se_Jump01=4.2#Mr2_Attacks01=4.464#Mr2_MoveCircle01=4.56#Mr2_MoveCircle01=4.874#Mr2_MoveCircle01=5.189#crocodile_ObjFlyingSwing=5.16#Mr2_AttackHeavy04=5.6#Mr2_AttackHeavy03=5.6#se_Jump02=7#Mr2_MoveCircle01=7.2#Mr2_Move02=7.669#CV_mr2_WinterMemory=0</t>
  </si>
  <si>
    <t>Particles/bentham/bentham_attack06_c</t>
  </si>
  <si>
    <t>人妖拳法·爆裂天鹅舞</t>
  </si>
  <si>
    <t>1507</t>
  </si>
  <si>
    <t>Mr2_MoveCircle01=0#se_Jump01=0.3#Mr2_Attacks01_Short=0.4#CV_mr2_BoomSwan=0</t>
  </si>
  <si>
    <t>人妖拳法·爆裂华丽天鹅舞会</t>
  </si>
  <si>
    <t>1508</t>
  </si>
  <si>
    <t>Mr2_MoveCircle01=0#Mr2_Attacks01=0.1#Mr2_Attacks01=1.169#crocodile_Swing01=2.3#se_Jump02=2.4#Mr2_AttackHeavy01=2.5#Mr2_Swing02=2.559#Mr2_AttackHeavy04=2.581</t>
  </si>
  <si>
    <t>Particles/bentham/bentham_attack08_c</t>
  </si>
  <si>
    <t>#CV_TEMP_mr2_GorgeousSwanDance=0</t>
  </si>
  <si>
    <t>青雉</t>
  </si>
  <si>
    <t>冰子弹</t>
  </si>
  <si>
    <t>1601</t>
  </si>
  <si>
    <t>kuzanCZ_attack=0.38#kuzanCZ_attack=0.53#kuzanCZ_attack=0.7#kuzanCZ_attack=0.86#kuzanCZ_attack=1.02#kuzanCZ_attack=1.18#ice_hit01=0.52#ice_hit01=0.67#ice_hit01=0.82#ice_hit01=0.99#ice_hit01=1.14#ice_hit01=1.29#ice_hit01=1.45</t>
  </si>
  <si>
    <t>冰块·落冰</t>
  </si>
  <si>
    <t>1602</t>
  </si>
  <si>
    <t>kuzanCZ_icefall_swing=0.22#kuzanCZ_icefall_iceball=0.83</t>
  </si>
  <si>
    <t>#CV_TEMP_kuzan_IceBlock=0</t>
  </si>
  <si>
    <t>冰雨</t>
  </si>
  <si>
    <t>1603</t>
  </si>
  <si>
    <t>kuzanCZ_icerain_swing=0.28#kuzanCZ_icerain_ice=0.91#kuzanCZ_icerain_ice=1.06#kuzanCZ_icerain_ice=1.23#kuzanCZ_icerain_ice=1.4#kuzanCZ_icerain_ice=1.55#kuzanCZ_icerain_ice=1.73#ice_hit01=0.9#ice_hit01=1#ice_hit01=1.1#ice_hit01=1.2#ice_hit01=1.3#ice_hit01=1.4#ice_hit01=1.5#ice_hit01=1.6#ice_hit01=1.7#ice_hit01=1.8</t>
  </si>
  <si>
    <t>冰块·两棘矛</t>
  </si>
  <si>
    <t>1604</t>
  </si>
  <si>
    <t>kuzanCZ_twosword_jump=0.26#kuzanCZ_twosword_appear=0.59#kuzanCZ_twosword_cast=1.94#kuzanCZ_twosword_hit=2.18#kuzanCZ_iceball_fall=3#kuzanCZ_twosword_down=2.22#kuzanCZ_twosword_down=2.36#kuzanCZ_twosword_down=2.48</t>
  </si>
  <si>
    <t>Particles/kuzan/kuzan_attack04_C</t>
  </si>
  <si>
    <t>#CV_TEMP_kuzan_Partisan=0.5</t>
  </si>
  <si>
    <t>冰块·暴雉嘴</t>
  </si>
  <si>
    <t>1605</t>
  </si>
  <si>
    <t>kuzanCZ_icebird_cloth=0.65#kuzanCZ_freeze=1.36#kuzanCZ_icebird_cast=3.18#ice_hit02=3.88#kuzanCZ_icebird_ice=3.88#CV_kuzanCZ_icebird=1.39</t>
  </si>
  <si>
    <t>Particles/kuzan/kuzan_attack05_C</t>
  </si>
  <si>
    <t>#CV_TEMP_kuzan_PheasantBecco=0.7</t>
  </si>
  <si>
    <t>冰锥</t>
  </si>
  <si>
    <t>1606</t>
  </si>
  <si>
    <t>kuzanCZ_icepiton_01=0.28#kuzanCZ_icepiton_02=1.09#kuzanCZ_icepiton_03=2.39</t>
  </si>
  <si>
    <t>冰球</t>
  </si>
  <si>
    <t>1607</t>
  </si>
  <si>
    <t>kuzanCZ_iceball_jump=0.33#kuzanCZ_iceball_cast=2.5#kuzanCZ_freeze=3.31#kuzanCZ_iceball_fall=5.3#CV_kuzanCZ_iceball=0.31</t>
  </si>
  <si>
    <t>Particles/kuzan/kuzan_attack07_C</t>
  </si>
  <si>
    <t>#CV_TEMP_kuzan_IceBall=1.45</t>
  </si>
  <si>
    <t>冰河时代</t>
  </si>
  <si>
    <t>1608</t>
  </si>
  <si>
    <t>kuzanCZ_iceage_cloth=0.6#kuzanCZ_iceage_cast=1.99#kuzanCZ_iceage_explosion=8.55#kuzanCZ_iceage_wind=11.94#CV_kuzanCZ_iceage01=0.66#CV_kuzanCZ_iceage02=6.74</t>
  </si>
  <si>
    <t>Particles/kuzan/kuzan_attack08_C</t>
  </si>
  <si>
    <t>1701</t>
  </si>
  <si>
    <t>LucciCZ_attack_swing01=0.14#LucciCZ_attack_swing02=0.77#LucciCZ_attack_swing03=1.22#LucciCZ_attack_swing04=1.69#kick_general01=0.41#kick_general01=0.93#kick_general01=1.47#kick_general02=1.99</t>
  </si>
  <si>
    <t>岚脚</t>
  </si>
  <si>
    <t>1702</t>
  </si>
  <si>
    <t>LucciCZ_stormkick_jump=0.16#LucciCZ_stormkick_cast=0.58#kick_general02=0.67#CV_LucciCZ_stormkick=0.16</t>
  </si>
  <si>
    <t>指枪“黄莲”</t>
  </si>
  <si>
    <t>1703</t>
  </si>
  <si>
    <t>LucciCZ_fingergun=0.52#LucciCZ_fingergun=0.58#LucciCZ_fingergun=0.65#LucciCZ_fingergun=0.72#LucciCZ_fingergun=0.78#LucciCZ_fingergun=0.85#LucciCZ_fingergun=0.93#LucciCZ_fingergun=0.98#LucciCZ_fingergun=1.05#LucciCZ_fingergun=1.12#LucciCZ_fingergun=1.19#LucciCZ_fingergun=1.26#LucciCZ_fingergun=1.33#LucciCZ_fingergun=1.38#CV_LucciCZ_fingergun=0.15</t>
  </si>
  <si>
    <t>六式·月步</t>
  </si>
  <si>
    <t>1704</t>
  </si>
  <si>
    <t>LucciCZ_razor_jump=0.27#LucciCZ_razor_razorswing=0.94#LucciCZ_razor_razorswing=1.1#LucciCZ_razor_razorswing=1.26#LucciCZ_razor_razorswing=1.42#LucciCZ_razor_razorswing=1.6#LucciCZ_razor_razorswing=1.76#LucciCZ_razor_razorswing=1.91#LucciCZ_razor_razorswing=2.08#LucciCZ_razor_razorswing=2.24#LucciCZ_razor_razorswing=2.41#LucciCZ_razor_finalkick=2.81#kick_general01=0.66#kick_general01=1.02#kick_general01=1.176#kick_general01=1.34#kick_general01=1.49#kick_general01=1.66#kick_general01=1.82#kick_general01=1.98#kick_general01=2.15#kick_general01=2.31#kick_general01=2.49#kick_general02=2.98#bodyrock_hit01=3.21</t>
  </si>
  <si>
    <t>336&amp;&amp;337</t>
  </si>
  <si>
    <t>root&amp;&amp;Bip001</t>
  </si>
  <si>
    <t>六王枪</t>
  </si>
  <si>
    <t>1705</t>
  </si>
  <si>
    <t>LucciCZ_sixgun_buff=0.31#LucciCZ_sixgun_cast=0.8#punch_hit_giant01=0.84</t>
  </si>
  <si>
    <t>奥义·指枪“斑”</t>
  </si>
  <si>
    <t>1706</t>
  </si>
  <si>
    <t>CV_LucciCZ_fingergunban01=1.46#CV_LucciCZ_fingergunban02=2.53#whooshlarge_slashly01=0.24#LucciCZ_razor_finalkick=1.28#LucciCZ_fingergunban_hitground=2.76#LucciCZ_fingergunban_crash=3.63#whooshlarge_crash01=3.88#LucciCZ_fingergunban_jump=5.11#LucciCZ_fingergunban_razor=5.39#LucciCZ_fingergunban_razor=5.61#LucciCZ_fingergunban_razor=5.87#LucciCZ_fingergunban_razor=6.14#LucciCZ_fingergunban_shoot=6.83#LucciCZ_fingergunban_shoot=6.9#LucciCZ_fingergunban_shoot=6.99#LucciCZ_fingergunban_shoot=7.09#LucciCZ_fingergunban_shoot=7.18#LucciCZ_fingergunban_shoot=7.26#LucciCZ_fingergunban_shoot=7.35#LucciCZ_fingergunban_shoot=7.45#LucciCZ_fingergunban_shoot=7.53#LucciCZ_fingergunban_shoot=7.6#LucciCZ_fingergunban_shoot=7.69#LucciCZ_fingergunban_shoot=7.79#LucciCZ_fingergunban_shoot=7.88#LucciCZ_fingergunban_shoot=7.96#LucciCZ_fingergunban_shoot=8.05#LucciCZ_fingergunban_shoot=8.15#LucciCZ_fingergunban_shoot=8.24#LucciCZ_fingergunban_shoot=8.32#LucciCZ_fingergunban_shoot=8.4#LucciCZ_fingergunban_shoot=8.5#LucciCZ_fingergunban_shoot=8.59#LucciCZ_fingergunban_shoot=8.67#LucciCZ_fingergunban_shoot=8.76#LucciCZ_fingergunban_shoot=8.86#LucciCZ_fingergunban_shoot=8.94#LucciCZ_fingergunban_shoot=9.02#LucciCZ_fingergunban_shoot=9.1#LucciCZ_fingergunban_shoot=9.2#LucciCZ_fingergunban_shoot=9.29#LucciCZ_fingergunban_shoot=9.37#LucciCZ_fingergunban_hit01=9.61#LucciCZ_fingergunban_hit02=9.93</t>
  </si>
  <si>
    <t>Particles/roblucci/roblucci_attack05_c</t>
  </si>
  <si>
    <t>Bip001</t>
  </si>
  <si>
    <t>Particles/roblucci/roblucci_attack05_light</t>
  </si>
  <si>
    <t>最大轮六王枪</t>
  </si>
  <si>
    <t>1707</t>
  </si>
  <si>
    <t>whooshlarge_nervous=0.11#LucciCZ_leopardsixgun_swing=0.66#LucciCZ_leopardsixgun_buff=1.12#LucciCZ_leopardsixgun_cast=1.61#LucciCZ_leopardsixgun_hit=2.1#CV_LucciCZ_leopardsixgun=0.03</t>
  </si>
  <si>
    <t>Particles/roblucci/roblucci_attack06_c</t>
  </si>
  <si>
    <t>岚脚“凯鸟”</t>
  </si>
  <si>
    <t>1708</t>
  </si>
  <si>
    <t>LucciCZ_stormkick_jump=0.03#LucciCZ_leopardstormkick=0.5#kick_general01=0.63</t>
  </si>
  <si>
    <t>蒙卡</t>
  </si>
  <si>
    <t>蒙卡普攻</t>
  </si>
  <si>
    <t>se_Slowswing=0.5#se_Slowswing=1#se_Slowswing=1.5</t>
  </si>
  <si>
    <t>重击</t>
  </si>
  <si>
    <t>smoke_Swing01=0.153#mihawk_Swing03=0.737#se_Slowswing=1</t>
  </si>
  <si>
    <t>斧气纵横</t>
  </si>
  <si>
    <t>smoke_Swing01=0.153#mihawk_Swing03=0.759#se_Slowswing=1.021#se_Rock_Fall02=1.16#mihawk_EnergyOut=1.16#kuma_HitGround=1.16</t>
  </si>
  <si>
    <t>Bip001 R Hand</t>
  </si>
  <si>
    <t>克洛</t>
  </si>
  <si>
    <t>克洛普攻</t>
  </si>
  <si>
    <t>zoro_Swing02=0.2#kuzan_Swing=0.4#zoro_Swing01=0.49</t>
  </si>
  <si>
    <t>撕裂</t>
  </si>
  <si>
    <t>zoro_Swing01=0#zoro_Jumpspin=0#kuzan_Swing=0.5#zoro_Slash=0.62</t>
  </si>
  <si>
    <t>无声步</t>
  </si>
  <si>
    <t>zoro_Jumpspin=0.433#zoro_Jumpspin=1#zoro_Jumpspin=1.166#zoro_Jumpspin=1.304#se_Jump02=1.47#se_Jump01=1.633#zoro_Swing01=1.764#zoro_Slash=1.841#zoro_Jumpspin=2.4#zoro_Swing01=2.536#se_Jump02=2.669#zoro_Swing02=3.155#zoro_Swing02=3.3#zoro_Slash=3.367</t>
  </si>
  <si>
    <t>Particles/kuro/kuro_attack03_c</t>
  </si>
  <si>
    <t>杓死</t>
  </si>
  <si>
    <t>zoro_Sheath_Begin=0.6#zoro_Sheath_Begin=1.5#zoro_Jumpspin=3.2#usopp_Cloth=3.2#buggy_SwingCircle02=3.4#zoro_Swing02=3.7#zoro_Swing02=3.9#zoro_Swing02=4.2#buggy_SwingCircle02=3.9#buggy_SwingCircle02=4.5#zoro_Slash=5.12#se_Jump02=5.46#zoro_Jumpspin=6.4#zoro_Slash=6.4#smoke_Swing04=6.2#CV_kuro_Shaosi=0</t>
  </si>
  <si>
    <t>Particles/kuro/kuro_attack04_c</t>
  </si>
  <si>
    <t>阿龙</t>
  </si>
  <si>
    <t>阿龙普攻-铁齿功</t>
  </si>
  <si>
    <t>arlong_TeethPre=0.1#arlong_TeethPre=0.5#arlong_TeethSwing=1#arlong_TeethSwing=1.4#arlong_TeethSwing=1.9#arlong_TeethSwing=1.9#se_Slowswing=2</t>
  </si>
  <si>
    <t>锯齿刀</t>
  </si>
  <si>
    <t>smoke_Swing05=1#kuma_Swing01=1.2#kuma_Swing01=3#se_Slowswing=3.2#kuzan_Swing02=3.1#se_Rock_Fall01=3.6#se_Rock_Fall02=3.6</t>
  </si>
  <si>
    <t>Particles/arlong/arlong_attack02_C</t>
  </si>
  <si>
    <t>鲨鱼齿轮</t>
  </si>
  <si>
    <t>smoke_Swing05=0.248#buggy_SwingCircle02=0.832#Foot_DeepWater_Wade01=0.92#Foot_DeepWater_Wade01=1.18#buggy_SwingCircle02=1.6#smoke_Swing05=1.7#Foot_DeepWater_Wade01=1.841</t>
  </si>
  <si>
    <t>鲨鱼飞箭</t>
  </si>
  <si>
    <t>smoke_Swing05=1.4#zoro_Swordenergy=2#crocodile_Obj_Flying=2.116#zoro_Obj_Flying=2.634#se_Rock_Fall02=3.6#kuma_HitGround=3.6#SE_012035=3.6</t>
  </si>
  <si>
    <t>Particles/arlong/arlong_attack04_C</t>
  </si>
  <si>
    <t>布拉哈姆</t>
  </si>
  <si>
    <t>布拉哈姆普攻</t>
  </si>
  <si>
    <t>nami_Cloth=0#Swish_WeaponSwing_Swipe6=0.3#Mr2_MoveCircle01=0.3#Gun_Pistol_Shot06=0.7#Gun_Pistol_Shot06=0.8#Gun_Pistol_Shot06=0.9#Gun_Pistol_Shot06=1#Gun_Pistol_Shot06=1.1#Gun_Pistol_Shot06=1.2#Gun_Pistol_Shot06=1.3#Gun_Pistol_Shot06=1.4#Gun_Pistol_Shot01=1.5</t>
  </si>
  <si>
    <t>黑莫里莫</t>
  </si>
  <si>
    <t>黑莫里莫普攻</t>
  </si>
  <si>
    <t>smoke_Swing04=0#Mr2_Swing02=0.125#smoke_Swing03=0.715#smoke_Swing04=0.352#smoke_Swing04=1.056#Mr2_Swing02=1.218</t>
  </si>
  <si>
    <t>静电毛球</t>
  </si>
  <si>
    <t>buggy_Funny01=0#buggy_Funny02=0.2#Mr2_Swing02=0.75#enel_Electric01=1#enel_Electric02=1.2#enel_Electric03=1.3#enel_Electric04=1.2</t>
  </si>
  <si>
    <t>克里克</t>
  </si>
  <si>
    <t>克里克普攻</t>
  </si>
  <si>
    <t>smoke_Swing03=0.2#smoke_Swing03=0.35#smoke_Swing03=0.4</t>
  </si>
  <si>
    <t>连射长枪</t>
  </si>
  <si>
    <t>smoke_Swing05=0#krieg_ShieldOpen=1#MachineGunBurst2=1#MachineGunBurst2=1.309#MachineGunBurst2=1.618#MachineGunBurst2=1.927#MachineGunBurst2=2.236</t>
  </si>
  <si>
    <t>大战枪！</t>
  </si>
  <si>
    <t>smoke_Swing05=0#crocodile_Swing02=0.153#franky_Swing01=0.664#franky_Swing01=1.346#se_Slowswing=1.451#grenade_boom=1.6#SE_012035=1.6#CV_krieg_BigWarLancer=0</t>
  </si>
  <si>
    <t>M·H·5</t>
  </si>
  <si>
    <t>krieg_ShieldOpen=0.2#kuzan_Swing02=0.7#franky_Cannon_Shoot=1.3#franky_Windshoot=1.3#machinegun_boom=2.5#GasBomb_Discharge3=2.6#CV_krieg_MH5=0</t>
  </si>
  <si>
    <t>Particles/krieg/krieg_attack04_C</t>
  </si>
  <si>
    <t>wp003</t>
  </si>
  <si>
    <t>佛萨普攻</t>
  </si>
  <si>
    <t>smoke_Swing01=0#zoro_Swing01=0.2</t>
  </si>
  <si>
    <t>阿金</t>
  </si>
  <si>
    <t>拐击</t>
  </si>
  <si>
    <t>smoke_Swing01=0#smoke_Swing01=0.139#smoke_Swing01=0.253#smoke_Swing03=0.64#smoke_Swing03=0.952</t>
  </si>
  <si>
    <t>342&amp;&amp;341</t>
  </si>
  <si>
    <t>weapon_R&amp;&amp;root</t>
  </si>
  <si>
    <t>鬼人连击</t>
  </si>
  <si>
    <t>smoke_Swing01=0.1#smoke_Swing01=0.2#smoke_Swing01=0.3#smoke_Swing01=0.4#smoke_Swing01=0.5#smoke_Swing01=0.6#smoke_Swing01=0.7#kuma_Swing02=0.886#smoke_Swing03=1.4#se_Rock_Fall02=1.6</t>
  </si>
  <si>
    <t>344&amp;&amp;343</t>
  </si>
  <si>
    <t>双管猎枪</t>
  </si>
  <si>
    <t>kuzan_Swing=0#se_Jump01=0.282#se_Fire_Throw=1.111#se_Shotgun=1.2</t>
  </si>
  <si>
    <t>杰布拉</t>
  </si>
  <si>
    <t>人形·普攻</t>
  </si>
  <si>
    <t>Mr2_Swing02=0.35#Mr2_Swing01=0.398#Mr2_Swing01=0.797#Mr2_Swing02=0.797#chopper_Punch01=1.456#Mr2_Swing01=1.647</t>
  </si>
  <si>
    <t>可比</t>
  </si>
  <si>
    <t>可比普攻</t>
  </si>
  <si>
    <r>
      <rPr>
        <sz val="11"/>
        <color theme="1"/>
        <rFont val="等线"/>
        <charset val="134"/>
        <scheme val="minor"/>
      </rPr>
      <t>CobeCZ_attack_swing=0.4#</t>
    </r>
    <r>
      <rPr>
        <sz val="11"/>
        <color rgb="FFFF0000"/>
        <rFont val="等线"/>
        <charset val="134"/>
        <scheme val="minor"/>
      </rPr>
      <t>CobeCZ_hit1=0.56</t>
    </r>
  </si>
  <si>
    <t>海军的梦想</t>
  </si>
  <si>
    <t>CobeCZ_healing=0.3</t>
  </si>
  <si>
    <t>挥舞拖把</t>
  </si>
  <si>
    <r>
      <rPr>
        <sz val="11"/>
        <color rgb="FFFF0000"/>
        <rFont val="等线"/>
        <charset val="134"/>
        <scheme val="minor"/>
      </rPr>
      <t>CobeCZ_hit2=0.3#CobeCZ_hit1=0.54#CobeCZ_hit1=0.72#CobeCZ_hit1=1.07#CobeCZ_hit1=1.24#</t>
    </r>
    <r>
      <rPr>
        <sz val="11"/>
        <color theme="1"/>
        <rFont val="等线"/>
        <charset val="134"/>
        <scheme val="minor"/>
      </rPr>
      <t>CobeCZ_swing1=0.44#CobeCZ_attack_swing=0.64#CobeCZ_swing3=0.98#CobeCZ_swing4=1.13</t>
    </r>
  </si>
  <si>
    <t>卡巴奇</t>
  </si>
  <si>
    <t>刺击</t>
  </si>
  <si>
    <t>zoro_Swing01=0.3#zoro_Swing02=0.781</t>
  </si>
  <si>
    <t>杂技喷火</t>
  </si>
  <si>
    <t>smoke_Swing02=0#franky_Fire_Shoot01=0.4</t>
  </si>
  <si>
    <t>杂技·纳凉夏日烟花</t>
  </si>
  <si>
    <t>se_Jump01=0#luffy_Punchlong_Double=0.145#zoro_Swing01=0.517#SE_012035=0.766#se_Rock_Fall02=0.83</t>
  </si>
  <si>
    <t>海军士兵01</t>
  </si>
  <si>
    <t>100801</t>
  </si>
  <si>
    <t>se_Normalswing=0.2#se_Normalswing=0.5</t>
  </si>
  <si>
    <t>海军士兵02</t>
  </si>
  <si>
    <t>100901</t>
  </si>
  <si>
    <t>smoke_Swing02=0#se_Normalswing=0.4#se_Slowswing=0.1</t>
  </si>
  <si>
    <t>小丑海贼团01</t>
  </si>
  <si>
    <t>nami_Cloth=0#se_Normalswing=0.3#se_Normalswing=0.5#se_Normalswing=0.73333#se_Normalswing=0.9</t>
  </si>
  <si>
    <t>希路麦波</t>
  </si>
  <si>
    <t>101001</t>
  </si>
  <si>
    <t>se_Flintlockshot=0.6</t>
  </si>
  <si>
    <t>佩罗娜</t>
  </si>
  <si>
    <t>迷你幽灵</t>
  </si>
  <si>
    <t>Mr2_Swing02=0.157#perona_Ghost01=0.794#perona_Ghost01=0.9#perona_GhostMove01=0.92#perona_Ghost01=1.033#perona_GhostMove02=1.397#perona_GhostMove02=1.49#perona_SmallExplosion=1.859#perona_SmallExplosion=1.918#perona_GhostMove02=1.997#perona_SmallExplosion=2.4</t>
  </si>
  <si>
    <t>消极幽灵</t>
  </si>
  <si>
    <t>nami_Cloth=0#se_Jump02=0.1#perona_Ghost01=0.665#perona_GhostMove02=1.197#perona_Depress=1.596#CV_pern_DepressGhost=0</t>
  </si>
  <si>
    <t>特大幽灵</t>
  </si>
  <si>
    <t>nami_Cloth=0#perona_Ghost01=0.4#usopp_Tap=0.48#perona_GhostImpact=0.512#perona_SmallExplosion=2.557#perona_SmallExplosion=2.557#usopp_Explosion=2.557#CV_pern_SpecialGhost=0</t>
  </si>
  <si>
    <t>Particles/perona/perona_attack03_C</t>
  </si>
  <si>
    <t>柯玛希</t>
  </si>
  <si>
    <t>Mr2_Swing02=0.274#SE_012035=0.721#se_Rock_Fall02=0.721#buggy_Funny01=2.059#usopp_Tap=2.18#buggy_Charge01=2.326#smoke_SteamCharge02=2.326#nami_Wind_Push=2.5#CV_pern_Kumasy=0</t>
  </si>
  <si>
    <t>惊吓穿越</t>
  </si>
  <si>
    <t>se_Jump02=0#Mr2_Move02=0.214#perona_Ghost01=0.918#perona_GhostMove01=1.646#perona_GhostMove04=1.9#Hogbak_Magic02=2.9#perona_GhostMove05=3.4#se_Jump02=4.154#CV_pern01=0</t>
  </si>
  <si>
    <t>Particles/perona/perona_attack05_C</t>
  </si>
  <si>
    <t>消极群幽灵</t>
  </si>
  <si>
    <t>nami_Cloth=0#perona_GhostMove01=0.516#perona_GhostMove02=0.686#perona_GhostMove03=1#perona_Depress=1.096</t>
  </si>
  <si>
    <t>幽灵响指</t>
  </si>
  <si>
    <t>perona_GhostCV=0#perona_Ghost01=0#perona_GhostMove02=0.511#perona_GhostMove03=2.168#se_FingerSnap=2.846#usopp_Explosion=2.921#perona_SmallExplosion=2.921#perona_SmallExplosion=3#perona_SmallExplosion=3.138#CV_pern_GhostSnap=1</t>
  </si>
  <si>
    <t>Particles/perona/perona_attack07_C</t>
  </si>
  <si>
    <t>特级幽灵·神风炸弹</t>
  </si>
  <si>
    <t>perona_GhostCV=0#perona_Ghost01=0#perona_GhostMove02=0.511#Mr2_Funny01=2.129#buggy_Funny02=2.129#usopp_Tap=2.6#se_Rock_Fall02=4.187#smoke_SteamFlying05=4#SE_012035=7#perona_GroundHit=7#perona_FingerSnap=9.074#Mr2_Funny01=9.095#perona_GhostImpact=9.389#Explo_Rock1=11.321#perona_BigExplosion=11.321#CV_pern03=0#CV_pern_KamikazeSnap=7</t>
  </si>
  <si>
    <t>Particles/perona/perona_attack08_C</t>
  </si>
  <si>
    <t>龙马</t>
  </si>
  <si>
    <t>Mr2_Swing01=0.326#nami_Cloth=0.5#zoro_Swing01=0.664</t>
  </si>
  <si>
    <t>前奏曲·剑斩击</t>
  </si>
  <si>
    <t>Mr2_Swing01=0#Mr2_Swing01=0.159#buggy_SwingCircle02=0.159#Mr2_Swing01=0.269#Mr2_Swing01=0.345#Mr2_Swing01=0.461#Mr2_Swing01=0.668#Mr2_Swing01=0.751#Mr2_Swing01=0.887#Mr2_Swing01=0.986#Mr2_Swing01=1.108#Mr2_Swing01=1.178#CV_ryuma_Prelude=0</t>
  </si>
  <si>
    <t>se_FootstepGETA=0.458#brook_Footsteps=0.458#se_WindLoop1=1#se_WindLoop1=1.1#se_FootstepGETA=1.115#brook_Footsteps=1.115#se_FootstepGETA=1.744#brook_Footsteps=1.744#se_FootstepGETA=2.315#brook_Footsteps=2.315#se_FootstepGETA=2.915#brook_Footsteps=2.915#zoro_Sheath_Begin=3.45#se_FootstepGETA=3.526#brook_Footsteps=3.526#se_FootstepGETA=4.081#brook_Footsteps02=4.081#se_FootstepGETA=4.657#brook_Footsteps02=4.657#se_FootstepGETA=5.231#brook_Footsteps=5.231#se_FootstepGETA=5.663#brook_Footsteps=5.663#se_FootstepGETA=6.395#mihawk_Sheath01=6.1#brook_Sheath=6.4#chopper_Punch02=6.75#zoro_Slash_Long=6.8#zoro_Slash=6.85#zoro_Slash=6.9#zoro_Slash=6.95#zoro_Slash_Long=7#CV_ryuma_BladeTail=0</t>
  </si>
  <si>
    <t>Particles/ryuma/ryuma_attack03_C</t>
  </si>
  <si>
    <t>僵尸之体</t>
  </si>
  <si>
    <t>mihawk_Sheath01=0.247#se_Unsheath=0.688#ryuma_Magic01=0.652#mihawk_Energy=0.652#nami_Cloth=1</t>
  </si>
  <si>
    <t>Particles/ryuma/ryuma_attack04_C</t>
  </si>
  <si>
    <t>nami_Cloth=0#Mr2_Swing01=0.159#mihawk_EnergyOut=0.159#buggy_SwingCircle02=0.205#Mr2_Swing01=0.269#Mr2_Swing01=0.345#mihawk_ObjFlying01=0.345#mihawk_EnergyOut=0.345#Mr2_Swing01=0.461#mihawk_ObjFlying01=0.512#Mr2_Swing01=0.668#mihawk_EnergyOut=0.668#Mr2_Swing01=0.751#mihawk_ObjFlying01=0.813#Mr2_Swing01=0.887#Mr2_Swing01=0.986#CV_ryuma_Again=0</t>
  </si>
  <si>
    <t>Hogbak_Magic02=0#morgan_pre=0#tashigi_Swing01=0#mihawk_ObjFlying01=0.638#Ace_Fire05=0.638#CV_ryuma_Straight=0</t>
  </si>
  <si>
    <t>266&amp;&amp;267</t>
  </si>
  <si>
    <t>chopper_Ultramove=0#brook_Charge01=0.668#zoro_Swing01=1.34#zoro_Slash_Heavy=2.084#borsalino_LightShining01=2.216#CV_ryuma_RushSlash=0</t>
  </si>
  <si>
    <t>Particles/ryuma/ryuma_attack07_C</t>
  </si>
  <si>
    <t>斩龙</t>
  </si>
  <si>
    <t>enel_SlowSight=0.387#zoro_Sheath_Begin=1.877#Swish_Rope_WebSwing1=2.158#zoro_Slash_Long=3#brook_MultiSlash=3.143#brook_Charge01=3.451#mihawk_ObjFlying01=3.733#enel_Electric04=3.904#mihawk_ObjFlying03=4.108#enel_Electric05=4.578#mihawk_ObjFlying05=4.807#smoke_SteamFlying06=5.12#enel_Electric05=5.5#crocodile_GndShakingSand=5.59</t>
  </si>
  <si>
    <t>Particles/ryuma/ryuma_attack08_C</t>
  </si>
  <si>
    <t>阿布萨罗姆</t>
  </si>
  <si>
    <t>nami_Cloth=0#franky_Cannon_Shoot=0.5</t>
  </si>
  <si>
    <t>怪人之拳</t>
  </si>
  <si>
    <t>se_Hyaline=0#se_Jump01=0.5#se_Jump02=0.703</t>
  </si>
  <si>
    <t>野性之力</t>
  </si>
  <si>
    <t>zoro_Jumpspin=0#se_FireBlast=0#se_Magic01=0.2</t>
  </si>
  <si>
    <t>死者之手</t>
  </si>
  <si>
    <t>usopp_Cloth=0#franky_Cannon_Shoot=0.618#franky_Cannon_Shoot=0.707#se_Impact02=0.869#se_Impact03=1</t>
  </si>
  <si>
    <t>墓地之王</t>
  </si>
  <si>
    <t>se_Horro=0#nami_Cloth=0#chopper_Ultramove=0#chopper_Ultramove=1.331#usopp_Cloth=1.881#nami_Cloth=2.175#zoro_Jumpspin=2.902#se_Rush01=3#smoke_SteamCharge02=3#se_Jump02=3.6#smoke_Swing02=3.8</t>
  </si>
  <si>
    <t>Particles/absalom/absalom_attack05_c</t>
  </si>
  <si>
    <t>邪恶舔舐</t>
  </si>
  <si>
    <t>se_Lick01=0.102#nami_Cloth=0.688#Mr2_Swing02=0.874#se_Hyaline=1.5#se_Lick02=1.867#se_Lick03=2.138</t>
  </si>
  <si>
    <t>Particles/absalom/absalom_attack06_c</t>
  </si>
  <si>
    <t>277&amp;&amp;278</t>
  </si>
  <si>
    <r>
      <rPr>
        <sz val="11"/>
        <color theme="1"/>
        <rFont val="宋体"/>
        <charset val="134"/>
      </rPr>
      <t>root&amp;&amp;</t>
    </r>
    <r>
      <rPr>
        <sz val="11"/>
        <color theme="1"/>
        <rFont val="宋体"/>
        <charset val="134"/>
      </rPr>
      <t>Bip001 Head</t>
    </r>
  </si>
  <si>
    <t>透明化</t>
  </si>
  <si>
    <t>se_Hyaline=0#Mr3_SwingObj=0.315</t>
  </si>
  <si>
    <t>隐秘突袭</t>
  </si>
  <si>
    <t>se_Jump01=0#se_Hyaline=0#smoke_SteamFlying01=1.2#Mr2_Swing02=1.817#Mr2_Swing01=2.2#se_Rush01=2.46#Mr2_Swing02=2.626#Mr2_Swing02=2.982#se_Rush01=3#Mr2_Swing02=3.257#usopp_Cloth=4.5#Mr2_Swing02=4.874#franky_Cannon_Shoot=5.189#usopp_Explosion=5.235</t>
  </si>
  <si>
    <t>Particles/absalom/absalom_attack08_c</t>
  </si>
  <si>
    <t>贝拉米</t>
  </si>
  <si>
    <t>smoke_Swing04=0.23#smoke_Swing04=0.53#smoke_Swing04=0.83</t>
  </si>
  <si>
    <t>弹簧狙击</t>
  </si>
  <si>
    <t>smoke_Swing04=0#kuzan_Swing02=0.118#bellamy_Spring01=0.247#Whoosh_TossObject3=0.247#kuzan_Swing02=0.664#Whoosh_TossObject3=0.8#bellamy_Spring02=0.914</t>
  </si>
  <si>
    <t>弹簧死拳</t>
  </si>
  <si>
    <t>smoke_Swing05=0#kuzan_Swing02=0.291#Mr2_Swing01=0.471#bellamy_Spring02=0.509#bellamy_Spring01=0.509</t>
  </si>
  <si>
    <t>强力压缩</t>
  </si>
  <si>
    <t>nami_Cloth=0#smoke_SteamFlying03=0.226#usopp_Draw=0.226#Whoosh_MeteorPassby03=0.579</t>
  </si>
  <si>
    <t>弹簧突袭</t>
  </si>
  <si>
    <t>Mr3_StabSwing=0.2#bellamy_Spring02=0.8#Mr3_SwingObj=0.987#kuzan_Swing02=1.072#franky_Windshoot=0.8#smoke_Swing03=2.21#smoke_SteamCharge02=2.21#bellamy_Spring02=2.22#se_Rock_Fall02=2.9#SE_012035=2.9</t>
  </si>
  <si>
    <t>Particles/bellamy/bellamy_attack05_c</t>
  </si>
  <si>
    <t>弹簧空袭</t>
  </si>
  <si>
    <t>smoke_Swing01=0#Mr3_StabSwing=0.746#smoke_Swing04=1#se_Jump01=1.2#bellamy_Spring02=1.2#Mr3_SwingObj=1.2#smoke_Swing01=1.717#Mr2_Swing01=2#se_Rock_Fall02=2.33#kuma_HitGround=2.33#SE_012035=2.33#se_Rock_Fall02=2.33</t>
  </si>
  <si>
    <t>Particles/bellamy/bellamy_attack06_c</t>
  </si>
  <si>
    <t>弹簧蓄力跳杀</t>
  </si>
  <si>
    <t>smoke_Swing04=0#bellamy_Spring02=0.2#Mr2_Swing01=0.542#Mr2_Swing01=0.773#kuzan_Swing02=1.018#Mr2_Swing01=1.2#se_Rock_Fall02=1.2</t>
  </si>
  <si>
    <t>弹簧跳人</t>
  </si>
  <si>
    <t>Mr3_StabSwing=0#franky_Windshoot=0.611#bellamy_Spring02=0.611#Whoosh_TossObject3=0.611#bellamy_Spring01=0.885#Whoosh_TossObject3=0.885#bellamy_Spring02=1.266#Whoosh_TossObject3=1.266#bellamy_Spring01=1.366#Whoosh_TossObject3=1.366#bellamy_Spring02=1.507#Whoosh_TossObject3=1.507#bellamy_Spring02=1.624#Whoosh_TossObject3=1.624#franky_Windshoot=1.6#smoke_SteamCharge02=2.6#Mr2_Swing01=2.805#SE_012035=3#se_Rock_Fall02=3</t>
  </si>
  <si>
    <t>Particles/bellamy/bellamy_attack08_c</t>
  </si>
  <si>
    <t>289&amp;&amp;290</t>
  </si>
  <si>
    <t>阿八</t>
  </si>
  <si>
    <t>六刀流“鞘足奇剑”</t>
  </si>
  <si>
    <t>se_Normalswing=0.73#se_Normalswing=1#se_Normalswing=1.16#se_Normalswing=1.36#se_Normalswing=1.8#se_Normalswing=1.9#se_Normalswing=2</t>
  </si>
  <si>
    <t>章鱼阿八“黑漆漆”</t>
  </si>
  <si>
    <t>smoke_Swing01=1#Foot_DeepWater_Wade01=1.35#zoro_Jumpspin=1.4#usopp_Tap=1.4</t>
  </si>
  <si>
    <t>六刀流“蛸壶之势·蛸开”</t>
  </si>
  <si>
    <t>hachi_BladesIn=0.1#smoke_Swing01=0.227#smoke_SteamCharge02=0.434#zoro_Slash_Heavy=1.424#smoke_Swing05=3.432#se_Slowswing=3.884</t>
  </si>
  <si>
    <t>Particles/hachi/hachi_attack03_C</t>
  </si>
  <si>
    <t>Mr.4</t>
  </si>
  <si>
    <t>本垒打</t>
  </si>
  <si>
    <t>3001</t>
  </si>
  <si>
    <t>smoke_Swing05=0.124#Mr4_BaseballHit=0.64</t>
  </si>
  <si>
    <t>400棒全垒打</t>
  </si>
  <si>
    <t>3002</t>
  </si>
  <si>
    <t>smoke_Swing05=0.378#se_Jump01=0.497#smoke_Swing01=0.89#smoke_Swing03=1.363#Mr4_BaseballHit=0.89#Mr4_BaseballHit=1.265#Mr4_BaseballHit=1.701</t>
  </si>
  <si>
    <t>4吨球棒！</t>
  </si>
  <si>
    <t>3003</t>
  </si>
  <si>
    <t>ultimate_Sign=0#Swish_Rope_WebSwing1=0.372#usopp_Cloth=0.747#smoke_Swing04=0.747</t>
  </si>
  <si>
    <t>Particles/mr4/mr4_attack03_C</t>
  </si>
  <si>
    <t>Mr.5</t>
  </si>
  <si>
    <t>鼻空想炮</t>
  </si>
  <si>
    <t>3101</t>
  </si>
  <si>
    <t>buggy_Funny02=0.286#usopp_Cloth=0.473#se_Flick=0.8</t>
  </si>
  <si>
    <t>鼻空想二连炮</t>
  </si>
  <si>
    <t>3102</t>
  </si>
  <si>
    <t>se_Jump01=0.1#buggy_Funny02=0.5#se_Flick=0.7#se_Flick=0.797</t>
  </si>
  <si>
    <t>吞食火药</t>
  </si>
  <si>
    <t>3103</t>
  </si>
  <si>
    <t>nami_Cloth=0#Mr5_Eat=0.334#Mr5_InnerBoom=0.7#Mr5_InnerSmog=0.7</t>
  </si>
  <si>
    <t>微风气息炸弹</t>
  </si>
  <si>
    <t>3104</t>
  </si>
  <si>
    <t>nami_Cloth=0.087#Mr5_MouthBlow=2.3#Swish_Weapon_PistolSpin=2.44#Mr5_ChamberSpin=2.44#Mr5_ChamberSpin=2.5#Mr5_ChamberSpin=2.4#Mr5_ChamberSpin=2.48#Mr5_ChamberSpin=2.42#Mr5_ChamberSpin=2.46#Mr5_ChamberSpin=2.52#Mr5_ChamberSpin=2.56#Mr5_ChamberSpin=2.6#Mr5_ChamberSpin=2.58#Mr5_ChamberSpin=2.62#Gun_Pistol_Shot04=4#Gun_Pistol_Shot04=4</t>
  </si>
  <si>
    <t>Particles/mr5/mr5_attack04_C</t>
  </si>
  <si>
    <t>瓦波尔</t>
  </si>
  <si>
    <t>双手大炮</t>
  </si>
  <si>
    <t>4401</t>
  </si>
  <si>
    <t>franky_Machinery02=0#franky_Cannon_Shoot=0.7#franky_Cannon_Shoot=0.832</t>
  </si>
  <si>
    <t>吞食</t>
  </si>
  <si>
    <t>4402</t>
  </si>
  <si>
    <t>kuma_PopOut=0#Mr3_BigSwing=0.224#se_MoveEcho=1.233#buggy_Funny03=1.45#chopper_Bottlecrash=1.45#buggy_Charge01=2.2#buggy_Funny02=3.315#usopp_Tap=3.373#Mr5_Eat=3.549</t>
  </si>
  <si>
    <t>Particles/wapol/wapol_attack02_a_C</t>
  </si>
  <si>
    <t>咀嚼</t>
  </si>
  <si>
    <t>4403</t>
  </si>
  <si>
    <t>nami_Cloth=0#wapol_Eat01=0.689#wapol_Eat02=0.689#chopper_Heal02=2.226</t>
  </si>
  <si>
    <t>310&amp;&amp;685</t>
  </si>
  <si>
    <t>root&amp;&amp;root</t>
  </si>
  <si>
    <t>舌头大炮</t>
  </si>
  <si>
    <t>4404</t>
  </si>
  <si>
    <t>se_Jump01=0.2#nami_Cloth=0.531#franky_Machinery_Gear01=0.9#franky_Cannon_Shoot=1.5</t>
  </si>
  <si>
    <t>miss.黄金周</t>
  </si>
  <si>
    <t>调配颜色，梦想之七色彩虹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</si>
  <si>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301</t>
    </r>
  </si>
  <si>
    <t>buggy_Funny02=0#buggy_Funny01=0.1#se_Jump01=0.6#chopper_Luck=0.6#chopper_Move01=0.6</t>
  </si>
  <si>
    <t>调配颜色，爆笑之黄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</si>
  <si>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302</t>
    </r>
  </si>
  <si>
    <t>buggy_Funny02=0#buggy_Funny01=0.1#Mr2_Swing02=0.234#Foot_GoopSlime4_Run15=0.234#nami_Cloth=0.487#Foot_GoopSlime1_Land01=0.503#Foot_GoopSlime4_Run15=0.6</t>
  </si>
  <si>
    <t>调配颜色，悠闲之绿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</si>
  <si>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303</t>
    </r>
  </si>
  <si>
    <t>buggy_Funny02=0#buggy_Funny01=0.1#nami_Cloth=0.234#Foot_GoopSlime4_Run15=0.234#chopper_JumpThrow=0.5#Mr2_Swing02=0.874</t>
  </si>
  <si>
    <t>调配颜色，沉默之紫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</si>
  <si>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304</t>
    </r>
  </si>
  <si>
    <t>nami_Cloth=0#buggy_Funny02=0.2#buggy_Funny01=0.3#buggy_Funny01=0.472#WetBrush=0.686#chopper_JumpThrow=1.7#se_Jump02=1.8#Foot_GoopSlime1_Land02=2.306</t>
  </si>
  <si>
    <t>Particles/goldenweek/goldenweek_attack04_c</t>
  </si>
  <si>
    <t>223&amp;&amp;224</t>
  </si>
  <si>
    <r>
      <rPr>
        <sz val="11"/>
        <color theme="1"/>
        <rFont val="等线"/>
        <charset val="134"/>
      </rPr>
      <t>root</t>
    </r>
    <r>
      <rPr>
        <sz val="11"/>
        <color theme="1"/>
        <rFont val="等线"/>
        <charset val="134"/>
      </rPr>
      <t>&amp;&amp;bimao</t>
    </r>
  </si>
  <si>
    <t>卡古</t>
  </si>
  <si>
    <t>长颈鹿岚脚</t>
  </si>
  <si>
    <t>4309</t>
  </si>
  <si>
    <t>nami_Cloth=0#se_Jump01=0.1#se_Jump02=0.196#zoro_Jumpspin=0.351#sanji_Kick_Heavy=0.423#cp9_StormKick=0.5</t>
  </si>
  <si>
    <t>克洛卡斯</t>
  </si>
  <si>
    <t>101201</t>
  </si>
  <si>
    <t>鱼叉枪连击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</si>
  <si>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01202</t>
    </r>
  </si>
  <si>
    <t>克罗克达尔</t>
  </si>
  <si>
    <t>蝎毒针</t>
  </si>
  <si>
    <t>3501</t>
  </si>
  <si>
    <t>CrocodileCZ_attack_swing=0.12#CrocodileCZ_attack_sand=0.42#CrocodileCZ_sand_hit=0.63#CrocodileCZ_sand_hit=0.81#CrocodileCZ_sand_hit=1</t>
  </si>
  <si>
    <t>化沙</t>
  </si>
  <si>
    <t>3502</t>
  </si>
  <si>
    <t>CrocodileCZ_sandhide=0.13</t>
  </si>
  <si>
    <t>沙暴</t>
  </si>
  <si>
    <t>3503</t>
  </si>
  <si>
    <t>CrocodileCZ_sandstorm_swing=0.38#CrocodileCZ_sand_hit=0.5#CrocodileCZ_sand_hit=0.8#CrocodileCZ_sand_hit=1.28#CrocodileCZ_sand_hit=1.77#CrocodileCZ_sand_hit=2.28#CrocodileCZ_sand_hit=2.58#CrocodileCZ_sandstorm_storm=0.45</t>
  </si>
  <si>
    <r>
      <rPr>
        <sz val="11"/>
        <color theme="1"/>
        <rFont val="宋体"/>
        <charset val="134"/>
      </rPr>
      <t>P</t>
    </r>
    <r>
      <rPr>
        <sz val="11"/>
        <color theme="1"/>
        <rFont val="宋体"/>
        <charset val="134"/>
      </rPr>
      <t>oint001</t>
    </r>
  </si>
  <si>
    <t>#CV_TEMP_crocodile_Sandstorm=0</t>
  </si>
  <si>
    <t>沙漠向日葵【沙刃手】</t>
  </si>
  <si>
    <t>3504</t>
  </si>
  <si>
    <t>CrocodileCZ_desertslash_sandcast01=0.192#CrocodileCZ_desertslash_sandcast02=1.38#CrocodileCZ_sand_hit=0.44#CrocodileCZ_sand_hit=0.63#CrocodileCZ_sand_hit=0.86#CrocodileCZ_sand_hit=1.04#CrocodileCZ_sand_hit=1.25#CrocodileCZ_sand_hit=1.47#CrocodileCZ_sand_hit=1.62#CrocodileCZ_sand_hit=1.85#CrocodileCZ_sand_hit=2.04#CV_CrocodileCZ_desertslash=0.76</t>
  </si>
  <si>
    <t>#CV_TEMP_crocodile_Slash=0</t>
  </si>
  <si>
    <t>弦月形沙丘</t>
  </si>
  <si>
    <t>3505</t>
  </si>
  <si>
    <t>CrocodileCZ_newmoonsand_swing=0.31#CrocodileCZ_newmoonsand_slash=0.6#CrocodileCZ_newmoonsand_sand=1.8#punch_hit_giant01=2.95#CV_CrocodileCZ_newmoonsand=1.21</t>
  </si>
  <si>
    <t>Particles/crocodile/crocodile_attack05_c</t>
  </si>
  <si>
    <t>#CV_TEMP_crocodile_Newmoon=1</t>
  </si>
  <si>
    <t>沙漠金刚宝刀</t>
  </si>
  <si>
    <t>3506</t>
  </si>
  <si>
    <t>CV_CrocodileCZ_desertslashdiamond=0.5#CrocodileCZ_sand_hit=0.63#CrocodileCZ_sand_hit=0.81#CrocodileCZ_sand_hit=1.04#CrocodileCZ_desertslashdiamond=0.5#se_Swordheavy_Hit=0.65#se_Swordheavy_Hit=0.7#se_Sword_Hit=0.9</t>
  </si>
  <si>
    <t>#CV_TEMP_crocodile_MetalSlash=0</t>
  </si>
  <si>
    <t>沙尘暴</t>
  </si>
  <si>
    <t>3507</t>
  </si>
  <si>
    <t>CrocodileCZ_superstorm=0.37#CrocodileCZ_sand_hit=0.62#CrocodileCZ_sand_hit=0.92#CrocodileCZ_sand_hit=1.21#CrocodileCZ_sand_hit=1.53#CrocodileCZ_sand_hit=1.81#CrocodileCZ_sand_hit=2.1#CrocodileCZ_sand_hit=2.39#CrocodileCZ_sand_hit=2.63#CV_CrocodileCZ_superstorm=0.2</t>
  </si>
  <si>
    <t>Particles/crocodile/crocodile_attack07_c</t>
  </si>
  <si>
    <t>#CV_TEMP_crocodile_SandstormHeavy=0</t>
  </si>
  <si>
    <t>侵蚀轮回</t>
  </si>
  <si>
    <t>3508</t>
  </si>
  <si>
    <t>CrocodileCZ_samsara_hitground=0.63#CrocodileCZ_samsara_sandcast01=1.8#CrocodileCZ_samsara_sandcast02=3.44#CV_CrocodileCZ_samsara=0.34#se_Sword_Hit=3.9#se_Swordheavy_Hit=4.2#se_Swordheavy_Hit=4.5#se_Punch_FaceHit=4.8#se_Punch_FaceHit=5.2#se_Punch_FaceHit=5.5#se_Punch_FaceHit=5.8#se_Swordheavy_Hit=6.4</t>
  </si>
  <si>
    <t>Particles/crocodile/crocodile_attack08_c</t>
  </si>
  <si>
    <t>#CV_TEMP_crocodile_ErodeSamsara=2</t>
  </si>
  <si>
    <t>艾尼路</t>
  </si>
  <si>
    <t>艾尼路普攻</t>
  </si>
  <si>
    <t>3601</t>
  </si>
  <si>
    <t>EnelCZ_attack_swing01=0.13#EnelCZ_attack_swing02=0.28#EnelCZ_attack_spark=0.58</t>
  </si>
  <si>
    <t>艾尼路雷鸟</t>
  </si>
  <si>
    <t>3602</t>
  </si>
  <si>
    <t>EnelCZ_thunderbird_call=0.31#EnelCZ_thunderbird_swing=1.11#EnelCZ_thunderbird_hit=1.43#punch_hit_small01=1.5#CV_EnelCZ_thunderbird=0.18</t>
  </si>
  <si>
    <t>Bip001 Spine1</t>
  </si>
  <si>
    <t>艾尼路雷龙</t>
  </si>
  <si>
    <t>3603</t>
  </si>
  <si>
    <t>EnelCZ_thunderdragon_swing=0.35#EnelCZ_thunderdragon_spark01=0.95#EnelCZ_thunderdragon_taiko=0.95#EnelCZ_thunderdragon_taiko=1.23#EnelCZ_thunderdragon_dragon=1.34#EnelCZ_thunderdragon_crash=2.61#EnelCZ_thunderdragon_hit=3.18#punch_hit_medium01=3.19#CV_EnelCZ_thunderdragon01=0.38#CV_EnelCZ_thunderdragon02=3.11</t>
  </si>
  <si>
    <t>Particles/enel/enel_attack03_c</t>
  </si>
  <si>
    <t>363&amp;&amp;364</t>
  </si>
  <si>
    <t>root&amp;&amp;Bip001 Spine1</t>
  </si>
  <si>
    <t>艾尼路万雷</t>
  </si>
  <si>
    <t>EnelCZ_superthunder_whoosh=0.22#EnelCZ_superthunder_thunder=0.94#EnelCZ_superthunder_spark=2.89#EnelCZ_superthunder_spark=3.88#EnelCZ_superthunder_hit01=2.79#EnelCZ_superthunder_hit01=2.95#EnelCZ_superthunder_hit01=3.67#EnelCZ_superthunder_hit01=4.05#EnelCZ_superthunder_hit02=5.03#punch_hit_giant01=5.14#CV_EnelCZ_superthunder=0.78#EnelCZ_god_spark=6.73</t>
  </si>
  <si>
    <t>Particles/enel/enel_attack04_c</t>
  </si>
  <si>
    <t>365&amp;&amp;366</t>
  </si>
  <si>
    <t>root&amp;&amp;Bip001 hand</t>
  </si>
  <si>
    <t>艾尼路雷神</t>
  </si>
  <si>
    <t>EnelCZ_god_01=0#EnelCZ_god_02=1.19#EnelCZ_god_03=2.19#CV_EnelCZ_god01=2.78#EnelCZ_god_04=3.56#EnelCZ_god_05=5.22#EnelCZ_god_spark=7.54#CV_EnelCZ_god02=7.58#EnelCZ_god_06=7.69#EnelCZ_god_07=9.02#EnelCZ_god_08=10.78#EnelCZ_god_spark=14.51</t>
  </si>
  <si>
    <t>Particles/enel/enel_Battack13_C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</si>
  <si>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77</t>
    </r>
    <r>
      <rPr>
        <sz val="11"/>
        <color theme="1"/>
        <rFont val="等线"/>
        <charset val="134"/>
      </rPr>
      <t>&amp;&amp;57</t>
    </r>
    <r>
      <rPr>
        <sz val="11"/>
        <color theme="1"/>
        <rFont val="等线"/>
        <charset val="134"/>
      </rPr>
      <t>8</t>
    </r>
    <r>
      <rPr>
        <sz val="11"/>
        <color theme="1"/>
        <rFont val="等线"/>
        <charset val="134"/>
      </rPr>
      <t>&amp;&amp;57</t>
    </r>
    <r>
      <rPr>
        <sz val="11"/>
        <color theme="1"/>
        <rFont val="等线"/>
        <charset val="134"/>
      </rPr>
      <t>8</t>
    </r>
    <r>
      <rPr>
        <sz val="11"/>
        <color theme="1"/>
        <rFont val="等线"/>
        <charset val="134"/>
      </rPr>
      <t>&amp;&amp;57</t>
    </r>
    <r>
      <rPr>
        <sz val="11"/>
        <color theme="1"/>
        <rFont val="等线"/>
        <charset val="134"/>
      </rPr>
      <t>9</t>
    </r>
  </si>
  <si>
    <t>root&amp;&amp;Bip001 HeadNub&amp;&amp;Bip001 Spine1&amp;&amp;Point008</t>
  </si>
  <si>
    <t>艾尼路雷迎</t>
  </si>
  <si>
    <t>3607</t>
  </si>
  <si>
    <t>CV_EnelCZ_leiying=0.18#EnelCZ_leiying_01=0.79#whooshlarge_general=0.55#EnelCZ_leiying_02=1.55#EnelCZ_leiying_03=3.98#EnelCZ_leiying_04=4.3#EnelCZ_leiying_hit=7.24#punch_hit_giant01=7.54#EnelCZ_god_spark=9.4</t>
  </si>
  <si>
    <t>Particles/enel/enel_attack07_c</t>
  </si>
  <si>
    <t>艾尼路延展_普攻</t>
  </si>
  <si>
    <t>300801</t>
  </si>
  <si>
    <t>EnelCZ_bianshenattack=0.52</t>
  </si>
  <si>
    <t>艾尼路延展_神之制裁</t>
  </si>
  <si>
    <t>300803</t>
  </si>
  <si>
    <t>CV_EnelCZ_judgment=0.54#EnelCZ_judgment=1.07#punch_hit_medium01=1.25#EnelCZ_thunderbird_swing=0.9</t>
  </si>
  <si>
    <t>373&amp;&amp;374</t>
  </si>
  <si>
    <t>root&amp;&amp;hand</t>
  </si>
  <si>
    <t>铁块·狼牙</t>
  </si>
  <si>
    <t>3801</t>
  </si>
  <si>
    <t>Mr2_Swing01=0.2#Mr2_Swing02=0.2#Mr2_Swing01=0.55#Mr2_Swing02=0.55</t>
  </si>
  <si>
    <t>指枪·十指枪</t>
  </si>
  <si>
    <t>3802</t>
  </si>
  <si>
    <t>usopp_Cloth=0#zoro_Slash_Long=0.351#cp9_FingerGun=0.351#cp9_FingerGun=0.4#cp9_FingerGun=0.557#cp9_FingerGun=0.56</t>
  </si>
  <si>
    <t>铁块拳法·狼弹</t>
  </si>
  <si>
    <t>3803</t>
  </si>
  <si>
    <t>se_Werewolf_Howl=0#se_Jump02=1.36#se_Jump02=1.662#zoro_Jumpspin=2.217#se_Jump02=2.302#smoke_SteamCharge02=2.405#franky_Punch_Heavy=3.5#kuma_HitGround=3.9#SE_012035=4.114#se_Rock_Fall02=4.114</t>
  </si>
  <si>
    <t>Particles/jyabura/jyabura_attack03_c</t>
  </si>
  <si>
    <t>暴风脚·孤狼</t>
  </si>
  <si>
    <t>3804</t>
  </si>
  <si>
    <t>usopp_Cloth=0#se_Jump01=0.2#sanji_Kick=0.3#sanji_Kick=0.4#cp9_StormKick=0.45#cp9_StormKick=0.6#se_Rock_Fall02=0.6#cp9_StormKick=0.75#se_Rock_Fall02=0.75#cp9_StormKick=1#se_Rock_Fall02=1</t>
  </si>
  <si>
    <t>暴风脚·群狼连星</t>
  </si>
  <si>
    <t>3805</t>
  </si>
  <si>
    <t>se_Jump01=0#usopp_Cloth=0.117#sanji_Kick=0.573#sanji_Kick_Heavy=0.648#cp9_StormKick=0.855#cp9_GroundImpact=0.855#cp9_StormKick=1.2#cp9_GroundImpact=1.2#cp9_StormKick=1.495#cp9_GroundImpact=1.495#cp9_StormKick=1.74#cp9_GroundImpact=1.74</t>
  </si>
  <si>
    <t>重步狼</t>
  </si>
  <si>
    <t>morgan_pre=1.068#smoke_SteamFlying01=1.3#chopper_Punch02=2.4#franky_Punch_Heavy=2.45#nami_Wind_Push=2.6#SE_012035=2.89#se_Rock_Fall02=3</t>
  </si>
  <si>
    <t>Particles/jyabura/jyabura_attack09_c</t>
  </si>
  <si>
    <t>435&amp;&amp;436</t>
  </si>
  <si>
    <t>root&amp;&amp;Bip001 R Hand</t>
  </si>
  <si>
    <t>狼芭式·群狼乱舞</t>
  </si>
  <si>
    <t>3807</t>
  </si>
  <si>
    <t>franky_Wind_Gathering=0#Mr2_Swing02=2.7#se_Jump02=2.834#smoke_SteamCharge02=2.934#cp9_StormKick=3.595#se_Jump02=3.757#cp9_GroundImpact=3.757#cp9_StormKick=3.995#se_Jump02=4.159#cp9_GroundImpact=4.159#cp9_StormKick=4.426#se_Jump02=4.599#cp9_GroundImpact=4.599#cp9_StormKick=4.778#se_Jump02=4.935#cp9_GroundImpact=4.935#se_Jump02=5.46#zoro_Jumpspin=5.626#cp9_GroundImpact=5.626#cp9_FingerGun=5.626#zoro_Jumpspin=6.1#zoro_Jumpspin=6.223#cp9_GroundImpact=6.223#cp9_FingerGun=6.223#mihawk_ObjFlying01=6.842#smoke_SteamCharge01=7.219#se_Jump02=8.26#chopper_Bottlecrash=8.5#sanji_Kick_Heavy=8.5#franky_Punch_Heavy=8.684#smoke_HeavyHit=8.684#kuma_HitGround=9.228#se_Rock_Fall02=9.23</t>
  </si>
  <si>
    <t>Particles/jyabura/jyabura_attack08_c</t>
  </si>
  <si>
    <t>狼吼</t>
  </si>
  <si>
    <t>3808</t>
  </si>
  <si>
    <t>se_Werewolf_Howl=0.085#vivi_Magic02=0#Pickup_Misc14=0.447#morgan_pre=0.447</t>
  </si>
  <si>
    <t>大熊</t>
  </si>
  <si>
    <t>普攻-大熊</t>
  </si>
  <si>
    <t>3901</t>
  </si>
  <si>
    <t>kuma_LaserBuzz01=0.3#kuma_Laser02=0.3#kuma_LaserShoot01=0.3#kuma_Laser01=0.34</t>
  </si>
  <si>
    <t>392&amp;&amp;393&amp;&amp;394</t>
  </si>
  <si>
    <t>镭射激光</t>
  </si>
  <si>
    <t>3902</t>
  </si>
  <si>
    <t>kumaCZ_lazer_cast=0.13#kumaCZ_lazer_hit=1.04#punch_hit_medium01=1.04</t>
  </si>
  <si>
    <t>395&amp;&amp;396</t>
  </si>
  <si>
    <t>root&amp;&amp;Bone009</t>
  </si>
  <si>
    <t>压力炮</t>
  </si>
  <si>
    <t>3903</t>
  </si>
  <si>
    <t>kumaCZ_cannon_swing=0.17#kumaCZ_cannon_hit=0.46#CV_kumaCZ_cannon=0</t>
  </si>
  <si>
    <t>#CV_TEMP_kuma_PressureCannon=0</t>
  </si>
  <si>
    <t>阴愈</t>
  </si>
  <si>
    <t>3904</t>
  </si>
  <si>
    <t>kumaCZ_healing_whoosh=0#kumaCZ_healing_swing01=0.71#kumaCZ_healing_swing02=1.33#kumaCZ_healing_swing01=1.71#kumaCZ_healing_healing=1.76#kumaCZ_healing_swing02=2.31#CV_kumaCZ_healing=0.99</t>
  </si>
  <si>
    <r>
      <rPr>
        <sz val="11"/>
        <color theme="1"/>
        <rFont val="等线"/>
        <charset val="134"/>
      </rPr>
      <t>Particles/kuma/kuma_attack0</t>
    </r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_c</t>
    </r>
  </si>
  <si>
    <t>拍飞</t>
  </si>
  <si>
    <t>3905</t>
  </si>
  <si>
    <t>kumaCZ_hitfly_book=0.19#kumaCZ_hitfly_swing=1.18#CV_kumaCZ_hitfly=0</t>
  </si>
  <si>
    <t>Particles/kuma/kuma_attack05_c</t>
  </si>
  <si>
    <t>#CV_TEMP_kuma_ClapFlying=0</t>
  </si>
  <si>
    <t>阴愈伤弹</t>
  </si>
  <si>
    <t>3906</t>
  </si>
  <si>
    <t>whooshlarge_slashly02=0.1#kumaCZ_sadbubble_cloth=1.04#kumaCZ_sadbubble_bubble=1.77#whooshlarge_slashly03=2.89#kumaCZ_sadbubble_swing=3.68#kumaCZ_sadbubble_explosion=4#CV_kumaCZ_sadbubble=0#punch_hit_giant01=4</t>
  </si>
  <si>
    <t>Particles/kuma/kuma_attack06_c</t>
  </si>
  <si>
    <t>#CV_TEMP_kuma_HealingCannon=1</t>
  </si>
  <si>
    <t>猛推压力炮</t>
  </si>
  <si>
    <t>3907</t>
  </si>
  <si>
    <t>kumaCZ_bubblecannon_step=0.67#kumaCZ_bubblecannon_step=1.56#kumaCZ_bubblecannon_bubble=2.8#CV_kumaCZ_bubblecannon=1.11#punch_hit_small01=2.97#punch_hit_small01=3.05#punch_hit_small01=3.13#punch_hit_small01=3.2#punch_hit_small01=3.28#punch_hit_small01=3.36#punch_hit_small01=3.44#punch_hit_small01=3.52#punch_hit_small01=3.6#punch_hit_small01=3.68#punch_hit_small01=3.75#punch_hit_small01=3.83#punch_hit_small01=3.91#punch_hit_small01=3.99</t>
  </si>
  <si>
    <t>#CV_TEMP_kuma_PressureCannonSSS=1</t>
  </si>
  <si>
    <t>熊掌冲击</t>
  </si>
  <si>
    <t>3908</t>
  </si>
  <si>
    <t>kumaCZ_bubblecrash_bubble=1.43#kumaCZ_bubblecrash_cast=5.62#lightslash_hit=6.34#kumaCZ_bubblecrash_hit=7.21#punch_hit_giant01=7.21#CV_bubblecrash=4.1</t>
  </si>
  <si>
    <r>
      <rPr>
        <sz val="11"/>
        <color theme="1"/>
        <rFont val="等线"/>
        <charset val="134"/>
      </rPr>
      <t>Particles/kuma/kuma_attack0</t>
    </r>
    <r>
      <rPr>
        <sz val="11"/>
        <color theme="1"/>
        <rFont val="等线"/>
        <charset val="134"/>
      </rPr>
      <t>8</t>
    </r>
    <r>
      <rPr>
        <sz val="11"/>
        <color theme="1"/>
        <rFont val="等线"/>
        <charset val="134"/>
      </rPr>
      <t>_c</t>
    </r>
  </si>
  <si>
    <t>#CV_TEMP_kuma_Impact=2</t>
  </si>
  <si>
    <t>赤犬</t>
  </si>
  <si>
    <t>赤犬普攻</t>
  </si>
  <si>
    <t>akainuCZ_attack_punchwhoosh01=0.24#akainuCZ_attack_punchwhoosh01=0.52#akainuCZ_attack_punchwhoosh02=0.91#akainuCZ_attack_punchwhoosh03=1.31#akainuCZ_attack_punchwhoosh04=1.96#punch_hit_small01=0.38#punch_hit_small01=0.61#punch_hit_small01=1#punch_hit_small01=1.44#punch_hit_medium01=2.01</t>
  </si>
  <si>
    <t>犬啮红莲</t>
  </si>
  <si>
    <t>akainuCZ_break_fireup=0#akainuCZ_break_cast=0.85#punch_hit_medium01=1.01</t>
  </si>
  <si>
    <r>
      <rPr>
        <sz val="11"/>
        <color theme="1"/>
        <rFont val="宋体"/>
        <charset val="134"/>
      </rPr>
      <t>8</t>
    </r>
    <r>
      <rPr>
        <sz val="11"/>
        <color theme="1"/>
        <rFont val="宋体"/>
        <charset val="134"/>
      </rPr>
      <t>23&amp;&amp;823</t>
    </r>
  </si>
  <si>
    <t>冥狗</t>
  </si>
  <si>
    <t>akainuCZ_evildog_firedown=0.72#akainuCZ_evildog_magmamove01=1.02#akainuCZ_evildog_magmamove02=2.41#akainuCZ_evildog_magmaexplode=3.67#akainuCZ_evildog_firehand=4.29#akainuCZ_evildog_hit=5.62#akainuCZ_magmabuff01=6.87#CV_akainuCZ_evildog=0.21</t>
  </si>
  <si>
    <t>Particles/sakazuki/sakazuki_attack04_C</t>
  </si>
  <si>
    <t>大喷火</t>
  </si>
  <si>
    <t>akainuCZ_bigflame_cast=0.7#punch_hit_medium01=0.84#CV_akainuCZ_bigflame=0.08#punch_hit_medium01=0.84</t>
  </si>
  <si>
    <t>火山</t>
  </si>
  <si>
    <t>akainuCZ_volcano_hitground=0.88#akainuCZ_volcano_cast=1.64#smallfire_hit=1.85#smallfire_hit=1.94#smallfire_hit=2.07#smallfire_hit=2.2#smallfire_hit=2.3#smallfire_hit=2.44#smallfire_hit=2.6#smallfire_hit=2.74#punch_hit_medium01=1.08</t>
  </si>
  <si>
    <t>绝对的正义</t>
  </si>
  <si>
    <t>akainuCZ_absolutelyjustice_fireup=0.17#akainuCZ_absolutelyjustice_jump=1.11#akainuCZ_absolutelyjustice_firewhoosh=2.57#akainuCZ_absolutelyjustice_firecast=3.32#smallfire_hit=3.87#smallfire_hit=3.98#smallfire_hit=4.1#smallfire_hit=4.23#smallfire_hit=4.33#smallfire_hit=4.46#smallfire_hit=4.62#smallfire_hit=4.77#smallfire_hit=4.92</t>
  </si>
  <si>
    <t>Particles/sakazuki/sakazuki_attack07_C</t>
  </si>
  <si>
    <t>415&amp;&amp;415&amp;&amp;415</t>
  </si>
  <si>
    <t>Bip001 R Hand&amp;&amp;Bip001 R Forearm&amp;&amp;Bip001 R UpperArm</t>
  </si>
  <si>
    <t>流星火山</t>
  </si>
  <si>
    <t>akainuCZ_volcanoliuxing_firearm=0.39#akainuCZ_volcanoliuxing_whoosh=2.71#akainuCZ_volcanoliuxing_shootL=3.92#akainuCZ_volcanoliuxing_shootR=4.1#akainuCZ_volcanoliuxing_shootL=4.27#akainuCZ_volcanoliuxing_shootR=4.45#akainuCZ_volcanoliuxing_shootL=4.61#akainuCZ_volcanoliuxing_shootR=4.8#akainuCZ_volcanoliuxing_falldown=5.22#akainuCZ_volcanoliuxing_hit=6.97#akainuCZ_volcanoliuxing_hit=7.22#akainuCZ_volcanoliuxing_hit=7.48#akainuCZ_volcanoliuxing_hit=7.77#akainuCZ_volcanoliuxing_hit=8.04#akainuCZ_volcanoliuxing_hit=8.29#akainuCZ_volcanoliuxing_hit=8.58#akainuCZ_volcanoliuxing_hit=8.87#akainuCZ_volcanoliuxing_hit=9.13#akainuCZ_volcanoliuxing_hit=9.36#akainuCZ_volcanoliuxing_hit=9.63#akainuCZ_magmabuff01=11.06#CV_akainuCZ_volcanoliuxing=0.09</t>
  </si>
  <si>
    <t>Particles/sakazuki/sakazuki_attack08_C</t>
  </si>
  <si>
    <t>417&amp;&amp;417</t>
  </si>
  <si>
    <t>Bip001 R Hand&amp;&amp;Bip001 L Hand</t>
  </si>
  <si>
    <t>佳妮法</t>
  </si>
  <si>
    <t>卡里法普攻</t>
  </si>
  <si>
    <t>nami_Cloth=0#Mr2_Swing02=0.373#sanji_Kick=0.373#cp9_StormKick=0.413#nami_Cloth=1.088#sanji_Kick=1.398#Mr2_Swing02=1.398#cp9_StormKick=1.398</t>
  </si>
  <si>
    <t>死亡指枪·鞭</t>
  </si>
  <si>
    <t>crocodile_Obj_Flying=0#brook_Footsteps=0.925#brook_Footsteps=1.056#se_Jump02=1.2#zoro_Jumpspin=1.316#enel_SlowSight=1.24#cp9_FingerGun=1.877#smoke_SteamFlying08=2.15#se_Jump01=2.582#SE_012035=2.731#Explo_Rock1=2.8#CV_kalifa_DFGwhip=0</t>
  </si>
  <si>
    <t>Particles/kalifa/kalifa_attack02_c</t>
  </si>
  <si>
    <t>肥皂羊云·放松泡</t>
  </si>
  <si>
    <t>nami_Cloth=0#kalifa_popShoot=0.298#kalifa_pop02=0.535#kalifa_pop01=0.535#kalifa_popShoot=0.829#kalifa_pop02=1.2#kalifa_pop01=1.2#kalifa_popShoot=1.653#kalifa_pop02=1.866#kalifa_pop01=1.866#CV_kalifa_RelaxPop=0</t>
  </si>
  <si>
    <t>月步·荆棘之路</t>
  </si>
  <si>
    <t>smoke_SteamCharge02=0#cp9_StormKick=0.679#se_Jump02=0.679#cp9_StormKick=1.328#se_Jump01=1.328#cp9_GroundImpact=2.057#Mr2_Swing02=2.676#Mr2_Attacks01=2.7#Mr2_Attacks01_Short=3.64#Whoosh_MeteorPassby03=3.779#tashigi_Swing01=4.442#se_WhipSwing01=5.053#Mr2_AttackHeavy01=5.04#SE_012035=5.53#se_Rock_Fall02=5.53#CV_kalifa_BramblesRoad=0</t>
  </si>
  <si>
    <t>Particles/kalifa/kalifa_attack04_c</t>
  </si>
  <si>
    <t>清洁</t>
  </si>
  <si>
    <t>kalifa_pop02=0#kalifa_pop01=0.4#kalifa_pop02=0.8#coby_buff01=1.6#vivi_Magic03=2.3</t>
  </si>
  <si>
    <t>变身！肥皂！</t>
  </si>
  <si>
    <t>kalifa_pop01=0#kalifa_Soup=0#kalifa_pop01=0.74#kalifa_pop01=1.488#kalifa_MagicClean=2.756</t>
  </si>
  <si>
    <t>束缚</t>
  </si>
  <si>
    <t>nami_Cloth=0#Mr2_Swing02=0.374#Mr2_Swing01=0.4#se_WhipSwing01=0.412#usopp_Draw=0.534</t>
  </si>
  <si>
    <t>羊云海啸</t>
  </si>
  <si>
    <t>nami_Cloth=0#kalifa_pop02=0.2#kalifa_Soup=0.691#nami_Cloth=1.6#Mr2_Swing02=1.874#kalifa_Soup=2.492#usopp_Cloth=4#se_OceanWaveIn=4.5#se_OceanWaveOut=5.5#se_OceanWaveFade=8.228#CV_kalifa_BigOceanWave=3</t>
  </si>
  <si>
    <t>Particles/kalifa/kalifa_attack08_c</t>
  </si>
  <si>
    <t>Bip001 L Hand</t>
  </si>
  <si>
    <t>卡普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</si>
  <si>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201</t>
    </r>
  </si>
  <si>
    <t>GarpCZ_attack_swing01=0.17#GarpCZ_attack_swing01=0.63#GarpCZ_attack_swing02=1.12#punch_hit_small01=0.4#punch_hit_small01=0.88#punch_hit_small01=1.35</t>
  </si>
  <si>
    <t>爱的铁拳</t>
  </si>
  <si>
    <r>
      <rPr>
        <sz val="11"/>
        <color theme="1"/>
        <rFont val="宋体"/>
        <charset val="134"/>
      </rPr>
      <t>4202</t>
    </r>
  </si>
  <si>
    <t>GarpCZ_lovepunch_breath=0.59#GarpCZ_lovepunch_whoosh=1.34#GarpCZ_lovepunch_hit=1.97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</si>
  <si>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garp/garp_attack02_c</t>
    </r>
  </si>
  <si>
    <t>拳骨·流星群</t>
  </si>
  <si>
    <r>
      <rPr>
        <sz val="11"/>
        <color theme="1"/>
        <rFont val="宋体"/>
        <charset val="134"/>
      </rPr>
      <t>4203</t>
    </r>
  </si>
  <si>
    <t>GarpCZ_bomb_swing=0.61#whooshmedium01=1.45#GarpCZ_bomb_throw=1.91#GarpCZ_bomb_throw=2.31#GarpCZ_bomb_throw=2.6#GarpCZ_bomb_throw=2.92#GarpCZ_bomb_throw=3.18#GarpCZ_bomb_throw=3.35#GarpCZ_bomb_throw=3.51#GarpCZ_bomb_throw=3.67#GarpCZ_bomb_throw=3.84#GarpCZ_bomb_explosion=4.24#GarpCZ_bomb_explosion=4.4#GarpCZ_bomb_explosion=4.6#GarpCZ_bomb_explosion=5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</si>
  <si>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garp/garp_attack03_c</t>
    </r>
  </si>
  <si>
    <t>453&amp;&amp;454</t>
  </si>
  <si>
    <t>wuqil&amp;&amp;wuqir</t>
  </si>
  <si>
    <t>特大铁球</t>
  </si>
  <si>
    <r>
      <rPr>
        <sz val="11"/>
        <color theme="1"/>
        <rFont val="宋体"/>
        <charset val="134"/>
      </rPr>
      <t>4204</t>
    </r>
  </si>
  <si>
    <t>GarpCZ_outsizeball_punch=0.27#GarpCZ_outsizeball_cloth=0.73#GarpCZ_outsizeball_ball=1.06#whooshmedium01=2.44#GarpCZ_bomb_throw=3.71#whooshlarge_fly01=3.83#GarpCZ_outsizeball_hit=4.9#CV_GarpCZ_outsizeball=1.72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</si>
  <si>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garp/garp_attack04_c</t>
    </r>
  </si>
  <si>
    <t>抱摔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</si>
  <si>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205</t>
    </r>
  </si>
  <si>
    <t>GarpCZ_wrestle_swing01=0.42#GarpCZ_wrestle_jump=0.82#GarpCZ_wrestle_swing02=1.33#GarpCZ_wrestle_swing02=1.65#GarpCZ_wrestle_swing03=2.12#bodyrock_hit02=2.5#punch_hit_small01=0.57#punch_hit_small01=1.45#punch_hit_small01=1.76</t>
  </si>
  <si>
    <t>机炮拳</t>
  </si>
  <si>
    <r>
      <rPr>
        <sz val="11"/>
        <color theme="1"/>
        <rFont val="宋体"/>
        <charset val="134"/>
      </rPr>
      <t>4</t>
    </r>
    <r>
      <rPr>
        <sz val="11"/>
        <color theme="1"/>
        <rFont val="等线"/>
        <charset val="134"/>
      </rPr>
      <t>206</t>
    </r>
  </si>
  <si>
    <t>GarpCZ_attack_swing01=0.21#GarpCZ_attack_swing01=0.46#GarpCZ_machinegun_swing=0.86#GarpCZ_machinegun_swing=0.98#GarpCZ_machinegun_swing=1.1#GarpCZ_machinegun_swing=1.22#GarpCZ_machinegun_swing=1.35#GarpCZ_machinegun_swing=1.47#GarpCZ_machinegun_swing=1.6#GarpCZ_attack_swing02=1.84#punch_hit_small01=0.43#punch_hit_small01=0.72#punch_hit_small01=0.93#punch_hit_small01=1.06#punch_hit_small01=1.18#punch_hit_small01=1.3#punch_hit_small01=1.43#punch_hit_small01=1.55#punch_hit_small01=2.05</t>
  </si>
  <si>
    <t>正义铁拳</t>
  </si>
  <si>
    <t>GarpCZ_justicepunch_pop=0.12#GarpCZ_justicepunch_cloth=1.16#GarpCZ_justicepunch_fly=1.98#GarpCZ_justicepunch_falldown=3.25#GarpCZ_justicepunch_hit=5.1#CV_GarpCZ_justicepunch01=0.13#CV_GarpCZ_justicepunch02=3.2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</si>
  <si>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garp/garp_attack08_c</t>
    </r>
  </si>
  <si>
    <t>睡觉</t>
  </si>
  <si>
    <t>CV_GarpCZ_sleepy=0.03#GarpCZ_sleepy_swing=0.95#GarpCZ_sleepy_pop=2.52</t>
  </si>
  <si>
    <r>
      <rPr>
        <sz val="11"/>
        <color theme="1"/>
        <rFont val="等线"/>
        <charset val="134"/>
      </rPr>
      <t>580&amp;&amp;</t>
    </r>
    <r>
      <rPr>
        <sz val="11"/>
        <color theme="1"/>
        <rFont val="等线"/>
        <charset val="134"/>
      </rPr>
      <t>592</t>
    </r>
  </si>
  <si>
    <t>root&amp;&amp;Bip001 Head</t>
  </si>
  <si>
    <t>二档路飞</t>
  </si>
  <si>
    <r>
      <rPr>
        <sz val="11"/>
        <color theme="1"/>
        <rFont val="宋体"/>
        <charset val="134"/>
      </rPr>
      <t>橡胶·J</t>
    </r>
    <r>
      <rPr>
        <sz val="11"/>
        <color theme="1"/>
        <rFont val="等线"/>
        <charset val="134"/>
      </rPr>
      <t>ET·机关枪</t>
    </r>
  </si>
  <si>
    <r>
      <rPr>
        <sz val="11"/>
        <color theme="1"/>
        <rFont val="等线"/>
        <charset val="134"/>
      </rPr>
      <t>LuffyCZ_JETmachinegun_xuli=0.14#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0.68#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0.79#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0.89#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0.99#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1.09#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1.2#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1.3#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1.41#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1.51#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1.61#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1.71#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1.82#</t>
    </r>
    <r>
      <rPr>
        <sz val="11"/>
        <color theme="4" tint="-0.25"/>
        <rFont val="等线"/>
        <charset val="134"/>
      </rPr>
      <t>LuffyCZ_JETmachinegun_swing</t>
    </r>
    <r>
      <rPr>
        <sz val="11"/>
        <color theme="6" tint="-0.25"/>
        <rFont val="等线"/>
        <charset val="134"/>
      </rPr>
      <t>=1.92#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2.02#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2.12#</t>
    </r>
    <r>
      <rPr>
        <sz val="11"/>
        <color theme="4" tint="-0.25"/>
        <rFont val="等线"/>
        <charset val="134"/>
      </rPr>
      <t>LuffyCZ_JETmachinegun_swing=</t>
    </r>
    <r>
      <rPr>
        <sz val="11"/>
        <color theme="6" tint="-0.25"/>
        <rFont val="等线"/>
        <charset val="134"/>
      </rPr>
      <t>2.25#</t>
    </r>
    <r>
      <rPr>
        <sz val="11"/>
        <color theme="9" tint="-0.5"/>
        <rFont val="等线"/>
        <charset val="134"/>
      </rPr>
      <t>LuffyCZ_machinegun_swing2=0.58#LuffyCZ_machinegun_swing2=0.88#LuffyCZ_machinegun_swing2=1.29#LuffyCZ_machinegun_swing2=1.59#LuffyCZ_machinegun_swing2end=2.25#</t>
    </r>
    <r>
      <rPr>
        <sz val="11"/>
        <color theme="4" tint="-0.25"/>
        <rFont val="等线"/>
        <charset val="134"/>
      </rPr>
      <t>CV_LuffyCZ_JETmachinegun=0.02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</si>
  <si>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301</t>
    </r>
  </si>
  <si>
    <t>brook_Swing02=0.107#Mr2_Swing02=0.225#brook_Swing01=0.5#Mr2_Swing02=0.55</t>
  </si>
  <si>
    <t>暴风脚·白雷</t>
  </si>
  <si>
    <r>
      <rPr>
        <sz val="11"/>
        <color theme="1"/>
        <rFont val="等线"/>
        <charset val="134"/>
      </rPr>
      <t>4302</t>
    </r>
  </si>
  <si>
    <t>se_Jump01=0#sanji_Kick_Heavy=0.25#cp9_StormKick=0.3#mihawk_ObjFlying01=0.3#CV_kaku_WhiteThunder=0</t>
  </si>
  <si>
    <t>四刀流</t>
  </si>
  <si>
    <r>
      <rPr>
        <sz val="11"/>
        <color theme="1"/>
        <rFont val="等线"/>
        <charset val="134"/>
      </rPr>
      <t>4303</t>
    </r>
  </si>
  <si>
    <t>nami_Cloth=0#zoro_Sheath_Begin=0.044#tashigi_Swing01=0.106#se_Jump01=0.2#se_Jump02=0.76#franky_Punch_Heavy=0.76#SE_012035=0.931#se_Rock_Fall02=0.931</t>
  </si>
  <si>
    <t>背刺</t>
  </si>
  <si>
    <r>
      <rPr>
        <sz val="11"/>
        <color theme="1"/>
        <rFont val="等线"/>
        <charset val="134"/>
      </rPr>
      <t>4304</t>
    </r>
  </si>
  <si>
    <t>ultimate_Sign=0#nami_Cloth=0.441#se_Jump02=0.924#buggy_SwingCircle01=1.2#zoro_Jumpspin=1.326#buggy_Swing01=1.5#se_Jump02=2.4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</si>
  <si>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ecki/ecki_attack04_c</t>
    </r>
  </si>
  <si>
    <t>暴风脚·乱</t>
  </si>
  <si>
    <r>
      <rPr>
        <sz val="11"/>
        <color theme="1"/>
        <rFont val="等线"/>
        <charset val="134"/>
      </rPr>
      <t>4305</t>
    </r>
  </si>
  <si>
    <t>se_Jump01=0#sanji_Kick=0.295#sanji_Kick=0.436#sanji_Kick=0.625#sanji_Kick=0.767#sanji_Kick=0.894#sanji_Kick=1.003#cp9_StormKick=0.295#cp9_StormKick=0.416#cp9_StormKick=0.552#cp9_StormKick=0.682#cp9_StormKick=0.842#cp9_StormKick=1.031#CV_kaku_Chaos=0</t>
  </si>
  <si>
    <t>暴风脚·周断</t>
  </si>
  <si>
    <t>4306</t>
  </si>
  <si>
    <t>ultimate_Sign=0#nami_Cloth=1.5#Swish_SwingHugeShovel=2.012#Swish_SwingHugeShovel=2.274#Swish_SwingHugeShovel=2.588#Swish_SwingHugeShovel=2.925#Swish_SwingHugeShovel=3.188#Swish_SwingHugeShovel=3.4#Swish_SwingHugeShovel=3.588#Swish_SwingHugeShovel=3.736#Swish_SwingHugeShovel=3.811#Swish_SwingHugeShovel=3.902#zoro_Spin_Wind=2.456#zoro_Spin_Wind=3.5#se_Jump01=4.082#cp9_FingerGun=4.38#cp9_StormKick=4.38#brook_Charge01=4.38#cp9_StormKick=4.895#nami_Wind_Push=4.964#CV_kaku_RoundBreak=1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</si>
  <si>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ecki/ecki_attack06_c</t>
    </r>
  </si>
  <si>
    <t>长颈鹿暴雨</t>
  </si>
  <si>
    <r>
      <rPr>
        <sz val="11"/>
        <color theme="1"/>
        <rFont val="等线"/>
        <charset val="134"/>
      </rPr>
      <t>4307</t>
    </r>
  </si>
  <si>
    <t>nami_Cloth=0#garp_Cloth02=0.4#sanji_Kick_Heavy=1.078#cp9_StormKick=1.5#cp9_StormKick=1.6#cp9_StormKick=1.75#cp9_StormKick=1.95#cp9_StormKick=2.2#cp9_StormKick=2.4</t>
  </si>
  <si>
    <t>鼻枪</t>
  </si>
  <si>
    <r>
      <rPr>
        <sz val="11"/>
        <color theme="1"/>
        <rFont val="等线"/>
        <charset val="134"/>
      </rPr>
      <t>4308</t>
    </r>
  </si>
  <si>
    <t>enel_SlowSight=0#nami_Cloth=0#smoke_Swing03=1.195#Mr2_Swing02=1.317#sanji_Kick_Heavy=1.4#SE_012035=1.664#kuma_HitGround=1.664#se_Rock_Fall02=1.664#CV_kaku_NoseGun=0.3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</si>
  <si>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ecki/ecki_attack08_c</t>
    </r>
  </si>
  <si>
    <t>瓦帕</t>
  </si>
  <si>
    <t>4801</t>
  </si>
  <si>
    <t>franky_Cannon_Shoot=1#franky_Cannon_Shoot=1.6</t>
  </si>
  <si>
    <t>燃烧炮</t>
  </si>
  <si>
    <t>4802</t>
  </si>
  <si>
    <t>mihawk_EnergySp01=1#zoro_Swordenergy=2.1#franky_Cannon_Shoot=2.1#kuma_LaserShoot02=2.1#nami_Shoot=2</t>
  </si>
  <si>
    <t>冲击贝</t>
  </si>
  <si>
    <t>4803</t>
  </si>
  <si>
    <t>zoro_Swordenergy=0#smoke_SteamFlying04=0.549#Whoosh_MeteorPassby03=1.831#franky_Windshoot=3.452#se_Impact02=3.452#se_Impact03=3.452#se_Impact01=3.452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</si>
  <si>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wapa/wapa_attack03_c</t>
    </r>
  </si>
  <si>
    <r>
      <rPr>
        <sz val="11"/>
        <color theme="1"/>
        <rFont val="等线"/>
        <charset val="134"/>
      </rPr>
      <t>4</t>
    </r>
    <r>
      <rPr>
        <sz val="11"/>
        <color theme="1"/>
        <rFont val="等线"/>
        <charset val="134"/>
      </rPr>
      <t>70&amp;&amp;471&amp;&amp;472</t>
    </r>
  </si>
  <si>
    <r>
      <rPr>
        <sz val="11"/>
        <color theme="1"/>
        <rFont val="等线"/>
        <charset val="134"/>
      </rPr>
      <t>r</t>
    </r>
    <r>
      <rPr>
        <sz val="11"/>
        <color theme="1"/>
        <rFont val="等线"/>
        <charset val="134"/>
      </rPr>
      <t>oot&amp;&amp;Bip001 L Foot&amp;&amp;Bip001 R Foot</t>
    </r>
  </si>
  <si>
    <t>喷气贝</t>
  </si>
  <si>
    <t>4804</t>
  </si>
  <si>
    <t>ultimate_Sign=0#se_Jump02=0#se_Jump02=0.36#se_Jump02=0.64#se_Jump02=1#sanji_Kick=1.365#se_Jump01=1.771#smoke_SteamCharge01=1.792#zoro_Swordenergy=2.62#Mr2_Swing01=2.827#sanji_Kick=2.827#SE_012035=3.045#se_Rock_Fall02=3.045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</si>
  <si>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wapa/wapa_attack04_c</t>
    </r>
  </si>
  <si>
    <t>排击贝</t>
  </si>
  <si>
    <t>4805</t>
  </si>
  <si>
    <t>ultimate_Sign=0#se_Rock_Fall02=0.93#zoro_Swordenergy=1.521#chopper_Ultramove=1.542#zoro_Swordenergy=2#zoro_Swordenergy=2.353#mihawk_EnergySp01=3.596#franky_Wind_Gathering=4.176#franky_Windshoot=5.846#franky_Windshoot_Boom=5.846#se_Impact02=5.846#se_Impact02=5.846#se_Impact03=5.846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</si>
  <si>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wapa/wapa_attack05_c</t>
    </r>
  </si>
  <si>
    <t>475&amp;&amp;476&amp;&amp;477</t>
  </si>
  <si>
    <r>
      <rPr>
        <sz val="11"/>
        <color theme="1"/>
        <rFont val="等线"/>
        <charset val="134"/>
      </rPr>
      <t>M</t>
    </r>
    <r>
      <rPr>
        <sz val="11"/>
        <color theme="1"/>
        <rFont val="等线"/>
        <charset val="134"/>
      </rPr>
      <t>r.3</t>
    </r>
  </si>
  <si>
    <t>蜡烛飞拳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</si>
  <si>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00909</t>
    </r>
  </si>
  <si>
    <t>Punch_Boxing_BodyHit04=0.5#kuzan_Swing=1.424#se_Jump01=1.6#Mr3_SwingObj=2.012#smoke_Swing03=2.117#nami_Wind_Push=2.2#SE_012035=2.4#se_Rock_Fall02=2.4</t>
  </si>
  <si>
    <t>Particles/mr3/mr3_attack09_c</t>
  </si>
  <si>
    <t>火箭炮</t>
  </si>
  <si>
    <r>
      <rPr>
        <sz val="11"/>
        <color theme="1"/>
        <rFont val="等线"/>
        <charset val="134"/>
      </rPr>
      <t>CV_LuffyCZ_rocket1=0.19#CV_LuffyCZ_rocket2=2.99#LuffyCZ_rocket_xuli=0.08#LuffyCZ_rocket_wind=0.8#whooshlarge_slashly01=2.27#LuffyCZ_rocket_cast=3.84#LuffyCZ_rocket_huitan=5.43#</t>
    </r>
    <r>
      <rPr>
        <sz val="11"/>
        <color rgb="FFFF0000"/>
        <rFont val="等线"/>
        <charset val="134"/>
      </rPr>
      <t>punch_hit_medium01=4.14</t>
    </r>
  </si>
  <si>
    <t>Particles/luffy001_body/luffy001_body_attack11_C</t>
  </si>
  <si>
    <t>帕鲁</t>
  </si>
  <si>
    <t>kuma_Swing01=1.1#kuzan_Swing02=1.293</t>
  </si>
  <si>
    <t>珍珠合拢</t>
  </si>
  <si>
    <t>kuzan_Swing02=1.2#Hit_MetalImpact19=1.505#se_Fire_Throw=1.493#Hit_MetalRodInsert1=1.552</t>
  </si>
  <si>
    <t>火焰珍珠大特典</t>
  </si>
  <si>
    <t>coby_buff02=0.2#franky_Fire_Shoot01=1.238#kuzan_Swing02=2.057#kuzan_Swing02=2.438</t>
  </si>
  <si>
    <t>491&amp;&amp;492&amp;&amp;493&amp;&amp;494&amp;&amp;495</t>
  </si>
  <si>
    <t>root&amp;&amp;Bip001 Spine&amp;&amp;Bip001 Spine1&amp;&amp;Point001&amp;&amp;Point002</t>
  </si>
  <si>
    <t>鹰眼</t>
  </si>
  <si>
    <r>
      <rPr>
        <sz val="11"/>
        <color theme="1"/>
        <rFont val="等线"/>
        <charset val="134"/>
      </rPr>
      <t>3</t>
    </r>
    <r>
      <rPr>
        <sz val="11"/>
        <color theme="1"/>
        <rFont val="等线"/>
        <charset val="134"/>
      </rPr>
      <t>401</t>
    </r>
  </si>
  <si>
    <t>mihawkCZ_attack01=0.52#mihawkCZ_attack01=1.12#mihawkCZ_attack02=1.81#slash_general01=0.7#slash_general01=1.26#slash_general01=1.96#mihawkCZ_qidao=0.33#mihawkCZ_shoudao=2.41</t>
  </si>
  <si>
    <t>黑刀 曙光</t>
  </si>
  <si>
    <r>
      <rPr>
        <sz val="11"/>
        <color theme="1"/>
        <rFont val="等线"/>
        <charset val="134"/>
      </rPr>
      <t>3402</t>
    </r>
  </si>
  <si>
    <t>mihawkCZ_dawn_buff=0.82#mihawkCZ_dawn_cast=1.62#slash_general01=1.78#slash_general01=1.98#slash_general01=2.19#slash_general01=2.39#slash_general01=2.59#mihawkCZ_qidao=0.15#mihawkCZ_shoudao=2.63</t>
  </si>
  <si>
    <t>Bone022</t>
  </si>
  <si>
    <t>黑刀 裂</t>
  </si>
  <si>
    <r>
      <rPr>
        <sz val="11"/>
        <color theme="1"/>
        <rFont val="等线"/>
        <charset val="134"/>
      </rPr>
      <t>3403</t>
    </r>
  </si>
  <si>
    <t>mihawkCZ_broken_swing=0.54#mihawkCZ_broken_cast01=0.73#mihawkCZ_broken_swing=1.14#mihawkCZ_broken_cast02=1.24#slash_general01=0.67#slash_general01=0.81#slash_general01=0.95#slash_general01=1.4#slash_general01=1.53#slash_general01=1.67#mihawkCZ_qidao=0.15#mihawkCZ_shoudao=2.56</t>
  </si>
  <si>
    <t>黑刀 斩</t>
  </si>
  <si>
    <r>
      <rPr>
        <sz val="11"/>
        <color theme="1"/>
        <rFont val="等线"/>
        <charset val="134"/>
      </rPr>
      <t>3404</t>
    </r>
  </si>
  <si>
    <t>mihawkCZ_blackchop_swing01=0.42#mihawkCZ_blackchop_swing02=1.06#mihawkCZ_blackchop_swing02=1.25#mihawkCZ_blackchop_swing02=1.43#mihawkCZ_blackchop_swing02=1.63#mihawkCZ_blackchop_swing03=2.22#mihawkCZ_blackchop_hitground=2.68#mihawkCZ_blackchop_end=3.65#CV_mihawkCZ_blackchop=2.53#slash_general01=0.65#slash_general01=2.82#mihawkCZ_qidao=0.13#mihawkCZ_shoudao=4.66</t>
  </si>
  <si>
    <t>黑刀 无</t>
  </si>
  <si>
    <r>
      <rPr>
        <sz val="11"/>
        <color theme="1"/>
        <rFont val="等线"/>
        <charset val="134"/>
      </rPr>
      <t>3405</t>
    </r>
  </si>
  <si>
    <t>mihawkCZ_wu_swordup=0.4#mihawkCZ_wu_swordhold=1.88#mihawkCZ_wu_focus=2.95#mihawkCZ_wu_slash01=3.4#mihawkCZ_wu_slash01=3.72#mihawkCZ_wu_slash01=3.88#mihawkCZ_wu_slash01=4.15#mihawkCZ_wu_slash01=4.26#mihawkCZ_wu_slash01=4.37#mihawkCZ_wu_slash01=4.47#mihawkCZ_wu_foot01=5.08#mihawkCZ_wu_foot02=5.73#mihawkCZ_wu_foot03=6.46#mihawkCZ_wu_sworddown=6.69#mihawkCZ_wu_foot04=7.2#mihawkCZ_wu_slash02=8.83#mihawkCZ_wu_slash02=8.89#mihawkCZ_wu_slash02=8.96#mihawkCZ_wu_slash02=9.04#mihawkCZ_wu_slash02=9.11#mihawkCZ_wu_slash02=9.18#mihawkCZ_wu_slash02=9.24#mihawkCZ_wu_slash02=9.31#mihawkCZ_wu_slash02=9.39#mihawkCZ_wu_slash02=9.46#Superslash_hit=9.27#CV_mihawkCZ_wu_01=1.18#CV_mihawkCZ_wu_02=8.24#whooshsmall_general=9.27</t>
  </si>
  <si>
    <r>
      <rPr>
        <sz val="11"/>
        <color theme="1"/>
        <rFont val="等线"/>
        <charset val="134"/>
      </rPr>
      <t>Particles/</t>
    </r>
    <r>
      <rPr>
        <sz val="11"/>
        <color theme="1"/>
        <rFont val="等线"/>
        <charset val="134"/>
      </rPr>
      <t>mihawk/mihawk_attack0</t>
    </r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_C</t>
    </r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</si>
  <si>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02&amp;&amp;</t>
    </r>
    <r>
      <rPr>
        <sz val="11"/>
        <color theme="1"/>
        <rFont val="等线"/>
        <charset val="134"/>
      </rPr>
      <t>503</t>
    </r>
  </si>
  <si>
    <t>root&amp;&amp;Bone022</t>
  </si>
  <si>
    <t>黑刀 十字</t>
  </si>
  <si>
    <r>
      <rPr>
        <sz val="11"/>
        <color theme="1"/>
        <rFont val="等线"/>
        <charset val="134"/>
      </rPr>
      <t>3406</t>
    </r>
  </si>
  <si>
    <t>mihawkCZ_cross_swing01=0.63#mihawkCZ_cross_swing02=1.07#slash_general01=0.8#slash_general01=1.3#mihawkCZ_qidao=0.4#mihawkCZ_shoudao=2.17</t>
  </si>
  <si>
    <t>刀意</t>
  </si>
  <si>
    <r>
      <rPr>
        <sz val="11"/>
        <color theme="1"/>
        <rFont val="等线"/>
        <charset val="134"/>
      </rPr>
      <t>3407</t>
    </r>
  </si>
  <si>
    <t>mihawkCZ_daoyi_swordup=0.12#mihawkCZ_daoyi_bigswing=1.62#mihawkCZ_daoyi_sworddown=4#mihawkCZ_daoyi_buff=4.25#CV_mihawkCZ_daoyi=1.07</t>
  </si>
  <si>
    <t>Particles/mihawk/mihawk_attack07_C</t>
  </si>
  <si>
    <t>544&amp;&amp;503</t>
  </si>
  <si>
    <t>试试我们的距离【制霸】</t>
  </si>
  <si>
    <t>3409</t>
  </si>
  <si>
    <t>whooshlarge_nervous02=0.34#mihawkCZ_shark_swordget=2.56#mihawkCZ_shark_buff=3.07#mihawkCZ_shark_swing=5.28#mihawkCZ_shark_cast=6.02#mihawkCZ_shark_shark=6.75#CV_mihawkCZ_shark_01=3.61#CV_mihawkCZ_shark_02=4.71#slash_general01=6.79#slash_general01=6.93#slash_general01=7.06#slash_general01=7.22#slash_general01=7.35#slash_general01=7.49#slash_general01=7.64#slash_general01=7.77#slash_large=7.91#mihawkCZ_shoudao=8.85</t>
  </si>
  <si>
    <r>
      <rPr>
        <sz val="11"/>
        <color theme="1"/>
        <rFont val="等线"/>
        <charset val="134"/>
      </rPr>
      <t>Particles/</t>
    </r>
    <r>
      <rPr>
        <sz val="11"/>
        <color theme="1"/>
        <rFont val="等线"/>
        <charset val="134"/>
      </rPr>
      <t>mihawk</t>
    </r>
    <r>
      <rPr>
        <sz val="11"/>
        <color theme="1"/>
        <rFont val="等线"/>
        <charset val="134"/>
      </rPr>
      <t>/mihawk_attack0</t>
    </r>
    <r>
      <rPr>
        <sz val="11"/>
        <color theme="1"/>
        <rFont val="等线"/>
        <charset val="134"/>
      </rPr>
      <t>9</t>
    </r>
    <r>
      <rPr>
        <sz val="11"/>
        <color theme="1"/>
        <rFont val="等线"/>
        <charset val="134"/>
      </rPr>
      <t>_C</t>
    </r>
  </si>
  <si>
    <t>变身普攻</t>
  </si>
  <si>
    <t>smoke_Swing03=0.3#chopper_Punch02=0.4#chopper_Punch02=1.1</t>
  </si>
  <si>
    <t>冷气泡</t>
  </si>
  <si>
    <t>nami_Cloth=0#se_Jump02=0.117#nami_Stick_Spin02=0.2#nami_Cloth=1#nami_Bubble=1.2#nami_Bubble=1.4#nami_Bubble=1.6#nami_Bubble=1.8#nami_Bubble_Passing=1.538#CV_nami_ColdBubble=0.2</t>
  </si>
  <si>
    <t>Miss.双手指</t>
  </si>
  <si>
    <t>4601</t>
  </si>
  <si>
    <t>nami_Cloth=0#se_Swing02=0.15#se_Swing02=0.2#se_Swing02=0.3#se_Swing02=0.35#se_Swing02=0.45#se_Swing02=0.5#se_Swing02=0.55#se_Swing02=0.65#se_Swing02=0.7#se_Swing02=0.75#se_Swing02=0.8#se_Swing02=0.9#se_Swing02=0.95#se_Swing02=1#se_Swing02=1.065#se_Swing02=1.1#se_Swing02=1.165#se_Swing02=1.215</t>
  </si>
  <si>
    <t>缝纫荆棘</t>
  </si>
  <si>
    <t>4602</t>
  </si>
  <si>
    <t>nami_Stick_Spin01=0#nami_Cloth=0.687#MsDoubleFinger_Grow=1.8#se_Swing02=2.643#se_Swing02=2.712#se_Swing02=2.775#se_Swing02=2.859#se_Swing02=2.927#se_Swing02=2.991#se_Swing02=3.1#se_Swing02=3.143#se_Swing02=3.275#se_Swing02=3.393#se_Swing02=3.462#se_Swing02=3.525#se_Swing02=3.609#se_Swing02=3.711#se_Swing02=3.741#se_Jump02=3.885#usopp_Cloth=4.064#CV_dfinger_Sewing=0</t>
  </si>
  <si>
    <t>Particles/paula/paula_attack02_C</t>
  </si>
  <si>
    <t>荆棘践踏</t>
  </si>
  <si>
    <t>4603</t>
  </si>
  <si>
    <t>se_MoveEcho=0#se_Jump02=0.4#nami_Cloth=0.8#Mr2_Swing01=1#CV_dfinger_Step=0</t>
  </si>
  <si>
    <t>海胆荆棘</t>
  </si>
  <si>
    <t>4604</t>
  </si>
  <si>
    <t>smoke_Swing05=0.3#Mr2_AttackHeavy04=0.904#zoro_Swordenergy=0.958</t>
  </si>
  <si>
    <t>555&amp;&amp;556</t>
  </si>
  <si>
    <t>荆棘疗法</t>
  </si>
  <si>
    <t>4605</t>
  </si>
  <si>
    <t>se_Sword_Hit=0.8#zoro_Swordenergy=0.834#Pickup_Misc14=1#mihawk_EnergySp02=1</t>
  </si>
  <si>
    <t>荆棘·狼牙棒一式</t>
  </si>
  <si>
    <t>4606</t>
  </si>
  <si>
    <t>se_Sword_Hit=0.593#mihawk_EnergySp02=0.667#Pickup_Misc14=0.7#mihawk_EnergyIn=0.718#kuma_HitGround=1.162#usopp_Cloth=1.929#Mr3_SwingObj=2.745#kuma_HitGround=3.077#SE_012035=3.077</t>
  </si>
  <si>
    <t>Particles/paula/paula_attack06_C</t>
  </si>
  <si>
    <t>荆棘·狼牙棒二式</t>
  </si>
  <si>
    <t>4607</t>
  </si>
  <si>
    <t>se_Sword_Hit=0.2#Pickup_Misc14=0.304#mihawk_EnergyIn=0.304#mihawk_EnergySp02=0.304#franky_Swing01=1.1#smoke_Swing05=1.367#SE_012035=2.051#kuma_HitGround=2.127</t>
  </si>
  <si>
    <t>荆棘·刺猬</t>
  </si>
  <si>
    <t>4608</t>
  </si>
  <si>
    <t>ultimate_Sign=0#nami_Cloth=0.8#se_Jump01=1.212#mihawk_EnergySp02=2.339#MsDoubleFinger_Grow=2.4#kuma_HitGround=3.727#SE_012035=3.747#Whoosh_MeteorPassby03=4.8#se_Jump02=5.4#se_Jump02=5.6#se_Jump02=5.8#se_Jump02=6#se_Jump02=6.2#se_Jump02=6.4#Whoosh_MeteorPassby03=6.42#buggy_SwingCircle02=6.4#se_Jump02=6.588#se_Jump02=6.8#buggy_SwingCircle02=6.84#se_Jump02=7#se_Jump02=7.2#Whoosh_MeteorPassby01=7.2#se_Jump02=7.4#buggy_SwingCircle02=7.554#se_Jump02=7.6#smoke_SteamFlying02=7.653#CV_dfinger_Hedgehog=0</t>
  </si>
  <si>
    <t>Particles/paula/paula_attack08_C</t>
  </si>
  <si>
    <t>薇薇</t>
  </si>
  <si>
    <t>4501</t>
  </si>
  <si>
    <t>nami_Cloth=0.087#vivi_Spin02=0.475#vivi_Spin02=0.526#vivi_Spin02=1.3#se_Normalswing=1.273#se_Normalswing=2.073</t>
  </si>
  <si>
    <t>605&amp;&amp;606</t>
  </si>
  <si>
    <t>Bip001 L Finger4&amp;&amp;Bip001 R Finger4</t>
  </si>
  <si>
    <t>孔雀开屏</t>
  </si>
  <si>
    <t>4502</t>
  </si>
  <si>
    <t>nami_Cloth=0.087#vivi_Spin01=0.38#vivi_Spin02=0.38#vivi_Spin01=0.473#vivi_Spin01=0.645#se_Normalswing=1.3#Mr2_Swing01=1.594#CV_vivi_Peacock01=0#CV_vivi_Peacock02=1</t>
  </si>
  <si>
    <t>607&amp;&amp;608&amp;&amp;614</t>
  </si>
  <si>
    <t>Bip001 L Finger4&amp;&amp;Bip001 R Finger4&amp;&amp;root</t>
  </si>
  <si>
    <t>冲啊黑鸭</t>
  </si>
  <si>
    <t>4503</t>
  </si>
  <si>
    <t>garp_Cloth01=0.6#se_Whistle=0.653#nami_Cloth=1.8#se_MonsterRun=2#mihawk_MoveSp01=3#se_MonsterRun=3.125#se_MonsterRun=4.249#smoke_SteamCharge02=4.726#se_MonsterRun=5.175#brook_Charge01=5.3#buggy_Funny01=6.693#buggy_Charge01=6.764#CV_vivi_Charging=2.5</t>
  </si>
  <si>
    <t>Particles/vivi002/vivi002_attack03_C</t>
  </si>
  <si>
    <t>0,0,-2</t>
  </si>
  <si>
    <t>魅惑香水舞</t>
  </si>
  <si>
    <t>4504</t>
  </si>
  <si>
    <t>vivi_Magic01=0#vivi_Magic02=1.208#buggy_Funny01=2#buggy_Funny01=2.4#buggy_Funny01=3#buggy_Funny01=3.4#Mr5_Eat=4.334#Mr5_Eat=4.8#Mr5_Eat=5.2#Mr5_Eat=5.6#zoro_Obj_Flying=6#vivi_Magic03=6.729</t>
  </si>
  <si>
    <t>Particles/vivi002/vivi002_attack04_C</t>
  </si>
  <si>
    <t>罗宾</t>
  </si>
  <si>
    <t>4701</t>
  </si>
  <si>
    <t>nami_Cloth=0#Robin_Hand01=0.4#Mr2_Swing01=0.6#Mr2_Swing01=1</t>
  </si>
  <si>
    <t>974&amp;&amp;975</t>
  </si>
  <si>
    <t>root&amp;&amp;Bip001 L Hand</t>
  </si>
  <si>
    <t>百花缭乱·蜘蛛之花</t>
  </si>
  <si>
    <t>4702</t>
  </si>
  <si>
    <t>nami_Cloth=0#Robin_Hand01=0.512#Robin_Hand02=1.066#Robin_Hand03=1.4#Robin_Hand03=1.6#Robin_Hand03=1.8#Robin_Hand03=2#Robin_Hand03=2.2#CV_robin_Spider=0</t>
  </si>
  <si>
    <t>976&amp;&amp;977&amp;&amp;978</t>
  </si>
  <si>
    <t>Bip001 L Hand&amp;&amp;Bip001 R Hand&amp;&amp;root</t>
  </si>
  <si>
    <t>二十轮花·风车</t>
  </si>
  <si>
    <t>4703</t>
  </si>
  <si>
    <t>nami_Cloth=0#Robin_Hand01=0.4#Robin_Swing01=0.4#se_MoveEcho=1.481#Mr2_Swing01=1.673#zoro_Jumpspin=1.898#se_Jump02=2.303#Robin_Hand02=2.921#Robin_Swing02=3.4</t>
  </si>
  <si>
    <t>979&amp;&amp;980</t>
  </si>
  <si>
    <t>Bip001 L Hand&amp;&amp;root</t>
  </si>
  <si>
    <t>起重机分离</t>
  </si>
  <si>
    <t>4704</t>
  </si>
  <si>
    <t>smoke_SteamFlying01=0#mihawk_Energy=0.2#Robin_Hand03=2.1#Robin_Hand03=2.258#Robin_Hand03=2.39#Robin_Hand01=2.1#Robin_Swing03=3.8#Robin_BoneBreak=4.4#CV_robin_Crack=2</t>
  </si>
  <si>
    <t>Particles/robin/robin_attack04_C</t>
  </si>
  <si>
    <t>起重机分离三十轮花·滑翔</t>
  </si>
  <si>
    <t>nami_Cloth=0#Robin_Hand01=0.4#Robin_Hand02=0.7#Mr2_Swing01=0.9#Robin_Swing04=1.248#SE_012035=1.469#Robin_Swing04=2.156#SE_012035=2.342#Robin_Swing04=2.821#SE_012035=3.042#Robin_Hand02=3.645</t>
  </si>
  <si>
    <t>Bone011</t>
  </si>
  <si>
    <t>984&amp;&amp;985</t>
  </si>
  <si>
    <t>八轮花·束缚</t>
  </si>
  <si>
    <t>4706</t>
  </si>
  <si>
    <t>nami_Cloth=0#Robin_Hand01=0.512#Robin_Swing05=0.7#se_Kick_Hit02=0.818</t>
  </si>
  <si>
    <t>百花缭乱·大飞燕草</t>
  </si>
  <si>
    <t>4707</t>
  </si>
  <si>
    <t>smoke_SteamFlying01=0#mihawk_Energy=0.2#enel_SlowSight=1.784#Robin_HandsAppear=2.366#Robin_HandsSwing=3#Robin_HandsSwing=3.352#CV_robin_FlyingGrass=0.7</t>
  </si>
  <si>
    <t>Particles/robin/robin_attack07_C</t>
  </si>
  <si>
    <t>八十轮花·四棵树·重击</t>
  </si>
  <si>
    <t>4708</t>
  </si>
  <si>
    <t>smoke_SteamFlying01=0#mihawk_Energy=0#Robin_Hand01=0.8#Robin_GiantHand01=1.941#enel_SlowSight=2.4#Robin_HandsSwing=2.45#Robin_HandsAppear=3.213#Robin_GiantHand01=4.341#kuma_HitGround=4.93#se_Rock_Fall02=4.93#Robin_GiantHand01=5.5#se_Rock_Fall02=5.8#SE_012035=5.8#kuma_HitGround=5.8#CV_robin_FourTree=0</t>
  </si>
  <si>
    <t>Particles/robin/robin_attack08_C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</si>
  <si>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002&amp;&amp;1003&amp;&amp;1004</t>
    </r>
  </si>
  <si>
    <t>Bip001 L Forearm&amp;&amp;Bip001 L UpperArm&amp;&amp;Bip001 R Clavicle</t>
  </si>
  <si>
    <t>三刀流·牛针</t>
  </si>
  <si>
    <r>
      <rPr>
        <sz val="11"/>
        <color theme="1"/>
        <rFont val="等线"/>
        <charset val="134"/>
        <scheme val="minor"/>
      </rPr>
      <t>ZoroCZ_attack_swing1=0.14#ZoroCZ_attack_swing2=0.43#ZoroCZ_attack_swing1=0.71#ZoroCZ_cow_angry=1.17#ZoroCZ_cow_crash=1.88#CV_ZoroCZ_cow=1.22#</t>
    </r>
    <r>
      <rPr>
        <sz val="11"/>
        <color rgb="FFFF0000"/>
        <rFont val="等线"/>
        <charset val="134"/>
        <scheme val="minor"/>
      </rPr>
      <t>slash_general01=0.2#slash_general01=0.47#slash_general01=0.68#slash_general01=0.85#slash_large=1.97</t>
    </r>
  </si>
  <si>
    <t>连击套餐</t>
  </si>
  <si>
    <t>sanji_Kick=0.2#sanji_Kick=0.5#sanji_Kick=1.173#sanji_Rush=1.525#sanji_Kick_Heavy=2.2#sanji_Rush=2.197#se_Fire_Throw=2.2</t>
  </si>
  <si>
    <t>猫头鹰</t>
  </si>
  <si>
    <t>4901</t>
  </si>
  <si>
    <t>chopper_Punch01=0.346#smoke_Swing05=0.4#chopper_Punch02=0.879</t>
  </si>
  <si>
    <t>铁块·玉</t>
  </si>
  <si>
    <t>4902</t>
  </si>
  <si>
    <t>se_Jump01=0#Mr2_Swing01=0.517#Mr2_Swing01=0.6#Mr2_Swing01=0.655#Mr2_Swing01=0.738#Mr2_Swing01=0.842#kuzan_Swing02=0.728</t>
  </si>
  <si>
    <t>兽严奥义“枭猛击”</t>
  </si>
  <si>
    <t>4903</t>
  </si>
  <si>
    <t>zoro_Jumpspin=0.2#chopper_Punch03=0.5#chopper_Punch03=0.6#chopper_Punch02=0.7#chopper_Punch03=0.8#chopper_Punch03=0.9#chopper_Punch03=1#chopper_Punch03=1.1#chopper_Punch03=1.2#smoke_Swing05=0.9</t>
  </si>
  <si>
    <t>暴风脚</t>
  </si>
  <si>
    <t>4904</t>
  </si>
  <si>
    <t>smoke_Swing05=0.1#sanji_Kick=0.632#se_StormKick=0.7</t>
  </si>
  <si>
    <t>艾斯</t>
  </si>
  <si>
    <t>5001</t>
  </si>
  <si>
    <t>AceCZ_fireattack=0.45#AceCZ_fireattack=0.61#AceCZ_fireattack=0.78#AceCZ_fireattack=0.93#AceCZ_fireattack=1.09#AceCZ_fireattack_explosion=1.27#smallfire_hit=0.83#smallfire_hit=0.92#smallfire_hit=1.02#smallfire_hit=1.12#smallfire_hit=1.22#smallfire_hit=1.32</t>
  </si>
  <si>
    <t>火拳</t>
  </si>
  <si>
    <t>5002</t>
  </si>
  <si>
    <t>AceCZ_firepunch_fireup=0.26#AceCZ_firepunch_swing=0.69#AceCZ_firepunch_cast=0.79#AceCZ_firepunch_burning=1.16#punch_hit_medium01=1.07#CV_AceCZ_firepunch=0.67</t>
  </si>
  <si>
    <t>#CV_TEMP_ace_FirePunch=0</t>
  </si>
  <si>
    <t>火戒·火柱</t>
  </si>
  <si>
    <t>5003</t>
  </si>
  <si>
    <t>AceCZ_firecolumn_firearm=0.25#AceCZ_firecolumn_firearm=1.12#AceCZ_firepunch_fireup=2.23#AceCZ_firepunch_burning=1.51#AceCZ_firecolumn_firejump=3.04#AceCZ_firecolumn_falldown=5.1#AceCZ_firecolumn_cast=6.33#AceCZ_firecolumn_explosion=7.1#AceCZ_firecolumn_wave=7.7#AceCZ_firecolumn_waveend=8.71#AceCZ_firepunch_burning=9.25#CV_AceCZ_firecolumn01=3.69#CV_AceCZ_firecolumn02=5.66</t>
  </si>
  <si>
    <t>Particles/ace/ace_attack03_C</t>
  </si>
  <si>
    <t>626&amp;&amp;627&amp;&amp;628</t>
  </si>
  <si>
    <t>Bip001 R Hand&amp;&amp;Bip001 L Hand&amp;&amp;Bip001 Spine1</t>
  </si>
  <si>
    <t>#CV_TEMP_ace_FireP=3#CV_TEMP_ace_FirePillar=5.5</t>
  </si>
  <si>
    <t>十字火</t>
  </si>
  <si>
    <t>5004</t>
  </si>
  <si>
    <t>AceCZ_Firecross_firearm=0.42#AceCZ_Firecross_burn=1.82#AceCZ_Firecross_burntwice=3.58#AceCZ_Firecross_kick=4.17#AceCZ_Firecross_explode=4.78#AceCZ_firepunch_burning=5.77#CV_AceCZ_Firecross=2.12</t>
  </si>
  <si>
    <t>Particles/ace/ace_attack04_C</t>
  </si>
  <si>
    <t>630&amp;&amp;631&amp;&amp;633&amp;&amp;632&amp;&amp;632&amp;&amp;5161</t>
  </si>
  <si>
    <t>Bip001 L UpperArm&amp;&amp;Bip001 R UpperArm&amp;&amp;Bip001 Spine1&amp;&amp;Bip001 R Foot&amp;&amp;Bip001 L Foot&amp;&amp;Bip001 R Clavicle</t>
  </si>
  <si>
    <t>#CV_TEMP_ace_CrossFire=2</t>
  </si>
  <si>
    <t>神火·不知火</t>
  </si>
  <si>
    <t>5005</t>
  </si>
  <si>
    <t>AceCZ_Unkonwfire_jump=0.27#AceCZ_Unkonwfire_shoot=1.09#AceCZ_Unkonwfire_shoot=1.83#AceCZ_Unkonwfire_shoot=1.94#AceCZ_Unkonwfire_shoot=2.05#AceCZ_Unkonwfire_shoot=2.17#AceCZ_Unkonwfire_shoot=2.27#AceCZ_Unkonwfire_hit=2.93#smallfire_hit=1.41#smallfire_hit=2.2#smallfire_hit=2.3#smallfire_hit=2.4#smallfire_hit=2.5#smallfire_hit=2.6#smallfire_hit=2.7#CV_AceCZ_Unkonwfire=0.24</t>
  </si>
  <si>
    <t>#CV_TEMP_ace_GodFire=0</t>
  </si>
  <si>
    <t>萤火·火达摩</t>
  </si>
  <si>
    <t>5006</t>
  </si>
  <si>
    <t>AceCZ_camfire_cast=0.39#AceCZ_camfire_hit=1.78#CV_AceCZ_camfire=0.66</t>
  </si>
  <si>
    <t>#CV_TEMP_ace_Firefly=0#CV_TEMP_ace_FireBudda=1.5</t>
  </si>
  <si>
    <t>大炎戒·炎帝</t>
  </si>
  <si>
    <t>5007</t>
  </si>
  <si>
    <t>AceCZ_largefire_burn01=0.02#AceCZ_largefire_burn02=1.31#AceCZ_largefire_burn03=2.43#AceCZ_largefire_burn04=3.55#AceCZ_largefire_rage=5.51#AceCZ_largefire_smallburn=6.91#AceCZ_largefire_cast=7.88#AceCZ_largefire_hit=9.36#AceCZ_largefire_explosion=11.3#CV_AceCZ_largefire1=2.6#CV_AceCZ_largefire2=4.45</t>
  </si>
  <si>
    <t>Particles/ace/ace_attack09_C</t>
  </si>
  <si>
    <t>643&amp;&amp;644</t>
  </si>
  <si>
    <r>
      <rPr>
        <sz val="11"/>
        <color theme="1"/>
        <rFont val="等线"/>
        <charset val="134"/>
      </rPr>
      <t>Bip001 L Hand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Bip001 R Hand</t>
    </r>
  </si>
  <si>
    <r>
      <rPr>
        <sz val="11"/>
        <color theme="1"/>
        <rFont val="等线"/>
        <charset val="134"/>
      </rPr>
      <t>-</t>
    </r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,0,2&amp;&amp;-</t>
    </r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,0,-2&amp;&amp;-</t>
    </r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,0,0&amp;&amp;-</t>
    </r>
    <r>
      <rPr>
        <sz val="11"/>
        <color theme="1"/>
        <rFont val="等线"/>
        <charset val="134"/>
      </rPr>
      <t>9</t>
    </r>
    <r>
      <rPr>
        <sz val="11"/>
        <color theme="1"/>
        <rFont val="等线"/>
        <charset val="134"/>
      </rPr>
      <t>,0,0</t>
    </r>
  </si>
  <si>
    <t>Particles/ace/ace_attack07_light</t>
  </si>
  <si>
    <t>镜火炎</t>
  </si>
  <si>
    <t>5008</t>
  </si>
  <si>
    <t>AceCZ_mirrorfire_burn=0.3#AceCZ_mirrorfire_cast01=1.06#AceCZ_mirrorfire_cast02=1.69#smallfire_hit=1.44#smallfire_hit=1.64#smallfire_hit=1.83#smallfire_hit=2.01#smallfire_hit=2.2#smallfire_hit=2.37#smallfire_hit=2.56#smallfire_hit=2.75#CV_AceCZ_mirrorfire=0.64</t>
  </si>
  <si>
    <r>
      <rPr>
        <sz val="11"/>
        <color theme="1"/>
        <rFont val="等线"/>
        <charset val="134"/>
      </rPr>
      <t>6</t>
    </r>
    <r>
      <rPr>
        <sz val="11"/>
        <color theme="1"/>
        <rFont val="等线"/>
        <charset val="134"/>
      </rPr>
      <t>38&amp;&amp;639&amp;&amp;640&amp;&amp;641</t>
    </r>
  </si>
  <si>
    <r>
      <rPr>
        <sz val="11"/>
        <color theme="1"/>
        <rFont val="等线"/>
        <charset val="134"/>
      </rPr>
      <t>root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Bip001 L Hand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Bip001 R Hand</t>
    </r>
    <r>
      <rPr>
        <sz val="11"/>
        <color theme="1"/>
        <rFont val="等线"/>
        <charset val="134"/>
      </rPr>
      <t>&amp;&amp;</t>
    </r>
    <r>
      <rPr>
        <sz val="11"/>
        <color theme="1"/>
        <rFont val="等线"/>
        <charset val="134"/>
      </rPr>
      <t>Bip001 L Calf</t>
    </r>
  </si>
  <si>
    <t>#CV_TEMP_ace_MirrorFire=1</t>
  </si>
  <si>
    <t>豪格巴克</t>
  </si>
  <si>
    <t>治疗</t>
  </si>
  <si>
    <t>5101</t>
  </si>
  <si>
    <t>hogbak_Magic01=0.116#hogbak_Magic02=0.4#se_BatFlying=1.089#kuzan_IceCharge01=1.111#hogbak_Magic01=1.316#chopper_Heal=0.9333</t>
  </si>
  <si>
    <t>手术刀投掷</t>
  </si>
  <si>
    <t>5102</t>
  </si>
  <si>
    <t>nami_Cloth=0.088#Mr2_Swing01=1.007#buggy_Swing01=1.128#buggy_Swing01=1.229#buggy_Swing01=1.316</t>
  </si>
  <si>
    <t>激怒</t>
  </si>
  <si>
    <t>5103</t>
  </si>
  <si>
    <t>usopp_Tap=0.325#nami_Cloth=0.352#usopp_Tap=0.645#hogbak_Magic02=0.8#chopper_Bottlecrash=1.05</t>
  </si>
  <si>
    <t>天才的医术</t>
  </si>
  <si>
    <t>5104</t>
  </si>
  <si>
    <t>hogbak_Magic03=0#buggy_Funny02=1.117#cp9_GroundImpact=1.117#se_WaterSplash=1.246#se_BatFlyingGroup=1.735#hogbak_Magic01=1.823#se_BatFlying=2.334#buggy_Funny03=3.258#cp9_GroundImpact=3.258#chopper_Heal02=1.2666#CV_hogbak10=1</t>
  </si>
  <si>
    <t>Dummy003</t>
  </si>
  <si>
    <t>人体改造·力量增强</t>
  </si>
  <si>
    <t>5105</t>
  </si>
  <si>
    <t>nami_Cloth=0#hogbak_Magic04=0.298#vivi_Magic03=0.298#luffy_Leak_Resume=0.512#buggy_Funny01=1.229#buggy_Funny01=1.561#chopper_Ultramove=2.1#Mr2_Move02=3.4#buggy_Charge01=3.939#nami_Show_Cute=4.681#se_Swordheavy_Hit=4.681#Whoosh_MeteorPassby01=5.112#franky_ColaHeal=5.2#enel_Heartbeat=5.4#enel_Heartbeat=6.6#CV_hogbak15=0</t>
  </si>
  <si>
    <t>Particles/hogubarker/hogubarker_attack05_c</t>
  </si>
  <si>
    <t>人体改造·速度增强</t>
  </si>
  <si>
    <t>5106</t>
  </si>
  <si>
    <t>nami_Cloth=0#Mr2_Funny01=0.314#hogbak_SneakyWind=1.204#buggy_Funny02=2.055#brook_Footsteps=2.488#buggy_Funny02=3.165#brook_Footsteps=3.6#nami_Show_Cute=4.5#se_Swordheavy_Hit=4.5#usopp_Tap=5.18#buggy_Funny03=5.294#hogbak_Blood=5.294#Whoosh_MeteorPassby03=5.379#Pickup_Spirit05=5.683#CV_hogbak15=0</t>
  </si>
  <si>
    <t>Particles/hogubarker/hogubarker_attack06_c</t>
  </si>
  <si>
    <t>659&amp;&amp;669</t>
  </si>
  <si>
    <t>Dummy003&amp;&amp;root</t>
  </si>
  <si>
    <t>辛德丽人偶</t>
  </si>
  <si>
    <t>5107</t>
  </si>
  <si>
    <t>hogbak_Magic01=0#se_BatFlyingGroup=0.462#hogbak_Magic02=0.626#se_Throw01=0.2#se_Throw02=2.2#se_Throw03=2.4#se_Throw02=2.6#se_Throw03=2.762#se_Throw01=2.928#se_Throw03=3.136#se_Throw02=3.337#se_Throw02=3.533#hogbak_Magic02=3.533#se_DishBroken01=2#se_DishBroken02=2.2#se_DishBroken03=2.4#se_DishBroken03=2.6#se_DishBroken01=2.8#se_DishBroken01=3#se_DishBroken02=3.2#se_DishBroken03=3.4#CV_hogbak01=0</t>
  </si>
  <si>
    <t>死者的苏生</t>
  </si>
  <si>
    <t>5108</t>
  </si>
  <si>
    <t>se_GuitarRiff01=0.412#se_MessRound=1.47#se_CartoonPop=2.776#se_CartoonSpring=4.032#buggy_Funny03=4.32#se_BatFlyingGroup=6.047#se_GuitarRiff02=6#CV_hogbak12=0</t>
  </si>
  <si>
    <t>Particles/hogubarker/hogubarker_attack08_c</t>
  </si>
  <si>
    <t>熊之护盾</t>
  </si>
  <si>
    <r>
      <rPr>
        <sz val="11"/>
        <color theme="1"/>
        <rFont val="等线"/>
        <charset val="134"/>
      </rPr>
      <t>39</t>
    </r>
    <r>
      <rPr>
        <sz val="11"/>
        <color theme="1"/>
        <rFont val="等线"/>
        <charset val="134"/>
      </rPr>
      <t>10</t>
    </r>
  </si>
  <si>
    <t>kumaCZ_sheld=0.37</t>
  </si>
  <si>
    <t>冰河时代-新作</t>
  </si>
  <si>
    <t>1609</t>
  </si>
  <si>
    <t>kuzanCZ_iceage_cloth=0.3#kuzanCZ_iceage_cast=1.6#kuzanCZ_iceage_explosion=8.55#kuzanCZ_iceage_wind=10.06#CV_kuzanCZ_iceage01=0.06#CV_kuzanCZ_iceage02=6.93#punch_hit_giant01=8.55</t>
  </si>
  <si>
    <t>Particles/kuzan/kuzan_attack09_C</t>
  </si>
  <si>
    <t>黄猿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</si>
  <si>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201</t>
    </r>
  </si>
  <si>
    <t>borsalinoCZ_lightattack_general=0.51#borsalinoCZ_lightattack_general=1.77#borsalinoCZ_laserhit=0.72#borsalinoCZ_laserhit=0.97#borsalinoCZ_laserhit=1.96</t>
  </si>
  <si>
    <t>镭射光线</t>
  </si>
  <si>
    <t>5202</t>
  </si>
  <si>
    <t>borsalinoCZ_lightattack_leishe01=0.81#borsalinoCZ_lightattack_leisheexplosion=0.99#borsalinoCZ_lightattack_leishe01=1.21#borsalinoCZ_lightattack_leisheexplosion=1.4#borsalinoCZ_lightattack_leishe02=1.74#borsalinoCZ_lightattack_leisheexplosion=1.95</t>
  </si>
  <si>
    <t>光速踢</t>
  </si>
  <si>
    <r>
      <rPr>
        <sz val="11"/>
        <color theme="1"/>
        <rFont val="等线"/>
        <charset val="134"/>
      </rPr>
      <t>5</t>
    </r>
    <r>
      <rPr>
        <sz val="11"/>
        <color theme="1"/>
        <rFont val="等线"/>
        <charset val="134"/>
      </rPr>
      <t>203</t>
    </r>
  </si>
  <si>
    <t>borsalinoCZ_lightkick_shinning=0.37#borsalinoCZ_lightkick_energy=0.59#borsalinoCZ_lightkick_cast=1.17#borsalinoCZ_lightkick_explosion=1.48</t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</si>
  <si>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43&amp;&amp;744</t>
    </r>
  </si>
  <si>
    <t>root&amp;&amp;Bip001 L Toe0</t>
  </si>
  <si>
    <t>天丛云剑</t>
  </si>
  <si>
    <t>5204</t>
  </si>
  <si>
    <t>borsalinoCZ_skysword_energy=0.42#borsalinoCZ_skill_disappear01=1.43#borsalinoCZ_skill_appear01=1.93#borsalinoCZ_skysword_swordswing=2.18#borsalinoCZ_skysword_swordswing=2.57#borsalinoCZ_skysword_swordswing=3.1#borsalinoCZ_skysword_swordend=3.58#borsalinoCZ_lightsword_hit=2.26#borsalinoCZ_lightsword_hit=2.62#borsalinoCZ_lightsword_hit=3.19#borsalinoCZ_lightsword_hit=3.72#bodyrock_hit01=4.14</t>
  </si>
  <si>
    <t>Particles/borsalino/borsalino_attack04_C</t>
  </si>
  <si>
    <r>
      <rPr>
        <sz val="11"/>
        <color theme="1"/>
        <rFont val="等线"/>
        <charset val="134"/>
      </rPr>
      <t>745&amp;&amp;</t>
    </r>
    <r>
      <rPr>
        <sz val="11"/>
        <color theme="1"/>
        <rFont val="等线"/>
        <charset val="134"/>
      </rPr>
      <t>746</t>
    </r>
  </si>
  <si>
    <r>
      <rPr>
        <sz val="11"/>
        <color theme="1"/>
        <rFont val="宋体"/>
        <charset val="134"/>
      </rPr>
      <t>Particles/</t>
    </r>
    <r>
      <rPr>
        <sz val="11"/>
        <color theme="1"/>
        <rFont val="宋体"/>
        <charset val="134"/>
      </rPr>
      <t>borsalino</t>
    </r>
    <r>
      <rPr>
        <sz val="11"/>
        <color theme="1"/>
        <rFont val="宋体"/>
        <charset val="134"/>
      </rPr>
      <t>/</t>
    </r>
    <r>
      <rPr>
        <sz val="11"/>
        <color theme="1"/>
        <rFont val="宋体"/>
        <charset val="134"/>
      </rPr>
      <t>borsalino_attack04_light</t>
    </r>
  </si>
  <si>
    <t>光柱</t>
  </si>
  <si>
    <t>5205</t>
  </si>
  <si>
    <t>borsalinoCZ_lightpillar_energy=0#borsalinoCZ_lightpillar_cast=0.53#borsalinoCZ_lightpillar_castend=1.55#borsalinoCZ_lightpillar_explosion=1.78</t>
  </si>
  <si>
    <t>闪耀</t>
  </si>
  <si>
    <t>5206</t>
  </si>
  <si>
    <t>borsalinoCZ_supershinning=0.62</t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</si>
  <si>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48&amp;&amp;749</t>
    </r>
  </si>
  <si>
    <t>八尺琼勾玉</t>
  </si>
  <si>
    <t>5207</t>
  </si>
  <si>
    <t>borsalinoCZ_skill_disappear02=0.23#borsalinoCZ_skill_appear02=0.9#whooshsmall_general=1.8#borsalinoCZ_qionggouyu_energy=2.26#borsalinoCZ_qionggouyu_cast=3#borsalinoCZ_qionggouyu_laser=3.02#borsalinoCZ_qionggouyu_laser=3.13#borsalinoCZ_qionggouyu_laser=3.26#borsalinoCZ_qionggouyu_laser=3.38#borsalinoCZ_qionggouyu_laser=3.52#borsalinoCZ_qionggouyu_laser=3.68#borsalinoCZ_qionggouyu_laser=3.8#borsalinoCZ_qionggouyu_laser=3.92#borsalinoCZ_qionggouyu_laser=4.05#borsalinoCZ_qionggouyu_laser=4.18#borsalinoCZ_qionggouyu_laser=4.31#borsalinoCZ_qionggouyu_laser=4.4#borsalinoCZ_qionggouyu_laser=4.54#borsalinoCZ_qionggouyu_laser=4.67#borsalinoCZ_qionggouyu_laser=4.8#borsalinoCZ_qionggouyu_laser=4.96#borsalinoCZ_qionggouyu_laser=5.08#borsalinoCZ_qionggouyu_laser=5.2#borsalinoCZ_qionggouyu_laser=5.33#borsalinoCZ_qionggouyu_laser=5.46#borsalinoCZ_qionggouyu_laser=5.62#borsalinoCZ_qionggouyu_laser=5.74#borsalinoCZ_qionggouyu_laser=5.86#borsalinoCZ_qionggouyu_explosion=4.15#borsalinoCZ_qionggouyu_explosion=4.32#borsalinoCZ_qionggouyu_explosion=4.5#borsalinoCZ_qionggouyu_explosion=4.69#borsalinoCZ_qionggouyu_explosion=4.92#borsalinoCZ_qionggouyu_explosion=5.16#borsalinoCZ_qionggouyu_explosion=5.4#borsalinoCZ_qionggouyu_explosion=5.59#borsalinoCZ_qionggouyu_explosion=5.77#borsalinoCZ_qionggouyu_explosion=5.96#CV_borsalinoCZ_01=0.09</t>
  </si>
  <si>
    <t>Particles/borsalino/borsalino_attack07_C</t>
  </si>
  <si>
    <t>804&amp;&amp;805</t>
  </si>
  <si>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oot</t>
    </r>
  </si>
  <si>
    <r>
      <rPr>
        <sz val="11"/>
        <color theme="1"/>
        <rFont val="宋体"/>
        <charset val="134"/>
      </rPr>
      <t>Particles/borsalino</t>
    </r>
    <r>
      <rPr>
        <sz val="11"/>
        <color theme="1"/>
        <rFont val="宋体"/>
        <charset val="134"/>
      </rPr>
      <t>/</t>
    </r>
    <r>
      <rPr>
        <sz val="11"/>
        <color theme="1"/>
        <rFont val="宋体"/>
        <charset val="134"/>
      </rPr>
      <t>borsalino_attack07_light</t>
    </r>
  </si>
  <si>
    <t>八尺镜</t>
  </si>
  <si>
    <t>5208</t>
  </si>
  <si>
    <t>borsalinoCZ_bachijing_energy01=0.31#borsalinoCZ_bachijing_bachijing=1.84#borsalinoCZ_bachijing_bachijing=2.02#borsalinoCZ_bachijing_bachijing=2.2#borsalinoCZ_bachijing_bachijing=2.37#borsalinoCZ_skill_appear02=2.89#borsalinoCZ_bachijing_energy02=3.44#whooshlarge_general=4.07#borsalinoCZ_bachijing_swing=6.35#borsalinoCZ_bachijing_superkick=6.75#borsalinoCZ_bachijing_finalexplosion=7.51#CV_borsalinoCZ_02=2.5#CV_borsalinoCZ_03=4.59</t>
  </si>
  <si>
    <t>Particles/borsalino/borsalino_attack08_C</t>
  </si>
  <si>
    <r>
      <rPr>
        <sz val="11"/>
        <color theme="1"/>
        <rFont val="宋体"/>
        <charset val="134"/>
      </rPr>
      <t>-11,0,2&amp;&amp;-11,0,-2&amp;&amp;-11,0,0&amp;&amp;-13,0,0</t>
    </r>
  </si>
  <si>
    <r>
      <rPr>
        <sz val="11"/>
        <color theme="1"/>
        <rFont val="宋体"/>
        <charset val="134"/>
      </rPr>
      <t>Particles/borsalino</t>
    </r>
    <r>
      <rPr>
        <sz val="11"/>
        <color theme="1"/>
        <rFont val="宋体"/>
        <charset val="134"/>
      </rPr>
      <t>/</t>
    </r>
    <r>
      <rPr>
        <sz val="11"/>
        <color theme="1"/>
        <rFont val="宋体"/>
        <charset val="134"/>
      </rPr>
      <t>borsalino_attack08_light</t>
    </r>
  </si>
  <si>
    <t>约撒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</si>
  <si>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01501</t>
    </r>
  </si>
  <si>
    <t>Mr2_Swing01=0.319#nami_Cloth=0.542#Mr2_Swing01=1#Mr2_Swing01=1.2</t>
  </si>
  <si>
    <t>横砍</t>
  </si>
  <si>
    <r>
      <rPr>
        <sz val="11"/>
        <color theme="1"/>
        <rFont val="等线"/>
        <charset val="134"/>
      </rPr>
      <t>201502</t>
    </r>
  </si>
  <si>
    <t>nami_Cloth=0#Mr2_Swing01=0.473#mihawk_EnergyOut=0.543#garp_Cloth01=0.6</t>
  </si>
  <si>
    <t>竖砍</t>
  </si>
  <si>
    <r>
      <rPr>
        <sz val="11"/>
        <color theme="1"/>
        <rFont val="等线"/>
        <charset val="134"/>
      </rPr>
      <t>201503</t>
    </r>
  </si>
  <si>
    <t>brook_Swing03=0.26#nami_Cloth=0.687#garp_Cloth01=0.8#zoro_Swing02=1.2#SE_012035=1.531</t>
  </si>
  <si>
    <r>
      <rPr>
        <sz val="11"/>
        <color theme="1"/>
        <rFont val="等线"/>
        <charset val="134"/>
      </rPr>
      <t>7</t>
    </r>
    <r>
      <rPr>
        <sz val="11"/>
        <color theme="1"/>
        <rFont val="等线"/>
        <charset val="134"/>
      </rPr>
      <t>61&amp;&amp;762</t>
    </r>
  </si>
  <si>
    <t>奥义·赏金兄弟</t>
  </si>
  <si>
    <r>
      <rPr>
        <sz val="11"/>
        <color theme="1"/>
        <rFont val="等线"/>
        <charset val="134"/>
      </rPr>
      <t>201504</t>
    </r>
  </si>
  <si>
    <t>ultimate_Sign=0#garp_Cloth01=2.5#smoke_SteamCharge02=3.69#se_MoveEcho=4.738#zoro_Slash=5#zoro_Swing02=5.895#Mr2_Swing01=6.386#Mr2_Swing01=6.684#zoro_Slash_Heavy=7.436#mihawk_ObjFlying01=7.714</t>
  </si>
  <si>
    <t>Particles/joseph/joseph_attack04_C</t>
  </si>
  <si>
    <t>764&amp;&amp;765</t>
  </si>
  <si>
    <t>Bip001 L Foot&amp;&amp;Bip001 R Foot</t>
  </si>
  <si>
    <t>艾尼路普攻激光闪电版</t>
  </si>
  <si>
    <t>惩戒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</si>
  <si>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009</t>
    </r>
  </si>
  <si>
    <t>akainuCZ_punish_fireup=0#akainuCZ_punish_firecast=0.72#punch_hit_medium01=0.75#CV_akainuCZ_punish=0.18</t>
  </si>
  <si>
    <r>
      <rPr>
        <sz val="11"/>
        <color theme="1"/>
        <rFont val="宋体"/>
        <charset val="134"/>
      </rPr>
      <t>4</t>
    </r>
    <r>
      <rPr>
        <sz val="11"/>
        <color theme="1"/>
        <rFont val="宋体"/>
        <charset val="134"/>
      </rPr>
      <t>010</t>
    </r>
  </si>
  <si>
    <t>莫利亚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</si>
  <si>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301</t>
    </r>
  </si>
  <si>
    <t>moria_Swing01=0#moria_FlyingBats01=0.17#moria_Swing02=0.707#moria_FlyingBats01=0.77#se_MoveEcho=1.221#moria_Swing03=1.7#moria_Swing02=1.72#moria_FlyingBats01=1.75</t>
  </si>
  <si>
    <t>影法师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</si>
  <si>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302</t>
    </r>
  </si>
  <si>
    <t>nami_Cloth=0#se_Jump01=0.15#se_Jump02=0.349#moria_GroundImpact=0.789#SE_012035=1.1#se_Rock_Fall02=1#moria_Swing01=1.7#moria_FlyingBats01=2.1#moria_Swing01=2.3#CV_moria03=0</t>
  </si>
  <si>
    <t>影切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</si>
  <si>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303</t>
    </r>
  </si>
  <si>
    <t>smoke_SteamFlying05=0#buggy_Funny01=2#moria_ShakeSwing=2.773#moria_ScissorsCut=4.71#CV_moria07=1</t>
  </si>
  <si>
    <t>Particles/moria/moria_attack03_c</t>
  </si>
  <si>
    <t>僵尸突袭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</si>
  <si>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304</t>
    </r>
  </si>
  <si>
    <t>se_MoveEcho=0.088#Mr2_Swing02=0.474#se_Dig01=0.8#se_Dig02=1.106#buggy_Funny02=1.565#buggy_Charge01=1.626#se_Dig01=1.824#se_Dig02=1.874#buggy_Funny03=2.41#se_Dig02=2.641#se_Dig01=2.849#se_Dig02=3.3#chopper_Move01=3.408#se_Dig01=3.524#se_Dig02=3.774#CV_moria01=0</t>
  </si>
  <si>
    <t>影角枪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</si>
  <si>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305</t>
    </r>
  </si>
  <si>
    <t>nami_Cloth=0#moria_LandLancer=0#moria_Swing03=0.361#se_Rock_Fall02=0.512</t>
  </si>
  <si>
    <t>影箱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</si>
  <si>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306</t>
    </r>
  </si>
  <si>
    <t>moria_Ultramove=0#moria_FlyingBats02=1.415#moria_FlyingBats01=3#moria_FlyingBats03=3.505#moria_Box=4.2#moria_FlyingBats01=4.7#CV_moria05=0</t>
  </si>
  <si>
    <t>Particles/moria/moria_attack06_c</t>
  </si>
  <si>
    <t>影袭（僵尸从地面钻出来）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</si>
  <si>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307</t>
    </r>
  </si>
  <si>
    <t>nami_Cloth=0#kuzan_Swing=0.5#cp9_GroundImpact=0.959#moria_FlyingBats01=0.959#moria_FlyingBats02=1.076#moria_Magic02=1.186</t>
  </si>
  <si>
    <t>奥义·影子集合地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</si>
  <si>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308</t>
    </r>
  </si>
  <si>
    <t>moria_Magic01Fadein=0#moria_Ultimate01=1.07#moria_GroundImpact=6.357#moria_Ultimate02=6.357#smoke_SteamFlying05=8.192#moria_Magic01=9.313#moria_Magic03=9.313#se_RockFall02VmUp=11#se_HugeSwing=11.93#se_RockFall02VmUp=12.239#se_HugeSwing=13.541#se_RockFall02VmUp=13.796#se_RockFall02VmUp=13.82#moria_Darkmagic=14.5#CV_moria02=0.5</t>
  </si>
  <si>
    <t>Particles/moria/moria_attack08_c</t>
  </si>
  <si>
    <t>影子吞噬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</si>
  <si>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309</t>
    </r>
  </si>
  <si>
    <t>人形·指枪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</si>
  <si>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000302</t>
    </r>
  </si>
  <si>
    <t>nami_Cloth=0#Mr2_Swing02=0.3#Mr2_Swing01=0.35#cp9_FingerGun=0.42</t>
  </si>
  <si>
    <t>人形·铁块</t>
  </si>
  <si>
    <r>
      <rPr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000303</t>
    </r>
  </si>
  <si>
    <t>nami_Cloth=0#Mr2_AttackHeavy02=0.269#smoke_HitEcho=0.475</t>
  </si>
  <si>
    <t>甚平</t>
  </si>
  <si>
    <t>5401</t>
  </si>
  <si>
    <r>
      <rPr>
        <sz val="11"/>
        <color theme="1"/>
        <rFont val="等线"/>
        <charset val="134"/>
        <scheme val="minor"/>
      </rPr>
      <t>JinbeCZ_attack_swingred=0.27#JinbeCZ_attack_swingblue=0.92#JinbeCZ_attack_swingred=1.4#JinbeCZ_attack_swingpurple=1.97#</t>
    </r>
    <r>
      <rPr>
        <sz val="11"/>
        <color rgb="FFFF0000"/>
        <rFont val="等线"/>
        <charset val="134"/>
        <scheme val="minor"/>
      </rPr>
      <t>JinbeCZ_attack_water1=0.38#JinbeCZ_attack_water1=1.04#JinbeCZ_attack_water2=1.55#JinbeCZ_attack_water3=2.16#slap_hit_male=0.37#slap_hit_male=1.04#slap_hit_male=1.52#slap_hit_male=2.14</t>
    </r>
  </si>
  <si>
    <t>击水</t>
  </si>
  <si>
    <t>5402</t>
  </si>
  <si>
    <r>
      <rPr>
        <sz val="11"/>
        <color theme="1"/>
        <rFont val="等线"/>
        <charset val="134"/>
        <scheme val="minor"/>
      </rPr>
      <t>bodyrock_hit01=0#JinbeCZ_jishui_water1=0.29#JinbeCZ_attack_swingred=0.94#JinbeCZ_attack_swingred=1.25#JinbeCZ_attack_swingred=1.56#JinbeCZ_attack_swingpurple=2.09#JinbeCZ_jishui_water2=1.04#JinbeCZ_jishui_water2=1.36#JinbeCZ_jishui_water2=1.67#JinbeCZ_jishui_water3=2.18#</t>
    </r>
    <r>
      <rPr>
        <sz val="11"/>
        <color rgb="FFFF0000"/>
        <rFont val="等线"/>
        <charset val="134"/>
        <scheme val="minor"/>
      </rPr>
      <t>slap_hit_male=1.07#slap_hit_male=1.38#slap_hit_male=1.68#slap_hit_male=2.2</t>
    </r>
  </si>
  <si>
    <t>鲛瓦正拳</t>
  </si>
  <si>
    <t>5403</t>
  </si>
  <si>
    <t>whooshlarge_crash01=0.58#JinbeCZ_jiaopunch_water=2.02#JinbeCZ_jiaopunch_hit=2.91#punch_hit_giant01=2.91#water_hit1=3.05#CV_JinbeCZ_jiaopunch=0.16</t>
  </si>
  <si>
    <t>Particles/jinbe001_body/jinbe001_body_attack03_C</t>
  </si>
  <si>
    <t>环身海流</t>
  </si>
  <si>
    <t>5404</t>
  </si>
  <si>
    <t>bodyrock_hit02=0.66#JinbeCZ_hailiu=0.66</t>
  </si>
  <si>
    <t>群鲛</t>
  </si>
  <si>
    <t>5405</t>
  </si>
  <si>
    <r>
      <rPr>
        <sz val="11"/>
        <color theme="1"/>
        <rFont val="等线"/>
        <charset val="134"/>
        <scheme val="minor"/>
      </rPr>
      <t>JinbeCZ_attack_swingred=0.26#JinbeCZ_attack_swingred=0.54#JinbeCZ_attack_swingred=0.85#JinbeCZ_attack_swingred=1.14#JinbeCZ_attack_swingred=1.43#JinbeCZ_attack_swingpurple=2.04#JinbeCZ_qunjiao_water1=0.3#JinbeCZ_qunjiao_water2=0.73#JinbeCZ_qunjiao_water3=1.32#JinbeCZ_qunjiao_water4=2.02#JinbeCZ_qunjiao_waterend=2.48#JinbeCZ_qunjiao_waterhit1=0.86#JinbeCZ_qunjiao_waterhit2=1.12#JinbeCZ_qunjiao_waterhit3=1.48#</t>
    </r>
    <r>
      <rPr>
        <sz val="11"/>
        <color rgb="FFFF0000"/>
        <rFont val="等线"/>
        <charset val="134"/>
        <scheme val="minor"/>
      </rPr>
      <t>slap_hit_male=0.37#slap_hit_male=0.64#slap_hit_male=0.93#slap_hit_male=1.24#slap_hit_male=1.53#slap_hit_male=2.2#bodyrock_hit01=2.5</t>
    </r>
  </si>
  <si>
    <t>唐草瓦正拳</t>
  </si>
  <si>
    <t>5406</t>
  </si>
  <si>
    <t>mujixie=0.39#mujixie=0.69#JinbeCZ_attack_swingpurple=1.11#JinbeCZ_caopunch=1.28#punch_hit_medium01=1.31#CV_JinbeCZ_caopunch=0.26</t>
  </si>
  <si>
    <t>水心·海流过肩摔</t>
  </si>
  <si>
    <t>5407</t>
  </si>
  <si>
    <t>JinbeCZ_shuaijiao_oncean=0.48#JinbeCZ_shuaijiao_bubble1=1.52#whooshlarge_general=2.13#JinbeCZ_shuaijiao_waterwhoosh=2.59#JinbeCZ_shuaijiao_waterball=3.33#whooshmedium01=4.28#slap_hit_male=4.84#JinbeCZ_shuaijiao_fish=4.98#JinbeCZ_shuaijiao_bubble2=6.26#JinbeCZ_shuaijiao_crash=7.16#JinbeCZ_attack_swingpurple=7.12#JinbeCZ_shuaijiao_hit=7.48#JinbeCZ_shuaijiao_bubble3=8.56#mihawkCZ_wu_focus=8.86#JinbeCZ_shuaijiao_punch=9.08#JinbeCZ_shuaijiao_deep1=1.27#JinbeCZ_shuaijiao_deep2=4.17#JinbeCZ_shuaijiao_deep3=6.93#CV_JinbeCZ_shuaijiao1=2.79#CV_JinbeCZ_shuaijiao2=6.13#CV_JinbeCZ_shuaijiao3=9.69</t>
  </si>
  <si>
    <t>Particles/jinbe001_body/jinbe001_body_attack07_C</t>
  </si>
  <si>
    <t>Bip001 L Finger2</t>
  </si>
  <si>
    <t>奥义·武赖贯</t>
  </si>
  <si>
    <t>5408</t>
  </si>
  <si>
    <t>whooshlarge_nervous=0.41#whooshlarge_slashly03=1.87#JinbeCZ_aoyi_waterball=2.24#mihawkCZ_wu_focus=3.16#whooshsmall_general=3.41#JinbeCZ_aoyi_bubble=3.41#JinbeCZ_attack_swingpurple=4.46#punch_hit_giant01=4.69#JinbeCZ_aoyi_hit=4.69#LuffyCZ_JETrocket_rockhit=5.16#CV_JinbeCZ_aoyi1=0.44#CV_JinbeCZ_aoyi2=4.99</t>
  </si>
  <si>
    <t>Particles/jinbe001_body/jinbe001_body_attack08_C</t>
  </si>
  <si>
    <t>root&amp;&amp;</t>
  </si>
  <si>
    <t>l</t>
  </si>
  <si>
    <t>5501</t>
  </si>
  <si>
    <t>law_Sheath01=0.15#zoro_Swing01=0.344#zoro_Swing02=0.683#usopp_Cloth=1#se_Jump01=1.158#law_Swing01=1.408#law_Sheath02=2.539</t>
  </si>
  <si>
    <t>skill01</t>
  </si>
  <si>
    <t>5502</t>
  </si>
  <si>
    <t>nami_Cloth=0.2#zoro_Sheath_Begin=0.648#se_FingerSnap=1.462#vivi_Magic03=1.5#CV_law_Baton=0.6</t>
  </si>
  <si>
    <t>skill02</t>
  </si>
  <si>
    <t>5503</t>
  </si>
  <si>
    <t>Mr2_Swing02=0#law_Room=0.16#Mr2_Swing02=0.885#law_Teleport=1.034#zoro_Jumpspin=1.09#CV_law_Room2=0.16</t>
  </si>
  <si>
    <t>skill03</t>
  </si>
  <si>
    <t>5504</t>
  </si>
  <si>
    <t>zoro_Sheath_Begin=0.333#law_Sheath03=0.632#law_Sheath04=1.072#se_Jump02=1.918#kuzan_Swing=2.424#law_Sword=2.575#law_Sword=2.739#law_Sword=2.877#law_Sword=3.047#Mr2_Swing02=3.6#zoro_Jumpspin=4.325#law_Sword=4.325#law_Sword=4.457#law_Sword=4.602#law_Sword=4.802#law_Sword=5.076#zoro_Sheath_Begin=5.263#se_Jump02=5.263#smoke_SteamCharge02=6.03#zoro_Swing01=6#law_Swing01=7.168#law_Energy01=7.3#enel_Electric06=7.2#mihawk_ObjFlying05=7.5#CV_law03=0</t>
  </si>
  <si>
    <t>Particles/trafalgarlaw/trafalgarlaw_body_attack04_C</t>
  </si>
  <si>
    <r>
      <rPr>
        <sz val="11"/>
        <color theme="1"/>
        <rFont val="宋体"/>
        <charset val="134"/>
      </rPr>
      <t>-5,0,2&amp;&amp;-5,0,-2&amp;&amp;-5,0,0&amp;&amp;-7,0,0&amp;&amp;-7</t>
    </r>
    <r>
      <rPr>
        <sz val="11"/>
        <color theme="1"/>
        <rFont val="宋体"/>
        <charset val="134"/>
      </rPr>
      <t>,0,2&amp;&amp;-7,0,-2</t>
    </r>
  </si>
  <si>
    <t>skill04</t>
  </si>
  <si>
    <t>5505</t>
  </si>
  <si>
    <t>se_Jump01=0#se_Jump02=0.281#zoro_Jumpspin=0.402#zoro_Slash=1.178#smoke_SteamCharge02=1.178#CV_law_Injection=0#CV_law_shot=1.1</t>
  </si>
  <si>
    <t>skill05</t>
  </si>
  <si>
    <t>5511</t>
  </si>
  <si>
    <t>Mr2_Swing02=0.1#zoro_Sheath_Begin=0.3#law_Energy01=0.687#law_Energy02=0.753#enel_ElectricHit01=1.169#zoro_Sheath_Begin=2.1</t>
  </si>
  <si>
    <t>skill06</t>
  </si>
  <si>
    <t>5510</t>
  </si>
  <si>
    <t>Mr2_Swing02=1#tashigi_Swing01=1.443#tashigi_Swing01=2.13#zoro_Jumpspin=3.074#enel_SlowSight=3.574#zoro_Slash=4.389#se_Rush01=4.389#law_CriticalHit=4.4#mihawk_ObjFlying05=4.6#CV_law01=0</t>
  </si>
  <si>
    <t>Particles/trafalgarlaw/trafalgarlaw_body_attack07_C</t>
  </si>
  <si>
    <t>-2,0,0</t>
  </si>
  <si>
    <t>奥义</t>
  </si>
  <si>
    <t>5508</t>
  </si>
  <si>
    <t>law_RoomBefore=0#law_Room=1.012#nami_Cloth=2.566#law_Glance=3.425#se_Rush01=4.288#kuzan_IceCharge04=4.288#law_CriticalHit=4.397#zoro_Jumpspin=5.251#law_Catch=5.421#zoro_Sheath_Begin=6.133#CV_law_Room2=1#CV_law_Surgery=3.4</t>
  </si>
  <si>
    <t>Particles/trafalgarlaw/trafalgarlaw_body_attack08_C</t>
  </si>
  <si>
    <t>5509</t>
  </si>
  <si>
    <t>Mr2_Swing02=0.1#law_Room=0.3</t>
  </si>
  <si>
    <t>n</t>
  </si>
  <si>
    <t>attack01</t>
  </si>
  <si>
    <t>5601</t>
  </si>
  <si>
    <t>hancock_Kick01=0.288#hancock_Kick02=0.365#se_Jump02=0.693#hancock_Kick03=0.898</t>
  </si>
  <si>
    <t>attack02</t>
  </si>
  <si>
    <t>5602</t>
  </si>
  <si>
    <t>hancock_Kick01=0.116#hancock_Kick04=0.402#hancock_Kick05=0.824#hancock_Kick01=1#usopp_Cloth=1.181#hancock_Kick06=1.548#hancock_Kick03=1.548</t>
  </si>
  <si>
    <t>attack03</t>
  </si>
  <si>
    <t>5603</t>
  </si>
  <si>
    <t>hancock_Kiss01=0#nami_Cloth=1#hancock_Beam=1.4#CV_Hancock_SweetyWind=0</t>
  </si>
  <si>
    <t>attack04</t>
  </si>
  <si>
    <t>5604</t>
  </si>
  <si>
    <t>ultimate_Sign=0#hancock_Kiss03=1#usopp_Tap=2.882#hancock_Kiss02=3.2#hancock_Shoot03=4.2#hancock_Arrows01=4.389#hancock_Arrows02=5#CV_Hancock_SlaveSword=2</t>
  </si>
  <si>
    <t>Particles/hancock/hancock_attack04_c</t>
  </si>
  <si>
    <t>attack05</t>
  </si>
  <si>
    <t>5605</t>
  </si>
  <si>
    <t>hancock_Kiss01=0.647#hancock_Kiss02=1.709#nami_Cloth=2.2#hancock_Shoot01=2.629#hancock_Shoot01=2.761#hancock_Shoot01=2.9178#hancock_Shoot01=3.042#hancock_Shoot01=3.192#hancock_Shoot01=3.317#hancock_Shoot01=3.517#hancock_Shoot01=3.674#hancock_Shoot01=3.874#hancock_Shoot01=4.074#hancock_Shoot02=4.074#CV_Hancock_PistolKiss=1</t>
  </si>
  <si>
    <t>attack06</t>
  </si>
  <si>
    <t>5606</t>
  </si>
  <si>
    <t>se_Jump01=0.228#se_Jump02=0.5#hancock_Kick03=0.586#se_Rock_Fall02=1#moria_GroundImpact=1.018</t>
  </si>
  <si>
    <t>attack07</t>
  </si>
  <si>
    <t>5607</t>
  </si>
  <si>
    <t>smoke_SteamFlying05=0#hancock_Cloth01=3.242#usopp_Cloth=3.381#usopp_Cloth=3.774#Mr2_Swing02=3.774#cp9_GroundImpact=4.253#se_Jump02=4.609#se_Jump02=4.713#usopp_Cloth=5.353#crocodile_ObjFlyingSwing=5.5#crocodile_Swing01=5.958#hancock_QuickKicks01=6.533#hancock_QuickKicks02=9.128#se_Jump02=9.733#cp9_GroundImpact=10#CV_Hancock01=1.5</t>
  </si>
  <si>
    <t>Particles/hancock/hancock_attack07_c</t>
  </si>
  <si>
    <t>0,0,-1.5</t>
  </si>
  <si>
    <t>attack08</t>
  </si>
  <si>
    <t>5608</t>
  </si>
  <si>
    <t>ultimate_Sign=0#hancock_QuickKicks03=0.787#hancock_Cloth01=0.936#hancock_QuickKicks02=1.168#hancock_Charm=1.916#se_Jump01=2.882#se_Jump02=3.082#Mr2_MoveCircle01=3.2#se_Jump02=3.31#se_Jump02=3.503#hancock_QuickKicks01=3.569#hancock_Kick07=6.627#SE_012035=7.4#kuma_HitGround=7.4#moria_GroundImpact=7.4#kalifa_MagicClean=7.5#CV_Hancock_PerfumeFeet=0</t>
  </si>
  <si>
    <t>Particles/hancock/hancock_attack08_c</t>
  </si>
  <si>
    <t>j</t>
  </si>
  <si>
    <t>smoke_Swing01=0#kid_Swing02=0.789#se_Jump01=1.448#se_Jump02=1.6#kid_Bend=1.6#kid_Swing01=1.8#kid_Swing02=1.849#kid_Crash01=2.048#SE_012035=2.04#kuma_HitGround=2.048</t>
  </si>
  <si>
    <t>usopp_Cloth=0#kid_AttractionLite01=0.709#kid_Iron01=1.739</t>
  </si>
  <si>
    <t>kid_Attraction01=0#kid_Iron01=2#kid_Attraction02=2.132#kid_Bend=5.082#kid_Swing02=5.577#kid_ObjectFly01=6.089#smoke_SteamFlying05=6.228#se_GroundShakingFade=6.713#perona_GroundHit=8#kuma_BubbleBoom=9.5#kid_Crash02=9.678#perona_BigExplosion=9.671#CV_kid12=0</t>
  </si>
  <si>
    <t>Particles/kidpirates/kidpirates_body_attack03_C</t>
  </si>
  <si>
    <t>kid_Swing02=0.168#kid_Swing02=0.8#kid_Swing02=1.849#kid_Swing01=1.849#kid_Crash01=2.143#kuma_HitGround=2.143#SE_012035=2.2#se_Rock_Fall01=2.2#CV_kid_atk01=0.168#CV_kid_atk02=1.72</t>
  </si>
  <si>
    <t>kidpirates_hit</t>
  </si>
  <si>
    <t>usopp_Cloth=0#kid_AttractionLite01=0.445#kid_IronShoot=1</t>
  </si>
  <si>
    <t>kid_Attraction0Lite02=0</t>
  </si>
  <si>
    <t>kid_Attraction02=0#kid_Iron02=3.336#enel_ElectricSpeedyHit=3.336#enel_Electric04=3.906#smoke_SteamFlying05=4.083#kid_ObjectFly02=5.122#enel_Electric06=5.122#kid_ObjectFly03=6.132#kid_Crash03=6.273#SE_012035=6.373#se_RockFall02VmUp=6.373#kid_Iron01=6.373#CV_kid_atk02=4.5</t>
  </si>
  <si>
    <t>Particles/kidpirates/kidpirates_body_attack07_C</t>
  </si>
  <si>
    <t>Particles/kidpirates/kidpirates_body_attack08_C</t>
  </si>
  <si>
    <t>smoke_SteamFlying05=0#kid_ObjectFly02=2.396#kid_Attraction03=2.75#kid_Bend=4.274#kid_Iron01=4.274#kid_Crash01=5.041#kid_Crash01=5.5#kid_Crash01=5.5#kid_Iron01=6.15#kuma_HitGround=6.15#kid_Crash01=6.15#kid_Crash01=6.15#garp_CounterHit=6.15#kid_Attraction0Lite03=6.15#kid_Wind01=6.818#Explo_Small_Bomb3=7.729#perona_BigExplosion=7.729#usopp_Elec_Explosion=7.729#kid_Crash02=7.729#usopp_Explosion=7.729#CV_kid05=0.2</t>
  </si>
  <si>
    <t>Particles/kidpirates/kidpirates_body_attack09_C</t>
  </si>
  <si>
    <t>Hero_113005</t>
  </si>
  <si>
    <t>普攻-分身攻击</t>
  </si>
  <si>
    <t>3000206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</si>
  <si>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509</t>
    </r>
  </si>
  <si>
    <t>Mr2_Swing02=0.1#law_Room=0.3#nami_Cloth=1.5#zoro_Sheath_Begin=1.948#se_FingerSnap=2.762#vivi_Magic03=2.8#CV_law_Baton=1.8</t>
  </si>
  <si>
    <t>5531</t>
  </si>
  <si>
    <t>Mr2_Swing02=0.385#law_Teleport=0.534#zoro_Jumpspin=0.59</t>
  </si>
  <si>
    <t>HID_112027</t>
  </si>
  <si>
    <t>normal</t>
  </si>
  <si>
    <t>5801</t>
  </si>
  <si>
    <t>Mr2_Swing01=0.173#Mr2_Swing01=0.573#zoro_Jumpspin=0.936#kuzan_Swing=1.024#SE_012035=1.4</t>
  </si>
  <si>
    <t>triK</t>
  </si>
  <si>
    <t>5802</t>
  </si>
  <si>
    <t>nami_Cloth=0#luffy_Rolling=0.34#Mr2_Swing01=0.923#Mr2_Swing01=1.005#Mr2_Swing01=1.087#Mr2_Swing01=1.188</t>
  </si>
  <si>
    <t>freefall</t>
  </si>
  <si>
    <t>5803</t>
  </si>
  <si>
    <t>nami_Cloth=0#se_Jump02=0.3#Mr2_MoveCircle01=0.404#Mr2_Swing01=0.9#SE_012035=1.031#se_Jump01=1.435#Mr2_Swing01=1.525</t>
  </si>
  <si>
    <t>overheat</t>
  </si>
  <si>
    <t>5804</t>
  </si>
  <si>
    <t>nami_Cloth=0#cp9_GroundImpact=0.77#se_FalltoGround=0.818#CV_bepo13=0</t>
  </si>
  <si>
    <t>pose</t>
  </si>
  <si>
    <t>5805</t>
  </si>
  <si>
    <t>Hogbak_Magic02=0#mihawk_EnergySp02=0.594#perona_GhostMove03=0.699#usopp_Tap=0.872</t>
  </si>
  <si>
    <t>cooldown</t>
  </si>
  <si>
    <t>5806</t>
  </si>
  <si>
    <t>buggy_Funny01=0.2#buggy_Funny02=0.6#buggy_Funny03=1.4#Mr2_Funny02=1.517#kuzan_IceCharge02=2.2#Mr2_Swing02=2.4#nami_Cloth=3.6#Mr2_Swing01=4#Mr2_Swing01=4.246#Mr2_Swing01=4.464#Mr2_Swing01=4.717#nami_Cloth=5.2#se_Squeak01=5.2#nami_Cloth=6#se_Squeak02=6#nami_Cloth=6.737#usopp_Throw=6.917#smoke_SteamCharge02=6.917#Mr2_Funny01=7.526#SE_012035=8.097#se_Rock_Fall02=8.11#luffy_Leak_Resume=9.6#CV_bepo02=8.5</t>
  </si>
  <si>
    <t>Particles/bepo/bepo_attack06_C</t>
  </si>
  <si>
    <t>sumim</t>
  </si>
  <si>
    <t>5807</t>
  </si>
  <si>
    <t>smoke_SteamFlying05=0#usopp_Cloth=0.181#se_Jump01=1.133#zoro_Jumpspin=1.402#luffy_Rolling=1.8#luffy_Rolling=2.041#sanji_Kicks_Speedy=2.6#Mr2_Swing01=3.573#nami_Cloth=3.984#se_Jump02=4.43#sanji_Kick_Heavy=4.648#smoke_SteamFlying08=4.848#se_Ding=5.5#CV_bepo07=0</t>
  </si>
  <si>
    <t>Particles/bepo/bepo_attack07_C</t>
  </si>
  <si>
    <t>gesshu</t>
  </si>
  <si>
    <t>5808</t>
  </si>
  <si>
    <t>se_WindLoop2=0#nami_Cloth=0#nami_Cloth=1#usopp_Cloth=2.299#kuzan_IceCharge02=3.173#brook_Charge01=4.686#sanji_Kick_Heavy=5.754#nami_Cloth=6.288#chopper_Punch03=6.906#se_Jump01=6.906#zoro_Jumpspin=6.906#smoke_SteamFlying05=7.5#franky_Punch_Heavy=8.6#Mr2_AttackHeavy02=9.069#smoke_SteamCharge02=9.069#kuma_HitGround=10.3#se_Rock_Fall02=10.3#SE_012035=10.5#CV_bepo14=0</t>
  </si>
  <si>
    <t>Particles/bepo/bepo_attack08_C</t>
  </si>
  <si>
    <t>战桃丸</t>
  </si>
  <si>
    <t>5901</t>
  </si>
  <si>
    <t>smoke_Swing01=0.135#nami_Cloth=0.764#jinbe_Swing01=1.11#SE_012035=1.33#se_Rock_Fall02=1.358</t>
  </si>
  <si>
    <t>5902</t>
  </si>
  <si>
    <t>nami_Cloth=0#jinbe_Swing01=0.4#SE_012035=0.655#se_Rock_Fall02=0.655#jinbe_Swing04=0.805#SE_012035=1.16#se_Rock_Fall02=1.16#jinbe_Swing01=1.6#SE_012035=1.86#se_Rock_Fall02=1.86</t>
  </si>
  <si>
    <t>palmkick</t>
  </si>
  <si>
    <t>5903</t>
  </si>
  <si>
    <t>nami_Cloth=0#smoke_Swing03=0.395#smoke_Swing03=0.519#smoke_Swing03=0.6#smoke_Swing03=0.704#smoke_Swing01=0.704</t>
  </si>
  <si>
    <t>supportA</t>
  </si>
  <si>
    <t>5904</t>
  </si>
  <si>
    <t>garp_Cloth02=0.266#franky_Cannon_Shoot=0.7#franky_Cannon_Shoot=0.8#franky_Cannon_Shoot=0.874#CannonFire_Whistle1=1#usopp_Explosion=1.335#grenade_boom=1.335#Explo_Rock1=1.369#usopp_Explosion=1.6#grenade_boom=1.6#Explo_Rock1=1.819#usopp_Explosion=1.819#grenade_boom=1.9</t>
  </si>
  <si>
    <t>sumo</t>
  </si>
  <si>
    <t>5905</t>
  </si>
  <si>
    <t>nami_Cloth=0#cp9_GroundImpact=0.612#SE_012035=0.612#cp9_GroundImpact=1#SE_012035=1#Pickup_Magic44=1</t>
  </si>
  <si>
    <t>palmultra</t>
  </si>
  <si>
    <t>5906</t>
  </si>
  <si>
    <t>nami_Cloth=0#Swish_Rope_WebSwing1=0.342#se_Jump02=1.197#zoro_Jumpspin=1.197#smoke_SteamCharge02=1.197#se_Jump02=1.342#zoro_Jumpspin=1.342#se_Jump02=1.737#zoro_Jumpspin=1.737#kuma_SwingSlowly=1.87#jinbe_Jet02=2.75#franky_Punch_Heavy=3.1#jinbe_Impact=3.173#SE_012035=3.352#franky_Windshoot_Boom=3.428#nami_Wind_Push=3.428</t>
  </si>
  <si>
    <t>Particles/sentoumaru/sentoumaru_attack06_C</t>
  </si>
  <si>
    <t>kickout</t>
  </si>
  <si>
    <t>5907</t>
  </si>
  <si>
    <t>nami_Cloth=0.288#kuzan_IceCharge02=1.031#jinbe_Swing05=2#moria_Swing03=2#Swish_SwingHugeShovel=2.2#moria_Swing03=2.3</t>
  </si>
  <si>
    <t>Particles/sentoumaru/sentoumaru_attack07_C</t>
  </si>
  <si>
    <t>laserjin</t>
  </si>
  <si>
    <t>5908</t>
  </si>
  <si>
    <t>ultimate_Sign=0#chopper_Ultramove=0#kuma_Laser01=2.495#kuma_LaserPrepare=2.581#kuma_LaserPrepare=3.197#kuma_Laser01=3.295#kuma_LaserPrepare=3.8#kuma_LaserShoot02=4.819#usopp_Explosion=4.9#kuma_LaserShoot02=5.137#usopp_Explosion=5.2#kuma_LaserShoot02=5.496#kuma_LaserShoot01=5.498#usopp_Explosion=5.5#usopp_Explosion=5.65#kuma_Laser02=5.812#kuma_LaserShoot02=5.9#usopp_Explosion=5.9#kuma_LaserShoot02=5.9#usopp_Explosion=6.15#kuma_LaserShoot02=6.213#usopp_Explosion=6.215#kuma_LaserShoot01=6.215#usopp_Explosion=6.35#kuma_LaserShoot02=6.494#usopp_Explosion=6.494#kuma_Laser02=6.496#usopp_Explosion=6.45#usopp_Explosion=6.65#kuma_LaserShoot02=6.717#usopp_Explosion=6.8#usopp_Explosion=6.9#usopp_Explosion=7#kuma_LaserShoot02=7.035#usopp_Explosion=7.1#usopp_Explosion=7.2#kuma_Laser02=7.305#usopp_Explosion=7.3#kuma_Laser02=7.5</t>
  </si>
  <si>
    <t>Particles/sentoumaru/sentoumaru_attack08_C</t>
  </si>
  <si>
    <t>雷利</t>
  </si>
  <si>
    <t>6001</t>
  </si>
  <si>
    <t>jinbe_Swing02=0#usopp_Cloth=0.169#jinbe_Swing01=0.622#nami_Cloth=0.84#jinbe_Swing04=0.842#se_Jump01=1.382#jinbe_Swing05=1.411#jinbe_Swing01=1.7</t>
  </si>
  <si>
    <t>6002</t>
  </si>
  <si>
    <t>nami_Cloth=0.688#crocodile_Swing02=0.915#jinbe_Swing04=1#jinbe_Swing01=1.072#se_Jump01=1.482#se_Jump02=1.6#zoro_Jumpspin=1.771#se_Jump02=1.96#jinbe_Swing02=2#jinbe_Swing03=2.114#jinbe_Swing01=2.405</t>
  </si>
  <si>
    <t>6003</t>
  </si>
  <si>
    <t>jinbe_Swing02=0#crocodile_Swing02=0.17#jinbe_Swing04=0.189#se_Punch_FaceHit=0.367#se_Kick_Hit01=0.367#se_Punch_Hit01=0.367#se_Jump01=0.715#kid_ObjectFly02=0.722#zoro_Jumpspin=0.772#jinbe_Swing05=0.772#jinbe_Swing04=0.989#se_Punch_FaceHit=1.1#se_Kick_Hit01=1.1#se_Punch_Hit01=1.1#SE_012035=1.369#se_Rock_Fall02=1.369#kuma_HitGround=1.369#CV_reilly05=0#CV_reilly07=0.8</t>
  </si>
  <si>
    <t>6004</t>
  </si>
  <si>
    <t>usopp_Cloth=0#mihawk_EnergyIn=0.324#tashigi_Swing01=0.418#zoro_Slash_Heavy=0.49#mihawk_ObjFlying01=0.644</t>
  </si>
  <si>
    <t>6005</t>
  </si>
  <si>
    <t>nami_Cloth=0#usopp_Cloth=0.257#brook_BlinkSwing=0.582#zoro_Jumphit=0.914#zoro_Slash=0.914#mihawk_ObjFlying02=1#zoro_Jumphit=1.2#zoro_Slash_Long=1.2#CV_reilly06=0.3</t>
  </si>
  <si>
    <t>6006</t>
  </si>
  <si>
    <t>Mr2_Swing02=0.5#kuzan_IceCharge01=0.711#usopp_Cloth=1.5#jinbe_Swing05=1.9#jinbe_Swing01=2.198#garp_Jump01=2.425#sengoku_GroundStep=2.7#se_Jump01=2.788#zoro_Jumpspin=2.822#se_Jump02=3#zoro_Slash=3.445#zoro_Slash=3.575#zoro_Slash=3.671#zoro_Slash=3.685#zoro_Slash=3.895#zoro_Jumphit=4.008#zoro_Slash=4.027#zoro_Slash=4.253#zoro_Slash=4.396#zoro_Slash_Heavy=4.684#zoro_Jumpspin=5.785#se_Jump02=5.926#jinbe_Swing05=5.944#se_Punch_Giant_Hit=6.438#enel_SlowSight=6.519#mihawk_ObjFlying01=7.15#mihawk_ObjFlying04=7.15#smoke_SteamFlying02=7.664#CV_reilly02=6.5</t>
  </si>
  <si>
    <t>Particles/rayleigh/rayleigh_body_attack06c</t>
  </si>
  <si>
    <t>-5,0,2&amp;&amp;-5,0,-2&amp;&amp;-5,0,0&amp;&amp;-7,0,0&amp;&amp;-7,0,2&amp;&amp;-7,0,-2</t>
  </si>
  <si>
    <t>6007</t>
  </si>
  <si>
    <t>smoke_SteamFlying05=0#brook_Charge01=1.8#kuzan_IceCharge02=2.148#zoro_Slash=3.462#borsalino_LightShining01=3.477#law_Charge=3.515#sel_CriticalHit01=4.47#nami_WindBuff=4.47#se_Swordheavy_Hit=4.47#CV_reilly10=0</t>
  </si>
  <si>
    <t>Particles/rayleigh/rayleigh_body_attack07c</t>
  </si>
  <si>
    <t>1176&amp;&amp;1177</t>
  </si>
  <si>
    <t>root&amp;&amp;&amp;root</t>
  </si>
  <si>
    <t>6008</t>
  </si>
  <si>
    <t>nami_Cloth=0#kuzan_IceCharge01=0.411#kid_Wind01=0.818#Hogbak_Magic02=2#chopper_Punch01=3.966#usopp_Cloth=4.099#chopper_Ultramove=4.099#zoro_Slash=6.22#zoro_Slash_Heavy=6.084#mihawk_ObjFlying01=6.636#mihawk_ObjFlying04=7.054#mihawk_ObjFlying05=7.3#CV_reilly11=3</t>
  </si>
  <si>
    <t>Particles/rayleigh/rayleigh_body_attack08_c</t>
  </si>
  <si>
    <t>Dummy001</t>
  </si>
  <si>
    <t>战国预留</t>
  </si>
  <si>
    <t>6101</t>
  </si>
  <si>
    <t>smoke_Swing04=0.14#smoke_Swing01=0.567#smoke_Swing02=1.2#smoke_Swing01=1.366</t>
  </si>
  <si>
    <t>6102</t>
  </si>
  <si>
    <t>usopp_Cloth=0#se_HugeSwing=0#Hogbak_Magic02=0#Hogbak_Magic01=0.455#smoke_Swing02=1.061#usopp_Cloth=1.33#sanji_Kick_Heavy=1.35#borsalino_Light01=1.35#CV_sengoku13=1.2</t>
  </si>
  <si>
    <t>6103</t>
  </si>
  <si>
    <t>smoke_Swing01=0#smoke_Swing05=0.25#smoke_Swing03=0.695#chopper_Punch03=0.887#chopper_Punch03=0.995#chopper_Punch03=1.107#chopper_Punch03=1.214#chopper_Punch03=1.321#chopper_Punch03=1.4#chopper_Punch03=1.507#chopper_Punch01=1.726</t>
  </si>
  <si>
    <t>6104</t>
  </si>
  <si>
    <t>smoke_Swing01=0#usopp_Cloth=0#jinbe_Swing04=0.383#smoke_Swing01=0.8#chopper_Punch02=1#cv_sengoku13=1</t>
  </si>
  <si>
    <t>6105</t>
  </si>
  <si>
    <t>kuma_SwingSlowly=0#jinbe_Swing03=1.224#se_Impact03=1.855#kuma_HitGround=1.921#garp_Jump01=2.125#se_Jump01=2.357#cp9_StormKick=2.495#jinbe_Swing01=2.66#jinbe_Swing01=2.767#jinbe_Swing01=2.874#jinbe_Swing01=2.981#jinbe_Swing01=3.088#jinbe_Swing01=3.195#se_Jump02=3.8#kuzan_Swing02=3.97#chopper_Punch03=4.32#garp_Transform01=4.8#smoke_SteamFlying06=5.7#kuma_HitGround=8.023#garp_GroundShaking=8.023#se_RockFall02VmUp=8.2#perona_GroundHit=8.4#garp_FistPalm=10#CV_sengoku03=0</t>
  </si>
  <si>
    <t>Particles/sengoku/sengoku_attack05_C</t>
  </si>
  <si>
    <t>1296&amp;&amp;1296</t>
  </si>
  <si>
    <t>Particles/sengoku/sengoku_attack05_light</t>
  </si>
  <si>
    <t>6106</t>
  </si>
  <si>
    <t>ultimate_Sign=0#sengoku_Transform=0.874#sengoku_Light=1.572#borsalino_LightExplosion01=4.921#enel_SlowSight=5#sengoku_Sky=5#smoke_SteamFlying05=5.6#sengoku_Budda=5.6#luffy_Punch_Giant02=8#perona_GroundHit=8.136#se_Punch_Giant_Hit=8.178#kuma_HitGround=8.2#moria_GroundImpact=8.2#se_Punch_Giant_Hit=8.5#kuma_HitGround=8.842#sengoku_ImpactLite=9.181#sengoku_ImpactLite=9.502#sengoku_ImpactLite=9.905#cv_sengoku05=0#CV_sengoku09=5</t>
  </si>
  <si>
    <t>Particles/sengoku/sengoku_attack06_C</t>
  </si>
  <si>
    <t>3000501</t>
  </si>
  <si>
    <t>sengoku_SwingHuge01=0.362#sengoku_SwingHuge01=1#sengoku_SwingHuge02=1.714#se_RockFall02VmUp=1.714#kuma_HitGround=1.829#SE_012035=1.829</t>
  </si>
  <si>
    <t>3000502</t>
  </si>
  <si>
    <t>sengoku_SwingHuge02=0.333#sengoku_Speed=0.483#sengoku_SwingHuge01=0.879#sengoku_Speed=1#sengoku_SwingHuge02=1.773#jinbe_Impact=1.8#sengoku_GroundStep=1.848#sengoku_Speed=1.848#CV_sengoku11=0.33#CV_sengoku12=0.87#CV_sengoku13=1.77</t>
  </si>
  <si>
    <t>3000503</t>
  </si>
  <si>
    <t>sengoku_Transform02=0#jinbe_Swing02=2.604#sengoku_SwingHuge02=4.433#perona_BigExplosion=4.669#sengoku_Light=5#sengoku_Explosion02=5.169#borsalino_Light01=5.5#sengoku_Explosion=5.862#sengoku_Explosion02=6.427#CV_sengoku04=1#CV_sengoku01=6.5</t>
  </si>
  <si>
    <t>Particles/sengoku/sengoku_attack09_C</t>
  </si>
  <si>
    <t>麦哲伦</t>
  </si>
  <si>
    <r>
      <rPr>
        <sz val="11"/>
        <color theme="1"/>
        <rFont val="宋体"/>
        <charset val="134"/>
      </rPr>
      <t>6</t>
    </r>
    <r>
      <rPr>
        <sz val="11"/>
        <color theme="1"/>
        <rFont val="宋体"/>
        <charset val="134"/>
      </rPr>
      <t>201</t>
    </r>
  </si>
  <si>
    <t>mihawk_Swing01=0.36#mihawk_Swing02=0.747#mihawk_Swing03=1.259#mihawk_Swing01=1.43</t>
  </si>
  <si>
    <t>毒·云</t>
  </si>
  <si>
    <r>
      <rPr>
        <sz val="11"/>
        <color theme="1"/>
        <rFont val="宋体"/>
        <charset val="134"/>
      </rPr>
      <t>6202</t>
    </r>
  </si>
  <si>
    <t>nami_Cloth=0#magellan_Gas01=0.5#nami_WindIce=0.512#CV_mazeran_PoisonCloud=0</t>
  </si>
  <si>
    <t>Bip001 Head</t>
  </si>
  <si>
    <t>毒·河豚</t>
  </si>
  <si>
    <r>
      <rPr>
        <sz val="11"/>
        <color theme="1"/>
        <rFont val="宋体"/>
        <charset val="134"/>
      </rPr>
      <t>6203</t>
    </r>
  </si>
  <si>
    <t>nami_Cloth=0#Mr2_Swing02=0.274#magellan_Venom01=0.522#SE_012035=0.6#Mr2_Swing02=1.2#magellan_Venom01=1.322#SE_012035=1.4#Mr2_Swing02=2#SE_012035=2.1#sakazuki_LavaMove02=2.1#magellan_Venom01=2.1</t>
  </si>
  <si>
    <t>毒·瓦斯</t>
  </si>
  <si>
    <r>
      <rPr>
        <sz val="11"/>
        <color theme="1"/>
        <rFont val="宋体"/>
        <charset val="134"/>
      </rPr>
      <t>6204</t>
    </r>
  </si>
  <si>
    <t>nami_Cloth=0#Mr2_Swing02=0.512#SE_012035=0.891#magellan_Gas02=0.95</t>
  </si>
  <si>
    <t>毒·喷射</t>
  </si>
  <si>
    <r>
      <rPr>
        <sz val="11"/>
        <color theme="1"/>
        <rFont val="宋体"/>
        <charset val="134"/>
      </rPr>
      <t>6205</t>
    </r>
  </si>
  <si>
    <t>nami_Cloth=0#sakazuki_LavaPunch03=0.512#sakazuki_LavaExplo02=0.735#sakazuki_LavaExplo01=0.832#sakazuki_LavaPunch02=1.178#sakazuki_LavaExplo01=1.632#sakazuki_LavaExplo02=1.967#perona_SmallExplosion=2.265#perona_SmallExplosion=2.8#sakazuki_LavaExplo01=2.931#perona_SmallExplosion=3.042</t>
  </si>
  <si>
    <t>毒龙</t>
  </si>
  <si>
    <r>
      <rPr>
        <sz val="11"/>
        <color theme="1"/>
        <rFont val="宋体"/>
        <charset val="134"/>
      </rPr>
      <t>6206</t>
    </r>
  </si>
  <si>
    <t>morgan_pre=0#Mr2_Swing02=0.674#jinbe_Impact=0.674#nami_Shoot=0.674#SE_012035=1.2#magellan_Gas02=1.2#magellan_VenomGlue01=1.701#se_DragonRoar1=3.892#smoke_SteamFlying05=4.329#sakazuki_LavaMove02=5.19#sakazuki_LavaPunch03=6.87#sakazuki_LavaExplo01=7.132#CV_mazeran02=1.1</t>
  </si>
  <si>
    <t>Particles/magellan/magellan001_body_attack06_C</t>
  </si>
  <si>
    <t>-7,0,2&amp;&amp;-7,0,-2&amp;&amp;-7,0,0&amp;&amp;-9,0,0&amp;&amp;-9,0,2&amp;&amp;-9,0,-2</t>
  </si>
  <si>
    <t>奥义·毒之巨兵</t>
  </si>
  <si>
    <r>
      <rPr>
        <sz val="11"/>
        <color theme="1"/>
        <rFont val="宋体"/>
        <charset val="134"/>
      </rPr>
      <t>6207</t>
    </r>
  </si>
  <si>
    <t>enel_SlowSight=0#usopp_Cloth=3#sengoku_Sky=3.333#sakazuki_LavaMove02=5.603#magellan_VenomGlue01=6#luffy_Punch_Giant02=8.5#sakazuki_LavaMove01=8.6#jinbe_Impact=9.1#sengoku_GroundStep=9.1#sakazuki_LavaMove01=9.1#magellan_VenomGlue01=9.81#jinbe_Impact=11.1#sengoku_GroundStep=11.1#sakazuki_LavaMove02=11.1#sakazuki_LavaExplo01=12.432#magellan_VenomGlue01=12.62#smoke_SteamFlying05=13.245#kuma_HitGround=16.35#sakazuki_LavaMove01=16.35#sakazuki_LavaPunch03=16.35#SE_012035=16.35#CV_mazeran_PoisonSoldier=1.3#CV_mazeran_HellJugement=13</t>
  </si>
  <si>
    <r>
      <rPr>
        <sz val="11"/>
        <color theme="1"/>
        <rFont val="宋体"/>
        <charset val="134"/>
      </rPr>
      <t>Particles/</t>
    </r>
    <r>
      <rPr>
        <sz val="11"/>
        <color theme="1"/>
        <rFont val="宋体"/>
        <charset val="134"/>
      </rPr>
      <t>magellan</t>
    </r>
    <r>
      <rPr>
        <sz val="11"/>
        <color theme="1"/>
        <rFont val="宋体"/>
        <charset val="134"/>
      </rPr>
      <t>/magellan001_body_attack07_C</t>
    </r>
  </si>
  <si>
    <t>麦哲伦·毒兵</t>
  </si>
  <si>
    <r>
      <rPr>
        <sz val="11"/>
        <color theme="1"/>
        <rFont val="宋体"/>
        <charset val="134"/>
      </rPr>
      <t>6208</t>
    </r>
  </si>
  <si>
    <t>magellan_VenomGlue02=0#sakazuki_LavaExplo01=1.332#sakazuki_LavaExplo01=1.8</t>
  </si>
  <si>
    <r>
      <rPr>
        <sz val="11"/>
        <color theme="1"/>
        <rFont val="宋体"/>
        <charset val="134"/>
      </rPr>
      <t>6209</t>
    </r>
  </si>
  <si>
    <t>magellan_VenomGlue02=0#sakazuki_LavaMove01=1.831#sakazuki_LavaPunch03=2.236#kuma_HitGround=2.236#SE_012035=2.336</t>
  </si>
  <si>
    <t>毒·通道</t>
  </si>
  <si>
    <t>6210</t>
  </si>
  <si>
    <t>enel_SlowSight=0#sakazuki_LavaPunch03=1.803#sakazuki_LavaExplo02=2.249#sakazuki_LavaExplo02=3.235#se_DragonRoar2=3.538#smoke_SteamFlying05=5.231#sakazuki_LavaMove02=6.748#jinbe_Swing01=7.822#sakazuki_LavaMove03=7.921#CV_mazeran05=0</t>
  </si>
  <si>
    <t>Particles/magellan/magellan001_body_attack010_C</t>
  </si>
  <si>
    <t>麦哲伦·毒龙</t>
  </si>
  <si>
    <t>mihawk_Swing01=0#magellan_Venom02=0.2#mihawk_Swing02=0.487#magellan_Venom02=0.665#mihawk_Swing03=0.999#mihawk_Swing01=1.17#magellan_Venom02=1.36</t>
  </si>
  <si>
    <t>1316&amp;&amp;1333</t>
  </si>
  <si>
    <t>nami_Cloth=0#se_DragonRoar2=0.579#magellan_Gas01=0.784#nami_WindIce=0.784#sakazuki_LavaMove03=1.123#CV_mazeran_PoisonCloud=0</t>
  </si>
  <si>
    <t>nami_Cloth=0#Mr2_Swing02=0.253#sakazuki_LavaShaking01=0.378#magellan_Venom01=0.501#sakazuki_LavaMove01=0.574#SE_012035=0.631#Mr2_Swing02=1.178#sakazuki_LavaShaking01=1.233#magellan_Venom01=1.282#sakazuki_LavaMove01=1.282#SE_012035=1.378#Mr2_Swing02=1.935#magellan_Venom01=1.983#sakazuki_LavaShaking01=2.088#sakazuki_LavaMove01=2.1#SE_012035=2.1</t>
  </si>
  <si>
    <t>nami_Cloth=0#Mr2_Swing02=0.512#sakazuki_LavaMove02=0.726#magellan_Gas02=1#SE_012035=1#luffy_Steam_End=1#borsalino_LightExplosion01=1</t>
  </si>
  <si>
    <t>nami_Cloth=0#sakazuki_LavaPunch01=0.512#sakazuki_LavaExplo02=0.735#sakazuki_LavaExplo01=0.832#se_DragonRoar1=1#sakazuki_LavaPunch02=1.178#sakazuki_LavaExplo01=1.632#sakazuki_LavaExplo02=1.967#se_DragonRoar2=2.051#perona_SmallExplosion=2.265#sakazuki_LavaExplo01=2.931</t>
  </si>
  <si>
    <t>空置</t>
  </si>
  <si>
    <t>伊娃</t>
  </si>
  <si>
    <t>6301</t>
  </si>
  <si>
    <t>zoro_Jumpspin=0#Mr2_Swing01=0.3#Mr2_Swing01=0.597#se_Jump01=1#Mr2_Swing01=1.173#se_Jump02=1.76#Mr2_Swing01=1.977#zoro_Jumpspin=2.2#se_Jump01=2.2</t>
  </si>
  <si>
    <t>雄性荷尔蒙</t>
  </si>
  <si>
    <t>6302</t>
  </si>
  <si>
    <t>Mr2_Swing01=1#se_Jump01=1.082#zoro_Jumpspin=1.337#smoke_Swing02=1.4#buggy_Charge01=1.9#chopper_JumpThrow=2.8#Robin_Swing02=3.2#se_Jump01=3.2#ivankov_Trans=4#se_Jump01=4.8#zoro_Jumpspin=4.859#ivankov_Wink01=5.5#cp9_GroundImpact=6.281#chopper_Luck=7.938#buggy_Funny01=7.938#nami_Show_Cute=7.938#ivankov_Fun01=9.083#usopp_Tap=9.083#ivankov_Crack=9.083#ivankov_Crack02=9.7#ivankov_Fun02=9.9945#CV_ivankov_DeathWink=5</t>
  </si>
  <si>
    <r>
      <rPr>
        <sz val="11"/>
        <color theme="1"/>
        <rFont val="宋体"/>
        <charset val="134"/>
      </rPr>
      <t>Particles/</t>
    </r>
    <r>
      <rPr>
        <sz val="11"/>
        <color theme="1"/>
        <rFont val="宋体"/>
        <charset val="134"/>
      </rPr>
      <t>lvankov001/</t>
    </r>
    <r>
      <rPr>
        <sz val="11"/>
        <color theme="1"/>
        <rFont val="宋体"/>
        <charset val="134"/>
      </rPr>
      <t>lvankov001_body_attack02_c</t>
    </r>
  </si>
  <si>
    <t>颜面成长荷尔蒙</t>
  </si>
  <si>
    <t>6303</t>
  </si>
  <si>
    <t>nami_Cloth=0#ivankov_Trans=0.291#kid_Swing02=0.968#franky_Swing01=0.968#kid_Swing01=1.367#franky_Swing01=1.367#kid_Swing01=2.1#se_Rock_Fall02=2.2#SE_012035=2.2</t>
  </si>
  <si>
    <t>梦打击处理拳</t>
  </si>
  <si>
    <t>6304</t>
  </si>
  <si>
    <t>nami_Cloth=0#ivankov_Punches=0.299#CV_ivankov_DreamPunches=0</t>
  </si>
  <si>
    <t>奥义 · 银河眉眼</t>
  </si>
  <si>
    <t>chopper_Ultramove=0#zoro_Jumpspin=1.104#chopper_JumpThrow=1.2#ivankov_Trans02=1.731#ivankov_Trans=1.731#ivankov_WinkyEyes=2#ivankov_Wink02=4.596#franky_Punch_Heavy=4.596#kuzan_IceCharge02=5.636#ivankov_Spin01=6#Mr2_Funny01=7.06#se_Applause=7.322#CV_ivankov_GalaxyWink=0</t>
  </si>
  <si>
    <r>
      <rPr>
        <sz val="11"/>
        <color theme="1"/>
        <rFont val="宋体"/>
        <charset val="134"/>
      </rPr>
      <t>Particles/lvankov001/</t>
    </r>
    <r>
      <rPr>
        <sz val="11"/>
        <color theme="1"/>
        <rFont val="宋体"/>
        <charset val="134"/>
      </rPr>
      <t>lvankov001_body_attack0</t>
    </r>
    <r>
      <rPr>
        <sz val="11"/>
        <color theme="1"/>
        <rFont val="宋体"/>
        <charset val="134"/>
      </rPr>
      <t>8</t>
    </r>
    <r>
      <rPr>
        <sz val="11"/>
        <color theme="1"/>
        <rFont val="宋体"/>
        <charset val="134"/>
      </rPr>
      <t>_c</t>
    </r>
  </si>
  <si>
    <t>1424&amp;&amp;1425</t>
  </si>
  <si>
    <t>伊娃女</t>
  </si>
  <si>
    <t>雌性荷尔蒙</t>
  </si>
  <si>
    <t>ultimate_Sign=0#se_Rush01=0.895#buggy_Funny03=0.895#kuzan_IceCharge02=1.429#se_Jump02=2.235#zoro_Jumpspin=2.235#se_Jump02=2.671#zoro_Jumpspin=2.671#se_Jump02=3.084#zoro_Jumpspin=3.084#se_Jump01=3.577#se_Jump02=3.577#ivankov_Spin01=3.677#hancock_Kick02=4.324#se_Jump01=4.901#zoro_Jumpspin=4.901#buggy_Charge01=5.102#kuma_SwingSlowly=5.919#jinbe_Swing04=6.5#zoro_Slash=6.834#se_Swordheavy_Hit=6.943#se_Jump01=7.502#zoro_Jumpspin=7.653#nami_Show_Cute=8.869#ivankov_Kiss=8.869#buggy_Funny01=9.069#chopper_Luck=8.869#CV_ivankov_Female=0</t>
  </si>
  <si>
    <r>
      <rPr>
        <sz val="11"/>
        <color theme="1"/>
        <rFont val="宋体"/>
        <charset val="134"/>
      </rPr>
      <t>Particles/lvankov001/</t>
    </r>
    <r>
      <rPr>
        <sz val="11"/>
        <color theme="1"/>
        <rFont val="宋体"/>
        <charset val="134"/>
      </rPr>
      <t>lvankov001_body_attack0</t>
    </r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_c</t>
    </r>
  </si>
  <si>
    <t>Particles/lvankov001/lvankov001_body_attack05_light</t>
  </si>
  <si>
    <t>治疗荷尔蒙</t>
  </si>
  <si>
    <t>hancock_Charm=0.198#nami_Cloth=1.4#buggy_Funny01=1.658#vivi_Magic03=1.912#ivankov_Magic01=1.912#CV_ivankov_Heal=0</t>
  </si>
  <si>
    <t>Bip001 R Finger1</t>
  </si>
  <si>
    <t>亢奋荷尔蒙</t>
  </si>
  <si>
    <t>kalifa_MagicClean=0#nami_Cloth=1.6#buggy_Funny01=1.829#se_Magic02=2#CV_ivankov_hyper=0</t>
  </si>
  <si>
    <t>奥义 · 高级美容</t>
  </si>
  <si>
    <t>kalifa_MagicClean=0#kuma_SwingSlowly=0#se_Rush01=1.429#ultimate_Sign=2.347#ivankov_Spin02=3#hancock_Charm=3.71#se_Jump01=4.782#hancock_Cloth01=4.877#ivankov_Circle=5.135#buggy_Charge01=7#nami_Cloth=7.72#jinbe_Swing04=7.898#se_Swordheavy_Hit=8.232#zoro_Slash=8.232#se_Jump02=9.14#zoro_Jumpspin=9.14#smoke_SteamFlying02=9.14#se_Jump01=9.333#nami_Show_Cute=10.357#buggy_Funny01=10.357#CV_ivankov09=3.5</t>
  </si>
  <si>
    <t>Particles/lvankov001/lvankov001_body_attack09_c</t>
  </si>
  <si>
    <t>普攻女</t>
  </si>
  <si>
    <t>nami_Cloth=0#ivankov_Spin01=0.593#se_Jump02=1.182#se_Magic02=1.348#kalifa_MagicClean=1.63</t>
  </si>
  <si>
    <t>战桃丸SSR</t>
  </si>
  <si>
    <t>三连拍 11</t>
  </si>
  <si>
    <t>5911</t>
  </si>
  <si>
    <t>nami_Cloth=0#jinbe_Swing01=0.4#SE_012035=0.6#se_Rock_Fall02=0.6#jinbe_Swing04=1.2#SE_012035=1.55#se_Rock_Fall02=1.55#jinbe_Swing01=2.7#SE_012035=3#se_Rock_Fall02=3</t>
  </si>
  <si>
    <t>连击掌</t>
  </si>
  <si>
    <t>nami_Cloth=0#smoke_Swing03=0.3#smoke_Swing03=0.5#smoke_Swing03=0.6#smoke_Swing03=0.7#smoke_Swing01=0.8</t>
  </si>
  <si>
    <t>5909</t>
  </si>
  <si>
    <t>kuma_Swing01=0.317#kuma_Swing02=0.5#cp9_GroundImpact=0.881#se_Rock_Fall02=0.881#nami_Wind_Push=1.921#kuzan_Iceshoot03=2.104#kuzan_IceCharge01=2.411#crocodile_Swing02=2.653#crocodile_Swing02=2.827#crocodile_Swing02=3#kuzan_IceCharge01=3.666#Mr3_BigSwing=3.992#cp9_StormKick=4.435#crocodile_Swing02=4.6#franky_Wind_Gathering=5.029#Hogbak_Magic02=5.339#se_Magic02=5.339#moria_Magic01=5#Pickup_Misc14=5.525#jinbe_Jet03=6.4#franky_Windshoot=6.698#CV_sentomaru_Hhit=3.5</t>
  </si>
  <si>
    <t>Particles/sentoumaru_SSR/sentoumaru_attack06_C</t>
  </si>
  <si>
    <t>5910</t>
  </si>
  <si>
    <t>smoke_SteamFlying05=0#garp_Jump01=1.4#se_Jump01=1.6#jinbe_Swing01=2.26#se_Rock_Fall01=2.371#kuma_HitGround=2.371#SE_012035=2.371#jinbe_Swing01=3.515#se_RockFall02VmUp=3.643#SE_012035=3.743#perona_GroundHit=3.743#enel_Pose=4#morgan_pre=4.825#jinbe_Swing05=6#luffy_Punch_Giant02=6.2</t>
  </si>
  <si>
    <t>Particles/sentoumaru_SSR/sentoumaru_attack07_C</t>
  </si>
  <si>
    <t>乔兹</t>
  </si>
  <si>
    <t>6401</t>
  </si>
  <si>
    <r>
      <rPr>
        <sz val="11"/>
        <color theme="1"/>
        <rFont val="等线"/>
        <charset val="134"/>
        <scheme val="minor"/>
      </rPr>
      <t>JozzCZ_attack_swing=0.33#JozzCZ_attack_swing=0.92#JozzCZ_diamond1=1.32#JozzCZ_attack_swing=1.8#</t>
    </r>
    <r>
      <rPr>
        <sz val="11"/>
        <color rgb="FFFF0000"/>
        <rFont val="等线"/>
        <charset val="134"/>
        <scheme val="minor"/>
      </rPr>
      <t>punch_hit_heavyNPC=0.51#punch_hit_heavyNPC=1.09#bodyrock_hit01=1.96#punch_hit_small01=1.96</t>
    </r>
  </si>
  <si>
    <t>Bip001 R ForeTwist1</t>
  </si>
  <si>
    <t>硬化</t>
  </si>
  <si>
    <t>6402</t>
  </si>
  <si>
    <t>JozzCZ_attack_swing=1.23#JozzCZ_shield=1.39#CV_JozzCZ_2=1.24</t>
  </si>
  <si>
    <t>肘击</t>
  </si>
  <si>
    <t>6403</t>
  </si>
  <si>
    <r>
      <rPr>
        <sz val="11"/>
        <color theme="1"/>
        <rFont val="等线"/>
        <charset val="134"/>
        <scheme val="minor"/>
      </rPr>
      <t>CV_JozzCZ_1=0.62#JozzCZ_diamond1=0.19#JozzCZ_attack_swing=0.87#</t>
    </r>
    <r>
      <rPr>
        <sz val="11"/>
        <color rgb="FFFF0000"/>
        <rFont val="等线"/>
        <charset val="134"/>
        <scheme val="minor"/>
      </rPr>
      <t>punch_hit_medium01=1.06</t>
    </r>
  </si>
  <si>
    <t>自旋转</t>
  </si>
  <si>
    <t>6404</t>
  </si>
  <si>
    <r>
      <rPr>
        <sz val="11"/>
        <color theme="1"/>
        <rFont val="等线"/>
        <charset val="134"/>
        <scheme val="minor"/>
      </rPr>
      <t>CV_JozzCZ_4=0.42#JozzCZ_attack_swing=0.11#JozzCZ_diamond1=0.42#JozzCZ_spin_wind=0.46#JozzCZ_spin_swing=0.62#JozzCZ_spin_swing=0.75#JozzCZ_spin_swing=0.89#JozzCZ_spin_swing=1.04#</t>
    </r>
    <r>
      <rPr>
        <sz val="11"/>
        <color rgb="FFFF0000"/>
        <rFont val="等线"/>
        <charset val="134"/>
        <scheme val="minor"/>
      </rPr>
      <t>punch_hit_heavyNPC=0.62#punch_hit_heavyNPC=0.76#punch_hit_heavyNPC=0.91#punch_hit_heavyNPC=1.06#punch_hit_heavyNPC=1.19</t>
    </r>
  </si>
  <si>
    <t>压制</t>
  </si>
  <si>
    <t>6405</t>
  </si>
  <si>
    <r>
      <rPr>
        <sz val="11"/>
        <color theme="1"/>
        <rFont val="等线"/>
        <charset val="134"/>
        <scheme val="minor"/>
      </rPr>
      <t>CV_JozzCZ_3=0.25#JozzCZ_diamond1=0.3#JozzCZ_suppress_jump=0.49#</t>
    </r>
    <r>
      <rPr>
        <sz val="11"/>
        <color rgb="FFFF0000"/>
        <rFont val="等线"/>
        <charset val="134"/>
        <scheme val="minor"/>
      </rPr>
      <t>punch_hit_small01=1.1#bodyrock_hit02=1.1</t>
    </r>
  </si>
  <si>
    <t>闪耀冲撞</t>
  </si>
  <si>
    <t>6406</t>
  </si>
  <si>
    <r>
      <rPr>
        <sz val="11"/>
        <color theme="1"/>
        <rFont val="等线"/>
        <charset val="134"/>
        <scheme val="minor"/>
      </rPr>
      <t>CV_JozzCZ_crash1=0.16#CV_JozzCZ_crash2=6.31#JozzCZ_crash_diamond1=0.09#JozzCZ_crash_diamond2=0.37#JozzCZ_crash_diamond2=0.66#JozzCZ_crash_diamond2=0.96#JozzCZ_crash_diamond2=1.26#JozzCZ_crash_diamond2=1.56#JozzCZ_crash_diamond2=1.86#JozzCZ_crash_crash1=3.03#JozzCZ_crash_crash2=4.5#</t>
    </r>
    <r>
      <rPr>
        <sz val="11"/>
        <color theme="5" tint="-0.25"/>
        <rFont val="等线"/>
        <charset val="134"/>
        <scheme val="minor"/>
      </rPr>
      <t>JozzCZ_crash_foot=3.21#JozzCZ_crash_foot=3.49#JozzCZ_crash_foot=3.8#JozzCZ_crash_foot=4.6#JozzCZ_crash_foot=4.8#JozzCZ_crash_foot=5#JozzCZ_crash_foot=5.2#</t>
    </r>
    <r>
      <rPr>
        <sz val="11"/>
        <rFont val="等线"/>
        <charset val="134"/>
        <scheme val="minor"/>
      </rPr>
      <t>mihawkCZ_wu_focus=5.8#JozzCZ_crash_rock=6.82#</t>
    </r>
    <r>
      <rPr>
        <sz val="11"/>
        <color rgb="FFFF0000"/>
        <rFont val="等线"/>
        <charset val="134"/>
        <scheme val="minor"/>
      </rPr>
      <t>punch_hit_medium01=3.34#punch_hit_medium01=5.02#punch_hit_giant01=6.84</t>
    </r>
  </si>
  <si>
    <t>Particles/Jozu001/jozu001_body_attack06_c</t>
  </si>
  <si>
    <t>闪耀巨石</t>
  </si>
  <si>
    <t>6407</t>
  </si>
  <si>
    <r>
      <rPr>
        <sz val="11"/>
        <color theme="1"/>
        <rFont val="等线"/>
        <charset val="134"/>
        <scheme val="minor"/>
      </rPr>
      <t>CV_JozzCZ_rock1=4.08#CV_JozzCZ_rock2=6.42#CV_JozzCZ_rock3=9.85#JozzCZ_diamond1=0.07#whooshlarge_nervous=0.14#JozzCZ_rock_crash=1.56#ChoppernewCZ_crash_whoosh3=2.99#JozzCZ_attack_swing=4.17#LuffyCZ_JETrocket_rockhit=4.39#JozzCZ_rock_punch=6.77#LuffynewCZ_combo_rockhit=6.83#LuffynewCZ_4attack_swing1=7.52#JozzCZ_rock_rockroll1=7.52#JozzCZ_rock_throw=7.68#JozzCZ_rock_rockroll2=8.9#LuffyCZ_JETrocket_rockhit=8.97#</t>
    </r>
    <r>
      <rPr>
        <sz val="11"/>
        <color rgb="FFFF0000"/>
        <rFont val="等线"/>
        <charset val="134"/>
        <scheme val="minor"/>
      </rPr>
      <t>punch_hit_medium01=1.84</t>
    </r>
  </si>
  <si>
    <t>Particles/Jozu001/jozu001_body_attack07_c</t>
  </si>
  <si>
    <t>6408</t>
  </si>
  <si>
    <t>jozz_Diamond02=0#smoke_PunchesCloth=0.318#garp_Jump01=1.325#zoro_Jumpspin=1.664#se_Jump01=1.664#se_Impact03=1.727#kuma_HitGround=1.727#jozz_Swing02=2.253#jozz_Swing01=3.117#jozz_Grab=3.21#jozz_Smash=3.21#jozz_Smash=3.364#jozz_Smash=3.532#jozz_Smash=3.8#se_Jump02=4.211#zoro_Jumpspin=4.321#sengoku_GroundStep=4.9#sengoku_GroundStep=4.9#jozz_Swing02=4.919#smoke_SteamCharge02=5#jozz_Diamond01=5.1#jozz_Diamond01=5.1#kuma_SwingSlowly=5.465#Swish_SwingHugeShovel=6.295#jozz_Smash=6.447#Swish_SwingHugeShovel=6.564#jozz_Smash=6.564#Swish_SwingHugeShovel=6.829#kuma_HitGround=7.223#jozz_Explosion01=7.223#jozz_Smash=7.223#jozz_Smash=7.336#Swish_SwingHugeShovel=7.476#jozz_Smash=7.74#se_Jump02=8.409#jozz_Swing01=8.593#jozz_Explosion02=8.8#se_Rock_Fall01=8.8#CV_joz03=0#CV_joz06=1.5</t>
  </si>
  <si>
    <t>Particles/Jozu001/jozu001_body_attack08_c</t>
  </si>
  <si>
    <t>白胡子</t>
  </si>
  <si>
    <t>1普攻</t>
  </si>
  <si>
    <t>6501</t>
  </si>
  <si>
    <t>edward_PreA01=0#jinbe_Swing01=0.41#edward_Swing01=0.541#jinbe_Swing01=1.053#edward_Swing01=1.2#jinbe_Swing01=1.655#Swish_SwingHugeShovel=1.76#Swish_SwingHugeShovel=1.898#jinbe_Swing01=2.41#edward_Swing01=2.598#se_Rock_Fall02=2.654#SE_012035=2.8</t>
  </si>
  <si>
    <t>wuqi01</t>
  </si>
  <si>
    <t>2单震</t>
  </si>
  <si>
    <t>6502</t>
  </si>
  <si>
    <t>nami_Cloth=0#mihawk_EnergySp01=0#smoke_Swing01=0.733#edward_Catch=1.13#edward_Aexplosion01=1.556#CV_shirohige_OceanTemblor=0.8</t>
  </si>
  <si>
    <t>3时空斩</t>
  </si>
  <si>
    <t>6503</t>
  </si>
  <si>
    <t>nami_Cloth=0#edward_PreA01=0#jinbe_Swing01=0.454#edward_Swing03=0.557#jinbe_Swing01=1.07#edward_Swing04=1.207#jinbe_Swing01=1.761#edward_Swing05=1.86#edward_PreA02=2#jinbe_Swing01=2.8#edward_Swing05=3#se_MoveEcho=3.1#edward_Aexplosion01=3.1#edward_Explosion01=3.2</t>
  </si>
  <si>
    <t>4龙卷风</t>
  </si>
  <si>
    <t>6504</t>
  </si>
  <si>
    <t>usopp_Cloth=0#edward_PreA01=0#edward_PreA01=1#jinbe_Swing05=1.511#kid_Wind01=1.8#edward_Windimpact01=1.858#edward_Windimpact03=1.858#edward_Windimpact02=2.4</t>
  </si>
  <si>
    <t>5双震</t>
  </si>
  <si>
    <t>6505</t>
  </si>
  <si>
    <t>usopp_Cloth=0.091#nami_Cloth=0.481#edward_IntoG=0.639#edward_Indraft=1.279#jinbe_Swing02=2#jinbe_Swing02=2.704#edward_Aexplosion02=2.8</t>
  </si>
  <si>
    <r>
      <rPr>
        <sz val="11"/>
        <color theme="1"/>
        <rFont val="宋体"/>
        <charset val="134"/>
      </rPr>
      <t>1598&amp;&amp;</t>
    </r>
    <r>
      <rPr>
        <sz val="11"/>
        <color theme="1"/>
        <rFont val="宋体"/>
        <charset val="134"/>
      </rPr>
      <t>1598</t>
    </r>
  </si>
  <si>
    <t>6旧时代的残党</t>
  </si>
  <si>
    <t>6506</t>
  </si>
  <si>
    <t>edward_Spin02=0#edward_Spin01=0.133#edward_Spin01=0.29#edward_Spin01=0.436#edward_Spin01=0.581#edward_Spin01=0.69#edward_Spin01=0.829#edward_Spin01=0.938#jinbe_Swing01=1.546#edward_Spin01=1.69#smoke_SteamFlying05=2.295#edward_Aexplosion01=4.8#edward_Explosion03=5.1#edward_Explosion01=5.534#perona_GroundHit=6.049#crocodile_Obj_Flying=6.25#se_Rock_Fall01=6.425#CV_shirohige_AtmosphereDivide=3.5</t>
  </si>
  <si>
    <t>Particles/edward001/edward001_body_attack06C</t>
  </si>
  <si>
    <t>7怒之震</t>
  </si>
  <si>
    <t>6507</t>
  </si>
  <si>
    <t>nami_Cloth=0#edward_PreA01=0#Swish_SwingHugeShovel=1.764#jinbe_Swing01=1.932#edward_Swing05=2.032#se_Jump01=3.042#sengoku_GroundStep=3.559#edward_PreA02=3.559#jinbe_Swing01=5.395#edward_Impact01=5.843#edward_Explosion04=5.98#sengoku_Explosion02=6.909#se_Jump01=8.796#zoro_Jumpspin=8.796#smoke_SteamCharge02=9.488#edward_Impact02=9.6#edward_Cross=9.8#edward_Explosion05=10.217#perona_BigExplosion=10.453#edward_Explosion03=10.8#CV_shirohige_Ikkitousen=4</t>
  </si>
  <si>
    <t>Particles/edward001/edward001_body_attack07_C</t>
  </si>
  <si>
    <t>1522&amp;&amp;1523&amp;&amp;1603</t>
  </si>
  <si>
    <t>Bip001 R Foot&amp;&amp;Bip001 R Hand&amp;&amp;Bip001</t>
  </si>
  <si>
    <t>Particles/edward001/edward001_body_attack07_light</t>
  </si>
  <si>
    <t>8撼天动地</t>
  </si>
  <si>
    <t>6508</t>
  </si>
  <si>
    <t>kid_Wind01=0#crocodile_Obj_Flying02=1#jinbe_Swing05=3.938#edward_Spin01=4.248#se_BladeShining=4.722#edward_Spin01=5.6#edward_Swing03=5.6#edward_Spin01=5.732#edward_Swing03=5.732#edward_Spin01=5.89#edward_Swing03=5.89#edward_Spin01=6.09#edward_Swing03=6.09#edward_Spin01=6.353#edward_Swing03=6.353#edward_Spin01=6.548#edward_Swing03=6.548#edward_Spin01=6.8#edward_Spin01=7#edward_IntoG=7#se_Rock_Fall02=7#edward_Catch=8.277#law_Catch=9#edward_Catch=9#edward_PullIn=9.846#edward_PullOut=11.382#edward_Explosion04=12.339#se_OceanWaveOut=12.339#se_GroundShakingFade=13#crocodile_GndShakingSand=13.748#se_OceanWaveFade=13.748#jinbe_Jet03=15#jinbe_Water06=15.415#CV_shirohige_EarthCollapse=8.4</t>
  </si>
  <si>
    <t>-6</t>
  </si>
  <si>
    <t>Particles/edward001/edward001_body_attack08_C</t>
  </si>
  <si>
    <r>
      <rPr>
        <sz val="11"/>
        <color theme="1"/>
        <rFont val="宋体"/>
        <charset val="134"/>
      </rPr>
      <t>Particles/edward001/edward001_body_attack0</t>
    </r>
    <r>
      <rPr>
        <sz val="11"/>
        <color theme="1"/>
        <rFont val="宋体"/>
        <charset val="134"/>
      </rPr>
      <t>8</t>
    </r>
    <r>
      <rPr>
        <sz val="11"/>
        <color theme="1"/>
        <rFont val="宋体"/>
        <charset val="134"/>
      </rPr>
      <t>_light</t>
    </r>
  </si>
  <si>
    <t>马尔高</t>
  </si>
  <si>
    <t>6601</t>
  </si>
  <si>
    <t>se_Jump01=0.2#sanji_Kick=0.3#sanji_Kick=0.653#brook_Fire=0.653#se_Jump02=1.219#sanji_Kick=1.5#jinbe_Swing02=1.4#se_Fire_Throw=1.7</t>
  </si>
  <si>
    <t>重蹴</t>
  </si>
  <si>
    <t>6602</t>
  </si>
  <si>
    <t>nami_Cloth=0#sanji_Kick=0.349#macro_Swing01=0.349#se_Jump01=0.449#zoro_Jumpspin=0.549#franky_Swing02=0.862#macro_Swing01=1.032#jinbe_Swing02=0.86#macro_Fire01=1.267#SE_012035=1.347#se_Fire_Throw=1.347#se_Rock_Fall02=1.43</t>
  </si>
  <si>
    <t>天冲</t>
  </si>
  <si>
    <t>6603</t>
  </si>
  <si>
    <t>nami_Cloth=0#macro_Charging01=0.512#macro_Swing01=0.512#macro_Swing01=0.666#macro_Swing01=0.824#macro_Swing01=1#macro_Flying01=1.088#se_FireBlast=1.184#CV_macro_Dance=0</t>
  </si>
  <si>
    <t>1544&amp;&amp;1544&amp;&amp;1544&amp;&amp;1544&amp;&amp;1544&amp;&amp;1544&amp;&amp;1544&amp;&amp;1544</t>
  </si>
  <si>
    <t>Bone024&amp;&amp;Bone025&amp;&amp;Bone026&amp;&amp;Bone028&amp;&amp;Bone029&amp;&amp;Bone030&amp;&amp;Bone057&amp;&amp;Bone059</t>
  </si>
  <si>
    <t>猛突</t>
  </si>
  <si>
    <t>6604</t>
  </si>
  <si>
    <t>nami_Cloth=0#Ace_Fire01=0.179#macro_Charging02=0.5#macro_Flying01=1.043#Ace_Fire04=1.5#macro_Swing01=1.611</t>
  </si>
  <si>
    <t>迅爪</t>
  </si>
  <si>
    <t>6605</t>
  </si>
  <si>
    <t>smoke_Swing05=0#sanji_Kick=0.2#zoro_Jumpspin=0.3#se_Jump02=0.4#sanji_Kick=0.6#chopper_Punch02=0.6#Ace_FireFlying01=0.6#chopper_Punch02=0.8#sanji_Kick=1#jinbe_Swing01=1.1#Ace_Fire03=1.2#CV_macro_Claw=0</t>
  </si>
  <si>
    <t>狂风蹴击</t>
  </si>
  <si>
    <t>6606</t>
  </si>
  <si>
    <t>smoke_SteamFlying05=0#Ace_FireFlying02=0.977#macro_Charging03=1.443#macro_Fire02=1.443#macro_Flying02=2.509#macro_Swing01=3.6#macro_Swing01=3.8#macro_Swing01=4#macro_Swing01=4.176#macro_Swing01=4.485#macro_Charging04=4.914#macro_Charging05=5.4#macro_Fire02=5#sengoku_GroundStep=5.882#Ace_FireFlying01=6.344#macro_Flying02=7.483#macro_Charging06=7.483#CV_macro_DisorderDance=2</t>
  </si>
  <si>
    <t>Particles/marco/marco001_body_attack06_C</t>
  </si>
  <si>
    <t>1552&amp;&amp;1552&amp;&amp;1552&amp;&amp;1552&amp;&amp;1552&amp;&amp;1552&amp;&amp;1552&amp;&amp;1552&amp;&amp;1552&amp;&amp;1552&amp;&amp;1552&amp;&amp;1552&amp;&amp;1551&amp;&amp;1551&amp;&amp;1551&amp;&amp;1551&amp;&amp;1551&amp;&amp;1551</t>
  </si>
  <si>
    <t>Bip001 L Foot&amp;&amp;Bip001 R Foot&amp;&amp;Dummy006&amp;&amp;Dummy007&amp;&amp;Dummy008&amp;&amp;Dummy009&amp;&amp;Dummy010&amp;&amp;Dummy011&amp;&amp;Dummy012&amp;&amp;Dummy013&amp;&amp;Dummy014&amp;&amp;Dummy015&amp;&amp;Dummy007&amp;&amp;Dummy008&amp;&amp;Dummy009&amp;&amp;Dummy011&amp;&amp;Dummy012&amp;&amp;Dummy013</t>
  </si>
  <si>
    <t>炎翼天驱</t>
  </si>
  <si>
    <t>6607</t>
  </si>
  <si>
    <t>Ace_FireFlying04=0#macro_Fire02=0#macro_Charging06=0.534#macro_Flying01=0.9#macro_Flying02=1.824#macro_Fire02=2.649#macro_Flying01=2.793#macro_Swing01=3.524#macro_Charging04=3.524#macro_Prepare=4.063#macro_Swing01=4.9#macro_Charging03=4.9#macro_Swing01=4.9#macro_Flying01=5.1#macro_Swing01=5.1#macro_Swing01=5.215#macro_Swing01=5.324#macro_Swing01=5.5#CV_macro06=1</t>
  </si>
  <si>
    <t>Particles/marco/marco001_body_attack07_c</t>
  </si>
  <si>
    <t>1554&amp;&amp;1554&amp;&amp;1553&amp;&amp;1553&amp;&amp;1553&amp;&amp;1553&amp;&amp;1553&amp;&amp;1553&amp;&amp;1553&amp;&amp;1553&amp;&amp;1553&amp;&amp;1553&amp;&amp;1561&amp;&amp;1561</t>
  </si>
  <si>
    <t>Bip001 L Foot&amp;&amp;Bip001 R Foot&amp;&amp;Bone024&amp;&amp;Bone025&amp;&amp;Bone026&amp;&amp;Bone028&amp;&amp;Bone029&amp;&amp;Bone030&amp;&amp;Bone057&amp;&amp;Bone059&amp;&amp;Dummy016&amp;&amp;Dummy017&amp;&amp;Bip001 L Foot&amp;&amp;Bip001 R Foot</t>
  </si>
  <si>
    <t>不死鸟·神炎</t>
  </si>
  <si>
    <t>6608</t>
  </si>
  <si>
    <t>macro_Fire02=0#sanji_Firekick_Ultra=0#macro_Fire02=2#Ace_Fire01=2#se_FireBlast=5#macro_Swing01=5.424#macro_Flying02=5.712#macro_Phoenix=6.7#macro_Charging03=6.7#macro_Fire02=7.5#sanji_Firekick_Ultra=7.5#macro_Flying02=7.3#macro_Charging01=7.875#macro_Charging04=8.415#kuzan_IceCharge02=8.415#Ace_FireFlying04=9.84#macro_Flying02=9.84#perona_BigExplosion=9.84#macro_Fire02=10.312#CV_macro01=0#CV_macro_TyranBlueFire=7</t>
  </si>
  <si>
    <t>Particles/marco/marco001_body_attack08_C</t>
  </si>
  <si>
    <t>1563&amp;&amp;1563&amp;&amp;1563&amp;&amp;1563&amp;&amp;1563&amp;&amp;1563&amp;&amp;1563&amp;&amp;1563&amp;&amp;1563&amp;&amp;1563&amp;&amp;1563&amp;&amp;1563&amp;&amp;1563&amp;&amp;1563&amp;&amp;1563&amp;&amp;1563&amp;&amp;1563</t>
  </si>
  <si>
    <t>Bone022&amp;&amp;Bone023&amp;&amp;Bone024&amp;&amp;Bone025&amp;&amp;Bone026&amp;&amp;Bone028&amp;&amp;Bone029&amp;&amp;Bone030&amp;&amp;Bone031&amp;&amp;Bone056&amp;&amp;Bone057&amp;&amp;Bone058&amp;&amp;Bone059&amp;&amp;Dummy008&amp;&amp;Dummy009&amp;&amp;Dummy011&amp;&amp;Dummy013</t>
  </si>
  <si>
    <t>鸟人普攻</t>
  </si>
  <si>
    <t>3001209</t>
  </si>
  <si>
    <t>se_Jump02=0.2#macro_Swing01=0.2#Ace_FireFlying01=0.2#macro_Swing01=0.653#Ace_FireFlying01=0.653#se_Jump02=1.219#macro_Swing01=1.4#macro_Fire01=1.661#se_Fire_Throw=1.661#Ace_FireFlying01=1.761</t>
  </si>
  <si>
    <t>鸟人重蹴</t>
  </si>
  <si>
    <t>3001210</t>
  </si>
  <si>
    <t>Ace_FireFlying01=0.2#macro_Swing01=0.356#se_Jump01=0.749#zoro_Jumpspin=0.649#macro_Swing01=0.9#Ace_FireFlying01=1#SE_012035=1.24#se_RockFall02VmUp=1.3</t>
  </si>
  <si>
    <t>鸟人天冲</t>
  </si>
  <si>
    <t>3001211</t>
  </si>
  <si>
    <t>nami_Cloth=0#se_FireBlast=0#macro_Charging01=0.512#macro_Swing01=0.512#macro_Swing01=0.666#macro_Swing01=0.824#macro_Swing01=1#macro_Flying01=1.088#Ace_FireFlying01=1.346#CV_macro_Dance=0</t>
  </si>
  <si>
    <t>1555&amp;&amp;1555</t>
  </si>
  <si>
    <t>Dummy018&amp;&amp;Dummy019</t>
  </si>
  <si>
    <t>鸟人猛突</t>
  </si>
  <si>
    <t>3001212</t>
  </si>
  <si>
    <t>nami_Cloth=0#Ace_FireFlying01=0#macro_Charging02=0.5#macro_Rise=0.951#macro_Flying01=1.148#Ace_Fire01=1.148</t>
  </si>
  <si>
    <t>1556&amp;&amp;1556</t>
  </si>
  <si>
    <t>Bip001 L Foot&amp;&amp;Bip001 R Foot</t>
  </si>
  <si>
    <t>鸟人迅爪</t>
  </si>
  <si>
    <t>3001213</t>
  </si>
  <si>
    <t>Ace_FireFlying01=0#macro_Swing01=0.731#macro_Fire01=0.731#macro_Swing01=0.832#macro_Swing01=1#Ace_Fire03=1.424#macro_Swing01=1.424#CV_macro_Claw=0</t>
  </si>
  <si>
    <t>比斯塔</t>
  </si>
  <si>
    <t>6701</t>
  </si>
  <si>
    <t>nami_Cloth=0#zoro_Swing02=0.151#Mr2_Swing02=0.236#zoro_Swing01=0.433#Mr2_Swing02=0.542#Mr2_Swing01=0.542#usopp_Cloth=0.683#zoro_Swing02=1.073#zoro_Swing01=1.15#Mr2_Swing02=1.267#zoro_Swing01=1.9#law_Swing01=1.9#Mr2_Swing02=2.017#Mr2_Swing01=2.065</t>
  </si>
  <si>
    <t>连斩</t>
  </si>
  <si>
    <t>6702</t>
  </si>
  <si>
    <t>nami_Cloth=0#zoro_Swing01=0.162#Mr2_Swing02=0.274#zoro_Swing01=0.274#Mr2_Swing02=0.4#zoro_Swing01=0.4#Mr2_Swing02=0.6#zoro_Swing01=0.6#Mr2_Swing02=0.752#zoro_Swing01=0.752#Mr2_Swing02=0.882#zoro_Swing01=0.882#Mr2_Swing02=1.061#zoro_Swing01=1.061#tashigi_Swing01=1.2#Mr2_Swing02=1.261#zoro_Swing01=1.261#usopp_Cloth=1.325#law_Swing01=1.636#zoro_Swing01=1.754</t>
  </si>
  <si>
    <t>十字斩</t>
  </si>
  <si>
    <t>6703</t>
  </si>
  <si>
    <t>law_Swing01=0.168#zoro_Slash=0.375#law_Swing01=0.593#zoro_Slash=0.8#law_Swing01=1.46#mihawk_ObjFlying02=1.46#zoro_Slash=1.46#mihawk_ObjFlying01=1.46</t>
  </si>
  <si>
    <t>花瓣风暴</t>
  </si>
  <si>
    <t>6704</t>
  </si>
  <si>
    <t>Whoosh_MeteorPassby01=0#se_Magic02=0#se_Jump01=0.735#smoke_Swing02=1#zoro_Slash_Heavy=1.434#zoro_Obj_Flying=1.634#brook_BlinkSwing=1.634#zoro_Slash=1.634#vivi_Magic01=1.634#zoro_Slash=2.12#zoro_Slash=2.32#CV_vst10=0</t>
  </si>
  <si>
    <t>转转</t>
  </si>
  <si>
    <t>6705</t>
  </si>
  <si>
    <t>law_Swing01=0.207#zoro_Slash=0.4#vivi_Magic01=0.4#mihawk_EnergyIn=0.618#law_Swing01=0.8#zoro_Slash=1#mihawk_EnergyIn=1.218</t>
  </si>
  <si>
    <t>镜头1</t>
  </si>
  <si>
    <t>6706</t>
  </si>
  <si>
    <t>kuzan_IceCharge02=0.631#law_Swing01=1.112#zoro_Slash=1.405#mihawk_EnergyOut=1.405#law_Swing01=1.405#zoro_Slash=1.612#mihawk_EnergyOut=1.612#law_Swing01=2.06#zoro_Slash=2.24#zoro_Slash_Long=2.24#se_Jump01=3#zoro_Jumpspin=3#zoro_Slash=3.32#zoro_Slash=3.52#zoro_Slash=3.68#zoro_Slash=3.855#zoro_Slash=4#zoro_Slash=4.2#franky_Wind_Gathering=4.2#zoro_Slash=4.5#mihawk_EnergySp01=4.5#zoro_Slash=4.72#zoro_Slash=5#zoro_Slash=5.28#vivi_Magic01=5.4#Hogbak_Magic02=5.4#nami_Cloth=6.402#zoro_Slash_Heavy=6.614#brook_Charge01=6.914#garp_CounterHit=6.914#CV_vst08=0</t>
  </si>
  <si>
    <t>Particles/vista/vista001_body_attack06_C</t>
  </si>
  <si>
    <t>镜头2</t>
  </si>
  <si>
    <t>6707</t>
  </si>
  <si>
    <t>nami_Cloth=0#Hogbak_Magic02=0#vivi_Magic01=0#smoke_SteamCharge02=1.098#kuzan_IceCharge01=1.098#zoro_Swordenergy=1.098#vista_MultiSwing=1.92#vista_MultiSwing=2.463#vista_MultiSwing=3#vista_MultiSwing=3.526#vivi_Magic01=2.306#vivi_Magic01=3.68#zoro_Slash_Heavy=4.276#edward_Swing05=4.409#zoro_Slash=4.409#CV_vst02=0</t>
  </si>
  <si>
    <t>Particles/vista/vista001_body_attack07_C</t>
  </si>
  <si>
    <t>6708</t>
  </si>
  <si>
    <t>Mr2_Swing02=2.274#edward_Windimpact01=2.4#edward_Swing05=4.16#se_Rush01=4.16#zoro_Slash=4.16#se_Rush01=4.66#zoro_Slash=4.66#kuzan_Icecrack_End=4.724#edward_Swing05=5.16#se_Rush01=5.16#zoro_Slash=5.16#kuzan_Icecrack_End=5.5#kuzan_Icecrack_End=5.622#edward_Swing05=5.822#se_Rush01=5.822#zoro_Slash=5.822#nami_Cloth=6.78#law_Swing01=7.492#zoro_Swing01=7.581#kuzan_Icehit01=7.691#kuzan_Icerock_Crack=7.691#kuzan_Icehit06Fade=7.691#kalifa_MagicClean=7.691#CV_vst09=0</t>
  </si>
  <si>
    <t>Particles/vista/vista001_body_attack08_C</t>
  </si>
  <si>
    <t>香克斯</t>
  </si>
  <si>
    <t>6801</t>
  </si>
  <si>
    <t>zoro_Swing02=0.28#mihawk_Swing01=0.28#nami_Cloth=0.408#zoro_Swing02=0.8#mihawk_Swing01=0.8#nami_Cloth=0.928#usopp_Cloth=1.29#zoro_Jumpspin=1.431#se_Jump02=1.56#Swish_SwingHugeShovel=1.558#zoro_Swing02=1.56#Robin_Swing02=1.558#mihawk_Swing03=1.669#zoro_Swing02=1.766</t>
  </si>
  <si>
    <t>残影</t>
  </si>
  <si>
    <t>6802</t>
  </si>
  <si>
    <t>nami_Cloth=0#zoro_Swing02=0.263#Mr2_Swing02=0.35#edward_Windimpact01=0.558#mihawk_Swing01=0.7#se_Jump02=0.7#crocodile_Swing01=0.7#Swish_SwingHugeShovel=0.888#Robin_Swing02=0.888#zoro_Swing01=1#usopp_Cloth=1.46#se_Jump02=1.46#CV_shanks_attack02=0.4</t>
  </si>
  <si>
    <t>十字</t>
  </si>
  <si>
    <t>6803</t>
  </si>
  <si>
    <t>nami_Cloth=0#smoke_Swing04=0.451#zoro_Swing01=0.451#zoro_Slash_Long=0.621#zoro_Slash=0.621#borsalino_LightSwordSwing01=0.8#se_Jump01=0.94#zoro_Slash=1.52#mihawk_ObjFlying05=1.52#borsalino_LightSwordSwing01=1.52#zoro_Slash_Long=1.73#zoro_Slash_Heavy=2.959#kuzan_Icehit03=3.171#CV_shanks09=0</t>
  </si>
  <si>
    <t>直线</t>
  </si>
  <si>
    <t>6804</t>
  </si>
  <si>
    <t>nami_Cloth=0#smoke_Swing02=0.261#zoro_Swing01=0.281#zoro_Slash=0.42#mihawk_ObjFlying01=0.624#smoke_Swing02=0.624#zoro_Swing01=0.944#mihawk_ObjFlying01=1.113#mihawk_ObjFlying04=1.397#CV_shanks13=0</t>
  </si>
  <si>
    <t>突刺</t>
  </si>
  <si>
    <t>6805</t>
  </si>
  <si>
    <t>smoke_Swing02=0#zoro_Swing01=0.2#mihawk_Swing01=0.2#smoke_Swing01=0.45#mihawk_Swing01=0.45#zoro_Swing01=0.6#mihawk_Swing01=0.6#Swish_SwingHugeShovel=0.6#zoro_Jumpspin=0.7#mihawk_Swing01=0.7#zoro_Swing01=0.7#se_Jump02=1#usopp_Cloth=1.1#kuzan_IceCharge01=1.7#zoro_Swing01=1.7#zoro_Slash=1.87#kuzan_Iceshoot02=1.87#CV_shanks_attack01=0.3#CV_shanks_attack02=1.55</t>
  </si>
  <si>
    <t>6806</t>
  </si>
  <si>
    <t>mihawk_Energy=0#vivi_Magic02=0#smoke_Swing01=1.598#zoro_Swing01=1.8#se_Ding02=2.2#vista_MultiSwing=2.893#vista_MultiSwing=3.2#vista_MultiSwing=3.635#crocodile_Swing01=4.236#chopper_Punch02=4.236#smoke_SteamFlying05=4.6#se_Jump01=4.9#usopp_Cloth=4.9#crocodile_Swing01=6.731#smoke_Swing01=6.731#brook_Charge01=7.3#jozz_Charging03=7.3#zoro_Swordenergy=7.3#CV_shanks11=6</t>
  </si>
  <si>
    <t>Particles/shanks/shanks_attack06_C</t>
  </si>
  <si>
    <t>Particles/shanks/shanks_attack06_light</t>
  </si>
  <si>
    <t>6807</t>
  </si>
  <si>
    <t>law_Sheath03=0#law_Sheath04=0.2#zoro_Swing02=0.558#nami_Cloth=0.558#jozz_Charging04=1.249#kuzan_IceCharge02=2.206#tashigi_Swing01=2.256#smoke_Swing03=2.795#zoro_Slash=2.939#borsalino_LightShoot03=2.939#moria_Ultramove=3.913#tashigi_Swing01=6.042#smoke_Swing01=6.4#jozz_Charging01=6.8#mihawk_ObjFlying01=6.8#se_Rock_Fall02=6.8#mihawk_ObjFlying05=7.338#usopp_Cloth=7.935#law_Sheath02=8.103#mihawk_Sheath02=8.242#CV_shanks01=0#CV_shanks10=4.5</t>
  </si>
  <si>
    <t>Particles/shanks/shanks_attack07_C</t>
  </si>
  <si>
    <t>6809</t>
  </si>
  <si>
    <t>ultimate_Sign=0#se_WindLoop2=0#se_FootstepDirt01=0.349#se_FootstepDirt01=0.874#hogbak_SneakyWind=0.874#se_FootstepDirt01=1.388#se_FootstepDirt01=1.983#se_FootstepDirt02=2.6#se_FootstepDirt01=2.6#Mr3_SwingObj=2.612#usopp_Cloth=3.881#smoke_Swing01=4.369#franky_Punch_Heavy=4.611#jozz_Explosion01=4.794#se_Rock_Fall02=5.017#enel_Pose=5.115#law_Sheath03=5.346#zoro_Slash_Heavy=7.77#edward_Swing03=7.77#mihawk_ObjFlying01=8.011#mihawk_ObjFlying05=8.011#edward_Impact02=8.011#garp_CounterHit=8.294#CV_shanks08=3</t>
  </si>
  <si>
    <t>Particles/shanks/shanks_attack08_C</t>
  </si>
  <si>
    <t>两年后乌索普</t>
  </si>
  <si>
    <t>6901</t>
  </si>
  <si>
    <t>UsoppnewCZ_slingshot_orange=0.17#slingshot_shot=0.37#UsoppnewCZ_feibiaoA=0.5#UsoppnewCZ_slingshot_yellow=0.84#slingshot_shot=1#UsoppnewCZ_feibiaoB=1#UsoppnewCZ_slingshot_cyan=1.4#UsoppnewCZ_attack_fireA=1.64#UsoppnewCZ_slingshot_blue=1.99#slingshot_shot=2.55#UsoppnewCZ_attack_fireB=2.58</t>
  </si>
  <si>
    <t>绿星·恶魔</t>
  </si>
  <si>
    <t>6902</t>
  </si>
  <si>
    <t>UsoppnewCZ_evil_jump=0.38#slingshot_shot=0.63#UsoppnewCZ_evil_appear=0.86#UsoppnewCZ_evil_bite=1.85#UsoppnewCZ_evil_bite=2.43#UsoppnewCZ_evil_disappear=2.82#CV_UsoppnewCZ_yiyo=0.21</t>
  </si>
  <si>
    <t>绿星·竹林</t>
  </si>
  <si>
    <t>6903</t>
  </si>
  <si>
    <t>UsoppnewCZ_banboo_slingshot=0.63#UsoppnewCZ_swingshot=1.33#UsoppnewCZ_banboo_cast=1.77</t>
  </si>
  <si>
    <t>绿星·霸王花</t>
  </si>
  <si>
    <t>6904</t>
  </si>
  <si>
    <t>UsoppnewCZ_wutong_slingshot=0.49#UsoppnewCZ_wutong_shot=0.87#UsoppnewCZ_flower_appear=1.27#UsoppnewCZ_flower_smoke=1.51#CV_UsoppnewCZ_tong=0.82</t>
  </si>
  <si>
    <t>绿星·手里剑</t>
  </si>
  <si>
    <t>6905</t>
  </si>
  <si>
    <t>UsoppnewCZ_wutong_slingshot=0.26#slingshot_shot=1.25#UsoppnewCZ_wutong_shot=1.31#leaves_hit=1.67#leaves_hit=1.81#CV_UsoppnewCZ_heha=1.25</t>
  </si>
  <si>
    <t>必杀·蓑虫星</t>
  </si>
  <si>
    <t>6906</t>
  </si>
  <si>
    <t>UsoppnewCZ_bugstar_whoosh=0.07#UsoppnewCZ_bugstar_star=1.3#whooshsmall_general=1.77#UsoppnewCZ_bugstar_slingshotA=1.92#UsoppnewCZ_swingshot=2.53#UsoppnewCZ_bugstar_spring=2.78#UsoppnewCZ_bugstar_exchange=3.93#whooshlarge_general=5.03#UsoppnewCZ_bugstar_swing=6.04#UsoppnewCZ_bugstar_impact=6.4#UsoppnewCZ_bugstar_shake=6.72#UsoppnewCZ_bugstar_slingshotB=7.21#UsoppnewCZ_bugstar_target=8.96#UsoppnewCZ_bugstar_shot=10.28#UsoppnewCZ_bugstar_explosionA=10.75#UsoppnewCZ_bugstar_explosionA=11#UsoppnewCZ_bugstar_explosionB=11.59#CV_UsoppnewCZ_bugstar=5.15#CV_UsoppnewCZ_tong=12.05</t>
  </si>
  <si>
    <t>Particles/usopp006_body/usopp006_body_attack06_C</t>
  </si>
  <si>
    <t>必杀绿星·骷髅爆炸草</t>
  </si>
  <si>
    <t>6907</t>
  </si>
  <si>
    <t>whooshlarge_slashly01=0.05#UsoppnewCZ_explosion_whoosh=0.67#UsoppnewCZ_explosion_swing=1.53#mihawkCZ_wu_focus=2.48#UsoppnewCZ_explosion_slingshot=3.13#slingshot_shot=3.77#UsoppnewCZ_explosion_whistle=3.82#UsoppnewCZ_explosion_quake=4.17#UsoppnewCZ_explosion=5.45#CV_UsoppnewCZ_explosion1=1.06#CV_UsoppnewCZ_explosion2=5.56</t>
  </si>
  <si>
    <t>Particles/usopp006_body/usopp006_body_attack07_C</t>
  </si>
  <si>
    <t>Bip001 R Finger1Nub</t>
  </si>
  <si>
    <t>必杀·冲击狼草</t>
  </si>
  <si>
    <t>6908</t>
  </si>
  <si>
    <t>UsoppnewCZ_wolf_slingshotA=1.08#UsoppnewCZ_swingshot=2.8#UsoppnewCZ_bugstar_spring=3.57#UsoppnewCZ_wolf_toonA=4.38#UsoppnewCZ_wolf_toonB=4.96#UsoppnewCZ_wolf_slingshotB=6.42#slingshot_shot=8.23#UsoppnewCZ_wolf_appear=8.55#UsoppnewCZ_wolf_hit=9.92#UsoppnewCZ_wolf=8.81#CV_UsoppnewCZ_wolf1=0.03#CV_UsoppnewCZ_wolf2=6.28#whooshlarge_crash01=8.54</t>
  </si>
  <si>
    <t>Particles/usopp006_body/usopp006_body_attack08_C</t>
  </si>
  <si>
    <t>两年后佐罗</t>
  </si>
  <si>
    <t>普攻·贰斩</t>
  </si>
  <si>
    <t>7001</t>
  </si>
  <si>
    <r>
      <rPr>
        <sz val="11"/>
        <color theme="1"/>
        <rFont val="等线"/>
        <charset val="134"/>
        <scheme val="minor"/>
      </rPr>
      <t>ZoronewCZ_attack_swing1=0.22#ZoronewCZ_attack_swing1=0.44#ZoronewCZ_attack_swing2=0.91#CVZoronewCZ_attack_he=0.81#</t>
    </r>
    <r>
      <rPr>
        <sz val="11"/>
        <color rgb="FFFF0000"/>
        <rFont val="等线"/>
        <charset val="134"/>
        <scheme val="minor"/>
      </rPr>
      <t>slash_general01=0.28#slash_general01=0.51#slash_general01=0.99</t>
    </r>
  </si>
  <si>
    <t>极虎狩</t>
  </si>
  <si>
    <t>7002</t>
  </si>
  <si>
    <r>
      <rPr>
        <sz val="11"/>
        <color theme="1"/>
        <rFont val="等线"/>
        <charset val="134"/>
        <scheme val="minor"/>
      </rPr>
      <t>ZoronewCZ_tiger_swordout=0.24#ZoronewCZ_attack_swing1=1.14#ZoronewCZ_tiger_cast=1.65#ZoronewCZ_swordcatch=2.74#ZoronewCZ_swordin=3.12#CVZoronewCZ_tiger=0.63#</t>
    </r>
    <r>
      <rPr>
        <sz val="11"/>
        <color rgb="FFFF0000"/>
        <rFont val="等线"/>
        <charset val="134"/>
        <scheme val="minor"/>
      </rPr>
      <t>slash_large=1.85</t>
    </r>
  </si>
  <si>
    <t>厄港鸟</t>
  </si>
  <si>
    <t>7003</t>
  </si>
  <si>
    <t>ZoronewCZ_bird_swordin1=0.37#ZoronewCZ_bird_swordin2=0.83#ZoronewCZ_bird_energy=0.95#ZoronewCZ_attack_swing1=1.71#ZoronewCZ_bird_cast=1.71#ZoronewCZ_bird_end=3#CVZoronewCZ_attack_qie=1.74</t>
  </si>
  <si>
    <t>炼狱鬼斩</t>
  </si>
  <si>
    <t>7004</t>
  </si>
  <si>
    <r>
      <rPr>
        <sz val="11"/>
        <color theme="1"/>
        <rFont val="等线"/>
        <charset val="134"/>
        <scheme val="minor"/>
      </rPr>
      <t>ZoronewCZ_ghost_swordout=0.37#ZoronewCZ_bird_energy=0.99#ZoronewCZ_ghost_cast=1.55#ZoronewCZ_swordcatch=2.31#ZoronewCZ_swordin=2.61#CVZoronewCZ_ghost=0.21</t>
    </r>
    <r>
      <rPr>
        <sz val="11"/>
        <color rgb="FFFF0000"/>
        <rFont val="等线"/>
        <charset val="134"/>
        <scheme val="minor"/>
      </rPr>
      <t>slash_large=1.68</t>
    </r>
  </si>
  <si>
    <t>千八十烦恼风</t>
  </si>
  <si>
    <t>7005</t>
  </si>
  <si>
    <t>ZoronewCZ_fannao_swordin1=0.26#ZoronewCZ_fannao_jump=0.86#ZoronewCZ_fannao_cast=1.3#ZoronewCZ_fannao_wind=1.52#ZoronewCZ_swordcatch=2.33#ZoronewCZ_swordin=2.8#CVZoronewCZ_fannao=0.31</t>
  </si>
  <si>
    <t>黑绳·大龙卷</t>
  </si>
  <si>
    <t>7006</t>
  </si>
  <si>
    <r>
      <rPr>
        <sz val="11"/>
        <color theme="1"/>
        <rFont val="等线"/>
        <charset val="134"/>
        <scheme val="minor"/>
      </rPr>
      <t>ZoronewCZ_tornado_baqi=0.21#ZoronewCZ_tornado_cloth=1.82#ZoronewCZ_tornado_baqi=2.46#ZoronewCZ_tornado_jump=3.92#whooshsmall_general=3.99#mihawkCZ_wu_focus=4.61#ZoronewCZ_tornado_show=5.3#ZoronewCZ_tornado_dragon=6.31#ZoronewCZ_tornado_storm=7.05#ZoronewCZ_tornado_swing=7.22#ZoronewCZ_tornado_slash1=7.86#ZoronewCZ_tornado_reverse=10.47#ZoronewCZ_tornado_slash2=10.91#ZoronewCZ_tornado_end=11.77#CVZoronewCZ_tornado1=2.37#CVZoronewCZ_tornado2=4.69#CVZoronewCZ_attack_qie=11.12#</t>
    </r>
    <r>
      <rPr>
        <sz val="11"/>
        <color rgb="FFFF0000"/>
        <rFont val="等线"/>
        <charset val="134"/>
        <scheme val="minor"/>
      </rPr>
      <t>punch_hit_giant01=12.08#CrocodileCZ_sand_hit=8.6#CrocodileCZ_sand_hit=8.9#CrocodileCZ_sand_hit=9.2#CrocodileCZ_sand_hit=9.41#CrocodileCZ_sand_hit=9.66#CrocodileCZ_sand_hit=9.91#CrocodileCZ_sand_hit=10.18#CrocodileCZ_sand_hit=10.43</t>
    </r>
  </si>
  <si>
    <t>Particles/zoro007/zoro007_body_attack06_c</t>
  </si>
  <si>
    <t>1697&amp;&amp;1698&amp;&amp;1699&amp;&amp;1700</t>
  </si>
  <si>
    <t>Bip001 HeadNub&amp;&amp;Dummy009&amp;&amp;Dummy011&amp;&amp;Dummy013</t>
  </si>
  <si>
    <t>死·狮子歌歌</t>
  </si>
  <si>
    <t>7007</t>
  </si>
  <si>
    <r>
      <rPr>
        <sz val="11"/>
        <color theme="1"/>
        <rFont val="等线"/>
        <charset val="134"/>
        <scheme val="minor"/>
      </rPr>
      <t>whooshlarge_slashly01=0.366#ZoronewCZ_lion_sword1=2#ZoronewCZ_lion_swing=2.59#ZoronewCZ_lion_swing=2.89#ZoronewCZ_lion_sword2=3.26#ZoronewCZ_lion_sword3=3.79#ZoronewCZ_lion_light=4.19#ZoronewCZ_lion_roar=4.62#ZoronewCZ_lion_whoosh=4.85#ZoronewCZ_lion_end=6.31#CVZoronewCZ_lion1=3.97#CVZoronewCZ_lion2=6.49#</t>
    </r>
    <r>
      <rPr>
        <sz val="11"/>
        <color rgb="FFFF0000"/>
        <rFont val="等线"/>
        <charset val="134"/>
        <scheme val="minor"/>
      </rPr>
      <t>slash_large=6.85</t>
    </r>
  </si>
  <si>
    <t>Particles/zoro007/zoro007_body_attack07_c</t>
  </si>
  <si>
    <t>youshoudao01</t>
  </si>
  <si>
    <r>
      <rPr>
        <sz val="11"/>
        <color theme="1"/>
        <rFont val="宋体"/>
        <charset val="134"/>
      </rPr>
      <t>Particles</t>
    </r>
    <r>
      <rPr>
        <sz val="11"/>
        <color theme="1"/>
        <rFont val="宋体"/>
        <charset val="134"/>
      </rPr>
      <t>/</t>
    </r>
    <r>
      <rPr>
        <sz val="11"/>
        <color theme="1"/>
        <rFont val="宋体"/>
        <charset val="134"/>
      </rPr>
      <t>zoro007</t>
    </r>
    <r>
      <rPr>
        <sz val="11"/>
        <color theme="1"/>
        <rFont val="宋体"/>
        <charset val="134"/>
      </rPr>
      <t>/</t>
    </r>
    <r>
      <rPr>
        <sz val="11"/>
        <color theme="1"/>
        <rFont val="宋体"/>
        <charset val="134"/>
      </rPr>
      <t>zoro007_body_attack07_light</t>
    </r>
  </si>
  <si>
    <t>一大·三千·大千世界</t>
  </si>
  <si>
    <t>7008</t>
  </si>
  <si>
    <r>
      <rPr>
        <sz val="11"/>
        <color theme="1"/>
        <rFont val="等线"/>
        <charset val="134"/>
        <scheme val="minor"/>
      </rPr>
      <t>ZoronewCZ_world_baqi=1.57#ZoronewCZ_world_swing1=2.84#ZoronewCZ_world_swing2=3.25#ZoronewCZ_world_swing3=3.57#ZoronewCZ_world_swing4=4.4#ZoronewCZ_world_swordswing1=4.67#ZoronewCZ_world_swordswing2=5.33#mihawkCZ_wu_focus=6.67#ZoronewCZ_world_superwhoosh=6.82#ZoronewCZ_world_hit=9.16#ZoronewCZ_world_slash=8.42#</t>
    </r>
    <r>
      <rPr>
        <sz val="11"/>
        <color rgb="FFFF0000"/>
        <rFont val="等线"/>
        <charset val="134"/>
        <scheme val="minor"/>
      </rPr>
      <t>slash_large=9.29</t>
    </r>
    <r>
      <rPr>
        <sz val="11"/>
        <rFont val="等线"/>
        <charset val="134"/>
        <scheme val="minor"/>
      </rPr>
      <t>#ZoronewCZ_world_drum1=3.71#ZoronewCZ_world_drum2=5.99#ZoronewCZ_world_drum3=8.99#CVZoronewCZ_world1=1.21#CVZoronewCZ_world2=3.62#CVZoronewCZ_world3=4.84#CVZoronewCZ_world4=5.98#CVZoronewCZ_world5=9</t>
    </r>
  </si>
  <si>
    <t>Particles/zoro007/zoro007_body_attack08_c</t>
  </si>
  <si>
    <t>zuoshoudao01</t>
  </si>
  <si>
    <r>
      <rPr>
        <sz val="11"/>
        <color theme="1"/>
        <rFont val="等线"/>
        <charset val="134"/>
        <scheme val="minor"/>
      </rPr>
      <t>黑胡子B</t>
    </r>
    <r>
      <rPr>
        <sz val="11"/>
        <color theme="1"/>
        <rFont val="等线"/>
        <charset val="134"/>
        <scheme val="minor"/>
      </rPr>
      <t>OSS</t>
    </r>
  </si>
  <si>
    <t>7801</t>
  </si>
  <si>
    <t>smoke_Swing04=0#smoke_Swing05=0.18#jinbe_Swing02=1.104#kid_ObjectFly02=1.254#jinbe_Swing01=1.393</t>
  </si>
  <si>
    <t>黑暗降临</t>
  </si>
  <si>
    <t>7802</t>
  </si>
  <si>
    <t>blackbear_DarkIn01=0#blackbear_DarkIn02=0.464#kid_ObjectFly02=0.676#blackbear_DarkOut01=0.676#borsalino_LightExplosion01=2.553#blackbear_DarkOut02=2.553#se_Punch_FaceHit=2.9#se_Sword_Hit=2.9#se_Punch_FaceHit=3.3#se_Sword_Hit=3.3#se_Punch_FaceHit=3.7#se_Sword_Hit=3.7#se_Sword_Hit=4.5#se_Punch_FaceHit=4.5#se_Punch_Giant_Hit=4.5#CV_kurohige09=1</t>
  </si>
  <si>
    <t>黑暗领域</t>
  </si>
  <si>
    <t>7803</t>
  </si>
  <si>
    <t>blackbear_DarkIn01=0#blackbear_DarkOut03=0.862#se_Punch_FaceHit=0.862#edward_Aexplosion01=1.6#Punch_Boxing_BodyHit05=1.6#se_Swordheavy_Hit=1.6#edward_Explosion01=2.499#se_Punch_FaceHit=2.499#blackbear_DarkOut01=3.05#blackbear_DarkIn03=3.6#se_Punch_FaceHit=0.9#se_Sword_Hit=0.9#se_Punch_FaceHit=1.533#se_Sword_Hit=1.533#se_Punch_FaceHit=2.5#se_Sword_Hit=2.5#CV_kurohige08=0</t>
  </si>
  <si>
    <t>海震</t>
  </si>
  <si>
    <t>7804</t>
  </si>
  <si>
    <t>usopp_Cloth=0#edward_PreA01=0#jinbe_Swing01=1.121#luffy_Punch_Giant02=1.368#se_Punch_FaceHit=1.46667#se_Punch_FaceHit=1.46667#se_Punch_Giant_Hit=1.46667#edward_Aexplosion01=1.519</t>
  </si>
  <si>
    <t>黑暗漩涡</t>
  </si>
  <si>
    <t>7805</t>
  </si>
  <si>
    <t>usopp_Cloth=0#blackbear_DarkIn02=0.1#blackbear_DarkOut02=0.1#Hogbak_Magic02=0.441#blackbear_DarkIn01=2#se_Punch_Hit01=0.8#se_Sword_Hit=0.8#se_Punch_Hit02=1.2#se_Sword_Hit=1.2#se_Sword_Hit=1.6#se_Punch_FaceHit=1.6#se_Sword_Hit=2#se_Punch_FaceHit=2</t>
  </si>
  <si>
    <r>
      <rPr>
        <sz val="11"/>
        <color theme="1"/>
        <rFont val="等线"/>
        <charset val="134"/>
        <scheme val="minor"/>
      </rPr>
      <t>1768</t>
    </r>
    <r>
      <rPr>
        <sz val="11"/>
        <color theme="1"/>
        <rFont val="等线"/>
        <charset val="134"/>
        <scheme val="minor"/>
      </rPr>
      <t>&amp;&amp;1769</t>
    </r>
  </si>
  <si>
    <t>暗穴道</t>
  </si>
  <si>
    <t>7806</t>
  </si>
  <si>
    <t>blackbear_DarkOut01=0#Hogbak_Magic02=0.31#sengoku_Explosion=1.2#kuma_SwingSlowly=1.2#jozz_Charging01=1.2#jinbe_Swing05=2.205#kuma_HitGround=2.751#kuma_HitGround=2.751#blackbear_DarkOut03=2.751#blackbear_DarkOut02=2.751#blackbear_DarkIn02=3.5#kid_Wind01=3.5#crocodile_GndShakingSand=3.5#Explo_Small_Web=3.8333#se_Punch_Hit02=3.8333#se_Sword_Hit=3.8333#se_Punch_Hit02=4#se_Sword_Hit=4#se_Punch_Hit01=4.15#CV_kurohige_Ha=0#CV_kurohige_BlackHole=2.4</t>
  </si>
  <si>
    <r>
      <rPr>
        <sz val="11"/>
        <color theme="1"/>
        <rFont val="等线"/>
        <charset val="134"/>
        <scheme val="minor"/>
      </rPr>
      <t>Particles/</t>
    </r>
    <r>
      <rPr>
        <sz val="11"/>
        <color theme="1"/>
        <rFont val="等线"/>
        <charset val="134"/>
        <scheme val="minor"/>
      </rPr>
      <t>blackbeard003_body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blackbeard003_attack0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_C</t>
    </r>
  </si>
  <si>
    <t>暗水</t>
  </si>
  <si>
    <t>7807</t>
  </si>
  <si>
    <t>blackbear_DarkIn01=0#law_Glance=0.72#blackbear_DarkOut01=0.72#jinbe_Swing02=1.494#blackbear_DarkOut02=2#smoke_SteamFlying01=2#franky_Wind_Gathering=3#blackbear_Catch=4.389#edward_Windimpact01=4.796#jozz_Charging04=5#jozz_Explosion02=5.221#se_Rocks01=5.221#se_Punch_Giant_Hit=5.221#CV_kurohige_BlackWater=1.5</t>
  </si>
  <si>
    <r>
      <rPr>
        <sz val="11"/>
        <color theme="1"/>
        <rFont val="等线"/>
        <charset val="134"/>
        <scheme val="minor"/>
      </rPr>
      <t>Particles/</t>
    </r>
    <r>
      <rPr>
        <sz val="11"/>
        <color theme="1"/>
        <rFont val="等线"/>
        <charset val="134"/>
        <scheme val="minor"/>
      </rPr>
      <t>blackbeard003_body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blackbeard003_attack0</t>
    </r>
    <r>
      <rPr>
        <sz val="11"/>
        <color theme="1"/>
        <rFont val="等线"/>
        <charset val="134"/>
        <scheme val="minor"/>
      </rPr>
      <t>7</t>
    </r>
    <r>
      <rPr>
        <sz val="11"/>
        <color theme="1"/>
        <rFont val="等线"/>
        <charset val="134"/>
        <scheme val="minor"/>
      </rPr>
      <t>_C</t>
    </r>
  </si>
  <si>
    <t>Particles/blackbeard003_body/blackbeard003_attack07_light</t>
  </si>
  <si>
    <t>黑天暗地</t>
  </si>
  <si>
    <t>7808</t>
  </si>
  <si>
    <t>ultimate_Sign=0#blackbear_DarkOut01=3.226#hancock_Kick07=3.226#blackbear_DarkIn04=3.7#chopper_Ultramove=4.277#usopp_Cloth=6.858#franky_Swing02=7.262#blackbear_DarkOut05=7.262#kid_ObjectFly02=7.262#edward_Explosion03=8.2#blackbear_DarkExplo=10.679#CV_kurohige20=0#CV_kurohige22=6</t>
  </si>
  <si>
    <r>
      <rPr>
        <sz val="11"/>
        <color theme="1"/>
        <rFont val="等线"/>
        <charset val="134"/>
        <scheme val="minor"/>
      </rPr>
      <t>Particles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blackbeard003_body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blackbeard003_attack08_C</t>
    </r>
  </si>
  <si>
    <t>两年后佐罗-替换为群体技能</t>
  </si>
  <si>
    <t>whooshlarge_slashly01=0.366#ZoronewCZ_lion_sword1=2#ZoronewCZ_lion_swing=2.59#ZoronewCZ_lion_swing=2.89#ZoronewCZ_lion_sword2=3.26#ZoronewCZ_lion_sword3=3.79#ZoronewCZ_lion_light=4.19#ZoronewCZ_lion_roar=4.62#ZoronewCZ_lion_whoosh=4.85#ZoronewCZ_lion_end=6.31#CVZoronewCZ_lion1=3.97#CVZoronewCZ_lion2=6.49#slash_large=6.85#se_Swordheavy_Hit=7.25#se_Sword_Hit02=7.25#se_Swordheavy_Hit=7.25</t>
  </si>
  <si>
    <t>Particles/zoro007/zoro007_body_attack07_light</t>
  </si>
  <si>
    <t>黑胡子（怪物专用）</t>
  </si>
  <si>
    <t>黑天暗地（不带cutin特效）</t>
  </si>
  <si>
    <t>黑胡子人物</t>
  </si>
  <si>
    <t>1787&amp;&amp;1788</t>
  </si>
  <si>
    <t>law_Glance=0.72#blackbear_DarkOut01=0.72#jinbe_Swing02=1.494#blackbear_DarkOut02=2#smoke_SteamFlying01=2#franky_Wind_Gathering=3#blackbear_Catch=4.389#edward_Windimpact01=4.796#jozz_Charging04=5#jozz_Explosion02=5.221#se_Rocks01=5.221#se_Punch_Giant_Hit=5.221#CV_kurohige_BlackWater=1.5</t>
  </si>
  <si>
    <t>ultimate_Sign=0#blackbear_DarkOut01=3.226#hancock_Kick07=3.226#blackbear_DarkIn04=3.7#chopper_Ultramove=4.277#usopp_Cloth=6.858#franky_Swing02=7.262#blackbear_DarkOut05=7.362#kid_ObjectFly02=7.462#edward_Explosion03=8.9#blackbear_DarkExplo=11.379#CV_kurohige20=4</t>
  </si>
  <si>
    <t>1774&amp;&amp;1838</t>
  </si>
  <si>
    <t>两年后乌索普-不消耗怒气</t>
  </si>
  <si>
    <t>ultimate_Sign=0#usopp2_Draw01=1.405#usopp_Obj_Flying=2.505#ivankov_Trans02=3.126#chopper_Move01=3.317#smoke_SteamCharge02=3.6#ivankov_Trans=4.8#chopper_Move01=5.4#usopp_Tap=6#buggy_Funny02=6#buggy_Funny02=6.1#usopp2_Draw03=6.165#usopp2_Draw03=6.801#usopp_Obj_Flying=7.964#usopp2_Wolf=8.234#se_Rush_Long=8.234#kuzan_IceCharge03=8.433#wolf_Attack01=8.6#grenade_boom=9.845#jozz_Impact01=9.845#se_Leaves02=10.04#usopp_Explosion=10.04#se_Leaves01=10.4#CV_Nusopp07=0#CV_Nusopp_ImpactWolf=6.1</t>
  </si>
  <si>
    <t>新世界奈美</t>
  </si>
  <si>
    <t>7201</t>
  </si>
  <si>
    <r>
      <rPr>
        <sz val="11"/>
        <color theme="1"/>
        <rFont val="等线"/>
        <charset val="134"/>
        <scheme val="minor"/>
      </rPr>
      <t>NaminewCZ_attack_swing1=0.21#NaminewCZ_attack_swing1=0.65#NaminewCZ_attack_swing2=2.34#</t>
    </r>
    <r>
      <rPr>
        <sz val="11"/>
        <color rgb="FFFF0000"/>
        <rFont val="等线"/>
        <charset val="134"/>
        <scheme val="minor"/>
      </rPr>
      <t>NaminewCZ_attack_stickswing=1.35#NaminewCZ_attack_stickswing=1.42#NaminewCZ_attack_stickswing=1.49#NaminewCZ_attack_stickswing=1.57#NaminewCZ_attack_stickswing=1.65#NaminewCZ_attack_stickswing=1.72#NaminewCZ_attack_stickswing=1.79#NaminewCZ_attack_stickswing=1.87#spark_hit2=0.34#spark_hit2=0.77#spark_hit2=1.01#spark_hit2=1.55#spark_hit2=1.67#spark_hit2=1.8</t>
    </r>
  </si>
  <si>
    <t>魔法回旋镖</t>
  </si>
  <si>
    <t>7202</t>
  </si>
  <si>
    <t>NaminewCZ_attack_swing2=0.37#NaminewCZ_boomerang_swing=0.38#NaminewCZ_boomerang_swing=0.5#NaminewCZ_boomerang_swing=0.63#NaminewCZ_boomerang_swing=0.75#NaminewCZ_boomerang_swing=0.88#NaminewCZ_boomerang_swing=1#NaminewCZ_boomerang_swing=1.13#NaminewCZ_boomerang_swing=1.25#NaminewCZ_boomerang_ball=1.57#CV_NaminewCZ_boomerang=1.46</t>
  </si>
  <si>
    <t>zhu-wuqi002</t>
  </si>
  <si>
    <t>雷云杖</t>
  </si>
  <si>
    <t>7203</t>
  </si>
  <si>
    <r>
      <rPr>
        <sz val="11"/>
        <color theme="1"/>
        <rFont val="等线"/>
        <charset val="134"/>
        <scheme val="minor"/>
      </rPr>
      <t>NaminewCZ_attack_stickswing=0.05#NaminewCZ_attack_stickswing=0.12#NaminewCZ_attack_swing1=0.54#NaminewCZ_thunderstick_thunder1=0.66#NaminewCZ_thunderstick_swing=2.01#NaminewCZ_thunderstick_swing=2.57#NaminewCZ_thunderstick_thunder2=2.75#NaminewCZ_attack_swing1=3.39#</t>
    </r>
    <r>
      <rPr>
        <sz val="11"/>
        <color rgb="FFFF0000"/>
        <rFont val="等线"/>
        <charset val="134"/>
        <scheme val="minor"/>
      </rPr>
      <t>spark_hit2=2.12#spark_hit2=2.63#spark_hit2=2.98#</t>
    </r>
    <r>
      <rPr>
        <sz val="11"/>
        <color theme="1"/>
        <rFont val="等线"/>
        <charset val="134"/>
        <scheme val="minor"/>
      </rPr>
      <t>CV_NaminewCZ_thunderstick=0.97</t>
    </r>
  </si>
  <si>
    <t>雷光剑</t>
  </si>
  <si>
    <t>7204</t>
  </si>
  <si>
    <t>NaminewCZ_thundersword_throw=0.7#NaminewCZ_thundersword_thunder=1.07#NaminewCZ_thundersword_hit=2.58#NaminewCZ_thundersword_hit=3.25#CV_NaminewCZ_thundersword=0.09</t>
  </si>
  <si>
    <t>雷云陷阱</t>
  </si>
  <si>
    <t>7205</t>
  </si>
  <si>
    <r>
      <rPr>
        <sz val="11"/>
        <color theme="1"/>
        <rFont val="等线"/>
        <charset val="134"/>
        <scheme val="minor"/>
      </rPr>
      <t>NaminewCZ_trap_swing=0.27#NaminewCZ_trap_stickswing=0.48#NaminewCZ_trap_stickswing=0.77#NaminewCZ_trap_wind=0.51#NaminewCZ_attack_swing1=1.1#NaminewCZ_trap_thunder=1.38#CV_NaminewCZ_trap=0.83#</t>
    </r>
    <r>
      <rPr>
        <sz val="11"/>
        <color rgb="FFFF0000"/>
        <rFont val="等线"/>
        <charset val="134"/>
        <scheme val="minor"/>
      </rPr>
      <t>NaminewCZ_trap_spark=1.96#NaminewCZ_trap_spark=2.6#NaminewCZ_attack_swing1=2.86#NaminewCZ_trap_spark=3.25#NaminewCZ_trap_hit=3.24</t>
    </r>
  </si>
  <si>
    <t>突风剑（蓝色棍子）</t>
  </si>
  <si>
    <t>7206</t>
  </si>
  <si>
    <t>NaminewCZ_sword_swhoosh=0.11#NaminewCZ_sword_take=0.62#NaminewCZ_sword_swhoosh=0.9#NaminewCZ_sword_take=1.54#NaminewCZ_sword_threebody=1.77#whooshsmall_general=3.02#NaminewCZ_sword_charge=3.02#NaminewCZ_sword_hit=4.14#CV_NaminewCZ_sword=3.28</t>
  </si>
  <si>
    <t>Particles/nami006/nami006_body_attack06_C</t>
  </si>
  <si>
    <t>电荷爆发</t>
  </si>
  <si>
    <t>7207</t>
  </si>
  <si>
    <t>NaminewCZ_charge_spark1=2.1#whooshsmall_general=3.06#NaminewCZ_charge_swing1=3.06#NaminewCZ_charge_swing2=3.42#NaminewCZ_charge_swing2=3.53#NaminewCZ_charge_swing2=3.63#NaminewCZ_charge_swing2=3.74#NaminewCZ_charge_swing2=3.84#NaminewCZ_charge_swing2=3.94#NaminewCZ_charge_swing2=4.04#NaminewCZ_charge_swing2=4.14#NaminewCZ_charge_swing2=4.24#NaminewCZ_charge_swing2=4.35#NaminewCZ_charge_swing2=4.46#NaminewCZ_charge_swing2=4.56#NaminewCZ_charge_bubble=3.52#NaminewCZ_charge_bubble=3.82#NaminewCZ_charge_bubble=4.25#NaminewCZ_charge_superthunder=5#NaminewCZ_charge_spark2=6.38#NaminewCZ_charge_swing3=7.6#NaminewCZ_charge_hit=7.84#CV_NaminewCZ_change1=2.08#CV_NaminewCZ_change2=7.07</t>
  </si>
  <si>
    <t>Particles/nami006/nami006_body_attack07_C</t>
  </si>
  <si>
    <t>zhu-wuqi001</t>
  </si>
  <si>
    <t>雷光乱舞</t>
  </si>
  <si>
    <t>7208</t>
  </si>
  <si>
    <t>whooshlarge_general=0.02#NaminewCZ_thunderdance_bubble=2.05#NaminewCZ_thunderdance_swing1=2.2#NaminewCZ_thunderdance_swing2=2.95#NaminewCZ_attack_swing2=3.38#NaminewCZ_thunderdance_spark=3.82#NaminewCZ_boomerang_swing=4.75#NaminewCZ_boomerang_swing=4.88#NaminewCZ_boomerang_swing=5.01#NaminewCZ_thunderdance_hit=5.27#punch_hit_giant01=5.27#whooshsmall_general=7.34#CV_NaminewCZ_thunderdance1=0.36#CV_NaminewCZ_thunderdance2=2.88#CV_NaminewCZ_thunderdance3=7.37</t>
  </si>
  <si>
    <t>Particles/nami006/nami006_body_attack08_C</t>
  </si>
  <si>
    <t>1816&amp;&amp;1817</t>
  </si>
  <si>
    <t>zhu-wuqi001&amp;&amp;zhu-wuqi001</t>
  </si>
  <si>
    <t>突风剑（黄色棍子）</t>
  </si>
  <si>
    <t>新世界罗宾</t>
  </si>
  <si>
    <t>7501</t>
  </si>
  <si>
    <r>
      <rPr>
        <sz val="11"/>
        <color theme="1"/>
        <rFont val="等线"/>
        <charset val="134"/>
        <scheme val="minor"/>
      </rPr>
      <t>RobinnewCZ_attack_swing1=0.13#RobinnewCZ_attack_swing1=0.61#RobinnewCZ_attack_swing2=1.04#RobinnewCZ_attack_swing3=1.94</t>
    </r>
    <r>
      <rPr>
        <sz val="11"/>
        <color rgb="FFFF0000"/>
        <rFont val="等线"/>
        <charset val="134"/>
        <scheme val="minor"/>
      </rPr>
      <t>#slap_hit01=0.28#slap_hit01=0.7#slap_hit01=2.21#slap_hit01=2.38</t>
    </r>
  </si>
  <si>
    <t>百花缭乱·大树</t>
  </si>
  <si>
    <t>7502</t>
  </si>
  <si>
    <t>RobinnewCZ_bigtree_hit=0.52#RobinnewCZ_bigtree_slap=1.34#punch_hit_medium01=1.48</t>
  </si>
  <si>
    <t>五棵树·掌掴</t>
  </si>
  <si>
    <t>7503</t>
  </si>
  <si>
    <r>
      <rPr>
        <sz val="11"/>
        <color theme="1"/>
        <rFont val="等线"/>
        <charset val="134"/>
        <scheme val="minor"/>
      </rPr>
      <t>RobinnewCZ_fivetrees_buff1=0.4#RobinnewCZ_fivetrees_swing=0.63#RobinnewCZ_fivetrees_swing=0.77#RobinnewCZ_fivetrees_swing=0.9#RobinnewCZ_fivetrees_swing=1.06#RobinnewCZ_fivetrees_swing=1.21#</t>
    </r>
    <r>
      <rPr>
        <sz val="11"/>
        <color rgb="FFFF0000"/>
        <rFont val="等线"/>
        <charset val="134"/>
        <scheme val="minor"/>
      </rPr>
      <t>slap_hit01=0.65#slap_hit01=0.85#slap_hit01=1.06#slap_hit01=1.27</t>
    </r>
  </si>
  <si>
    <t>万紫千红·巨大树·掌刮</t>
  </si>
  <si>
    <t>7504</t>
  </si>
  <si>
    <t>RobinnewCZ_handslap_buff=0#RobinnewCZ_handslap_swing=0.3#RobinnewCZ_handslap_slap=0.55#RobinnewCZ_handslap_slap=0.68#RobinnewCZ_handslap_slap=0.81#CV_RobinnewCZ_handslap=0.17</t>
  </si>
  <si>
    <t>万紫千红·万花园</t>
  </si>
  <si>
    <t>7505</t>
  </si>
  <si>
    <r>
      <rPr>
        <sz val="11"/>
        <color theme="1"/>
        <rFont val="等线"/>
        <charset val="134"/>
        <scheme val="minor"/>
      </rPr>
      <t>RobinnewCZ_garden_hand1=0.26#RobinnewCZ_garden_hand1=0.81#RobinnewCZ_garden_hand2=1.36#RobinnewCZ_garden_hand3=1.84#RobinnewCZ_garden_hand4=2.18#</t>
    </r>
    <r>
      <rPr>
        <sz val="11"/>
        <color rgb="FFFF0000"/>
        <rFont val="等线"/>
        <charset val="134"/>
        <scheme val="minor"/>
      </rPr>
      <t>slap_hit01=0.54#slap_hit01=1.04#slap_hit01=1.67#slap_hit01=2.58#CV_RobinnewCZ_garden=0.18</t>
    </r>
  </si>
  <si>
    <t>万紫千红·蝴蝶兰</t>
  </si>
  <si>
    <t>7506</t>
  </si>
  <si>
    <r>
      <rPr>
        <sz val="11"/>
        <color theme="1"/>
        <rFont val="等线"/>
        <charset val="134"/>
        <scheme val="minor"/>
      </rPr>
      <t>RobinnewCZ_butterfly_buff=0.31#RobinnewCZ_butterfly_hand=5.89#RobinnewCZ_butterfly_cast=3.96#whooshlarge_crash01=6.99#</t>
    </r>
    <r>
      <rPr>
        <sz val="11"/>
        <color rgb="FFFF0000"/>
        <rFont val="等线"/>
        <charset val="134"/>
        <scheme val="minor"/>
      </rPr>
      <t>punch_hit_small01=6.09#punch_hit_small01=6.31#punch_hit_small01=6.58#punch_hit_small01=6.83#punch_hit_small01=7.46#punch_hit_small01=8.18#bodyrock_hit02=8.18#kid_Crash03=8.18#</t>
    </r>
    <r>
      <rPr>
        <sz val="11"/>
        <color theme="1"/>
        <rFont val="等线"/>
        <charset val="134"/>
        <scheme val="minor"/>
      </rPr>
      <t>CV_RobinnewCZ_butterfly=2.66</t>
    </r>
  </si>
  <si>
    <r>
      <rPr>
        <sz val="11"/>
        <color theme="1"/>
        <rFont val="等线"/>
        <charset val="134"/>
        <scheme val="minor"/>
      </rPr>
      <t>Particles/robin004/robin004_body_attack0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_c</t>
    </r>
  </si>
  <si>
    <t>1938&amp;&amp;1938</t>
  </si>
  <si>
    <t>Bip001 L Finger2&amp;&amp;Bip001 R Finger2</t>
  </si>
  <si>
    <t>万紫千红·巨大树</t>
  </si>
  <si>
    <t>7507</t>
  </si>
  <si>
    <r>
      <rPr>
        <sz val="11"/>
        <color theme="1"/>
        <rFont val="等线"/>
        <charset val="134"/>
        <scheme val="minor"/>
      </rPr>
      <t>whooshsmall_general=0.75#RobinnewCZ_supertree_buff=0.87#RobinnewCZ_supertree_swing=2.09#RobinnewCZ_supertree_hand1=2.94#RobinnewCZ_supertree_hand1=4.54#RobinnewCZ_supertree_hand2=5.98#whooshlarge_nervous=7.7#whoosh_lazer=7.71#RobinnewCZ_supertree_ling=8.73#RobinnewCZ_supertree_ling=9.08#RobinnewCZ_supertree_ling=9.27#RobinnewCZ_supertree_ling=9.48#RobinnewCZ_supertree_hand2=9.8#RobinnewCZ_supertree_ling=10.52#RobinnewCZ_supertree_buffend=10.52#</t>
    </r>
    <r>
      <rPr>
        <sz val="11"/>
        <color rgb="FFFF0000"/>
        <rFont val="等线"/>
        <charset val="134"/>
        <scheme val="minor"/>
      </rPr>
      <t>punch_hit_medium01=8.73#punch_hit_medium01=9.07#punch_hit_medium01=9.23#punch_hit_medium01=9.27#punch_hit_medium01=9.46#bodyrock_hit02=10.6#</t>
    </r>
    <r>
      <rPr>
        <sz val="11"/>
        <color theme="1"/>
        <rFont val="等线"/>
        <charset val="134"/>
        <scheme val="minor"/>
      </rPr>
      <t>CV_RobinnewCZ_supertree1=0.08#CV_RobinnewCZ_supertree2=2.32</t>
    </r>
  </si>
  <si>
    <r>
      <rPr>
        <sz val="11"/>
        <color theme="1"/>
        <rFont val="等线"/>
        <charset val="134"/>
        <scheme val="minor"/>
      </rPr>
      <t>Particles/robin004/robin004_body_attack</t>
    </r>
    <r>
      <rPr>
        <sz val="11"/>
        <color theme="1"/>
        <rFont val="等线"/>
        <charset val="134"/>
        <scheme val="minor"/>
      </rPr>
      <t>07</t>
    </r>
    <r>
      <rPr>
        <sz val="11"/>
        <color theme="1"/>
        <rFont val="等线"/>
        <charset val="134"/>
        <scheme val="minor"/>
      </rPr>
      <t>_c</t>
    </r>
  </si>
  <si>
    <t>1956&amp;&amp;1956</t>
  </si>
  <si>
    <t>万紫千红·巨大树·踩踏</t>
  </si>
  <si>
    <t>7508</t>
  </si>
  <si>
    <t>whooshlarge_general=0.01#RobinnewCZ_legs_buff=1.02#RobinnewCZ_legs_wing1=1.76#RobinnewCZ_legs_wing2=2.86#RobinnewCZ_legs_swing=3.51#RobinnewCZ_legs_handout1=3.96#RobinnewCZ_legs_handbuff=4.39#RobinnewCZ_legs_handout2=4.93#whooshmedium02=6.66#RobinnewCZ_legs_rock1=7.63#RobinnewCZ_legs_rock2=8#punch_hit_giant01=7.62#punch_hit_giant01=7.97#CV-RobinnewCZ_legs1=0.09#CV-RobinnewCZ_legs2=6.34</t>
  </si>
  <si>
    <t>Particles/robin004/robin004_body_attack08_c</t>
  </si>
  <si>
    <t>多弗拉门戈</t>
  </si>
  <si>
    <t>217401</t>
  </si>
  <si>
    <t>Hero_MingGe_Attack01=0.21#Hero_MingGe_Attack02=0.33#Hero_MingGe_Attack03=0.57#Hero_MingGe_Attack04=0.75#Hero_MingGe_Attack04=1.15#Hero_MingGe_Attack05=1.52</t>
  </si>
  <si>
    <t>弹线</t>
  </si>
  <si>
    <t>217402</t>
  </si>
  <si>
    <t>Hero_MingGe_SkillAttack02_01=0.3#Hero_MingGe_SkillAttack02_02=0.96#Hero_MingGe_SkillAttack02_03=1.25#Hero_MingGe_SkillAttack02_03=1.38#Hero_MingGe_SkillAttack02_04=1.7#CV_dof_String=0.5</t>
  </si>
  <si>
    <t>降无赖线</t>
  </si>
  <si>
    <t>217403</t>
  </si>
  <si>
    <t>CV_dof_DownRogue=0#Hero_MingGe_SkillAttack08_01=0.28#Hero_MingGe_SkillAttack08_02=0.46#Hero_MingGe_SkillAttack08_03=0.75#Hero_MingGe_SkillAttack08_03=1</t>
  </si>
  <si>
    <t>切割线</t>
  </si>
  <si>
    <t>217404</t>
  </si>
  <si>
    <t>Hero_MingGe_SkillAttack01_01=0.26#Hero_MingGe_SkillAttack01_02=0.57#Hero_MingGe_SkillAttack01_03=1#Hero_MingGe_SkillAttack01_04=1.25#Hero_MingGe_SkillAttack01_05=1.45</t>
  </si>
  <si>
    <t>寄生线</t>
  </si>
  <si>
    <t>217405</t>
  </si>
  <si>
    <t>CV_dof_Parasite=0#Hero_MingGe_SkillAttack07_01=0.32#Hero_MingGe_SkillAttack07_02=1.01#Hero_MingGe_SkillAttack07_03=1.46#Hero_MingGe_SkillAttack07_04=2</t>
  </si>
  <si>
    <t>影骑线</t>
  </si>
  <si>
    <t>217406</t>
  </si>
  <si>
    <t>CV_dof01=0#CV_dof08=5.89#Hero_MingGe_SkillAttack10_01=0#Hero_MingGe_SkillAttack10_02=1.6#Hero_MingGe_SkillAttack10_03=2.6#Hero_MingGe_SkillAttack10_04=3.28#Hero_MingGe_SkillAttack10_05=3.64#Hero_MingGe_SkillAttack10_06=4.6#Hero_MingGe_SkillAttack10_08=7.52</t>
  </si>
  <si>
    <t>Particles/doflamingo/doflamingo_body_attack06_c</t>
  </si>
  <si>
    <t>1928&amp;&amp;1929</t>
  </si>
  <si>
    <t>Bip001 L Finger31&amp;&amp;Bip001 R Finger31</t>
  </si>
  <si>
    <t>Particles/doflamingo/doflamingo001_attack06_light</t>
  </si>
  <si>
    <t>鸟笼</t>
  </si>
  <si>
    <t>217407</t>
  </si>
  <si>
    <t>CV_dof03=0#Hero_MingGe_SkillAttack09_01=0#ZoronewCZ_tornado_cloth=1.7#Hero_MingGe_SkillAttack09_02=2.3#Hero_MingGe_SkillAttack09_03=3.35#Hero_MingGe_SkillAttack09_04=4.3#Hero_MingGe_SkillAttack09_05=5.35#Hero_MingGe_SkillAttack09_06=6.35#Hero_MingGe_SkillAttack09_07=7.3#Hero_MingGe_SkillAttack09_08=6.85#Hero_MingGe_SkillAttack09_09=6.16#Hero_MingGe_SkillAttack09_10=6.45#Hero_MingGe_SkillAttack09_11=6.7#Hero_MingGe_SkillAttack09_12=7.04#Hero_MingGe_SkillAttack09_13=6.56#Hero_MingGe_SkillAttack09_13=6.76#Hero_MingGe_SkillAttack09_13=7.02#Hero_MingGe_SkillAttack09_13=7.27#Hero_MingGe_SkillAttack09_13=7.5#Hero_MingGe_SkillAttack09_13=7.7#Hero_MingGe_SkillAttack09_13=7.89#Hero_MingGe_SkillAttack09_13=8.08#Hero_MingGe_SkillAttack09_13=8.28</t>
  </si>
  <si>
    <t>Particles/doflamingo/doflamingo_body_attack07_C</t>
  </si>
  <si>
    <t>十六发神圣凶弹·神诛杀</t>
  </si>
  <si>
    <t>217408</t>
  </si>
  <si>
    <t>Hero_MingGe_SkillAttack03_01=0.2#Hero_MingGe_SkillAttack03_02=0.4#Hero_MingGe_SkillAttack03_03=0.82#Hero_MingGe_SkillAttack03_04=1.03#Hero_MingGe_SkillAttack03_05=1.4#Hero_MingGe_SkillAttack03_06=2.03#Hero_MingGe_SkillAttack03_07=2.78#Hero_MingGe_SkillAttack03_08=4.55#Hero_MingGe_SkillAttack03_09=5.51#Hero_MingGe_SkillAttack03_10=5.73#Hero_MingGe_SkillAttack03_11=5.95#Hero_MingGe_SkillAttack03_11=6.16#CV_dof02=0#CV_dof_GodSlay=5</t>
  </si>
  <si>
    <t>Particles/doflamingo/doflamingo_body_attack08_c</t>
  </si>
  <si>
    <r>
      <rPr>
        <sz val="11"/>
        <color theme="1"/>
        <rFont val="等线"/>
        <charset val="134"/>
        <scheme val="minor"/>
      </rPr>
      <t>Particles/doflamingo/doflamingo001_attack0</t>
    </r>
    <r>
      <rPr>
        <sz val="11"/>
        <color theme="1"/>
        <rFont val="等线"/>
        <charset val="134"/>
        <scheme val="minor"/>
      </rPr>
      <t>8</t>
    </r>
    <r>
      <rPr>
        <sz val="11"/>
        <color theme="1"/>
        <rFont val="等线"/>
        <charset val="134"/>
        <scheme val="minor"/>
      </rPr>
      <t>_light</t>
    </r>
  </si>
  <si>
    <t>延展普攻</t>
  </si>
  <si>
    <t>217409</t>
  </si>
  <si>
    <t>Hero_MingGe_SkillAttack04_01=0.47#Hero_MingGe_SkillAttack04_02=0.75#Hero_MingGe_SkillAttack04_03=1.86#Hero_MingGe_SkillAttack04_04=2.07#Hero_MingGe_SkillAttack04_05=2.35</t>
  </si>
  <si>
    <t>怒涛白线</t>
  </si>
  <si>
    <t>217410</t>
  </si>
  <si>
    <t>CV_dof_LakeWhite=0#Hero_MingGe_SkillAttack05_01=0.15#Hero_MingGe_SkillAttack05_02=0.72#Hero_MingGe_SkillAttack05_03=1.37#Hero_MingGe_SkillAttack05_03=1.7#Hero_MingGe_SkillAttack05_03=1.99#Hero_MingGe_SkillAttack05_04=1.94</t>
  </si>
  <si>
    <t>海原白波</t>
  </si>
  <si>
    <t>217411</t>
  </si>
  <si>
    <t>CV_dof_Sea=1.5#Hero_MingGe_SkillAttack06_01=0#Hero_MingGe_SkillAttack06_02=1.35#Hero_MingGe_SkillAttack06_03=2.58#Hero_MingGe_SkillAttack06_04=4.11#Hero_MingGe_SkillAttack06_05=4.55#Hero_MingGe_SkillAttack06_06=4.8#Hero_MingGe_SkillAttack06_07=7.18#Hero_MingGe_SkillAttack06_08=8.24#Hero_MingGe_SkillAttack06_09=8.46#Hero_MingGe_SkillAttack06_10=9.32#Hero_MingGe_SkillAttack06_11=10.44#Hero_MingGe_SkillAttack06_12=10.7#Hero_MingGe_SkillAttack06_13=11.6#Hero_MingGe_SkillAttack06_14=12.15#Hero_MingGe_SkillAttack06_15=12.35#Hero_MingGe_SkillAttack06_15=12.53#Hero_MingGe_SkillAttack06_15=12.68</t>
  </si>
  <si>
    <t>Particles/doflamingo/doflamingo_body_attack11_C</t>
  </si>
  <si>
    <t>1927&amp;&amp;1927&amp;&amp;1927&amp;&amp;1927</t>
  </si>
  <si>
    <t>Bip001 R Finger1Nub&amp;&amp;Bip001 R Finger2Nub&amp;&amp;Bip001 R Finger3Nub&amp;&amp;Bip001 R Finger4Nub</t>
  </si>
  <si>
    <t>新世界路飞</t>
  </si>
  <si>
    <t>7101</t>
  </si>
  <si>
    <r>
      <rPr>
        <sz val="11"/>
        <color theme="1"/>
        <rFont val="等线"/>
        <charset val="134"/>
        <scheme val="minor"/>
      </rPr>
      <t>LuffyCZ_attack_swing1=0.16#LuffyCZ_attack_swing2=0.59#LuffyCZ_attack_swing2=0.81#LuffynewCZ_attack_swing1=1.25#LuffynewCZ_attack_swing2=1.63#</t>
    </r>
    <r>
      <rPr>
        <sz val="11"/>
        <color rgb="FFFF0000"/>
        <rFont val="等线"/>
        <charset val="134"/>
        <scheme val="minor"/>
      </rPr>
      <t>punch_hit_small01=0.3#punch_hit_small01=0.7#punch_hit_small01=0.96#punch_hit_small01=1.9</t>
    </r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</si>
  <si>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oot</t>
    </r>
  </si>
  <si>
    <t>兀鹫火箭炮</t>
  </si>
  <si>
    <t>7102</t>
  </si>
  <si>
    <r>
      <rPr>
        <sz val="11"/>
        <color theme="1"/>
        <rFont val="等线"/>
        <charset val="134"/>
        <scheme val="minor"/>
      </rPr>
      <t>LuffyCZ_giantaxe_jump=0.23#LuffynewCZ_rocket_swing1=0.47#LuffynewCZ_rocket_cast=0.99#</t>
    </r>
    <r>
      <rPr>
        <sz val="11"/>
        <color rgb="FFFF0000"/>
        <rFont val="等线"/>
        <charset val="134"/>
        <scheme val="minor"/>
      </rPr>
      <t>bodyrock_hit02=1.38</t>
    </r>
  </si>
  <si>
    <t>Bone063</t>
  </si>
  <si>
    <t>火拳枪</t>
  </si>
  <si>
    <t>7103</t>
  </si>
  <si>
    <r>
      <rPr>
        <sz val="11"/>
        <color theme="1"/>
        <rFont val="等线"/>
        <charset val="134"/>
        <scheme val="minor"/>
      </rPr>
      <t>LuffynewCZ_fire_on=0.47#LuffynewCZ_fire_cast=1#CV_LuffynewCZ_fire1=0.41#CV_LuffynewCZ_fire2=1.33#</t>
    </r>
    <r>
      <rPr>
        <sz val="11"/>
        <color rgb="FFFF0000"/>
        <rFont val="等线"/>
        <charset val="134"/>
        <scheme val="minor"/>
      </rPr>
      <t>smallfire_hit=1.36#smallfire_hit=1.65#smallfire_hit=1.91</t>
    </r>
  </si>
  <si>
    <t>2013&amp;&amp;2014&amp;&amp;2015&amp;&amp;2016&amp;&amp;2017&amp;&amp;2018</t>
  </si>
  <si>
    <t>Point012&amp;&amp;Point013&amp;&amp;Point014&amp;&amp;Point015&amp;&amp;Point016&amp;&amp;Point017</t>
  </si>
  <si>
    <t>象枪乱打</t>
  </si>
  <si>
    <t>7104</t>
  </si>
  <si>
    <r>
      <rPr>
        <sz val="11"/>
        <color theme="1"/>
        <rFont val="等线"/>
        <charset val="134"/>
        <scheme val="minor"/>
      </rPr>
      <t>LuffynewCZ_combo_jump=0.19#LuffyCZ_attack_swing1=0.7#LuffyCZ_attack_swing1=0.84#LuffyCZ_attack_swing1=1.01#LuffyCZ_attack_swing1=1.17#LuffyCZ_attack_swing1=1.31#LuffynewCZ_combo_rockhit=0.76#LuffynewCZ_combo_rockhit=0.94#LuffynewCZ_combo_rockhit=1.14#LuffynewCZ_combo_rockhit=1.32#CV_LuffynewCZ_combo=0.12#</t>
    </r>
    <r>
      <rPr>
        <sz val="11"/>
        <color rgb="FFFF0000"/>
        <rFont val="等线"/>
        <charset val="134"/>
        <scheme val="minor"/>
      </rPr>
      <t>punch_hit_small01=0.75#punch_hit_small01=0.8#punch_hit_small01=0.85#punch_hit_small01=0.9#punch_hit_small01=0.95#punch_hit_small01=1#punch_hit_small01=1.05#punch_hit_small01=1.1#punch_hit_small01=1.15#punch_hit_small01=1.2#punch_hit_small01=1.25#punch_hit_small01=1.3#punch_hit_small01=1.35#punch_hit_small01=1.4#punch_hit_small01=1.45#punch_hit_small01=1.5#punch_hit_small01=1.55#punch_hit_small01=1.6</t>
    </r>
  </si>
  <si>
    <t>灰熊枪</t>
  </si>
  <si>
    <t>7105</t>
  </si>
  <si>
    <r>
      <rPr>
        <sz val="11"/>
        <color theme="1"/>
        <rFont val="等线"/>
        <charset val="134"/>
        <scheme val="minor"/>
      </rPr>
      <t>ChoppernewCZ_crash_whoosh3=0.03#LuffynewCZ_arms_baqi=1.13#LuffynewCZ_arms_fly=2.6#LuffynewCZ_arms_whoosh1=3.06#whooshlarge_nervous=3.06#LuffynewCZ_arms_whoosh2=3.55#CV_LuffynewCZ_arms1=1.38#CV_LuffynewCZ_arms2=2.97#CV_LuffynewCZ_arms3=3.92#</t>
    </r>
    <r>
      <rPr>
        <sz val="11"/>
        <color rgb="FFFF0000"/>
        <rFont val="等线"/>
        <charset val="134"/>
        <scheme val="minor"/>
      </rPr>
      <t>LuffyCZ_JETrocket_rockhit=4.39</t>
    </r>
  </si>
  <si>
    <r>
      <rPr>
        <sz val="11"/>
        <color theme="1"/>
        <rFont val="等线"/>
        <charset val="134"/>
        <scheme val="minor"/>
      </rPr>
      <t>Particles</t>
    </r>
    <r>
      <rPr>
        <sz val="11"/>
        <color theme="1"/>
        <rFont val="等线"/>
        <charset val="134"/>
        <scheme val="minor"/>
      </rPr>
      <t>/</t>
    </r>
    <r>
      <rPr>
        <sz val="11"/>
        <color theme="1"/>
        <rFont val="等线"/>
        <charset val="134"/>
        <scheme val="minor"/>
      </rPr>
      <t>luffy010_body</t>
    </r>
    <r>
      <rPr>
        <sz val="11"/>
        <color theme="1"/>
        <rFont val="等线"/>
        <charset val="134"/>
        <scheme val="minor"/>
      </rPr>
      <t>/luffy012_body_attack05_C</t>
    </r>
  </si>
  <si>
    <t>猿王群鸦炮</t>
  </si>
  <si>
    <t>7106</t>
  </si>
  <si>
    <r>
      <rPr>
        <sz val="11"/>
        <rFont val="等线"/>
        <charset val="134"/>
        <scheme val="minor"/>
      </rPr>
      <t>CV_LuffynewCZ_4_1=0.18#CV_LuffynewCZ_4_2=2.22#CV_LuffynewCZ_4_3=3.72#CV_LuffynewCZ_4_4=6.44#LuffynewCZ_4_air=0.65#whooshsmall_general=1.45#LuffynewCZ_4_chiba=1.37#LuffynewCZ_4_taiko=3#whooshlarge_slashly03=3.42#LuffynewCZ_4_surdo1=3.77#LuffynewCZ_4_surdo2=5.38#whooshsmall_general=6.23#LuffynewCZ_4_combo=6.46#LuffynewCZ_4_swing=6.44#LuffynewCZ_4_swing=6.6#LuffynewCZ_4_swing=6.74#LuffynewCZ_4_swing=6.89#LuffynewCZ_4_swing=7.05#LuffynewCZ_4_swing=7.21#LuffynewCZ_4_swing=7.36#LuffynewCZ_4_swing=7.5#LuffynewCZ_4_swing=7.65#whooshmedium01=8.04#</t>
    </r>
    <r>
      <rPr>
        <sz val="11"/>
        <color rgb="FFFF0000"/>
        <rFont val="等线"/>
        <charset val="134"/>
        <scheme val="minor"/>
      </rPr>
      <t>punch_hit_small02=6.32#punch_hit_small02=6.45#punch_hit_small02=6.58#punch_hit_small02=6.68#punch_hit_small02=6.77#punch_hit_small02=6.85#punch_hit_small02=6.93#punch_hit_small02=7.02#punch_hit_small02=7.1#punch_hit_small02=7.18#punch_hit_small02=7.26#punch_hit_small02=7.35#punch_hit_small02=7.43#punch_hit_small02=7.51#punch_hit_small02=7.6#punch_hit_small02=7.68#punch_hit_small02=7.76#punch_hit_small02=7.84#punch_hit_giant01=7.94</t>
    </r>
  </si>
  <si>
    <r>
      <rPr>
        <sz val="11"/>
        <color theme="1"/>
        <rFont val="等线"/>
        <charset val="134"/>
        <scheme val="minor"/>
      </rPr>
      <t>Particles/</t>
    </r>
    <r>
      <rPr>
        <sz val="11"/>
        <color theme="1"/>
        <rFont val="等线"/>
        <charset val="134"/>
        <scheme val="minor"/>
      </rPr>
      <t>luffy010_body</t>
    </r>
    <r>
      <rPr>
        <sz val="11"/>
        <color theme="1"/>
        <rFont val="等线"/>
        <charset val="134"/>
        <scheme val="minor"/>
      </rPr>
      <t>/luffy010_body_attack06c</t>
    </r>
  </si>
  <si>
    <t>四挡普攻</t>
  </si>
  <si>
    <t>3002707</t>
  </si>
  <si>
    <r>
      <rPr>
        <sz val="11"/>
        <rFont val="等线"/>
        <charset val="134"/>
        <scheme val="minor"/>
      </rPr>
      <t>LuffynewCZ_4attack_swing1=0.05#LuffynewCZ_4attack_swing1=0.33#LuffynewCZ_4attack_swing1=0.64#LuffynewCZ_4attack_swing2=1.37#CV_LuffynewCZ_4attack=1.03#</t>
    </r>
    <r>
      <rPr>
        <sz val="11"/>
        <color rgb="FFFF0000"/>
        <rFont val="等线"/>
        <charset val="134"/>
        <scheme val="minor"/>
      </rPr>
      <t>punch_hit_small01=0.16#punch_hit_small01=0.43#punch_hit_small01=0.77#bodyrock_hit02=1.59#kick_general01=1.56</t>
    </r>
  </si>
  <si>
    <t>狮子火箭炮</t>
  </si>
  <si>
    <t>3002708</t>
  </si>
  <si>
    <r>
      <rPr>
        <sz val="11"/>
        <rFont val="等线"/>
        <charset val="134"/>
        <scheme val="minor"/>
      </rPr>
      <t>CV_LuffynewCZ_4rocket=0.5#LuffynewCZ_4rocket=0.33#</t>
    </r>
    <r>
      <rPr>
        <sz val="11"/>
        <color rgb="FFFF0000"/>
        <rFont val="等线"/>
        <charset val="134"/>
        <scheme val="minor"/>
      </rPr>
      <t>punch_hit_small01=1.09#bodyrock_hit01=1.15</t>
    </r>
  </si>
  <si>
    <t>大猿王枪</t>
  </si>
  <si>
    <t>3002709</t>
  </si>
  <si>
    <r>
      <rPr>
        <sz val="11"/>
        <color theme="1"/>
        <rFont val="等线"/>
        <charset val="134"/>
        <scheme val="minor"/>
      </rPr>
      <t>whoosh_lazer=0.2#LuffynewCZ_4gun_steam=1.14#LuffynewCZ_4gun_fly=2.12#LuffynewCZ_4gun_xuli=2.84#whooshlarge_slashly01=7.31#LuffynewCZ_4gun_ready=8.38#CV_LuffynewCZ_4gun1=1.19#CV_LuffynewCZ_4gun2=3.16#CV_LuffynewCZ_4gun3=4.84#CV_LuffynewCZ_4gun4=8.03#</t>
    </r>
    <r>
      <rPr>
        <sz val="11"/>
        <color rgb="FFFF0000"/>
        <rFont val="等线"/>
        <charset val="134"/>
        <scheme val="minor"/>
      </rPr>
      <t>LuffyCZ_JETrocket_rockhit=9.58#LuffynewCZ_4gun_explosion=9.71</t>
    </r>
  </si>
  <si>
    <t>Particles/luffy010_body/luffy012_body_attack09_C</t>
  </si>
  <si>
    <t>新世界烟鬼</t>
  </si>
  <si>
    <t>7901</t>
  </si>
  <si>
    <r>
      <rPr>
        <sz val="11"/>
        <rFont val="等线"/>
        <charset val="134"/>
        <scheme val="minor"/>
      </rPr>
      <t>SmokernewCZ_swing_red=0.18#SmokernewCZ_attack_smoke1=0.35#SmokernewCZ_swing_orange=0.51#SmokernewCZ_attack_smoke1=0.7#SmokernewCZ_swing_yellow=1.13#SmokernewCZ_attack_smoke2=1.4#SmokernewCZ_attack_smoke3=1.39#Shishou_sheath=2.19#</t>
    </r>
    <r>
      <rPr>
        <sz val="11"/>
        <color rgb="FFFF0000"/>
        <rFont val="等线"/>
        <charset val="134"/>
        <scheme val="minor"/>
      </rPr>
      <t>punch_hit_small02=0.36#punch_hit_small02=0.69#Shishou_hit=1.31</t>
    </r>
  </si>
  <si>
    <t>十手乱击</t>
  </si>
  <si>
    <t>7902</t>
  </si>
  <si>
    <r>
      <rPr>
        <sz val="11"/>
        <rFont val="等线"/>
        <charset val="134"/>
        <scheme val="minor"/>
      </rPr>
      <t>SmokernewCZ_shizi_swing=0.42#SmokernewCZ_shizi_swing=0.53#SmokernewCZ_shizi_swing=0.66#SmokernewCZ_shizi_swing=0.79#SmokernewCZ_swing_red=1.18#SmokernewCZ_smoke_purple=1.34#Shishou_sheath=2.43#CV_SomkernewCZ_shishou=0#</t>
    </r>
    <r>
      <rPr>
        <sz val="11"/>
        <color rgb="FFFF0000"/>
        <rFont val="等线"/>
        <charset val="134"/>
        <scheme val="minor"/>
      </rPr>
      <t>Shishou_hit=0.48#Shishou_hit=0.65#Shishou_hit=0.84#Shishou_hit=1.31</t>
    </r>
  </si>
  <si>
    <t>武装重拳</t>
  </si>
  <si>
    <t>7903</t>
  </si>
  <si>
    <r>
      <rPr>
        <sz val="11"/>
        <rFont val="等线"/>
        <charset val="134"/>
        <scheme val="minor"/>
      </rPr>
      <t>SmokernewCZ_swing_red=0.17#SmokernewCZ_attack_smoke1=0.17#SmokernewCZ_swing_orange=0.38#SmokernewCZ_attack_smoke1=0.38#SmokernewCZ_swing_red=0.85#SmokernewCZ_smoke_purple=0.94#SmokernewCZ_swing_yellow=1.36#SmokernewCZ_armor_steam=1.54#SmokernewCZ_armor_foot=1.86#SmokernewCZ_attack_smoke2=1.96#</t>
    </r>
    <r>
      <rPr>
        <sz val="11"/>
        <color rgb="FFFF0000"/>
        <rFont val="等线"/>
        <charset val="134"/>
        <scheme val="minor"/>
      </rPr>
      <t>punch_hit_small02=0.3#punch_hit_small02=0.54#punch_hit_small02=0.96#kick_general01=1.52</t>
    </r>
  </si>
  <si>
    <t>喷射飞拳</t>
  </si>
  <si>
    <t>7904</t>
  </si>
  <si>
    <t>SmokernewCZ_sprite_xuli=0.17#SmokernewCZ_sprite_smoke=0.88#SmokernewCZ_swing_yellow=0.77</t>
  </si>
  <si>
    <t>喷射双冲拳</t>
  </si>
  <si>
    <t>7905</t>
  </si>
  <si>
    <t>SmokernewCZ_doublesprite_xuli=0#SmokernewCZ_doublesprite_cast=0.52#SmokernewCZ_doublesprite_smoke=1.02#SmokernewCZ_doublesprite_explosion=1.9#CV_SomkernewCZ_penshe=0.61</t>
  </si>
  <si>
    <t>2103&amp;&amp;2104&amp;&amp;2105&amp;&amp;2106</t>
  </si>
  <si>
    <t>Bip001 L Forearm&amp;&amp;Bip001 R Forearm&amp;&amp;Bip001 L Hand&amp;&amp;Bip001 R Hand</t>
  </si>
  <si>
    <t>白色旋风</t>
  </si>
  <si>
    <t>7906</t>
  </si>
  <si>
    <r>
      <rPr>
        <sz val="11"/>
        <rFont val="等线"/>
        <charset val="134"/>
        <scheme val="minor"/>
      </rPr>
      <t>SmokernewCZ_whitestorm_steam1=0#whooshlarge_crash01=0.97#SmokernewCZ_swing_orange=2.18#SmokernewCZ_swing_orange=2.46#SmokernewCZ_whitestorm_smoke=2.47#SmokernewCZ_whitestorm_smoke=2.15#SmokernewCZ_swing_purple=2.91#SmokernewCZ_whitestorm_steam2=2.99#SmokernewCZ_whitestorm_steam3=3.71#SmokernewCZ_swing_yellow=3.76#general_B_jumpforward=4.46#SmokernewCZ_whitestorm_steam4=5.08#CV_SmokernewCZ_whitestorm1=0.41#CV_SmokernewCZ_whitestorm2=2.03#</t>
    </r>
    <r>
      <rPr>
        <sz val="11"/>
        <color rgb="FFFF0000"/>
        <rFont val="等线"/>
        <charset val="134"/>
        <scheme val="minor"/>
      </rPr>
      <t>punch_hit_small02=2.35#punch_hit_small02=2.59#punch_hit_small02=3.05#punch_hit_small02=3.87#punch_hit_medium01=5.15</t>
    </r>
  </si>
  <si>
    <t>Particles/smoker002/smoker002_attack06_C</t>
  </si>
  <si>
    <t>白色震撼</t>
  </si>
  <si>
    <t>7907</t>
  </si>
  <si>
    <r>
      <rPr>
        <sz val="11"/>
        <rFont val="等线"/>
        <charset val="134"/>
        <scheme val="minor"/>
      </rPr>
      <t>SmokernewCZ_whiteshock_steam=0#whooshlarge_general=0.38#SmokernewCZ_whiteshock_rocket=1.25#SmokernewCZ_whiteshock_falldown=2.66#SmokernewCZ_whiteshock_hit=3.92#SmokernewCZ_whiteshock_shishou=4.8#ZoroCZ_world_swing=5.34#SmokernewCZ_whiteshock_catch=6.29#CV_SmokernewCZ_whiteshock1=1.87#CV_SmokernewCZ_whiteshock2=3.25#CV_SmokernewCZ_whiteshock3=5.33#</t>
    </r>
    <r>
      <rPr>
        <sz val="11"/>
        <color rgb="FFFF0000"/>
        <rFont val="等线"/>
        <charset val="134"/>
        <scheme val="minor"/>
      </rPr>
      <t>Shishou_hit=2.95</t>
    </r>
  </si>
  <si>
    <t>Particles/smoker002/smoker002_attack07_C</t>
  </si>
  <si>
    <t>白色领域</t>
  </si>
  <si>
    <t>7908</t>
  </si>
  <si>
    <r>
      <rPr>
        <sz val="11"/>
        <rFont val="等线"/>
        <charset val="134"/>
        <scheme val="minor"/>
      </rPr>
      <t>SmokernewCZ_whiteplace_cloth=0.72#SmokernewCZ_whiteplace_steam=1.15#SmokernewCZ_whiteplace_rocket1=2.61#SmokernewCZ_whiteplace_rocket1=2.89#SmokernewCZ_whiteplace_rocket1=3.14#SmokernewCZ_whiteplace_rocket1=3.4#SmokernewCZ_whiteplace_rocket1=3.64#SmokernewCZ_whiteplace_rocket1=4.12#SmokernewCZ_whiteplace_rocket2=4.31#whooshmedium01=5.33#LuffyCZ_JETrocket_rockhit=5.91#SmokernewCZ_whiteplace_end=5.94#CV_SmokernewCZ_whiteplace1=0.69#CV_SmokernewCZ_whiteplace2=6.18#</t>
    </r>
    <r>
      <rPr>
        <sz val="11"/>
        <color rgb="FFFF0000"/>
        <rFont val="等线"/>
        <charset val="134"/>
        <scheme val="minor"/>
      </rPr>
      <t>punch_hit_small02=2.85#punch_hit_small02=3.12#punch_hit_small02=3.36#punch_hit_small02=3.62#punch_hit_small02=3.87#punch_hit_small02=4.34</t>
    </r>
  </si>
  <si>
    <t>Particles/smoker002/smoker002_attack08_C</t>
  </si>
  <si>
    <t>新世界塔西米</t>
  </si>
  <si>
    <t>普攻三连击</t>
  </si>
  <si>
    <t>8001</t>
  </si>
  <si>
    <t>zoro_Swing01=0.251#zoro_Swing02=0.381#zoro_Swing01=0.884#se_Jump01=1.026#zoro_Sheath_Begin=1.67#zoro_Sheath_End=1.67</t>
  </si>
  <si>
    <t>燕反</t>
  </si>
  <si>
    <t>8002</t>
  </si>
  <si>
    <t>law_Sheath01=0.2#se_Jump01=0.532#Mr2_Swing02=0.532#law_Sheath03=1.015#se_Jump02=1.096#Mr2_Swing01=1.096</t>
  </si>
  <si>
    <t>牙突</t>
  </si>
  <si>
    <t>8003</t>
  </si>
  <si>
    <t>blackbear_Darkin03=0#smoke_SteamCharge01=0.291#se_Jump01=1.079#se_Jump01=1.222#law_Sheath03=1.5#zoro_Slash=1.5#zoro_Sheath_End=2.744#zoro_Sheath_Begin=2.744</t>
  </si>
  <si>
    <t>落花</t>
  </si>
  <si>
    <t>8004</t>
  </si>
  <si>
    <t>kuma_SwingSlowly=0.413#law_Sheath01=0.956#se_Jump01=0.972#mihawk_Sheath03=1.942#mihawk_Sheath03=2.053#mihawk_Sheath03=2.227#mihawk_Sheath03=2.4#mihawk_Sheath03=2.569#mihawk_Sheath03=2.671#mihawk_Sheath03=2.782#mihawk_Sheath03=2.922#mihawk_Sheath03=3.145#mihawk_Sheath03=3.307#mihawk_Sheath03=3.483#mihawk_Sheath03=3.682#mihawk_Sheath03=3.851#zoro_Sheath_Begin=4.534</t>
  </si>
  <si>
    <t>散樱</t>
  </si>
  <si>
    <t>8005</t>
  </si>
  <si>
    <t>mihawk_EnergyIn=0.304#kuma_SwingSlowly=0.304#zoro_Slash_Heavy=0.666#cp9_GroundImpact=0.923#zoro_Slash_Long=1.938#se_Jump01=1.945#zoro_Sheath_Begin=3.3#zoro_Sheath_End=3.3</t>
  </si>
  <si>
    <t>胧月</t>
  </si>
  <si>
    <t>8006</t>
  </si>
  <si>
    <t>kuma_SwingSlowly=0.356#smoke_PunchesCloth=0.356#nami_Cloth=0.952#mihawk_Energy=1.075#mihawk_EnergyIn=2.322#kuma_SwingSlowly=2.339#Mr3_EnergyRoundUp=2.441#se_Jump01=4.08#mihawk_Sheath03=4.086#zoro_Jumphit=4.212#mihawk_Sheath03=4.323#tasigi19=5.08#mihawk_Sheath03=5.62zoro_Sheath_Begin=5.652</t>
  </si>
  <si>
    <t>Particles/tashigi002_body/tashigi002_body_attack06_C</t>
  </si>
  <si>
    <t>Bone25</t>
  </si>
  <si>
    <t>8007</t>
  </si>
  <si>
    <t>zoro_Sheath_Begin=0.441#mihawk_EnergyIn=0.441#tasigi11=0.53#se_Jump01=1.505#mihawk_Sheath03=1.511#zoro_Jumphit=1.638#mihawk_Sheath03=1.748#nami_Wind_Push=2.295#Chopper_JumpThrow=3.07#se_Kick_Hit01=3.970#se_FootstepDirt01=5.418#zoro_Sheath_Begin=5.986#nami_Cloth=8.084</t>
  </si>
  <si>
    <t>Particles/tashigi002_body/tashigi002_body_attack07_C</t>
  </si>
  <si>
    <t>2079&amp;&amp;2080&amp;&amp;2081</t>
  </si>
  <si>
    <t>Bip001 Head&amp;&amp;Bip001 Spine&amp;&amp;Dummy001</t>
  </si>
  <si>
    <t>里·斩时雨</t>
  </si>
  <si>
    <t>8008</t>
  </si>
  <si>
    <t>blackbear_Darkin04=0#se_Sakura=0#law_Sheath04=2.368#se_Unsheath=2.368#Mr3_EnergyIn=2.368#CV_tashigi_SlashRain=2.432#kuma_SwingSlowly=4.031#nami_Cloth=4.1#zoro_Sheath_4.172#zoro_Swing01=4.627#se_Jump01=4.744#zoro_Swing02=5.086#se_Jump01=5.255#zoro_Swing01=5.501#se_Jump01=5.622#zoro_Swing02=5.787#se_Jump01=5.972#zoro_Slash=6.5#zoro_Jumphit=6.5#Mr3_energyPop=6.729#se_Jump01=7.6</t>
  </si>
  <si>
    <t>Particles/tashigi002_body/tashigi002_body_attack08_C</t>
  </si>
  <si>
    <t>2083&amp;&amp;2084</t>
  </si>
  <si>
    <t>Bip001 Spine&amp;&amp;Bone25</t>
  </si>
  <si>
    <t>锦卫门</t>
  </si>
  <si>
    <t>8101</t>
  </si>
  <si>
    <t>Hero_JinWeiMen_Attack01_01=0.11#Hero_JinWeiMen_Attack01_02=0.24#Hero_JinWeiMen_Attack01_03=0.33#Hero_JinWeiMen_Attack01_04=0.71#Hero_JinWeiMen_Attack01_05=0.89#Hero_JinWeiMen_Attack01_06=1.4#Hero_JinWeiMen_Attack01_07=1.89</t>
  </si>
  <si>
    <t>狐火流·焰裂斩</t>
  </si>
  <si>
    <t>8102</t>
  </si>
  <si>
    <t>Hero_JinWeiMen_Attack03_01=0.36#Hero_JinWeiMen_Attack03_02=0.51#Hero_JinWeiMen_Attack03_03=0.71</t>
  </si>
  <si>
    <t>狐火流·横断</t>
  </si>
  <si>
    <t>8103</t>
  </si>
  <si>
    <t>Hero_JinWeiMen_Attack02_01=0.13#Hero_JinWeiMen_Attack02_02=0.34#Hero_JinWeiMen_Attack02_03=0.85#Hero_JinWeiMen_Attack02_04=1.1</t>
  </si>
  <si>
    <t>狐火流·火海</t>
  </si>
  <si>
    <t>8104</t>
  </si>
  <si>
    <t>Hero_JinWeiMen_Attack04_01=0.24#Hero_JinWeiMen_Attack04_02=1.05#Hero_JinWeiMen_Attack04_03=1.25</t>
  </si>
  <si>
    <t>2340&amp;&amp;2341</t>
  </si>
  <si>
    <t>Dummy001&amp;&amp;Dummy002</t>
  </si>
  <si>
    <t>2338&amp;&amp;2339</t>
  </si>
  <si>
    <t>我流·登龙</t>
  </si>
  <si>
    <t>8105</t>
  </si>
  <si>
    <t>Hero_JinWeiMen_Attack05_01=0.24#Hero_JinWeiMen_Attack05_02=0.87#Hero_JinWeiMen_Attack05_03=1.02</t>
  </si>
  <si>
    <t>Dummy002</t>
  </si>
  <si>
    <t>2343&amp;&amp;2344</t>
  </si>
  <si>
    <t>我流·无铭</t>
  </si>
  <si>
    <t>3002806</t>
  </si>
  <si>
    <t>Particles/kinemon001_body/kinemon002_body_attack06_c</t>
  </si>
  <si>
    <t>狐火流·焰龙</t>
  </si>
  <si>
    <t>8107</t>
  </si>
  <si>
    <t>kine06=3.078#Hero_JinWeiMen_Attack06_01=0.24#Hero_JinWeiMen_Attack06_02=1.26#Hero_JinWeiMen_Attack06_03=3.63#Hero_JinWeiMen_Attack06_04=2.07#Hero_JinWeiMen_Attack06_05=2.88#Hero_JinWeiMen_Attack06_06=5.12#Hero_JinWeiMen_Attack06_07=5.2#CV_JinWeiMen_01=0.62</t>
  </si>
  <si>
    <t>Particles/kinemon001_body/kinemon001_body_attack07_C</t>
  </si>
  <si>
    <t>火柳一闪</t>
  </si>
  <si>
    <t>8108</t>
  </si>
  <si>
    <t>ultimate_Sign=0#Hero_JinWeiMen_Attack07_01=0.9#Hero_JinWeiMen_Attack07_02=1.7#Hero_JinWeiMen_Attack07_03=5.05#Hero_JinWeiMen_Attack07_04=2.44#Hero_JinWeiMen_Attack07_05=6.33#Hero_JinWeiMen_Attack07_06=2.04#Hero_JinWeiMen_Attack07_07=3.13#Hero_JinWeiMen_Attack07_07=3.41#Hero_JinWeiMen_Attack07_07=3.62#Hero_JinWeiMen_Attack07_07=3.76#Hero_JinWeiMen_Attack07_08=4.36#Hero_JinWeiMen_Attack07_09=5.95#Hero_JinWeiMen_Attack07_10=6.58#Hero_JinWeiMen_Attack07_11=7.25#Hero_JinWeiMen_Attack07_12=7.85#CV_JinWeiMen_02=3.78</t>
  </si>
  <si>
    <t>Particles/kinemon001_body/kinemon001_body_attack08_C</t>
  </si>
  <si>
    <t>两年后布鲁克</t>
  </si>
  <si>
    <t>7701</t>
  </si>
  <si>
    <r>
      <rPr>
        <sz val="11"/>
        <color theme="1"/>
        <rFont val="等线"/>
        <charset val="134"/>
        <scheme val="minor"/>
      </rPr>
      <t>BlookenewCZ_attack_swing01=0.34#BlookenewCZ_attack_swing01=0.84#BlookenewCZ_ice_hit=0.89#BlookenewCZ_attack_swing02=1.23#BlookenewCZ_ice_hit=1.3#BlookenewCZ_attack_swing03=1.82#BlookenewCZ_ice_hit=1.95#BlookenewCZ_attack_smallwhoosh=2.41#BlookenewCZ_attack_swordin=2.63#</t>
    </r>
    <r>
      <rPr>
        <sz val="11"/>
        <color rgb="FFFF0000"/>
        <rFont val="等线"/>
        <charset val="134"/>
        <scheme val="minor"/>
      </rPr>
      <t>slash_general01=0.39#slash_general01=0.88#slash_general01=1.28#slash_general01=1.93</t>
    </r>
  </si>
  <si>
    <t>夜明歌·直刺</t>
  </si>
  <si>
    <t>7702</t>
  </si>
  <si>
    <r>
      <rPr>
        <sz val="11"/>
        <color theme="1"/>
        <rFont val="等线"/>
        <charset val="134"/>
        <scheme val="minor"/>
      </rPr>
      <t>BlookenewCZ_assault_charge=0.39#BlookenewCZ_assault_release=0.78#BlookenewCZ_attack_swordin=2.45#</t>
    </r>
    <r>
      <rPr>
        <sz val="11"/>
        <color rgb="FFFF0000"/>
        <rFont val="等线"/>
        <charset val="134"/>
        <scheme val="minor"/>
      </rPr>
      <t>slash_general01=0.81</t>
    </r>
  </si>
  <si>
    <t>飞燕曲</t>
  </si>
  <si>
    <t>7703</t>
  </si>
  <si>
    <t>BlookenewCZ_jump=0.14#BlookenewCZ_song_crash=0.95#BlookenewCZ_song_icehit=2.16#kuzanCZ_attack=1.84#kuzanCZ_attack=1.99#ice_hit01=1.9#ice_hit01=2.06#CV_BlookenewCZ_swallow2=0.09</t>
  </si>
  <si>
    <t>飞燕突刺</t>
  </si>
  <si>
    <t>7704</t>
  </si>
  <si>
    <r>
      <rPr>
        <sz val="11"/>
        <color theme="1"/>
        <rFont val="等线"/>
        <charset val="134"/>
        <scheme val="minor"/>
      </rPr>
      <t>BlookenewCZ_attack_swing01=0.24#BlookenewCZ_ice_hit=0.27#BlookenewCZ_attack_swing03=0.65#BlookenewCZ_ice_hit=0.74#BlookenewCZ_swallow_swing=1#BlookenewCZ_swallow_swing=1.11#BlookenewCZ_swallow_swing=1.22#BlookenewCZ_swallow_swing=1.33#BlookenewCZ_swallow_swing=1.44#BlookenewCZ_swallow_swing=1.56#BlookenewCZ_swallow_ice=1.97#BlookenewCZ_attack_swordin=2.74#CV_BlookenewCZ_swallow1=1.98#</t>
    </r>
    <r>
      <rPr>
        <sz val="11"/>
        <color rgb="FFFF0000"/>
        <rFont val="等线"/>
        <charset val="134"/>
        <scheme val="minor"/>
      </rPr>
      <t>slash_general01=0.27#slash_general01=0.74#slash_general01=1.06#slash_general01=1.2#slash_general01=1.36#slash_general01=1.53#slash_general01=1.97</t>
    </r>
  </si>
  <si>
    <t>催眠曲·飞刺</t>
  </si>
  <si>
    <t>7705</t>
  </si>
  <si>
    <t>BlookenewCZ_attack_swing01=0.31#BlookenewCZ_attack_swing02=0.64#BlookenewCZ_lullaby_turn=0.97#BlookenewCZ_lullaby_violin=1.74#BlookenewCZ_lullaby_chord=3#BlookenewCZ_attack_swordin=4.02#slash_general01=0.37#slash_general01=0.63#slash_general01=0.73#punch_hit_medium01=3</t>
  </si>
  <si>
    <t>丧魂剑·冻结路面</t>
  </si>
  <si>
    <t>7706</t>
  </si>
  <si>
    <t>BlookenewCZ_soul_whoosh=0.19#BlookenewCZ_attack_swing01=0.74#BlookenewCZ_soul_sword=2.17#BlookenewCZ_soul_superslash=2.88#BlookenewCZ_attack_swordin=3.95#kuzanCZ_icepiton_03=4.3#CV_BlookenewCZ_soul=1.09</t>
  </si>
  <si>
    <t>Particles/brook002/brook002_attack06_C</t>
  </si>
  <si>
    <t>guadian</t>
  </si>
  <si>
    <t>-7,0,2&amp;&amp;-7,0,-2&amp;&amp;-7,0,0&amp;&amp;-9,0,0</t>
  </si>
  <si>
    <t>幻想曲</t>
  </si>
  <si>
    <t>7707</t>
  </si>
  <si>
    <t>whooshlarge_general=0#BlookenewCZ_fantasy_ling=1.93#BlookenewCZ_fantasy_violin1=1.99#BlookenewCZ_fantasy_violin2=3.49#BlookenewCZ_fantasy_final=6#BlookenewCZ_fantasy_fireworks=6#kick_general01=6.88#bodyrock_hit02=6.88#mihawkCZ_wu_focus=7.46#BlookenewCZ_attack_swordin=8.42#BlookenewCZ_fantasy_slash=8.55#CV_BlookenewCZ_fantasy1=0.56#CV_BlookenewCZ_fantasy2=1.99#CV_BlookenewCZ_fantasy3=7.56</t>
  </si>
  <si>
    <t>Particles/brook002/brook002_attack07_c</t>
  </si>
  <si>
    <t>2297&amp;&amp;2298&amp;&amp;2299</t>
  </si>
  <si>
    <t>Bip001 L Toe0Nub&amp;&amp;Bip001 R Toe0Nub&amp;&amp;xiaotiqin</t>
  </si>
  <si>
    <t>鼻歌·吹雪斩</t>
  </si>
  <si>
    <t>7708</t>
  </si>
  <si>
    <t>whooshlarge_slashly01=0.27#BlookenewCZ_snow_swordout=2.08#whooshmedium01=2.22#BlookenewCZ_snow_foot=2.83#BlookenewCZ_snow_foot=4.05#BlookenewCZ_snow_icespike1=2.71#BlookenewCZ_snow_icespike2=4.01#BlookenewCZ_attack_swordin=5.41#BlookenewCZ_snow_impact=5.6#CV_BlookenewCZ_snow1=1.75#CV_BlookenewCZ_snow2=3.75</t>
  </si>
  <si>
    <t>Particles/brook002/brook002_attack08_C</t>
  </si>
  <si>
    <t>两年后弗兰奇</t>
  </si>
  <si>
    <t>7601</t>
  </si>
  <si>
    <t>franky_Punch_Light=0.494#franky_Punch_Heavy=0.838#MachineGunBurst2=1.282#MachineGunBurst2=1.622#franky_Cannon_Shoot=2.014</t>
  </si>
  <si>
    <t>弗兰奇加农炮 + 奶头灯（全）</t>
  </si>
  <si>
    <t>7602</t>
  </si>
  <si>
    <t>kuma_LaserShoot02=0.66#franky_ColaHeal=0.734#franky_Cannon_Shoot=1.768#franky_StarShield=3.771</t>
  </si>
  <si>
    <t>风来炮（全）</t>
  </si>
  <si>
    <t>7604</t>
  </si>
  <si>
    <t>franky_Cannon_Shoot=0.586#franky_Cannon_Shoot=1.015#franky_Cannon_Shoot=1.39#franky_Wind_Gathering_short=1.864#franky_Windshoot=2.348#franky_Transform02=3.231</t>
  </si>
  <si>
    <t>终结-弗兰奇冲撞（单）</t>
  </si>
  <si>
    <t>7606</t>
  </si>
  <si>
    <t>blackbear_DarkOut03=0.66#CV_franky15=0.2#smoke_FastPunches=1.915#franky_Punch_Heavy=3.01#franky_Windshoot=3.01#se_Jump02=3.497#garp_CounterHit=4.032#franky_bike=4.494#enel_LandHit=7.736</t>
  </si>
  <si>
    <r>
      <rPr>
        <sz val="11"/>
        <color theme="1"/>
        <rFont val="等线"/>
        <charset val="134"/>
        <scheme val="minor"/>
      </rPr>
      <t>Particles/franky002/franky002_body_attack0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_C</t>
    </r>
  </si>
  <si>
    <t>2220&amp;&amp;2221&amp;&amp;2221&amp;&amp;2315</t>
  </si>
  <si>
    <t>Point039&amp;&amp;Point045&amp;&amp;Point042&amp;&amp;Bip001 R Hand</t>
  </si>
  <si>
    <t>变身奥义·将军将军·小心脚下（全）</t>
  </si>
  <si>
    <t>7607</t>
  </si>
  <si>
    <t>CV_franky03=0.2#franky_Transform01=0.737#franky_Transform02=1.508#se_Jump02=2.012#CV_franky06=2.27#ivankov_Spin02=2.493#jozz_Impact01=3.25#law_Sheath01=4.482#Ace_Swing02=4.977#edward_Spin01=5.398#zoro_Spin_Wind=5.646#edward_Spin01=5.7#edward_Spin01=6#edward_Spin01=6.3#mihawk_Sheath04=6.849#franky_ColaHeal=7.182#CV_Nfranky_attack01=7.56#franky_Machinery01=8.184#jozz_Impact01=8.22</t>
  </si>
  <si>
    <t>Particles/franky002/franky002_body_attack07_C</t>
  </si>
  <si>
    <t>-13,0,2&amp;&amp;-13,0,-2&amp;&amp;-13,0,0&amp;&amp;-15,0,0</t>
  </si>
  <si>
    <t>3003108</t>
  </si>
  <si>
    <t>franky_Transform01=0#franky_Machinery_Gear02=0#franky_Machinery_Gear01=0.22#MachineGunBurst2=0.9#MachineGunBurst2=1.225#MachineGunBurst2=1.529#MachineGunBurst2=1.857#franky_Transform01=2.094#franky_Machinery02=2.295</t>
  </si>
  <si>
    <t>延展1-激光炮</t>
  </si>
  <si>
    <t>3003109</t>
  </si>
  <si>
    <t>franky_Transform01=0.134#franky_Machinery_Gear02=0.164#Mr3_EnergyRoundUp=0.4#borsalino_LightShoot03=0.866#edward_Explosion04=0.866#borsalino_LightShoot02=1.119#franky_Transform01=2.093</t>
  </si>
  <si>
    <t>延展2-将军炮（全）</t>
  </si>
  <si>
    <t>7610</t>
  </si>
  <si>
    <t>CV_Nfranky14=0.189#franky_Machinery_Gear01=1.178#perona_BigExplosion=2.131#franky_Punch_Heavy=3.079#franky_StarShield=3.128#jinbe_Impact=3.928#franky_Transform01=3.928#franky_Machinery_Gear01=4.573#se_HugeSwing=4.573#blackbear_DarkOut01=4.981#franky_Machinery02=5.285#se_Ding02=5.411#Mr3_EnergyIn=6.246#Mr3_EnergyRoundUp=6.3#CV_Nfranky_attack02=7.443#franky_Windshoot=8.1#kuma_LaserShoot02=8.1</t>
  </si>
  <si>
    <t>Particles/franky002/franky002_body_attack10_C</t>
  </si>
  <si>
    <t>Particles/franky002/franky_attack10_deng</t>
  </si>
  <si>
    <t>两年后山治</t>
  </si>
  <si>
    <t>7301</t>
  </si>
  <si>
    <t>Hero_XinShanZhi_Attack01_01=0.41#Hero_XinShanZhi_Attack01_02=0.84#Hero_XinShanZhi_Attack01_03=1.42</t>
  </si>
  <si>
    <t>颊肉踢击</t>
  </si>
  <si>
    <t>7302</t>
  </si>
  <si>
    <t>Hero_XinShanZhi_SkillAttack06_01=0.17#Hero_XinShanZhi_SkillAttack06_02=1.3#Hero_XinShanZhi_SkillAttack06_03=1.88</t>
  </si>
  <si>
    <t>首肉踢击</t>
  </si>
  <si>
    <t>7303</t>
  </si>
  <si>
    <t>Hero_XinShanZhi_SkillAttack07_01=0.27#Hero_XinShanZhi_SkillHit07_01=0.47#Hero_XinShanZhi_SkillAttack07_02=0.8#Hero_XinShanZhi_SkillAttack07_03=1.13#Hero_XinShanZhi_SkillHit07_02=1.67</t>
  </si>
  <si>
    <t>烧铁锅·光谱</t>
  </si>
  <si>
    <t>7304</t>
  </si>
  <si>
    <t>Hero_XinShanZhi_SkillAttack03_01=0.25#Hero_XinShanZhi_SkillAttack03_02=0.51#Hero_XinShanZhi_SkillAttack03_03=1.22#Hero_XinShanZhi_SkillAttack03_04=1.88</t>
  </si>
  <si>
    <t>腹肉踢击</t>
  </si>
  <si>
    <t>7305</t>
  </si>
  <si>
    <t>Hero_XinShanZhi_SkillAttack02_01=0#Hero_XinShanZhi_SkillAttack02_02=1.12#Hero_XinShanZhi_SkillAttack02_03=1.79</t>
  </si>
  <si>
    <t>恶魔风脚·粗碎</t>
  </si>
  <si>
    <t>7306</t>
  </si>
  <si>
    <t>Hero_XinShanZhi_SkillAttack04_01=0.38#CV_Nsanji_DiabloJump=1.233#Hero_XinShanZhi_SkillAttack04_02=1.31#Hero_XinShanZhi_SkillAttack04_03=2.16#Hero_XinShanZhi_SkillAttack04_04=3.13#Hero_XinShanZhi_SkillAttack04_05=3.8#Hero_XinShanZhi_SkillAttack04_06=4.33#CV_Nsanji_attack01=4.447#Hero_XinShanZhi_SkillAttack04_07=4.95#Hero_XinShanZhi_SkillAttack04_08=5.43#Hero_XinShanZhi_SkillAttack04_09=5.98</t>
  </si>
  <si>
    <t>Particles/sanji003/sanji003_body_attack06_c</t>
  </si>
  <si>
    <t>0,0.03,0</t>
  </si>
  <si>
    <t>2121&amp;&amp;2122</t>
  </si>
  <si>
    <t>Bip001 R Toe0Nub&amp;&amp;texiao</t>
  </si>
  <si>
    <t>地狱之回忆</t>
  </si>
  <si>
    <t>7307</t>
  </si>
  <si>
    <t>Hero_XinShanZhi_SkillAttack05_01=0#Hero_XinShanZhi_SkillAttack05_02=0.12#Hero_XinShanZhi_SkillAttack05_03=0.18#Hero_XinShanZhi_SkillAttack05_04=0.25#Hero_XinShanZhi_SkillAttack05_05=0.85#Hero_XinShanZhi_SkillAttack05_06=1.17#CV_sanji04=1.754#Hero_XinShanZhi_SkillAttack05_07=2.45#CV_Nsanji_HellMemories=2.698#Hero_XinShanZhi_SkillAttack05_08=3.95#Hero_XinShanZhi_SkillAttack05_09=4.75#Hero_XinShanZhi_SkillAttack05_10=6</t>
  </si>
  <si>
    <t>Particles/sanji003/sanji003_body_attack07_c</t>
  </si>
  <si>
    <t>2140&amp;&amp;2141</t>
  </si>
  <si>
    <t>Bip001 L Toe0&amp;&amp;Bip001 R Toe0</t>
  </si>
  <si>
    <t>熟烧·烧烤飞踢</t>
  </si>
  <si>
    <t>7308</t>
  </si>
  <si>
    <t>Hero_XinShanZhi_SkillAttack08_01=0.23#CV_Nsanji_attack01=1.161#Hero_XinShanZhi_SkillAttack08_02=1.19#Hero_XinShanZhi_SkillAttack08_03=1.86#Hero_XinShanZhi_SkillAttack08_04=1.95#CV_Nsanji_GrillShot=2.371#Hero_XinShanZhi_SkillAttack08_05=2.52#Hero_XinShanZhi_SkillAttack08_06=2.65#Hero_XinShanZhi_SkillAttack08_07=3.18#Hero_XinShanZhi_SkillAttack08_08=4.03#CV_Nsanji13=5.4</t>
  </si>
  <si>
    <t>Particles/sanji003/sanji003_body_attack08_c</t>
  </si>
  <si>
    <t>熟烧·烧烤飞踢（攻击女性版）</t>
  </si>
  <si>
    <t>两年后乔巴</t>
  </si>
  <si>
    <t>7401</t>
  </si>
  <si>
    <t>ChoppernewCZ_rouhua_water=0.15#ChoppernewCZ_rouhua_throw=0.95#ChoppernewCZ_bigger=1.55#ChoppernewCZ_rouhua_jump=1.82#ChoppernewCZ_rouhua_spin=1.97#ChoppernewCZ_rouhua_spin=2.05#ChoppernewCZ_rouhua_spin=2.13#ChoppernewCZ_rouhua_spin=2.21#ChoppernewCZ_rouhua_spin=2.29#ChoppernewCZ_rouhua_spin=2.37#ChoppernewCZ_rouhua_broken=2.48#ChoppernewCZ_rouhua_falldown=2.64#ChoppernewCZ_smaller=4.15#CV_ChoppernewCZ_rouhua=0.85#bodyrock_hit02=2.87</t>
  </si>
  <si>
    <t>qiu</t>
  </si>
  <si>
    <t>旋转攻击</t>
  </si>
  <si>
    <t>223002</t>
  </si>
  <si>
    <r>
      <rPr>
        <sz val="11"/>
        <color theme="1"/>
        <rFont val="等线"/>
        <charset val="134"/>
        <scheme val="minor"/>
      </rPr>
      <t>ChoppernewCZ_bigger=0#ChoppernewCZ_spin_swing=0.29#ChoppernewCZ_spin_spin=0.4#ChoppernewCZ_spin_spin=0.5#ChoppernewCZ_spin_spin=0.6#ChoppernewCZ_spin_spin=0.7#ChoppernewCZ_spin_spin=0.8#ChoppernewCZ_spin_spin=0.9#ChoppernewCZ_spin_spin=1#ChoppernewCZ_spin_spin=1.1#ChoppernewCZ_spin_spin=1.2#ChoppernewCZ_spin_spin=1.3#ChoppernewCZ_spin_spin=1.45#ChoppernewCZ_spin_spin=1.65#ChoppernewCZ_spin_healing=1.05#ChoppernewCZ_spin_jump=2.64#ChoppernewCZ_smaller=3.53#</t>
    </r>
    <r>
      <rPr>
        <sz val="11"/>
        <color rgb="FFFF0000"/>
        <rFont val="等线"/>
        <charset val="134"/>
        <scheme val="minor"/>
      </rPr>
      <t>kick_general01=0.37#kick_general01=0.48#kick_general01=0.6#kick_general01=0.72#kick_general01=0.82#kick_general01=0.95#kick_general01=1.08#kick_general01=1.21</t>
    </r>
  </si>
  <si>
    <t>诊断</t>
  </si>
  <si>
    <t>223903</t>
  </si>
  <si>
    <r>
      <rPr>
        <sz val="11"/>
        <color theme="1"/>
        <rFont val="等线"/>
        <charset val="134"/>
        <scheme val="minor"/>
      </rPr>
      <t>ChoppernewCZ_diagnose_jump=0#ChoppernewCZ_diagnose_swing=0.42#ChoppernewCZ_diagnose_swing=0.53#ChoppernewCZ_diagnose_swing=0.64#ChoppernewCZ_diagnose_swing=0.76#ChoppernewCZ_diagnose_swing=0.88#ChoppernewCZ_diagnose_swing=0.99#ChoppernewCZ_diagnose_swing=1.1#ChoppernewCZ_smaller=2.3#ChoppernewCZ_diagnose_healing=2.46#CV_ChoppernewCZ_diagnose=0.08#</t>
    </r>
    <r>
      <rPr>
        <sz val="11"/>
        <color rgb="FFFF0000"/>
        <rFont val="等线"/>
        <charset val="134"/>
        <scheme val="minor"/>
      </rPr>
      <t>kick_general01=0.42#kick_general01=0.57#kick_general01=0.72#kick_general01=0.87#kick_general01=1.03#bodyrock_hit02=1.25#kick_general01=1.25</t>
    </r>
  </si>
  <si>
    <t>事故爆炸</t>
  </si>
  <si>
    <t>7404</t>
  </si>
  <si>
    <t>Particles/chopper005/chopper_attack04_C</t>
  </si>
  <si>
    <t>2154&amp;&amp;2176&amp;&amp;2177</t>
  </si>
  <si>
    <t>Bip001 R Finger1&amp;&amp;qiu&amp;&amp;Bip001 R Finger1</t>
  </si>
  <si>
    <t>樱花乱打</t>
  </si>
  <si>
    <t>223005</t>
  </si>
  <si>
    <r>
      <rPr>
        <sz val="11"/>
        <color theme="1"/>
        <rFont val="等线"/>
        <charset val="134"/>
        <scheme val="minor"/>
      </rPr>
      <t>ChoppernewCZ_fight_swing1=0.41#mihawkCZ_wu_focus=0.94#ChoppernewCZ_fight_swing2=1.38#ChoppernewCZ_fight_swing2=1.79#ChoppernewCZ_fight_swing3=2.16#ChoppernewCZ_fight_swing4=2.73#ChoppernewCZ_fight_swing4=2.84#ChoppernewCZ_fight_swing4=2.94#ChoppernewCZ_fight_swing4=3.06#ChoppernewCZ_fight_swing4=3.18#ChoppernewCZ_fight_swing4=3.28#ChoppernewCZ_fight_swing4=3.39#ChoppernewCZ_fight_swing4=3.5#ChoppernewCZ_fight_swing5=4.01#ChoppernewCZ_fight_light=4.77#ChoppernewCZ_fight_firework=5.56#CV_chopperCZ_ha=0.33#CV_chopperCZ_hei=1.41#CV_chopperCZ_ai=1.8#CV_chopperCZ_ei=2.39#CV_chopperCZ_fight=3.82#</t>
    </r>
    <r>
      <rPr>
        <sz val="11"/>
        <color rgb="FFFF0000"/>
        <rFont val="等线"/>
        <charset val="134"/>
        <scheme val="minor"/>
      </rPr>
      <t>punch_hit_small01=1.48#punch_hit_small01=1.88#punch_hit_small01=2.3#punch_hit_small01=2.85#punch_hit_small01=2.99#punch_hit_small01=3.16#punch_hit_small01=3.3#punch_hit_small01=3.47#punch_hit_small01=3.62#punch_hit_medium01=4.19</t>
    </r>
  </si>
  <si>
    <t>Particles/chopper005/chopper_attack05_C</t>
  </si>
  <si>
    <t>柔力强化</t>
  </si>
  <si>
    <t>223006</t>
  </si>
  <si>
    <t>ChoppernewCZ_bigger=0.05#ChoppernewCZ_attack_swing1=0.47#ChoppernewCZ_attack_swing1=0.53#ChoppernewCZ_attack_swing1=0.59#ChoppernewCZ_attack_swing1=0.66#ChoppernewCZ_attack_swing1=0.72#ChoppernewCZ_attack_swing1=0.78#ChoppernewCZ_attack_swing1=0.84#ChoppernewCZ_attack_swing1=0.91#ChoppernewCZ_attack_swing2=1.1#ChoppernewCZ_smaller=2.05#CV_chopperCZ_ha=1.18#kick_general01=0.53#kick_general01=0.64#kick_general01=0.76#kick_general01=0.88#punch_hit_small01=1.32</t>
  </si>
  <si>
    <t>爆裂角</t>
  </si>
  <si>
    <t>7407</t>
  </si>
  <si>
    <t>ChoppernewCZ_antler_jump=0.4#ChoppernewCZ_antler_forward=1.32#punch_hit_small01=2.44#bodyrock_hit01=2.47#ChoppernewCZ_smaller=3.55#CV_chopperCZ_hei=0.35</t>
  </si>
  <si>
    <t>角炮</t>
  </si>
  <si>
    <t>223908</t>
  </si>
  <si>
    <r>
      <rPr>
        <sz val="11"/>
        <color theme="1"/>
        <rFont val="等线"/>
        <charset val="134"/>
        <scheme val="minor"/>
      </rPr>
      <t>ChoppernewCZ_crash_whoosh1=0.01#ChoppernewCZ_crash_whoosh2=0.76#ChoppernewCZ_crash_ready=2.25#ChoppernewCZ_crash_forward=2.86#ChoppernewCZ_crash_whoosh3=3.28#whooshlarge_fly01=4.87#ChoppernewCZ_crash_swing=6.29#CV_ChoppernewCZ_crash=2.38#</t>
    </r>
    <r>
      <rPr>
        <sz val="11"/>
        <color rgb="FFFF0000"/>
        <rFont val="等线"/>
        <charset val="134"/>
        <scheme val="minor"/>
      </rPr>
      <t>ChoppernewCZ_crash_hoof1=3.27#ChoppernewCZ_crash_hoof2=4.17#ChoppernewCZ_crash_hoof3=4.6#ChoppernewCZ_crash_hoof4=5.01#punch_hit_small01=5.6#punch_hit_giant01=5.6#ChoppernewCZ_crash_hoof5=6.77</t>
    </r>
  </si>
  <si>
    <t>Particles/chopper005/chopper_attack08_C</t>
  </si>
  <si>
    <t>刻蹄·椰子</t>
  </si>
  <si>
    <t>7409</t>
  </si>
  <si>
    <r>
      <rPr>
        <sz val="11"/>
        <color theme="1"/>
        <rFont val="等线"/>
        <charset val="134"/>
        <scheme val="minor"/>
      </rPr>
      <t>ChoppernewCZ_super_healing=0.03#ChoppernewCZ_super_pill=1.22#ChoppernewCZ_super_effect=1.77#ChoppernewCZ_super_transform=2.23#whooshlarge_nervous=2.42#whooshlarge_slashly01=5.07#ChoppernewCZ_super_fly=7#ChoppernewCZ_super_star=8.78#CV_ChoppernewCZ_super1=0.19#CV_ChoppernewCZ_super2=2.45#CV_ChoppernewCZ_super3=5.34#</t>
    </r>
    <r>
      <rPr>
        <sz val="11"/>
        <color rgb="FFFF0000"/>
        <rFont val="等线"/>
        <charset val="134"/>
        <scheme val="minor"/>
      </rPr>
      <t>punch_hit_giant01=6.71#bodyrock_hit02=6.82</t>
    </r>
  </si>
  <si>
    <t>Particles/chopper005/chopper_attack09_C</t>
  </si>
  <si>
    <t>新世界特拉法尔加罗</t>
  </si>
  <si>
    <t>8201</t>
  </si>
  <si>
    <t>Hero_XinLuo_Attack01=0.12#Hero_XinLuo_Attack02=0.11#Hero_XinLuo_Attack03=0.27#Hero_XinLuo_Attack04=0.65#Hero_XinLuo_Attack05=1#Hero_XinLuo_Attack06=1.6#Hero_XinLuo_Attack07=1.75#Hero_XinLuo_Attack08=2.9</t>
  </si>
  <si>
    <t>死亡回旋刀</t>
  </si>
  <si>
    <t>8202</t>
  </si>
  <si>
    <t>Hero_XinLuo_SkillAttack06_01=0.15#Hero_XinLuo_SkillAttack06_02=0.57#Hero_XinLuo_SkillAttack06_03=1.2#Hero_XinLuo_SkillAttack06_04=1.86#Hero_XinLuo_SkillAttack06_05=2.36#Hero_XinLuo_SkillAttack06_06=2.61#Hero_XinLuo_SkillAttack06_07=2.81#Hero_XinLuo_Attack08=4.52</t>
  </si>
  <si>
    <t>dao_xuanzhuan</t>
  </si>
  <si>
    <t>死亡手术室</t>
  </si>
  <si>
    <t>8203</t>
  </si>
  <si>
    <t>Hero_XinLuo_SkillAttack05_01=0.24#Hero_XinLuo_SkillAttack05_02=0.96#Hero_XinLuo_SkillAttack05_03=1.51#Hero_XinLuo_SkillAttack05_03=1.67#Hero_XinLuo_SkillAttack05_03=1.8#Hero_XinLuo_SkillAttack05_03=1.95#Hero_XinLuo_SkillAttack05_03=2.08#Hero_XinLuo_SkillAttack05_03=2.24#Hero_XinLuo_SkillAttack05_03=2.38#Hero_XinLuo_SkillAttack05_03=2.53#Hero_XinLuo_SkillAttack05_03=2.68#Hero_XinLuo_SkillAttack05_03=2.83#Hero_XinLuo_SkillAttack05_04=2.87#Hero_XinLuo_Attack08=4.28</t>
  </si>
  <si>
    <t>2186&amp;&amp;2231</t>
  </si>
  <si>
    <t>心灵交换</t>
  </si>
  <si>
    <t>8204</t>
  </si>
  <si>
    <t>Hero_XinLuo_SkillAttack07_01=0.2#Hero_XinLuo_SkillAttack07_02=1.86#Hero_XinLuo_Attack02=1.35#Hero_XinLuo_Attack08=2.43#Hero_XinLuo_attack02=1.22#Hero_XinLuo_SkillAttack01_04=1.26</t>
  </si>
  <si>
    <t>岩石利刃</t>
  </si>
  <si>
    <t>8205</t>
  </si>
  <si>
    <t>Hero_XinLuo_SkillAttack01_01=0.08#Hero_XinLuo_SkillAttack01_02=0.52#Hero_XinLuo_SkillAttack01_03=1.15#Hero_XinLuo_SkillAttack01_04=1.2#Hero_XinLuo_SkillAttack01_05=1.55#Hero_XinLuo_SkillAttack01_06=1.7#Hero_XinLuo_Attack08=2.5</t>
  </si>
  <si>
    <t>高频手术刀</t>
  </si>
  <si>
    <t>8206</t>
  </si>
  <si>
    <t>Hero_XinLuo_SkillAttack04_01=0#Hero_XinLuo_SkillAttack04_02=1.84#Hero_XinLuo_SkillAttack04_03=2.65#Hero_XinLuo_SkillAttack04_04=3.56#Hero_XinLuo_SkillAttack04_05=4.08#Hero_XinLuo_SkillAttack04_05=4.5#Hero_XinLuo_SkillAttack04_05=4.83#Hero_XinLuo_SkillAttack04_06=1.2#Hero_XinLuo_SkillAttack04_07=3.6#Hero_XinLuo_SkillAttack04_08=6.2#law_0047=0.4</t>
  </si>
  <si>
    <t>Particles/trafalgarlaw002_body/trafalgarlaw002_body_attack06_C</t>
  </si>
  <si>
    <t>指挥棒</t>
  </si>
  <si>
    <t>8207</t>
  </si>
  <si>
    <t>Hero_XinLuo_SkillAttack02_01=0.15#Hero_XinLuo_SkillAttack02_02=0.46#Hero_XinLuo_SkillAttack02_03=1.75#Hero_XinLuo_SkillAttack02_04=2.4#Hero_XinLuo_SkillAttack02_05=3.55#Hero_XinLuo_SkillAttack02_06=4.66#Hero_XinLuo_SkillAttack02_07=4.85#Hero_XinLuo_SkillAttack02_08=5.15#Hero_XinLuo_SkillAttack02_09=5.4#Hero_XinLuo_SkillAttack02_10=7.5#Hero_XinLuo_SkillAttack02_11=7.64#Hero_XinLuo_SkillAttack02_12=9.68#Hero_XinLuo_Attack08=9.12#Hero_XinLuo_SkillAttack02_13=9.42#CV_law_Baton=1.3#law032a=5.04</t>
  </si>
  <si>
    <t>Particles/trafalgarlaw002_body/trafalgarlaw002_body_attack07_C</t>
  </si>
  <si>
    <t>2197&amp;&amp;2198</t>
  </si>
  <si>
    <t>Bip001 R Hand&amp;&amp;daobing</t>
  </si>
  <si>
    <t>伽马刀</t>
  </si>
  <si>
    <t>8208</t>
  </si>
  <si>
    <t>ultimate_Sign=0#Hero_XinLuo_SkillAttack03_01=0.3#Hero_XinLuo_SkillAttack03_02=1.05#Hero_XinLuo_SkillAttack03_03=1.08#Hero_XinLuo_SkillAttack03_04=2.15#Hero_XinLuo_SkillAttack03_05=3.17#Hero_XinLuo_SkillAttack03_06=4.35#Hero_XinLuo_SkillAttack03_07=4.87#Hero_XinLuo_SkillAttack03_08=6.1#law05a=0.23#law05b=1.95#low15=5.25</t>
  </si>
  <si>
    <t>Particles/trafalgarlaw002_body/trafalgarlaw002_body_attack08_C</t>
  </si>
  <si>
    <t>2200&amp;&amp;2201&amp;&amp;2202</t>
  </si>
  <si>
    <t>Bip001 L Hand&amp;&amp;Bip001 R Hand&amp;&amp;Bone018</t>
  </si>
  <si>
    <t>卡塔库栗</t>
  </si>
  <si>
    <t>8301</t>
  </si>
  <si>
    <t>Hero_KaTaKuLi_Attack01_01=0.25#Hero_KaTaKuLi_Attack01_02=0.42#Hero_KaTaKuLi_Attack01_01=0.58#Hero_KaTaKuLi_Attack01_02=0.78#Hero_KaTaKuLi_Attack01_03=0.96#Hero_KaTaKuLi_Attack01_04=1.5#Hero_KaTaKuLi_Attack01_05=1.84</t>
  </si>
  <si>
    <t>2363&amp;&amp;2364</t>
  </si>
  <si>
    <t>柳枝麻糬</t>
  </si>
  <si>
    <t>8302</t>
  </si>
  <si>
    <t>Hero_KaTaKuLi_SkillAttack04_01=0.36#Hero_KaTaKuLi_SkillAttack04_02=0.59#Hero_KaTaKuLi_SkillAttack04_03=1.56#Hero_KaTaKuLi_SkillAttack04_04=1.74</t>
  </si>
  <si>
    <t>麻糬连斩</t>
  </si>
  <si>
    <t>8303</t>
  </si>
  <si>
    <t>Hero_KaTaKuLi_SkillAttack05_01=0.17#Hero_KaTaKuLi_SkillAttack05_02=0.55#Hero_KaTaKuLi_SkillAttack05_03=0.7#Hero_KaTaKuLi_SkillAttack05_04=1#Hero_KaTaKuLi_SkillAttack05_05=1.17#Hero_KaTaKuLi_SkillAttack05_06=1.6#Hero_KaTaKuLi_SkillAttack05_07=1.8#Hero_KaTaKuLi_SkillAttack05_08=2.21</t>
  </si>
  <si>
    <t>2371&amp;&amp;2372&amp;&amp;2373</t>
  </si>
  <si>
    <t>Point005&amp;&amp;Point005&amp;&amp;Point005</t>
  </si>
  <si>
    <t>无双麻糬刃弹</t>
  </si>
  <si>
    <t>8304</t>
  </si>
  <si>
    <t>Hero_KaTaKuLi_SkillAttack03_01=0.36#Hero_KaTaKuLi_SkillAttack03_02=0.54#Hero_KaTaKuLi_SkillAttack03_03=1.38#Hero_KaTaKuLi_SkillAttack03_04=2.33#Hero_KaTaKuLi_SkillAttack03_05=2.94#katakuri_gun=0.54#usopp_Cloth=1.14#katakuri_gun=1.38#katakuri_gun=2.33</t>
  </si>
  <si>
    <t>2375&amp;&amp;2376</t>
  </si>
  <si>
    <t>流动麻糬</t>
  </si>
  <si>
    <t>8305</t>
  </si>
  <si>
    <t>Hero_KaTaKuLi_SkillAttack07_01=0.35#Hero_KaTaKuLi_SkillAttack07_02=0.92#Hero_KaTaKuLi_SkillAttack07_03=1.45#Hero_KaTaKuLi_SkillAttack07_04=2.2</t>
  </si>
  <si>
    <t>麻糬突刺</t>
  </si>
  <si>
    <t>8306</t>
  </si>
  <si>
    <t>katakuri19=1.9#katakuri16a=5.31#Hero_XinShanZhi_SkillAttack04_01=0.1#Hero_YuZhiXiLiu_SkillAttack06_02=0.58#Hero_KaTaKuLi_SkillAttack09_01=1.07#Hero_KaTaKuLi_SkillAttack09_02=1.17#buggy_Swing01=2.44#Hero_KaTaKuLi_SkillAttack09_03=3.16#Hero_KaTaKuLi_SkillAttack09_04=3.34#Hero_KaTaKuLi_SkillAttack09_05=3.72#Hero_KaTaKuLi_SkillAttack09_06=4.15#Hero_KaTaKuLi_SkillAttack09_07=4.59#Hero_KaTaKuLi_SkillAttack09_08=5.1#Hero_KaTaKuLi_SkillAttack09_09=5.5#Hero_KaTaKuLi_SkillAttack09_10=6.2#Hero_KaTaKuLi_SkillAttack09_11=8#Hero_KaTaKuLi_SkillAttack09_12=4.23#Hero_KaTaKuLi_SkillAttack09_13=4.66</t>
  </si>
  <si>
    <t>Particles/katakuri001/katakuri001_body_attack06_C</t>
  </si>
  <si>
    <t>2384&amp;&amp;2385</t>
  </si>
  <si>
    <t>Bip001&amp;&amp;Point009</t>
  </si>
  <si>
    <t>麻糬·吟着</t>
  </si>
  <si>
    <t>8307</t>
  </si>
  <si>
    <t>katakuri07=3.56#smoke_FastPunches=5.2#smoke_FastPunches=6.39#Hero_XinShanZhi_SkillAttack05_01=0#Hero_KaTaKuLi_SkillAttack08_01=1.3#Hero_KaTaKuLi_SkillAttack08_02=2#Hero_KaTaKuLi_SkillAttack08_03=2.33#Hero_KaTaKuLi_SkillAttack08_04=2.8#Hero_KaTaKuLi_SkillAttack08_05=3.1#Hero_KaTaKuLi_SkillAttack08_06=7.1#Hero_KaTaKuLi_SkillAttack08_07=7.66#Hero_KaTaKuLi_SkillAttack08_08=8.6</t>
  </si>
  <si>
    <t>Particles/katakuri001/katakuri001_body_attack07_C</t>
  </si>
  <si>
    <t>2387&amp;&amp;2388</t>
  </si>
  <si>
    <t>斩·切麻糬</t>
  </si>
  <si>
    <t>8308</t>
  </si>
  <si>
    <t>Hero_KaTaKuLi_SkillAttack06_01=0.3#Hero_KaTaKuLi_SkillAttack06_02=1.3#Hero_KaTaKuLi_SkillAttack06_03=2.48#Hero_KaTaKuLi_SkillAttack06_04=3.31#Hero_KaTaKuLi_SkillAttack06_05=3.8#Hero_KaTaKuLi_SkillAttack06_06=4.31#Hero_KaTaKuLi_SkillAttack06_07=4.6#Hero_KaTaKuLi_SkillAttack06_08=4.65#Hero_KaTaKuLi_SkillAttack06_09=5.73#Hero_KaTaKuLi_SkillAttack06_10=6.45#Hero_KaTaKuLi_SkillAttack06_11=8.25#katakuri26=0.52#katakuri27=4.7</t>
  </si>
  <si>
    <t>Particles/katakuri001/katakuri001_body_attack08_C</t>
  </si>
  <si>
    <t>凯撒</t>
  </si>
  <si>
    <t>普攻（boss）</t>
  </si>
  <si>
    <t>120001</t>
  </si>
  <si>
    <t>040_action.acb.00002=0.25#040_action.acb.00002=0.63#040_action.acb.00002=1.32#040_atd1_ht=1.32</t>
  </si>
  <si>
    <t>瓦斯响板（boss）</t>
  </si>
  <si>
    <t>120002</t>
  </si>
  <si>
    <t>smoke_SteamCharge01=0.32#Ace_Firefly=1.58#jinbe_Impact=2.325#Ace_Fire05=2.325</t>
  </si>
  <si>
    <t>2432&amp;&amp;2433</t>
  </si>
  <si>
    <t>青炎斩（boss）</t>
  </si>
  <si>
    <t>120003</t>
  </si>
  <si>
    <t>se_LaserHitWater4=0.34#kid_Swing01=0.34#se_LaserHitWater4=0.67#kid_Swing01=0.67#se_LaserHitWater4=1.27#kid_Swing01=1.27#se_Fire_Throw=1.27</t>
  </si>
  <si>
    <t>Point002</t>
  </si>
  <si>
    <t>空无世界（boss）</t>
  </si>
  <si>
    <t>120004</t>
  </si>
  <si>
    <t>blackbear_DarkOut04=0.12#caesar07=0.43#ultimate_Sign=3.79#caesar12=3.94#sengoku_Light=4.64#crocodile_Obj_Flying02=4.64#kuma_LaserShoot02=6.18#edward_Explosion02=6.68#mto_imp=6.68</t>
  </si>
  <si>
    <t>Particles/caesar001_body/caesar001_body_attack04_C</t>
  </si>
  <si>
    <t>2560&amp;&amp;2561</t>
  </si>
  <si>
    <t>Bip001 L Finger1&amp;&amp;Bip001 R Finger11</t>
  </si>
  <si>
    <t>死亡国度（boss）</t>
  </si>
  <si>
    <t>120005</t>
  </si>
  <si>
    <t>ult_04=0.058#caesar15=0.36#blackbear_DarkOut03=1.28#mihawk_Energy=4.08#grvt_fx1=4.57#caesar16=5.09#mto_fall=5.58#grvt_fx2=6.51#blackbear_DarkExplo=6.55#mto_imp=6.55</t>
  </si>
  <si>
    <t>Particles/caesar001_body/caesar001_body_attack05_C</t>
  </si>
  <si>
    <t>变身普攻（通用）</t>
  </si>
  <si>
    <t>120106</t>
  </si>
  <si>
    <t>luffy_GiantSwing02=0.45#luffy_GiantSwing02=0.85#luffy_GiantSwing03=1.64#jozz_Impact01=1.64</t>
  </si>
  <si>
    <t>瓦斯龙卷（通用）</t>
  </si>
  <si>
    <t>120107</t>
  </si>
  <si>
    <t>smoke_SteamCharge01=0.31#blackbear_DarkIn04=0.31#crocodile_CircleWind02=0.535#franky_Windshoot=3.77#040_landhit=3.77</t>
  </si>
  <si>
    <t>2566&amp;&amp;2567</t>
  </si>
  <si>
    <t>Bip001 L Forearm&amp;&amp;Bip001 R Hand</t>
  </si>
  <si>
    <t>瓦斯喷射（通用）</t>
  </si>
  <si>
    <t>120108</t>
  </si>
  <si>
    <t>blackbear_DarkOut03=0.5#caesar06=0.5#040_ult5=2.58#mihawk_EnergySp013.57#Ace_FireFlying03=3.93#ultimate_Sign=5.07#caesar14=5.07#kuzan_Icewind01=5.07#macro_Flying02=5.07#040_ult7=6.49#040_ult8=8.4#040_ibki_ft=8.4#mto_imp=8.4</t>
  </si>
  <si>
    <t>Particles/caesar001_body/caesar001_body_attack08_C</t>
  </si>
  <si>
    <t>萨博</t>
  </si>
  <si>
    <t>8401</t>
  </si>
  <si>
    <t>Hero_SaBo_Attack01_01=0.21#Hero_SaBo_Attack01_02=0.71#Hero_SaBo_Attack01_03=0.92#Hero_SaBo_Attack01_04=1.1#Hero_SaBo_Attack01_05=1.4#Hero_SaBo_Attack01_06=1.75#Hero_SaBo_Attack01_07=2.7#040_spin_bar2=2.7#040_grab_bar=3.14</t>
  </si>
  <si>
    <t>Point001</t>
  </si>
  <si>
    <t>龙勾爪</t>
  </si>
  <si>
    <t>8402</t>
  </si>
  <si>
    <t>Hero_SaBo_SkillAttack02_01=0.12#CobeCZ_hit2=0.27#Hero_SaBo_SkillAttack02_02=0.81#Hero_SaBo_SkillAttack02_03=1.03#Hero_SaBo_SkillAttack02_04=1.5#Hero_SaBo_SkillAttack02_05=1.92#Hero_SaBo_SkillAttack02_06=2.36</t>
  </si>
  <si>
    <t>2471&amp;&amp;2473</t>
  </si>
  <si>
    <t>Bip001 L Finger22&amp;&amp;Point001</t>
  </si>
  <si>
    <t>8403</t>
  </si>
  <si>
    <t>Hero_SaBo_SkillAttack01_01=0.18#Hero_SaBo_SkillAttack01_02=0.5#Hero_SaBo_SkillAttack01_03=1.61</t>
  </si>
  <si>
    <t>龙之吐息</t>
  </si>
  <si>
    <t>8404</t>
  </si>
  <si>
    <t>Hero_SaBo_SkillAttack04_01=0.18#Hero_SaBo_SkillAttack04_02=0.39#Hero_SaBo_SkillAttack04_03=0.67#Hero_SaBo_SkillAttack04_04=1.15#Hero_SaBo_SkillAttack04_05=1.48#Hero_SaBo_SkillAttack04_06=2.36</t>
  </si>
  <si>
    <t>2477&amp;&amp;2478</t>
  </si>
  <si>
    <t>Bip001 L Finger22&amp;&amp;Bip001 R Finger22</t>
  </si>
  <si>
    <t>炎龙勾爪</t>
  </si>
  <si>
    <t>8405</t>
  </si>
  <si>
    <t>Hero_SaBo_SkillAttack05_01=0.57#Hero_SaBo_SkillAttack05_02=1.46#Hero_SaBo_SkillAttack05_03=2.2</t>
  </si>
  <si>
    <t>炎上纲</t>
  </si>
  <si>
    <t>8406</t>
  </si>
  <si>
    <t>Hero_XinShanZhi_SkillAttack05_01=0#Hero_SaBo_SkillAttack06_01=0.85#Hero_SaBo_SkillAttack06_02=1.18#Hero_SaBo_SkillAttack06_03=2#Hero_SaBo_SkillAttack06_04=2.56#Hero_SaBo_SkillAttack06_05=3.33#Hero_SaBo_SkillAttack06_06=3.88#Hero_SaBo_SkillAttack06_07=3.98#Hero_SaBo_SkillAttack06_08=5.46#Hero_SaBo_SkillAttack06_09=7.25#040_spin_bar1=0.95#sabo21=0.339#sabo19=4.64#040_move_in=5.57</t>
  </si>
  <si>
    <t>Particles/sabo002/sabo002_body_attack06_C</t>
  </si>
  <si>
    <t>2487&amp;&amp;2492</t>
  </si>
  <si>
    <t>Bip001 Spine&amp;&amp;Point001</t>
  </si>
  <si>
    <t>火焰龙王</t>
  </si>
  <si>
    <t>8407</t>
  </si>
  <si>
    <t>Hero_XinShanZhi_SkillAttack08_01=0#Hero_SaBo_SkillAttack03_01=1.06#Hero_SaBo_SkillAttack03_02=2.34#Hero_SaBo_SkillAttack03_03=3.35#Hero_SaBo_SkillAttack03_04=3.61#Hero_SaBo_SkillAttack03_05=4.17#Hero_SaBo_SkillAttack03_06=5.62#Hero_SaBo_SkillAttack03_07=6.15#Hero_SaBo_SkillAttack03_08=6.46#sabo_0010=1.35#sabo_0011=4.72</t>
  </si>
  <si>
    <t>Particles/sabo002/sabo002_body_attack07_C</t>
  </si>
  <si>
    <t>Particles/sabo002/sabo002_attack07_Directionallight</t>
  </si>
  <si>
    <t>8408</t>
  </si>
  <si>
    <t>Hero_SaBo_SkillAttack07_01=0#Hero_SaBo_SkillAttack07_02=0.59#Hero_SaBo_SkillAttack07_03=0.95#Hero_SaBo_SkillAttack07_04=2.2#Hero_SaBo_SkillAttack07_05=5.1#ultimate_Sign=5.54#Hero_SaBo_SkillAttack07_06=6.35#Hero_SaBo_SkillAttack07_07=6.71#Hero_SaBo_SkillAttack07_08=8.2#Hero_SaBo_SkillAttack07_09=8.62#Hero_SaBo_SkillAttack07_10=9.23#Hero_SaBo_SkillAttack07_11=9.8#sabo25=2.5#sabo29=8.44</t>
  </si>
  <si>
    <t>Particles/sabo002/sabo002_body_attack08_C</t>
  </si>
  <si>
    <t>藤虎</t>
  </si>
  <si>
    <t>8501</t>
  </si>
  <si>
    <r>
      <rPr>
        <sz val="11"/>
        <color theme="1"/>
        <rFont val="等线"/>
        <charset val="134"/>
        <scheme val="minor"/>
      </rPr>
      <t>FujitoraCZ_attack_swing=0.07#JinbeCZ_attack_swingpurple=0.44#FujitoraCZ_attack_sheath=0.5#FujitoraCZ_attack_wind=0.58#FujitoraCZ_attack_swingblue=1.12#FujitoraCZ_attack_swingsword=1.23#FujitoraCZ_attack_swingsword=1.33#FujitoraCZ_attack_swingsword=1.45#FujitoraCZ_attack_swingsword=1.61#</t>
    </r>
    <r>
      <rPr>
        <sz val="11"/>
        <color rgb="FFFF0000"/>
        <rFont val="等线"/>
        <charset val="134"/>
        <scheme val="minor"/>
      </rPr>
      <t>slash_general01=0.66#slash_general01=1.17#slash_general01=1.32#slash_general01=1.5</t>
    </r>
  </si>
  <si>
    <t>重力操控</t>
  </si>
  <si>
    <t>8502</t>
  </si>
  <si>
    <r>
      <rPr>
        <sz val="11"/>
        <color theme="1"/>
        <rFont val="等线"/>
        <charset val="134"/>
        <scheme val="minor"/>
      </rPr>
      <t>FujitoraCZ_attack_swing=0.06#JinbeCZ_attack_swingpurple=0.47#ZoronewCZ_attack_swing1=0.59#FujitoraCZ_control_rock1=0.52#FujitoraCZ_control_rock2=0.66#FujitoraCZ_control_spin=1.05#KikuCZ_huasanluan_swordin2=2.58#FujitoraCZ_control_rock3=2.68#</t>
    </r>
    <r>
      <rPr>
        <sz val="11"/>
        <color rgb="FFFF0000"/>
        <rFont val="等线"/>
        <charset val="134"/>
        <scheme val="minor"/>
      </rPr>
      <t>punch_hit_small01=0.6#punch_hit_small01=1.22#punch_hit_small01=1.41#punch_hit_small01=1.6#punch_hit_small01=1.8#punch_hit_small01=2</t>
    </r>
  </si>
  <si>
    <t>重力刀</t>
  </si>
  <si>
    <t>8503</t>
  </si>
  <si>
    <t>FujitoraCZ_heavysword_swing=0.08#JinbeCZ_attack_swingpurple=0.43#ZoronewCZ_attack_swing1=0.54#FujitoraCZ_heavysword_energy=0.88#FujitoraCZ_heavysword_wave=1.49#FujitoraCZ_heavysword_wavered=1.41#FujitoraCZ_heavysword_wavered=1.74#FujitoraCZ_heavysword_wavered=2.09#FujitoraCZ_heavysword_wavered=2.42#FujitoraCZ_heavysword_wavegreen=1.57#FujitoraCZ_heavysword_wavegreen=1.92#FujitoraCZ_heavysword_wavegreen=2.24#FujitoraCZ_heavysword_wavegreen=2.59#KikuCZ_huasanluan_swordin2=2.94#FujitoraCZ_heavysword_end=3#punch_hit_medium01=1.08#punch_hit_heavyNPC=1.56#punch_hit_heavyNPC=1.79#punch_hit_heavyNPC=2.02#punch_hit_heavyNPC=2.24#punch_hit_heavyNPC=2.46#punch_hit_heavyNPC=2.7#punch_hit_heavyNPC=2.89#CV_FujitoraCZ_heavysword=0.45</t>
  </si>
  <si>
    <t>巨大陨石</t>
  </si>
  <si>
    <t>8504</t>
  </si>
  <si>
    <r>
      <rPr>
        <sz val="11"/>
        <color theme="1"/>
        <rFont val="等线"/>
        <charset val="134"/>
        <scheme val="minor"/>
      </rPr>
      <t>FujitoraCZ_aerolite_cloth=0#FujitoraCZ_aerolite_swing=0.27#FujitoraCZ_aerolite_sheath=0.54#FujitoraCZ_aerolite_stoneroll=1.15#FujitoraCZ_aerolite_end=3.29#CV_FujitoraCZ_aerolite=0.25#</t>
    </r>
    <r>
      <rPr>
        <sz val="11"/>
        <color rgb="FFFF0000"/>
        <rFont val="等线"/>
        <charset val="134"/>
        <scheme val="minor"/>
      </rPr>
      <t>FujitoraCZ_aerolite_stonehit=1.8#FujitoraCZ_aerolite_stonehit=2.07#FujitoraCZ_aerolite_stonehit=2.4#FujitoraCZ_aerolite_stonehit=2.73#FujitoraCZ_aerolite_stonehit=3.24#FujitoraCZ_aerolite_stonehit=3.4#FujitoraCZ_aerolite_stonehit=3.61</t>
    </r>
  </si>
  <si>
    <t>重力风暴</t>
  </si>
  <si>
    <t>8505</t>
  </si>
  <si>
    <t>FujitoraCZ_storm_sheath=0#FujitoraCZ_storm_wave=0.09#FujitoraCZ_storm_swordswing=0.58#FujitoraCZ_storm_swordswing=0.71#KikuCZ_huasanluan_swordin2=1.45#FujitoraCZ_storm_wind=1.45#MihawkNewCZ_shiliuye_slash=1.59#MihawkNewCZ_shiliuye_slash=1.67#MihawkNewCZ_shiliuye_slash=1.77#punch_hit_medium01=0.22#slash_general01=0.63#slash_general01=0.84#slash_general01=1.62#slash_general01=1.73#CV_FujitoraCZ_storm=1.63</t>
  </si>
  <si>
    <t>重力刀·猛虎</t>
  </si>
  <si>
    <t>8506</t>
  </si>
  <si>
    <r>
      <rPr>
        <sz val="11"/>
        <color theme="1"/>
        <rFont val="等线"/>
        <charset val="134"/>
        <scheme val="minor"/>
      </rPr>
      <t>FujitoraCZ_tiger_whoosh=0.11#FujitoraCZ_tiger_sword1=1.93#borsalinoCZ_lightkick_shinning=2.02#FujitoraCZ_tiger_sword2=2.43#whooshlarge_general=2.82#FujitoraCZ_tiger_swing=4.04#mihawkCZ_dawn_buff=4.11#whooshlarge_slashly03=4.65#mihawkCZ_broken_swing=6.46#FujitoraCZ_tiger_rock=6.58#mihawkCZ_shark_swordget=8.14#FujitoraCZ_tiger_sheath=8.35#FujitoraCZ_tiger_surdo=8.47#CV_FujitoraCZ_tiger1=0.06#CV_FujitoraCZ_tiger2=1.78#</t>
    </r>
    <r>
      <rPr>
        <sz val="11"/>
        <color rgb="FFFF0000"/>
        <rFont val="等线"/>
        <charset val="134"/>
        <scheme val="minor"/>
      </rPr>
      <t>punch_hit_small02=6.79#punch_hit_small02=6.95#punch_hit_small02=7.1#punch_hit_small02=7.29</t>
    </r>
  </si>
  <si>
    <t>Particles/lssho001_body/lssho001_body_attack06_C</t>
  </si>
  <si>
    <t>2410&amp;&amp;2411&amp;&amp;2412</t>
  </si>
  <si>
    <t>Bip001 R Forearm&amp;&amp;Bip001 R Hand&amp;&amp;Bip001 R UpperArm</t>
  </si>
  <si>
    <t>重力地狱</t>
  </si>
  <si>
    <t>8507</t>
  </si>
  <si>
    <t>FujitoraCZ_hell_swordout=0.03#FujitoraCZ_hell_whoosh=0.78#mihawkCZ_wu_focus=2.26#FujitoraCZ_hell_crash=2.75#FujitoraCZ_hell_cloth=4.4#FujitoraCZ_hell_swordin=5.19#LuffyCZ_JETrocket_rockhit=7.02#slash_general01=2.96#slash_large=3.15#CV_FujitoraCZ_hell1=0.93#CV_FujitoraCZ_hellr2=4.75</t>
  </si>
  <si>
    <t>Particles/lssho001_body/lssho001_body_attack07_C</t>
  </si>
  <si>
    <t>重力毁灭</t>
  </si>
  <si>
    <t>8508</t>
  </si>
  <si>
    <t>FujitoraCZ_destroy_sheath=0.84#borsalinoCZ_lightattack_leishe02=1.01#FujitoraCZ_destroy_storm=1.7#whoosh_lazer=1.71#FujitoraCZ_destroy_sword=3.12#mihawkCZ_wu_focus=3.62#FujitoraCZ_destroy_swordswing=5.28#FujitoraCZ_destroy_buff=5.58#FujitoraCZ_destroy_superdestroy=7.38#FujitoraCZ_destroy_rock=10.41#CV_FujitoraCZ_destroy1=0.6#CV_FujitoraCZ_destroy2=3.95#punch_hit_giant01=10.35#punch_hit_small01=9.95#punch_hit_small01=10.77#punch_hit_small01=11.08#punch_hit_small01=11.36#punch_hit_small01=11.58#punch_hit_small01=11.75#punch_hit_small01=11.89#punch_hit_small01=12.01</t>
  </si>
  <si>
    <t>Particles/lssho001_body/lssho001_body_attack08_c</t>
  </si>
  <si>
    <t>Baby5</t>
  </si>
  <si>
    <t>足枪</t>
  </si>
  <si>
    <t>镰刀女</t>
  </si>
  <si>
    <t>手枪女</t>
  </si>
  <si>
    <t>火焰女</t>
  </si>
  <si>
    <t>Point023</t>
  </si>
  <si>
    <t>重装射击</t>
  </si>
  <si>
    <t>Particles/Babyfive001/babyfive001_body_attack06_C</t>
  </si>
  <si>
    <t>我被需要了</t>
  </si>
  <si>
    <t>Particles/Babyfive001/babyfive001_body_attack07_c</t>
  </si>
  <si>
    <t>飞弹女</t>
  </si>
  <si>
    <t>Particles/Babyfive001/babyfive001_body_attack08_C</t>
  </si>
  <si>
    <t>夏洛特玲玲</t>
  </si>
  <si>
    <t>8701</t>
  </si>
  <si>
    <r>
      <rPr>
        <sz val="11"/>
        <rFont val="等线"/>
        <charset val="134"/>
        <scheme val="minor"/>
      </rPr>
      <t>BMCZ_attack_swing1=0.24#BMCZ_attack_swing1=0.6#BMCZ_attack_swing2=1.45#BMCZ_attack_swing3=2.4#CV_BMCZ_attack=2.54#</t>
    </r>
    <r>
      <rPr>
        <sz val="11"/>
        <color rgb="FFFF0000"/>
        <rFont val="等线"/>
        <charset val="134"/>
        <scheme val="minor"/>
      </rPr>
      <t>punch_hit_heavyNPC=0.45#punch_hit_heavyNPC=0.8#punch_hit_heavyNPC=1.55#punch_hit_medium01=2.57</t>
    </r>
  </si>
  <si>
    <t>雷火暴击</t>
  </si>
  <si>
    <t>8702</t>
  </si>
  <si>
    <r>
      <rPr>
        <sz val="11"/>
        <rFont val="等线"/>
        <charset val="134"/>
        <scheme val="minor"/>
      </rPr>
      <t>BMCZ_leihuo_cloud=0.07#BMCZ_leihuo_swing=0.65#BMCZ_leihuo_swing=1.23#BMCZ_leihuo_firecast1=0.72#BMCZ_leihuo_firecast1=0.86#BMCZ_leihuo_firecast1=1.04#BMCZ_leihuo_thunder1=1.46#BMCZ_leihuo_hit=2.59#ZoronewCZ_lion_swing=2.53#BMCZ_leihuo_firecast2=2.77#BMCZ_leihuo_firecast2=2.94#BMCZ_leihuo_firecast2=3.13#</t>
    </r>
    <r>
      <rPr>
        <sz val="11"/>
        <color rgb="FFFF0000"/>
        <rFont val="等线"/>
        <charset val="134"/>
        <scheme val="minor"/>
      </rPr>
      <t>smallfire_hit=1.13#borsalinoCZ_laserhit=1.45#smallfire_hit=2.73#smallfire_hit=3.01#smallfire_hit=3.33</t>
    </r>
  </si>
  <si>
    <t>天上火</t>
  </si>
  <si>
    <t>8703</t>
  </si>
  <si>
    <r>
      <rPr>
        <sz val="11"/>
        <rFont val="等线"/>
        <charset val="134"/>
        <scheme val="minor"/>
      </rPr>
      <t>BMCZ_firesky_swing1=0.35#ZoronewCZ_lion_swing=0.35#BMCZ_firesky_firecast=1.08#BMCZ_firesky_firecast=1.3#BMCZ_firesky_firecast=1.5#BMCZ_firesky_firecast=1.7#BMCZ_firesky_firecast=1.9#BMCZ_firesky_burning=2.12#BMCZ_firesky_swing2=4.7#BMCZ_firesky_hit=4.97#CV_BMCZ_firesky=3.36#</t>
    </r>
    <r>
      <rPr>
        <sz val="11"/>
        <color rgb="FFFF0000"/>
        <rFont val="等线"/>
        <charset val="134"/>
        <scheme val="minor"/>
      </rPr>
      <t>smallfire_hit=1.43#smallfire_hit=1.62#smallfire_hit=1.86#smallfire_hit=2.49#smallfire_hit=2.8#smallfire_hit=3.15#smallfire_hit=3.48#smallfire_hit=3.78#smallfire_hit=4.15</t>
    </r>
  </si>
  <si>
    <t>雷霆</t>
  </si>
  <si>
    <t>8704</t>
  </si>
  <si>
    <t>BMCZ_leiting_swing1=0.47#ZoronewCZ_lion_swing=0.47#BMCZ_leiting_spark=0.72#borsalinoCZ_laserhit=0.79#borsalinoCZ_laserhit=1.07#borsalinoCZ_laserhit=1.32#BMCZ_leiting_move=1.49#BMCZ_leiting_swing1=1.46#ZoronewCZ_lion_swing=1.46#BMCZ_leiting_swing2=2.53#BMCZ_leiting_thunder=2.53#CV_BMCZ_leiting=0.08</t>
  </si>
  <si>
    <t>威国</t>
  </si>
  <si>
    <t>8712</t>
  </si>
  <si>
    <t>BMCZ_weiguo_cloth=0.73#BMCZ_weiguo_throw=1.3#mihawkCZ_shark_buff=1.45#BMCZ_weiguo_hat=1.52#BMCZ_weiguo_sword1=2.15#BMCZ_weiguo_jump=2.87#BMCZ_leiting_move=3.21#BMCZ_weiguo_catch=3.68#whooshmedium01=4.08#BMCZ_weiguo_rise=4.27#BMCZ_weiguo_sword2=5.78#slash_large=5.87#BMCZ_weiguo_cast=5.97#BMCZ_weiguo_cloud=6.89#BMCZ_weiguo_sword3=7.49#BMCZ_weiguo_fire=7.78#CV_BMCZ_weiguo1=0.15#CV_BMCZ_weiguo2=0.93#CV_BMCZ_weiguo3=2.71#CV_BMCZ_weiguo4=3.33#CV_BMCZ_weiguo5=5.67</t>
  </si>
  <si>
    <t>Particles/charlotte001/charlotte001_body_attack05_C</t>
  </si>
  <si>
    <t>Particles/charlotte001/charlotte001_body_attack05_Directionallight</t>
  </si>
  <si>
    <t>3003506</t>
  </si>
  <si>
    <r>
      <rPr>
        <sz val="11"/>
        <rFont val="等线"/>
        <charset val="134"/>
        <scheme val="minor"/>
      </rPr>
      <t>BMCZ_change_swing=0.23#BMCZ_change_swing=0.88#</t>
    </r>
    <r>
      <rPr>
        <sz val="11"/>
        <color rgb="FFFF0000"/>
        <rFont val="等线"/>
        <charset val="134"/>
        <scheme val="minor"/>
      </rPr>
      <t>slash_large=0.33#slash_large=0.97</t>
    </r>
  </si>
  <si>
    <t>轰雷斩</t>
  </si>
  <si>
    <t>3003507</t>
  </si>
  <si>
    <t>BMCZ_honglei_swing=0.71#BMCZ_honglei_swing=1.22#BMCZ_honglei_swing=1.7#BMCZ_honglei_thunder=2.58#slash_large=0.8#slash_large=1.31#slash_large=1.8#CV_BMCZ_honglei=2.6</t>
  </si>
  <si>
    <t>天火怒斩</t>
  </si>
  <si>
    <t>3003513</t>
  </si>
  <si>
    <t>BMCZ_tianhuo_show=0.26#BMCZ_tianhuo_spark=0.88#BMCZ_tianhuo_shoot=1.29#BMCZ_tianhuo_shoot=1.53#BMCZ_tianhuo_shoot=1.76#BMCZ_tianhuo_shoot=2.02#BMCZ_tianhuo_shoot=2.26#BMCZ_tianhuo_firehit=2.62#BMCZ_tianhuo_firehit=2.86#BMCZ_tianhuo_firehit=3.11#BMCZ_tianhuo_firehit=3.37#BMCZ_tianhuo_firehit=3.66#BMCZ_tianhuo_thunder=4.07#whooshlarge_fly01=5.94#BMCZ_tianhuo_whoosh=5.94#whooshlarge_slashly03=6.97#BMCZ_tianhuo_sword=8.08#BMCZ_tianhuo_hit=8.64#slash_large=8.75#CV_BMCZ_tianhuo1=0.97#CV_BMCZ_tianhuo2=7.76</t>
  </si>
  <si>
    <t>Particles/charlotte001/charlotte001_body_attack08_c</t>
  </si>
  <si>
    <t>2590&amp;&amp;2595</t>
  </si>
  <si>
    <t>Bone164&amp;&amp;weapon003</t>
  </si>
  <si>
    <t>皇帝剑·破破刃</t>
  </si>
  <si>
    <t>3003514</t>
  </si>
  <si>
    <t>BMCZ_poporen_fire1=0.14#BMCZ_poporen_swing1=1.78#BMCZ_poporen_fire2=2.12#whooshlarge_slashly03=3.91#whooshmedium03=5.25#BMCZ_poporen_swing2=6.38#BMCZ_poporen_rock=6.56#BMCZ_poporen_fire3=6.76#bodyrock_hit02=6.95#CV_BMCZ_poporen1=0#CV_BMCZ_poporen2=5.14</t>
  </si>
  <si>
    <t>Particles/charlotte001/charlotte001_body_attack09_C</t>
  </si>
  <si>
    <t>2598&amp;&amp;2599&amp;&amp;2597</t>
  </si>
  <si>
    <t>fire_hair&amp;&amp;weapon&amp;&amp;Bone167</t>
  </si>
  <si>
    <t>灾祸巨浪（目前用不了）</t>
  </si>
  <si>
    <t>8709</t>
  </si>
  <si>
    <t>克力架（饼干人形态）</t>
  </si>
  <si>
    <t>3003601</t>
  </si>
  <si>
    <t>luffy_GiantSwing02=0.49#luffy_GiantSwing02=1.24#smoke_SteamFlying01=1.83#luffy_GiantSwing02=02.28#buggy_Swing01=2.31</t>
  </si>
  <si>
    <t>卷·椒盐卷饼</t>
  </si>
  <si>
    <t>3003602</t>
  </si>
  <si>
    <t>mihawk_EnergySp01=0.25#jozz_Trans03=0.28#edward_Spin01=1.11#edward_Windimpact03=1.11</t>
  </si>
  <si>
    <t>2633&amp;&amp;2633&amp;&amp;2633</t>
  </si>
  <si>
    <t>Point001&amp;&amp;Point003&amp;&amp;Point005</t>
  </si>
  <si>
    <t>双重·卷·椒盐卷饼</t>
  </si>
  <si>
    <t>3003603</t>
  </si>
  <si>
    <t>macro_Flying02=0#edward_Swing04=0.65#law_Charge=0.72#edward_Swing05=0.95#luffy_GiantSwingImpact01=1.07</t>
  </si>
  <si>
    <t>2625&amp;&amp;2626&amp;&amp;2627&amp;&amp;2628</t>
  </si>
  <si>
    <t>Point003&amp;&amp;Point004&amp;&amp;Point005&amp;&amp;Point006</t>
  </si>
  <si>
    <t>饼干撞击</t>
  </si>
  <si>
    <t>3003604</t>
  </si>
  <si>
    <t>blackbear_DarkOut04=0.25#luffy_GiantSwingImpact01=1.36#macro_Flying01=1.63#ultimate_Sign=2.55#smoke_SteamFlying03=2.58#040_ult8=3.29</t>
  </si>
  <si>
    <t>Particles/cracker001/cracker002_attack04_c</t>
  </si>
  <si>
    <t>克力架本人</t>
  </si>
  <si>
    <t>8805</t>
  </si>
  <si>
    <t>zoro_Swing01=0.43#zoro_Swing02=0.75#atn2_swg=1.37#luffy_GiantSwing03=2.08</t>
  </si>
  <si>
    <t>波动·椒盐卷饼</t>
  </si>
  <si>
    <t>8806</t>
  </si>
  <si>
    <t>smoke_SteamCharge01=0.23#ra1_swg=0.43#atn5_swg=1.13#atn1_swg=1.65</t>
  </si>
  <si>
    <t>卷饼劈斩</t>
  </si>
  <si>
    <t>8807</t>
  </si>
  <si>
    <t>luffy_GiantSwing02=0.77#kuma_SwingSlowly=0.77#luffy_GiantSwing03=2.07#luffy_Punch_Giant02=2.07</t>
  </si>
  <si>
    <t>突爆·椒盐卷饼</t>
  </si>
  <si>
    <t>8808</t>
  </si>
  <si>
    <t>040_ult5=0.11#blackbear_DarkOut03=0.11#cracker22=1.82#040_ult2=2.03#blackbear_DarkOut02=2.17#chopper_Ultramove=2.36#se_FootstepHeels01=2.91#se_FootstepDirt01=2.91#se_FootstepHeels02=3.31#se_FootstepDirt02=3.31#se_FootstepHeels01=3.67#se_FootstepDirt01=3.67#se_FootstepHeels02=4.06#se_FootstepDirt02=4.06#kid_IronShoot=4.46#edward_Swing02=4.92#kuzan_Icewind01=4.92#smoke_SteamCharge01=5#mihawk_Sheath03=5#ult_07=5.25#edward_Swing03=6.04#mihawk_Sheath03=6.24#040_ult8=8.35</t>
  </si>
  <si>
    <t>Particles/cracker001/cracker001_body_attack08_C</t>
  </si>
  <si>
    <t>2639&amp;&amp;2640&amp;&amp;2641</t>
  </si>
  <si>
    <t>Bone007&amp;&amp;Bone011&amp;&amp;wuqi</t>
  </si>
  <si>
    <t>饼干人大军</t>
  </si>
  <si>
    <t>8809</t>
  </si>
  <si>
    <t>moria_Ultramove=0.38#cracker01=1.82#nami_Show_Cute=2.14#luffy_Expand02=2.14#040_Grab_Bar=2.18#nami_Show_Cute=2.32#luffy_Expand02=2.32#040_Grab_Bar=2.51#nami_Show_Cute=2.55#luffy_Expand02=2.55#blackbear_DarkOut04=4.03#luffy_GiantUltra04=4.27#kuzan_IceCharge01=6.93#mihawk_EnergySp01=7.01#cracker05=7.1#se_Jump02=8.68#ultimate_Sign=9.01#luffy_GiantSwing02=9.78#luffy_Punch_Giant02=9.78#040_ult7=10.2#luffy_GiantSwingImpact02=10.28</t>
  </si>
  <si>
    <t>Particles/cracker001/cracker001_body_attack09_c</t>
  </si>
  <si>
    <t>2639&amp;&amp;2640</t>
  </si>
  <si>
    <t>Bone007&amp;&amp;Bone011</t>
  </si>
  <si>
    <t>斯慕吉</t>
  </si>
  <si>
    <t>8901</t>
  </si>
  <si>
    <r>
      <rPr>
        <sz val="11"/>
        <rFont val="等线"/>
        <charset val="134"/>
        <scheme val="minor"/>
      </rPr>
      <t>SmoothieCZ_attack_swing1=0.12#SmoothieCZ_attack_swing2=0.49#SmoothieCZ_attack_swing3=0.87#SmoothieCZ_attack_swing4=1.45#</t>
    </r>
    <r>
      <rPr>
        <sz val="11"/>
        <color rgb="FFFF0000"/>
        <rFont val="等线"/>
        <charset val="134"/>
        <scheme val="minor"/>
      </rPr>
      <t>slash_general01=0.25#slash_general01=0.61#slash_general01=0.99#slash_general01=1.56</t>
    </r>
  </si>
  <si>
    <t>8902</t>
  </si>
  <si>
    <r>
      <rPr>
        <sz val="11"/>
        <rFont val="等线"/>
        <charset val="134"/>
        <scheme val="minor"/>
      </rPr>
      <t>SmoothieCZ_slash_swing1=0.16#SmoothieCZ_slash_swing2=0.62#SmoothieCZ_slash_swing3=1.14#SmoothieCZ_slash_swing4=2.14#SmoothieCZ_slash_swing5=2.73#</t>
    </r>
    <r>
      <rPr>
        <sz val="11"/>
        <color rgb="FFFF0000"/>
        <rFont val="等线"/>
        <charset val="134"/>
        <scheme val="minor"/>
      </rPr>
      <t>slash_general01=0.25#slash_general01=0.68#slash_general01=1.43#slash_general01=2.24#slash_large=2.94#punch_hit_medium01=2.94#</t>
    </r>
    <r>
      <rPr>
        <sz val="11"/>
        <color theme="1"/>
        <rFont val="等线"/>
        <charset val="134"/>
        <scheme val="minor"/>
      </rPr>
      <t>CV_SmoothieCZ_heng=2.89</t>
    </r>
  </si>
  <si>
    <t>处决</t>
  </si>
  <si>
    <t>8903</t>
  </si>
  <si>
    <r>
      <rPr>
        <sz val="11"/>
        <rFont val="等线"/>
        <charset val="134"/>
        <scheme val="minor"/>
      </rPr>
      <t>SmoothieCZ_execute_swing1=0.34#SmoothieCZ_execute_swing2=0.73#</t>
    </r>
    <r>
      <rPr>
        <sz val="11"/>
        <color rgb="FFFF0000"/>
        <rFont val="等线"/>
        <charset val="134"/>
        <scheme val="minor"/>
      </rPr>
      <t>slash_general01=0.43#slash_general01=0.82</t>
    </r>
  </si>
  <si>
    <t>波纹斩</t>
  </si>
  <si>
    <t>8904</t>
  </si>
  <si>
    <r>
      <rPr>
        <sz val="11"/>
        <rFont val="等线"/>
        <charset val="134"/>
        <scheme val="minor"/>
      </rPr>
      <t>SmoothieCZ_ripple_swing1=0.17#SmoothieCZ_ripple_swing1=0.62#SmoothieCZ_ripple_swing2=1.17#</t>
    </r>
    <r>
      <rPr>
        <sz val="11"/>
        <color rgb="FFFF0000"/>
        <rFont val="等线"/>
        <charset val="134"/>
        <scheme val="minor"/>
      </rPr>
      <t>slash_general01=0.22#slash_general01=0.7#slash_large=1.29</t>
    </r>
  </si>
  <si>
    <t>水龙卷</t>
  </si>
  <si>
    <t>8905</t>
  </si>
  <si>
    <r>
      <rPr>
        <sz val="11"/>
        <rFont val="等线"/>
        <charset val="134"/>
        <scheme val="minor"/>
      </rPr>
      <t>SmoothieCZ_tornado_cloth=0.26#SmoothieCZ_attack_swing3=0.89#SmoothieCZ_tornado_cast=1.03#</t>
    </r>
    <r>
      <rPr>
        <sz val="11"/>
        <color rgb="FFFF0000"/>
        <rFont val="等线"/>
        <charset val="134"/>
        <scheme val="minor"/>
      </rPr>
      <t>slash_general01=1#punch_hit_medium01=1.02</t>
    </r>
  </si>
  <si>
    <t>分水剑</t>
  </si>
  <si>
    <t>8906</t>
  </si>
  <si>
    <r>
      <rPr>
        <sz val="11"/>
        <rFont val="等线"/>
        <charset val="134"/>
        <scheme val="minor"/>
      </rPr>
      <t>SmoothieCZ_watercut_bubble=0.01#mihawkCZ_wu_focus=1.33#SmoothieCZ_watercut_touch=1.86#SmoothieCZ_watercut_swing=2.45#whooshsmall_general=2.6#whooshmedium01=4.32#SmoothieCZ_watercut_energy=2.85#SmoothieCZ_watercut_waterfall=5.48#CV_SmoothieCZ_watercut1=1.9#CV_SmoothieCZ_watercut2=4.73#</t>
    </r>
    <r>
      <rPr>
        <sz val="11"/>
        <color rgb="FFFF0000"/>
        <rFont val="等线"/>
        <charset val="134"/>
        <scheme val="minor"/>
      </rPr>
      <t>water_hit1=5.49#water_hit1=5.96#water_hit1=6.18</t>
    </r>
  </si>
  <si>
    <t>Particles/smoothie001/smoothie001_body_attack06_C</t>
  </si>
  <si>
    <t>水面横斩</t>
  </si>
  <si>
    <t>8907</t>
  </si>
  <si>
    <r>
      <rPr>
        <sz val="11"/>
        <rFont val="等线"/>
        <charset val="134"/>
        <scheme val="minor"/>
      </rPr>
      <t>SmoothieCZ_waterslash_bubble1=0#SmoothieCZ_foot1=0.58#SmoothieCZ_foot2=1.26#SmoothieCZ_foot1=1.86#SmoothieCZ_foot2=2.53#SmoothieCZ_foot3=3.04#SmoothieCZ_waterslash_bubble1=0.06#SmoothieCZ_waterslash_point=3.16#whooshmedium01=5.13#SmoothieCZ_waterslash_charge=3.85#SmoothieCZ_waterslash_bubble2=5.17#SmoothieCZ_waterslash_cast=6.32#SmoothieCZ_waterslash_light=7.22#SmoothieCZ_waterslash_sword=7.41#SmoothieCZ_waterslash_sword=7.53#CV_SmoothieCZ_waterslash1=4.98#CV_SmoothieCZ_waterslash2=8.64#</t>
    </r>
    <r>
      <rPr>
        <sz val="11"/>
        <color rgb="FFFF0000"/>
        <rFont val="等线"/>
        <charset val="134"/>
        <scheme val="minor"/>
      </rPr>
      <t>SmoothieCZ_waterslash_explosion=8.13#slash_large=6.58</t>
    </r>
  </si>
  <si>
    <t>Particles/smoothie001/smoothie001_body_attack07_C</t>
  </si>
  <si>
    <t>巨大化–斩击</t>
  </si>
  <si>
    <t>8908</t>
  </si>
  <si>
    <r>
      <rPr>
        <sz val="11"/>
        <rFont val="等线"/>
        <charset val="134"/>
        <scheme val="minor"/>
      </rPr>
      <t>SmoothieCZ_giant_swing1=0.48#SmoothieCZ_giant_swing1=0.84#SmoothieCZ_giant_liquid=1.41#SmoothieCZ_giant_transform=2.22#mihawkCZ_wu_focus=5.1#SmoothieCZ_giant_swing2=5.74#slash_large=6.08#whoosh_lazer=6.78#SmoothieCZ_giant_waterout=7.52#SmoothieCZ_giant_hit=9.42#punch_hit_small01=9.53#SmoothieCZ_giant_bottle=10.94#CV_SmoothieCZ_giant1=7#CV_SmoothieCZ_giant2=11.1#</t>
    </r>
    <r>
      <rPr>
        <sz val="11"/>
        <color rgb="FFFF0000"/>
        <rFont val="等线"/>
        <charset val="134"/>
        <scheme val="minor"/>
      </rPr>
      <t>slash_large=0.63#slash_large=1</t>
    </r>
  </si>
  <si>
    <t>Particles/smoothie001/smoothie001_body_attack08_C</t>
  </si>
  <si>
    <t>普攻（卡牌）</t>
  </si>
  <si>
    <t>9001</t>
  </si>
  <si>
    <t>瓦斯响板（卡牌）</t>
  </si>
  <si>
    <t>9002</t>
  </si>
  <si>
    <t>青炎斩（卡牌）</t>
  </si>
  <si>
    <t>9003</t>
  </si>
  <si>
    <t>空无世界（卡牌）</t>
  </si>
  <si>
    <t>9004</t>
  </si>
  <si>
    <t>死亡国度（卡牌）</t>
  </si>
  <si>
    <t>9005</t>
  </si>
  <si>
    <t>炎上纲（全体版本）</t>
  </si>
  <si>
    <t>火焰龙王（全体版本）</t>
  </si>
  <si>
    <t>凯多</t>
  </si>
  <si>
    <t>9301</t>
  </si>
  <si>
    <r>
      <rPr>
        <sz val="11"/>
        <color theme="0"/>
        <rFont val="等线"/>
        <charset val="134"/>
        <scheme val="minor"/>
      </rPr>
      <t>KaidoCZ_attack_swing1=0.28#KaidoCZ_attack_swing2=0.84#KaidoCZ_attack_swing1=1.69#</t>
    </r>
    <r>
      <rPr>
        <sz val="11"/>
        <color rgb="FFFFFF00"/>
        <rFont val="等线"/>
        <charset val="134"/>
        <scheme val="minor"/>
      </rPr>
      <t>KaidoCZ_attack_hit1=0.47#KaidoCZ_attack_hit1=1.1#KaidoCZ_attack_hit2=1.8#punch_hit_heavyNPC=0.44#punch_hit_heavyNPC=1.06#punch_hit_heavyNPC=1.78</t>
    </r>
  </si>
  <si>
    <t>天火 · 燎原</t>
  </si>
  <si>
    <t>9302</t>
  </si>
  <si>
    <r>
      <rPr>
        <sz val="11"/>
        <color theme="0"/>
        <rFont val="等线"/>
        <charset val="134"/>
        <scheme val="minor"/>
      </rPr>
      <t>KaidoCZ_attack_swing1=0.54#KaidoCZ_tianhuo_xuli=2.15#KaidoCZ_attack_swing2=2.42#</t>
    </r>
    <r>
      <rPr>
        <sz val="11"/>
        <color rgb="FFFFFF00"/>
        <rFont val="等线"/>
        <charset val="134"/>
        <scheme val="minor"/>
      </rPr>
      <t>KaidoCZ_tianhuo_hit1=0.67#punch_hit_heavyNPC=0.72#KaidoCZ_tianhuo_hit1=1.4#punch_hit_heavyNPC=1.4#KaidoCZ_tianhuo_hit2=2.69</t>
    </r>
  </si>
  <si>
    <t>weapon</t>
  </si>
  <si>
    <t>罡气 · 撼天</t>
  </si>
  <si>
    <t>9303</t>
  </si>
  <si>
    <t>KaidoCZ_wine_drinking=0.51#KaidoCZ_wine_cloth=1.75#KaidoCZ_wine_cast=2.98#punch_hit_medium01=3.13#punch_hit_medium01=3.43#punch_hit_medium01=3.72</t>
  </si>
  <si>
    <t>轮回·天冲</t>
  </si>
  <si>
    <t>9304</t>
  </si>
  <si>
    <r>
      <rPr>
        <sz val="11"/>
        <color theme="0"/>
        <rFont val="等线"/>
        <charset val="134"/>
        <scheme val="minor"/>
      </rPr>
      <t>KaidoCZ_lunhui_fire=0.34#KaidoCZ_lunhui_hit=0.63#KaidoCZ_lunhui_back=1.76#</t>
    </r>
    <r>
      <rPr>
        <sz val="11"/>
        <color rgb="FFFFFF00"/>
        <rFont val="等线"/>
        <charset val="134"/>
        <scheme val="minor"/>
      </rPr>
      <t>punch_hit_medium01=0.74#punch_hit_heavyNPC=1.95</t>
    </r>
  </si>
  <si>
    <t>罗刹 · 践踏</t>
  </si>
  <si>
    <t>9305</t>
  </si>
  <si>
    <r>
      <rPr>
        <sz val="11"/>
        <color theme="0"/>
        <rFont val="等线"/>
        <charset val="134"/>
        <scheme val="minor"/>
      </rPr>
      <t>KaidoCZ_luocha_swing1=0.75#KaidoCZ_attack_swing1=0.54#KaidoCZ_luocha_swing2=2.53#</t>
    </r>
    <r>
      <rPr>
        <sz val="11"/>
        <color rgb="FFFFFF00"/>
        <rFont val="等线"/>
        <charset val="134"/>
        <scheme val="minor"/>
      </rPr>
      <t>punch_hit_heavyNPC=0.71#KaidoCZ_luocha_rock=1.27#punch_hit_medium01=2.69</t>
    </r>
  </si>
  <si>
    <t>雷鸣八卦（镜头）</t>
  </si>
  <si>
    <t>9309</t>
  </si>
  <si>
    <r>
      <rPr>
        <sz val="11"/>
        <color theme="0"/>
        <rFont val="等线"/>
        <charset val="134"/>
        <scheme val="minor"/>
      </rPr>
      <t>KaidoCZ_lighting_spark=0.04#KaidoCZ_lighting_catch=3.21#KaidoCZ_lighting_xuli=3.68#KaidoCZ_lighting_cloth=5.8#KaidoCZ_lighting_wind=6.13#whooshmedium01=7.24#KaidoCZ_lighting_hit=9.2#punch_hit_medium01=9.2#CVKaidoCZ_lighting1=0.19#CVKaidoCZ_lighting2=6.92#</t>
    </r>
    <r>
      <rPr>
        <sz val="11"/>
        <color rgb="FFFFFF00"/>
        <rFont val="等线"/>
        <charset val="134"/>
        <scheme val="minor"/>
      </rPr>
      <t>punch_hit_giant01=9.27#KaidoCZ_lighting_explosion=11.5</t>
    </r>
  </si>
  <si>
    <t>Particles/Kaido/kaido001_body_attack06_C</t>
  </si>
  <si>
    <t>热息（镜头）</t>
  </si>
  <si>
    <t>9307</t>
  </si>
  <si>
    <t>KaidoCZ_hot_superthunder=0.01#KaidoCZ_hot_fly=1.14#KaidoCZ_hot_roar=2.5#KaidoCZ_hot_up=3.86#KaidoCZ_hot_l1=4.87#KaidoCZ_hot_l2=5.85#KaidoCZ_hot_l3=6.78#KaidoCZ_hot_fireup=7.62#whooshlarge_nervous=9.23#KaidoCZ_hot_cast=10.18#KaidoCZ_hot_shoot=11.1#KaidoCZ_hot_hit=12.66#CVKaidoCZ_hot=9.35</t>
  </si>
  <si>
    <t>Particles/Kaido/kaido002_body_attack07_C</t>
  </si>
  <si>
    <t>龙威（镜头奥义）</t>
  </si>
  <si>
    <t>9308</t>
  </si>
  <si>
    <t>whooshmedium01=0#KaidoCZ_dragon_exchange=1.32#KaidoCZ_dragon_fly1=1.8#KaidoCZ_dragon_lighting=4.63#KaidoCZ_dragon_roar=4.8#KaidoCZ_dragon_fly2=6.11#KaidoCZ_dragon_spark=8.86#KaidoCZ_dragon_xuli=9.6#KaidoCZ_dragon_cast=10.94#KaidoCZ_dragon_finalroar=11#CVKaidoCZ_dragon=0.29#whoosh_lazer=10.48</t>
  </si>
  <si>
    <t>Particles/Kaido/kaido002_body_attack08_C</t>
  </si>
  <si>
    <t>凯文迪修</t>
  </si>
  <si>
    <t>zoro_Swing01=0.2#zoro_Swing02=0.46#buggy_Swing01=1.04</t>
  </si>
  <si>
    <t>美剑·天鹅湖</t>
  </si>
  <si>
    <t>zoro_Swing01=0.23#zoro_Swing02=0.67#DOF_Swing02=1#DOF_Swing03=1.7</t>
  </si>
  <si>
    <t>美剑·圆桌</t>
  </si>
  <si>
    <t>美剑·斩·星屑王子</t>
  </si>
  <si>
    <t>第二人格·隆美尔的镰鼬</t>
  </si>
  <si>
    <t>Bodyfall=2.189#mihawk_EnergySp01=2.824#edward_Swing04=4.45#edward_Swing04=4.65#edward_Swing04=4.793#edward_Swing04=4.945#edward_Swing04=5.09#edward_Swing04=5.228#edward_Swing04=5.365#edward_Swing04=5.5#edward_Swing04=5.64#edward_Swing04=5.75#moria_ScissorsCut=6.09</t>
  </si>
  <si>
    <t>Particles/cavendish/Cavendish002_body_attack05_C</t>
  </si>
  <si>
    <t>zoro_Swing01=0.21#DOF_Swing01=0.43#brook_Swing01=1.06#DOF_Swing02=1.06</t>
  </si>
  <si>
    <t>凶剑·无影斩</t>
  </si>
  <si>
    <t>crocodile_Swing02=0#franky_Swing01=0.577#mihawk_Sheath03=0.75#mihawk_Sheath03=0.89#franky_Swing02=1.03#mihawk_Sheath03=1.25#mihawk_Sheath03=1.4#franky_Swing01=1.5#mihawk_Sheath03=1.7#mihawk_Sheath03=1.83#franky_Swing01=2.04#mihawk_Sheath03=2.27#mihawk_Sheath03=2.44#franky_Swing02=2.616#Ace_Firefly=2.73#mihawk_Sheath03=2.91#DOF_Swing03=3</t>
  </si>
  <si>
    <t>凶剑·连环斩</t>
  </si>
  <si>
    <t>凶剑·空间切</t>
  </si>
  <si>
    <t>ult_04=0.26#Cavendish17=0.32#Ace_Fire03=0.645#mihawk_Sheath03=2.05#mihawk_Sheath03=2.22#mihawk_Sheath03=2.376#mihawk_Sheath03=2.544#mihawk_Sheath03=2.712#mihawk_Sheath03=2.9#mihawk_Sheath03=3.06#mihawk_Sheath03=3.22#mihawk_Sheath03=3.4#mihawk_Sheath03=3.57#mihawk_Sheath03=3.738#mihawk_Sheath03=3.9#mihawk_Sheath03=4.06#mihawk_Sheath03=4.22#mihawk_Sheath03=4.39#mihawk_Sheath03=4.568#mihawk_Sheath03=4.737#ultimate_Sign=4.878#Cavendish18=5.05#ktn_grip4=6#moria_ScissorsCut=6#Cavendish19=6.46</t>
  </si>
  <si>
    <t>Particles/cavendish/Cavendish002_body_attack09_C</t>
  </si>
  <si>
    <t>超奥义</t>
  </si>
  <si>
    <t>6811</t>
  </si>
  <si>
    <t xml:space="preserve">moria_Ultramove=0.65#CV_shanks10=1.957#040_spin_bar2=2.736#mihawk_Sheath01=3.177#shealth=3.177#040_ult1=3.177#ultimate_Sign=3.413##mihawk_Sheath03=3.454#smoke_PunchesCloth=4.843#macro_Flying02=5.12#mihawk_EnergySp01=5.2#CV_shanks09=6.156#Mr2_AttackHeavy03=6.747#040_ult2=6.783#katanaswing=6.832#040_ult8=7.787#se_Swordheavy_Hit=7.787 </t>
  </si>
  <si>
    <t>Particles/shanks/shanks002_body_attack09_C</t>
  </si>
  <si>
    <t>-6,0,0</t>
  </si>
  <si>
    <t>黑胡子</t>
  </si>
  <si>
    <t>blackbear_DarkOut03=0#blackbear_DarkIn01=1.81#smoke_SteamFlying03=3.11#edward_PreA01=3.11#luffy_Punch_Giant02=4.13#edward_Aexplosion01=4.2#jinbe_Swing01=5.17#edward_Aexplosion02=5.17#se_Punch_Giant_Hit=5.17</t>
  </si>
  <si>
    <t>Particles/blackbeard003_body/blackbeard003_attack09_C</t>
  </si>
  <si>
    <t>2758&amp;&amp;2759</t>
  </si>
  <si>
    <t>3003511</t>
  </si>
  <si>
    <t>Hero_LingLing_SkiilAttack02_01=0#Hero_LingLing_SkiilAttack02_02=0.35#Hero_LingLing_SkiilAttack02_03=1.09#Hero_LingLing_SkiilAttack02_04=1.4#Hero_LingLing_SkiilAttack02_05=2.12#Hero_LingLing_SkiilAttack02_06=4.7#Hero_LingLing_SkiilAttack02_07=5.8#Hero_LingLing_SkiilAttack02_08=7.8#Hero_LingLing_SkiilAttack02_09=8.33#Hero_LingLing_SkiilAttack02_10=9.25#Hero_LingLing_SkiilAttack02_11=9.27#mom_0063_1=0#mom_0006a_1=6.4</t>
  </si>
  <si>
    <t>Particles/charlotte001/charlotte001_body_attack10_C</t>
  </si>
  <si>
    <t>Particles/charlotte001/charlotte001_body_attack10_light</t>
  </si>
  <si>
    <t>两年后青雉</t>
  </si>
  <si>
    <t>9401</t>
  </si>
  <si>
    <t>KuzanNewCZ_attack_icesword=0.4#KuzanNewCZ_attack_swing1=0.88#KuzanNewCZ_attack_swing1=1.18#KuzanNewCZ_attack_swing2=1.61#slash_general01=0.96#slash_general01=1.26#ice_hit01=1.71</t>
  </si>
  <si>
    <t>冰刺球</t>
  </si>
  <si>
    <t>9402</t>
  </si>
  <si>
    <t>KuzanNewCZ_iceball_cloth=0.32#KuzanNewCZ_iceball_buff=0.66#CV_KuzanNewCZ_iceball=2.91#KuzanNewCZ_iceball_hit1=0.72#KuzanNewCZ_iceball_hit1=0.9#KuzanNewCZ_iceball_hit1=1.16#KuzanNewCZ_iceball_hit1=1.44#KuzanNewCZ_iceball_hit1=1.72#KuzanNewCZ_iceball_hit1=1.97#KuzanNewCZ_iceball_hit1=2.24#KuzanNewCZ_iceball_hit1=2.51#KuzanNewCZ_iceball_hit1=2.77#KuzanNewCZ_iceball_hit2=3.05</t>
  </si>
  <si>
    <t>两棘矛</t>
  </si>
  <si>
    <t>9403</t>
  </si>
  <si>
    <t>KuzanNewCZ_liangjimao_cloth=0.15#KuzanNewCZ_liangjimao_hit=1.36#CV_KuzanNewCZ_liangjimao=0.69#ice_hit01=0.39#ice_hit01=0.57#ice_hit01=0.79#ice_hit01=0.98#ice_hit01=1.6</t>
  </si>
  <si>
    <t>冰霜剑</t>
  </si>
  <si>
    <t>9404</t>
  </si>
  <si>
    <t>KuzanNewCZ_icesword_swing=0.24#KuzanNewCZ_icesword_swing=0.73#KuzanNewCZ_icesword_broken=1.57#CV_KuzanNewCZ_icesword=1.42#slash_general01=0.37#slash_general01=0.87</t>
  </si>
  <si>
    <t>冰刃弹</t>
  </si>
  <si>
    <t>9405</t>
  </si>
  <si>
    <t>KuzanNewCZ_bingrendan_frezze=0.72#KuzanNewCZ_bingrendan_hit1=2.1#KuzanNewCZ_bingrendan_hit1=2.23#KuzanNewCZ_bingrendan_hit1=2.42#KuzanNewCZ_bingrendan_hit2=3.21#CV_KuzanNewCZ_bingrendan=0.72</t>
  </si>
  <si>
    <t>冰河时代密封舱</t>
  </si>
  <si>
    <t>9406</t>
  </si>
  <si>
    <t>KuzanNewCZ_wind=0#KuzanNewCZ_iceage_hand=0.19#KuzanNewCZ_iceage_frozen=1.92#KuzanNewCZ_iceage_hit1=3.69#KuzanNewCZ_iceage_orange=4.45#KuzanNewCZ_iceage_blue=5.38#KuzanNewCZ_iceage_yellow=6.33#KuzanNewCZ_iceage_orange=7.26#KuzanNewCZ_iceage_blue=8.22#KuzanNewCZ_iceage_broken=10.3#KuzanNewCZ_iceage_sword=8.54#CV_KuzanNewCZ_iceage1=0.28#CV_KuzanNewCZ_iceage2=8.5#KuzanNewCZ_iceage_hit1=4.68#KuzanNewCZ_iceage_hit1=5.48#KuzanNewCZ_iceage_hit1=6.55#KuzanNewCZ_iceage_hit1=7.46#KuzanNewCZ_iceage_hit1=8.37</t>
  </si>
  <si>
    <t>Particles/kuzan003/kuzan003_body_attack06_C</t>
  </si>
  <si>
    <t>暴稚嘴</t>
  </si>
  <si>
    <t>9409</t>
  </si>
  <si>
    <t>KuzanNewCZ_wind=0#KuzanNewCZ_bird_foot1=0.46#KuzanNewCZ_bird_foot2=1.02#KuzanNewCZ_bird_snowball=2.76#whooshlarge_slashly03=3.88#KuzanNewCZ_bird_exchange=4.37#KuzanNewCZ_bird_wing=6.35#whooshlarge_general=6.52#KuzanNewCZ_bird_crash=7.83#KuzanNewCZ_bird_hit=9.36#CV_KuzanNewCZ_bird1=1.34#CV_KuzanNewCZ_bird2=7.19</t>
  </si>
  <si>
    <t>Particles/kuzan003/kuzan003_body_attack07_C</t>
  </si>
  <si>
    <t>9410</t>
  </si>
  <si>
    <t>whooshlarge_slashly01=0.27#KuzanNewCZ_iceagenew_xuli=2.33#KuzanNewCZ_iceagenew_cast=4.62#KuzanNewCZ_iceagenew_hill=5.83#KuzanNewCZ_iceagenew_jump=7.86#mihawkCZ_shark_buff=8.22#KuzanNewCZ_iceagenew_sword=9.34#whooshlarge_slashly03=10.73#KuzanNewCZ_iceagenew_hitground=11.79#KuzanNewCZ_iceagenew_explosion=12.73#CV_KuzanNewCZ_iceagenew1=2.92#CV_KuzanNewCZ_iceagenew2=10.86</t>
  </si>
  <si>
    <t>Particles/kuzan003/kuzan003_body_attack08_C</t>
  </si>
  <si>
    <t>0.2,-0.2,0</t>
  </si>
  <si>
    <t>两年后赤犬</t>
  </si>
  <si>
    <t>9501</t>
  </si>
  <si>
    <r>
      <rPr>
        <sz val="11"/>
        <color theme="1"/>
        <rFont val="等线"/>
        <charset val="134"/>
        <scheme val="minor"/>
      </rPr>
      <t>AkainuNewCZ_attack_swing1=0.26#AkainuNewCZ_attack_swing1=0.75#AkainuNewCZ_attack_swing2=1.3#AkainuNewCZ_attack_swing3=1.8#</t>
    </r>
    <r>
      <rPr>
        <sz val="11"/>
        <color rgb="FFFF0000"/>
        <rFont val="等线"/>
        <charset val="134"/>
        <scheme val="minor"/>
      </rPr>
      <t>punch_hit_small01=0.38#punch_hit_small01=0.85#smallfire_hit=1.87#smallfire_hit=2.14</t>
    </r>
  </si>
  <si>
    <t>熔岩热风</t>
  </si>
  <si>
    <t>9502</t>
  </si>
  <si>
    <r>
      <rPr>
        <sz val="11"/>
        <color theme="1"/>
        <rFont val="等线"/>
        <charset val="134"/>
        <scheme val="minor"/>
      </rPr>
      <t>AkainuNewCZ_swing_tongyong=0.26#AkainuNewCZ_wind_hit1=0.38#AkainuNewCZ_wind_hit1=0.58#AkainuNewCZ_wind_hit1=0.84#AkainuNewCZ_wind_storm=0.89#AkainuNewCZ_wind_fire=2.14#AkainuNewCZ_swing_green=2.88#AkainuNewCZ_wind_hit2=3.35#CV_AkainuNewCZ_wind=0.17#</t>
    </r>
    <r>
      <rPr>
        <sz val="11"/>
        <color rgb="FFFF0000"/>
        <rFont val="等线"/>
        <charset val="134"/>
        <scheme val="minor"/>
      </rPr>
      <t>punch_hit_small01=0.39#smallfire_hit=1.47#smallfire_hit=1.77#smallfire_hit=2.09#smallfire_hit=2.42#smallfire_hit=2.73</t>
    </r>
  </si>
  <si>
    <t>熔岩加农炮</t>
  </si>
  <si>
    <t>9503</t>
  </si>
  <si>
    <t>AkainuNewCZ_swing_tongyong=0.35#AkainuNewCZ_swing_tongyong=0.92#AkainuNewCZ_cannon_fire1=0.49#AkainuNewCZ_cannon_fire1=1.06#AkainuNewCZ_cannon_fire2=1.79#AkainuNewCZ_cannon_hit=1.92#CV_AkainuNewCZ_cannon=1.36</t>
  </si>
  <si>
    <t>熔岩爆裂</t>
  </si>
  <si>
    <t>9504</t>
  </si>
  <si>
    <t>AkainuNewCZ_baolie_fireup=0.02#AkainuNewCZ_baolie_ready=0.06#AkainuNewCZ_swing_tongyong=0.58#AkainuNewCZ_baolie_explosion1=0.77#AkainuNewCZ_baolie_explosion1=1.17#AkainuNewCZ_baolie_explosion1=1.58#AkainuNewCZ_baolie_explosion2=0.97#AkainuNewCZ_baolie_explosion2=1.38#AkainuNewCZ_swing_tongyong=2.41#AkainuNewCZ_baolie_burn=2.51#AkainuNewCZ_baolie_yanjiang=2.55#AkainuNewCZ_baolie_yanjiang=2.77#AkainuNewCZ_baolie_yanjiang=2.99#AkainuNewCZ_baolie_liquid=3.23#CV_AkainuNewCZ_baolie=1.61</t>
  </si>
  <si>
    <t>2814&amp;&amp;2815</t>
  </si>
  <si>
    <t>Point001&amp;&amp;Point002</t>
  </si>
  <si>
    <t>熔岩冲击（attack10）</t>
  </si>
  <si>
    <t>9510</t>
  </si>
  <si>
    <t>AkainuNewCZ_swing_green=0.07#AkainuNewCZ_crash_fire=0.61#CV_AkainuNewCZ_crash=0.53</t>
  </si>
  <si>
    <t>2824&amp;&amp;2825</t>
  </si>
  <si>
    <t>Bip001 L Clavicle&amp;&amp;Bip001 R Clavicle</t>
  </si>
  <si>
    <t>9506</t>
  </si>
  <si>
    <t>AkainuNewCZ_punch_burn1=0#AkainuNewCZ_swing_tongyong=2.75#AkainuNewCZ_punch_burn2=2.75#AkainuNewCZ_punch_burn3=3.82#AkainuNewCZ_punch_fireon=4.26#whooshmedium01=5.18#whooshlarge_crash01=5.75#AkainuNewCZ_punch_cast=7.02#punch_hit_giant01=7.14#AkainuNewCZ_punch_explosion=8.62#CV_AkainuNewCZ_punchA=0.16#CV_AkainuNewCZ_punchB=5.14</t>
  </si>
  <si>
    <t>Particles/sakazuki002/sakazuki002_body_attack06_C</t>
  </si>
  <si>
    <t>9507</t>
  </si>
  <si>
    <t>AkainuNewCZ_dog_burn=0#AkainuNewCZ_swing_tongyong=3.97#AkainuNewCZ_dog_fire1=4.13#AkainuNewCZ_dog_fire2=4.73#AkainuNewCZ_dog_hit1=6.33#AkainuNewCZ_dog_hit1=6.78#AkainuNewCZ_dog_hit1=7.35#AkainuNewCZ_dog_hit1=8#AkainuNewCZ_dog_hit1=8.62#AkainuNewCZ_dog_hit2=6.37#AkainuNewCZ_dog_hit2=7.01#AkainuNewCZ_dog_hit2=7.62#AkainuNewCZ_dog_hit2=8.32#AkainuNewCZ_dog_hit2=8.89#AkainuNewCZ_dog_appear=9.45#whooshlarge_slashly03=11.8#AkainuNewCZ_dog_end=12.58#punch_hit_giant01=12.84#CV_AkainuNewCZ_dogA=1.26#CV_AkainuNewCZ_dogB=6.04#AkainuNewCZ_dog1=4.89#AkainuNewCZ_dog2=12.24</t>
  </si>
  <si>
    <t>Particles/sakazuki002/sakazuki002_body_attack07_c</t>
  </si>
  <si>
    <t>2818&amp;&amp;2819</t>
  </si>
  <si>
    <t>炽热凶星（attack09）</t>
  </si>
  <si>
    <t>9509</t>
  </si>
  <si>
    <t>AkainuNewCZ_swing_green=0.76#AkainuNewCZ_hot_burn=0.87#whoosh_lazer=1.75#AkainuNewCZ_hot_xuli=1.81#AkainuNewCZ_hot_star=3.65#AkainuNewCZ_swing_tongyong=4.11#mihawkCZ_wu_focus=5.57#AkainuNewCZ_hot_cast1=6.46#AkainuNewCZ_hot_hit1=6.71#AkainuNewCZ_hot_cast2=8#AkainuNewCZ_hot_hit2=8.54#CV_AkainuNewCZ_hotA=0.21#CV_AkainuNewCZ_hotB=1.58#CV_AkainuNewCZ_hotC=4.13#CV_AkainuNewCZ_hotD=5.73</t>
  </si>
  <si>
    <t>Particles/sakazuki002/sakazuki002_body_attack09_C</t>
  </si>
  <si>
    <t>2821&amp;&amp;2822</t>
  </si>
  <si>
    <t>Bone047&amp;&amp;Point002</t>
  </si>
  <si>
    <t>蕾玖</t>
  </si>
  <si>
    <t>9601</t>
  </si>
  <si>
    <t>Hero_LiJiu_Attack01_01=0.6#Hero_LiJiu_Attack01_02=1.06#Hero_LiJiu_Attack01_03=1.5#Hero_LiJiu_Attack01_04=1.65#Hero_LiJiu_Attack01_05=2.48</t>
  </si>
  <si>
    <t>桃色毒雾</t>
  </si>
  <si>
    <t>9602</t>
  </si>
  <si>
    <t>Hero_LiJiu_SkillAttack04_01=0.16#Hero_LiJiu_SkillAttack04_02=0.65#Hero_LiJiu_SkillAttack04_03=0.82#Hero_LiJiu_SkillAttack04_04=1.51#Hero_LiJiu_SkillAttack04_05=1.79#Hero_LiJiu_SkillAttack04_06=2.2#Hero_LiJiu_SkillAttack04_07=2.93#Hero_LiJiu_SkillAttack04_08=3.25#Hero_LiJiu_Attack01_05=4.1</t>
  </si>
  <si>
    <t>2916&amp;&amp;2916</t>
  </si>
  <si>
    <t>Bip001 Neck&amp;&amp;Bip001 Neck</t>
  </si>
  <si>
    <t>粉红之箭</t>
  </si>
  <si>
    <t>9603</t>
  </si>
  <si>
    <t>Hero_LiJiu_SkillAttack07_01=0.4#Hero_LiJiu_SkillAttack07_02=2.2#Hero_LiJiu_SkillAttack07_03=2.48#Hero_LiJiu_SkillAttack07_04=2.63#Hero_LiJiu_SkillAttack07_05=3.3#Hero_LiJiu_SkillAttack07_06=3.42#Hero_LiJiu_Attack01_05=3.1</t>
  </si>
  <si>
    <t>毒液炸弹</t>
  </si>
  <si>
    <t>9604</t>
  </si>
  <si>
    <t>Hero_LiJiu_SkillAttack01_01=0.26#Hero_LiJiu_SkillAttack01_02=0.65#Hero_LiJiu_SkillAttack01_03=1.03#Hero_LiJiu_SkillAttack01_04=1.32#Hero_LiJiu_SkillAttack01_04=1.52#Hero_LiJiu_SkillAttack01_04=1.84</t>
  </si>
  <si>
    <t xml:space="preserve">致命迷雾
</t>
  </si>
  <si>
    <t>9605</t>
  </si>
  <si>
    <t>Hero_LiJiu_SkillAttack05_01=0.02#Hero_LiJiu_SkillAttack05_02=0.33#Hero_LiJiu_SkillAttack05_03=0.65#Hero_LiJiu_SkillAttack05_04=0.85#Hero_LiJiu_Attack01_05=1.66</t>
  </si>
  <si>
    <t>猛毒冲击</t>
  </si>
  <si>
    <t>9606</t>
  </si>
  <si>
    <t>ivankov_Kiss=0.7#Hero_LiJiu_SkillAttack02_01=1.05#Hero_LiJiu_SkillAttack02_02=0.65#Hero_LiJiu_SkillAttack02_03=1.03#Hero_LiJiu_SkillAttack02_04=1.88#Hero_LiJiu_SkillAttack02_05=2.4#Hero_LiJiu_SkillAttack02_06=2.77#Hero_LiJiu_SkillAttack02_07=4.67#Hero_LiJiu_SkillAttack02_08=4.81#Hero_LiJiu_SkillAttack02_09=5.3#Hero_LiJiu_SkillAttack02_10=5.42#Hero_LiJiu_SkillAttack02_11=5.68#Hero_LiJiu_SkillAttack02_12=6.3#Hero_LiJiu_SkillAttack02_13=6.78#Hero_LiJiu_SkillAttack02_14=7.25#Hero_LiJiu_SkillAttack02_15=8.4</t>
  </si>
  <si>
    <t>Particles/reijiu002/reijiu002_attack06_c</t>
  </si>
  <si>
    <t>桃色暴风</t>
  </si>
  <si>
    <t>9607</t>
  </si>
  <si>
    <t>Hero_LiJiu_SkillAttack03_01=0.2#Hero_LiJiu_SkillAttack03_02=1.98#Hero_LiJiu_SkillAttack03_03=2.4#Hero_LiJiu_SkillAttack03_04=2.95#Hero_LiJiu_SkillAttack03_05=4.5#Hero_LiJiu_SkillAttack03_06=5.4#Hero_LiJiu_SkillAttack03_07=7.1#Hero_LiJiu_SkillAttack03_08=8.4#reiju17=1.28</t>
  </si>
  <si>
    <t>Particles/reijiu002/reijiu002_attack07_c</t>
  </si>
  <si>
    <t xml:space="preserve">粉色毒箭
</t>
  </si>
  <si>
    <t>9608</t>
  </si>
  <si>
    <t>ivankov_Kiss=5.29#ultimate_Sign=0.6#Hero_LiJiu_SkillAttack06_01=1.4#Hero_LiJiu_SkillAttack06_02=1.8#Hero_LiJiu_SkillAttack06_03=2.7#Hero_LiJiu_SkillAttack06_04=3.92#Hero_LiJiu_SkillAttack06_05=5.37#Hero_LiJiu_SkillAttack06_06=5.77#Hero_LiJiu_SkillAttack06_07=6.45#Hero_LiJiu_SkillAttack06_08=6.72#reiju20=2.7</t>
  </si>
  <si>
    <t>Particles/reijiu002/reijiu002_attack08_C</t>
  </si>
  <si>
    <t>Bip001 L Finger1Nub</t>
  </si>
  <si>
    <t>影子解放（超奥义）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</si>
  <si>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310</t>
    </r>
  </si>
  <si>
    <t>CV_moria07=0.185#blackbear_DarkOut04=0.185#blackbear_DarkIn01=3.08#moria_FlyingBats02=3.08#Ace_FireFlying03=3.42#crocodile_CircleWind02=4.62#moria_FlyingBats03=4.57#ultimate_Sign=5.9#edward_Windimpact01=7.55#mto_imp=7.93#luffy_GiantSwingImpact01=7.93#moria_FlyingBats02=7.93</t>
  </si>
  <si>
    <t>Particles/moria/moria_attack12_C</t>
  </si>
  <si>
    <t>新世界鲁兹</t>
  </si>
  <si>
    <t>9701</t>
  </si>
  <si>
    <r>
      <rPr>
        <sz val="11"/>
        <color theme="1"/>
        <rFont val="等线"/>
        <charset val="134"/>
        <scheme val="minor"/>
      </rPr>
      <t>LucciCZ_attack_swing01=0.37#LucciCZ_attack_swing03=0.78#LucciCP0CZ_attack1=0.81#LucciCP0CZ_attack2=1.68#LucciCZ_fingergunban_shoot=1.73#</t>
    </r>
    <r>
      <rPr>
        <sz val="11"/>
        <color rgb="FFFF0000"/>
        <rFont val="等线"/>
        <charset val="134"/>
        <scheme val="minor"/>
      </rPr>
      <t>kick_general01=0.58#kick_general01=0.98#punch_hit_small01=1.8</t>
    </r>
  </si>
  <si>
    <t>9702</t>
  </si>
  <si>
    <r>
      <rPr>
        <sz val="11"/>
        <color theme="1"/>
        <rFont val="等线"/>
        <charset val="134"/>
        <scheme val="minor"/>
      </rPr>
      <t>LucciCZ_attack_swing04=0.28#LucciCP0CZ_stormkick_foot=0.66#LucciCP0CZ_stormkick_jump=1.13#LucciCZ_attack_swing03=1.41#LucciCP0CZ_stormkick_foot=1.64#</t>
    </r>
    <r>
      <rPr>
        <sz val="11"/>
        <color rgb="FFFF0000"/>
        <rFont val="等线"/>
        <charset val="134"/>
        <scheme val="minor"/>
      </rPr>
      <t>kick_general01=0.62#kick_general01=1.57</t>
    </r>
  </si>
  <si>
    <t>指枪</t>
  </si>
  <si>
    <t>9703</t>
  </si>
  <si>
    <t>LucciCZ_fingergun=0.5#LucciCZ_fingergun=0.59#LucciCZ_fingergun=0.69#LucciCZ_fingergun=0.78#LucciCZ_fingergun=0.88#LucciCZ_fingergun=0.97#LucciCZ_fingergun=1.06#LucciCZ_fingergun=1.16#LucciCZ_fingergun=1.25#LucciCZ_fingergun=1.35#LucciCZ_fingergun=1.44#LucciCZ_fingergun=1.53#LucciCZ_fingergun=1.92#LucciCP0CZ_fingergun=1.94#CV_LucciCP0CZ_fingergun=0.38</t>
  </si>
  <si>
    <t>连射指枪</t>
  </si>
  <si>
    <t>9704</t>
  </si>
  <si>
    <r>
      <rPr>
        <sz val="11"/>
        <color theme="1"/>
        <rFont val="等线"/>
        <charset val="134"/>
        <scheme val="minor"/>
      </rPr>
      <t>LucciCP0CZ_fingergunjump_jump=0.21#LucciCP0CZ_fingergunjump_final=2#</t>
    </r>
    <r>
      <rPr>
        <sz val="11"/>
        <color rgb="FFFF0000"/>
        <rFont val="等线"/>
        <charset val="134"/>
        <scheme val="minor"/>
      </rPr>
      <t>LucciCZ_fingergun=0.63#LucciCZ_fingergun=0.74#LucciCZ_fingergun=0.85#LucciCZ_fingergun=0.96#LucciCZ_fingergun=1.08#LucciCZ_fingergun=1.18#LucciCZ_fingergun=1.29#LucciCZ_fingergun=1.4#LucciCZ_fingergun=1.51#LucciCZ_fingergun=2</t>
    </r>
  </si>
  <si>
    <t>兽化体术</t>
  </si>
  <si>
    <t>9705</t>
  </si>
  <si>
    <r>
      <rPr>
        <sz val="11"/>
        <color theme="1"/>
        <rFont val="等线"/>
        <charset val="134"/>
        <scheme val="minor"/>
      </rPr>
      <t>LucciCZ_attack_swing01=0.24#LucciCP0CZ_zhiming_swing1=0.29#LucciCZ_attack_swing03=0.78#LucciCP0CZ_zhiming_swing2=0.84#LucciCZ_attack_swing03=1.6#LucciCP0CZ_zhiming_swing3=1.63#CV_LucciCP0CZ_zhiming=0.05#</t>
    </r>
    <r>
      <rPr>
        <sz val="11"/>
        <color rgb="FFFF0000"/>
        <rFont val="等线"/>
        <charset val="134"/>
        <scheme val="minor"/>
      </rPr>
      <t>punch_hit_small02=0.38#kick_general01=0.96#punch_hit_small01=1.76</t>
    </r>
  </si>
  <si>
    <t>岚脚-凯鸟</t>
  </si>
  <si>
    <t>306301</t>
  </si>
  <si>
    <t>LucciCP0CZ_bird_whoosh=0.14#mihawkCZ_wu_focus=1.08#LucciCZ_fingergunban_jump=1.83#LucciCZ_fingergunban_razor=2.24#LucciCZ_fingergunban_razor=2.57#whooshlarge_slashly01=3.18#LucciCZ_stormkick_cast=3.95#LucciCP0CZ_bird_hit=4.51#CV_LucciCP0CZ_bird=1.13</t>
  </si>
  <si>
    <t>Particles/roblucci006/roblucci006_attack06_C</t>
  </si>
  <si>
    <t>Particles/roblucci006/roblucci006_attack06_light</t>
  </si>
  <si>
    <t>飞指枪-火拔</t>
  </si>
  <si>
    <t>306302</t>
  </si>
  <si>
    <t>LucciCP0CZ_fire_punch=0.67#LucciCP0CZ_fire_catch=1.2#LucciCP0CZ_fire_power=1.65#whoosh_lazer=1.79#LucciCP0CZ_fire_cast=3.55#LucciCP0CZ_fire_fireball=3.86#LucciCP0CZ_fire_explosion=5.05#CV_LucciCP0CZ_fire=1.78</t>
  </si>
  <si>
    <t>Particles/roblucci006/roblucci006_attack07_C</t>
  </si>
  <si>
    <t>2944&amp;&amp;2945</t>
  </si>
  <si>
    <t>Bip001 R Finger1Nub&amp;&amp;Bip001 R Forearm</t>
  </si>
  <si>
    <t>最大轮·六王枪</t>
  </si>
  <si>
    <t>306303</t>
  </si>
  <si>
    <r>
      <rPr>
        <sz val="11"/>
        <color theme="1"/>
        <rFont val="等线"/>
        <charset val="134"/>
        <scheme val="minor"/>
      </rPr>
      <t>mihawkCZ_wu_focus=0.09#LucciCZ_attack_swing03=0.24#LucciCP0CZ_sixgun_hitground1=0.77#whooshsmall_general=1.46#LucciCZ_leopardattack_swing01=2.9#LucciCP0CZ_sixgun_swing=3.01#LucciCP0CZ_sixgun_swing=3.3#LucciCZ_leopardattack_swing01=3.2#whooshmedium03=3.77#LucciCP0CZ_sixgun_fly=5.48#LucciCZ_attack_swing01=5.68#LucciCZ_razor_razorswing=7#LucciCP0CZ_sixgun_hitground2=7.02#whooshlarge_slashly01=7.5#LucciCP0CZ_sixgun_steam=8.49#LucciCZ_leopardsixgun_buff=8.49#LucciCZ_leopardsixgun_hit=9.65#LucciCP0CZ_sixgun_hitground3=9.75#CV_LucciCP0CZ_sixgun1=1.73#CV_LucciCP0CZ_sixgun2=4.36#CV_LucciCP0CZ_sixgun3=8.6#</t>
    </r>
    <r>
      <rPr>
        <sz val="11"/>
        <color rgb="FFFF0000"/>
        <rFont val="等线"/>
        <charset val="134"/>
        <scheme val="minor"/>
      </rPr>
      <t>slash_large=3.1#slash_large=3.43#punch_hit_medium01=4.65#punch_hit_heavyNPC=8.53</t>
    </r>
  </si>
  <si>
    <t>Particles/roblucci006/roblucci006_attack08_C</t>
  </si>
  <si>
    <t>3006504</t>
  </si>
  <si>
    <t>Hero_XinLuZi_SkiilAttack02_01=0#Hero_XinLuZi_SkiilAttack02_02=0.5#Hero_XinLuZi_SkiilAttack02_03=1.1#Hero_XinLuZi_SkiilAttack02_04=2.07#Hero_XinLuZi_SkiilAttack02_05=2.63#Hero_XinLuZi_SkiilAttack02_06=4#Hero_XinLuZi_SkiilAttack02_07=4.84#CV_LucciCP0CZ_show=0.1#CV_LucciCP0CZ_go=2.4#Hero_XinLuZi_SkiilAttack02_08=3.75</t>
  </si>
  <si>
    <t>Particles/roblucci006/roblucci006_attack09_C</t>
  </si>
  <si>
    <t>推进城汉库珂</t>
  </si>
  <si>
    <t>9801</t>
  </si>
  <si>
    <r>
      <rPr>
        <sz val="11"/>
        <color theme="1"/>
        <rFont val="等线"/>
        <charset val="134"/>
        <scheme val="minor"/>
      </rPr>
      <t>HancockNewCZ_attack_swing1=0.3#HancockNewCZ_attack_swing1=0.78#HancockNewCZ_attack_spin=1.14#HancockNewCZ_attack_swing2=1.77#</t>
    </r>
    <r>
      <rPr>
        <sz val="11"/>
        <color rgb="FFFF0000"/>
        <rFont val="等线"/>
        <charset val="134"/>
        <scheme val="minor"/>
      </rPr>
      <t>kick_general01=0.4#kick_general01=0.88#kick_general01=1.87</t>
    </r>
  </si>
  <si>
    <t>魅影踢</t>
  </si>
  <si>
    <t>9802</t>
  </si>
  <si>
    <r>
      <rPr>
        <sz val="11"/>
        <color theme="1"/>
        <rFont val="等线"/>
        <charset val="134"/>
        <scheme val="minor"/>
      </rPr>
      <t>HancockNewCZ_meiying_swing1=0.2#HancockNewCZ_meiying_swing2=0.57#HancockNewCZ_meiying_swing3=1.07#HancockNewCZ_meiying_swing3=1.21#HancockNewCZ_meiying_swing3=1.35#HancockNewCZ_meiying_swing3=1.49#HancockNewCZ_meiying_swing3=1.63#HancockNewCZ_meiying_swing3=1.77#HancockNewCZ_meiying_swing3=1.91#HancockNewCZ_meiying_swing3=2.06#HancockNewCZ_meiying_swing3=2.17#HancockNewCZ_meiying_swing3=2.32#HancockNewCZ_meiying_swing4=2.57#</t>
    </r>
    <r>
      <rPr>
        <sz val="11"/>
        <color rgb="FFFF0000"/>
        <rFont val="等线"/>
        <charset val="134"/>
        <scheme val="minor"/>
      </rPr>
      <t>kick_general01=0.33#kick_general01=0.7#kick_general01=1.11#kick_general01=1.32#kick_general01=1.5#kick_general01=1.71#kick_general01=1.89#kick_general01=2.07#kick_general01=2.22#kick_general01=2.38#kick_general02=2.79</t>
    </r>
  </si>
  <si>
    <t>撩踢</t>
  </si>
  <si>
    <t>9803</t>
  </si>
  <si>
    <r>
      <rPr>
        <sz val="11"/>
        <color theme="1"/>
        <rFont val="等线"/>
        <charset val="134"/>
        <scheme val="minor"/>
      </rPr>
      <t>HancockNewCZ_upkick_jump=0.29#HancockNewCZ_upkick_swing1=1.16#HancockNewCZ_upkick_swing1=1.25#HancockNewCZ_upkick_swing1=1.34#HancockNewCZ_upkick_swing1=1.45#HancockNewCZ_upkick_swing1=1.55#HancockNewCZ_upkick_swing1=1.63#HancockNewCZ_upkick_swing1=1.75#HancockNewCZ_upkick_swing1=1.86#HancockNewCZ_upkick_swing1=1.99#HancockNewCZ_upkick_swing2=2.3#</t>
    </r>
    <r>
      <rPr>
        <sz val="11"/>
        <color rgb="FFFF0000"/>
        <rFont val="等线"/>
        <charset val="134"/>
        <scheme val="minor"/>
      </rPr>
      <t>kick_general01=0.52#kick_general01=1.24#kick_general01=1.5#kick_general01=1.77#kick_general01=2#punch_hit_heavyNPC=2.59</t>
    </r>
  </si>
  <si>
    <t>香吻枪</t>
  </si>
  <si>
    <t>9804</t>
  </si>
  <si>
    <r>
      <rPr>
        <sz val="11"/>
        <color theme="1"/>
        <rFont val="等线"/>
        <charset val="134"/>
        <scheme val="minor"/>
      </rPr>
      <t>HancockNewCZ_kissgun_kiss=0.17#general_A_jumpforward=1.16#HancockNewCZ_kissgun_buff=1.35#HancockNewCZ_kissgun_shoot=1.73#HancockNewCZ_kissgun_shoot=2.12#HancockNewCZ_kissgun_shoot=2.35#HancockNewCZ_kissgun_swing1=2.84#HancockNewCZ_kissgun_swing2=3.32#</t>
    </r>
    <r>
      <rPr>
        <sz val="11"/>
        <color rgb="FFFF0000"/>
        <rFont val="等线"/>
        <charset val="134"/>
        <scheme val="minor"/>
      </rPr>
      <t>punch_hit_small02=1.89#punch_hit_small02=2.3#punch_hit_small02=2.51#</t>
    </r>
    <r>
      <rPr>
        <sz val="11"/>
        <color theme="4" tint="-0.25"/>
        <rFont val="等线"/>
        <charset val="134"/>
        <scheme val="minor"/>
      </rPr>
      <t>CV_HancockNewCZ_kissgun=3.43</t>
    </r>
  </si>
  <si>
    <t>颓靡甜风</t>
  </si>
  <si>
    <t>9805</t>
  </si>
  <si>
    <r>
      <rPr>
        <sz val="11"/>
        <color theme="1"/>
        <rFont val="等线"/>
        <charset val="134"/>
        <scheme val="minor"/>
      </rPr>
      <t>HancockNewCZ_sweetwind_bell=0#HancockNewCZ_sweetwind_cloth=0.99#HancockNewCZ_sweetwind_buff=3.32#whooshlarge_general=3.32#mihawkCZ_wu_focus=6.29#HancockNewCZ_sweetwind_cast1=6.57#HancockNewCZ_sweetwind_cast2=7.38#</t>
    </r>
    <r>
      <rPr>
        <sz val="11"/>
        <color rgb="FFFF0000"/>
        <rFont val="等线"/>
        <charset val="134"/>
        <scheme val="minor"/>
      </rPr>
      <t>punch_hit_small01=7.81#punch_hit_small01=8.11#punch_hit_small01=8.39#punch_hit_small01=8.69#punch_hit_small01=8.96#punch_hit_small01=9.24#punch_hit_small01=9.51#</t>
    </r>
    <r>
      <rPr>
        <sz val="11"/>
        <color theme="4" tint="-0.25"/>
        <rFont val="等线"/>
        <charset val="134"/>
        <scheme val="minor"/>
      </rPr>
      <t>CV_HancockNewCZ_sweetwind1=1.83#CV_HancockNewCZ_sweetwind2=3.69#CV_HancockNewCZ_sweetwind3=6.37#CV_HancockNewCZ_sweetwind4=7.55</t>
    </r>
  </si>
  <si>
    <t>Particles/hancock006/hancock006_body_attack05_C</t>
  </si>
  <si>
    <t>Particles/hancock006/hancock006_body_attack05_Light</t>
  </si>
  <si>
    <t>虏之矢</t>
  </si>
  <si>
    <t>9806</t>
  </si>
  <si>
    <r>
      <rPr>
        <sz val="11"/>
        <color theme="1"/>
        <rFont val="等线"/>
        <charset val="134"/>
        <scheme val="minor"/>
      </rPr>
      <t>HancockNewCZ_bow_kiss=0.81#HancockNewCZ_bow_kissflying=1.06#HancockNewCZ_bow_buff=2.03#whooshlarge_crash01=2.18#HancockNewCZ_bow_loverise=2.76#HancockNewCZ_bow_shoot=4.6#HancockNewCZ_bow_hit=4.92#HancockNewCZ_bow_hit=5.06#HancockNewCZ_bow_hit=5.19#HancockNewCZ_bow_hit=5.36#HancockNewCZ_bow_hit=5.53#HancockNewCZ_bow_hit=5.72#whooshsmall_general=5.99#HancockNewCZ_bow_endbuff=6.21#</t>
    </r>
    <r>
      <rPr>
        <sz val="11"/>
        <color rgb="FFFF0000"/>
        <rFont val="等线"/>
        <charset val="134"/>
        <scheme val="minor"/>
      </rPr>
      <t>slash_general01=4.96#slash_general01=5.26#slash_general01=5.46#slash_general01=5.74#</t>
    </r>
    <r>
      <rPr>
        <sz val="11"/>
        <color theme="4" tint="-0.25"/>
        <rFont val="等线"/>
        <charset val="134"/>
        <scheme val="minor"/>
      </rPr>
      <t>CV_HancockNewCZ_bow=2.14</t>
    </r>
  </si>
  <si>
    <t>Particles/hancock006/hancock006_body_attack06_c</t>
  </si>
  <si>
    <t>芳香脚</t>
  </si>
  <si>
    <t>9807</t>
  </si>
  <si>
    <r>
      <rPr>
        <sz val="11"/>
        <color theme="1"/>
        <rFont val="等线"/>
        <charset val="134"/>
        <scheme val="minor"/>
      </rPr>
      <t>HancockNewCZ_aoyi_start=0.2#HancockNewCZ_beifen2=1.04#HancockNewCZ_beifen2=1.25#HancockNewCZ_beifen2=1.43#HancockNewCZ_beifen2=1.64#HancockNewCZ_beifen2=1.85#HancockNewCZ_beifen2=2.05#HancockNewCZ_beifen2=2.29#HancockNewCZ_aoyi_spin=1.08#HancockNewCZ_aoyi_spinbuff=2.54#whoosh_lazer=3.34#HancockNewCZ_aoyi_spinend=4.52#mihawkCZ_wu_focus=4.68#HancockNewCZ_aoyi_turn=5.13#HancockNewCZ_aoyi_superkick=5.8#</t>
    </r>
    <r>
      <rPr>
        <sz val="11"/>
        <color rgb="FFFF0000"/>
        <rFont val="等线"/>
        <charset val="134"/>
        <scheme val="minor"/>
      </rPr>
      <t>punch_hit_giant01=5.36#kick_general02=1.08#kick_general02=1.31#kick_general02=1.55#kick_general02=1.76#kick_general02=1.96#kick_general02=2.16#kick_general02=2.41#</t>
    </r>
    <r>
      <rPr>
        <sz val="11"/>
        <color theme="4" tint="-0.25"/>
        <rFont val="等线"/>
        <charset val="134"/>
        <scheme val="minor"/>
      </rPr>
      <t>CV_HancockNewCZ_aoyi1=1.01#CV_HancockNewCZ_aoyi2=3.61</t>
    </r>
  </si>
  <si>
    <t>Particles/hancock006/hancock006_body_attack07_C</t>
  </si>
  <si>
    <t>Bip001 Footsteps</t>
  </si>
  <si>
    <t>碎裂 ·芳香脚（超奥义）</t>
  </si>
  <si>
    <t>9809</t>
  </si>
  <si>
    <t>hancocknewFinal_1=0.03#se_Jump02=1.14#smoke_Swing04=1.14#Mr2_Swing01=1.42#Mr2_Swing01=1.5#hancocknewStorm=1.57#hancocknewCV_10=1.57#Mr2_Swing01=1.63#hancocknewFinalWhoosh=1.78#hancocknewFinalWhoosh=1.93#hancocknewFinalWhoosh=2.08#hancocknewFinalWhoosh=2.24#hancocknewFinalWhoosh=2.41#hancocknewFinalWhoosh=2.6#hancocknewFinalWhoosh=2.84#hancocknewBlast=2.96#Robin_Swing02=3.55#sakazuki_Swing02=4.85#moria_Swing02=5.33#hancocknewGlassRise=5.58#luccilanjiaokainiao=7.1#hancocknewFinalrelese=7.21</t>
  </si>
  <si>
    <t>Particles/hancock006/hancock006_body_attack08_C</t>
  </si>
  <si>
    <t>巴尔托洛梅奥</t>
  </si>
  <si>
    <t>227001</t>
  </si>
  <si>
    <r>
      <rPr>
        <sz val="11"/>
        <color theme="1"/>
        <rFont val="等线"/>
        <charset val="134"/>
        <scheme val="minor"/>
      </rPr>
      <t>BltrmoCZ_attack_swing1=0.28#BltrmoCZ_attack_swing2=0.89#BltrmoCZ_attack_swing3=1.72#BltrmoCZ_attack_end=2.55#CV_BltrmoCZ_attack=1.67#</t>
    </r>
    <r>
      <rPr>
        <sz val="11"/>
        <color rgb="FFFF0000"/>
        <rFont val="等线"/>
        <charset val="134"/>
        <scheme val="minor"/>
      </rPr>
      <t>kick_general01=0.32#kick_general01=0.97#punch_hit_small02=1.8</t>
    </r>
  </si>
  <si>
    <t>流动防壁 · 纸飞机</t>
  </si>
  <si>
    <t>227002</t>
  </si>
  <si>
    <t>KaidoCZ_tianhuo_xuli=0.06#BltrmoCZ_plane_jump=0.28#BltrmoCZ_plane_release=1.15#CV_BltrmoCZ_plane=0.98</t>
  </si>
  <si>
    <t>feiji</t>
  </si>
  <si>
    <t>流动防壁 · 网球拍</t>
  </si>
  <si>
    <t>227003</t>
  </si>
  <si>
    <t>BltrmoCZ_pai_cloth=0.08#BltrmoCZ_pai_swing=0.96#CV_BltrmoCZ_pai=0.99</t>
  </si>
  <si>
    <t>防护罩 · 蛮牛突进</t>
  </si>
  <si>
    <t>227004</t>
  </si>
  <si>
    <t>LucciCZ_showdown=0.08#BltrmoCZ_forward_pingzhang=0.6#BltrmoCZ_forward_push=1.31#BltrmoCZ_forward_cast=2.11#punch_hit_medium01=2.14#CV_BltrmoCZ_forward=1.33#</t>
  </si>
  <si>
    <t>护罩球</t>
  </si>
  <si>
    <t>227005</t>
  </si>
  <si>
    <r>
      <rPr>
        <sz val="11"/>
        <color theme="1"/>
        <rFont val="等线"/>
        <charset val="134"/>
        <scheme val="minor"/>
      </rPr>
      <t>BltrmoCZ_ball_1=0.57#BltrmoCZ_ball_2=0.85#CV_BltrmoCZ_ball=0.2#</t>
    </r>
    <r>
      <rPr>
        <sz val="11"/>
        <color rgb="FFFF0000"/>
        <rFont val="等线"/>
        <charset val="134"/>
        <scheme val="minor"/>
      </rPr>
      <t>bubble_hit=1.24#bubble_hit=2.42</t>
    </r>
  </si>
  <si>
    <t>屏障 · 绝路</t>
  </si>
  <si>
    <t>227006</t>
  </si>
  <si>
    <r>
      <rPr>
        <sz val="11"/>
        <color theme="1"/>
        <rFont val="等线"/>
        <charset val="134"/>
        <scheme val="minor"/>
      </rPr>
      <t>BltrmoCZ_bomb_ear1=0.15#BltrmoCZ_bomb_ear2=0.87#BltrmoCZ_bomb_ear3=1.69#BltrmoCZ_bomb_fuse1=2.54#whooshmedium01=3.41#BltrmoCZ_bomb_fuse2=4.34#</t>
    </r>
    <r>
      <rPr>
        <sz val="11"/>
        <color rgb="FFC00000"/>
        <rFont val="等线"/>
        <charset val="134"/>
        <scheme val="minor"/>
      </rPr>
      <t>BltrmoCZ_bomb_throw=4.96#BltrmoCZ_bomb_throw=5.13#BltrmoCZ_bomb_throw=5.31#BltrmoCZ_bomb_throw=5.5#BltrmoCZ_bomb_throw=5.68#BltrmoCZ_bomb_throw=5.86#BltrmoCZ_bomb_throw=6.05#BltrmoCZ_bomb_throw=6.23#BltrmoCZ_bomb_throw=6.41#BltrmoCZ_bomb_throw=6.59#</t>
    </r>
    <r>
      <rPr>
        <sz val="11"/>
        <rFont val="等线"/>
        <charset val="134"/>
        <scheme val="minor"/>
      </rPr>
      <t>BltrmoCZ_cloth_purple=6.88#BltrmoCZ_bomb_end=7.09#BltrmoCZ_cloth_bule=9.46#</t>
    </r>
    <r>
      <rPr>
        <sz val="11"/>
        <color rgb="FFC00000"/>
        <rFont val="等线"/>
        <charset val="134"/>
        <scheme val="minor"/>
      </rPr>
      <t>UsoppnewCZ_bugstar_explosionA=7.59#UsoppnewCZ_bugstar_explosionA=7.84#UsoppnewCZ_bugstar_explosionA=8.07#UsoppnewCZ_bugstar_explosionA=8.36#UsoppnewCZ_explosion=8.41#</t>
    </r>
    <r>
      <rPr>
        <sz val="11"/>
        <rFont val="等线"/>
        <charset val="134"/>
        <scheme val="minor"/>
      </rPr>
      <t>CV_BltrmoCZ_bomb1=3.49#CV_BltrmoCZ_bomb2=5.47#CV_BltrmoCZ_bomb3=7.18</t>
    </r>
  </si>
  <si>
    <t>Particles/bartolomeo001/bartolomeo001_body_attack06_C</t>
  </si>
  <si>
    <t>2965&amp;&amp;2966&amp;&amp;2966</t>
  </si>
  <si>
    <t>Bip001 L Hand&amp;&amp;zhadan&amp;&amp;zhadan001</t>
  </si>
  <si>
    <t>护盾冲击</t>
  </si>
  <si>
    <t>227009</t>
  </si>
  <si>
    <t>BltrmoCZ_pingzhang_whoosh=0.22#BltrmoCZ_pingzhang_cloth1=1.44#BltrmoCZ_cloth_bule=2.4#BltrmoCZ_pingzhang_hand=3.04#BltrmoCZ_cloth_purple=4.05#BltrmoCZ_pingzhang_bottle=4.27#BltrmoCZ_pingzhang_cloth2=6.35#whooshsmall_general=6.38#whooshlarge_fly01=7.76#BltrmoCZ_pingzhang_send=7.79#BltrmoCZ_pingzhang_broken=8.66#BltrmoCZ_pingzhang_end=9.61#CV_BltrmoCZ_pingzhang=4.47#punch_hit_medium01=7.82</t>
  </si>
  <si>
    <t>Particles/bartolomeo001/bartolomeo001_body_attack07_C</t>
  </si>
  <si>
    <t>护罩护罩 · 手枪</t>
  </si>
  <si>
    <t>227008</t>
  </si>
  <si>
    <t>BltrmoCZ_foot1=0.64#BltrmoCZ_foot2=1.17#BltrmoCZ_foot3=1.62#whooshmedium03=2.51#BltrmoCZ_pistol_swing=2.72#bodyrock_hit01=4.09#BltrmoCZ_pistol_buff1=4.59#BltrmoCZ_pistol_buff2=5.33#whooshlarge_slashly01=6.15#bodyrock_hit02=7.58#BltrmoCZ_pistol_cast1=7.58#BltrmoCZ_pistol_cast2=8.1#LuffyCZ_JETrocket_rockhit=8.2#BltrmoCZ_cloth_bule=10.15#BltrmoCZ_pistol_end=10.76#CV_BltrmoCZ_pistol1=2.39#CV_BltrmoCZ_pistol2=4.81#CV_BltrmoCZ_pistol3=7.56#CV_BltrmoCZ_pistol4=10.82</t>
  </si>
  <si>
    <t>Particles/bartolomeo001/bartolomeo001_body_attack08_C</t>
  </si>
  <si>
    <t>0,0,0.5</t>
  </si>
  <si>
    <t>新世界马尔高</t>
  </si>
  <si>
    <t>9901</t>
  </si>
  <si>
    <r>
      <rPr>
        <sz val="11"/>
        <color theme="1"/>
        <rFont val="等线"/>
        <charset val="134"/>
        <scheme val="minor"/>
      </rPr>
      <t>MargoNewCZ_attack_swing1=0.3#MargoNewCZ_attack_swing1=0.7#MargoNewCZ_attack_swing2=1.25#MargoNewCZ_attack_swing3=1.5#MargoNewCZ_attack_fire1=0.34#MargoNewCZ_attack_fire2=0.7#MargoNewCZ_attack_fire3=1.64#</t>
    </r>
    <r>
      <rPr>
        <sz val="11"/>
        <color rgb="FFFF0000"/>
        <rFont val="等线"/>
        <charset val="134"/>
        <scheme val="minor"/>
      </rPr>
      <t>kick_general01=0.44#kick_general01=0.8#kick_general01=1.63</t>
    </r>
  </si>
  <si>
    <t>回旋踢</t>
  </si>
  <si>
    <t>9902</t>
  </si>
  <si>
    <r>
      <rPr>
        <sz val="11"/>
        <color theme="1"/>
        <rFont val="等线"/>
        <charset val="134"/>
        <scheme val="minor"/>
      </rPr>
      <t>MargoNewCZ_spin_swing1=0.21#MargoNewCZ_spin_swing1=0.47#MargoNewCZ_spin_swing2=1#MargoNewCZ_spin_ground=1.99#MargoNewCZ_spin_fire1=0.28#MargoNewCZ_spin_fire2=0.65#MargoNewCZ_spin_fire3=0.99#</t>
    </r>
    <r>
      <rPr>
        <sz val="11"/>
        <color rgb="FFFF0000"/>
        <rFont val="等线"/>
        <charset val="134"/>
        <scheme val="minor"/>
      </rPr>
      <t>kick_general01=0.35#kick_general01=0.62#kick_general01=1.13</t>
    </r>
  </si>
  <si>
    <t>苍炎旋风</t>
  </si>
  <si>
    <t>9903</t>
  </si>
  <si>
    <t>苍炎猛攻</t>
  </si>
  <si>
    <t>9904</t>
  </si>
  <si>
    <r>
      <rPr>
        <sz val="11"/>
        <color theme="1"/>
        <rFont val="等线"/>
        <charset val="134"/>
        <scheme val="minor"/>
      </rPr>
      <t>MargoNewCZ_wing_purple=0.08#MargoNewCZ_firekick_swing=0.88#MargoNewCZ_firekick_swing=0.98#MargoNewCZ_firekick_swing=1.13#MargoNewCZ_firekick_swing=1.26#MargoNewCZ_firekick_swing=1.39#MargoNewCZ_firekick_swing=1.52#MargoNewCZ_firekick_swing=1.64#MargoNewCZ_firekick_fire=0.76#MargoNewCZ_firekick_wingup=2.15#MargoNewCZ_firekick_wingdown=2.97#</t>
    </r>
    <r>
      <rPr>
        <sz val="11"/>
        <color rgb="FFFF0000"/>
        <rFont val="等线"/>
        <charset val="134"/>
        <scheme val="minor"/>
      </rPr>
      <t>kick_general01=0.92#kick_general01=1.05#kick_general01=1.18#kick_general01=1.3#kick_general01=1.43#kick_general01=1.57#kick_general01=1.68#kick_general02=2.31</t>
    </r>
  </si>
  <si>
    <t>再生之炎</t>
  </si>
  <si>
    <t>9905</t>
  </si>
  <si>
    <r>
      <rPr>
        <sz val="11"/>
        <color theme="1"/>
        <rFont val="等线"/>
        <charset val="134"/>
        <scheme val="minor"/>
      </rPr>
      <t>MargoNewCZ_reborn_getdown=0.08#MargoNewCZ_reborn_spin=0.45#MargoNewCZ_reborn_hawk=1.15#MargoNewCZ_reborn_crash=2.36#MargoNewCZ_reborn_impact=2.6#</t>
    </r>
    <r>
      <rPr>
        <sz val="11"/>
        <color rgb="FFFF0000"/>
        <rFont val="等线"/>
        <charset val="134"/>
        <scheme val="minor"/>
      </rPr>
      <t>punch_hit_small01=2.6#punch_hit_small01=2.81</t>
    </r>
  </si>
  <si>
    <t>凤凰猛袭</t>
  </si>
  <si>
    <t>9906</t>
  </si>
  <si>
    <r>
      <rPr>
        <sz val="11"/>
        <color theme="1"/>
        <rFont val="等线"/>
        <charset val="134"/>
        <scheme val="minor"/>
      </rPr>
      <t>mihawkCZ_wu_focus=1.24#MargoNewCZ_phoenix_swing=1.81#punch_hit_medium01=1.99#MargoNewCZ_phoenix_fire=2.07#MargoNewCZ_phoenix_flying=2.56#MargoNewCZ_phoenix_fireswing1=3.32#MargoNewCZ_phoenix_fireswing1=3.69#MargoNewCZ_attack_fire3=3.94#MargoNewCZ_phoenix_fireswing2=4.53#whooshmedium01=4.96#MargoNewCZ_phoenix_kick=6.26#borsalinoCZ_lightkick_shinning=7.06#MargoNewCZ_phoenix_impact=7.75#CV_MargoNewCZ_phoenix1=0.13#CV_MargoNewCZ_phoenix2=5.49#</t>
    </r>
    <r>
      <rPr>
        <sz val="11"/>
        <color rgb="FFFF0000"/>
        <rFont val="等线"/>
        <charset val="134"/>
        <scheme val="minor"/>
      </rPr>
      <t>kick_general01=3.55#kick_general01=3.9#kick_general01=4.63#punch_hit_medium01=6.27#punch_hit_giant01=7.78</t>
    </r>
  </si>
  <si>
    <t>Particles/marco005_body/marco005_body_attack06_C</t>
  </si>
  <si>
    <t>3006&amp;&amp;3006&amp;&amp;3006&amp;&amp;3006&amp;&amp;3006&amp;&amp;3006&amp;&amp;3006&amp;&amp;3006&amp;&amp;3006&amp;&amp;3006</t>
  </si>
  <si>
    <t>Bone023&amp;&amp;Bone025&amp;&amp;Bone057&amp;&amp;Bone024&amp;&amp;Bone056&amp;&amp;Bone031&amp;&amp;Bone030&amp;&amp;Bone029&amp;&amp;Bone059&amp;&amp;Bone058</t>
  </si>
  <si>
    <t>苍炎闪</t>
  </si>
  <si>
    <t>9907</t>
  </si>
  <si>
    <t>whooshlarge_general=0#MargoNewCZ_slash_change=1.42#MargoNewCZ_wing_purple=1.81#whooshlarge_fly01=2.64#MargoNewCZ_slash_crash1=3.02#MargoNewCZ_slash_crash2=3.58#MargoNewCZ_slash_hawk=3.27#punch_hit_giant01=5.56#MargoNewCZ_slash_explosion=5.72#punch_hit_medium01=5.76#MargoNewCZ_slash_fire1=1.24#MargoNewCZ_slash_fire2=3.15#CV_MargoNewCZ_slash1=0.69#CV_MargoNewCZ_slash2=2.55#whooshmedium03=5.1</t>
  </si>
  <si>
    <t>Particles/marco005_body/marco005_body_attack07_C</t>
  </si>
  <si>
    <t>2997&amp;&amp;2998&amp;&amp;2999&amp;&amp;3000&amp;&amp;3001&amp;&amp;3002&amp;&amp;3003&amp;&amp;3004</t>
  </si>
  <si>
    <t>Bip001 L UpperArm&amp;&amp;Bip001 R UpperArm&amp;&amp;Bone024&amp;&amp;Bone025&amp;&amp;Bone026&amp;&amp;Bone029&amp;&amp;Dummy012&amp;&amp;Point008</t>
  </si>
  <si>
    <t>不死鸟·轰炎</t>
  </si>
  <si>
    <t>9908</t>
  </si>
  <si>
    <r>
      <rPr>
        <sz val="11"/>
        <color theme="1"/>
        <rFont val="等线"/>
        <charset val="134"/>
        <scheme val="minor"/>
      </rPr>
      <t>MargoNewCZ_undeadbird_bone=0.28#MargoNewCZ_undeadbird_cloth=1.53#MargoNewCZ_undeadbird_swing1=2.13#MargoNewCZ_undeadbird_swing1=2.39#MargoNewCZ_undeadbird_spin=2.62#MargoNewCZ_undeadbird_swing2=3.14#whooshsmall_general=3.58#MargoNewCZ_undeadbird_change=4.22#whooshmedium03=4.9#MargoNewCZ_undeadbird_exp1=5.92#MargoNewCZ_undeadbird_exp2=6.68#MargoNewCZ_undeadbird_fire1=2.24#MargoNewCZ_undeadbird_fire2=3.25#MargoNewCZ_undeadbird_fire3=4.27#CV_MargoNewCZ_undeadbird1=0.71#CV_MargoNewCZ_undeadbird2=4.96#</t>
    </r>
    <r>
      <rPr>
        <sz val="11"/>
        <color rgb="FFFF0000"/>
        <rFont val="等线"/>
        <charset val="134"/>
        <scheme val="minor"/>
      </rPr>
      <t>kick_general01=2.24#kick_general01=2.49#kick_general01=3.24#bodyrock_hit01=3.35#punch_hit_giant01=5.96</t>
    </r>
  </si>
  <si>
    <t>Particles/marco005_body/marco005_body_attack08_C</t>
  </si>
  <si>
    <t>306409</t>
  </si>
  <si>
    <t>MargoNewCZ_attack2_swing1=0.44#MargoNewCZ_attack2_swing2=1.04#MargoNewCZ_attack2_swing3=1.34#MargoNewCZ_attack2_wing=2.5#MargoNewCZ_attack2_fire1=0.48#MargoNewCZ_attack2_fire2=1.04#MargoNewCZ_attack2_fire3=1.33#kick_general01=0.51#kick_general01=1.18#kick_general01=1.44</t>
  </si>
  <si>
    <t>306410</t>
  </si>
  <si>
    <r>
      <rPr>
        <sz val="11"/>
        <color theme="1"/>
        <rFont val="等线"/>
        <charset val="134"/>
        <scheme val="minor"/>
      </rPr>
      <t>MargoNewCZ_firestorm_wing=0#MargoNewCZ_firestorm_kick=0.34#MargoNewCZ_firestorm_kick=0.44#MargoNewCZ_firestorm_kick=0.55#MargoNewCZ_firestorm_kick=0.64#MargoNewCZ_firestorm_kick=0.73#MargoNewCZ_firestorm_kick=0.84#MargoNewCZ_firestorm_kick=0.93#MargoNewCZ_firestorm_kick=1.02#MargoNewCZ_firestorm_kick=1.13#MargoNewCZ_firestorm_kick=1.24#MargoNewCZ_firestorm_kick=1.33#MargoNewCZ_firestorm_kick=1.44#MargoNewCZ_firestorm_end=1.72#MargoNewCZ_firestorm_fire=0.35#MargoNewCZ_firestorm_fire=0.56#MargoNewCZ_firestorm_fire=0.77#MargoNewCZ_firestorm_fire=0.99#MargoNewCZ_firestorm_fire=1.24#</t>
    </r>
    <r>
      <rPr>
        <sz val="11"/>
        <color rgb="FFFF0000"/>
        <rFont val="等线"/>
        <charset val="134"/>
        <scheme val="minor"/>
      </rPr>
      <t>slap_hit_male=0.39#slap_hit_male=0.59#slap_hit_male=0.78#slap_hit_male=0.98#slap_hit_male=1.18#slap_hit_male=1.38#punch_hit_medium01=1.78</t>
    </r>
  </si>
  <si>
    <t>新世界鹰眼</t>
  </si>
  <si>
    <r>
      <rPr>
        <sz val="11"/>
        <color theme="1"/>
        <rFont val="等线"/>
        <charset val="134"/>
        <scheme val="minor"/>
      </rPr>
      <t>MihawkNewCZ_attack_sword=0.13#MihawkNewCZ_attack_swing1=0.49#MihawkNewCZ_attack_swing2=1.1#</t>
    </r>
    <r>
      <rPr>
        <sz val="11"/>
        <color rgb="FFFF0000"/>
        <rFont val="等线"/>
        <charset val="134"/>
        <scheme val="minor"/>
      </rPr>
      <t>slash_general01=0.62#slash_general01=1.23</t>
    </r>
  </si>
  <si>
    <t>黑刀·初月</t>
  </si>
  <si>
    <t>MihawkNewCZ_chuyue_swing1=0.35#MihawkNewCZ_chuyue_swing1=0.95#MihawkNewCZ_chuyue_energy=1.46#MihawkNewCZ_chuyue_swing2=2.07#MihawkNewCZ_chuyue_wave=2.24#CV_NewMihawkCZ_chuyue=1.06</t>
  </si>
  <si>
    <t>黑刀·三日月</t>
  </si>
  <si>
    <r>
      <rPr>
        <sz val="11"/>
        <color theme="1"/>
        <rFont val="等线"/>
        <charset val="134"/>
        <scheme val="minor"/>
      </rPr>
      <t>MihawkNewCZ_sanriyue_jump=0.14#MihawkNewCZ_sanriyue_energy=0.58#MihawkNewCZ_sanriyue_sword=0.8#</t>
    </r>
    <r>
      <rPr>
        <sz val="11"/>
        <color rgb="FFFF0000"/>
        <rFont val="等线"/>
        <charset val="134"/>
        <scheme val="minor"/>
      </rPr>
      <t>slash_general01=0.32#slash_large=0.99</t>
    </r>
  </si>
  <si>
    <t>黑刀·上弦</t>
  </si>
  <si>
    <r>
      <rPr>
        <sz val="11"/>
        <color theme="1"/>
        <rFont val="等线"/>
        <charset val="134"/>
        <scheme val="minor"/>
      </rPr>
      <t>MihawkNewCZ_shangxian_wave=0.24#MihawkNewCZ_shangxian_swing=1.09#MihawkNewCZ_shangxian_slash=1.32#MihawkNewCZ_shangxian_slash=1.37#MihawkNewCZ_shangxian_slash=1.42#MihawkNewCZ_shangxian_slash=1.48#CV_NewMihawkCZ_shanxian=0.23#</t>
    </r>
    <r>
      <rPr>
        <sz val="11"/>
        <color rgb="FFFF0000"/>
        <rFont val="等线"/>
        <charset val="134"/>
        <scheme val="minor"/>
      </rPr>
      <t>slash_general01=0.42#slash_general01=1.34#slash_general01=1.47#slash_general01=1.58</t>
    </r>
  </si>
  <si>
    <t>黑刀·水无月</t>
  </si>
  <si>
    <r>
      <rPr>
        <sz val="11"/>
        <color theme="1"/>
        <rFont val="等线"/>
        <charset val="134"/>
        <scheme val="minor"/>
      </rPr>
      <t>MihawkNewCZ_shuiwuyue_swing1=0.13#MihawkNewCZ_shuiwuyue_swing1=0.89#MihawkNewCZ_shuiwuyue_swing2=0.49#MihawkNewCZ_shuiwuyue_swing2=1.22#MihawkNewCZ_shuiwuyue_energy=1.71#MihawkNewCZ_shuiwuyue_swing3=2.07#MihawkNewCZ_shuiwuyue_end=2.93#CV_NewMihawkCZ_shuiwuyue=2.25#</t>
    </r>
    <r>
      <rPr>
        <sz val="11"/>
        <color rgb="FFFF0000"/>
        <rFont val="等线"/>
        <charset val="134"/>
        <scheme val="minor"/>
      </rPr>
      <t>slash_general01=0.27#slash_general01=0.64#slash_general01=1.01#slash_general01=1.37#slash_large=2.3</t>
    </r>
  </si>
  <si>
    <t>黑刀·十文字</t>
  </si>
  <si>
    <t>whooshmedium03=0.2#MihawkNewCZ_shiwenzi_daoqi1=1.25#MihawkNewCZ_shiwenzi_daoqi2=1.25#MihawkNewCZ_shiwenzi_rock=3.11#whooshmedium01=3.11#MihawkNewCZ_shiwenzi_swing1=3.65#MihawkNewCZ_shiwenzi_swing2=4.1#MihawkNewCZ_shiwenzi_end=4.86#slash_general01=3.78#slash_large=4.36#slash_large=5.03#CV_NewMihawkCZ_shiwenzi=0.24</t>
  </si>
  <si>
    <t>Particles/mihawk002_body/mihawk002_body_attack06_C</t>
  </si>
  <si>
    <t>黑刀·十六夜</t>
  </si>
  <si>
    <r>
      <rPr>
        <sz val="11"/>
        <color theme="1"/>
        <rFont val="等线"/>
        <charset val="134"/>
        <scheme val="minor"/>
      </rPr>
      <t>MihawkNewCZ_shiliuye_sword=0.49#MihawkNewCZ_shiliuye_ready=1.28#MihawkNewCZ_shiliuye_swordswing=3.08#whooshlarge_crash01=3.14#MihawkNewCZ_shiliuye_swing=4.57#MihawkNewCZ_shiliuye_end=7.31#whooshsmall_general=7.49#CV_NewMihawkCZ_shiliuyue=1.03#</t>
    </r>
    <r>
      <rPr>
        <sz val="11"/>
        <color rgb="FFFF0000"/>
        <rFont val="等线"/>
        <charset val="134"/>
        <scheme val="minor"/>
      </rPr>
      <t>MihawkNewCZ_shiliuye_slash=4.63#MihawkNewCZ_shiliuye_slash=4.71#MihawkNewCZ_shiliuye_slash=4.8#MihawkNewCZ_shiliuye_slash=4.9#MihawkNewCZ_shiliuye_slash=4.99#MihawkNewCZ_shiliuye_slash=5.08#MihawkNewCZ_shiliuye_slash=5.17#MihawkNewCZ_shiliuye_slash=5.27#MihawkNewCZ_shiliuye_slash=5.36#MihawkNewCZ_shiliuye_slash=5.46#MihawkNewCZ_shiliuye_slash=5.56#MihawkNewCZ_shiliuye_slash=5.65#MihawkNewCZ_shiliuye_slash=5.75#MihawkNewCZ_shiliuye_slash=5.84#slash_general01=4.79#slash_general01=5.01#slash_general01=5.17#slash_general01=5.39#slash_general01=5.59#slash_general01=5.8#slash_general01=6.01#slash_large=7.63</t>
    </r>
  </si>
  <si>
    <t>Particles/mihawk002_body/mihawk002_body_attack07_C</t>
  </si>
  <si>
    <t>黑刀·待宵</t>
  </si>
  <si>
    <t>MihawkNewCZ_night_swordon=1.82#MihawkNewCZ_night_swing1=2.69#whooshmedium01=3.55#MihawkNewCZ_night_swing1_1=2.85#mihawkCZ_wu_focus=5.78#MihawkNewCZ_night_swordin=3.75#MihawkNewCZ_night_xuli=5.94#MihawkNewCZ_night_crash=8.34#Superslash_hit=9.92#MihawkNewCZ_night_spin=11.1#MihawkNewCZ_night_end=11.6#CV_NewMihawkCZ_night1=0.65#CV_NewMihawkCZ_night2=4.61#CV_NewMihawkCZ_night3=11.53</t>
  </si>
  <si>
    <t>Particles/mihawk002_body/mihawk002_body_attack08_C</t>
  </si>
  <si>
    <t>3057&amp;&amp;3057&amp;&amp;3057&amp;&amp;3057&amp;&amp;3058&amp;&amp;3057&amp;&amp;3057&amp;&amp;3057&amp;&amp;3057&amp;&amp;3057&amp;&amp;3057&amp;&amp;3057&amp;&amp;3056</t>
  </si>
  <si>
    <t>Bip001 L Foot&amp;&amp;Bip001 L Calf&amp;&amp;Bip001 R Foot&amp;&amp;Bip001 L Calf&amp;&amp;Bip001 Neck&amp;&amp;Bip001 Head&amp;&amp;Bip001 R Hand&amp;&amp;Bip001 R Forearm&amp;&amp;Bip001 R UpperArm&amp;&amp;Bip001 L Hand&amp;&amp;Bip001 L Forearm&amp;&amp;Bip001 L UpperArm&amp;&amp;Dummy001</t>
  </si>
  <si>
    <t>艾斯（超奥义临时数据）</t>
  </si>
  <si>
    <r>
      <rPr>
        <sz val="10.5"/>
        <color rgb="FF111F2C"/>
        <rFont val="宋体"/>
        <charset val="134"/>
      </rPr>
      <t>火拳</t>
    </r>
    <r>
      <rPr>
        <sz val="10.5"/>
        <color rgb="FF111F2C"/>
        <rFont val="Segoe UI"/>
        <charset val="134"/>
      </rPr>
      <t xml:space="preserve"> · </t>
    </r>
    <r>
      <rPr>
        <sz val="10.5"/>
        <color rgb="FF111F2C"/>
        <rFont val="宋体"/>
        <charset val="134"/>
      </rPr>
      <t>怒炎</t>
    </r>
  </si>
  <si>
    <t>AceCZ_angrypunch_show=0.06#AceCZ_angrypunch_hat=0.27#AceCZ_angrypunch_fireon=2.89#AceCZ_angrypunch_burn1=4.47#AceCZ_angrypunch_footred=5.17#AceCZ_angrypunch_footorange=5.94#AceCZ_angrypunch_footblue=6.71#AceCZ_angrypunch_jump=6.93#akainuCZ_attack_punchwhoosh01=6.93#whooshlarge_slashly01=7.11#AceCZ_angrypunch_burn2=7.4#AceCZ_angrypunch_cast=8.54#AceCZ_angrypunch_hit1=9.23#mihawkCZ_wu_focus=10.63#AceCZ_angrypunch_ground=10.93#borsalinoCZ_lightattack_general=12.95#AceCZ_angrypunch_hit2=13.03#CV_AceCZ_angrypunch1=1.2#CV_AceCZ_angrypunch4=4.2#CV_AceCZ_angrypunch3=6.19#CV_AceCZ_angrypunch2=7.93</t>
  </si>
  <si>
    <t>Particles/ace001_body/ace001_body_attack12_C</t>
  </si>
  <si>
    <t>3548&amp;&amp;3549</t>
  </si>
  <si>
    <t>Bip001 R Finger1&amp;&amp;Bip001 R Hand</t>
  </si>
  <si>
    <t>艾尼路（超奥义临时数据）</t>
  </si>
  <si>
    <t>神雷</t>
  </si>
  <si>
    <t>沙·鳄鱼（超奥义临时数据）</t>
  </si>
  <si>
    <t>重沙暴·斩</t>
  </si>
  <si>
    <t>CrocodileAwake_Attack09_01=0.039#CrocodileAwake_Attack09_02=1.165#CrocodileAwake_Attack09_03=1.332#CrocodileAwake_Attack09_04=1.978#CrocodileAwake_Attack09_05=2.705#CrocodileAwake_Attack09_06=3.153#CrocodileAwake_Attack09_07=3.763#CrocodileAwake_Attack09_08=5.119#CrocodileAwake_Attack09_09=6.040#CrocodileAwake_Attack09_10=6.659#CrocodileAwake_Attack09_11=7.705#CrocodileAwake_Attack09_12=8.583#CV_CrocodileAwake_Attack09_01=0.464#CV_CrocodileAwake_Attack09_02=2.068</t>
  </si>
  <si>
    <t>Particles/crocodile/crocodile_attack09_c</t>
  </si>
  <si>
    <t>3658&amp;&amp;3659&amp;&amp;3660</t>
  </si>
  <si>
    <t>Bip001 R Forearm&amp;&amp;Bip001 R Hand&amp;&amp;Bip001 R Toe0Nub</t>
  </si>
  <si>
    <r>
      <rPr>
        <sz val="11"/>
        <color theme="1"/>
        <rFont val="等线"/>
        <charset val="134"/>
        <scheme val="minor"/>
      </rPr>
      <t>CavedishCZ_attack1_swing1=0.15#CavedishCZ_attack1_swing1=0.48#CavedishCZ_attack1_swing2=0.97#CV_CavedishCZ_attack=1#</t>
    </r>
    <r>
      <rPr>
        <sz val="11"/>
        <color rgb="FFFF0000"/>
        <rFont val="等线"/>
        <charset val="134"/>
        <scheme val="minor"/>
      </rPr>
      <t>slash_general01=0.26#slash_general01=0.59#slash_general01=1.07</t>
    </r>
  </si>
  <si>
    <r>
      <rPr>
        <sz val="11"/>
        <color theme="1"/>
        <rFont val="等线"/>
        <charset val="134"/>
        <scheme val="minor"/>
      </rPr>
      <t>CavedishCZ_swinggreen=0.13#CavedishCZ_swinggreen=0.75#CavedishCZ_swinggreen=0.97#KikuCZ_liaoluan_buff=1.43#CavedishCZ_swingyellow=1.69#CV_CavedishCZ_tianehu=1.65#</t>
    </r>
    <r>
      <rPr>
        <sz val="11"/>
        <color rgb="FFFF0000"/>
        <rFont val="等线"/>
        <charset val="134"/>
        <scheme val="minor"/>
      </rPr>
      <t>slash_general01=0.24#slash_general01=0.81#slash_general01=1.06#slash_general01=1.28#slash_large=1.74</t>
    </r>
  </si>
  <si>
    <r>
      <rPr>
        <sz val="11"/>
        <color theme="1"/>
        <rFont val="等线"/>
        <charset val="134"/>
        <scheme val="minor"/>
      </rPr>
      <t>CavedishCZ_swingblue=0.22#CavedishCZ_swingblue=0.55#CavedishCZ_swingyellow=0.86#CV_CavedishCZ_yuanzhuo=0.85#</t>
    </r>
    <r>
      <rPr>
        <sz val="11"/>
        <color rgb="FFFF0000"/>
        <rFont val="等线"/>
        <charset val="134"/>
        <scheme val="minor"/>
      </rPr>
      <t>slash_general01=0.28#slash_general01=0.61#slash_general01=0.93#bodyrock_hit01=1.01</t>
    </r>
  </si>
  <si>
    <t>CavedishCZ_shit_cloth=0.23#CavedishCZ_shit_smell=0.91#CavedishCZ_shit_throw=2.93#whooshlarge_slashly01=3.47#whooshmedium02=4.19#whoosh_lazer=4.38#mihawkCZ_wu_focus=4.81#CavedishCZ_shit_crash=5.68#slash_large=5.88#CavedishCZ_shit_swing=7.51#CavedishCZ_shit_swing=7.89#CavedishCZ_shit_end=8.34#CV_CavedishCZ_shit1=3.09#CV_CavedishCZ_shit2=8.25</t>
  </si>
  <si>
    <t>Particles/cavendish_SSR/cavendish_SSR_attack04_C</t>
  </si>
  <si>
    <r>
      <rPr>
        <sz val="11"/>
        <color theme="1"/>
        <rFont val="等线"/>
        <charset val="134"/>
        <scheme val="minor"/>
      </rPr>
      <t>CavedishCZ_rommel_sworddrop=1.69#CavedishCZ_rommel_sleeping=2.03#CavedishCZ_rommel_disappear=2.7#CavedishCZ_rommel_cloth=5.36#whooshsmall_general=5.37#CV_CavedishCZ_rommel=5.42#</t>
    </r>
    <r>
      <rPr>
        <sz val="11"/>
        <color rgb="FFC00000"/>
        <rFont val="等线"/>
        <charset val="134"/>
        <scheme val="minor"/>
      </rPr>
      <t>CavedishCZ_rommel_slash=3.8#CavedishCZ_rommel_slash=3.9#CavedishCZ_rommel_slash=4#CavedishCZ_rommel_slash=4.1#CavedishCZ_rommel_slash=4.2#CavedishCZ_rommel_slash=4.3#CavedishCZ_rommel_slash=4.4#CavedishCZ_rommel_slash=4.5#CavedishCZ_rommel_slash=4.6#CavedishCZ_rommel_slash=4.7#CavedishCZ_rommel_slash=4.8#CavedishCZ_rommel_slash=4.9#CavedishCZ_rommel_slash=5#CavedishCZ_rommel_slash=5.1#CavedishCZ_rommel_slash=5.2#CavedishCZ_rommel_slash=5.3#</t>
    </r>
    <r>
      <rPr>
        <sz val="11"/>
        <color theme="9" tint="-0.5"/>
        <rFont val="等线"/>
        <charset val="134"/>
        <scheme val="minor"/>
      </rPr>
      <t>slash_general01=3.87#slash_general01=4.03#slash_general01=4.17#slash_general01=4.32#slash_general01=4.48#slash_general01=4.64#slash_general01=4.79#slash_general01=4.94#slash_general01=5.1#slash_large=5.45</t>
    </r>
  </si>
  <si>
    <t>Particles/cavendish_SSR/cavendish_SSR_attack05_C</t>
  </si>
  <si>
    <t>3004906</t>
  </si>
  <si>
    <r>
      <rPr>
        <sz val="11"/>
        <color theme="1"/>
        <rFont val="等线"/>
        <charset val="134"/>
        <scheme val="minor"/>
      </rPr>
      <t>CavedishCZ_attack2_swing1=0.16#CavedishCZ_attack2_swing1=0.52#CavedishCZ_attack2_swing2=1.14#</t>
    </r>
    <r>
      <rPr>
        <sz val="11"/>
        <color rgb="FFFF0000"/>
        <rFont val="等线"/>
        <charset val="134"/>
        <scheme val="minor"/>
      </rPr>
      <t>slash_general01=0.27#slash_general01=0.62#slash_general01=1.25#slash_general01=1.35</t>
    </r>
  </si>
  <si>
    <t>3004907</t>
  </si>
  <si>
    <r>
      <rPr>
        <sz val="11"/>
        <color theme="1"/>
        <rFont val="等线"/>
        <charset val="134"/>
        <scheme val="minor"/>
      </rPr>
      <t>CavedishCZ_wuying_slash=0.22#CavedishCZ_wuying_slash=0.68#CavedishCZ_wuying_slash=1.1#CavedishCZ_wuying_slash=1.58#CavedishCZ_wuying_slash=2.02#CavedishCZ_wuying_slash=2.63#mihawkCZ_wu_slash01=2.77#mihawkCZ_wu_slash02=3.33#</t>
    </r>
    <r>
      <rPr>
        <sz val="11"/>
        <color rgb="FFFF0000"/>
        <rFont val="等线"/>
        <charset val="134"/>
        <scheme val="minor"/>
      </rPr>
      <t>slash_large=0.29#slash_large=0.74#slash_large=1.19#slash_large=1.63#slash_large=2.09#slash_large=2.69#slash_large=3.3</t>
    </r>
  </si>
  <si>
    <t>3004908</t>
  </si>
  <si>
    <t>CavedishCZ_xiongjian_swing1=0.17#CavedishCZ_xiongjian_swing1=0.64#mihawkCZ_wu_slash02=0.2#mihawkCZ_wu_slash02=0.66#CavedishCZ_xiongjian_swing2=0.28#CavedishCZ_xiongjian_swing2=0.39#CavedishCZ_xiongjian_swing2=0.74#CavedishCZ_xiongjian_swing2=0.85#CavedishCZ_xiongjian_swing2=0.96</t>
  </si>
  <si>
    <t>3004909</t>
  </si>
  <si>
    <r>
      <rPr>
        <sz val="11"/>
        <color theme="1"/>
        <rFont val="等线"/>
        <charset val="134"/>
        <scheme val="minor"/>
      </rPr>
      <t>CavedishCZ_superaoyi_whooshstart1=0.03#CavedishCZ_superaoyi_whooshstart2=0.66#mihawkCZ_wu_focus=1.53#</t>
    </r>
    <r>
      <rPr>
        <sz val="11"/>
        <color theme="9" tint="-0.5"/>
        <rFont val="等线"/>
        <charset val="134"/>
        <scheme val="minor"/>
      </rPr>
      <t>CavedishCZ_superaoyi_slashglass=2.03#CavedishCZ_superaoyi_slashglass=2.21#CavedishCZ_superaoyi_slashglass=2.38#CavedishCZ_superaoyi_slashglass=2.59#CavedishCZ_superaoyi_slashglass=2.77#CavedishCZ_superaoyi_slashglass=2.96#CavedishCZ_superaoyi_slashglass=3.15#CavedishCZ_superaoyi_slashglass=3.32#CavedishCZ_superaoyi_slashglass=3.52#CavedishCZ_superaoyi_slashglass=3.7#CavedishCZ_superaoyi_slashglass=3.89#CavedishCZ_superaoyi_slashglass=4.09#CavedishCZ_superaoyi_slashglass=4.27#CavedishCZ_superaoyi_slashglass=4.47#CavedishCZ_superaoyi_slashglass=4.65#</t>
    </r>
    <r>
      <rPr>
        <sz val="11"/>
        <rFont val="等线"/>
        <charset val="134"/>
        <scheme val="minor"/>
      </rPr>
      <t>CavedishCZ_superaoyi_glass1=2.26#CavedishCZ_superaoyi_glass2=3.61#whooshlarge_nervous02=4.93#CavedishCZ_superaoyi_glass3=5.81#CavedishCZ_superaoyi_end=7.05#CV_CavedishCZ_aoyi1=0.06#CV_CavedishCZ_aoyi2=5.59#</t>
    </r>
    <r>
      <rPr>
        <sz val="11"/>
        <color rgb="FFFF0000"/>
        <rFont val="等线"/>
        <charset val="134"/>
        <scheme val="minor"/>
      </rPr>
      <t>slash_general01=2.26#slash_general01=2.53#slash_general01=2.78#slash_general01=3.06#slash_general01=3.33#slash_general01=3.92#slash_general01=4.13#slash_general01=4.4#slash_general01=4.68#slash_large=6.1#slash_large=6.71#Superslash_hit=7.27</t>
    </r>
  </si>
  <si>
    <t>Particles/cavendish_SSR/cavendish_SSR_attack09_C</t>
  </si>
  <si>
    <t>砂糖</t>
  </si>
  <si>
    <r>
      <rPr>
        <sz val="11"/>
        <color theme="1"/>
        <rFont val="等线"/>
        <charset val="134"/>
        <scheme val="minor"/>
      </rPr>
      <t>SugerCZ_hand_yellow=0.42#SugerCZ_attack_toy=0.63#SugerCZ_attack_toyswing1=1.21#SugerCZ_attack_toyswing1=1.38#SugerCZ_attack_toyjump=1.91#SugerCZ_attack_toyswing1=2.39#SugerCZ_attack_toyrun=2.88#</t>
    </r>
    <r>
      <rPr>
        <sz val="11"/>
        <color rgb="FFFF0000"/>
        <rFont val="等线"/>
        <charset val="134"/>
        <scheme val="minor"/>
      </rPr>
      <t>slash_general01=1.31#slash_general01=1.44#slash_general01=2.02#slash_general01=2.51</t>
    </r>
  </si>
  <si>
    <t>小熊士兵</t>
  </si>
  <si>
    <t>10102</t>
  </si>
  <si>
    <r>
      <rPr>
        <sz val="11"/>
        <color theme="1"/>
        <rFont val="等线"/>
        <charset val="134"/>
        <scheme val="minor"/>
      </rPr>
      <t>SugerCZ_hand_yellow=0.24#SugerCZ_bear_appear1=0.49#SugerCZ_bear_appear2=0.73#SugerCZ_bear_swing1=1.13#SugerCZ_bear_swing2=1.81#SugerCZ_bear_run=2.57#CV_SugerCZ_bear=0.3#</t>
    </r>
    <r>
      <rPr>
        <sz val="11"/>
        <color rgb="FFFF0000"/>
        <rFont val="等线"/>
        <charset val="134"/>
        <scheme val="minor"/>
      </rPr>
      <t>slash_general01=1.23#slash_general01=1.34#slash_general01=1.93</t>
    </r>
  </si>
  <si>
    <t>凶恶玩偶</t>
  </si>
  <si>
    <t>10103</t>
  </si>
  <si>
    <t>SugerCZ_xionge_call=0.68#bodyrock_hit02=0.99#SugerCZ_xionge_hit=0.99</t>
  </si>
  <si>
    <t>玩偶冲锋</t>
  </si>
  <si>
    <t>10104</t>
  </si>
  <si>
    <r>
      <rPr>
        <sz val="11"/>
        <color theme="1"/>
        <rFont val="等线"/>
        <charset val="134"/>
        <scheme val="minor"/>
      </rPr>
      <t>SugerCZ_crash_call=0.03#SugerCZ_hand_yellow=0.34#SugerCZ_crash_run1=1.49#SugerCZ_crash_run1=2#SugerCZ_crash_run1=2.5#SugerCZ_crash_run1=3.01#SugerCZ_crash_run1=3.51#SugerCZ_crash_run2=1.47#SugerCZ_crash_run2=2.84#CV_SugerCZ_crash1=0.11#CV_SugerCZ_crash2=1.94#</t>
    </r>
    <r>
      <rPr>
        <sz val="11"/>
        <color rgb="FFFF0000"/>
        <rFont val="等线"/>
        <charset val="134"/>
        <scheme val="minor"/>
      </rPr>
      <t>SugerCZ_crash_run3=1.45#SugerCZ_crash_run3=1.76#SugerCZ_crash_run3=2.12#SugerCZ_crash_run3=2.43#SugerCZ_crash_run3=2.75#SugerCZ_crash_run3=3.06#SugerCZ_crash_run3=3.42#SugerCZ_crash_run3=3.73</t>
    </r>
  </si>
  <si>
    <t>恢复指令</t>
  </si>
  <si>
    <t>10105</t>
  </si>
  <si>
    <t>SugerCZ_call_buff=0.34#SugerCZ_call_heal=3.6</t>
  </si>
  <si>
    <t>巨兵冲锋</t>
  </si>
  <si>
    <t>10106</t>
  </si>
  <si>
    <t>Peronasnew_though_whoosh2=1#mihawkCZ_wu_focus=1.61#bodyrock_hit02=2.04#bodyrock_hit02=2.45#SugerCZ_giant_spring1=3.51#SugerCZ_giant_spring2=5.35#SugerCZ_giant_stone1=5.52#SugerCZ_giant_stone2=5.92#SugerCZ_giant_stone3=6.46#SugerCZ_giant_jump=6.96#bodyrock_hit02=7.02#whooshsmall_general=7.21#SugerCZ_giant_fall=7.83#SugerCZ_giant_explosion=10.63#CV_SugerCZ_giant1=0.24#CV_SugerCZ_giant2=3.06</t>
  </si>
  <si>
    <t>Particles/sugar001_SSR/sugar003_body_attack06_C</t>
  </si>
  <si>
    <t>童趣拍击</t>
  </si>
  <si>
    <t>10107</t>
  </si>
  <si>
    <t>SugerCZ_children_footL1=1.13#SugerCZ_children_footgreen=2.02#SugerCZ_children_footL1=2.93#SugerCZ_children_footL2=3.8#SugerCZ_children_catch=1.37#SugerCZ_children_catch=3.13#SugerCZ_children_eat=2.11#SugerCZ_children_eat=4.16#SugerCZ_children_sallow=4.62#SugerCZ_children_throw=5.85#whooshmedium01=6.37#kumaCZ_healing_swing01=8.01#slap_hit01=8.03#SugerCZ_children_hit=8.15#bodyrock_hit01=8.65#CV_SugerCZ_children=6.91</t>
  </si>
  <si>
    <t>Particles/sugar001_SSR/sugar003_body_attack07_C</t>
  </si>
  <si>
    <t>Bone001</t>
  </si>
  <si>
    <t>Particles/sugar001_SSR/Sugar003_body_attack07_DefaultDirLight</t>
  </si>
  <si>
    <t>玩偶行军</t>
  </si>
  <si>
    <t>10108</t>
  </si>
  <si>
    <t>mihawkCZ_wu_focus=0.85#SugerCZ_ult_toyappear=1.07#SugerCZ_ult_turn=2.41#SugerCZ_ult_slap=2.69#SugerCZ_ult_jump=3.05#whooshlarge_crash01=3.13#Superslash_hit=5.47#SugerCZ_ult_crash=5.48#slash_general01=5.85#slash_general01=5.97#slash_general01=6.09#CV_SugerCZ_ult=0.32</t>
  </si>
  <si>
    <t>Particles/sugar001_SSR/sugar003_body_attack08_C</t>
  </si>
  <si>
    <t>0.5,0,0</t>
  </si>
  <si>
    <t>光月御田</t>
  </si>
  <si>
    <t>10301</t>
  </si>
  <si>
    <r>
      <rPr>
        <sz val="11"/>
        <color theme="1"/>
        <rFont val="等线"/>
        <charset val="134"/>
        <scheme val="minor"/>
      </rPr>
      <t>OdenCZ_attack_swing1=0.23#OdenCZ_attack_swing1=0.42#OdenCZ_attack_swing2=1.37#OdenCZ_swordin1=2.4#</t>
    </r>
    <r>
      <rPr>
        <sz val="11"/>
        <color rgb="FFFF0000"/>
        <rFont val="等线"/>
        <charset val="134"/>
        <scheme val="minor"/>
      </rPr>
      <t>slash_general01=0.32#slash_general01=1.5#slash_general01=0.52</t>
    </r>
  </si>
  <si>
    <t>日轮斩</t>
  </si>
  <si>
    <t>10302</t>
  </si>
  <si>
    <r>
      <rPr>
        <sz val="11"/>
        <color theme="1"/>
        <rFont val="等线"/>
        <charset val="134"/>
        <scheme val="minor"/>
      </rPr>
      <t>OdenCZ_rilun_swing1=0.37#OdenCZ_rilun_swing2=1.04#OdenCZ_rilun_jump=1.63#general_B_jumpforward=1.65#OdenCZ_rilun_sword=2.21#rockfall_general01=2.38#OdenCZ_swordin2=3.43#</t>
    </r>
    <r>
      <rPr>
        <sz val="11"/>
        <color rgb="FFFF0000"/>
        <rFont val="等线"/>
        <charset val="134"/>
        <scheme val="minor"/>
      </rPr>
      <t>slash_general01=0.45#slash_general01=0.67#slash_general01=1.12#slash_general01=1.4#slash_general01=2.35</t>
    </r>
  </si>
  <si>
    <t>月光斩</t>
  </si>
  <si>
    <t>10303</t>
  </si>
  <si>
    <r>
      <rPr>
        <sz val="11"/>
        <color theme="1"/>
        <rFont val="等线"/>
        <charset val="134"/>
        <scheme val="minor"/>
      </rPr>
      <t>OdenCZ_moon_ready=0.02#OdenCZ_moon_swing=0.54#OdenCZ_moon_swing=0.8#OdenCZ_moon_swing=0.99#OdenCZ_moon_swing=1.2#OdenCZ_moon_swing=1.32#OdenCZ_moon_swing=1.45#OdenCZ_moon_swing=1.57#OdenCZ_moon_swing=1.66#OdenCZ_moon_wave1=2.2#OdenCZ_moon_wave2=2.26#CVOdenCZ_ka=2.3#</t>
    </r>
    <r>
      <rPr>
        <sz val="11"/>
        <color rgb="FFFF0000"/>
        <rFont val="等线"/>
        <charset val="134"/>
        <scheme val="minor"/>
      </rPr>
      <t>slash_general01=0.59#slash_general01=0.85#slash_general01=1.04#slash_general01=1.21#slash_general01=1.37#slash_general01=1.54#slash_general01=1.67#slash_general01=1.77#slash_general01=2.25</t>
    </r>
  </si>
  <si>
    <t>断空斩</t>
  </si>
  <si>
    <t>10304</t>
  </si>
  <si>
    <r>
      <rPr>
        <sz val="11"/>
        <color theme="0"/>
        <rFont val="等线"/>
        <charset val="134"/>
        <scheme val="minor"/>
      </rPr>
      <t>OdenCZ_duankong_swing1=0.51#OdenCZ_duankong_swing1=0.64#OdenCZ_duankong_swing1=0.76#OdenCZ_duankong_swing1=0.86#OdenCZ_duankong_swing1=0.98#OdenCZ_duankong_swing1=1.09#OdenCZ_duankong_swing1=1.182#OdenCZ_duankong_swing1=1.29#OdenCZ_duankong_swing1=1.39#OdenCZ_duankong_swing1=1.47#OdenCZ_duankong_swing1=1.56#OdenCZ_duankong_swing1=1.67#OdenCZ_duankong_swing1=1.75#OdenCZ_duankong_swing1=1.85#OdenCZ_duankong_swing1=1.95#</t>
    </r>
    <r>
      <rPr>
        <sz val="11"/>
        <rFont val="等线"/>
        <charset val="134"/>
        <scheme val="minor"/>
      </rPr>
      <t>OdenCZ_duankong_xuli=2.17#OdenCZ_duankong_2=2.51#OdenCZ_swordin1=3.62#</t>
    </r>
    <r>
      <rPr>
        <sz val="11"/>
        <color rgb="FFFF0000"/>
        <rFont val="等线"/>
        <charset val="134"/>
        <scheme val="minor"/>
      </rPr>
      <t>slash_general01=0.6#slash_general01=0.88#slash_general01=1.14#slash_general01=1.35#slash_general01=1.48#slash_general01=1.6#slash_general01=1.7#slash_general01=1.82#slash_general01=1.92#slash_general01=2.02#slash_general01=2.62</t>
    </r>
  </si>
  <si>
    <t>仙境草那绘</t>
  </si>
  <si>
    <t>10305</t>
  </si>
  <si>
    <r>
      <rPr>
        <sz val="11"/>
        <color theme="1"/>
        <rFont val="等线"/>
        <charset val="134"/>
        <scheme val="minor"/>
      </rPr>
      <t>OdenCZ_cao_swing=0.34#OdenCZ_cao_swing=0.57#OdenCZ_cao_sword=1.03#bodyrock_hit01=1.18#OdenCZ_cao_ground=1.66#OdenCZ_swordin3=2.39#</t>
    </r>
    <r>
      <rPr>
        <sz val="11"/>
        <color rgb="FFFF0000"/>
        <rFont val="等线"/>
        <charset val="134"/>
        <scheme val="minor"/>
      </rPr>
      <t>slash_general01=0.41#slash_general01=0.66#slash_general01=1.12</t>
    </r>
  </si>
  <si>
    <t>枪·拟鬼</t>
  </si>
  <si>
    <t>10306</t>
  </si>
  <si>
    <r>
      <rPr>
        <sz val="11"/>
        <color rgb="FFFF0000"/>
        <rFont val="等线"/>
        <charset val="134"/>
        <scheme val="minor"/>
      </rPr>
      <t>mujixie=0#mujixie=0.61#mujixie=1.23#mujixie=1.82#mujixie=2.42#mujixie=3.04#mujixie=3.67#</t>
    </r>
    <r>
      <rPr>
        <sz val="11"/>
        <rFont val="等线"/>
        <charset val="134"/>
        <scheme val="minor"/>
      </rPr>
      <t>OdenCZ_gun_buff1=0.2#OdenCZ_gun_darkswing=2.63#OdenCZ_gun_swing=3.83#OdenCZ_gun_spark=4.47#whooshlarge_general=4.47#OdenCZ_gun_jump=6.26#OdenCZ_gun_flying=6.8#OdenCZ_gun_slash=8.47#OdenCZ_gun_blood=9.29#CVOdenCZ_ghost1=1.65#CVOdenCZ_ghost2=7.26</t>
    </r>
  </si>
  <si>
    <t>Particles/kozuki/kozuki001_body_attack06_C</t>
  </si>
  <si>
    <t>桃源十拳</t>
  </si>
  <si>
    <t>10309</t>
  </si>
  <si>
    <r>
      <rPr>
        <sz val="11"/>
        <color theme="1"/>
        <rFont val="等线"/>
        <charset val="134"/>
        <scheme val="minor"/>
      </rPr>
      <t>OdenCZ_shiquan_bird=0#OdenCZ_shiquan_guzheng1=0#OdenCZ_shiquan_guzheng2=2.5#OdenCZ_shiquan_swordout1=2.69#OdenCZ_shiquan_getup=3.33#OdenCZ_shiquan_swordout2=4.14#OdenCZ_shiquan_catch=5.4#OdenCZ_shiquan_buff1=6.26#OdenCZ_shiquan_buff2=7.2#whooshlarge_slashly01=8.38#OdenCZ_shiquan_swing=9.81#OdenCZ_shiquan_rock=10.85#CVOdenCZ_shiquan=8.97#</t>
    </r>
    <r>
      <rPr>
        <sz val="11"/>
        <color rgb="FFFF0000"/>
        <rFont val="等线"/>
        <charset val="134"/>
        <scheme val="minor"/>
      </rPr>
      <t>CrocodileCZ_sand_hit=10.16#CrocodileCZ_sand_hit=11.33#CrocodileCZ_sand_hit=11.69#CrocodileCZ_sand_hit=12#CrocodileCZ_sand_hit=12.36#CrocodileCZ_sand_hit=12.69</t>
    </r>
  </si>
  <si>
    <t>Particles/kozuki/kozuki001_body_attack07_C</t>
  </si>
  <si>
    <t>桃源白泷</t>
  </si>
  <si>
    <t>10310</t>
  </si>
  <si>
    <r>
      <rPr>
        <sz val="11"/>
        <color theme="1"/>
        <rFont val="等线"/>
        <charset val="134"/>
        <scheme val="minor"/>
      </rPr>
      <t>OdenCZ_dragon_baqi=1.56#OdenCZ_dragon_chiba=2.69#rockfall_general01=3.67#</t>
    </r>
    <r>
      <rPr>
        <sz val="11"/>
        <color rgb="FFFF0000"/>
        <rFont val="等线"/>
        <charset val="134"/>
        <scheme val="minor"/>
      </rPr>
      <t>mujixie=4.16#mujixie=4.55#mujixie=4.74#mujixie=4.91#mujixie=5.09#</t>
    </r>
    <r>
      <rPr>
        <sz val="11"/>
        <rFont val="等线"/>
        <charset val="134"/>
        <scheme val="minor"/>
      </rPr>
      <t>OdenCZ_dragon_footrock=4.16#OdenCZ_dragon_footrock=4.54#OdenCZ_dragon_rock=4.77#mihawkCZ_wu_focus=4.98#whooshlarge_slashly03=5.13#OdenCZ_dragon_slash=6.58#OdenCZ_dragon_end=8#CVOdenCZ_dragon1=0.41#CVOdenCZ_dragon2=4.37#CVOdenCZ_dragon3=8.19</t>
    </r>
  </si>
  <si>
    <t>Particles/kozuki/kozuki001_body_attack08_C</t>
  </si>
  <si>
    <t>年轻雷利</t>
  </si>
  <si>
    <t>10401</t>
  </si>
  <si>
    <r>
      <rPr>
        <sz val="11"/>
        <color theme="1"/>
        <rFont val="等线"/>
        <charset val="134"/>
        <scheme val="minor"/>
      </rPr>
      <t>ReighleyyoungCZ_attack_swing1=0.38#ReighleyyoungCZ_attack_swing2=0.58#ReighleyyoungCZ_attack_swing2=0.77#ReighleyyoungCZ_attack_swing3=1.07#ReighleyyoungCZ_swordwhoosh=1.93#</t>
    </r>
    <r>
      <rPr>
        <sz val="11"/>
        <color rgb="FFFF0000"/>
        <rFont val="等线"/>
        <charset val="134"/>
        <scheme val="minor"/>
      </rPr>
      <t>slash_general01=0.5#slash_general01=0.67#slash_general01=0.85#slash_general01=1.14</t>
    </r>
  </si>
  <si>
    <t>10402</t>
  </si>
  <si>
    <t>ReighleyyoungCZ_poyue_xuli=0.28#ReighleyyoungCZ_poyue_swing=1.41#ReighleyyoungCZ_poyue_cast=1.6#ReighleyyoungCZ_swordwhoosh=2.65#CV_ReighleyyoungCZ_attack2=1.38</t>
  </si>
  <si>
    <t>雷落斩</t>
  </si>
  <si>
    <t>10403</t>
  </si>
  <si>
    <r>
      <rPr>
        <sz val="11"/>
        <color theme="1"/>
        <rFont val="等线"/>
        <charset val="134"/>
        <scheme val="minor"/>
      </rPr>
      <t>ReighleyyoungCZ_leiluo_swing=0.33#ReighleyyoungCZ_leiluo_jump=0.67#ReighleyyoungCZ_leiluo_down=1.33#bodyrock_hit02=1.44#ReighleyyoungCZ_swordwhoosh=2.53#CV_ReighleyyoungCZ_attack3=1.42#</t>
    </r>
    <r>
      <rPr>
        <sz val="11"/>
        <color rgb="FFFF0000"/>
        <rFont val="等线"/>
        <charset val="134"/>
        <scheme val="minor"/>
      </rPr>
      <t>slash_general01=0.44#slash_general01=0.75#slash_general01=1.45</t>
    </r>
  </si>
  <si>
    <t>疾影剑</t>
  </si>
  <si>
    <t>10404</t>
  </si>
  <si>
    <t>ReighleyyoungCZ_jiying_swing1=0.48#ReighleyyoungCZ_jiying_swing1=0.63#ReighleyyoungCZ_jiying_swing1=0.75#ReighleyyoungCZ_jiying_swing1=0.86#ReighleyyoungCZ_jiying_swing1=1#ReighleyyoungCZ_jiying_swing1=1.13#ReighleyyoungCZ_jiying_swing1=1.24#ReighleyyoungCZ_jiying_swing1=1.37#ReighleyyoungCZ_jiying_swing1=1.5#ReighleyyoungCZ_jiying_swing1=1.62#ReighleyyoungCZ_jiying_swing1=1.75#ReighleyyoungCZ_jiying_swing1=1.88#ReighleyyoungCZ_jiying_shinning=1.07#ReighleyyoungCZ_jiying_swing2=2.09#ReighleyyoungCZ_swordwhoosh=3.12</t>
  </si>
  <si>
    <t>旋影斩</t>
  </si>
  <si>
    <t>10405</t>
  </si>
  <si>
    <r>
      <rPr>
        <sz val="11"/>
        <color theme="1"/>
        <rFont val="等线"/>
        <charset val="134"/>
        <scheme val="minor"/>
      </rPr>
      <t>ReighleyyoungCZ_xuanying_purple=0.28#ReighleyyoungCZ_xuanying_green=0.53#ReighleyyoungCZ_xuanying_blue=1.04#ReighleyyoungCZ_swordwhoosh=1.96#CV_ReighleyyoungCZ_attack1=1.07#</t>
    </r>
    <r>
      <rPr>
        <sz val="11"/>
        <color rgb="FFFF0000"/>
        <rFont val="等线"/>
        <charset val="134"/>
        <scheme val="minor"/>
      </rPr>
      <t>slash_general01=0.39#slash_general01=0.63#slash_general01=1.16</t>
    </r>
  </si>
  <si>
    <t>逐影·闪</t>
  </si>
  <si>
    <t>10406</t>
  </si>
  <si>
    <r>
      <rPr>
        <sz val="11"/>
        <color theme="1"/>
        <rFont val="等线"/>
        <charset val="134"/>
        <scheme val="minor"/>
      </rPr>
      <t>ChoppernewCZ_crash_whoosh3=0.03#ReighleyyoungCZ_zhuying_glasses=2.48#mihawkCZ_wu_focus=3.04#ReighleyyoungCZ_zhuying_swing1=3.51#ReighleyyoungCZ_zhuying_swing1=4.15#ReighleyyoungCZ_zhuying_swing1=4.39#ReighleyyoungCZ_zhuying_swing2=4.82#whooshlarge_slashly01=5.32#ReighleyyoungCZ_zhuying_swordstar=5.67#ReighleyyoungCZ_zhuying_slash1=6.8#ReighleyyoungCZ_zhuying_slash2=7.4#CV_ReighleyyoungCZ_zhuying1=1.58#CV_ReighleyyoungCZ_zhuying2=6.03#</t>
    </r>
    <r>
      <rPr>
        <sz val="11"/>
        <color rgb="FFFF0000"/>
        <rFont val="等线"/>
        <charset val="134"/>
        <scheme val="minor"/>
      </rPr>
      <t>slash_general01=3.77#slash_general01=4.32#slash_general01=4.55#slash_general01=5.01#slash_large=7.06#slash_large=7.59</t>
    </r>
  </si>
  <si>
    <t>Particles/rayleigh003_body/rayleigh003_body_attack06_C</t>
  </si>
  <si>
    <t>破空·落</t>
  </si>
  <si>
    <t>10407</t>
  </si>
  <si>
    <r>
      <rPr>
        <sz val="11"/>
        <color theme="1"/>
        <rFont val="等线"/>
        <charset val="134"/>
        <scheme val="minor"/>
      </rPr>
      <t>ReighleyyoungCZ_pokong_swingfirst=0.19#ReighleyyoungCZ_pokong_crash=0.77#ReighleyyoungCZ_pokong_swing2=1.33#kick_general01=1.61#mihawkCZ_wu_focus=1.67#ReighleyyoungCZ_pokong_rockstep=2.23#ReighleyyoungCZ_pokong_swing3=2.7#kick_general02=2.9#ReighleyyoungCZ_pokong_swing4=3.02#ReighleyyoungCZ_pokong_jump=3.79#</t>
    </r>
    <r>
      <rPr>
        <sz val="11"/>
        <color rgb="FFFF0000"/>
        <rFont val="等线"/>
        <charset val="134"/>
        <scheme val="minor"/>
      </rPr>
      <t>LucciCZ_razor_razorswing=4.16#LucciCZ_razor_razorswing=4.28#LucciCZ_razor_razorswing=4.41#LucciCZ_razor_razorswing=4.56#LucciCZ_razor_razorswing=4.69#slash_general01=4.16#slash_general01=4.2#slash_general01=4.41#slash_general01=4.56#slash_general01=4.69#</t>
    </r>
    <r>
      <rPr>
        <sz val="11"/>
        <rFont val="等线"/>
        <charset val="134"/>
        <scheme val="minor"/>
      </rPr>
      <t>LucciCZ_sixgun_cast=5.26#slash_large=5.9#ReighleyyoungCZ_pokong_glass=5.96#whooshlarge_slashly03=6.47#ReighleyyoungCZ_pokong_rockimpact=7.85#punch_hit_giant01=7.87#ReighleyyoungCZ_pokong_final=8.74#punch_hit_giant01=8.8#CV_ReighleyyoungCZ_pokong=6.8</t>
    </r>
  </si>
  <si>
    <t>Particles/rayleigh003_body/rayleigh003_body_attack07_C</t>
  </si>
  <si>
    <t>止水·极</t>
  </si>
  <si>
    <t>10408</t>
  </si>
  <si>
    <t>ReighleyyoungCZ_aoyi_foot1=0.34#ReighleyyoungCZ_aoyi_foot2=1.14#whooshsmall_general=1.44#ReighleyyoungCZ_aoyi_cloth=1.63#ReighleyyoungCZ_aoyi_swingred=1.9#ReighleyyoungCZ_aoyi_buff=2.39#ReighleyyoungCZ_aoyi_shanxian=3.57#ReighleyyoungCZ_aoyi_shanxian=3.95#ReighleyyoungCZ_aoyi_shanxian=4.29#ReighleyyoungCZ_aoyi_water1=3.6#ReighleyyoungCZ_aoyi_water2=3.91#ReighleyyoungCZ_aoyi_swingyellow=4.7#ReighleyyoungCZ_aoyi_water3=5.01#slash_general01=4.81#ReighleyyoungCZ_aoyi_swordspell=5.7#ReighleyyoungCZ_aoyi_swordspell=6.25#ReighleyyoungCZ_aoyi_swordspell=6.73#water_hit1=5.78#water_hit1=6.29#water_hit1=6.79#whooshmedium03=7.2#ReighleyyoungCZ_aoyi_swingblue=8.39#Cavendish_s5_3_swordswing3=8.43#Superslash_hit=8.52#slash_large=8.9#CV_ReighleyyoungCZ_zhishui1=2.38#CV_ReighleyyoungCZ_zhishui2=7.25</t>
  </si>
  <si>
    <t>Particles/rayleigh003_body/rayleigh003_body_attack08_C</t>
  </si>
  <si>
    <t>3208&amp;&amp;3217</t>
  </si>
  <si>
    <t>Dummy002&amp;&amp;bone_glasses</t>
  </si>
  <si>
    <t>凯洛特</t>
  </si>
  <si>
    <t>10501</t>
  </si>
  <si>
    <r>
      <rPr>
        <sz val="11"/>
        <color theme="1"/>
        <rFont val="等线"/>
        <charset val="134"/>
        <scheme val="minor"/>
      </rPr>
      <t>CarotCZ_attack_swing1=0.29#CarotCZ_attack_swing1=0.69#CarotCZ_attack_swing2=1.4#CarotCZ_attack_spark=1.68#CarotCZ_attack_yeah=2.31#</t>
    </r>
    <r>
      <rPr>
        <sz val="11"/>
        <color rgb="FFFF0000"/>
        <rFont val="等线"/>
        <charset val="134"/>
        <scheme val="minor"/>
      </rPr>
      <t>slash_general01=0.45#slash_general01=0.86#punch_hit_small02=1.67</t>
    </r>
  </si>
  <si>
    <t>电爪</t>
  </si>
  <si>
    <t>10502</t>
  </si>
  <si>
    <r>
      <rPr>
        <sz val="11"/>
        <color theme="1"/>
        <rFont val="等线"/>
        <charset val="134"/>
        <scheme val="minor"/>
      </rPr>
      <t>CarotCZ_claw_jump=0.27#CarotCZ_claw_down=0.79#</t>
    </r>
    <r>
      <rPr>
        <sz val="11"/>
        <color rgb="FFFF0000"/>
        <rFont val="等线"/>
        <charset val="134"/>
        <scheme val="minor"/>
      </rPr>
      <t>slash_general01=0.94</t>
    </r>
  </si>
  <si>
    <t>3227&amp;&amp;3227</t>
  </si>
  <si>
    <t>电气·月神</t>
  </si>
  <si>
    <t>10503</t>
  </si>
  <si>
    <r>
      <rPr>
        <sz val="11"/>
        <color theme="1"/>
        <rFont val="等线"/>
        <charset val="134"/>
        <scheme val="minor"/>
      </rPr>
      <t>CarotCZ_moon_energy1=0.38#CarotCZ_moon_energy2=0.99#CarotCZ_moon_cast=1.35#</t>
    </r>
    <r>
      <rPr>
        <sz val="11"/>
        <color rgb="FFFF0000"/>
        <rFont val="等线"/>
        <charset val="134"/>
        <scheme val="minor"/>
      </rPr>
      <t>bodyrock_hit01=1.48</t>
    </r>
  </si>
  <si>
    <t>电波拳</t>
  </si>
  <si>
    <t>10504</t>
  </si>
  <si>
    <r>
      <rPr>
        <sz val="11"/>
        <color theme="1"/>
        <rFont val="等线"/>
        <charset val="134"/>
        <scheme val="minor"/>
      </rPr>
      <t>CarotCZ_dianbo_crash=0.09#CarotCZ_attack_swing1=0.43#CarotCZ_dianbo_jump=1.05#CarotCZ_dianbo_sand=1.6#CarotCZ_dianbo_cute=2.25#CV_CarotCZ_dianbo=2.26#</t>
    </r>
    <r>
      <rPr>
        <sz val="11"/>
        <color rgb="FFFF0000"/>
        <rFont val="等线"/>
        <charset val="134"/>
        <scheme val="minor"/>
      </rPr>
      <t>slash_general01=0.54#punch_hit_small02=1.14</t>
    </r>
  </si>
  <si>
    <t>3233&amp;&amp;3227&amp;&amp;3227</t>
  </si>
  <si>
    <t>Bip001&amp;&amp;Bip001 L Hand&amp;&amp;Bip001 R Hand</t>
  </si>
  <si>
    <t>电弧拳</t>
  </si>
  <si>
    <t>10505</t>
  </si>
  <si>
    <r>
      <rPr>
        <sz val="11"/>
        <color theme="1"/>
        <rFont val="等线"/>
        <charset val="134"/>
        <scheme val="minor"/>
      </rPr>
      <t>whooshmedium03=0.09#CarotCZ_dianhu_jump=1.38#CarotCZ_dianhu_feet=2.19#CarotCZ_dianhu_ball=2.67#CarotCZ_dianhu_forward=3.89#whooshlarge_slashly03=4.11#CarotCZ_dianhu_spark=4.18#CarotCZ_dianhu_punchhit=5.43#CV_CarotCZ_dianhu1=2.75#CV_CarotCZ_dianhu2=4.58#</t>
    </r>
    <r>
      <rPr>
        <sz val="11"/>
        <color rgb="FFFF0000"/>
        <rFont val="等线"/>
        <charset val="134"/>
        <scheme val="minor"/>
      </rPr>
      <t>punch_hit_small02=5.6#EnelCZ_judgment=6.45</t>
    </r>
  </si>
  <si>
    <t>Particles/jialuote001/jialuote001_body_attack05_C</t>
  </si>
  <si>
    <t>Bip001 R Finger0</t>
  </si>
  <si>
    <t>Particles/jialuote001/jialuote001_attack05_light</t>
  </si>
  <si>
    <t>月狮</t>
  </si>
  <si>
    <t>10506</t>
  </si>
  <si>
    <r>
      <rPr>
        <sz val="11"/>
        <color theme="1"/>
        <rFont val="等线"/>
        <charset val="134"/>
        <scheme val="minor"/>
      </rPr>
      <t>CarotCZ_lion_wolf=0.03#CarotCZ_lion_eyes=1.59#CarotCZ_lion_bianshen=2.31#CarotCZ_lion_crash=3.76#CarotCZ_lion_slash=4.32#CarotCZ_lion_slash=4.74#CarotCZ_lion_slash=5.02#CarotCZ_lion_slash=5.33#whooshlarge_slashly01=5.63#CarotCZ_lion_hit=6.32#CarotCZ_lion_spark=8.19#CarotCZ_lion_happy=10.07#CV_CarotCZ_lion1=1.87#CV_CarotCZ_lion2=5.71#</t>
    </r>
    <r>
      <rPr>
        <sz val="11"/>
        <color rgb="FFFF0000"/>
        <rFont val="等线"/>
        <charset val="134"/>
        <scheme val="minor"/>
      </rPr>
      <t>slash_general01=4.44#slash_general01=4.84#slash_general01=5.13#slash_general01=5.41#slash_large=7.19#EnelCZ_thunderbird_hit=7.24#EnelCZ_judgment=8.19</t>
    </r>
  </si>
  <si>
    <t>Particles/jialuote001/jialuote001_body_attack06_C</t>
  </si>
  <si>
    <t>3005307</t>
  </si>
  <si>
    <r>
      <rPr>
        <sz val="11"/>
        <color theme="1"/>
        <rFont val="等线"/>
        <charset val="134"/>
        <scheme val="minor"/>
      </rPr>
      <t>CarotCZ_attack2_swing1=0.14#CarotCZ_attack2_swing1=0.47#CarotCZ_attack2_swing2=1.13#</t>
    </r>
    <r>
      <rPr>
        <sz val="11"/>
        <color rgb="FFFF0000"/>
        <rFont val="等线"/>
        <charset val="134"/>
        <scheme val="minor"/>
      </rPr>
      <t>kick_general01=0.35#kick_general01=0.67#kick_general02=1.31</t>
    </r>
  </si>
  <si>
    <t>电弧撕裂</t>
  </si>
  <si>
    <t>3005308</t>
  </si>
  <si>
    <r>
      <rPr>
        <sz val="11"/>
        <color theme="1"/>
        <rFont val="等线"/>
        <charset val="134"/>
        <scheme val="minor"/>
      </rPr>
      <t>CarotCZ_slash_ball=0.05#CarotCZ_slash_swing1=0.75#CarotCZ_slash_swing1=1.01#CarotCZ_slash_swing1=1.39#CarotCZ_slash_light=1.97#CarotCZ_slash_swing2=2.32#CV_CarotCZ_he=2.37#</t>
    </r>
    <r>
      <rPr>
        <sz val="11"/>
        <color rgb="FFFF0000"/>
        <rFont val="等线"/>
        <charset val="134"/>
        <scheme val="minor"/>
      </rPr>
      <t>slash_general01=0.87#slash_general01=1.14#slash_general01=1.52#slash_general01=2.42</t>
    </r>
  </si>
  <si>
    <t>3240&amp;&amp;3241</t>
  </si>
  <si>
    <t>彗星一击</t>
  </si>
  <si>
    <t>3005309</t>
  </si>
  <si>
    <r>
      <rPr>
        <sz val="11"/>
        <color theme="1"/>
        <rFont val="等线"/>
        <charset val="134"/>
        <scheme val="minor"/>
      </rPr>
      <t>CarotCZ_huixing_appear=0#CarotCZ_huixing_cloth=2.58#CarotCZ_huixing_ball=2.97#CarotCZ_huixing_groundhit=4.49#bodyrock_hit02=4.63#mihawkCZ_wu_focus=6.28#CarotCZ_huixing_point=6.57#CarotCZ_huixing_slash=6.78#CarotCZ_huixing_slash=7.17#CarotCZ_huixing_slash=7.73#CarotCZ_huixing_wolf=8.6#CarotCZ_huixing_turn=9.48#whooshsmall_general=9.52#CarotCZ_huixing_spark=10.01#CarotCZ_huixing_down=10.78#whoosh_lazer=11.21#CV_CarotCZ_huixing1=2.61#CV_CarotCZ_huixing2=9.88#bodyrock_hit02=13.41#</t>
    </r>
    <r>
      <rPr>
        <sz val="11"/>
        <color rgb="FFFF0000"/>
        <rFont val="等线"/>
        <charset val="134"/>
        <scheme val="minor"/>
      </rPr>
      <t>CarotCZ_huixing_superhit1=13.39#CarotCZ_huixing_superhit2=14.22#EnelCZ_thunderdragon_spark01=16.8</t>
    </r>
  </si>
  <si>
    <t>Particles/jialuote001/jialuote001_body_attack09_C</t>
  </si>
  <si>
    <t>3252&amp;&amp;3253</t>
  </si>
  <si>
    <t>Bip001 R Hand&amp;&amp;Bip001 Spine</t>
  </si>
  <si>
    <t>菊之丞</t>
  </si>
  <si>
    <t>10601</t>
  </si>
  <si>
    <r>
      <rPr>
        <sz val="11"/>
        <color theme="1"/>
        <rFont val="等线"/>
        <charset val="134"/>
        <scheme val="minor"/>
      </rPr>
      <t>KikuCZ_attack_swing1=0.32#KikuCZ_attack_light=0.52#KikuCZ_attack_swing2=0.94#KikuCZ_attack_swordin=1.61#</t>
    </r>
    <r>
      <rPr>
        <sz val="11"/>
        <color rgb="FFFF0000"/>
        <rFont val="等线"/>
        <charset val="134"/>
        <scheme val="minor"/>
      </rPr>
      <t>slash_general01=0.47#slash_general01=1.12</t>
    </r>
  </si>
  <si>
    <t>缭乱斩</t>
  </si>
  <si>
    <t>10602</t>
  </si>
  <si>
    <r>
      <rPr>
        <sz val="11"/>
        <color theme="1"/>
        <rFont val="等线"/>
        <charset val="134"/>
        <scheme val="minor"/>
      </rPr>
      <t>KikuCZ_attack_swing1=0..22#KikuCZ_attack_swing2=0.57#KikuCZ_liaoluan_buff=0.77#</t>
    </r>
    <r>
      <rPr>
        <sz val="11"/>
        <color theme="4" tint="-0.5"/>
        <rFont val="等线"/>
        <charset val="134"/>
        <scheme val="minor"/>
      </rPr>
      <t>KikuCZ_liaoluan_slashcave=0.87#KikuCZ_liaoluan_slashcave=1.19#KikuCZ_liaoluan_slashcave=1.53#</t>
    </r>
    <r>
      <rPr>
        <sz val="11"/>
        <color theme="9" tint="-0.5"/>
        <rFont val="等线"/>
        <charset val="134"/>
        <scheme val="minor"/>
      </rPr>
      <t>KikuCZ_liaoluan_slash1=0.87#KikuCZ_liaoluan_slash1=0.93#KikuCZ_liaoluan_slash1=1#KikuCZ_liaoluan_slash1=1.06#KikuCZ_liaoluan_slash1=1.12#KikuCZ_liaoluan_slash1=1.18#KikuCZ_liaoluan_slash1=1.25#KikuCZ_liaoluan_slash1=1.31#KikuCZ_liaoluan_slash1=1.37#KikuCZ_liaoluan_slash1=1.43#KikuCZ_liaoluan_slash1=1.49#KikuCZ_liaoluan_slash1=1.55#KikuCZ_liaoluan_slash1=1.62#KikuCZ_liaoluan_slash1=1.68#KikuCZ_liaoluan_slash1=1.74#KikuCZ_liaoluan_slash1=1.8#KikuCZ_liaoluan_slash1=1.87#</t>
    </r>
    <r>
      <rPr>
        <sz val="11"/>
        <color rgb="FFFF0000"/>
        <rFont val="等线"/>
        <charset val="134"/>
        <scheme val="minor"/>
      </rPr>
      <t>KikuCZ_liaoluan_slash2=0.87#KikuCZ_liaoluan_slash2=0.95#KikuCZ_liaoluan_slash2=1.05#KikuCZ_liaoluan_slash2=1.13#KikuCZ_liaoluan_slash2=1.23#KikuCZ_liaoluan_slash2=1.33#KikuCZ_liaoluan_slash2=1.42#KikuCZ_liaoluan_slash2=1.52#KikuCZ_liaoluan_slash2=1.61#KikuCZ_liaoluan_slash2=1.7#KikuCZ_liaoluan_slash2=1.8#</t>
    </r>
    <r>
      <rPr>
        <sz val="11"/>
        <rFont val="等线"/>
        <charset val="134"/>
        <scheme val="minor"/>
      </rPr>
      <t>KikuCZ_liaoluan_swordin=2.1#slash_general01=0.37#slash_general01=0.72#slash_general01=2.04</t>
    </r>
  </si>
  <si>
    <t>花散乱</t>
  </si>
  <si>
    <t>10603</t>
  </si>
  <si>
    <r>
      <rPr>
        <sz val="11"/>
        <color theme="1"/>
        <rFont val="等线"/>
        <charset val="134"/>
        <scheme val="minor"/>
      </rPr>
      <t>KikuCZ_huasanluan_swing=0.33#KikuCZ_huasanluan_swing=0.61#KikuCZ_huasanluan_swing=1.01#KikuCZ_huasanluan_light=1.01#KikuCZ_huasanluan_swordin1=2.01#KikuCZ_huasanluan_swordin2=2.44#</t>
    </r>
    <r>
      <rPr>
        <sz val="11"/>
        <color rgb="FFFF0000"/>
        <rFont val="等线"/>
        <charset val="134"/>
        <scheme val="minor"/>
      </rPr>
      <t>leaves_hit=2.65#slash_general01=0.41#slash_general01=0.74#slash_general01=1.15</t>
    </r>
  </si>
  <si>
    <t>残花绽</t>
  </si>
  <si>
    <t>10604</t>
  </si>
  <si>
    <r>
      <rPr>
        <sz val="11"/>
        <color theme="1"/>
        <rFont val="等线"/>
        <charset val="134"/>
        <scheme val="minor"/>
      </rPr>
      <t>KikuCZ_canhua_swing1=0.41#KikuCZ_canhua_swing2=1.37#KikuCZ_canhua_swing3=2.01#KikuCZ_canhua_swordin=2.76#CVKikuCZ_attack=0.55#</t>
    </r>
    <r>
      <rPr>
        <sz val="11"/>
        <color rgb="FFFF0000"/>
        <rFont val="等线"/>
        <charset val="134"/>
        <scheme val="minor"/>
      </rPr>
      <t>slash_large=0.6</t>
    </r>
  </si>
  <si>
    <t>残雪镰</t>
  </si>
  <si>
    <t>10605</t>
  </si>
  <si>
    <r>
      <rPr>
        <sz val="11"/>
        <color theme="1"/>
        <rFont val="等线"/>
        <charset val="134"/>
        <scheme val="minor"/>
      </rPr>
      <t>KikuCZ_snowcan_swing=0.42#KikuCZ_snowcan_swing=0.71#KikuCZ_snowcan_swing=1.04#KikuCZ_snowcan_swing=1.41#KikuCZ_snowcan_swordin=2.46#</t>
    </r>
    <r>
      <rPr>
        <sz val="11"/>
        <color theme="9" tint="-0.5"/>
        <rFont val="等线"/>
        <charset val="134"/>
        <scheme val="minor"/>
      </rPr>
      <t>KikuCZ_snowcan_spin=0.5#KikuCZ_snowcan_spin=0.76#KikuCZ_snowcan_spin=1.03#KikuCZ_snowcan_spin=1.43</t>
    </r>
  </si>
  <si>
    <t>胧影</t>
  </si>
  <si>
    <t>10606</t>
  </si>
  <si>
    <t>KikuCZ_shadow_music=0#KikuCZ_shadow_light=6.76#KikuCZ_shadow_swordslash=7.81#KikuCZ_shadow_crash=8.58#KikuCZ_shadow_swordhit=9.15#CVKikuCZ_shadow_1=1.49#CVKikuCZ_shadow_2=5.16#CVKikuCZ_shadow_3=7.61</t>
  </si>
  <si>
    <t>Particles/kikunojo001/kikunojo001_body_attack06_C</t>
  </si>
  <si>
    <t>Particles/kikunojo001/kikunojo001_body_attack06_Deng</t>
  </si>
  <si>
    <t>月落斩</t>
  </si>
  <si>
    <t>10607</t>
  </si>
  <si>
    <t>KikuCZ_moon_shinning=0.02#KikuCZ_moon_cloth=0.92#whooshsmall_general=2.2#KikuCZ_moon_punch=2.61#whoosh_lazer=2.75#KikuCZ_moon_superjump=4.23#KikuCZ_moon_wave=5.13#LuffyCZ_JETrocket_rockhit=5.89#KikuCZ_moon_electric=6.43#KikuCZ_moon_rock=6.84#CVKikuCZ_moonslash_1=2.6#CVKikuCZ_moonslash_2=5.16</t>
  </si>
  <si>
    <t>Particles/kikunojo001/kikunojo001_body_attack07_C</t>
  </si>
  <si>
    <t>Particles/kikunojo001/kikunojo01_attack07_light</t>
  </si>
  <si>
    <t>乱花斩</t>
  </si>
  <si>
    <t>10608</t>
  </si>
  <si>
    <t>KikuCZ_aoyi_buff1=0.14#KikuCZ_aoyi_swing1=0.92#KikuCZ_aoyi_buff2=1.81#whooshmedium01=3.15#KikuCZ_attack_swing1=3.7#KikuCZ_aoyi_jump=4.43#bodyrock_hit01=4.48#whooshmedium03=4.66#whooshlarge_crash01=5.86#KikuCZ_aoyi_swing2=7.07#bodyrock_hit02=7.3#ZoronewCZ_tornado_slash2=7.51#KikuCZ_aoyi_swordin=11.24#KikuCZ_aoyi_end=12.48#KikuCZ_canhua_swing3=9.81#slash_general01=3.89#CVKikuCZ_aoyi=6.21#slash_large=7.48</t>
  </si>
  <si>
    <t>Particles/kikunojo001/kikunojo001_body_attack08_C</t>
  </si>
  <si>
    <t>Particles/kikunojo001/kikunojo001_08deng</t>
  </si>
  <si>
    <t>baby5</t>
  </si>
  <si>
    <t>10701</t>
  </si>
  <si>
    <r>
      <rPr>
        <sz val="11"/>
        <color theme="0"/>
        <rFont val="等线"/>
        <charset val="134"/>
        <scheme val="minor"/>
      </rPr>
      <t>Bady5_knife1=0#Bady5_attack_swing=0.39#Bady5_attack_swing=0.93#Bady5_attack_pistol=1.3#Bady5_attack_pistol=1.59#Bady5_attack_bullet=1.42#</t>
    </r>
    <r>
      <rPr>
        <sz val="11"/>
        <color rgb="FFFFFF00"/>
        <rFont val="等线"/>
        <charset val="134"/>
        <scheme val="minor"/>
      </rPr>
      <t>slash_general=0.49#slash_general=1.03#</t>
    </r>
  </si>
  <si>
    <t>10702</t>
  </si>
  <si>
    <t>Bady5_footgun_reload=0.22#Bady5_footgun_shot=0.72#Bady5_footgun_shot=0.81#Bady5_footgun_shot=0.91#Bady5_footgun_shot=1#Bady5_footgun_shot=1.09</t>
  </si>
  <si>
    <t>10703</t>
  </si>
  <si>
    <r>
      <rPr>
        <sz val="11"/>
        <color theme="0"/>
        <rFont val="等线"/>
        <charset val="134"/>
        <scheme val="minor"/>
      </rPr>
      <t>Bady5_liandao_knife=0.04#Bady5_attack_swing=0.45#Bady5_attack_swing=1.13#Bady5_liandao_swing=1.89#</t>
    </r>
    <r>
      <rPr>
        <sz val="11"/>
        <color rgb="FFFFFF00"/>
        <rFont val="等线"/>
        <charset val="134"/>
        <scheme val="minor"/>
      </rPr>
      <t>slash_general=0.57#slash_general=1.25#Bady5_liandao_slash=2.03</t>
    </r>
  </si>
  <si>
    <t>10704</t>
  </si>
  <si>
    <r>
      <rPr>
        <sz val="11"/>
        <color theme="0"/>
        <rFont val="等线"/>
        <charset val="134"/>
        <scheme val="minor"/>
      </rPr>
      <t>Bady5_pistolgirl_jump=0.2#Bady5_pistolgirl_xuli=0.52#Bady5_pistolgirl_shot=1.09#</t>
    </r>
    <r>
      <rPr>
        <sz val="11"/>
        <color rgb="FFFFFF00"/>
        <rFont val="等线"/>
        <charset val="134"/>
        <scheme val="minor"/>
      </rPr>
      <t>Bady5_pistolgirl_explosion=1.17#Bady5_pistolgirl_explosion=1.35#Bady5_pistolgirl_explosion=1.58</t>
    </r>
  </si>
  <si>
    <t>10705</t>
  </si>
  <si>
    <r>
      <rPr>
        <sz val="11"/>
        <color theme="0"/>
        <rFont val="等线"/>
        <charset val="134"/>
        <scheme val="minor"/>
      </rPr>
      <t>Bady5_fire_jump=0.02#Bady5_fire_flame=1.14#</t>
    </r>
    <r>
      <rPr>
        <sz val="11"/>
        <color rgb="FFFFFF00"/>
        <rFont val="等线"/>
        <charset val="134"/>
        <scheme val="minor"/>
      </rPr>
      <t>Bady5_fire_hit=1.14#Bady5_fire_hit=1.35#Bady5_fire_hit=1.59#Bady5_fire_hit=1.82</t>
    </r>
  </si>
  <si>
    <t>10706</t>
  </si>
  <si>
    <t>whoosh_laser=0.26#Bady5_hitground=1.69#Bady5_strike_reload1=2.8#Bady5_strike_servo=3.1#Bady5_strike_machinegun=3.44#Bady5_strike_reload2=5.24#Bady5_strike_rocket=6.32#Bady5_strike_explosion=7.08</t>
  </si>
  <si>
    <t>Particles/baby05_SSR/baby05_SSR_attack06_C</t>
  </si>
  <si>
    <t>10707</t>
  </si>
  <si>
    <t>Bady5_need_1=0.1#Bady5_need_2=2.27#Bady5_need_3=4.02#Bady5_need_4=7.37#Bady5_need_whoosh=8.48</t>
  </si>
  <si>
    <t>Particles/baby05_SSR/baby05_SSR_attack07_C</t>
  </si>
  <si>
    <t>10708</t>
  </si>
  <si>
    <t>Bady5_aoyi_run=0.11#Bady5_aoyi_jump=2.08#Bady5_aoyi_spin=2.63#Bady5_aoyi_launch=4.61#Bady5_aoyi_explosion=5.24</t>
  </si>
  <si>
    <t>Particles/baby05_SSR/baby05_SSR_attack08_C</t>
  </si>
  <si>
    <t>年轻白胡子</t>
  </si>
  <si>
    <t>10801</t>
  </si>
  <si>
    <r>
      <rPr>
        <sz val="11"/>
        <color theme="1"/>
        <rFont val="等线"/>
        <charset val="134"/>
        <scheme val="minor"/>
      </rPr>
      <t>EdwardyoungCZ_attack_swing1=0.34#EdwardyoungCZ_attack_swing1=1.05#EdwardyoungCZ_attack_swing2=1.62#EdwardyoungCZ_glass=2.01#EdwardyoungCZ_glassbroke=2.98#</t>
    </r>
    <r>
      <rPr>
        <sz val="11"/>
        <color rgb="FFFF0000"/>
        <rFont val="等线"/>
        <charset val="134"/>
        <scheme val="minor"/>
      </rPr>
      <t>slash_large=0.5#slash_large=1.2#slash_large=2</t>
    </r>
  </si>
  <si>
    <t>0.8</t>
  </si>
  <si>
    <t>震荡冲击</t>
  </si>
  <si>
    <t>10802</t>
  </si>
  <si>
    <t>EdwardyoungCZ_shock_xuli=0.04#EdwardyoungCZ_swingyellow=1.37#EdwardyoungCZ_shock_cast=1.55#bodyrock_hit02=1.55#EdwardyoungCZ_weaponhit1=2.97</t>
  </si>
  <si>
    <t>旋风破</t>
  </si>
  <si>
    <t>10803</t>
  </si>
  <si>
    <t>1</t>
  </si>
  <si>
    <r>
      <rPr>
        <sz val="11"/>
        <color theme="1"/>
        <rFont val="等线"/>
        <charset val="134"/>
        <scheme val="minor"/>
      </rPr>
      <t>EdwardyoungCZ_swinggreen=0.23#EdwardyoungCZ_storm_wind=0.5#EdwardyoungCZ_storm_swing=0.54#EdwardyoungCZ_storm_swing=0.66#EdwardyoungCZ_storm_swing=0.79#EdwardyoungCZ_storm_swing=0.93#EdwardyoungCZ_storm_swing=1.07#EdwardyoungCZ_storm_swing=1.19#EdwardyoungCZ_storm_swing=1.31#EdwardyoungCZ_attack_swing1=1.91#EdwardyoungCZ_glass=2.07#EdwardyoungCZ_glassbroke=3.03#</t>
    </r>
    <r>
      <rPr>
        <sz val="11"/>
        <color rgb="FFFF0000"/>
        <rFont val="等线"/>
        <charset val="134"/>
        <scheme val="minor"/>
      </rPr>
      <t>slash_large=0.58#slash_large=0.94#slash_large=1.29#slash_large=2.03</t>
    </r>
  </si>
  <si>
    <t>0.7</t>
  </si>
  <si>
    <t>破碎斩</t>
  </si>
  <si>
    <t>10804</t>
  </si>
  <si>
    <r>
      <rPr>
        <sz val="11"/>
        <color theme="1"/>
        <rFont val="等线"/>
        <charset val="134"/>
        <scheme val="minor"/>
      </rPr>
      <t>EdwardyoungCZ_broken_xuli=0.2#EdwardyoungCZ_swingpurple=1.16#EdwardyoungCZ_broken_wave=1.35#EdwardyoungCZ_weaponhit1=3.02#</t>
    </r>
    <r>
      <rPr>
        <sz val="11"/>
        <color rgb="FFFF0000"/>
        <rFont val="等线"/>
        <charset val="134"/>
        <scheme val="minor"/>
      </rPr>
      <t>slash_large=1.34</t>
    </r>
  </si>
  <si>
    <t>震荡撕裂</t>
  </si>
  <si>
    <t>10805</t>
  </si>
  <si>
    <t>EdwardyoungCZ_shock_cast=0.31#EdwardyoungCZ_silie_glass1=1.8#punch_hit_medium01=2#EdwardyoungCZ_silie_glass2=3#EdwardyoungCZ_weaponhit2=4.06</t>
  </si>
  <si>
    <t>碎空拳</t>
  </si>
  <si>
    <t>10806</t>
  </si>
  <si>
    <t>EdwardyoungCZ_pokong_show=0.18#borsalinoCZ_skill_disappear02=0.3#EdwardyoungCZ_pokong_cloth=0.93#EdwardyoungCZ_pokong_xuli1=1.18#mihawkCZ_shark_buff=1.45#whooshlarge_slashly03=1.92#EdwardyoungCZ_pokong_glass1=3.04#punch_hit_medium01=3.05#whooshlarge_slashly01=3.76#EdwardyoungCZ_pokong_xuli2=4.18#EdwardyoungCZ_pokong_glass2=5.4#punch_hit_giant01=5.4#EdwardyoungCZ_pokong_fly=6.09#EdwardyoungCZ_pokong_impact=6.46#bodyrock_hit02=6.46#EdwardyoungCZ_pokong_impact=6.89#bodyrock_hit02=6.89#LuffyCZ_JETrocket_rockhit=7.97#CVEdwardnewCZ_punch1=1.17#CVEdwardnewCZ_punch2=2.87#punch_hit_giant01=8</t>
  </si>
  <si>
    <t>Particles/edward003/edward003_body_attack06_C</t>
  </si>
  <si>
    <t>空破无双斩</t>
  </si>
  <si>
    <t>10807</t>
  </si>
  <si>
    <r>
      <rPr>
        <sz val="11"/>
        <rFont val="等线"/>
        <charset val="134"/>
      </rPr>
      <t>EdwardyoungCZ_wushuang_cloth1=0.59#whooshsmall_general=1.23#EdwardyoungCZ_wushuang_cloth2=1.55#EdwardyoungCZ_wushuang_weaponhit=2.34#EdwardyoungCZ_wushuang_buff=2.58#mihawkCZ_wu_focus=3.6#EdwardyoungCZ_wushuang_jump=4.61#whooshlarge_slashly03=5.55#EdwardyoungCZ_wushuang_slash=6.27#EdwardyoungCZ_wushuang_cast=7.8#ZoronewCZ_lion_light=9.68#EdwardyoungCZ_wushuang_end=10.05#water_hit1=10.28#punch_hit_heavyNPC=10.28#CVEdwardnewCZ_wushuang=2.6#punch_hit_heavyNPC=7.74#punch_hit_heavyNPC=8.18#punch_hit_heavyNPC=8.52#punch_hit_heavyNPC=8.85</t>
    </r>
  </si>
  <si>
    <t>Particles/edward003/edward003_body_attack07_C</t>
  </si>
  <si>
    <t>Particles/edward003/edward003_attack07_light</t>
  </si>
  <si>
    <t>碎裂波动斩</t>
  </si>
  <si>
    <t>10808</t>
  </si>
  <si>
    <t>whooshmedium03=0#EdwardyoungCZ_aoyi_show=0.73#EdwardyoungCZ_aoyi_rock1=1.92#EdwardyoungCZ_aoyi_rock3=1.92#EdwardyoungCZ_aoyi_rock2=2.56#punch_hit_medium01=3.01#EdwardyoungCZ_aoyi_swing1=3.77#EdwardyoungCZ_aoyi_rock3=4.41#bodyrock_hit02=4.46#EdwardyoungCZ_aoyi_rockup=5.51#whoosh_lazer=5.97#EdwardyoungCZ_aoyi_whoosh=6.46#mihawkCZ_shark_buff=6.54#whooshlarge_slashly01=7.69#EdwardyoungCZ_aoyi_power=7.79#EdwardyoungCZ_aoyi_swing2=9.22#EdwardyoungCZ_aoyi_rock3=9.35#bodyrock_hit01=9.42#borsalinoCZ_bachijing_superkick=9.97#kumaCZ_cannon_swing=10.48#punch_hit_giant01=10.85#EdwardyoungCZ_aoyi_glass=10.92#punch_hit_medium01=10.92#mihawkCZ_daoyi_buff=11.01#CVEdwardnewCZ_bodongzhan1=1.56#CVEdwardnewCZ_bodongzhan2=3.72#CVEdwardnewCZ_bodongzhan3=7.87#CVEdwardnewCZ_bodongzhan4=9.29</t>
  </si>
  <si>
    <t>Particles/edward003/edward004_body_attack08_C</t>
  </si>
  <si>
    <t>Particles/edward003/edward003_attack08_light</t>
  </si>
  <si>
    <t>新世界佩罗娜</t>
  </si>
  <si>
    <t>10901</t>
  </si>
  <si>
    <t>Peronasnew_attack=0.21#Peronasnew_hit=0.7#Peronasnew_hit=0.86</t>
  </si>
  <si>
    <t>1.1</t>
  </si>
  <si>
    <t>幽灵穿梭</t>
  </si>
  <si>
    <t>10902</t>
  </si>
  <si>
    <t>Peronasnew_ghostthough=0.62</t>
  </si>
  <si>
    <t>公主指令</t>
  </si>
  <si>
    <t>10903</t>
  </si>
  <si>
    <t>Peronasnew_order1=0.55#Peronasnew_order2=3.3</t>
  </si>
  <si>
    <t>灵体炸弹</t>
  </si>
  <si>
    <t>10904</t>
  </si>
  <si>
    <t>Peronasnew_lingti1=0.18#Peronasnew_snap1=1.89#Peronasnew_explosion=1.97#Peronasnew_copy2=0.43</t>
  </si>
  <si>
    <t>1.2</t>
  </si>
  <si>
    <t>幽灵爆破</t>
  </si>
  <si>
    <t>10905</t>
  </si>
  <si>
    <t>Peronasnew_explosion1=0.5#Peronasnew_snap1=3.37#Peronasnew_explosion2=3.48#Peronasnew_copy1=1.81</t>
  </si>
  <si>
    <t>暴走幽灵群</t>
  </si>
  <si>
    <t>10906</t>
  </si>
  <si>
    <r>
      <rPr>
        <sz val="11"/>
        <color theme="1"/>
        <rFont val="等线"/>
        <charset val="134"/>
        <scheme val="minor"/>
      </rPr>
      <t>Peronasnew_aoyi_sign=0.48#Peronasnew_aoyi_eyes=2.36#Peronasnew_aoyi_throw=3.47#Peronasnew_aoyi_jet=3.9#Peronasnew_aoyi_laugh=4.62#Peronasnew_aoyi_whoosh=6.09#Peronasnew_aoyi_angry=7.48#Peronasnew_aoyi_crash=8.37#Peronasnew_aoyi_slash=10.29#Peronasnew_aoyi_light=13.02#Peronasnew_aoyi_explosion=13.63#Peronasnew_aoyi_end=16.01#CV_Peronasnew_aoyi1=3.72#CV_Peronasnew_aoyi2=7.66#</t>
    </r>
    <r>
      <rPr>
        <sz val="11"/>
        <color rgb="FFFF0000"/>
        <rFont val="等线"/>
        <charset val="134"/>
        <scheme val="minor"/>
      </rPr>
      <t>Peronasnew_hit=10.48#Peronasnew_hit=10.75#Peronasnew_hit=11.16#Peronasnew_hit=11.58#Peronasnew_hit=11.96#Peronasnew_hit=12.35#Peronasnew_hit=12.8#</t>
    </r>
  </si>
  <si>
    <t>Particles/perona005/perona005_body_attack06_c</t>
  </si>
  <si>
    <t>5.5</t>
  </si>
  <si>
    <t>幽灵奇袭</t>
  </si>
  <si>
    <t>10907</t>
  </si>
  <si>
    <t>Peronasnew_though_whoosh1=0.13#Peronasnew_though_whoosh2=1.58#Peronasnew_though_heart=2.61#Peronasnew_though_heart=3.14#Peronasnew_though_heart=3.69#Peronasnew_though_whoosh3=3.8#Peronasnew_though_cloth=4.4#Peronasnew_though_ghost=4.17#Peronasnew_though_snap=6.16#Peronasnew_though_explosion1=6.37#Peronasnew_though_explosion1=6.67#Peronasnew_though_explosion1=6.99#Peronasnew_though_explosion2=7.28#Peronasnew_though_explosionfinal=7.75#CV_Peronasnew_though1=3.38#CV_Peronasnew_though2=5.11</t>
  </si>
  <si>
    <t>Particles/perona005/perona005_body_attack07_c</t>
  </si>
  <si>
    <t>2</t>
  </si>
  <si>
    <t>巨大幽灵</t>
  </si>
  <si>
    <t>10909</t>
  </si>
  <si>
    <t>Peronasnew_largeghost_castle=0#Peronasnew_largeghost_out=1.82#Peronasnew_largeghost_bell=5.44#Peronasnew_largeghost_swing1=8.42#Peronasnew_largeghost_ghost=8.97#Peronasnew_largeghost_fly=10.32#Peronasnew_largeghost_swing2=12.42#Peronasnew_largeghost_crash=12.71#Peronasnew_largeghost_ult=14.7#Peronasnew_largeghost_whoosh=15.29#Peronasnew_largeghost_hit=15.62#CV_Peronasnew_largeghost1=3#CV_Peronasnew_largeghost2=4.79#CV_Peronasnew_largeghost3=8.62</t>
  </si>
  <si>
    <t>Particles/perona005/perona005_body_attack08_c</t>
  </si>
  <si>
    <t>10</t>
  </si>
  <si>
    <t>年轻卡普</t>
  </si>
  <si>
    <t>11001</t>
  </si>
  <si>
    <r>
      <rPr>
        <sz val="11"/>
        <color theme="1"/>
        <rFont val="等线"/>
        <charset val="134"/>
        <scheme val="minor"/>
      </rPr>
      <t>GarpHero_attack_swing1=0.27#GarpHero_attack_swing1=0.53#GarpHero_attack_xuli=1.26#GarpHero_attack_swing2=2.1#</t>
    </r>
    <r>
      <rPr>
        <sz val="11"/>
        <color rgb="FFFF0000"/>
        <rFont val="等线"/>
        <charset val="134"/>
        <scheme val="minor"/>
      </rPr>
      <t>GarpHero_hit1=0.42#GarpHero_hit1=0.69#GarpHero_hit2=2.27</t>
    </r>
  </si>
  <si>
    <t>铁拳冲击</t>
  </si>
  <si>
    <t>11002</t>
  </si>
  <si>
    <t>GarpHero_chuji_xuli=0.13#GarpHero_chuji_hit=0.83#CV_GarpHero_chuji=0.06</t>
  </si>
  <si>
    <t>铁拳强攻</t>
  </si>
  <si>
    <t>11003</t>
  </si>
  <si>
    <r>
      <rPr>
        <sz val="11"/>
        <color theme="1"/>
        <rFont val="等线"/>
        <charset val="134"/>
        <scheme val="minor"/>
      </rPr>
      <t>GarpHero_qianggong_xuli1=0.54#GarpHero_qianggong_swing1=0.9#GarpHero_qianggong_xuli2=1.44#GarpHero_qianggong_swing2=1.75#CV_GarpHero_qianggong=1.75#</t>
    </r>
    <r>
      <rPr>
        <sz val="11"/>
        <color rgb="FFFF0000"/>
        <rFont val="等线"/>
        <charset val="134"/>
        <scheme val="minor"/>
      </rPr>
      <t>GarpHero_hit1=1.04#GarpHero_hit2=1.99</t>
    </r>
  </si>
  <si>
    <t>正义组合拳</t>
  </si>
  <si>
    <t>11004</t>
  </si>
  <si>
    <t>GarpHero_zuhe_swing1=0.17#GarpHero_zuhe_swing1=0.28#GarpHero_zuhe_swing1=0.38#GarpHero_zuhe_swing1=0.48#GarpHero_zuhe_swing1=0.57#GarpHero_zuhe_swing1=0.67#GarpHero_zuhe_swing1=0.78#GarpHero_zuhe_swing1=0.87#GarpHero_zuhe_xuli=1.14#GarpHero_zuhe_swing2=1.78#GarpHero_zuhe_hit=1.9#GarpHero_hit1=0.24#GarpHero_hit1=0.43#GarpHero_hit1=0.61#GarpHero_hit1=0.78#GarpHero_hit1=0.96#CV_GarpHero_zuhe1=0.09#CV_GarpHero_zuhe2=1.8</t>
  </si>
  <si>
    <t>刺拳猛击</t>
  </si>
  <si>
    <t>11005</t>
  </si>
  <si>
    <r>
      <rPr>
        <sz val="11"/>
        <color theme="1"/>
        <rFont val="等线"/>
        <charset val="134"/>
        <scheme val="minor"/>
      </rPr>
      <t>GarpHero_menggong_swing=0.34#GarpHero_menggong_xuli=0.67#GarpHero_menggong_swing=1.36#</t>
    </r>
    <r>
      <rPr>
        <sz val="11"/>
        <color rgb="FFFF0000"/>
        <rFont val="等线"/>
        <charset val="134"/>
        <scheme val="minor"/>
      </rPr>
      <t>GarpHero_hit1=0.48#GarpHero_hit1=1.49</t>
    </r>
  </si>
  <si>
    <t>英雄一拳</t>
  </si>
  <si>
    <t>11006</t>
  </si>
  <si>
    <t>GarpHero_onepunch_flag=0#GarpHero_onepunch_burn=0.68#GarpHero_onepunch_hand=2.47#GarpHero_onepunch_whoosh1=4.01#GarpHero_onepunch_xuli=4.53#GarpHero_onepunch_drum=5.44#GarpHero_onepunch_ult=6.23#GarpHero_onepunch_impact=7.39#GarpHero_onepunch_fly=8.71#GarpHero_onepunch_explosion=9.07#CV_GarpHero_onepunch1=2.26#CV_GarpHero_onepunch2=6.37#punch_hit_giant01=6.98#punch_hit_medium01=8.45</t>
  </si>
  <si>
    <t>Particles/garp004/garp004_attack06_c</t>
  </si>
  <si>
    <t>天降正义</t>
  </si>
  <si>
    <t>11007</t>
  </si>
  <si>
    <t>GarpHero_justice_hand=1.32#GarpHero_justice_swing=1.8#GarpHero_justice_cloth=2.8#GarpHero_justice_jump=3.07#GarpHero_justice_whoosh=3.67#GarpHero_justice_xuli=4.62#GarpHero_justice_down=5.47#GarpHero_justice_hit1=6.94#GarpHero_justice_hit2=8.38#GarpHero_justice_hit3=9.45#CV_GarpHero_justice1=0.05#CV_GarpHero_justice2=4.36</t>
  </si>
  <si>
    <t>Particles/garp004/garp004_attack07_c</t>
  </si>
  <si>
    <t>惩戒铁球</t>
  </si>
  <si>
    <t>11009</t>
  </si>
  <si>
    <t>GarpHero_ball_bone1=1.23#GarpHero_ball_bone2=1.49#GarpHero_ball_bone3=1.98#GarpHero_ball_down=2.2#GarpHero_ball_catch=3.66#GarpHero_ball_whoosh=5.06#GarpHero_ball_move=6.48#GarpHero_ball_fly=8.35#GarpHero_ball_fall=9.78#GarpHero_ball_hit1=11.58#GarpHero_hit2=11.58#GarpHero_ball_hit2=12.1#CV_GarpHero_ball1=0.91#CV_GarpHero_ball2=4.97</t>
  </si>
  <si>
    <t>Particles/garp004/garp004_attack08_c</t>
  </si>
  <si>
    <t>Particles/garp004/garp004_attack08_light</t>
  </si>
  <si>
    <t>路飞（觉醒四挡）</t>
  </si>
  <si>
    <t>大蛇枪乱打</t>
  </si>
  <si>
    <t>3002711</t>
  </si>
  <si>
    <t>LuffyCZwake_attack_swing=0.57#LuffyCZwake_attack_swing=0.66#LuffyCZwake_attack_swing=0.75#LuffyCZwake_attack_swing=0.88#LuffyCZwake_attack_swing=0.97#LuffyCZwake_attack_swing=1.11#punch_hit_heavyNPC=0.63#punch_hit_heavyNPC=0.76#punch_hit_heavyNPC=0.9#punch_hit_heavyNPC=1.07#punch_hit_heavyNPC=1.23#LuffynewCZ_4_jump=0.02</t>
  </si>
  <si>
    <t>猿王回旋弹</t>
  </si>
  <si>
    <t>3002712</t>
  </si>
  <si>
    <t>LuffyCZwake_aoyi_steam1=0#LuffynewCZ_4_jump=0.46#LuffyCZwake_aoyi_spring=0.52#LuffyCZwake_aoyi_steam2=1.03#LuffyCZwake_aoyi_drum1=1#LuffyCZwake_aoyi_drum2=3.28#LuffyCZwake_aoyi_lock=3.64#LuffynewCZ_rocket_cast=5.18#whooshmedium01=5.65#LuffynewCZ_4attack_swing2=6.41#mihawkCZ_wu_focus=6.75#punch_hit_medium01=7.03#LuffyCZwake_aoyi_dirt=7.55#LuffyCZwake_aoyi_crash=8.06#LuffyCZwake_aoyi_swinggreen=8.65#punch_hit_heavyNPC=9.02#LuffyCZwake_aoyi_shanxian1=9.43#LuffyCZwake_aoyi_shanxian2=10.07#LuffyCZwake_aoyi_swingblue=10.37#punch_hit_medium01=10.55#LuffyCZwake_aoyi_shanxian3=11.7#borsalinoCZ_skill_disappear02=12.1#LuffyCZwake_aoyi_purple=12.31#whooshmedium01=12.5#whooshlarge_fly01=12.67#whoosh_lazer=13.24#punch_hit_medium01=14.55#LuffyCZwake_aoyi_npcdown=15.02#punch_hit_giant01=15.21#LuffyCZwake_aoyi_explosion1=15.44#LuffyCZwake_aoyi_explosion2=15.48#CV_LuffyCZwake_aoyi_1=1.42#CV_LuffyCZwake_aoyi_2=3.77#CV_LuffyCZwake_aoyi_3=9.03#CV_LuffyCZwake_aoyi_4=10.51#CV_LuffyCZwake_aoyi_5=12.48</t>
  </si>
  <si>
    <t>Particles/luffy010_body/luffy012_body_attack11_C</t>
  </si>
  <si>
    <t>3441&amp;&amp;3442&amp;&amp;3443&amp;&amp;3444&amp;&amp;3445&amp;&amp;3446</t>
  </si>
  <si>
    <t>Bip001 Head&amp;&amp;Bip001 L UpperArm&amp;&amp;Bip001 R Forearm&amp;&amp;Bip001 R Hand&amp;&amp;Bip001 R UpperArm&amp;&amp;Bip001 Spine</t>
  </si>
  <si>
    <t>四皇黑胡子</t>
  </si>
  <si>
    <t>11101</t>
  </si>
  <si>
    <t>TeachNew_attack_swing=0.2#TeachNew_attack_swing=0.39#punch_hit_heavyNPC=0.31#punch_hit_heavyNPC=0.51#TeachNew_attack_firegun=0.9#TeachNew_attack_shot=1.27</t>
  </si>
  <si>
    <t>3451&amp;&amp;3452</t>
  </si>
  <si>
    <t>黑暗引力</t>
  </si>
  <si>
    <t>11102</t>
  </si>
  <si>
    <r>
      <rPr>
        <sz val="11"/>
        <color theme="1"/>
        <rFont val="等线"/>
        <charset val="134"/>
        <scheme val="minor"/>
      </rPr>
      <t>TeachNew_gravity_cast=0.2#TeachNew_gravity_swing=1.51#TeachNew_gravity_broken=1.7#punch_hit_medium01=1.7#</t>
    </r>
    <r>
      <rPr>
        <sz val="11"/>
        <color rgb="FFFF0000"/>
        <rFont val="等线"/>
        <charset val="134"/>
        <scheme val="minor"/>
      </rPr>
      <t>punch_hit_small01=0.28#punch_hit_small01=0.43#punch_hit_small01=0.59#punch_hit_small01=0.75#punch_hit_small01=0.92#punch_hit_small01=1.07</t>
    </r>
  </si>
  <si>
    <t>虚空爆裂</t>
  </si>
  <si>
    <t>11103</t>
  </si>
  <si>
    <t>TeachNew_attack_swing=0.21#TeachNew_tearing1=0.33#TeachNew_tearing2=1.84#punch_hit_small01=0.33#punch_hit_small01=0.77#punch_hit_small01=1.24#punch_hit_medium01=2.31</t>
  </si>
  <si>
    <t>-0.1</t>
  </si>
  <si>
    <t>致命射击</t>
  </si>
  <si>
    <t>11104</t>
  </si>
  <si>
    <t>TeachNew_shouting_buff=0.04#TeachNew_shouting_step=0.07#TeachNew_attack_swing=0.87#punch_hit_medium01=1.01#TeachNew_shouting_shot=1.74#TeachNew_shouting_shot=1.88#TeachNew_shouting_shot=2.01#TeachNew_shouting_shot=2.14#TeachNew_shouting_shot=2.28</t>
  </si>
  <si>
    <t>Bone005</t>
  </si>
  <si>
    <t>暗流涌动</t>
  </si>
  <si>
    <t>11105</t>
  </si>
  <si>
    <t>TeachNew_anliu_cast1=0.29#TeachNew_anliu_swing=1.35#TeachNew_anliu_cast2=1.52</t>
  </si>
  <si>
    <t>黑暗泯灭</t>
  </si>
  <si>
    <t>11106</t>
  </si>
  <si>
    <t>TeachNew_darkvanish_appear=0#whooshlarge_nervous=0.76#TeachNew_darkvanish_xuli=1.36#TeachNew_darkvanish_darkball=2.24#TeachNew_darkvanish_whiteball=3.9#mihawkCZ_shark_buff=3.9#TeachNew_darkvanish_swing=5.18#TeachNew_darkvanish_broken=5.47#TeachNew_darkvanish_explosion=6.32#TeachNew_darkvanish_whoosh=7.13#punch_hit_medium01=2.38#punch_hit_medium01=3.26#punch_hit_medium01=4.14#punch_hit_giant01=5.36</t>
  </si>
  <si>
    <t>Particles/blackbeard004_body/blackbeard004_attack06_c</t>
  </si>
  <si>
    <t>暗帝·黑冥王</t>
  </si>
  <si>
    <t>11107</t>
  </si>
  <si>
    <t>ChoppernewCZ_crash_whoosh3=0.02#TeachNew_darklord_broken=0.55#mihawkCZ_shark_buff=0.71#TeachNew_darklord_xuli=1.75#TeachNew_darklord_disappear=7.14#mihawkCZ_wu_focus=7.82#TeachNew_darklord_fall1=8.48#TeachNew_darklord_fall2=8.86#TeachNew_darklord_explosion1=9.45#borsalinoCZ_bachijing_superkick=9.71#TeachNew_darklord_explosion2=10.14</t>
  </si>
  <si>
    <t>Particles/blackbeard004_body/blackbeard004_attack07_c</t>
  </si>
  <si>
    <t>3471&amp;&amp;3472</t>
  </si>
  <si>
    <t>暗水狂潮</t>
  </si>
  <si>
    <t>11108</t>
  </si>
  <si>
    <r>
      <rPr>
        <sz val="11"/>
        <color theme="1"/>
        <rFont val="等线"/>
        <charset val="134"/>
        <scheme val="minor"/>
      </rPr>
      <t>TeachNew_darkwater_show=0.06#TeachNew_darkwater_cast1=2.45#mihawkCZ_wu_focus=3.42#TeachNew_darkwater_cast2_1=4.1#TeachNew_darkwater_cast2_2=4.37#TeachNew_darkwater_cast3=5.29#punch_hit_small01=5.35#TeachNew_darkwater_darkamb=6.39#TeachNew_darkwater_bone=6.73#TeachNew_darkwater_bone=7.29#TeachNew_darkwater_catch=7.92#TeachNew_darkwater_pullout=8.64#TeachNew_darkwater_storm=9.61#</t>
    </r>
    <r>
      <rPr>
        <sz val="11"/>
        <color rgb="FFFF0000"/>
        <rFont val="等线"/>
        <charset val="134"/>
        <scheme val="minor"/>
      </rPr>
      <t>CrocodileCZ_sand_hit=9.93#CrocodileCZ_sand_hit=10.15#CrocodileCZ_sand_hit=10.67#CrocodileCZ_sand_hit=11.54#CrocodileCZ_sand_hit=11.88#CrocodileCZ_sand_hit=12.25#CrocodileCZ_sand_hit=12.55#CrocodileCZ_sand_hit=12.72#CrocodileCZ_sand_hit=13.01#CrocodileCZ_sand_hit=13.36#punch_hit_giant01=14.49</t>
    </r>
  </si>
  <si>
    <t>Particles/blackbeard004_body/blackbeard004_attack08_c</t>
  </si>
  <si>
    <t>3474&amp;&amp;3475</t>
  </si>
  <si>
    <t>犬岚</t>
  </si>
  <si>
    <t>11201</t>
  </si>
  <si>
    <r>
      <rPr>
        <sz val="11"/>
        <color theme="0"/>
        <rFont val="等线"/>
        <charset val="134"/>
        <scheme val="minor"/>
      </rPr>
      <t>Inuarai_attack_swing1=0.28#Inuarai_attack_swing1=0.55#Inuarai_attack_spark=1.19#Inuarai_attack_swing2=1.83#Inuarai_attack_cloth=3.03#</t>
    </r>
    <r>
      <rPr>
        <sz val="11"/>
        <color rgb="FFFFC000"/>
        <rFont val="等线"/>
        <charset val="134"/>
        <scheme val="minor"/>
      </rPr>
      <t>slash_general01=0.37#slash_general01=0.59#slash_general01=1.92</t>
    </r>
  </si>
  <si>
    <t>飞雷斩</t>
  </si>
  <si>
    <t>11202</t>
  </si>
  <si>
    <t>Inuarai_jumping_jump=0.01#CarotCZ_claw_jump=0.19#Inuarai_jumping_swing=0.93#Inuarai_jumping_slash=1.18#slash_general01=1.14#CV_Inuarai_jumping=0.87</t>
  </si>
  <si>
    <t>公爵剑舞</t>
  </si>
  <si>
    <t>11203</t>
  </si>
  <si>
    <t>Inuarai_sword_up=0.06#Inuarai_sword_spark1=0.32#Inuarai_sword_cloth=0.68#Inuarai_sword_swing=1.28#Inuarai_sword_spark2=2.41#slash_general01=1.47#CV_Inuarai_sword=0</t>
  </si>
  <si>
    <t>Bone_weapon02</t>
  </si>
  <si>
    <t>幻雷闪</t>
  </si>
  <si>
    <t>11204</t>
  </si>
  <si>
    <t>Inuarai_crash_shinning=0.42#Inuarai_crash_slash=0.87#Inuarai_crash_back=1.95#slash_large=0.95#CV_Inuarai_crash=0.25</t>
  </si>
  <si>
    <t>3005605</t>
  </si>
  <si>
    <t>JozzCZ_attack_swing=0.27#Inuarai_attack2_spark1=0.34#JozzCZ_attack_swing=0.59#Inuarai_attack2_spark1=0.67#JozzCZ_suppress_jump=1.43#Inuarai_attack2_spark2=1.55#slash_large=0.39#slash_large=0.69#punch_hit_heavyNPC=1.61</t>
  </si>
  <si>
    <t>雷霆释放</t>
  </si>
  <si>
    <t>3005606</t>
  </si>
  <si>
    <t>Inuarai_thunder_saprk1=0.3#JozzCZ_attack_swing=1.49#Inuarai_thunder_spark2=1.59#punch_hit_medium01=1.62#Inuarai_thunder=0</t>
  </si>
  <si>
    <t>3499&amp;&amp;3500</t>
  </si>
  <si>
    <t>电光怒雷斩</t>
  </si>
  <si>
    <t>11207</t>
  </si>
  <si>
    <r>
      <rPr>
        <sz val="11"/>
        <color theme="0"/>
        <rFont val="等线"/>
        <charset val="134"/>
        <scheme val="minor"/>
      </rPr>
      <t>Inuarai_dianguang_swordspark1=1#Inuarai_dianguang_swordspark2=2.28#whoosh_lazer=2.42#Inuarai_dianguang_sparking1=4.05#Inuarai_dianguang_sparking2=5.3#whooshmedium01=6.9#slash_large=7.87#bodyrock_hit01=7.92#Inuarai_dianguang_swing=7.05#Inuarai_dianguang_sparkend=7.93#Inuarai_dianguang_spin=8.97#Inuarai_dianguang_sheath=10.03#CV_Inuarai_dianguang1=0.01#CV_Inuarai_dianguang2=2.39#CV_Inuarai_dianguang3=8.88#</t>
    </r>
    <r>
      <rPr>
        <sz val="11"/>
        <color rgb="FFFFFF00"/>
        <rFont val="等线"/>
        <charset val="134"/>
        <scheme val="minor"/>
      </rPr>
      <t>ReighleyyoungCZ_swordwhoosh=3.93#ReighleyyoungCZ_swordwhoosh=4.04#ReighleyyoungCZ_swordwhoosh=4.17#ReighleyyoungCZ_swordwhoosh=4.29#ReighleyyoungCZ_swordwhoosh=4.38#ReighleyyoungCZ_swordwhoosh=4.48#ReighleyyoungCZ_swordwhoosh=4.58#ReighleyyoungCZ_swordwhoosh=4.67#ReighleyyoungCZ_swordwhoosh=4.76#</t>
    </r>
    <r>
      <rPr>
        <sz val="11"/>
        <color rgb="FFFFC000"/>
        <rFont val="等线"/>
        <charset val="134"/>
        <scheme val="minor"/>
      </rPr>
      <t>slash_general01=4.02#slash_general01=4.15#slash_general01=4.28#slash_general01=4.4#slash_general01=4.5#slash_general01=4.63#slash_general01=4.78#slash_general01=4.91</t>
    </r>
  </si>
  <si>
    <t>Particles/dogduke004/dogduke004_attack07_C</t>
  </si>
  <si>
    <t>野性复苏</t>
  </si>
  <si>
    <t>11208</t>
  </si>
  <si>
    <t>borsalinoCZ_lightkick_shinning=0.17#Inuarai_moon_cloth=0.74#whooshmedium02=1.61#slap_hit_male=2.41#Inuarai_moon_sparkenergy1=2.31#Inuarai_moon_sparkenergy2=4.77#Inuarai_moon_rockexplsion=6.51#mihawkCZ_wu_focus=8.06#borsalinoCZ_bachijing_bachijing=8.65#Inuarai_moon_kick=8.65#borsalinoCZ_bachijing_bachijing=9.1#Inuarai_moon_kick=9.1#Inuarai_moon_spark1=9.37#whooshlarge_crash01=9.46#borsalinoCZ_skill_appear02=10.58#slash_large=10.64#Inuarai_moon_spark2=10.7#Inuarai_moon_explosion=11.54#punch_hit_giant01=11.61#CV_Inuarai_moon1=1.85#CV_Inuarai_moon2=5.83#CV_Inuarai_moon3=7.59</t>
  </si>
  <si>
    <t>Particles/dogduke004/dogduke005_attack08_C</t>
  </si>
  <si>
    <t>3505&amp;&amp;3543</t>
  </si>
  <si>
    <t>Bip001 Spine1&amp;&amp;Bip001 R Hand</t>
  </si>
  <si>
    <t>犬·大门风</t>
  </si>
  <si>
    <t>3005609</t>
  </si>
  <si>
    <t>Inuarai_winddog_wind=0.06#Inuarai_winddog_sparksmall=1.77#Inuarai_winddog_red=2.43#slap_hit_male=3.38#bodyrock_hit01=3.38#Inuarai_winddog_sparkhand=3.38#Inuarai_winddog_roar=2.48#whooshlarge_nervous02=3.84#Inuarai_winddog_sparkup=3.96#borsalinoCZ_skill_appear02=4.65#Inuarai_winddog_sparkslash1=4.75#Inuarai_winddog_sparkslash1=5.34#slash_large=4.77#slash_large=5.37#borsalinoCZ_skill_appear02=5.24#borsalinoCZ_skill_appear02=5.89#Inuarai_winddog_sparkslash2=5.95#slash_large=6#Inuarai_winddog_sparkbig=7.22#whooshlarge_slashly03=7.22#Inuarai_winddog_sparkend=8.28#punch_hit_giant01=8.44#bodyrock_hit02=8.49#whooshlarge_general=10.21#Inuarai_winddog_turn=11.8#CV_Inuarai_winddog1=0.84#CV_Inuarai_winddog2=3.31</t>
  </si>
  <si>
    <t>Particles/dogduke004/dogduke005_attack09_C</t>
  </si>
  <si>
    <t>猫蝮蛇</t>
  </si>
  <si>
    <t>11301</t>
  </si>
  <si>
    <t>Nekomamusi_attack_weapon=0.07#Nekomamusi_attack_cannongreen=0.47#Nekomamusi_attack_cannongreen=0.97#Nekomamusi_attack_swing=1.87#slash_general01=2.06</t>
  </si>
  <si>
    <t>狂乱射击</t>
  </si>
  <si>
    <t>11302</t>
  </si>
  <si>
    <t>Nekomamusi_attack_weapon=0.2#Nekomamusi_attack_cannongreen=0.59#Nekomamusi_attack_cannongreen=1.11#Nekomamusi_cannon_xuli=1.74#Nekomamusi_cannon_blue=2.5#CV_Nekomamusi_cannon=0.36</t>
  </si>
  <si>
    <t>扩散电核</t>
  </si>
  <si>
    <t>11303</t>
  </si>
  <si>
    <t>Nekomamusi_kuosan_spark1=0.03#Nekomamusi_kuosan_sparksmall1=1.04#Nekomamusi_kuosan_sparksmall2=1.56#punch_hit_small01=1.1#punch_hit_small01=1.6#CV_Nekomamusi_kuosan=0.97</t>
  </si>
  <si>
    <t>3005704</t>
  </si>
  <si>
    <t>Nekomamusi_attack2_swing1=0.29#Nekomamusi_attack2_swing1=0.74#Nekomamusi_attack2_swing2=1.26#slash_large=0.38#slash_large=0.8#slash_large=1.35</t>
  </si>
  <si>
    <t>电弧爆发</t>
  </si>
  <si>
    <t>3005705</t>
  </si>
  <si>
    <t>Nekomamusi_dianhu_swing=0.32#JozzCZ_attack_swing=1.13#Nekomamusi_dianhu_spark=1.29#CV_Nekomamusi_dianhu=0.71</t>
  </si>
  <si>
    <t>猫尾横扫</t>
  </si>
  <si>
    <t>3005706</t>
  </si>
  <si>
    <t>Nekomamusi_maowei_swing1=0.21#Nekomamusi_maowei_swing2=1.26#slash_large=0.38#slash_large=1.4#CV_Nekomamusi_maowei=0.12</t>
  </si>
  <si>
    <t>Bip001 R Finger2</t>
  </si>
  <si>
    <t>闪电突袭</t>
  </si>
  <si>
    <t>11307</t>
  </si>
  <si>
    <r>
      <rPr>
        <sz val="11"/>
        <color theme="1"/>
        <rFont val="等线"/>
        <charset val="134"/>
        <scheme val="minor"/>
      </rPr>
      <t>Nekomamusi_lighting_sparkbig=0#borsalinoCZ_lightkick_shinning=3.3#Nekomamusi_lighting_crash=3.36#Nekomamusi_lighting_yellow=3.81#borsalinoCZ_bachijing_bachijing=3.81#Nekomamusi_lighting_rock=4.55#Nekomamusi_lighting_swing1=4.84#Nekomamusi_lighting_swing2=5.77#Nekomamusi_lighting_swing3=6.64#Nekomamusi_lighting_swing4=7.48#mihawkCZ_wu_focus=8.48#Nekomamusi_lighting_spin=8.67#Nekomamusi_lighting_cannon=10.39#Nekomamusi_lighting_explosion=11.4#CV_Nekomamusi_lighting1=0.88#CV_Nekomamusi_lighting2=3.71#</t>
    </r>
    <r>
      <rPr>
        <sz val="11"/>
        <color rgb="FF0070C0"/>
        <rFont val="等线"/>
        <charset val="134"/>
        <scheme val="minor"/>
      </rPr>
      <t>slash_general01=5.04#slash_general01=6.06#slash_general01=6.78#slash_general01=7.87#punch_hit_small01=8.74#punch_hit_small01=9.11#punch_hit_small01=9.48#punch_hit_small01=9.85</t>
    </r>
  </si>
  <si>
    <t>Particles/catviper004_body/catviper004_attack07_c</t>
  </si>
  <si>
    <t>3534&amp;&amp;3535&amp;&amp;3536&amp;&amp;3537</t>
  </si>
  <si>
    <t>Bip001 R Forearm&amp;&amp;Bip001 Spine1&amp;&amp;Bone_weapon&amp;&amp;Bone_weapon003</t>
  </si>
  <si>
    <t>赤猫舞</t>
  </si>
  <si>
    <t>11308</t>
  </si>
  <si>
    <t>Nekomamusi_reddance_eyes=0.23#whooshsmall_general=0.82#Nekomamusi_reddance_spark=0.91#OdenCZ_dragon_footrock=2.15#whooshlarge_nervous=2.47#Nekomamusi_reddance_cym=2.49#Nekomamusi_reddance_sparksmall=3.29#Nekomamusi_reddance_whoosh=3.93#mihawkCZ_wu_focus=4.04#whooshmedium01=4.55#Nekomamusi_reddance_wind=5.09#Nekomamusi_reddance_swing=5.55#whooshlarge_fly01=7.26#LuffyCZ_JETrocket_rockhit=7.93#EnelCZ_judgment=8#punch_hit_medium01=7.93#CV_Nekomamusi_reddance1=0.63#CV_Nekomamusi_reddance2=2.26#CV_Nekomamusi_reddance3=5.23</t>
  </si>
  <si>
    <t>Particles/catviper004_body/catviper005_attack08_C</t>
  </si>
  <si>
    <t>Particles/catviper004_body/Catviper005_attack08_light</t>
  </si>
  <si>
    <t>猫笑冲突</t>
  </si>
  <si>
    <t>3005709</t>
  </si>
  <si>
    <t>Nekomamusi_crash_spark=0.09#borsalinoCZ_skysword_swordend=1.34#mihawkCZ_wu_focus=1.54#Nekomamusi_crash_foot=1.52#Nekomamusi_crash_foot=1.68#Nekomamusi_crash_foot=1.85#Nekomamusi_crash_foot=2.01#Nekomamusi_crash_foot=2.18#Nekomamusi_crash_foot=2.34#Nekomamusi_crash_foot=2.51#Nekomamusi_crash_foot=2.67#Nekomamusi_crash_foot=2.84#borsalinoCZ_qionggouyu_laser=3.02#borsalinoCZ_qionggouyu_laser=3.16#borsalinoCZ_qionggouyu_laser=3.31#borsalinoCZ_qionggouyu_laser=3.47#Nekomamusi_crash_sparkcrash=3.06#Nekomamusi_crash_sparkcrash=3.2#Nekomamusi_crash_sparkcrash=3.35#Nekomamusi_crash_sparkcrash=3.51#Nekomamusi_crash_spin=3.89#Nekomamusi_crash_swing=4.93#punch_hit_medium01=5.08#Nekomamusi_crash_cannon1=5.79#Nekomamusi_crash_cannon2=6.06#Nekomamusi_crash_cannon2=6.15#Nekomamusi_crash_cannon2=6.23#Nekomamusi_crash_cannon2=6.36#Nekomamusi_crash_exp1=6.45#Nekomamusi_crash_exp1=6.6#Nekomamusi_crash_exp1=6.73#Nekomamusi_crash_exp1=6.88#Nekomamusi_crash_xuli=7.57#borsalinoCZ_qionggouyu_energy=7.83#Nekomamusi_crash_cannon3=8.6#SmokernewCZ_sprite_xuli=8.81#Nekomamusi_crash_exp1=9.63#punch_hit_small01=9.63#borsalinoCZ_lightkick_cast=9.79#Nekomamusi_crash_exp2=10.03#punch_hit_giant01=10.05#CV_Nekomamusi_crash1=1.49#CV_Nekomamusi_crash2=4.8#CV_Nekomamusi_crash3=7.51</t>
  </si>
  <si>
    <t>Particles/catviper004_body/catviper005_attack09_C</t>
  </si>
  <si>
    <t>赤猫舞（单体）</t>
  </si>
  <si>
    <t>艾斯（觉醒小技能测试数据）</t>
  </si>
  <si>
    <t>炎上网</t>
  </si>
  <si>
    <t>5010</t>
  </si>
  <si>
    <t>AceCZ_netfire_spell=0.06#AceCZ_netfire_xuli=1.29</t>
  </si>
  <si>
    <t>布琳</t>
  </si>
  <si>
    <t>11401</t>
  </si>
  <si>
    <t>Purin_attack_pistol=0.51#Purin_attack_shoot=1.07</t>
  </si>
  <si>
    <t>0.3</t>
  </si>
  <si>
    <t>甜蜜降临</t>
  </si>
  <si>
    <t>11402</t>
  </si>
  <si>
    <t>Purin_sweetcoming_bell=0.1#Purin_sweetcoming_candy=0.73#Purin_sweetcoming_throw=1.46#Purin_sweet_impact=1.9</t>
  </si>
  <si>
    <t>Bone_flower</t>
  </si>
  <si>
    <t>失忆射击</t>
  </si>
  <si>
    <t>11403</t>
  </si>
  <si>
    <t>Purin_shiyi_xuli=0.38#Purin_shiyi_cast=0.69#Purin_shiyi_hit=1.04#Purin_shiyi_pistol1=1.72#Purin_shiyi_pistol2=2.17</t>
  </si>
  <si>
    <t>0.15</t>
  </si>
  <si>
    <t>记忆之线</t>
  </si>
  <si>
    <t>11404</t>
  </si>
  <si>
    <t>Purin_line_xuli=0.03#Purin_line_cast=0.52#borsalinoCZ_lightpillar_castend=0.62#Purin_line_swing=1.56#CV_Purin_sweetcoming=0.1</t>
  </si>
  <si>
    <t>-2.8</t>
  </si>
  <si>
    <t>记忆编辑</t>
  </si>
  <si>
    <t>11405</t>
  </si>
  <si>
    <t>CarotCZ_huixing_appear=0.02#Purin_memory_xuli=3.03#Purin_memory_dark=3.59#CarotCZ_lion_eyes=4.43#RobinnewCZ_supertree_swing=6.2#slash_general01=6.08#Purin_memory_projector=6.43#ChoppernewCZ_crash_whoosh3=7.16#Purin_memory_paper=7.49#Purin_memory_cut=9.04#slash_large=9.04#CV_Purin_memory1=3.63#CV_Purin_memory2=8.2</t>
  </si>
  <si>
    <t>Particles/pudding001/pudding001_attack05_C</t>
  </si>
  <si>
    <t>甜点料理</t>
  </si>
  <si>
    <t>11406</t>
  </si>
  <si>
    <t>Purin_sweet_pai1=0.98#Purin_sweet_pai2=1.42#Purin_sweet_hello=2#Purin_sweet_finger=3.1#mihawkCZ_wu_focus=3.15#whooshlarge_general=3.57#Purin_sweet_flying=4.32#Purin_sweet_throw1=6.31#Purin_sweet_hit1=6.98#Purin_sweet_throw2=7.35#Purin_sweet_hit2=7.9#Purin_sweet_throw3=7.94#Purin_sweet_hit3=8.53#Purin_sweet_throw4=8.65#Purin_sweet_hit4=8.87#whooshmedium02=9.31#Purin_sweet_shinning=9.34#Purin_sweet_end=10.28#CV_Purin_sweet1=0.7#CV_Purin_sweet2=2.14</t>
  </si>
  <si>
    <t>Particles/pudding001/pudding001_attack06_C</t>
  </si>
  <si>
    <t>0.2,0,0</t>
  </si>
  <si>
    <t>记忆之线·闪回</t>
  </si>
  <si>
    <t>11407</t>
  </si>
  <si>
    <r>
      <rPr>
        <sz val="11"/>
        <color theme="1"/>
        <rFont val="等线"/>
        <charset val="134"/>
        <scheme val="minor"/>
      </rPr>
      <t>whoosh_lazer=0.1#Purin_whooshback_xuli=1.63#mihawkCZ_wu_focus=2.85#LuffynewCZ_combo_swing=3.35#borsalinoCZ_lightpillar_castend=3.49#Purin_whooshback_cast1=3.54#Purin_whooshback_castbuff=3.43#Purin_whooshback_cast2=4.26#Purin_whooshback_cast2=4.58#Purin_whooshback_cast2=4.87#Purin_whooshback_cast2=5.13#Purin_whooshback_putback=5.63#whooshmedium03=6.16#Purin_whooshback_back=6.27#Purin_whooshback_ball=6.53#Purin_whooshback_lighting=7.58#whooshmedium01=9.68#Purin_whooshback_spark1=9.87#Purin_whooshback_end=10.13#CV_Purin_whooshback1=1.76#CV_Purin_whooshback2=8.76#</t>
    </r>
    <r>
      <rPr>
        <sz val="11"/>
        <color rgb="FF92D050"/>
        <rFont val="等线"/>
        <charset val="134"/>
        <scheme val="minor"/>
      </rPr>
      <t>slash_general01=4.28#slash_general01=4.56#slash_general01=4.87#slash_general01=5.11#punch_hit_giant01=10.9#punch_hit_giant01=12.1</t>
    </r>
  </si>
  <si>
    <t>Particles/pudding001/pudding001_attack07_C</t>
  </si>
  <si>
    <t>3573&amp;&amp;3590</t>
  </si>
  <si>
    <t>艾尼路（觉醒）</t>
  </si>
  <si>
    <t>3608</t>
  </si>
  <si>
    <t>EnelCZ_newthunder_taiko1=0.56#EnelCZ_newthunder_longspark1=1.21#EnelCZ_newthunder_taiko2=1.95#EnelCZ_newthunder_spin=3.08#EnelCZ_newthunder_catch=4.04#EnelCZ_newthunder_taiko3=4.84#LucciCZ_leopardsixgun_swing=6.48#EnelCZ_newthunder_smallthunder=6.93#EnelCZ_newthunder_longspark2=7.9#EnelCZ_newthunder_elecball1=9.73#whooshlarge_slashly01=10.49#EnelCZ_newthunder_elecball2=11.35#EnelCZ_newthunder_longspark3=12.18#mihawkCZ_wu_focus=12.78#ZoronewCZ_attack_swing2=12.99#EnelCZ_newthunder_sparkswing=12.99#whooshlarge_slashly03=14.16#LucciCZ_leopardattack_swing02=14.98#EnelCZ_newthunder_explosion=15.41#CV_EnelCZ_newthunder=0</t>
  </si>
  <si>
    <t>Particles/enel/enel_attack08_c</t>
  </si>
  <si>
    <t>3580&amp;&amp;3581&amp;&amp;3582&amp;&amp;3583&amp;&amp;3584&amp;&amp;3585&amp;&amp;3586&amp;&amp;3587&amp;&amp;3588&amp;&amp;3589</t>
  </si>
  <si>
    <t>Bip001 L Calf&amp;&amp;Bip001 L Foot&amp;&amp;Bip001 L Forearm&amp;&amp;Bip001 L UpperArm&amp;&amp;Bip001 R Foot&amp;&amp;Bip001 R Forearm&amp;&amp;Bip001 R UpperArm&amp;&amp;Bip001 Spine&amp;&amp;Bip001 Spine1&amp;&amp;Point002</t>
  </si>
  <si>
    <t>艾尼路雷神（强化）</t>
  </si>
  <si>
    <t>艾尼路（觉醒变身后）</t>
  </si>
  <si>
    <t>千万伏特·雷兽</t>
  </si>
  <si>
    <t>300805</t>
  </si>
  <si>
    <t>EnelCZ_dog_spark1=0.16#EnelCZ_dog_swing=1.06#EnelCZ_dog_roar=1.27#EnelCZ_dog_spark2=1.77#CV_EnelCZ_dog=0.24</t>
  </si>
  <si>
    <t>霍金斯（测试）</t>
  </si>
  <si>
    <t>11501</t>
  </si>
  <si>
    <t>Hawkins_Attack01_01=0#Hawkins_Attack01_02=0.52#Hawkins_Attack01_03=0.96#Hawkins_Attack01_04=1.4#Hawkins_Attack01_05=2.6</t>
  </si>
  <si>
    <t>洗牌·速</t>
  </si>
  <si>
    <t>11502</t>
  </si>
  <si>
    <t>Hawkins_Attack02_01=0.42#Hawkins_Attack02_02=1.01#Hawkins_Attack02_03=1.391</t>
  </si>
  <si>
    <t>洗牌·御</t>
  </si>
  <si>
    <t>11503</t>
  </si>
  <si>
    <t>Hawkins_Attack03_01=0.60#Hawkins_Attack03_02=1.09#Hawkins_Attack03_03=2.70#Hawkins_Attack03_04=3.82</t>
  </si>
  <si>
    <t>洗牌·攻</t>
  </si>
  <si>
    <t>11504</t>
  </si>
  <si>
    <t>Hawkins_Attack04_01=0.31#Hawkins_Attack04_02=1.08#Hawkins_Attack04_03=2.06#Hawkins_Attack04_04=3.39</t>
  </si>
  <si>
    <t>厄运降临</t>
  </si>
  <si>
    <t>11505</t>
  </si>
  <si>
    <t>Hawkins_Attack05_01=0.03</t>
  </si>
  <si>
    <t>稻草备手刀</t>
  </si>
  <si>
    <t>11506</t>
  </si>
  <si>
    <t>Hawkins_Attack06_01=0.256#Hawkins_Attack06_02=1.265</t>
  </si>
  <si>
    <t xml:space="preserve">root </t>
  </si>
  <si>
    <t>愚者逆位</t>
  </si>
  <si>
    <t>11507</t>
  </si>
  <si>
    <t>Hawkins_Attack07_01=0.21#Hawkins_Attack07_02=0.95#CV_Hawkins_Attack07=0.28</t>
  </si>
  <si>
    <t>巫毒娃娃</t>
  </si>
  <si>
    <t>11508</t>
  </si>
  <si>
    <t>Hawkins_Attack08_01=0.08#Hawkins_Attack08_02=1.19</t>
  </si>
  <si>
    <t>Bone_Bip001 L Finger11</t>
  </si>
  <si>
    <t>命运卡牌</t>
  </si>
  <si>
    <t>11509</t>
  </si>
  <si>
    <t>Hawkins_Attack09_01=0.07#Hawkins_Attack09_02=0.58#Hawkins_Attack09_03=1.19#Hawkins_Attack09_04=1.78#Hawkins_Attack09_05=3.38#Hawkins_Attack09_06=4.66#Hawkins_Attack09_07=5.73#Hawkins_Attack09_08=7.15#CV_Hawkins_Attack09_01=1.16</t>
  </si>
  <si>
    <t>Particles/hawkins002/hawkins002_attack09_C</t>
  </si>
  <si>
    <t>稻草人牌</t>
  </si>
  <si>
    <t>11510</t>
  </si>
  <si>
    <t>Hawkins_Attack10_01=0.12#Hawkins_Attack10_02=0.91#Hawkins_Attack10_03=2.94#Hawkins_Attack10_04=4.66#Hawkins_Attack10_05=6.50#Hawkins_Attack10_06=6.73#Hawkins_Attack10_07=9.24#Hawkins_Attack10_08=10.33#Hawkins_Attack10_09=11.61#CV_Hawkins_Attack10=1.36</t>
  </si>
  <si>
    <t>Particles/hawkins002/hawkins002_attack10_C</t>
  </si>
  <si>
    <t>教皇逆位</t>
  </si>
  <si>
    <t>11511</t>
  </si>
  <si>
    <t>Hawkins_Attack11_01=1.21#Hawkins_Attack11_02=1.74#Hawkins_Attack11_03=2.17#Hawkins_Attack11_04=3.93#Hawkins_Attack11_05=4.67#Hawkins_Attack11_06=6.70#Hawkins_Attack11_07=7.78#Hawkins_Attack11_08=8.86#Hawkins_Attack11_09=10.38#CV_Hawkins_Attack11=0.32</t>
  </si>
  <si>
    <t>Particles/hawkins002/hawkins002_attack11_C</t>
  </si>
  <si>
    <t>觉醒女帝</t>
  </si>
  <si>
    <t>9810</t>
  </si>
  <si>
    <t>凯多龙（测试）</t>
  </si>
  <si>
    <t>3006101</t>
  </si>
  <si>
    <t>虏之矢（单体）觉醒</t>
  </si>
  <si>
    <t>德雷克</t>
  </si>
  <si>
    <t>11601</t>
  </si>
  <si>
    <t>Drake_Attack01_01=0.088#Drake_Attack01_02=0.563</t>
  </si>
  <si>
    <t>X·冲击</t>
  </si>
  <si>
    <t>11602</t>
  </si>
  <si>
    <t>Drake_Attack02_01=0.350#Drake_Attack02_02=0.450#Drake_Attack02_03=0.885</t>
  </si>
  <si>
    <t>破碎打击</t>
  </si>
  <si>
    <t>11603</t>
  </si>
  <si>
    <t>Drake_Attack03_01=0.249#Drake_Attack03_02=0.481#Drake_Attack03_03=1.162</t>
  </si>
  <si>
    <t>割裂旋风</t>
  </si>
  <si>
    <t>11604</t>
  </si>
  <si>
    <t>Drake_Attack04_01=0.127#Drake_Attack04_02=0.367#Drake_Attack04_03=0.870</t>
  </si>
  <si>
    <t>X·强攻</t>
  </si>
  <si>
    <t>11605</t>
  </si>
  <si>
    <t>Drake_Attack05_01=0.133#Drake_Attack05_02=0.331#Drake_Attack05_03=1.155#Drake_Attack05_04=1.944#Drake_Attack05_05=2.775#Drake_Attack05_06=3.104#Drake_Attack05_07=3.788#Drake_Attack05_08=4.395#Drake_Attack05_09=4.846#Drake_Attack05_10=5.232#Drake_Attack05_11=5.686#Drake_Attack05_12=6.496#Drake_Attack05_13=7.022#Drake_Attack05_14=8.460#CV_Drake_Attack05=0.705</t>
  </si>
  <si>
    <t>Particles/drake003/drake003_attack05_C</t>
  </si>
  <si>
    <t>Particles/drake003/drake003_attack05_light</t>
  </si>
  <si>
    <t>异特变身</t>
  </si>
  <si>
    <t>11606</t>
  </si>
  <si>
    <t>Drake_Attack06_01=0.986#Drake_Attack06_02=1.247#Drake_Attack06_03=2.005#Drake_Attack06_04=2.144#Drake_Attack06_05=3.556#Drake_Attack06_06=4.013#Drake_Attack06_07=4.681#Drake_Attack06_08=5.890#Drake_Attack06_09=6.381#Drake_Attack06_10=7.164#Drake_Attack06_11=8.069#Drake_Attack06_12=8.624#Drake_Attack06_13=9.014#Drake_Attack06_14=9.589#Drake_Attack06_15=9.744#CV_Drake_Attack06_01=1.012#CV_Drake_Attack06_02=2.105</t>
  </si>
  <si>
    <t>Particles/drake003/drake003_attack06_C</t>
  </si>
  <si>
    <t>3006207</t>
  </si>
  <si>
    <t>Drake_Attack07_01=0.325#Drake_Attack07_02=1.335#Drake_Attack07_03=1.827</t>
  </si>
  <si>
    <t>异特猛攻</t>
  </si>
  <si>
    <t>3006208</t>
  </si>
  <si>
    <t>Drake_Attack08_01=0.162#Drake_Attack08_02=0.826</t>
  </si>
  <si>
    <t>X·狩猎场</t>
  </si>
  <si>
    <t>3006209</t>
  </si>
  <si>
    <t>Drake_Attack09_01=0.075#Drake_Attack09_02=0.328#Drake_Attack09_03=0.740#Drake_Attack09_04=1.091#Drake_Attack09_05=2.030#Drake_Attack09_06=3.932#Drake_Attack09_07=4.230#Drake_Attack09_08=5.004#Drake_Attack09_09=5.367#Drake_Attack09_10=6.206#CV_Drake_Attack09=2.748</t>
  </si>
  <si>
    <t>Particles/drake003/drake004_attack09_C</t>
  </si>
  <si>
    <t>3680&amp;&amp;3681&amp;&amp;3682</t>
  </si>
  <si>
    <t>Bip001 Prop2&amp;&amp;Bip001 Prop3&amp;&amp;Bip001 Spine</t>
  </si>
  <si>
    <t>沙鳄鱼</t>
  </si>
  <si>
    <t>沙漠大剑</t>
  </si>
  <si>
    <t>3510</t>
  </si>
  <si>
    <t>CV_CrocodileAwake_Attack10_01=0.045#CV_CrocodileAwake_Attack10_02=0.859#CV_CrocodileAwake_Attack10_03=1.163#CV_CrocodileAwake_Attack10_04=2.095＃CrocodileCZ_sand_hit＝2.1#CrocodileCZ_newmoonsand_sand=0.86#CrocodileCZ_sandstorm_storm=1.163#CrocodileCZ_samsara_hitground=3#se_Punch_Giant_Hit=3#se_Swordheavy_Hit=3#se_Punch_Giant_Hit=3.4</t>
  </si>
  <si>
    <t>雨之希留</t>
  </si>
  <si>
    <t>11701</t>
  </si>
  <si>
    <t>Hero_YuZhiXiLiu_Attack01_01=0.13#Hero_YuZhiXiLiu_Attack01_02=0.45#Hero_YuZhiXiLiu_Attack01_03=0.69#Hero_YuZhiXiLiu_Attack01_04=1.35#Hero_YuZhiXiLiu_Attack01_05=2.68</t>
  </si>
  <si>
    <t>迅斩</t>
  </si>
  <si>
    <t>11702</t>
  </si>
  <si>
    <t>Hero_YuZhiXiLiu_SkillAttack01_01=0.05#Hero_YuZhiXiLiu_SkillAttack01_02=0.4#Hero_YuZhiXiLiu_SkillAttack01_03=0.61#Hero_YuZhiXiLiu_SkillAttack01_04=1.05#Hero_YuZhiXiLiu_SkillAttack01_05=2.72#Hero_YuZhiXiLiu_SkillAttack01_06=3.05</t>
  </si>
  <si>
    <t>11703</t>
  </si>
  <si>
    <t>Hero_YuZhiXiLiu_SkillAttack02_01=0.12#Hero_YuZhiXiLiu_SkillAttack02_02#0.26#Hero_YuZhiXiLiu_SkillAttack02_03=0.91#Hero_YuZhiXiLiu_SkillAttack02_04=1.65#Hero_YuZhiXiLiu_SkillAttack02_05=2.75#Hero_YuZhiXiLiu_SkillAttack02_06=3.03#Hero_YuZhiXiLiu_SkillAttack02_07=4.41#Hero_YuZhiXiLiu_SkillAttack02_08=4.82</t>
  </si>
  <si>
    <t>血光斩</t>
  </si>
  <si>
    <t>11704</t>
  </si>
  <si>
    <t>Hero_YuZhiXiLiu_SkillAttack03_01=0.36#Hero_YuZhiXiLiu_SkillAttack03_02=0.42#Hero_YuZhiXiLiu_SkillAttack03_03=0.95#Hero_YuZhiXiLiu_SkillAttack03_04=1.1#Hero_YuZhiXiLiu_SkillAttack03_05=2.72#Hero_YuZhiXiLiu_SkillAttack03_06=3.83#Hero_YuZhiXiLiu_SkillAttack03_07=4.34</t>
  </si>
  <si>
    <t>骤雨斩</t>
  </si>
  <si>
    <t>11705</t>
  </si>
  <si>
    <t>Hero_YuZhiXiLiu_SkillAttack04_01=0.2#Hero_YuZhiXiLiu_SkillAttack04_02=0.15#Hero_YuZhiXiLiu_SkillAttack04_03=0.8#Hero_YuZhiXiLiu_SkillAttack04_04=0.95#Hero_YuZhiXiLiu_SkillAttack04_05=1.7#Hero_YuZhiXiLiu_SkillAttack04_06=1.78#Hero_YuZhiXiLiu_SkillAttack04_07=3.35#Hero_YuZhiXiLiu_SkillAttack04_08=3.64#Hero_YuZhiXiLiu_SkillAttack04_09=4.58#Hero_YuZhiXiLiu_SkillAttack04_10=5.02#Hero_YuZhiXiLiu_Skill04Hit_02=1.81#Hero_YuZhiXiLiu_Skill04Hit_03=1.98#Hero_YuZhiXiLiu_Skill04Hit_04=2.12#Hero_YuZhiXiLiu_Skill04Hit_05=2.34#Hero_YuZhiXiLiu_Skill04Hit_06=2.43#Hero_YuZhiXiLiu_Skill04Hit_07=2.61</t>
  </si>
  <si>
    <t>死亡时刻</t>
  </si>
  <si>
    <t>11709</t>
  </si>
  <si>
    <t>Hero_YuZhiXiLiu_SkillAttack05_01=0#Hero_YuZhiXiLiu_SkillAttack05_02=0.23#Hero_YuZhiXiLiu_SkillAttack05_03=0.25#Hero_YuZhiXiLiu_SkillAttack05_04=0.88#Hero_YuZhiXiLiu_SkillAttack05_05=1.05#Hero_YuZhiXiLiu_SkillAttack05_06=1.37#Hero_YuZhiXiLiu_SkillAttack05_07=1.44#Hero_YuZhiXiLiu_SkillAttack05_08=1.75#Hero_YuZhiXiLiu_SkillAttack05_09=1.9#CV_YuZhiXiLiu_5=2.19#Hero_YuZhiXiLiu_SkillAttack05_10=2.5#Hero_YuZhiXiLiu_SkillAttack05_11=2.65#Hero_YuZhiXiLiu_SkillAttack05_12=3.4#Hero_YuZhiXiLiu_SkillAttack05_13=4.25#Hero_YuZhiXiLiu_SkillAttack05_14=5.1#Hero_YuZhiXiLiu_SkillAttack05_15=5.56#Hero_YuZhiXiLiu_SkillAttack05_16=6.12#Hero_YuZhiXiLiu_SkillAttack05_17=6.73#Hero_YuZhiXiLiu_SkillAttack05_18=7.02#Hero_YuZhiXiLiu_SkillAttack05_19=7.31#Hero_YuZhiXiLiu_Skill05Hit_01=8.15</t>
  </si>
  <si>
    <t>Particles/shiliew002/shiliew002_attack06_C</t>
  </si>
  <si>
    <t>Particles/shiliew002/shiliew002_attack06_light</t>
  </si>
  <si>
    <t>疾影突袭</t>
  </si>
  <si>
    <t>11710</t>
  </si>
  <si>
    <t>Hero_YuZhiXiLiu_SkillAttack06_01=0#Hero_YuZhiXiLiu_SkillAttack06_02=0.65#CV_YuZhiXiLiu_7=1.2#Hero_YuZhiXiLiu_SkillAttack06_03=1.25#Hero_YuZhiXiLiu_SkillAttack06_04=1.54#Hero_YuZhiXiLiu_SkillAttack06_05=1.83#Hero_YuZhiXiLiu_SkillAttack06_06=1.95#Hero_YuZhiXiLiu_SkillAttack06_07=2.52#Hero_YuZhiXiLiu_SkillAttack06_08=2.54#Hero_YuZhiXiLiu_SkillAttack06_09=2.65#Hero_YuZhiXiLiu_SkillAttack06_10=3.1#Hero_YuZhiXiLiu_SkillAttack06_11=3.7#Hero_YuZhiXiLiu_SkillAttack06_12=4.23#Hero_YuZhiXiLiu_SkillAttack06_13=4.64#Hero_YuZhiXiLiu_SkillAttack06_14=5.01#Hero_YuZhiXiLiu_SkillAttack06_15=5.22#Hero_YuZhiXiLiu_SkillAttack06_16=5.25#Hero_YuZhiXiLiu_SkillAttack06_17=5.45#Hero_YuZhiXiLiu_SkillAttack06_18=5.95#Hero_YuZhiXiLiu_SkillAttack06_19=6.85#Hero_YuZhiXiLiu_SkillAttack06_20=7.65#Hero_YuZhiXiLiu_SkillAttack06_21=8.18#Hero_YuZhiXiLiu_SkillAttack06_22=9.8#CV_YuZhiXiLiu_6=9.9#Hero_YuZhiXiLiu_SkillAttack06_23=10.72</t>
  </si>
  <si>
    <t>Particles/shiliew002/shiliew002_attack07_C</t>
  </si>
  <si>
    <t>无影强袭</t>
  </si>
  <si>
    <t>11711</t>
  </si>
  <si>
    <t>Hero_YuZhiXiLiu_SkillAttack07_01=0#Hero_YuZhiXiLiu_SkillAttack07_02=0.16#Hero_YuZhiXiLiu_SkillAttack07_03=1.14#Hero_YuZhiXiLiu_SkillAttack07_04=1.15#CV_YuZhiXiLiu_3=1.2#Hero_YuZhiXiLiu_SkillAttack07_05=2.1#Hero_YuZhiXiLiu_SkillAttack07_06=3.68#Hero_YuZhiXiLiu_SkillAttack07_07=4.6#Hero_YuZhiXiLiu_SkillAttack07_08=5.51#Hero_YuZhiXiLiu_SkillAttack07_09=5.7#Hero_YuZhiXiLiu_SkillAttack07_10=6.11#Hero_YuZhiXiLiu_SkillAttack07_11=6.32#Hero_YuZhiXiLiu_SkillAttack07_12=6.56#Hero_YuZhiXiLiu_SkillAttack07_13=6.83#Hero_YuZhiXiLiu_SkillAttack07_14=7#Hero_YuZhiXiLiu_SkillAttack07_15=7.79#Hero_YuZhiXiLiu_SkillAttack07_16=8.38#CV_YuZhiXiLiu_4=8.55#Hero_YuZhiXiLiu_SkillAttack07_17=9.62#Hero_YuZhiXiLiu_SkillAttack07_18=10.28#Hero_YuZhiXiLiu_SkillAttack07_19=11.02#Hero_YuZhiXiLiu_SkillAttack07_20=12.77#Hero_YuZhiXiLiu_SkillAttack07_21=12.99</t>
  </si>
  <si>
    <t>Particles/shiliew002/shiliew002_attack08_C</t>
  </si>
  <si>
    <t>剃刀追击</t>
  </si>
  <si>
    <t>9710</t>
  </si>
  <si>
    <t>Hero_XinLuZi_SkiilAttack01_01=0.2#Hero_XinLuZi_SkiilAttack01_02=0.62#Hero_XinLuZi_SkiilAttack01_03=2.18#Hero_XinLuZi_SkiilAttack01_04=2.7</t>
  </si>
  <si>
    <t>Bip001 R Toe0</t>
  </si>
  <si>
    <t>龙人凯多临时</t>
  </si>
  <si>
    <t>11905</t>
  </si>
  <si>
    <t>龙人凯多龙形态</t>
  </si>
  <si>
    <t>龙形态普攻</t>
  </si>
  <si>
    <t>11801</t>
  </si>
  <si>
    <t>龙威天灾</t>
  </si>
  <si>
    <t>11802</t>
  </si>
  <si>
    <t>Particles/shiliew002/shiliew002_attack09_C</t>
  </si>
  <si>
    <t>大将战国</t>
  </si>
  <si>
    <t>12001</t>
  </si>
  <si>
    <t>Hero_DaZhanGuo_Attack01_01=0.24#Hero_DaZhanGuo_Attack01_02=0.43#Hero_DaZhanGuo_Attack01_03=0.53#Hero_DaZhanGuo_Attack01_04=0.69#Hero_DaZhanGuo_Attack01_05=1.22#Hero_DaZhanGuo_Attack01_06=2.02</t>
  </si>
  <si>
    <t>3744&amp;&amp;3745</t>
  </si>
  <si>
    <t>爆裂铁拳</t>
  </si>
  <si>
    <t>12002</t>
  </si>
  <si>
    <t>Hero_DaZhanGuo_SkiilAttack02_01=0#Hero_DaZhanGuo_SkiilAttack02_02=0.42#Hero_DaZhanGuo_SkiilAttack02_03=0.65#Hero_DaZhanGuo_SkiilAttack02_04=1.02#Hero_DaZhanGuo_SkiilAttack02_05=1.07#Hero_DaZhanGuo_SkiilAttack02_05=1.15#Hero_DaZhanGuo_SkiilAttack02_05=1.24#Hero_DaZhanGuo_SkiilAttack02_05=1.34#Hero_DaZhanGuo_SkiilAttack02_05=1.74#Hero_DaZhanGuo_SkiilAttack02_06=1.74#CV_sengoku11=0.32</t>
  </si>
  <si>
    <t>佛之金光</t>
  </si>
  <si>
    <t>12003</t>
  </si>
  <si>
    <t>Hero_DaZhanGuo_SkiilAttack01_01=0#Hero_DaZhanGuo_SkiilAttack01_02=0.74#Hero_DaZhanGuo_SkiilAttack01_03=1.07</t>
  </si>
  <si>
    <t>正义武装</t>
  </si>
  <si>
    <t>12004</t>
  </si>
  <si>
    <t>Hero_DaZhanGuo_SkiilAttack06_01=0.16#Hero_DaZhanGuo_SkiilAttack06_02=0.55#Hero_DaZhanGuo_SkiilAttack06_03=1#Hero_DaZhanGuo_SkiilAttack06_04=1.15</t>
  </si>
  <si>
    <t>屠魔令</t>
  </si>
  <si>
    <t>12005</t>
  </si>
  <si>
    <t>Hero_DaZhanGuo_SkiilAttack07_01=1.2#Hero_DaZhanGuo_SkiilAttack07_02=1.58#Hero_DaZhanGuo_SkiilAttack07_03=1.65#Hero_DaZhanGuo_SkiilAttack07_04=3.54#Hero_DaZhanGuo_SkiilAttack07_05=5.22#Hero_DaZhanGuo_SkiilAttack07_06=7.75#Hero_DaZhanGuo_SkiilAttack07_07=8.5#Hero_DaZhanGuo_SkiilAttack07_08=8.95#Hero_DaZhanGuo_SkiilAttack07_09=9.52#Hero_DaZhanGuo_SkiilAttack07_10=10.75#Hero_DaZhanGuo_SkiilAttack07_11=11.07#Hero_DaZhanGuo_SkiilAttack07_12=11.79#CV_sengoku01=0#CV_sengoku03=5.35</t>
  </si>
  <si>
    <t>Particles/sengoku003/sengoku003_attack05_c</t>
  </si>
  <si>
    <t>3006702</t>
  </si>
  <si>
    <t>Hero_DaZhanGuo_Attack02_01=0.32#Hero_DaZhanGuo_Attack02_02=0.53#Hero_DaZhanGuo_Attack02_03=0.73#Hero_DaZhanGuo_Attack02_02=0.93#Hero_DaZhanGuo_Attack02_04=1.19#Hero_DaZhanGuo_Attack02_05=1.81</t>
  </si>
  <si>
    <t>3759&amp;&amp;3760</t>
  </si>
  <si>
    <t>佛临于世</t>
  </si>
  <si>
    <t>12006</t>
  </si>
  <si>
    <t>ultimate_Sign=0#Hero_DaZhanGuo_SkiilAttack03_01=0.45#Hero_DaZhanGuo_SkiilAttack03_02=2.72#Hero_DaZhanGuo_SkiilAttack03_03=3.32#Hero_DaZhanGuo_SkiilAttack03_04=4.8#Hero_DaZhanGuo_SkiilAttack03_05=4.99#Hero_DaZhanGuo_SkiilAttack03_06=5.83#Hero_DaZhanGuo_SkiilAttack03_07=6.26#Hero_DaZhanGuo_SkiilAttack03_08=7.68#Hero_DaZhanGuo_SkiilAttack03_09=8.24#Hero_DaZhanGuo_SkiilAttack03_10=9.92#Hero_DaZhanGuo_SkiilAttack03_11=11.8#Hero_DaZhanGuo_SkiilAttack03_12=12.28</t>
  </si>
  <si>
    <t>Particles/sengoku003/sengoku003_attack06_c</t>
  </si>
  <si>
    <t>佛光冲击</t>
  </si>
  <si>
    <t>3006703</t>
  </si>
  <si>
    <t>Hero_DaZhanGuo_SkiilAttack04_01=0.32#Hero_DaZhanGuo_SkiilAttack04_02=1.59</t>
  </si>
  <si>
    <t>大佛狂怒</t>
  </si>
  <si>
    <t>3006704</t>
  </si>
  <si>
    <t>Hero_XinShanZhi_SkillAttack04_01=0#Hero_DaZhanGuo_SkiilAttack05_01=1.15#Hero_DaZhanGuo_SkiilAttack05_02=1.29#Hero_DaZhanGuo_SkiilAttack05_03=1.78#Hero_DaZhanGuo_SkiilAttack05_04=2.14#Hero_DaZhanGuo_SkiilAttack05_05=3.3#Hero_DaZhanGuo_SkiilAttack05_06=3.94#Hero_DaZhanGuo_SkiilAttack05_07=4.85#Hero_DaZhanGuo_SkiilAttack05_08=5.19#Hero_DaZhanGuo_SkiilAttack05_09=6.68#Hero_DaZhanGuo_SkiilAttack05_10=7.46#Hero_DaZhanGuo_SkiilAttack05_11=7.72#CV_sengoku13=3.56</t>
  </si>
  <si>
    <t>Particles/sengoku003/sengoku003_attack09_c</t>
  </si>
  <si>
    <t>3766&amp;&amp;3767</t>
  </si>
  <si>
    <t>Bip001 L Hand&amp;&amp;Bip001 R Finger2</t>
  </si>
  <si>
    <t>被盗之火（测试）</t>
  </si>
  <si>
    <t>3003515</t>
  </si>
  <si>
    <t>Hero_LingLing_SkiilAttack01_01=0.25#Hero_LingLing_SkiilAttack01_02=0.86#Hero_LingLing_SkiilAttack01_03=1.2#Hero_LingLing_SkiilAttack01_04=1.82#Hero_LingLing_SkiilAttack01_05=2.5#Hero_LingLing_SkiilAttack01_06=2.85#Hero_LingLing_SkiilAttack01_07=3.7</t>
  </si>
  <si>
    <t>fire_hair</t>
  </si>
  <si>
    <t>多重·怪力年糕</t>
  </si>
  <si>
    <t>8309</t>
  </si>
  <si>
    <t>Hero_XinShanZhi_SkillAttack08_01=0.28#Hero_KaTaKuLi_SkillAttack02_01=1.5#Hero_KaTaKuLi_SkillAttack02_02=1.9#Hero_KaTaKuLi_SkillAttack02_03=2.4#Hero_KaTaKuLi_SkillAttack02_04=3.57#Hero_KaTaKuLi_SkillAttack02_05=3.7#Hero_KaTaKuLi_SkillAttack02_06=5.3#Hero_KaTaKuLi_SkillAttack02_07=5.3#Hero_KaTaKuLi_SkillAttack02_08=7.5#Hero_KaTaKuLi_SkillAttack02_09=8#Hero_KaTaKuLi_SkillAttack02_10=10.65#Hero_KaTaKuLi_SkillAttack02_11=10.8#Hero_KaTaKuLi_SkillAttack02_12=11.05#Hero_KaTaKuLi_SkillAttack02_13=13.34#Hero_KaTaKuLi_SkillAttack02_14=13.73#Hero_KaTaKuLi_SkillAttack02_15=14#Hero_KaTaKuLi_SkillAttack02_16=14.4#katakuri13=1.1#katakuri16b=7.4#katakuri11b=10.48</t>
  </si>
  <si>
    <t>Particles/katakuri001/katakuri001_body@attack09_c</t>
  </si>
  <si>
    <t>3841&amp;&amp;3842</t>
  </si>
  <si>
    <t>天降年糕</t>
  </si>
  <si>
    <t>8310</t>
  </si>
  <si>
    <t>Hero_KaTaKuLi_SkillAttack01_01=0.3#Hero_KaTaKuLi_SkillAttack01_02=0.47#Hero_KaTaKuLi_SkillAttack01_03=1.31#Hero_KaTaKuLi_SkillAttack01_04=2.06#Hero_KaTaKuLi_SkillAttack01_05=2.32#Hero_KaTaKuLi_SkillAttack01_06=2.76#Hero_KaTaKuLi_SkillAttack01_07=2.9#Hero_KaTaKuLi_SkillAttack01_06=3.22#punch_hit_small02=2.83#punch_hit_small02=3.16</t>
  </si>
  <si>
    <t>龙人凯多</t>
  </si>
  <si>
    <t>人形普攻</t>
  </si>
  <si>
    <t>11901</t>
  </si>
  <si>
    <t>Hero_KaiDuo_Attack01_01=0.25#Hero_KaiDuo_Attack01_02=0.35#Hero_KaiDuo_Attack01_03=0.88#Hero_KaiDuo_Attack01_04=0.96#Hero_KaiDuo_Attack01_01=1.7#Hero_KaiDuo_Attack01_05=1.79#Hero_KaiDuo_Attack01_06=3.75</t>
  </si>
  <si>
    <t>降三世·引奈落</t>
  </si>
  <si>
    <t>11902</t>
  </si>
  <si>
    <t>Hero_KaiDuo_SkillAttack01_01=0.2#Hero_KaiDuo_SkillAttack01_02=0.72#Hero_KaiDuo_SkillAttack01_03=1.55#Hero_KaiDuo_SkillAttack01_04=1.89#Hero_KaiDuo_SkillAttack01_05=2.2#Hero_KaiDuo_SkillAttack01_06=3#Hero_KaiDuo_SkillAttack01_07=4.46</t>
  </si>
  <si>
    <t>龙怒</t>
  </si>
  <si>
    <t>11903</t>
  </si>
  <si>
    <t>Hero_KaiDuo_SkillAttack02_01=0.5#Hero_KaiDuo_SkillAttack02_02=0.81#Hero_KaiDuo_SkillAttack02_03=0.9#Hero_KaiDuo_SkillAttack02_04=1.75#Hero_KaiDuo_SkillAttack02_05=2.05#Hero_KaiDuo_SkillAttack02_06=2.15#Hero_KaiDuo_SkillAttack02_07=2.73#Hero_KaiDuo_SkillAttack02_08=2.92#Hero_KaiDuo_Attack01_06=5.12#CV_KaiDuo_01=1.88</t>
  </si>
  <si>
    <t>龙啸·雷霆</t>
  </si>
  <si>
    <t>11904</t>
  </si>
  <si>
    <t>Hero_KaiDuo_SkillAttack06_01=0.3#Hero_KaiDuo_SkillAttack06_02=0.8#Hero_KaiDuo_SkillAttack06_03=3.1#Hero_KaiDuo_SkillAttack06_04=3.85#Hero_KaiDuo_SkillAttack06_05=5#Hero_KaiDuo_SkillAttack06_06=5.4#Hero_KaiDuo_SkillAttack06_07=6.1#Hero_KaiDuo_SkillAttack06_08=3.55#Hero_KaiDuo_SkillAttack06_09=7.5#Hero_KaiDuo_SkillAttack06_10=8.62#Hero_KaiDuo_SkillAttack06_11=9.55#Hero_KaiDuo_SkillAttack06_12=10.05#CV_KaiDuo_02=1.35</t>
  </si>
  <si>
    <t>Particles/kaido005/kaido005_attack04_C</t>
  </si>
  <si>
    <t>11810</t>
  </si>
  <si>
    <t>Hero_KaiDuo_Attack02_01=0#Hero_KaiDuo_Attack02_02=0.24#Hero_KaiDuo_Attack02_03=0.75#Hero_KaiDuo_Attack02_04=3.3#Hero_KaiDuo_Attack02_05=3.43</t>
  </si>
  <si>
    <t>Particles/kaido005/kaido007_body@attack10_c</t>
  </si>
  <si>
    <t>11811</t>
  </si>
  <si>
    <t>Hero_KaiDuo_SkillAttack09_01=0.75#Hero_KaiDuo_SkillAttack09_02=2.2#Hero_KaiDuo_SkillAttack09_03=3.3#Hero_KaiDuo_SkillAttack09_04=3.9</t>
  </si>
  <si>
    <t>Particles/kaido005/kaido006_attack11_C</t>
  </si>
  <si>
    <t>龙之热息</t>
  </si>
  <si>
    <t>11812</t>
  </si>
  <si>
    <t>Hero_KaiDuo_SkillAttack08_01=0#Hero_KaiDuo_SkillAttack08_02=1.8#Hero_KaiDuo_SkillAttack08_03=2.3#Hero_KaiDuo_SkillAttack08_04=3.5#Hero_KaiDuo_SkillAttack08_05=4.77</t>
  </si>
  <si>
    <t>Particles/kaido005/kaido007_body@attack12_c</t>
  </si>
  <si>
    <t>point008</t>
  </si>
  <si>
    <t>坏风</t>
  </si>
  <si>
    <t>11813</t>
  </si>
  <si>
    <t>Hero_KaiDuo_SkillAttack10_01=0#Hero_KaiDuo_SkillAttack10_02=2.21#Hero_KaiDuo_SkillAttack10_03=3.65#Hero_KaiDuo_SkillAttack10_04=5#Hero_KaiDuo_SkillAttack10_05=7.1#Hero_KaiDuo_SkillAttack10_06=10.5#whooshmedium01=11.37#Hero_KaiDuo_SkillAttack10_07=12.78#Hero_KaiDuo_SkillAttack10_08=13.1#Hero_KaiDuo_SkillAttack10_09=13.87#Hero_KaiDuo_SkillAttack10_09=14.02#Hero_KaiDuo_SkillAttack10_09=14.13#Hero_KaiDuo_SkillAttack10_10=14.13</t>
  </si>
  <si>
    <t>Particles/kaido005/kaido007_attack13_C</t>
  </si>
  <si>
    <t>3885&amp;&amp;3886</t>
  </si>
  <si>
    <t>Bone097(mirrored)&amp;&amp;Bone097</t>
  </si>
  <si>
    <t>龙人普攻</t>
  </si>
  <si>
    <t>3006605</t>
  </si>
  <si>
    <t>Hero_KaiDuo_SkillAttack04_01=0.1#Hero_KaiDuo_SkillAttack04_02=0.18#Hero_KaiDuo_SkillAttack04_03=0.36#Hero_KaiDuo_SkillAttack04_04=0.7#Hero_KaiDuo_SkillAttack04_05=1.15#Hero_KaiDuo_SkillAttack04_06=1.15#Hero_KaiDuo_SkillAttack04_07=1.8#Hero_KaiDuo_Attack01_06=3.15</t>
  </si>
  <si>
    <t>Bone01_langyabang</t>
  </si>
  <si>
    <t>龙威·践踏</t>
  </si>
  <si>
    <t>3006614</t>
  </si>
  <si>
    <t>Hero_KaiDuo_SkillAttack03_01=0.74#Hero_KaiDuo_SkillAttack03_02=0.96#Hero_KaiDuo_SkillAttack03_03=2.53#Hero_KaiDuo_SkillAttack03_04=2.53#Hero_KaiDuo_SkillAttack03_05=3.5#Hero_KaiDuo_Attack01_06=5.12#CV_KaiDuo_03=2.4</t>
  </si>
  <si>
    <t>怒雷·地鸣</t>
  </si>
  <si>
    <t>3006607</t>
  </si>
  <si>
    <t>Hero_KaiDuo_SkillAttack05_01=0#Hero_KaiDuo_SkillAttack05_02=0.9#Hero_KaiDuo_SkillAttack05_03=1.85#Hero_KaiDuo_Attack01_06=4.15</t>
  </si>
  <si>
    <t>怒雷八卦</t>
  </si>
  <si>
    <t>3006609</t>
  </si>
  <si>
    <t>Hero_KaiDuo_SkillAttack07_01=0#Hero_KaiDuo_SkillAttack07_02=0.6#Hero_KaiDuo_SkillAttack07_03=1.85#Hero_KaiDuo_SkillAttack07_04=2.9#Hero_KaiDuo_SkillAttack07_05=3.6#Hero_KaiDuo_SkillAttack07_06=4.6#Hero_KaiDuo_SkillAttack07_07=5.27#Hero_KaiDuo_SkillAttack07_08=6.61#Hero_KaiDuo_SkillAttack07_09=9.05#Hero_KaiDuo_SkillAttack07_10=8.4#Hero_KaiDuo_SkillAttack07_11=9.1#Hero_KaiDuo_SkillAttack07_12=11.26#Hero_KaiDuo_SkillAttack07_13=12.92#CV_KaiDuo_04=5.1</t>
  </si>
  <si>
    <t>Particles/kaido005/kaido006_attack09_C</t>
  </si>
  <si>
    <t>萨博（觉醒）</t>
  </si>
  <si>
    <t>骤燃烈火</t>
  </si>
  <si>
    <t>8409</t>
  </si>
  <si>
    <t>Hero_SaBo_SkillAttack08_01=0.5#Hero_SaBo_SkillAttack08_02=1#Hero_SaBo_SkillAttack08_03=2.13#Hero_SaBo_SkillAttack08_04=2.9</t>
  </si>
  <si>
    <t>爆裂龙王拳</t>
  </si>
  <si>
    <t>8410</t>
  </si>
  <si>
    <t>ultimate_Sign=0#Hero_KaiDuo_SkillAttack01_03=1#Hero_SaBo_SkillAttack09_01=1.4#Hero_SaBo_SkillAttack09_02=1.64#Hero_SaBo_SkillAttack09_03=1.94#Hero_SaBo_SkillAttack09_04=2.45#Hero_SaBo_SkillAttack09_05=3.42#Hero_SaBo_SkillAttack09_06=4.82#Hero_SaBo_SkillAttack09_07=5.32#Hero_SaBo_SkillAttack09_08=5.61#AkainuNewCZ_cannon_fire1=7.8#sabo_0013=0.6#sabo17=4.5</t>
  </si>
  <si>
    <t>Particles/sabo002/sabo002_attack10_C</t>
  </si>
  <si>
    <t>杰克</t>
  </si>
  <si>
    <t>12101</t>
  </si>
  <si>
    <t>Hero_JieKe_Attack01=0.18#Hero_JieKe_Attack01=0.66#Hero_JieKe_Attack02=1.25#Hero_JieKe_Attack03=1.62</t>
  </si>
  <si>
    <t>乱刃打击</t>
  </si>
  <si>
    <t>12102</t>
  </si>
  <si>
    <t>Hero_JieKe_SkillAttack01_01=0.25#Hero_JieKe_SkillAttack01_03=1.6</t>
  </si>
  <si>
    <t>裂空</t>
  </si>
  <si>
    <t>12103</t>
  </si>
  <si>
    <t>Hero_JieKe_SkillAttack02_01=0.1#Hero_JieKe_SkillAttack02_02=0.31#CV_JieKe01=0.21</t>
  </si>
  <si>
    <t>猛犸冲击</t>
  </si>
  <si>
    <t>12104</t>
  </si>
  <si>
    <t>Hero_JieKe_SkillAttack03_01=0.6#Hero_JieKe_SkillAttack03_02=0.45#Hero_JieKe_SkillAttack03_03=1#Hero_JieKe_SkillAttack03_04=1.67#Hero_JieKe_SkillAttack03_05=2.05#Hero_JieKe_SkillAttack03_06=3.16</t>
  </si>
  <si>
    <t>3914&amp;&amp;3915</t>
  </si>
  <si>
    <t>Bip001 L Finger21&amp;&amp;Bip001 R Finger21</t>
  </si>
  <si>
    <t>暴虐处决</t>
  </si>
  <si>
    <t>12105</t>
  </si>
  <si>
    <t>Hero_XinShanZhi_SkillAttack04_01=0#Hero_JieKe_SkillAttack05_01=0.24#Hero_JieKe_SkillAttack05_02=0.96#Hero_JieKe_SkillAttack05_03=1.72#Hero_JieKe_SkillAttack05_04=2.9#Hero_JieKe_SkillAttack05_05=3#Hero_JieKe_SkillAttack05_06=3.6#Hero_JieKe_SkillAttack05_07=3.95#Hero_JieKe_SkillAttack05_08=3.67#Hero_JieKe_SkillAttack05_09=3.9#Hero_JieKe_SkillAttack05_10=4.54#Hero_DaZhanGuo_SkiilAttack03_02=5.43#Hero_JieKe_SkillAttack05_11=5.73#Hero_JieKe_SkillAttack05_12=6.5#Hero_JieKe_SkillAttack05_13=7.17#Hero_JieKe_SkillAttack05_14=7.28#Hero_JieKe_SkillAttack05_15=7.72#Hero_JieKe_SkillAttack05_16=7.84#Hero_JieKe_SkillAttack05_17=8.51#Hero_JieKe_SkillAttack05_18=8.7#Hero_JieKe_SkillAttack05_19=9.27#Hero_JieKe_SkillAttack05_20=9.6#Hero_JieKe_SkillAttack05_21=10.63#CV_JieKe03=0.45#CV_JieKe04=3.98</t>
  </si>
  <si>
    <t>Particles/jack003/jack003_attack05_c</t>
  </si>
  <si>
    <t>猛犸强袭</t>
  </si>
  <si>
    <t>12106</t>
  </si>
  <si>
    <t>ultimate_Sign=0#Hero_JieKe_SkillAttack04_01=0.52#Hero_JieKe_SkillAttack04_02=2.25#Hero_JieKe_SkillAttack04_03=3.6#Hero_JieKe_SkillAttack04_04=3.7#Hero_JieKe_SkillAttack04_05=4.45#Hero_JieKe_SkillAttack04_06=3.5#Hero_JieKe_SkillAttack04_07=2.74#Hero_JieKe_SkillAttack04_08=4.47#Hero_JieKe_SkillAttack04_09=6#Hero_JieKe_SkillAttack04_10=6.6#Hero_JieKe_SkillAttack04_11=7.2#Hero_JieKe_SkillAttack04_12=7.8#Hero_JieKe_SkillAttack04_13=8.37#Hero_JieKe_SkillAttack04_14=9.04#Hero_JieKe_SkillAttack04_15=10.1#CV_JieKe02=0.81</t>
  </si>
  <si>
    <t>Particles/jack003/jack003_attack06_C</t>
  </si>
  <si>
    <t>暴力冲击</t>
  </si>
  <si>
    <t>12107</t>
  </si>
  <si>
    <t>Hero_JieKe_SkillAttack06_01=0#Hero_JieKe_SkillAttack06_02=0.3#Hero_JieKe_SkillAttack06_03=0.58#Hero_JieKe_SkillAttack06_04=0.88#Hero_JieKe_SkillAttack06_05=1.16#Hero_XinShanZhi_SkillAttack08_01=1.4#Hero_JieKe_SkillAttack06_06=1.9#Hero_JieKe_SkillAttack06_07=2.2#Hero_JieKe_SkillAttack06_08=3.14#Hero_JieKe_SkillAttack06_09=3.82#Hero_JieKe_SkillAttack06_10=4.3#Hero_JieKe_SkillAttack06_11=4.5#Hero_JieKe_SkillAttack06_12=4.57#Hero_JieKe_SkillAttack06_13=5.02#Hero_JieKe_SkillAttack06_14=5.5#Hero_JieKe_SkillAttack06_15=6.05#Hero_JieKe_SkillAttack06_16=5.2#Hero_JieKe_SkillAttack06_17=6.57#CV_JieKe05=0.2</t>
  </si>
  <si>
    <t>Particles/jack003/jack003_attack07_C</t>
  </si>
  <si>
    <t>觉醒黄猿</t>
  </si>
  <si>
    <t>光阵箭雨</t>
  </si>
  <si>
    <t>5211</t>
  </si>
  <si>
    <t>Hero_HuangYuan_SkillAttack01_01=0.25#Hero_HuangYuan_SkillAttack01_02=0.5#Hero_HuangYuan_SkillAttack01_03=1.36#Hero_HuangYuan_SkillAttack01_04=0.78#Hero_HuangYuan_SkillAttack01_04=0.93#Hero_HuangYuan_SkillAttack01_04=1.09#Hero_HuangYuan_SkillAttack01_04=1.24#Hero_HuangYuan_SkillAttack01_04=1.4#Hero_HuangYuan_SkillAttack01_04=1.53#Hero_HuangYuan_SkillAttack01_04=1.64#Hero_HuangYuan_SkillAttack01_04=1.8#Hero_HuangYuan_SkillAttack01_04=1.9</t>
  </si>
  <si>
    <t>闪光连击</t>
  </si>
  <si>
    <t>5210</t>
  </si>
  <si>
    <t>ultimate_Sign=0#Hero_HuangYuan_SkillAttack02_01=0.67#Hero_HuangYuan_SkillAttack02_02=1.3#Hero_HuangYuan_SkillAttack02_03=1.56#Hero_HuangYuan_SkillAttack02_04=1.9#Hero_HuangYuan_SkillAttack02_05=2.25#Hero_HuangYuan_SkillAttack02_06=2.46#Hero_HuangYuan_SkillAttack02_07=3.08#Hero_HuangYuan_SkillAttack02_08=3.68#Hero_HuangYuan_SkillAttack02_09=4.47#Hero_HuangYuan_SkillAttack02_10=4.92#Hero_HuangYuan_SkillAttack02_11=6.5#Hero_HuangYuan_SkillAttack02_12=6.76#Hero_HuangYuan_SkillAttack02_13=7.08#Hero_HuangYuan_SkillAttack02_14=7.68#Hero_HuangYuan_SkillAttack02_15=7.9#Hero_HuangYuan_SkillAttack02_16=8.16#Hero_HuangYuan_SkillAttack02_17=8.5#Hero_HuangYuan_SkillAttack02_18=9.15#Hero_HuangYuan_SkillAttack02_19=9.47#Hero_HuangYuan_SkillAttack02_20=9.67#Hero_HuangYuan_SkillAttack02_21=10.54#Hero_HuangYuan_SkillAttack02_22=11.34#Hero_HuangYuan_SkillAttack02_23=12.77#Hero_HuangYuan_SkillAttack02_24=13.39#Hero_HuangYuan_SkillAttack02_24=13.67#Hero_HuangYuan_SkillAttack02_25=13.49#Hero_HuangYuan_SkillAttack02_26=13.75#Hero_HuangYuan_SkillAttack02_26=13.95#Hero_HuangYuan_SkillAttack02_26=14.06#Hero_HuangYuan_SkillAttack02_26=14.18#Hero_HuangYuan_SkillAttack02_27=13.74#Hero_HuangYuan_SkillAttack02_27=13.9#Hero_HuangYuan_SkillAttack02_27=14.13#Hero_HuangYuan_SkillAttack02_27=14.31#Hero_HuangYuan_SkillAttack02_27=14.47#Hero_HuangYuan_SkillAttack02_28=13.12#CV_HuangYuan_01=0.2#CV_HuangYuan_02=3.22</t>
  </si>
  <si>
    <t>Particles/borsalino/borsalino_attack10_C</t>
  </si>
  <si>
    <t>Particles/borsalino/borsalino_attack10_light</t>
  </si>
  <si>
    <t>奎因</t>
  </si>
  <si>
    <t>12201</t>
  </si>
  <si>
    <t>Hero_KuiYin_Attack01=0.25#Hero_KuiYin_Attack02=0.4#Hero_KuiYin_Attack03=0.72#Hero_KuiYin_Attack04=0.84#Hero_KuiYin_Attack06=0.93#Hero_KuiYin_Attack07=1.45</t>
  </si>
  <si>
    <t>破空斩</t>
  </si>
  <si>
    <t>12202</t>
  </si>
  <si>
    <t>Hero_KuiYin_SkillAttack02_01=0.38#Hero_KuiYin_SkillAttack02_02=1.22#Hero_KuiYin_SkillAttack02_03=1.5#Hero_KuiYin_SkillAttack02_04=2.17#CV_KuiYin01=1.22</t>
  </si>
  <si>
    <t>Particles/queen001/queen001_attack02_C</t>
  </si>
  <si>
    <t>机枪扫射</t>
  </si>
  <si>
    <t>12203</t>
  </si>
  <si>
    <t>Hero_KuiYin_SkillAttack03_01=0.17#Hero_KuiYin_Attack03=0.6#Hero_KuiYin_SkillAttack03_02=0.5#Hero_KuiYin_SkillAttack03_03=0.72#Hero_KuiYin_SkillAttack03_04=1.41</t>
  </si>
  <si>
    <t>zdan006</t>
  </si>
  <si>
    <t>火力释放</t>
  </si>
  <si>
    <t>12204</t>
  </si>
  <si>
    <t>Hero_KuiYin_SkillAttack01_01=0.1#Hero_KuiYin_SkillAttack01_02=0.35#Hero_KuiYin_SkillAttack01_03=0.61#Hero_KuiYin_SkillAttack01_04=1.04#Hero_KuiYin_SkillAttack01_05=1.28#Hero_KuiYin_SkillAttack01_06=1.45#Hero_KuiYin_SkillAttack01_07=1.93#Hero_KuiYin_SkillAttack01_08=2.45</t>
  </si>
  <si>
    <t>瘟疫弹·冰鬼</t>
  </si>
  <si>
    <t>12205</t>
  </si>
  <si>
    <t>Hero_KuiYin_SkillAttack05_01=1.31#Hero_KuiYin_SkillAttack05_02=3.35#Hero_KuiYin_SkillAttack05_03=4#Hero_KuiYin_SkillAttack05_04=4.76#Hero_KuiYin_SkillAttack05_05=6.55#Hero_KuiYin_SkillAttack05_06=7.3#Hero_KuiYin_SkillAttack05_07=8.1#Hero_KuiYin_SkillAttack05_08=8.28#Hero_KuiYin_SkillAttack05_09=9.32#Hero_KuiYin_SkillAttack05_10=9.55#Hero_KuiYin_SkillAttack05_11=10.68#Hero_KuiYin_SkillAttack05_12=10.97#Hero_KuiYin_SkillAttack05_13=11.15#Hero_KuiYin_SkillAttack05_14=11.08#Hero_KuiYin_SkillAttack05_15=11.33#Hero_KuiYin_SkillAttack05_16=11.69#Hero_KuiYin_SkillAttack05_17=11.92#Hero_KuiYin_SkillAttack05_18=12.2#CV_KuiYin04=1.81#CV_KuiYin05=5.4</t>
  </si>
  <si>
    <t>Particles/queen001/queen001_attack05_c</t>
  </si>
  <si>
    <t>狂欢之舞</t>
  </si>
  <si>
    <t>12206</t>
  </si>
  <si>
    <t>Hero_KuiYin_SkillAttack06_1=1.28#Hero_KuiYin_SkillAttack06_2=2#Hero_KuiYin_SkillAttack06_3=2.02#Hero_KuiYin_SkillAttack06_4=1.75#Hero_KuiYin_SkillAttack06_5=11</t>
  </si>
  <si>
    <t>Particles/queen001/queen001_attack06_C</t>
  </si>
  <si>
    <t>Particles/queen001/queen001_attack06_Light</t>
  </si>
  <si>
    <t>腕龙炸弹</t>
  </si>
  <si>
    <t>12207</t>
  </si>
  <si>
    <t>Hero_KuiYin_SkillAttack04_01=0.18#Hero_KuiYin_SkillAttack04_02=0.46#Hero_KuiYin_SkillAttack04_03=1,5#Hero_KuiYin_SkillAttack04_04=2#Hero_KuiYin_SkillAttack04_05=2.45#Hero_KuiYin_SkillAttack04_06=3.5#Hero_KuiYin_SkillAttack04_07=5#Hero_KuiYin_SkillAttack04_08=6.6#Hero_KuiYin_SkillAttack04_09=7.2#Hero_KuiYin_SkillAttack04_10=8.3#Hero_KuiYin_SkillAttack04_11=10.75#Hero_KuiYin_SkillAttack04_12=12#Hero_KuiYin_SkillAttack04_13=13.2#CV_KuiYin02=2.1#CV_KuiYin03=4.5</t>
  </si>
  <si>
    <t>Particles/queen001/queen001_attack07_C</t>
  </si>
  <si>
    <t>Bip001 Neck</t>
  </si>
  <si>
    <t>觉醒大熊</t>
  </si>
  <si>
    <t>猛推压力炮（强化）</t>
  </si>
  <si>
    <t>3912</t>
  </si>
  <si>
    <t>ultimate_Sign=0#Hero_DaXiong_SkillAttack01_01=0.91#Hero_DaXiong_SkillAttack01_02=1.82#Hero_DaXiong_SkillAttack01_03=2.4#Hero_DaXiong_SkillAttack01_04=4.82#Hero_DaXiong_SkillAttack01_04=4.95#Hero_DaXiong_SkillAttack01_04=5.1#Hero_DaXiong_SkillAttack01_04=5.25#Hero_DaXiong_SkillAttack01_04=5.39#Hero_DaXiong_SkillAttack01_04=5.52#Hero_DaXiong_SkillAttack01_04=5.67#Hero_DaXiong_SkillAttack01_04=5.79#Hero_DaXiong_SkillAttack01_04=5.92#Hero_DaXiong_SkillAttack01_04=6.07#Hero_DaXiong_SkillAttack01_04=6.21#Hero_DaXiong_SkillAttack01_04=6.34#Hero_DaXiong_SkillAttack01_04=6.49#Hero_DaXiong_SkillAttack01_05=4.79#Hero_DaXiong_SkillAttack01_06=5.88#Hero_DaXiong_SkillAttack01_06=6.65#Hero_DaXiong_SkillAttack01_06=6.92#Hero_DaXiong_SkillAttack01_06=7.5#Hero_DaXiong_SkillAttack01_07=6.33#Hero_DaXiong_SkillAttack01_07=7.29#Hero_DaXiong_SkillAttack01_07=7.92#CV_DaXiong_01=2.73</t>
  </si>
  <si>
    <t>Particles/kuma/kuma001_attack12_c</t>
  </si>
  <si>
    <t>大和</t>
  </si>
  <si>
    <t>大和普攻</t>
  </si>
  <si>
    <t>12301</t>
  </si>
  <si>
    <t>Hero_DaHe_Attack01_01=0.09#Hero_DaHe_Attack01_02=0.4#Hero_DaHe_Attack01_03=0.65#Hero_DaHe_Attack01_04=0.72#Hero_DaHe_Attack01_05=1.01#Hero_DaHe_Attack01_06=1.58#Hero_DaHe_Attack01_07=1.73</t>
  </si>
  <si>
    <t>强力钝击</t>
  </si>
  <si>
    <t>12302</t>
  </si>
  <si>
    <t>Hero_DaHe_SkillAttack01_01=0#Hero_DaHe_SkillAttack01_02=0.08#Hero_DaHe_SkillAttack01_03=0.5#Hero_DaHe_SkillAttack01_04=0.79</t>
  </si>
  <si>
    <t>怒雷斩</t>
  </si>
  <si>
    <t>12303</t>
  </si>
  <si>
    <t>Hero_DaHe_SkillAttack02_01=0#Hero_DaHe_SkillAttack02_02=0.25#Hero_DaHe_SkillAttack02_03=0.72#Hero_DaHe_SkillAttack02_04=1.4</t>
  </si>
  <si>
    <t>Particles/yamato001/yamato001_attack03_c</t>
  </si>
  <si>
    <t>bone_weapon001</t>
  </si>
  <si>
    <t>雷霆棒击</t>
  </si>
  <si>
    <t>12304</t>
  </si>
  <si>
    <t>Hero_DaHe_SkillAttack05_01=0#Hero_DaHe_SkillAttack05_02=0.26#Hero_DaHe_SkillAttack05_03=0.95#Hero_DaHe_SkillAttack05_04=1.14</t>
  </si>
  <si>
    <t>Particles/yamato001/yamato001_attack04_c</t>
  </si>
  <si>
    <t>凌空坠</t>
  </si>
  <si>
    <t>12305</t>
  </si>
  <si>
    <t>Hero_DaHe_SkillAttack04_01=0.6#Hero_DaHe_SkillAttack04_02=1.15#Hero_DaHe_SkillAttack04_03=1.55#Hero_DaHe_SkillAttack04_04=1.96#Hero_DaHe_SkillAttack04_05=3.1#Hero_DaHe_SkillAttack04_06=3.28</t>
  </si>
  <si>
    <t>Particles/yamato001/yamato001_attack05_c</t>
  </si>
  <si>
    <t>鸣镝</t>
  </si>
  <si>
    <t>12306</t>
  </si>
  <si>
    <t>Hero_DaHe_SkillAttack06_01=0.9#Hero_DaHe_SkillAttack06_02=1.17#Hero_DaHe_SkillAttack06_03=1.12#Hero_DaHe_SkillAttack06_04=1.35#Hero_DaHe_SkillAttack06_05=2.44#Hero_DaHe_SkillAttack06_06=2.89#Hero_DaHe_SkillAttack06_07=2.33#Hero_DaHe_SkillAttack06_08=2.7#Hero_DaHe_SkillAttack06_09=3.85#Hero_DaHe_SkillAttack06_10=5.3#Hero_DaHe_SkillAttack06_11=5.61#Hero_DaHe_SkillAttack06_12=6.25#Hero_DaHe_SkillAttack06_13=6.2#Hero_DaHe_SkillAttack06_14=8.58#CV_DaHe_03=0.11</t>
  </si>
  <si>
    <t>Particles/yamato001/yamato001_attack06_c</t>
  </si>
  <si>
    <t>御电行</t>
  </si>
  <si>
    <t>12307</t>
  </si>
  <si>
    <t>Hero_DaHe_SkillAttack07_01=0.21#Hero_DaHe_SkillAttack07_02=0.24#Hero_DaHe_SkillAttack07_03=1.75#Hero_DaHe_SkillAttack07_04=3.1#Hero_DaHe_SkillAttack07_05=4#Hero_DaHe_SkillAttack07_06=4.94#Hero_DaHe_SkillAttack07_07=5.33#Hero_DaHe_SkillAttack07_08=6.64#CV_DaHe02=3.87</t>
  </si>
  <si>
    <t>Particles/yamato001/yamato001_attack07_c</t>
  </si>
  <si>
    <t>bone_weapon004</t>
  </si>
  <si>
    <t>雷鸣八卦</t>
  </si>
  <si>
    <t>12308</t>
  </si>
  <si>
    <t>ultimate_Sign=0.72#Hero_DaHe_SkillAttack03_01=0.8#Hero_DaHe_SkillAttack03_02=1.14#Hero_DaHe_SkillAttack03_03=1.97#Hero_DaHe_SkillAttack03_04=2.81#Hero_DaHe_SkillAttack03_05=3.17#Hero_DaHe_SkillAttack03_06=4.03#Hero_DaHe_SkillAttack03_07=4.52#Hero_DaHe_SkillAttack03_08=5.17#Hero_DaHe_SkillAttack03_09=5.65#Hero_DaHe_SkillAttack03_10=6.52#Hero_DaHe_SkillAttack03_11=5.77#Hero_DaHe_SkillAttack03_12=8.15#Hero_DaHe_SkillAttack03_13=9.17#Hero_DaHe_SkillAttack03_14=8.27#CV_DaHe_01=2.07#CV_DaHe_02=6.47</t>
  </si>
  <si>
    <t>Particles/yamato001/yamato001_attack08_c</t>
  </si>
  <si>
    <t>3997&amp;&amp;3998</t>
  </si>
  <si>
    <t>Bip001 Head&amp;&amp;bone_weapon001</t>
  </si>
  <si>
    <t>UTA</t>
  </si>
  <si>
    <t>UTA普攻</t>
  </si>
  <si>
    <t>12401</t>
  </si>
  <si>
    <t>Hero_UTA_Attack01_01=0.3#Hero_UTA_Attack01_02=0.54#Hero_UTA_Attack01_03=0.61#Hero_UTA_Attack01_04=1.07#Hero_UTA_Attack01_05=1.95#Hero_UTA_Attack01_06=2.14#Hero_UTA_Attack01_07=2.26#Hero_UTA_Attack01_08=2.37</t>
  </si>
  <si>
    <t>坠落霓虹</t>
  </si>
  <si>
    <t>12402</t>
  </si>
  <si>
    <t>Hero_UTA_Attack05_01=0.17#Hero_UTA_Attack05_02=0.59#Hero_UTA_Attack05_03=1.22#Hero_UTA_Attack05_04=0.71#Hero_UTA_Attack05_05=2.13#Hero_UTA_Attack05_06=2.37#Hero_UTA_Attack05_07=3.03#Hero_UTA_Attack05_08=3.32</t>
  </si>
  <si>
    <t>Particles/uta001/uta001_attack02_C</t>
  </si>
  <si>
    <t>动感音浪</t>
  </si>
  <si>
    <t>12403</t>
  </si>
  <si>
    <t>Hero_UTA_Attack02_01=0.5#Hero_UTA_Attack02_02=0.91#Hero_UTA_Attack02_03=1.72#Hero_UTA_Attack02_04=1.94#Hero_UTA_Attack02_04=2.23#Hero_UTA_Attack02_04=2.52</t>
  </si>
  <si>
    <t>灵感捕获</t>
  </si>
  <si>
    <t>12404</t>
  </si>
  <si>
    <t>Hero_UTA_Attack03_01=0.23#Hero_UTA_Attack03_02=0.75#Hero_UTA_Attack03_03=1.71</t>
  </si>
  <si>
    <t>4020&amp;&amp;4021</t>
  </si>
  <si>
    <t>baoguo&amp;&amp;Bip001 L Finger2</t>
  </si>
  <si>
    <t>韵律掌控</t>
  </si>
  <si>
    <t>12405</t>
  </si>
  <si>
    <t>Hero_UTA_Attack04_01=0.53#Hero_UTA_Attack04_02=1.38#Hero_UTA_Attack04_03=1.53</t>
  </si>
  <si>
    <t>盛大开场</t>
  </si>
  <si>
    <t>12406</t>
  </si>
  <si>
    <t>Hero_UTA_Attack08_01=0.84#Hero_UTA_Attack08_02=0.72#Hero_UTA_Attack08_03=1.25#Hero_UTA_Attack08_04=2.25#Hero_UTA_Attack08_05=5.82#Hero_UTA_Attack08_06=8.3#Hero_UTA_Attack08_07=10.19#Hero_UTA_Attack08_08=13.2#Hero_UTA_Attack08_09=11.6#Hero_UTA_Attack08_10=11.2#Hero_UTA_Attack08_11=11.94#Hero_UTA_Attack08_12=12.7#Hero_UTA_Attack08_13=13.6#CV_UTA_08=4.35#CV_UTA_09=8.6</t>
  </si>
  <si>
    <t>Particles/uta001/uta001_attack06_C</t>
  </si>
  <si>
    <t>4047&amp;&amp;4048&amp;&amp;4049</t>
  </si>
  <si>
    <t>Bip001 L Finger2&amp;&amp;Bip001 R Finger2&amp;&amp;Bip001 R Finger1Nub</t>
  </si>
  <si>
    <t>Particles/uta001/uta001_attack06_Light</t>
  </si>
  <si>
    <t>乐谱投掷</t>
  </si>
  <si>
    <t>3007107</t>
  </si>
  <si>
    <t>Hero_UTA_Attack06_01=0.14#Hero_UTA_Attack06_02=0.24#Hero_UTA_Attack06_03=1.03#Hero_UTA_Attack06_04=0.65#Hero_UTA_Attack06_05=0.84#Hero_UTA_Attack06_06=5.4#Hero_UTA_Attack06_07=2.36#Hero_UTA_Attack06_08=2.7#Hero_UTA_Attack06_09=3.37#Hero_UTA_Attack06_10=3.71#Hero_UTA_Attack06_11=4.37#Hero_UTA_Attack06_12=5.7#Hero_UTA_Attack06_13=6.43#Hero_UTA_Attack06_14=6.95#Hero_UTA_Attack06_15=8.51#Hero_UTA_Attack06_16=10#Hero_UTA_Attack06_17=8.45#Hero_UTA_Attack06_18=9.24#Hero_UTA_Attack06_19=10.1#Hero_UTA_Attack06_20=11.9#CV_UTA_01=3.92#CV_UTA_02=7.36</t>
  </si>
  <si>
    <t>Particles/uta001/uta001_attack07_C</t>
  </si>
  <si>
    <t>4042&amp;&amp;4043&amp;&amp;4044&amp;&amp;4045</t>
  </si>
  <si>
    <t>Bip001 L Finger2&amp;&amp;Bip001 R Finger2&amp;&amp;Dummy002&amp;&amp;Dummy003</t>
  </si>
  <si>
    <t>音符能量球</t>
  </si>
  <si>
    <t>12408</t>
  </si>
  <si>
    <t>Hero_UTA_Attack07_01=0.32#Hero_UTA_Attack07_02=2.45#Hero_UTA_Attack07_03=3.5#Hero_UTA_Attack07_04=4.95#Hero_UTA_Attack07_05=5.73#Hero_UTA_Attack07_06=6.32#Hero_UTA_Attack07_07=7.84#Hero_UTA_Attack07_08=8.62#Hero_UTA_Attack07_09=9.83#Hero_UTA_Attack07_10=11.12#Hero_UTA_Attack07_11=11.48#Hero_UTA_Attack07_12=13.12#Hero_UTA_Attack07_13=14.65#Hero_UTA_Attack07_14=15.46#CV_UTA_03=0.25</t>
  </si>
  <si>
    <t>Particles/uta001/uta001_attack08_C</t>
  </si>
  <si>
    <t>润媞</t>
  </si>
  <si>
    <t>12501</t>
  </si>
  <si>
    <t>Hero_RunTi_Attack01_01=0.13#Hero_RunTi_Attack01_02=0.33#Hero_RunTi_Attack01_03=0.53#Hero_RunTi_Attack01_04=0.67#Hero_RunTi_Attack01_05=0.89#Hero_RunTi_Attack01_06=0.95#Hero_RunTi_Attack01_07=1.11#Hero_RunTi_Attack01_08=1.54#Hero_RunTi_Attack01_09=2.35#Hero_RunTi_Attack01_10=2.54#Hero_RunTi_Attack01_11=1.77</t>
  </si>
  <si>
    <t>碎骨锤</t>
  </si>
  <si>
    <t>12502</t>
  </si>
  <si>
    <t>Hero_RunTi_SkillAttack01_01=0.03#Hero_RunTi_SkillAttack01_02=0.89#Hero_RunTi_SkillAttack01_03=1.05#Hero_RunTi_SkillAttack01_04=1.49</t>
  </si>
  <si>
    <t>落风锤</t>
  </si>
  <si>
    <t>12503</t>
  </si>
  <si>
    <t>Hero_RunTi_SkillAttack02_01=0#Hero_RunTi_SkillAttack02_02=1.1#Hero_RunTi_SkillAttack02_03=2.16#Hero_RunTi_SkillAttack02_04=2.28</t>
  </si>
  <si>
    <t>Particles/ulti001/ulti001_attack03_C</t>
  </si>
  <si>
    <t>瞬影锤</t>
  </si>
  <si>
    <t>12504</t>
  </si>
  <si>
    <t>Hero_RunTi_SkillAttack03_01=0#Hero_RunTi_SkillAttack03_02=0.19#Hero_RunTi_SkillAttack03_03=0.3#Hero_RunTi_SkillAttack03_04=0.78#Hero_RunTi_SkillAttack03_05=0.62#Hero_RunTi_SkillAttack03_06=0.9#Hero_RunTi_SkillAttack03_07=1.94#Hero_RunTi_SkillAttack03_08=2.11</t>
  </si>
  <si>
    <t>Particles/ulti001/ulti001_attack04_C</t>
  </si>
  <si>
    <t>润头枪</t>
  </si>
  <si>
    <t>12505</t>
  </si>
  <si>
    <t>Hero_RunTi_SkillAttack05_01=0.33#Hero_RunTi_SkillAttack05_02=0.47#Hero_RunTi_SkillAttack05_03=0.67#CV_RunTi_02=1.34#Hero_RunTi_SkillAttack05_04=3.14#Hero_RunTi_SkillAttack05_05=3.38#Hero_RunTi_SkillAttack05_06=3.71#Hero_RunTi_SkillAttack05_07=4.4#Hero_RunTi_SkillAttack05_08=6.26#Hero_RunTi_SkillAttack05_09=6.45#Hero_RunTi_SkillAttack05_10=6.85#Hero_RunTi_SkillAttack05_11=8.78#Hero_RunTi_SkillAttack05_12=9.61#Hero_RunTi_SkillAttack05_13=10.62</t>
  </si>
  <si>
    <t>Particles/ulti001/ulti001_attack05_C</t>
  </si>
  <si>
    <t>疾影锤</t>
  </si>
  <si>
    <t>12506</t>
  </si>
  <si>
    <t>Hero_RunTi_SkillAttack06_01=0.61#Hero_RunTi_SkillAttack06_02=1.27#Hero_RunTi_SkillAttack06_03=1.91#Hero_RunTi_SkillAttack06_04=2.56#Hero_RunTi_SkillAttack06_05=3.13#Hero_RunTi_SkillAttack06_06=3.48#Hero_RunTi_SkillAttack06_07=3.92#Hero_RunTi_SkillAttack06_08=4.15#Hero_RunTi_SkillAttack06_09=4.72#Hero_RunTi_SkillAttack06_10=5.02#Hero_RunTi_SkillAttack06_11=5.7#Hero_RunTi_SkillAttack06_12=5.95#Hero_RunTi_SkillAttack06_13=6.17#Hero_RunTi_SkillAttack06_14=6.5#Hero_RunTi_SkillAttack06_15=6.95#Hero_RunTi_SkillAttack06_16=7.47#Hero_RunTi_SkillAttack06_17=7.68#Hero_RunTi_SkillAttack06_18=7.77#Hero_RunTi_SkillAttack06_19=8.04#Hero_RunTi_SkillAttack06_20=9.07#Hero_RunTi_SkillAttack06_21=9.24#CV_RunTi_03=7.66</t>
  </si>
  <si>
    <t>Particles/ulti001/ulti001_attack06_C</t>
  </si>
  <si>
    <t>润头枪（肿头龙）</t>
  </si>
  <si>
    <t>12507</t>
  </si>
  <si>
    <t>Hero_RunTi_SkillAttack04_01=0.1#Hero_RunTi_SkillAttack04_02=0.74#Hero_RunTi_SkillAttack04_03=1.4#Hero_RunTi_SkillAttack04_04=2.4#CV_RunTi_01=3.04#Hero_RunTi_SkillAttack04_05=5.37#Hero_RunTi_SkillAttack04_06=6.69#Hero_RunTi_SkillAttack04_07=7.4#Hero_RunTi_SkillAttack04_08=7.97#Hero_RunTi_SkillAttack04_09=8.37#Hero_RunTi_SkillAttack04_10=9.05#Hero_RunTi_SkillAttack04_11=9.44#Hero_RunTi_SkillAttack04_12=10.05#Hero_RunTi_SkillAttack04_13=10.29#Hero_RunTi_SkillAttack04_14=10.68#Hero_RunTi_SkillAttack04_15=13.18</t>
  </si>
  <si>
    <t>Particles/ulti001/ulti001_attack07_C</t>
  </si>
  <si>
    <t>佐罗（肉鸽）</t>
  </si>
  <si>
    <t>烬</t>
  </si>
  <si>
    <t>12601</t>
  </si>
  <si>
    <t>Hero_Jin_Attack01_01=0.2#Hero_Jin_Attack01_02=0.33#Hero_Jin_Attack01_03=0.67#Hero_Jin_Attack01_03=0.67#Hero_Jin_Attack01_04=0.86#Hero_Jin_Attack01_05=1.71</t>
  </si>
  <si>
    <t>撩刀斩</t>
  </si>
  <si>
    <t>12602</t>
  </si>
  <si>
    <t>Hero_Jin_SkillAttack01_01=0.04#Hero_Jin_SkillAttack01_02=0.28#Hero_Jin_SkillAttack01_03=0.49#Hero_Jin_SkillAttack01_04=0.89#Hero_Jin_SkillAttack01_05=1.32#Hero_Jin_SkillAttack01_06=2.53</t>
  </si>
  <si>
    <t>炎皇</t>
  </si>
  <si>
    <t>12603</t>
  </si>
  <si>
    <t>Hero_Jin_SkillAttack02_01=0.05#Hero_Jin_SkillAttack02_02=0.4#Hero_Jin_SkillAttack02_03=0.86#Hero_Jin_SkillAttack02_04=1.65#Hero_Jin_SkillAttack02_05=1.85#Hero_Jin_SkillAttack02_06=2.66#Hero_Jin_SkillAttack02_07=3.39</t>
  </si>
  <si>
    <t>赤火脚</t>
  </si>
  <si>
    <t>12604</t>
  </si>
  <si>
    <t>Hero_Jin_SkillAttack03_01=0#Hero_Jin_SkillAttack03_02=0.72#Hero_Jin_SkillAttack03_03=1.25#Hero_Jin_SkillAttack03_04=1.64#Hero_Jin_SkillAttack03_05=1.92</t>
  </si>
  <si>
    <t>炎刀断杀阵</t>
  </si>
  <si>
    <t>12605</t>
  </si>
  <si>
    <t>Hero_Jin_SkillAttack04_01=0.56#Hero_Jin_SkillAttack04_02=1.23#Hero_Jin_SkillAttack04_03=1.88#Hero_Jin_SkillAttack04_03=2.55#Hero_Jin_SkillAttack04_03=2.95#Hero_Jin_SkillAttack04_03=3.2#Hero_Jin_SkillAttack04_03=3.3#Hero_Jin_SkillAttack04_03=3.48#Hero_Jin_SkillAttack04_03=3.66#Hero_Jin_SkillAttack04_03=3.76#Hero_Jin_SkillAttack04_03=3.9#Hero_Jin_SkillAttack04_03=4.01#Hero_Jin_SkillAttack04_04=4.34#Hero_Jin_SkillAttack04_05=5.1#Hero_Jin_SkillAttack04_06=6.6#Hero_Jin_SkillAttack04_07=7.87#Hero_Jin_SkillAttack04_08=8.81#CV_Jin_01=4.81#CV_Jin_02=6.95</t>
  </si>
  <si>
    <t>Particles/king001/king001_attack05_C</t>
  </si>
  <si>
    <t>炎翼突袭</t>
  </si>
  <si>
    <t>12606</t>
  </si>
  <si>
    <t>Hero_Jin_SkillAttack05_01=0.16#Hero_Jin_SkillAttack05_02=1.18#Hero_Jin_SkillAttack05_03=1.43#Hero_Jin_SkillAttack05_04=2.23#Hero_Jin_SkillAttack05_05=3.1#Hero_Jin_SkillAttack05_06=3.4#Hero_Jin_SkillAttack05_07=4.3#Hero_Jin_SkillAttack05_08=4.36#Hero_Jin_SkillAttack05_09=5.82#Hero_Jin_SkillAttack05_07=4.8#Hero_Jin_SkillAttack05_10=5.49#Hero_Jin_SkillAttack05_10=5.9#Hero_Jin_SkillAttack05_10=6.27#Hero_Jin_SkillAttack05_10=6.46#Hero_Jin_SkillAttack05_10=6.64#Hero_Jin_SkillAttack05_10=6.82#Hero_Jin_SkillAttack05_10=7.01#Hero_Jin_SkillAttack05_10=7.17#Hero_Jin_SkillAttack05_10=7.34#Hero_Jin_SkillAttack05_10=7.54#Hero_Jin_SkillAttack05_11=7.69#Hero_Jin_SkillAttack05_12=8#Hero_Jin_SkillAttack05_13=9.5#Hero_Jin_SkillAttack05_14=9.94#CV_Jin_03=0.28#CV_Jin_04=8.4</t>
  </si>
  <si>
    <t>Particles/king001/king001_attack06_C</t>
  </si>
  <si>
    <t>龙影飞冲</t>
  </si>
  <si>
    <t>12607</t>
  </si>
  <si>
    <t>Hero_Jin_SkillAttack06_01=0.14#Hero_Jin_SkillAttack06_02=0.66#Hero_Jin_SkillAttack06_03=1.1#Hero_Jin_SkillAttack06_04=1.7#Hero_Jin_SkillAttack06_05=1.84#Hero_Jin_SkillAttack06_06=2.78#Hero_Jin_SkillAttack06_07=3.33#Hero_Jin_SkillAttack06_08=4.1#Hero_Jin_SkillAttack06_09=4.68#Hero_Jin_SkillAttack06_10=5.37#Hero_Jin_SkillAttack06_11=5.8#Hero_Jin_SkillAttack06_12=6.6#Hero_Jin_SkillAttack06_13=6.78#Hero_Jin_SkillAttack06_14=7.28#Hero_Jin_SkillAttack06_15=8.33#Hero_Jin_SkillAttack06_16=9.07#Hero_Jin_SkillAttack06_17=10.1#CV_Jin_05=0.05</t>
  </si>
  <si>
    <t>Particles/king001/king001_attack07_C</t>
  </si>
  <si>
    <t>佩吉旺</t>
  </si>
  <si>
    <t>Hero_PeiJiWan_Attack01_01=0.2#Hero_PeiJiWan_Attack01_02=0.45#Hero_PeiJiWan_Attack01_03=0.74#Hero_PeiJiWan_Attack01_04=0.98</t>
  </si>
  <si>
    <t>裂地拳</t>
  </si>
  <si>
    <t>Hero_PeiJiWan_SkillAttack01_01=0.08#Hero_PeiJiWan_SkillAttack01_02#Hero_PeiJiWan_SkillAttack01_03=0.61#CV_PeiJiWan_01=0.16</t>
  </si>
  <si>
    <t>龙身冲锋</t>
  </si>
  <si>
    <t>Hero_PeiJiWan_SkillAttack02_01=0.23#Hero_PeiJiWan_SkillAttack02_02=0.78#Hero_PeiJiWan_SkillAttack02_03=1.06#Hero_PeiJiWan_SkillAttack02_04=1.47#Hero_PeiJiWan_SkillAttack02_05=1#Hero_PeiJiWan_SkillAttack02_06=1.95</t>
  </si>
  <si>
    <t>Particles/pageone001/pageone001_attack03_C</t>
  </si>
  <si>
    <t>撩尾斩</t>
  </si>
  <si>
    <t>Hero_PeiJiWan_SkillAttack05_01=0.16#Hero_PeiJiWan_SkillAttack05_02=0.95#Hero_PeiJiWan_SkillAttack05_03=1.75#Hero_PeiJiWan_SkillAttack05_04=2.33</t>
  </si>
  <si>
    <t>Particles/pageone001/pageone001_attack04_C</t>
  </si>
  <si>
    <t>巨龙践踏</t>
  </si>
  <si>
    <t>Hero_PeiJiWan_SkillAttack07_01=0#Hero_PeiJiWan_SkillAttack07_02=0.59#Hero_PeiJiWan_SkillAttack07_03=1.46</t>
  </si>
  <si>
    <t>Particles/pageone001/pageone001_attack05_C</t>
  </si>
  <si>
    <t>巨龙吞噬</t>
  </si>
  <si>
    <t>Hero_JieKe_SkillAttack06_08=0.8#Hero_PeiJiWan_SkillAttack03_01=1.35#Hero_PeiJiWan_SkillAttack03_02=2.6#Hero_PeiJiWan_SkillAttack03_03=3.65#Hero_PeiJiWan_SkillAttack03_04=4.57#Hero_PeiJiWan_SkillAttack03_05=4.79#Hero_PeiJiWan_SkillAttack03_06=5.38#Hero_PeiJiWan_SkillAttack03_07=5.84#Hero_PeiJiWan_SkillAttack03_08=6.48#Hero_PeiJiWan_SkillAttack03_09=6.53#Hero_PeiJiWan_SkillAttack03_10=7.54#CV_PeiJiWan_02=0</t>
  </si>
  <si>
    <t>Particles/pageone001/pageone001_attack06_C</t>
  </si>
  <si>
    <t>凌空爪</t>
  </si>
  <si>
    <t>Hero_PeiJiWan_SkillAttack06_01=0#Hero_PeiJiWan_SkillAttack06_02=1.84#Hero_PeiJiWan_SkillAttack06_03=2.6#Hero_PeiJiWan_SkillAttack06_04=6.16#Hero_PeiJiWan_SkillAttack06_05=2.95#Hero_PeiJiWan_SkillAttack06_06=3.34#Hero_PeiJiWan_SkillAttack06_07=4.88#Hero_PeiJiWan_SkillAttack06_08=5.78#Hero_PeiJiWan_SkillAttack06_09=6.18#Hero_PeiJiWan_SkillAttack06_10=7.57#Hero_PeiJiWan_SkillAttack06_11=9.13#Hero_PeiJiWan_SkillAttack06_12=9.65#Hero_PeiJiWan_SkillAttack06_13=10.33#Hero_PeiJiWan_SkillAttack06_14=11.25#CV_PeiJiWan_03=2.63</t>
  </si>
  <si>
    <t>Particles/pageone001/pageone001_attack07_C</t>
  </si>
  <si>
    <t>迅疾龙影爪</t>
  </si>
  <si>
    <t>Hero_PeiJiWan_SkillAttack04_01=0.61#Hero_PeiJiWan_SkillAttack04_02=1.6#Hero_PeiJiWan_SkillAttack04_03=2.26#Hero_PeiJiWan_SkillAttack04_04=2.53#Hero_PeiJiWan_SkillAttack04_05=3.05#Hero_PeiJiWan_SkillAttack04_06=4.2#Hero_PeiJiWan_SkillAttack04_07=4.2#Hero_PeiJiWan_SkillAttack04_08=4.64#Hero_PeiJiWan_SkillAttack04_09=5.11#Hero_PeiJiWan_SkillAttack04_10=5.37#Hero_PeiJiWan_SkillAttack04_11=5.85#Hero_PeiJiWan_SkillAttack04_12=6.1#Hero_PeiJiWan_SkillAttack04_13=6.74#Hero_PeiJiWan_SkillAttack04_14=7#Hero_PeiJiWan_SkillAttack04_15=7.44#Hero_PeiJiWan_SkillAttack04_16=7.72#Hero_PeiJiWan_SkillAttack04_17=6.34#Hero_PeiJiWan_SkillAttack04_19=8.28#Hero_PeiJiWan_SkillAttack04_20=8.91</t>
  </si>
  <si>
    <t>Particles/pageone001/pageone001_attack08_C</t>
  </si>
  <si>
    <t>润头枪（肿头龙）群体</t>
  </si>
  <si>
    <t>基拉</t>
  </si>
  <si>
    <t>12801</t>
  </si>
  <si>
    <t>Hero_JiLa_Attack01_01=0.02#Hero_JiLa_Attack01_02=0.12#Hero_JiLa_Attack01_03=0.54#Hero_JiLa_Attack01_04=0.64#Hero_JiLa_Attack01_05=1.02#Hero_JiLa_Attack01_06=1.67</t>
  </si>
  <si>
    <t>疾风切割2</t>
  </si>
  <si>
    <t>12802</t>
  </si>
  <si>
    <t>Hero_JiLa_SkillAttack01_01=0.48#Hero_JiLa_SkillAttack01_02=0.65#Hero_JiLa_SkillAttack01_02=0.81#Hero_JiLa_SkillAttack01_02=0.98#Hero_JiLa_SkillAttack01_03=1.16#Hero_JiLa_SkillAttack01_04=1.73#Hero_JiLa_SkillAttack01_05=2.17</t>
  </si>
  <si>
    <t>刃音击3</t>
  </si>
  <si>
    <t>12803</t>
  </si>
  <si>
    <t>Hero_JiLa_SkillAttack02_01=0#Hero_JiLa_SkillAttack02_02=0.53#Hero_JiLa_SkillAttack02_03=0.97#Hero_JiLa_SkillAttack02_04=1.75</t>
  </si>
  <si>
    <t>4107&amp;&amp;4108</t>
  </si>
  <si>
    <t>bone_weapon015&amp;&amp;bone_weapon016</t>
  </si>
  <si>
    <t>回旋飞刃4</t>
  </si>
  <si>
    <t>12804</t>
  </si>
  <si>
    <t>Hero_JiLa_SkillAttack03_01=0#Hero_JiLa_SkillAttack03_02=0.2#Hero_JiLa_SkillAttack03_03=0.66#Hero_JiLa_SkillAttack03_04=0.92#Hero_JiLa_SkillAttack03_05=1.1#Hero_JiLa_SkillAttack03_06=1.23</t>
  </si>
  <si>
    <t>4111&amp;&amp;4112</t>
  </si>
  <si>
    <t>旋镰音击5</t>
  </si>
  <si>
    <t>12805</t>
  </si>
  <si>
    <t>Hero_JiLa_SkillAttack04_01=0.2#Hero_JiLa_SkillAttack04_02=0.18#Hero_JiLa_SkillAttack04_03=1#Hero_JiLa_SkillAttack04_04=1.39#Hero_JiLa_SkillAttack04_05=1.54#Hero_JiLa_SkillAttack04_06=1.83#Hero_JiLa_SkillAttack04_07=2.09#Hero_JiLa_SkillAttack04_08=2.38#Hero_JiLa_SkillAttack04_09=2.65#Hero_JiLa_SkillAttack04_10=2.47#Hero_JiLa_SkillAttack04_11=2.66#Hero_JiLa_SkillAttack04_12=3.3#Hero_JiLa_SkillAttack04_13=5.07#Hero_JiLa_SkillAttack04_14=3.3#Hero_JiLa_SkillAttack04_15=5.87#Hero_JinWeiMen_Attack07_07=5.9#Hero_JinWeiMen_Attack07_07=6.4#Hero_JinWeiMen_Attack07_07=6.9#Hero_JinWeiMen_Attack07_07=7.4#Hero_JiLa_SkillAttack04_16=7.35#Hero_JiLa_SkillAttack04_17=7.8#CV_JiLa_01=2.1</t>
  </si>
  <si>
    <t xml:space="preserve">Particles/killer002/Killer002_attack05_C </t>
  </si>
  <si>
    <t>4115&amp;&amp;4116&amp;&amp;4117&amp;&amp;4118&amp;&amp;4119</t>
  </si>
  <si>
    <t>bone_weapon015&amp;&amp;bone_weapon015&amp;&amp;bone_weapon016&amp;&amp;bone_weapon016&amp;&amp;Bip001 Footsteps</t>
  </si>
  <si>
    <t>送你下地狱6</t>
  </si>
  <si>
    <t>12806</t>
  </si>
  <si>
    <t>ultimate_sign=0.12#Hero_JiLa_SkillAttack05_01=0.68#Hero_JiLa_SkillAttack05_02=1.25#Hero_JiLa_SkillAttack05_03=3.06#Hero_JiLa_SkillAttack05_04=2.92#Hero_JiLa_SkillAttack05_04=3.16#Hero_JiLa_SkillAttack05_04=3.38#Hero_JiLa_SkillAttack05_05=3.58#Hero_JiLa_SkillAttack05_05=3.77#Hero_JiLa_SkillAttack05_06=3.9#Hero_JiLa_SkillAttack05_04=4.1#Hero_JiLa_SkillAttack05_05=4.32#Hero_JiLa_SkillAttack05_04=4.48#Hero_JiLa_SkillAttack05_06=4.68#Hero_JiLa_SkillAttack05_07=4.6#Hero_JiLa_SkillAttack05_08=2.8#Hero_JiLa_SkillAttack05_09=3.68#Hero_JiLa_SkillAttack05_10=5.8#Hero_JiLa_SkillAttack05_11=7#Hero_JiLa_SkillAttack05_12=8.45#Hero_JiLa_SkillAttack05_13=8.96#CV_JiLa_02=6.52</t>
  </si>
  <si>
    <t xml:space="preserve">Particles/killer002/Killer002_attack06_C </t>
  </si>
  <si>
    <t>4121&amp;&amp;4122&amp;&amp;4123</t>
  </si>
  <si>
    <t>bone_weapon006&amp;&amp;bone_weapon015&amp;&amp;bone_weapon016</t>
  </si>
  <si>
    <t>斩首爪7</t>
  </si>
  <si>
    <t>12807</t>
  </si>
  <si>
    <t>Hero_JiLa_SkillAttack06_01=0.17#Hero_JiLa_SkillAttack06_02=0.9#Hero_JiLa_SkillAttack06_03=1.93#Hero_JiLa_SkillAttack06_04=3.7#Hero_JiLa_SkillAttack06_05=2.55#Hero_JiLa_SkillAttack06_06=2.85#Hero_JiLa_SkillAttack06_07=4.92#Hero_JiLa_SkillAttack06_08=5.51#CV_JiLa_03=1.13</t>
  </si>
  <si>
    <t xml:space="preserve">Particles/killer002/Killer002_attack07_C </t>
  </si>
  <si>
    <t>和之国基德</t>
  </si>
  <si>
    <t>Hero_JiDe_Attack01_01=0.26#Hero_JiDe_Attack01_02=0.65#Hero_JiDe_Attack01_03=0.98#Hero_JiDe_Attack01_04=1.16#Hero_JiDe_Attack01_05=1.24</t>
  </si>
  <si>
    <t>磁气之拳</t>
  </si>
  <si>
    <t>Hero_JiDe_SkillAttack07_01=0.15#Hero_JiDe_SkillAttack07_02=0.45#Hero_JiDe_SkillAttack07_03=1.72</t>
  </si>
  <si>
    <t>磁气发射</t>
  </si>
  <si>
    <t>Hero_JiDe_SkillAttack06_01=0.78#Hero_JiDe_SkillAttack06_02=1.12#Hero_JiDe_SkillAttack06_03=1.6#Hero_JiDe_SkillAttack06_04=2.4</t>
  </si>
  <si>
    <t>磁球冲击</t>
  </si>
  <si>
    <t>Hero_JiDe_SkillAttack01_01=0.2#Hero_JiDe_SkillAttack01_02=0.67#Hero_JiDe_SkillAttack01_03=1.48#Hero_JiDe_SkillAttack01_04=2.33</t>
  </si>
  <si>
    <t>金属旋风</t>
  </si>
  <si>
    <t>Hero_JiDe_SkillAttack03_01=0#Hero_JiDe_SkillAttack03_02=0.28#Hero_JiDe_SkillAttack03_03=0.6</t>
  </si>
  <si>
    <t>破坏·弦</t>
  </si>
  <si>
    <t>Hero_JiDe_SkillAttack04_01=0.28#Hero_JiDe_SkillAttack04_02=0.86#Hero_JiDe_SkillAttack04_03=1.2#Hero_JiDe_SkillAttack04_04=1.41#Hero_JiDe_SkillAttack04_05=1.8#Hero_JiDe_SkillAttack04_06=2.26#Hero_JiDe_SkillAttack04_07=2.75#Hero_JiDe_SkillAttack04_08=3#Hero_JiDe_SkillAttack04_09=3.18#Hero_JiDe_SkillAttack04_10=3.5#Hero_JiDe_SkillAttack04_11=3.74#Hero_JiDe_SkillAttack04_12=4.2#Hero_JiDe_SkillAttack04_13=4.86#Hero_JiDe_SkillAttack04_14=5.43#Hero_JiDe_SkillAttack04_15=6.67#Hero_JiDe_SkillAttack04_16=7.5#Hero_JiDe_SkillAttack04_17=8.4#Hero_JiDe_SkillAttack04_18=9.16#Hero_JiDe_SkillAttack04_19=9.92#Hero_JiDe_SkillAttack04_20=10.4#Hero_JiDe_SkillAttack04_21=11.08#Hero_JiDe_SkillAttack04_22=12.3</t>
  </si>
  <si>
    <t>Particles/kidpirates003/kidpirates003_attack06_C</t>
  </si>
  <si>
    <t>磁气·弦</t>
  </si>
  <si>
    <r>
      <rPr>
        <sz val="11"/>
        <color theme="1"/>
        <rFont val="等线"/>
        <charset val="134"/>
        <scheme val="minor"/>
      </rPr>
      <t>Hero_JiDe_SkillAttack02_01=0#Hero_JiDe_SkillAttack02_02=0.5#Hero_JiDe_SkillAttack02_03=4#Hero_JiDe_SkillAttack02_04=1.5#Hero_JiDe_SkillAttack02_05=2.43#Hero_JiDe_SkillAttack02_06=4.1#Hero_JiDe_SkillAttack02_07=4.7#Hero_JiDe_SkillAttack02_08=6.4#Hero_JiDe_SkillAttack02_09=8.18#</t>
    </r>
    <r>
      <rPr>
        <sz val="11"/>
        <rFont val="等线"/>
        <charset val="134"/>
        <scheme val="minor"/>
      </rPr>
      <t>CV_JiDe_01=0.231</t>
    </r>
    <r>
      <rPr>
        <sz val="11"/>
        <color theme="1"/>
        <rFont val="等线"/>
        <charset val="134"/>
        <scheme val="minor"/>
      </rPr>
      <t>#CV_JiDe_02=3.024#CV_JiDe_04=5.55</t>
    </r>
  </si>
  <si>
    <t>Particles/kidpirates003/kidpirates003_attack07_C</t>
  </si>
  <si>
    <t>4142&amp;&amp;4143</t>
  </si>
  <si>
    <t>Bip001 R Finger2&amp;&amp;Bone046</t>
  </si>
  <si>
    <t>磁气·虎钳</t>
  </si>
  <si>
    <r>
      <rPr>
        <sz val="11"/>
        <color theme="1"/>
        <rFont val="等线"/>
        <charset val="134"/>
        <scheme val="minor"/>
      </rPr>
      <t>Hero_JiDe_SkillAttack05_01=0.45#Hero_JiDe_SkillAttack05_02=0.67#Hero_JiDe_SkillAttack05_03=0.85#Hero_JiDe_SkillAttack05_04=1.5#Hero_JiDe_SkillAttack05_05=1.75#Hero_JiDe_SkillAttack05_06=2.1#Hero_JiDe_SkillAttack05_07=2.56#Hero_JiDe_SkillAttack05_08=3.12#Hero_JiDe_SkillAttack05_09=4.32#Hero_JiDe_SkillAttack05_10=5.06#Hero_JiDe_SkillAttack05_11=6.12#Hero_JiDe_SkillAttack05_12=7.2#Hero_JiDe_SkillAttack05_13=7.5#Hero_JiDe_SkillAttack05_14=7.67#Hero_JiDe_SkillAttack05_15=7.8#Hero_JiDe_SkillAttack05_16=8.12#Hero_JiDe_SkillAttack05_17=8.67#Hero_JiDe_SkillAttack05_18=9.2#Hero_JiDe_SkillAttack05_19=11.6#Hero_JiDe_SkillAttack05_20=12.46#Hero_JiDe_SkillAttack05_21=13.63#Hero_JiDe_SkillAttack05_22=14.38#</t>
    </r>
    <r>
      <rPr>
        <sz val="11"/>
        <rFont val="等线"/>
        <charset val="134"/>
        <scheme val="minor"/>
      </rPr>
      <t>CV_JiDe_03=8.881</t>
    </r>
  </si>
  <si>
    <t>Particles/kidpirates003/kidpirates003_attack08_C</t>
  </si>
  <si>
    <t>和之国罗</t>
  </si>
  <si>
    <t>普攻1</t>
  </si>
  <si>
    <t>Hero_Luo_Attack01_01=0#Hero_Luo_Attack01_02=0.25#Hero_Luo_Attack01_02=0.52#Hero_Luo_Attack01_03=0.87#Hero_XinLuo_Attack08=1.74</t>
  </si>
  <si>
    <t>死之刀2</t>
  </si>
  <si>
    <t>Hero_Luo_SkillAttack04_01=0.23#Hero_Luo_SkillAttack04_02=0.3#Hero_Luo_SkillAttack04_04=1.2#Hero_Luo_SkillAttack04_05=1.36#Hero_Luo_SkillAttack04_06=1.95#Hero_Luo_SkillAttack04_07=2.34#Hero_Luo_SkillAttack04_08=2.86#Hero_Luo_SkillAttack04_09=3.4</t>
  </si>
  <si>
    <t>Bone_weapon010</t>
  </si>
  <si>
    <t>抗菌武装3</t>
  </si>
  <si>
    <t>Hero_Luo_SkillAttack07_01=0.55#Hero_Luo_SkillAttack07_02=1.1#Hero_Luo_SkillAttack07_03=2.7</t>
  </si>
  <si>
    <t>手术刀4</t>
  </si>
  <si>
    <t>Hero_Luo_SkillAttack01_01=0.27#Hero_Luo_SkillAttack01_02=1.04#Hero_Luo_SkillAttack01_03=1.2#Hero_Luo_SkillAttack01_04=1.54#Hero_Luo_SkillAttack01_05=2.04</t>
  </si>
  <si>
    <t>注射·发射5</t>
  </si>
  <si>
    <t>Hero_Luo_SkillAttack06_01=0.32#Hero_Luo_SkillAttack06_02=0.67#Hero_Luo_SkillAttack06_03=1.72#Hero_Luo_SkillAttack06_04=2.7#Hero_Luo_SkillAttack06_05=3.15</t>
  </si>
  <si>
    <t>伽马手术刀6</t>
  </si>
  <si>
    <t>Hero_Luo_SkillAttack05_01=0.73#Hero_Luo_SkillAttack05_02=1.3#Hero_Luo_SkillAttack05_03=1.88#Hero_Luo_SkillAttack05_04=2.52#Hero_Luo_SkillAttack05_05=2.78#Hero_Luo_SkillAttack05_06=3.4#Hero_Luo_SkillAttack05_07=4.7#Hero_Luo_SkillAttack05_08=4.94#Hero_Luo_SkillAttack05_09=6.22#Hero_Luo_SkillAttack05_10=7.45#Hero_Luo_SkillAttack05_11=8.06#Hero_Luo_SkillAttack05_12=8.28#Hero_Luo_SkillAttack05_13=9.01#Hero_Luo_SkillAttack05_14=9.8#Hero_Luo_SkillAttack05_15=10.28#Hero_Luo_SkillAttack05_16=11#Hero_Luo_SkillAttack05_17=11.8#CV_Luo_05=2.76#CV_Luo_06=10.59</t>
  </si>
  <si>
    <t>Particles/trafalgarlaw005/trafalgarlaw005_attack06_C</t>
  </si>
  <si>
    <t>指挥棒7</t>
  </si>
  <si>
    <t>ultimate_Sign=0#Hero_Luo_SkillAttack02_01=1.7#Hero_Luo_SkillAttack02_02=2.2#Hero_Luo_SkillAttack02_03=4.02#Hero_Luo_SkillAttack02_04=7#Hero_Luo_SkillAttack02_05=7.53#Hero_Luo_SkillAttack02_06=8#Hero_Luo_SkillAttack02_07=9.1#Hero_Luo_SkillAttack02_08=11.18#Hero_Luo_SkillAttack02_09=11.5#Hero_Luo_SkillAttack02_10=12.16#Hero_Luo_SkillAttack02_11=12.7#CV_Luo_01=10.1</t>
  </si>
  <si>
    <t>Particles/trafalgarlaw005/trafalgarlaw005_attack07_C</t>
  </si>
  <si>
    <t>Particles/trafalgarlaw005/trafalgarlaw005_attack07_lightAnimation</t>
  </si>
  <si>
    <t>电震波动8</t>
  </si>
  <si>
    <t>Hero_Luo_SkillAttack03_01=0.5#Hero_Luo_SkillAttack03_02=2.1#Hero_Luo_SkillAttack03_03=3.92#Hero_Luo_SkillAttack03_04=4.88#Hero_Luo_SkillAttack03_05=6.31#Hero_Luo_SkillAttack03_06=6.87#Hero_Luo_SkillAttack03_07=7.97#Hero_Luo_SkillAttack03_08=8.52#Hero_Luo_SkillAttack03_09=9#CV_Luo_02=0#CV_Luo_03=5#CV_Luo_04=7.73</t>
  </si>
  <si>
    <t>Particles/trafalgarlaw005/trafalgarlaw005_attack08_C</t>
  </si>
  <si>
    <t>Particles/trafalgarlaw005/trafalgarlaw005_attack08_lightAnimation</t>
  </si>
  <si>
    <t>UR大妈玲玲</t>
  </si>
  <si>
    <t>Hero_HuaKui_Attack01_01=0.39#Hero_HuaKui_Attack01_02=0.85#Hero_HuaKui_Attack01_03=2.04#Hero_HuaKui_Attack01_04=2.46</t>
  </si>
  <si>
    <t>huoqiu</t>
  </si>
  <si>
    <t>御雷殛2</t>
  </si>
  <si>
    <t>Hero_HuaKui_SkillAttack01_01=0.7#Hero_HuaKui_SkillAttack01_02=1.33#Hero_HuaKui_SkillAttack01_03=2#Hero_HuaKui_SkillAttack01_04=2.77#Hero_HuaKui_SkillAttack01_05=3.76</t>
  </si>
  <si>
    <t>Particles/charlotte008/charlotte008_attack02_C</t>
  </si>
  <si>
    <t>4180&amp;&amp;4181</t>
  </si>
  <si>
    <t>Bone015&amp;&amp;Bone162</t>
  </si>
  <si>
    <t>幻炎阳3</t>
  </si>
  <si>
    <t>Hero_HuaKui_SkillAttack02_01=0#Hero_HuaKui_SkillAttack02_02=0.38#Hero_HuaKui_SkillAttack02_03=2.64#Hero_HuaKui_SkillAttack02_04=4.53</t>
  </si>
  <si>
    <t>Particles/charlotte008/charlotte008_attack03_C</t>
  </si>
  <si>
    <t>Bone015</t>
  </si>
  <si>
    <t>震御雷4</t>
  </si>
  <si>
    <t>Hero_HuaKui_SkillAttack03_01=0.32#Hero_HuaKui_SkillAttack03_02=1.14#Hero_HuaKui_SkillAttack03_03=1.77</t>
  </si>
  <si>
    <t>Particles/charlotte008/charlotte008_attack04_C</t>
  </si>
  <si>
    <t>Particles/charlotte008/charlotte008_attack06_light</t>
  </si>
  <si>
    <t>灵魂强化5</t>
  </si>
  <si>
    <t>Hero_HuaKui_SkillAttack04_01=1.18#Hero_HuaKui_SkillAttack04_02=1.83</t>
  </si>
  <si>
    <t>4189&amp;&amp;4190</t>
  </si>
  <si>
    <t>Bip001 L Finger2&amp;&amp;hair_fire</t>
  </si>
  <si>
    <t>巨大化斩击6</t>
  </si>
  <si>
    <t>Hero_HuaKui_SkillAttack07_01=0#Hero_HuaKui_SkillAttack07_02=3.24#Hero_HuaKui_SkillAttack07_03=3.53#Hero_HuaKui_SkillAttack07_04=3.93#Hero_HuaKui_SkillAttack07_05=4.45#Hero_HuaKui_SkillAttack07_06=5.95#Hero_HuaKui_SkillAttack07_07=7.4#Hero_HuaKui_SkillAttack07_08=7.8#Hero_HuaKui_SkillAttack07_09=8.16#Hero_HuaKui_SkillAttack07_10=9#Hero_HuaKui_SkillAttack07_11=13.25#Hero_HuaKui_SkillAttack07_12=14.86#CV_HuaKui_04=1.14#CV_HuaKui_05=10.82</t>
  </si>
  <si>
    <t>Particles/charlotte008/charlotte008_attack06_C</t>
  </si>
  <si>
    <t>天满大自在天神7</t>
  </si>
  <si>
    <t>Hero_HuaKui_SkillAttack05_01=0#Hero_HuaKui_SkillAttack05_02=1.58#Hero_HuaKui_SkillAttack05_03=1.97#Hero_HuaKui_SkillAttack05_04=3.25#Hero_HuaKui_SkillAttack05_05=4.5#Hero_HuaKui_SkillAttack05_06=5.8#Hero_HuaKui_SkillAttack05_07=6.5#Hero_HuaKui_SkillAttack05_08=7.15#Hero_HuaKui_SkillAttack05_09=8.31#Hero_HuaKui_SkillAttack05_10=11#Hero_HuaKui_SkillAttack05_12=12.7#Hero_HuaKui_SkillAttack05_13=12.58#Hero_HuaKui_SkillAttack05_13=13.17#Hero_HuaKui_SkillAttack05_13=13.65#CV_HuaKui_01=2.44#CV_HuaKui_02=8.22</t>
  </si>
  <si>
    <t>Particles/charlotte008/charlotte008_attack07_C</t>
  </si>
  <si>
    <t>鸣光炮8</t>
  </si>
  <si>
    <t>Hero_HuaKui_SkillAttack06_01=0.22#Hero_HuaKui_SkillAttack06_02=1.11#Hero_HuaKui_SkillAttack06_03=1.36#Hero_HuaKui_SkillAttack06_04=1.86#Hero_HuaKui_SkillAttack06_05=2.49#Hero_HuaKui_SkillAttack06_06=3.06#Hero_HuaKui_SkillAttack06_07=3.86#Hero_HuaKui_SkillAttack06_08=7.44#Hero_HuaKui_SkillAttack06_09=8.28#Hero_HuaKui_SkillAttack06_10=8.74#Hero_HuaKui_SkillAttack06_11=10.3#Hero_HuaKui_SkillAttack06_12=11.7#Hero_HuaKui_SkillAttack06_13=13.96#Hero_HuaKui_SkillAttack06_14=4.83#Hero_HuaKui_SkillAttack06_15=4.87#CV_HuaKui_03=9.6</t>
  </si>
  <si>
    <t>Particles/charlotte008/charlotte008_attack08_C</t>
  </si>
  <si>
    <t>变身普攻9</t>
  </si>
  <si>
    <t>Hero_HuaKui_Attack02_01=0.26#Hero_HuaKui_Attack02_02=0.56#Hero_HuaKui_Attack02_03=0.73#Hero_HuaKui_Attack02_04=1.35</t>
  </si>
  <si>
    <t>刃母之炎10</t>
  </si>
  <si>
    <t>Hero_HuaKui_SkillAttack08_01=0.58#Hero_HuaKui_SkillAttack08_02=1.26#Hero_HuaKui_SkillAttack08_03=1.63#Hero_HuaKui_SkillAttack08_04=2.55</t>
  </si>
  <si>
    <t>Particles/charlotte008/charlotte008_attack10_C</t>
  </si>
  <si>
    <t>4203&amp;&amp;4204</t>
  </si>
  <si>
    <t>hair_fire&amp;&amp;weapon004</t>
  </si>
  <si>
    <t>火焰鞭挞11</t>
  </si>
  <si>
    <t>Hero_HuaKui_SkillAttack09_01=0#Hero_HuaKui_SkillAttack09_02=0.84#Hero_HuaKui_SkillAttack09_03=1.46#Hero_HuaKui_SkillAttack09_04=1.86#Hero_HuaKui_SkillAttack09_05=2.88#Hero_HuaKui_SkillAttack09_06=3.63#Hero_HuaKui_SkillAttack09_07=4.61</t>
  </si>
  <si>
    <t>Particles/charlotte008/charlotte008_attack011_C</t>
  </si>
  <si>
    <t>4207&amp;&amp;4208</t>
  </si>
  <si>
    <t>hair_fire&amp;&amp;huoqiu</t>
  </si>
  <si>
    <t>灵魂强化5(2)</t>
  </si>
  <si>
    <t>和之国路飞</t>
  </si>
  <si>
    <t>普攻-1</t>
  </si>
  <si>
    <t>HZG_Luff_Attack01_01=0.071#HZG_Luff_Attack01_02=0.362#HZG_Luff_Attack01_03=0.91#HZG_Luff_Attack01_04=1.475#HZG_Luff_Attack01_05=2.053</t>
  </si>
  <si>
    <t>象枪-14</t>
  </si>
  <si>
    <t>HZG_Luff_Attack02_01=0.732#HZG_Luff_Attack02_02=1.846#HZG_Luff_Attack02_03=3.1#HZG_Luff_Attack02_04=3.978</t>
  </si>
  <si>
    <t>火-13</t>
  </si>
  <si>
    <t>HZG_Luff_Attack03_01=0.396#HZG_Luff_Attack03_02=1.482</t>
  </si>
  <si>
    <t>怪鸟枪-15</t>
  </si>
  <si>
    <t>HZG_Luff_Attack05_01=0.615#HZG_Luff_Attack05_02=1.788#HZG_Luff_Attack05_03=2.593#HZG_Luff_Attack05_04=3.204#HZG_Luff_Attack05_05=3.247#HZG_Luff_Attack05_06=4.035</t>
  </si>
  <si>
    <t>怪鸟枪乱打-12</t>
  </si>
  <si>
    <t>HZG_Luff_Attack06_01=0.323#HZG_Luff_Attack06_02=3.001#HZG_Luff_Attack06_03=0.776#HZG_Luff_Attack06_04=1.706#HZG_Luff_Attack06_05=2.305#HZG_Luff_Attack06_06=3.039#HZG_Luff_Attack06_07=4.49#HZG_Luff_Attack06_08=5.593#HZG_Luff_Attack06_09=6.484#CV_HZG_Luff_Attack06=4.602</t>
  </si>
  <si>
    <t>Particles/luffy025/luffy025_attack12_C</t>
  </si>
  <si>
    <t>业火手枪-5</t>
  </si>
  <si>
    <t>HZG_Luff_Attack04_01=0.057#HZG_Luff_Attack04_02=0.99#HZG_Luff_Attack04_04=2.777#HZG_Luff_Attack04_05=3.047#HZG_Luff_Attack04_06=4.058#HZG_Luff_Attack04_07=5.034#HZG_Luff_Attack04_08=7.251#HZG_Luff_Attack04_09=7.760#HZG_Luff_Attack04_10=9.219#HZG_Luff_Attack04_11=11.229#HZG_Luff_Attack04_12=11.530#CV_HZG_Luff_Attack04_01=1.693#CV_HZG_Luff_Attack04_02=5.310#CV_HZG_Luff_Attack04_03=9.249</t>
  </si>
  <si>
    <t>Particles/luffy025/luffy025_attack05_C</t>
  </si>
  <si>
    <t>九头蛇-11变身</t>
  </si>
  <si>
    <t>HZG_Luff_Attack08_01=0.633#HZG_Luff_Attack08_02=1.37#HZG_Luff_Attack08_03=1.527#HZG_Luff_Attack08_04=1.862#HZG_Luff_Attack08_05=2.902#HZG_Luff_Attack08_06=3.828#HZG_Luff_Attack08_07=5.548#HZG_Luff_Attack08_08=6.744#HZG_Luff_Attack08_09=8.248#HZG_Luff_Attack08_10=9.865#CV_HZG_Luff_Attack08=5.269</t>
  </si>
  <si>
    <t>Particles/luffy025/luffy025_attack011_C</t>
  </si>
  <si>
    <t>蛇人普攻-9</t>
  </si>
  <si>
    <t>HZG_Luff_Attack07_01=0.177#HZG_Luff_Attack07_02=0.857#HZG_Luff_Attack07_03=1.050#HZG_Luff_Attack07_04=1.910</t>
  </si>
  <si>
    <t>王蛇-8</t>
  </si>
  <si>
    <t>HZG_Luff_Attack09_01=0.395#HZG_Luff_Attack09_02=1.424#HZG_Luff_Attack09_03=1.639#HZG_Luff_Attack09_04=2.045#HZG_Luff_Attack09_05=2.275#HZG_Luff_Attack09_06=2.995#HZG_Luff_Attack09_07=3.8#HZG_Luff_Attack09_08=4.673#HZG_Luff_Attack09_09=5.512#HZG_Luff_Attack09_10=6.418#HZG_Luff_Attack09_11=6.88#CV_HZG_Luff_Attack09=1.662</t>
  </si>
  <si>
    <t>Particles/luffy025/luffy025_attack08_C</t>
  </si>
  <si>
    <t>和之国罗宾</t>
  </si>
  <si>
    <t>普攻atk01</t>
  </si>
  <si>
    <t>13301</t>
  </si>
  <si>
    <t>HZG_Robin_Attack01_01=0.204#HZG_Robin_Attack01_02=0.813#HZG_Robin_Attack01_03=1.097#HZG_Robin_Attack01_04=1.326</t>
  </si>
  <si>
    <t>三棵树·小苍兰-atk02</t>
  </si>
  <si>
    <t>13302</t>
  </si>
  <si>
    <t>HZG_Robin_Attack02_01=0.158#HZG_Robin_Attack02_02=0.672#HZG_Robin_Attack02_03=0.838#HZG_Robin_Attack02_04=0.977</t>
  </si>
  <si>
    <t>万花拍击-atk06</t>
  </si>
  <si>
    <t>13303</t>
  </si>
  <si>
    <t>HZG_Robin_Attack06_01=0.247#HZG_Robin_Attack06_02=1.148#HZG_Robin_Attack06_03=1.393</t>
  </si>
  <si>
    <t>c万紫千红·巨大树·打击-atk07</t>
  </si>
  <si>
    <t>13304</t>
  </si>
  <si>
    <t>HZG_Robin_Attack07_01=0.246#HZG_Robin_Attack07_02=2.007#HZG_Robin_Attack07_03=3.202#HZG_Robin_Attack07_04=3.637#HZG_Robin_Attack07_05=4.259#HZG_Robin_Attack07_06=5.079#HZG_Robin_Attack07_07=5.827#HZG_Robin_Attack07_08=7.037#HZG_Robin_Attack07_09=3.810#HZG_Robin_Attack07_10=4.363#HZG_Robin_Attack07_11=5.134</t>
  </si>
  <si>
    <t>Particles/robin010/robin010_attack07_C</t>
  </si>
  <si>
    <t>巨大树·掌刮-atk08</t>
  </si>
  <si>
    <t>13305</t>
  </si>
  <si>
    <t>HZG_Robin_Attack08_01=0.709#HZG_Robin_Attack08_02=1.606#HZG_Robin_Attack08_03=2.090</t>
  </si>
  <si>
    <t>c万紫千红・鱼人空手道・大花葱-atk09</t>
  </si>
  <si>
    <t>13306</t>
  </si>
  <si>
    <t>HZG_Robin_Attack09_01=1.189#HZG_Robin_Attack09_02=2.541#HZG_Robin_Attack09_03=3.295#HZG_Robin_Attack09_04=4.099#HZG_Robin_Attack09_05=4.755#HZG_Robin_Attack09_06=5.871#HZG_Robin_Attack09_07=6.86#HZG_Robin_Attack09_08=8.274#HZG_Robin_Attack09_09=8.875#CV_HZG_Robin_Attack09_01=2.485</t>
  </si>
  <si>
    <t>-100</t>
  </si>
  <si>
    <t>Particles/robin010/robin010_attack09_C</t>
  </si>
  <si>
    <t>c恶魔开花-atk05</t>
  </si>
  <si>
    <t>13307</t>
  </si>
  <si>
    <t>HZG_Robin_Attack05_01=0.067#HZG_Robin_Attack05_02=1.069#HZG_Robin_Attack05_03=1.825#HZG_Robin_Attack05_04=2.234#HZG_Robin_Attack05_05=2.799#HZG_Robin_Attack05_06=3.491#HZG_Robin_Attack05_07=4.304#HZG_Robin_Attack05_08=5.212#HZG_Robin_Attack05_09=5.968#HZG_Robin_Attack05_10=6.858#HZG_Robin_Attack05_11=7.403#HZG_Robin_Attack05_12=9.341#HZG_Robin_Attack05_13=10.956#CV_HZG_Robin_Attack05_01=2.504</t>
  </si>
  <si>
    <t>-27</t>
  </si>
  <si>
    <t>Particles/robin010/robin010_attack05_C</t>
  </si>
  <si>
    <t>c巨人开花·海龙花atk04</t>
  </si>
  <si>
    <t>13308</t>
  </si>
  <si>
    <t>HZG_Robin_Attack04_01=0.81#HZG_Robin_Attack04_02=2.907#HZG_Robin_Attack04_03=3.797#HZG_Robin_Attack04_04=4.91#HZG_Robin_Attack04_05=6.203#HZG_Robin_Attack04_06=7.462#HZG_Robin_Attack04_07=8.56#HZG_Robin_Attack04_08=9.118#HZG_Robin_Attack04_09=9.361#HZG_Robin_Attack04_10=11.078#HZG_Robin_Attack04_11=11.524#HZG_Robin_Attack04_12=12.027#HZG_Robin_Attack04_13=12.547#CV_HZG_Robin_Attack04_01=0.562</t>
  </si>
  <si>
    <t>-10</t>
  </si>
  <si>
    <t>Particles/robin010/robin010_attack04_C</t>
  </si>
  <si>
    <t>和之国山智</t>
  </si>
  <si>
    <t>普攻01</t>
  </si>
  <si>
    <t>HZG_SanJi_Attack01_01=0.166#HZG_SanJi_Attack01_02=0.61#HZG_SanJi_Attack01_03=1.115</t>
  </si>
  <si>
    <t>4259&amp;&amp;4260</t>
  </si>
  <si>
    <t>Bip001 L Toe0&amp;&amp;Bip001 L Toe0</t>
  </si>
  <si>
    <t>恶魔风脚·烧铁锅光谱02</t>
  </si>
  <si>
    <t>HZG_SanJi_Attack02_01=0.289#HZG_SanJi_Attack02_02=0.566#HZG_SanJi_Attack02_03=0.807#HZG_SanJi_Attack02_04=1.035</t>
  </si>
  <si>
    <t>4263&amp;&amp;4264</t>
  </si>
  <si>
    <t>宴会桌·旋转踢03</t>
  </si>
  <si>
    <t>HZG_SanJi_Attack03_01=0.7#HZG_SanJi_Attack03_0=1.675</t>
  </si>
  <si>
    <t>Bip001 L Toe0Nub</t>
  </si>
  <si>
    <t>颈肉·踢04</t>
  </si>
  <si>
    <t>HZG_SanJi_Attack04_01=0.082#HZG_SanJi_Attack04_02=0.637#HZG_SanJi_Attack04_03=1.302</t>
  </si>
  <si>
    <t>Bip001 L Toe0</t>
  </si>
  <si>
    <t>腹肉·踢击05</t>
  </si>
  <si>
    <t>HZG_SanJi_Attack05_01=0.27#HZG_SanJi_Attack05_02=1.04</t>
  </si>
  <si>
    <t>恶魔风脚·粗碎06</t>
  </si>
  <si>
    <t>HZG_SanJi_Attack06_01=2.064#HZG_SanJi_Attack06_02=3.151#HZG_SanJi_Attack06_03=3.765#HZG_SanJi_Attack06_04=5.076#HZG_SanJi_Attack06_05=6.526#HZG_SanJi_Attack06_06=7.16#HZG_SanJi_Attack06_07=7.675#HZG_SanJi_Attack06_08=8.134#HZG_SanJi_Attack06_09=8.966#HZG_SanJi_Attack06_10=9.895#HZG_SanJi_Attack06_11=10.675#HZG_SanJi_Attack06_12=11.571#HZG_SanJi_Attack06_13=12.053#HZG_SanJi_Attack06_14=12.864#CV_HZG_SanJi_Attack06=0.84</t>
  </si>
  <si>
    <t>Particles/sanji010/sanji010_attack06_C</t>
  </si>
  <si>
    <t>Particles/sanji010/sanji010_attack06_light</t>
  </si>
  <si>
    <t>恶魔风脚·熟烧·烧烤直击07</t>
  </si>
  <si>
    <t>HZG_SanJi_Attack07_01=1.493#HZG_SanJi_Attack07_02=2.301#HZG_SanJi_Attack07_03=3.310#HZG_SanJi_Attack07_04=4.34#HZG_SanJi_Attack07_05=4.667#HZG_SanJi_Attack07_06=5.92#HZG_SanJi_Attack07_07=6.407#HZG_SanJi_Attack07_08=6.590#HZG_SanJi_Attack07_09=7.244#HZG_SanJi_Attack07_10=8.331#CV_HZG_SanJi_Attack07=2.67</t>
  </si>
  <si>
    <t>Particles/sanji010/sanji010_attack07_C</t>
  </si>
  <si>
    <t>4278&amp;&amp;4279</t>
  </si>
  <si>
    <t>Bip001 R Toe0&amp;&amp;Bip001 R Toe0</t>
  </si>
  <si>
    <t>魔神风脚·牛肉爆裂08</t>
  </si>
  <si>
    <t>HZG_SanJi_Attack08_01=0.135#HZG_SanJi_Attack08_02=2.451#HZG_SanJi_Attack08_03=3.133#HZG_SanJi_Attack08_04=3.789#HZG_SanJi_Attack08_05=4.5#HZG_SanJi_Attack08_06=6.39#HZG_SanJi_Attack08_07=7.219#HZG_SanJi_Attack08_08=8.175#HZG_SanJi_Attack08_09=10.214#HZG_SanJi_Attack08_10=11.233#HZG_SanJi_Attack08_11=11.506#HZG_SanJi_Attack08_12=12.834#HZG_SanJi_Attack08_13=14.011#HZG_SanJi_Attack08_14=15.019#CV_HZG_SanJi_Attack08_01=3.66#CV_HZG_SanJi_Attack08_02=5.83</t>
  </si>
  <si>
    <t>Particles/sanji010/sanji010_attack08_C</t>
  </si>
  <si>
    <t>奶昔觉醒</t>
  </si>
  <si>
    <t>穿刺</t>
  </si>
  <si>
    <t>8910</t>
  </si>
  <si>
    <t>Smoothie_JX_Attack01_01=0.09#Smoothie_JX_Attack01_02=0.575#Smoothie_JX_Attack01_03=1.027#Smoothie_JX_Attack01_04=1.297#Smoothie_JX_Attack01_05=1.674#Smoothie_JX_Attack01_06=2.283</t>
  </si>
  <si>
    <t>果汁喷泉</t>
  </si>
  <si>
    <t>8911</t>
  </si>
  <si>
    <t>Smoothie_JX_Attack02_01=0.12#Smoothie_JX_Attack02_02=1.25#Smoothie_JX_Attack02_03=1.644</t>
  </si>
  <si>
    <t>果汁剑技</t>
  </si>
  <si>
    <t>8912</t>
  </si>
  <si>
    <t>Smoothie_JX_Attack03_01=0.223#Smoothie_JX_Attack03_02=1.589#Smoothie_JX_Attack03_03=2.59#Smoothie_JX_Attack03_04=3.04#Smoothie_JX_Attack03_05=3.75#Smoothie_JX_Attack03_06=4.433#Smoothie_JX_Attack03_07=5.103#Smoothie_JX_Attack03_08=5.995#Smoothie_JX_Attack03_09=6.54#Smoothie_JX_Attack03_10=7.548#Smoothie_JX_Attack03_11=8.149#Smoothie_JX_Attack03_12=9.426#Smoothie_JX_Attack03_13=10.221#Smoothie_JX_Attack03_14=10.94#CV_Smoothie_JX_Attack03_01=0.697#CV_Smoothie_JX_Attack03_02=8.439</t>
  </si>
  <si>
    <t>Particles/smoothie001/smoothie001_body_attack11_C</t>
  </si>
  <si>
    <t>和之国佐罗01</t>
  </si>
  <si>
    <t>13501</t>
  </si>
  <si>
    <t>ZoroCZ_attack_swing1=0.33#ZoroCZ_attack_swing1=0.65#ZoroCZ_attack_swing3=1.03#CVZoronewCZ_attack_he=1.03#slash_general01=0.37#slash_general01=0.67#slash_general01=1.03</t>
  </si>
  <si>
    <t>和之国佐罗02</t>
  </si>
  <si>
    <t>二刀流·空狸枪</t>
  </si>
  <si>
    <t>13502</t>
  </si>
  <si>
    <r>
      <rPr>
        <sz val="11"/>
        <color theme="1"/>
        <rFont val="等线"/>
        <charset val="134"/>
        <scheme val="minor"/>
      </rPr>
      <t>general_A_jumpforward=0.3#zoro_Jumphit=0.9#ZoroCZ_evil_swordout2=0.9#rockfall_general01=0.97#ZororHeCZ_EnergyHit=0.97</t>
    </r>
  </si>
  <si>
    <t>和之国佐罗03</t>
  </si>
  <si>
    <t>二刀流·七百二十烦恼凤</t>
  </si>
  <si>
    <t>13503</t>
  </si>
  <si>
    <t>ZoronewCZ_lion_sword1=0.15#ZoroCZ_cow_angry=0.6#ZoroCZ_luoshengmen_swing=1.55#ZoroCZ_attack_swing1=3.8#ZoronewCZ_world_swing4=3.88</t>
  </si>
  <si>
    <t>和之国佐罗06</t>
  </si>
  <si>
    <t>鬼气·九刀流·阿修罗·拔剑·亡者游戏</t>
  </si>
  <si>
    <t>13506</t>
  </si>
  <si>
    <t>mihawkCZ_wu_focus=0.04#ZoronewCZ_world_swing2=0.35#ZoroCZ_attack_swing1=0.87#ZoronewCZ_world_swing4=1.15#ZoroCZ_evil_swordin=1.55#ZoroCZ_evil_swordout2=1.9#ZoronewCZ_world_baqi=2.3#ZoronewCZ_world_swing1=3.1#whooshsmall_general=3.17#ZoronewCZ_world_slash=3.55#ZoroCZ_evil_xuli=3.75#ZoronewCZ_bird_energy=3.75#whooshlarge_general=4.5#ZoronewCZ_tornado_reverse=5.1#ZoroCZ_swing_delay=5.1#zoro_Jumphit=6.3#bodyrock_hit02=6.67#se_Rocks01=6.67#whooshlarge_general=7.5#ZoroCZ_world_swing=8.1#ZoroCZ_world_swing=8.87#ZoroCZ_world_swing=9.7#ZoronewCZ_world_superwhoosh=10.3#mihawkCZ_wu_focus=11.5#ZoronewCZ_world_hit=11.7#se_Rocks01=13.5#rockfall_general01=13.5#CVZororHeCZ_Asura=3.2</t>
  </si>
  <si>
    <t>Particles/zoro014/zoro014_attack06_C</t>
  </si>
  <si>
    <t>和之国佐罗变身后04</t>
  </si>
  <si>
    <t>一刀流·三百六十烦恼凤</t>
  </si>
  <si>
    <t>3008304</t>
  </si>
  <si>
    <r>
      <rPr>
        <sz val="11"/>
        <color theme="1"/>
        <rFont val="等线"/>
        <charset val="134"/>
        <scheme val="minor"/>
      </rPr>
      <t>ZoronewCZ_bird_energy=0.1#ZoronewCZ_attack_swing1=0.86#ZoronewCZ_bird_cast=0.86#CVZoronewCZ_attack_qie=0.86</t>
    </r>
  </si>
  <si>
    <t>和之国佐罗变身后05</t>
  </si>
  <si>
    <t>一刀流·居合·死·狮子歌歌</t>
  </si>
  <si>
    <t>3008305</t>
  </si>
  <si>
    <r>
      <rPr>
        <sz val="11"/>
        <color theme="1"/>
        <rFont val="等线"/>
        <charset val="134"/>
        <scheme val="minor"/>
      </rPr>
      <t>whooshlarge_slashly01=0#ZoronewCZ_lion_sword1=1.9#AceCZ_largefire_burn01=2.3#se_FireBlast=2.9#Bady5_fire_flame#2.9#AceCZ_firepunch_fireup=2.9#ZoronewCZ_lion_sword2=3.9#ZoronewCZ_lion_sword3=4#ZoronewCZ_lion_light=4.19#ZoronewCZ_lion_whoosh=4.4#ZoroCZ_lion_crash=4.8#ZoronewCZ_lion_end=6.7#slash_large=7.2#CV_ZoroCZ_lion1=3.3#CVZoronewCZ_lion1=4.95#CVZoronewCZ_lion2=7</t>
    </r>
  </si>
  <si>
    <t>Particles/zoro014/zoro014_attack05_C</t>
  </si>
  <si>
    <t>和之国佐罗变身后08</t>
  </si>
  <si>
    <t>三刀流·黑绳大龙卷</t>
  </si>
  <si>
    <t>3008308</t>
  </si>
  <si>
    <r>
      <rPr>
        <sz val="11"/>
        <color theme="1"/>
        <rFont val="等线"/>
        <charset val="134"/>
        <scheme val="minor"/>
      </rPr>
      <t>ZoronewCZ_tornado_cloth=0.1#whooshsmall_general=1#whooshlarge_general=1.5#mihawkCZ_wu_focus=1.5#ZoronewCZ_world_swing2=2.3#ZoronewCZ_world_swing1=2.57#ZoronewCZ_world_slash=2.8#ZoronewCZ_tornado_baqi=4#ZoronewCZ_tornado_dragon=5.2#whooshsmall_general=6.4#ZoronewCZ_tornado_storm=6.4#zoro_Spin_Wind=7.6#zoro_Spin_Wind=8.25#whooshlarge_general=8.9#ZoronewCZ_tornado_reverse=11#se_Rocks01=11.5#ZoronewCZ_tornado_show=11.6#ZoronewCZ_tornado_slash1=11.9#ZoronewCZ_tornado_slash2=11.9#whooshlarge_general=13.3#CVZoronewCZ_tornado1=2.9#CVZoronewCZ_tornado2=4.2</t>
    </r>
  </si>
  <si>
    <t>Particles/zoro014/zoro014_attack08_C</t>
  </si>
  <si>
    <t>dao_yan003</t>
  </si>
  <si>
    <t>和之国佐罗变身后09</t>
  </si>
  <si>
    <t>阎王三刀龙·一百三情·飞龙侍极</t>
  </si>
  <si>
    <t>3008309</t>
  </si>
  <si>
    <t>whooshsmall_general=0.4#ZoroCZ_cow_angry=0.7#ZoronewCZ_world_swing2=0.8#ZoronewCZ_tornado_reverse=0.9#ZoronewCZ_tornado_show=1.5#ZoroCZ_evil_xuli=1.6#ZoronewCZ_bird_swordin2=2.65#ZoronewCZ_world_swing1=2.65#whooshsmall_general=2.65#whooshlarge_slashly01=3#ZoronewCZ_fannao_jump=3.15#bodyrock_hit02=3.3#ZoronewCZ_world_superwhoosh=3.6#ZororHeCZ_Fly=3.6#ZororHeCZ_Jump=8.3#whooshsmall_general=8.6#ZoronewCZ_lion_light=9.42#ZoronewCZ_lion_light=9.6#ZoronewCZ_lion_light=9.85#ZororHeCZ_Disapear=10.1#whooshlarge_slashly01=10.4#ZororHeCZ_Light=11.5#ZororHeCZ_BassDrop=11.5#whooshlarge_slashly01=12.6#UsoppnewCZ_explosion=12.8#se_Rocks01=12.6#ZororHeCZ_Slay=12.8</t>
  </si>
  <si>
    <t>Particles/zoro014/zoro014_attack09_C</t>
  </si>
  <si>
    <t>和之国佐罗变身后10</t>
  </si>
  <si>
    <t>变身后普攻</t>
  </si>
  <si>
    <t>3008310</t>
  </si>
  <si>
    <t>和之国乔巴01</t>
  </si>
  <si>
    <t>13601</t>
  </si>
  <si>
    <r>
      <rPr>
        <sz val="11"/>
        <color theme="1"/>
        <rFont val="等线"/>
        <charset val="134"/>
        <scheme val="minor"/>
      </rPr>
      <t>ChopperHeCZ_Attack01_1=0.4#ChopperHeCZ_Attack01_2=0.8#ChopperHeCZ_Attack01_3=1.3#CV_Nchopper_attack03=1.4</t>
    </r>
  </si>
  <si>
    <t>和之国乔巴02</t>
  </si>
  <si>
    <t>医疗药剂</t>
  </si>
  <si>
    <t>13602</t>
  </si>
  <si>
    <r>
      <rPr>
        <sz val="11"/>
        <color theme="1"/>
        <rFont val="等线"/>
        <charset val="134"/>
        <scheme val="minor"/>
      </rPr>
      <t>ChopperHeCZ_Attack02_Cast=0.5#ChopperHeCZ_Attack02_Throw=1.3#ChopperHeCZ_Attack02_Hit=2.3</t>
    </r>
  </si>
  <si>
    <t>和之国乔巴03</t>
  </si>
  <si>
    <t>13603</t>
  </si>
  <si>
    <r>
      <rPr>
        <sz val="11"/>
        <color theme="1"/>
        <rFont val="等线"/>
        <charset val="134"/>
        <scheme val="minor"/>
      </rPr>
      <t>ChopperHeCZ_Attack03_Bigger=0.37#ChopperHeCZ_Attack03_Jump1=0.6#ChopperHeCZ_Attack03_Hit1=0.7#ChoppernewCZ_rouhua_spin=1#ChoppernewCZ_rouhua_spin=1.1#ChoppernewCZ_rouhua_spin=1.2#ChoppernewCZ_rouhua_spin=1.3#kick_general02=1.07#kick_general01=1.17#kick_general02=1.27##kick_general01=1.37#ChopperHeCZ_Attack03_Jump2=1.4#ChopperHeCZ_Attack03_Hit2=1.46#ChopperHeCZ_Attack03_Jump3=2.12#ChopperHeCZ_Attack03_Hit3=2.3#ChopperHeCZ_Attack03_Smaller=3#ChopperHeCZ_Attack03_EndSpin1=3.2#ChopperHeCZ_Attack03_EndSpin2=3.3#ChopperHeCZ_Attack03_EndSpin3=3.4#CV_Nchopper_attack04=2.2</t>
    </r>
  </si>
  <si>
    <t>和之国乔巴04</t>
  </si>
  <si>
    <t>药剂制备</t>
  </si>
  <si>
    <t>13604</t>
  </si>
  <si>
    <t>whooshlarge_slashly01=0#ChopperHeCZ_Attack04_Bubble1=0.5#ChopperHeCZ_Attack04_Bubble2=1.5#ChopperHeCZ_Attack04_Whistle1=3.2#ChopperHeCZ_Attack04_Action1=3.4#ChopperHeCZ_Attack04_Whistle2=3.95#ChopperHeCZ_Attack04_Action2=4.0#ChopperHeCZ_Attack04_Whistle3=4.7#ChopperHeCZ_Attack04_Action3=5.1#ChopperHeCZ_Attack04_Steam=5.37#ChopperHeCZ_Attack04_Whistle4=5.5#ChopperHeCZ_Attack04_Whistle1=6.17#ChopperHeCZ_Attack04_Action1=6.25#ChopperHeCZ_Attack04_Whistle2=6.53#ChopperHeCZ_Attack04_Action2=6.7#ChopperHeCZ_Attack04_Whistle3=6.93#ChopperHeCZ_Attack04_Action3=7.15#ChopperHeCZ_Attack04_Steam=7.7#ChopperHeCZ_Attack04_Action4=7.83#ChopperHeCZ_Attack04_Whoosh=8.4#ChopperHeCZ_Attack04_Pour=8.9#ChopperHeCZ_Attack04_Bubble=9.9#ChopperHeCZ_Attack04_Whistle4=10.4#ChopperHeCZ_Attack04_EndCast=10.4#ChopperHeCZ_Attack04_End=11.4#whooshlarge_slashly01=11.2#CV_chopperCZ_ha=2.5#CV_chopper02=11.4</t>
  </si>
  <si>
    <t>Particles/chopper011/chopper011_attack04_C</t>
  </si>
  <si>
    <t>和之国乔巴05</t>
  </si>
  <si>
    <t>乔巴噬菌体雾炮</t>
  </si>
  <si>
    <t>13605</t>
  </si>
  <si>
    <t>ChopperHeCZ_Attack05_Jump=0.45#ChopperHeCZ_Attack05_Jump=0.9#ChoppernewCZ_fight_swing5=1.25#ChoppernewCZ_rouhua_spin=1.47##ChoppernewCZ_rouhua_spin=1.57#ChoppernewCZ_rouhua_spin=1.67#ChoppernewCZ_rouhua_spin=1.8#ChoppernewCZ_rouhua_spin=1.87#ChoppernewCZ_rouhua_spin=2#ChoppernewCZ_rouhua_spin=2#ChopperHeCZ_Attack05_Fall=2.15#ChopperHeCZ_Attack05_Jump=3.2#ChopperHeCZ_Attack05_Chime=3.2#whooshlarge_slashly01=4.35#ChopperHeCZ_Attack05_Cannon=5.5#ChopperHeCZ_Attack05_Explo=6.15#ChopperHeCZ_Attack05_EndCast=7.3#ChopperHeCZ_Attack05_End=7.8#whooshlarge_slashly01=8.4#CV_HeChopper_Attack05_1=1.25#CV_HeChopper_Attack05_2=3</t>
  </si>
  <si>
    <t>Particles/chopper011/chopper011_attack05_C</t>
  </si>
  <si>
    <t>和之国乔巴变身技06</t>
  </si>
  <si>
    <t>怪物强化</t>
  </si>
  <si>
    <t>13606</t>
  </si>
  <si>
    <r>
      <rPr>
        <sz val="11"/>
        <color theme="1"/>
        <rFont val="等线"/>
        <charset val="134"/>
        <scheme val="minor"/>
      </rPr>
      <t>whooshlarge_nervous=0.3#ChopperHeCZ_Attack05_Jump=1#ChoppernewCZ_super_pill=1.8#ChopperHeCZ_Attack04_Whoosh=2.3#ChoppernewCZ_super_effect=2.5#whooshlarge_nervous=4#ChopperHeCZ_attack08_whoosh1=5#ChopperHeCZ_attack08_whoosh2=6.2#whooshlarge_nervous=6.5#ChoppernewCZ_super_transform=6.5#whooshlarge_slashly01=8.3#ChopperHeCZ_attack07_whoosh1=9.5#ChopperHeCZ_attack07_whoosh2=10.1#ChopperHeCZ_attack07_whoosh1=10.5#ChopperHeCZ_attack07_whoosh2=11.1#ChopperHeCZ_attack07_whoosh2=11.95#ChopperHeCZ_attack07_Hit1=9.7#ChopperHeCZ_attack07_Hit2=10.26#ChopperHeCZ_Attack06_Hit1=10.75#ChopperHeCZ_Attack06_Hit2=11.25#ChopperHeCZ_attack07_Hit3=12.15#CV_Nchopper14=2.9#CV_HeChopper_Attack06=6.5</t>
    </r>
  </si>
  <si>
    <t>Particles/chopper011/chopper011_attack06_C</t>
  </si>
  <si>
    <t>和之国乔巴变身后07</t>
  </si>
  <si>
    <t>3008507</t>
  </si>
  <si>
    <r>
      <rPr>
        <sz val="11"/>
        <color theme="1"/>
        <rFont val="等线"/>
        <charset val="134"/>
        <scheme val="minor"/>
      </rPr>
      <t>ChopperHeCZ_attack07_whoosh1=0.5#ChopperHeCZ_attack07_Hit1=0.7#ChopperHeCZ_attack07_whoosh2=1.0#ChopperHeCZ_attack07_Hit2=1.2##ChopperHeCZ_attack07_whoosh2=2.0#ChopperHeCZ_attack07_Hit3=2.2</t>
    </r>
  </si>
  <si>
    <t>和之国乔巴变身后08</t>
  </si>
  <si>
    <t>怪物重锤</t>
  </si>
  <si>
    <t>3008508</t>
  </si>
  <si>
    <r>
      <rPr>
        <sz val="11"/>
        <color theme="1"/>
        <rFont val="等线"/>
        <charset val="134"/>
        <scheme val="minor"/>
      </rPr>
      <t>ChopperHeCZ_attack08_whoosh1=0.2#ChopperHeCZ_attack08_whoosh2=0.5#ChopperHeCZ_attack07_Hit2=0.8</t>
    </r>
  </si>
  <si>
    <t>和之国乔巴变身后09</t>
  </si>
  <si>
    <t>3008509</t>
  </si>
  <si>
    <t>ChopperHeCZ_attack09_Cast=0.5#whooshlarge_slashly01=1.5#ChopperHeCZ_attack08_whoosh2=2.5#punch_hit_giant01=2.8#bodyrock_hit02=2.8#ChoppernewCZ_super_fly=3.0#whooshlarge_slashly01=3.8#CV_ChoppernewCZ_super2=0#CV_ChoppernewCZ_super3=2.3</t>
  </si>
  <si>
    <t>Particles/chopper011/chopper011_attack09_C</t>
  </si>
  <si>
    <t>苏打饼克力架觉醒本体10</t>
  </si>
  <si>
    <t>卷饼疾刺</t>
  </si>
  <si>
    <t>8810</t>
  </si>
  <si>
    <r>
      <rPr>
        <sz val="11"/>
        <color theme="1"/>
        <rFont val="等线"/>
        <charset val="134"/>
        <scheme val="minor"/>
      </rPr>
      <t>zoro_Swing02=0#zoro_Sheath_Begin=0.6#040_grab_bar=1.4#040_grab_bar=1.65#kuzan_IceCharge01=1.65#ChopperHeCZ_attack08_whoosh1=1.65#BMCZ_poporen_rock=2#luffy_GiantSwing02=2.5#040_ult7=2.9#luffy_GiantSwingImpact02=2.95#luffy_GiantSwingImpact02=3.15#luffy_GiantSwingImpact02=3.33#luffy_GiantSwingImpact02=3.5#cracker22=1.7</t>
    </r>
  </si>
  <si>
    <t>苏打饼克力架觉醒本体12</t>
  </si>
  <si>
    <t>饼干强袭</t>
  </si>
  <si>
    <t>8811</t>
  </si>
  <si>
    <r>
      <rPr>
        <sz val="11"/>
        <color theme="1"/>
        <rFont val="等线"/>
        <charset val="134"/>
        <scheme val="minor"/>
      </rPr>
      <t>cracker06=0#040_grab_bar=0.25#luffy_Expand02=0.25#nami_Show_Cute=0.25#luffy_Expand02=0.5#nami_Show_Cute=0.5#040_grab_bar=0.54#edward_Swing01=0.9#ChopperHeCZ_attack08_whoosh1=1.1#kuzan_IceCharge01=1.1#CrocodileCZ_sandhide=1.3#blackbear_DarkOut04=1.3#luffy_GiantUltra04=1.3#whooshlarge_slashly01=3.6#luffy_GiantSwingImpact01=4.6##luffy_GiantSwingImpact01=4.8##luffy_GiantSwingImpact01=5.1#luffy_GiantSwing03=5.7#luffy_GiantSwingImpact02=5.9#luffy_GiantSwing03=6.4#luffy_GiantSwingImpact02=6.55#luffy_GiantSwing03=6.7#luffy_GiantSwingImpact02=6.8#smoke_SteamFlying03=7.3#whooshlarge_nervous=7.3#edward_Swing05=8.4#luffy_GiantSwingImpact01=8.4#luffy_GiantSwingImpact02=8.6#edward_Windimpact03=8.6#BMCZ_poporen_rock=8.6#se_Rocks01=8.6</t>
    </r>
  </si>
  <si>
    <t>Particles/cracker001/cracker001_body_attack12_C</t>
  </si>
  <si>
    <t>4349&amp;&amp;4350</t>
  </si>
  <si>
    <t>苏打饼克力架觉醒变身11</t>
  </si>
  <si>
    <t>卷饼削斩</t>
  </si>
  <si>
    <t>3003605</t>
  </si>
  <si>
    <r>
      <rPr>
        <sz val="11"/>
        <color theme="1"/>
        <rFont val="等线"/>
        <charset val="134"/>
        <scheme val="minor"/>
      </rPr>
      <t>ZoronewCZ_world_swordswing2=0.1#luffy_GiantSwing02=1.2#slash_general=1.4</t>
    </r>
  </si>
  <si>
    <t>Bone012</t>
  </si>
  <si>
    <t>和之国乌索普撒谎布1</t>
  </si>
  <si>
    <t>13701</t>
  </si>
  <si>
    <t>UsoppnewCZ_slingshot_yellow=0.2#UsoppnewCZ_swingshot=0.35#smallfire_hit=0.6#UsoppnewCZ_slingshot_yellow=0.7#UsoppnewCZ_swingshot=0.8#smallfire_hit=1.1#UsoppnewCZ_evil_jump=1.2#se_Jump02=1.3#UsoppnewCZ_slingshot_cyan=1.5#UsoppnewCZ_swingshot=1.8#UsoppnewCZ_bugstar_explosionA=2#leaves_hit=2.1</t>
  </si>
  <si>
    <t>和之国乌索普撒谎布2</t>
  </si>
  <si>
    <r>
      <rPr>
        <sz val="10"/>
        <color rgb="FF333333"/>
        <rFont val="宋体"/>
        <charset val="134"/>
      </rPr>
      <t>必杀绿星</t>
    </r>
    <r>
      <rPr>
        <sz val="10"/>
        <color rgb="FF333333"/>
        <rFont val="Helvetica"/>
        <charset val="134"/>
      </rPr>
      <t>·</t>
    </r>
    <r>
      <rPr>
        <sz val="10"/>
        <color rgb="FF333333"/>
        <rFont val="宋体"/>
        <charset val="134"/>
      </rPr>
      <t>梧桐叶</t>
    </r>
    <r>
      <rPr>
        <sz val="10"/>
        <color rgb="FF333333"/>
        <rFont val="Helvetica"/>
        <charset val="134"/>
      </rPr>
      <t>·</t>
    </r>
    <r>
      <rPr>
        <sz val="10"/>
        <color rgb="FF333333"/>
        <rFont val="宋体"/>
        <charset val="134"/>
      </rPr>
      <t>手里剑</t>
    </r>
  </si>
  <si>
    <t>13702</t>
  </si>
  <si>
    <r>
      <rPr>
        <sz val="11"/>
        <color theme="1"/>
        <rFont val="等线"/>
        <charset val="134"/>
        <scheme val="minor"/>
      </rPr>
      <t>UsoppnewCZ_wutong_slingshot=0.2#CV_UsoppnewCZ_heha=1.2#UsoppnewCZ_swingshot=1.25#UsoppnewCZ_wutong_shot=1.25#leaves_hit=1.4#leaves_hit=1.5#leaves_hit=1.6</t>
    </r>
  </si>
  <si>
    <t>和之国乌索普撒谎布3</t>
  </si>
  <si>
    <r>
      <rPr>
        <sz val="9.75"/>
        <color rgb="FF333333"/>
        <rFont val="Helvetica"/>
        <charset val="134"/>
      </rPr>
      <t>绿星·睡眠草</t>
    </r>
  </si>
  <si>
    <t>13703</t>
  </si>
  <si>
    <t>UsoppnewCZ_wutong_slingshot=0#UsoppnewCZ_swingshot=0.7#FujitoraCZ_attack_wind=0.7#AkainuNewCZ_wind_hit1=0.9#ChopperHeCZ_Attack04_Steam=0.9#ChopperHeCZ_Attack05_Explo=0.9#SmokernewCZ_whitestorm_steam4=1.2#CV_Nusopp_attack03=1.9#SmokernewCZ_whitestorm_steam4=1.9#SmokernewCZ_whitestorm_steam4=2.7#se_Leaves01=3</t>
  </si>
  <si>
    <t>和之国乌索普撒谎布4</t>
  </si>
  <si>
    <r>
      <rPr>
        <sz val="9.75"/>
        <color rgb="FF333333"/>
        <rFont val="Helvetica"/>
        <charset val="134"/>
      </rPr>
      <t>必杀绿星·爆炸松果</t>
    </r>
  </si>
  <si>
    <t>13704</t>
  </si>
  <si>
    <t>UsoppnewCZ_slingshot_cyan=0#UsoppnewCZ_slingshot_orange=0.2#UsoppnewCZ_swingshot=0.3#smallfire_hit=0.5#UsoppnewCZ_attack_fireA=0.5#CV_Nusopp_attack02=0.7#AkainuNewCZ_baolie_explosion1=0.9#UsoppnewCZ_bugstar_explosionA=0.9#AkainuNewCZ_baolie_explosion2=1.1</t>
  </si>
  <si>
    <t>和之国乌索普撒谎布5</t>
  </si>
  <si>
    <r>
      <rPr>
        <sz val="9.75"/>
        <color rgb="FF333333"/>
        <rFont val="Helvetica"/>
        <charset val="134"/>
      </rPr>
      <t>必杀绿星·恶魔</t>
    </r>
  </si>
  <si>
    <t>13705</t>
  </si>
  <si>
    <r>
      <rPr>
        <sz val="11"/>
        <color theme="1"/>
        <rFont val="等线"/>
        <charset val="134"/>
        <scheme val="minor"/>
      </rPr>
      <t>UsoppnewCZ_wutong_slingshot=0#FujitoraCZ_attack_wind=0.6#UsoppnewCZ_swingshot=0.6#smallfire_hit=0.9#Pickup_Scifi_Energy08=1#se_Leaves01=1#Cavendish_s4_leaves1=1#se_Leaves02=1#CV_Nusopp_attack02=1.1#arlong_TeethPre=1.6#chopper_JumpThrow=1.6#leaves_hit=1.6#CV_Nusopp_attack03=1.85#leaves_hit=2#arlong_TeethPre=2#chopper_JumpThrow=2#se_Leaves02=2.3#buggy_Funny03=2.3</t>
    </r>
  </si>
  <si>
    <t>和之国乌索普撒谎布6</t>
  </si>
  <si>
    <r>
      <rPr>
        <sz val="9.75"/>
        <color rgb="FF333333"/>
        <rFont val="Helvetica"/>
        <charset val="134"/>
      </rPr>
      <t>必杀绿星·焰火花</t>
    </r>
  </si>
  <si>
    <t>13706</t>
  </si>
  <si>
    <r>
      <rPr>
        <sz val="11"/>
        <color theme="1"/>
        <rFont val="等线"/>
        <charset val="134"/>
        <scheme val="minor"/>
      </rPr>
      <t>whooshlarge_slashly01=0#CV_Nusopp_attack02=0.5#UsoppnewCZ_wutong_slingshot=1.3#UsoppnewCZ_bugstar_whoosh=1.5#ChoppernewCZ_crash_whoosh3=1.8#CV_Nusopp_GreenStar=1.8#usopp_Draw=2#UsoppnewCZ_swingshot=3.9#FujitoraCZ_attack_wind=3.9#whooshlarge_general=4#leaves_hit=4.9#usopp_Smoke=4.9#RobinnewCZ_bigtree_hit=4.9#RobinnewCZ_supertree_hand2=4.9#Cavendish_s4_leaves1=4.9#se_Leaves02=4.9#HancockNewCZ_sweetwind_cast1=4.9#CavedishCZ_superaoyi_whooshstart1=5.3#Cavendish_s4_leaves1=5.5#se_Leaves01=5.8#se_Leaves02=5.8#ChopperHeCZ_attack08_whoosh1=6.4#borsalinoCZ_lightpillar_cast=8#firecasthuobaostereo=8#ChopperHeCZ_attack08_whoosh1=8.2#ChopperHeCZ_Attack05_Explo=9.3#AkainuNewCZ_baolie_explosion1=9.3#UsoppnewCZ_bugstar_explosionA=9.3#AkainuNewCZ_baolie_explosion2=9.5#AkainuNewCZ_baolie_explosion2=9.7</t>
    </r>
  </si>
  <si>
    <t>Particles/usopp010/usopp010_attack06_C</t>
  </si>
  <si>
    <t>和之国乌索普撒谎布7</t>
  </si>
  <si>
    <r>
      <rPr>
        <sz val="9.75"/>
        <color rgb="FF333333"/>
        <rFont val="Helvetica"/>
        <charset val="134"/>
      </rPr>
      <t>必杀绿星·冲击狼草</t>
    </r>
  </si>
  <si>
    <t>13707</t>
  </si>
  <si>
    <t>whooshlarge_slashly01=0#UsoppnewCZ_wutong_slingshot=0.8#UsoppnewCZ_swingshot=2#FujitoraCZ_attack_wind=2#whooshlarge_nervous=2.2#leaves_hit=2#BMCZ_poporen_rock=2.3#leaves_hit=2.6#BMCZ_poporen_rock=2.6#leaves_hit=-2.8#BMCZ_poporen_rock=2.8#BMCZ_poporen_rock=3#leaves_hit=3#leaves_hit=3.13#BMCZ_poporen_rock=3.13#leaves_hit=3.3#BMCZ_poporen_rock=3.3#whooshlarge_general=3.8#UsoppnewCZ_wolf_slingshotA=4.3#CV_UsoppnewCZ_wolf2=4.8#UsoppnewCZ_swingshot=6#FujitoraCZ_attack_wind=6#UsoppnewCZ_wutong_shot=6#UsoppnewCZ_bugstar_whoosh=6.3#UsoppnewCZ_wolf_appear=7.5#AkainuNewCZ_wind_hit1=7.5#ChopperHeCZ_Attack04_Steam=7.5#SmokernewCZ_whitestorm_steam4=7.5#UsoppnewCZ_wolf=7.8#sengoku_GroundStep=7.9#sengoku_GroundStep=8.2#whooshlarge_nervous02=7.9#sengoku_GroundStep=8.8#sengoku_GroundStep=9.1#sengoku_GroundStep=9.7#EdwardnewCZ_bodongzhan_whoosh1=9.8#sengoku_GroundStep=10#usopp2_Wolf=10.2#ChoppernewCZ_crash_whoosh3=10.5#EdwardyoungCZ_aoyi_whoosh=10.8#UsoppnewCZ_wolf_hit=10.95#kumaCZ_bubblecrash_hit=10.95#brook_Swing01=11.8#ChopperHeCZ_Attack04_Whoosh=12.1#brook_Swing02=12.3#CV_UsoppnewCZ_yiyo=12.6</t>
  </si>
  <si>
    <t>Particles/usopp010/usopp010_attack07_C</t>
  </si>
  <si>
    <t>和之国乌索普撒谎布8</t>
  </si>
  <si>
    <r>
      <rPr>
        <sz val="9.75"/>
        <color rgb="FF333333"/>
        <rFont val="Helvetica"/>
        <charset val="134"/>
      </rPr>
      <t>必杀绿星·骷髅爆炸草</t>
    </r>
  </si>
  <si>
    <t>13708</t>
  </si>
  <si>
    <t>brook_StepMoves=0#ChopperHeCZ_Attack04_Whoosh=0.4#UsoppnewCZ_wutong_slingshot=0.6#CV_Nusopp_GreenStar=1.1#UsoppnewCZ_wolf_slingshotB=1.4#UsoppnewCZ_swingshot=3#FujitoraCZ_attack_wind=3#UsoppnewCZ_wutong_shot=3#CV_UsoppnewCZ_tong=3#whooshlarge_nervous02=3.1#kuzanCZ_iceage_wind=3.5#usopp_Wind=3.5#UsoppnewCZ_explosion_whoosh=5#sakazuki_LavaExplo03=5.4#UsoppnewCZ_explosion_whistle=6#borsalinoCZ_bachijing_finalexplosion=7.5#Peronasnew_aoyi_explosion=7.5#brook_Swing02=9#CV_Nusopp02=9</t>
  </si>
  <si>
    <t>Particles/usopp010/usopp010_attack08_C</t>
  </si>
  <si>
    <t>和之国奈美娜美01</t>
  </si>
  <si>
    <t>13801</t>
  </si>
  <si>
    <t>nami_Stick_Spin02_short=0.2#nami_Stick_Swing=1#nami_Stick_Swing=1.4#KozukiOden_Gunghost_spark=1.4#nami_Electric01=1.5#nami_Electric02=1.5#se_FootstepHeels02=1.5#CV_Nnami_attack01=1.5#spark_hit2=2.1#spark_hit2=2.35#spark_hit2=2.6#se_FootstepHeels01=2.6#se_FootstepHeels02=2.9</t>
  </si>
  <si>
    <t>和之国奈美娜美02</t>
  </si>
  <si>
    <t>雷光枪天候</t>
  </si>
  <si>
    <t>13802</t>
  </si>
  <si>
    <t>nami_Electric02=0.1#nami_Electric01=0.4#nami_Stick_Swing=0.8#nami_Cloud_Storm=0.9#se_FootstepHeels01=0.9#se_FootstepHeels02=1.3#nami_Stick_Swing=1.4#KozukiOden_Gunghost_spark=1.5#nami_Electric01=1.9#EnelCZ_dog_spark2=2.3#NaminewCZ_sword_hit=2.5</t>
  </si>
  <si>
    <t>wuqi_02</t>
  </si>
  <si>
    <t>和之国奈美娜美03</t>
  </si>
  <si>
    <t>雷电电击</t>
  </si>
  <si>
    <t>13803</t>
  </si>
  <si>
    <r>
      <rPr>
        <sz val="11"/>
        <color theme="1"/>
        <rFont val="等线"/>
        <charset val="134"/>
        <scheme val="minor"/>
      </rPr>
      <t>nami_Stick_Spin02_short=0.3#NaminewCZ_thunderstick_thunder1=0.8#NaminewCZ_boomerang_ball=1.8#CV_Nnami_attack01=1.8#NaminewCZ_charge_hit=1.97#spark_hit2=2#nami_Stick_Swing=3.2#nami_Stick_Swing=3.7</t>
    </r>
  </si>
  <si>
    <t>4375&amp;&amp;4377</t>
  </si>
  <si>
    <t>Bip001 R Hand&amp;&amp;wuqi_02</t>
  </si>
  <si>
    <t>和之国奈美娜美04</t>
  </si>
  <si>
    <t>天雷</t>
  </si>
  <si>
    <t>13804</t>
  </si>
  <si>
    <t>whooshlarge_general=0#nami_Stick_Swing=0.7#nami_Stick_Spin02=1.1#whooshlarge_slashly01=1.7#CV_NaminewCZ_thundersword=2#NaminewCZ_sword_take=2.15#ChopperHeCZ_attack08_whoosh2=2.3#NaminewCZ_thundersword_throw=2.5#ChopperHeCZ_attack08_whoosh1=2.5#whooshlarge_nervous=2.5#UsoppnewCZ_evil_bite=3.9#NaminewCZ_thundersword_hit=3.9#ChopperHeCZ_attack08_whoosh2=4.1#NaminewCZ_thunderdance_swing2=4.2#NaminewCZ_attack_swing1=4.3#ChoppernewCZ_crash_whoosh3=4.7#Nekomamusi_dianhu_spark=5.1#NaminewCZ_thunderstick_swing=5.1#NaminewCZ_trap_thunder=6#NaminewCZ_charge_hit=6#perona_BigExplosion=6#whooshlarge_general=7#ChopperHeCZ_attack09_Cast=7.3</t>
  </si>
  <si>
    <t>Particles/nami015/nami015_attack04_C</t>
  </si>
  <si>
    <t>和之国奈美娜美05</t>
  </si>
  <si>
    <t>雷电天候·天打雷劈</t>
  </si>
  <si>
    <t>13805</t>
  </si>
  <si>
    <r>
      <rPr>
        <sz val="11"/>
        <color theme="1"/>
        <rFont val="等线"/>
        <charset val="134"/>
        <scheme val="minor"/>
      </rPr>
      <t>se_FootstepHeels01=0.2#nami_Stick_Spin02_short=0.2#NaminewCZ_thundersword_throw=0.6#nami_Cloud_Storm=0.8#NaminewCZ_thunderstick_thunder1=0.9#nami_Electric01=1#CV_NaminewCZ_change2=1#NaminewCZ_thunderstick_swing=1.4#NaminewCZ_thundersword_hit=1.5#NaminewCZ_thundersword_hit=1.7#nami_Stick_Spin02_short=2.1#nami_Stick_Swing=2.8#se_FootstepHeels02=3.2</t>
    </r>
  </si>
  <si>
    <t>wuqi_00</t>
  </si>
  <si>
    <t>和之国奈美娜美06</t>
  </si>
  <si>
    <t>龙巻风天候</t>
  </si>
  <si>
    <t>13806</t>
  </si>
  <si>
    <r>
      <rPr>
        <sz val="11"/>
        <color theme="1"/>
        <rFont val="等线"/>
        <charset val="134"/>
        <scheme val="minor"/>
      </rPr>
      <t>whooshlarge_general=0#nami_Stick_Swing=0.1#nami_Stick_Swing=0.5#nami_Stick_Spin02=0.5#nami_Stick_Spin02=0.6#nami_Stick_Spin02_short=1.2#whooshlarge_slashly01=1.4#nami_Stick_Swing=1.6#nami_Stick_Spin02=1.6#NaminewCZ_sword_take=2.2#ChopperHeCZ_attack08_whoosh1=2.8#whooshlarge_nervous=3#nami_Stick_Swing=3#NaminewCZ_trap_swing=3#CV_NaminewCZ_change2=3.1#whooshlarge_general=3.4#NaminewCZ_sword_charge=3.6#NaminewCZ_sword_hit=4.7#edward_Windimpact03=4.7#perona_BigExplosion=4.7#whooshlarge_general=5.6#nami_Stick_Swing=6.1#nami_Stick_Swing=6.4#se_FootstepHeels01=6.7</t>
    </r>
  </si>
  <si>
    <t>Particles/nami015/nami015_attack06_C</t>
  </si>
  <si>
    <t>4382&amp;&amp;4383</t>
  </si>
  <si>
    <t>wuqi_00&amp;&amp;wuqi_01</t>
  </si>
  <si>
    <t>和之国奈美娜美07</t>
  </si>
  <si>
    <t>13807</t>
  </si>
  <si>
    <r>
      <rPr>
        <sz val="11"/>
        <color theme="1"/>
        <rFont val="等线"/>
        <charset val="134"/>
        <scheme val="minor"/>
      </rPr>
      <t>CV_NaminewCZ_change1=0.5#whooshlarge_general=0.6#nami_Stick_Spin02=1.5#ChopperHeCZ_attack08_whoosh1=2.5#NaminewCZ_sword_take=2.6#NaminewCZ_thunderstick_swing=2.7#KozukiOden_Gunghost_spark=2.7#nami_Electric01=2.7#kumaCZ_bubblecrash_cast=3.7#NaminewCZ_thunderdance_bubble=3.9#NaminewCZ_charge_bubble=5.8#UsoppnewCZ_bugstar_shot=5.8#whooshlarge_slashly01=6.5#EnelCZ_newthunder_longspark1=7#NaminewCZ_thundersword_thunder=7#EnelCZ_newthunder_longspark3=7#EnelCZ_newthunder_longspark2=9#ChopperHeCZ_attack08_whoosh1=10.2#Nekomamusi_dianhu_spark=10.4#NaminewCZ_thunderstick_swing=10.4#Nekomamusi_reddance_wind=10.5#NaminewCZ_sword_hit=10.8#RobinnewCZ_legs_rock2=10.8#CV_Nnami13=7#CV_Nnami_attack01=10.4</t>
    </r>
  </si>
  <si>
    <t>Particles/nami015/nami015_attack07_C</t>
  </si>
  <si>
    <t>4385&amp;&amp;4386&amp;&amp;4387</t>
  </si>
  <si>
    <t>wuqi_02&amp;&amp;wuqi_00&amp;&amp;wuqi_02</t>
  </si>
  <si>
    <t>和之国奈美娜美08</t>
  </si>
  <si>
    <t>宙斯攻击</t>
  </si>
  <si>
    <t>13808</t>
  </si>
  <si>
    <t>whooshlarge_general=0#nami_WindBuff=0.3#UsoppnewCZ_bugstar_star=2.3#Carot_lion_cute=2.3#hancocknewLoveBuff_1=2.3#ChopperHeCZ_attack08_whoosh1=3.4#ChopperHeCZ_Attack04_Whoosh=3.4#NaminewCZ_trap_swing=3.6#nami_Stick_Swing=3.6#nami_Stick_Spin02=3.6#nami_Stick_Spin02=3.7#nami_Stick_Spin02_short=4.3#se_FootstepHeels01=4.6#se_FootstepHeels02=4.6#brook_Footsteps02=4.6#nami_Stick_Swing=4.7#nami_Stick_Spin02=4.7#nami_Stick_Spin02_short=5.3#NaminewCZ_sword_take=5.7#NaminewCZ_attack_stickswing=6#nami_Electric02=6#Nekomamusi_dianhu_spark=6#UsoppnewCZ_flower_appear=6.5#NaminewCZ_charge_bubble=6.5#ChopperHeCZ_attack08_whoosh1=7.5#ChopperHeCZ_Attack04_Whoosh=7.5#ChoppernewCZ_crash_whoosh3=8.1#ChopperHeCZ_attack08_whoosh1=8.1#ChopperHeCZ_attack08_whoosh2=8.6#whooshlarge_nervous=9#ChopperHeCZ_attack08_whoosh1=10#NaminewCZ_thunderstick_swing=10.1#ChopperHeCZ_attack07_Hit3=10.3#JozzCZ_crash_rock=10.3#perona_BigExplosion=10.3#KaidoCZ_lighting_explosion=10.3</t>
  </si>
  <si>
    <t>Particles/nami015/nami015_attack08_C</t>
  </si>
  <si>
    <t>布玲觉醒08</t>
  </si>
  <si>
    <t>剪辑</t>
  </si>
  <si>
    <t>11408</t>
  </si>
  <si>
    <r>
      <rPr>
        <sz val="11"/>
        <color theme="1"/>
        <rFont val="等线"/>
        <charset val="134"/>
        <scheme val="minor"/>
      </rPr>
      <t>Purin_whooshback_end=0#Purin_whooshback_castbuff=1.7#Purin_sweet_flying=1.7#whooshlarge_nervous02=1.9#whoosh_lazer=3.5#RobinnewCZ_supertree_swing=3.9#CarotCZ_lion_eyes=3.9#Purin_memory_paper=4.9#Purin_memory_xuli=4.9#whooshlarge_slashly02=4.9#Purin_memory_projector=5.1#whooshlarge_nervous=5.4#Purin_memory_cut=6.5#CV_Purin_memory2=0.5#CV_Purin_memory1=3.8</t>
    </r>
  </si>
  <si>
    <t>Particles/pudding001/pudding001_attack08_C</t>
  </si>
  <si>
    <t>布玲觉醒09</t>
  </si>
  <si>
    <t>果冻尼特罗</t>
  </si>
  <si>
    <t>11409</t>
  </si>
  <si>
    <r>
      <rPr>
        <sz val="11"/>
        <color theme="1"/>
        <rFont val="等线"/>
        <charset val="134"/>
        <scheme val="minor"/>
      </rPr>
      <t>hancocknewCloth_1=0.4#Purin_line_xuli=1#Purin_line_cast=1.6#kuma_BubbleShoot01=1.7#water_hit1=1.7#kuma_Bubble01=1.7</t>
    </r>
  </si>
  <si>
    <t>布玲觉醒10</t>
  </si>
  <si>
    <t>光滑的生巧克力</t>
  </si>
  <si>
    <t>11410</t>
  </si>
  <si>
    <t>hancocknewCloth_1=0.1#Purin_sweet_flying=0.2#Purin_sweetcoming_candy=0.7#SmoothieCZ_waterslash_explosion=1.3#Braytor_S4_waterfall=1.3</t>
  </si>
  <si>
    <t>Particles/pudding001/pudding001_attack10_C</t>
  </si>
  <si>
    <t>和之国弗兰奇01</t>
  </si>
  <si>
    <t>13901</t>
  </si>
  <si>
    <r>
      <rPr>
        <sz val="11"/>
        <color theme="1"/>
        <rFont val="等线"/>
        <charset val="134"/>
        <scheme val="minor"/>
      </rPr>
      <t>franky_Punch_Light=0.2#se_Punch_Hit01=0.3#franky_Punch_Light=0.6#se_Punch_Hit01=0.7#franky_Punch_Heavy=1.3#bodyrock_hit02=1.5</t>
    </r>
  </si>
  <si>
    <t>和之国弗兰奇02</t>
  </si>
  <si>
    <t>离子光波</t>
  </si>
  <si>
    <t>13902</t>
  </si>
  <si>
    <r>
      <rPr>
        <sz val="11"/>
        <color theme="1"/>
        <rFont val="等线"/>
        <charset val="134"/>
        <scheme val="minor"/>
      </rPr>
      <t>franky_Swing01=0.1#franky_Transform01=0.3#franky_Machinery_Gear01=0.4#Mr3_EnergyRoundUp=0.7#borsalino_LightShoot03=1.5#franky_Swing02=2.2#franky_Machinery_Gear02=2.4</t>
    </r>
  </si>
  <si>
    <t>和之国弗兰奇03</t>
  </si>
  <si>
    <t>弗兰奇拳击</t>
  </si>
  <si>
    <t>13903</t>
  </si>
  <si>
    <r>
      <rPr>
        <sz val="11"/>
        <color theme="1"/>
        <rFont val="等线"/>
        <charset val="134"/>
        <scheme val="minor"/>
      </rPr>
      <t>franky_Transform01=0.1#smoke_FastPunches=1.0#se_Punch_Hit01=1.1#se_Punch_Hit01=1.2#se_Punch_Hit01=1.3#se_Punch_Hit01=1.4#se_Punch_Hit01=1.5#se_Punch_Hit01=1.6#se_Punch_Hit01=1.7#se_Punch_Hit01=1.8#se_Punch_Hit01=1.9#se_Punch_Hit01=2.0#se_Punch_Hit01=2.1#franky_Punch_Heavy=2.2#punch_hit_medium01=2.4#franky_Machinery_Gear02=2.8</t>
    </r>
  </si>
  <si>
    <t>和之国弗兰奇04</t>
  </si>
  <si>
    <t>自由的骑士</t>
  </si>
  <si>
    <t>13904</t>
  </si>
  <si>
    <r>
      <rPr>
        <sz val="11"/>
        <color theme="1"/>
        <rFont val="等线"/>
        <charset val="134"/>
        <scheme val="minor"/>
      </rPr>
      <t>whooshlarge_slashly01=0#FrankyHe_BikeRev1=0#ChopperHeCZ_Attack04_Whoosh=1.0#FrankyHe_BikeLoop1=1.0#FrankyHe_BikeSkid1=1.6#FrankyHe_BikeRev2=1.9#whooshmedium02=2.9#FrankyHe_BikeLoop2=2.9#whooshlarge_general=4.5#FrankyHe_BikeRev3=6.1#se_Rocks01=6.4#FrankyHe_BikeLand=7.2#FrankyHe_BikeSkid2=7.2#FrankyHe_BikeSkid2=7.6#enel_LandHit=7.6#se_Punch_Hit01=7.6#enel_LandHit=7.8#se_Punch_Hit02=7.8#enel_LandHit=8.0#se_Punch_Hit01=8.0#enel_LandHit=8.2#se_Punch_Hit02=8.2#enel_LandHit=8.4#se_Punch_Hit01=8.4#enel_LandHit=8.5#se_Punch_Hit02=8.5#enel_LandHit=8.7#se_Punch_Hit01=8.7#enel_LandHit=8.9#se_Punch_Hit02=8.9#enel_LandHit=9.1#se_Punch_Hit01=9.1#enel_LandHit=9.3#se_Punch_Hit02=9.3#enel_LandHit=9.4#se_Punch_Hit01=9.4#enel_LandHit=9.6#se_Punch_Hit02=9.6#enel_LandHit=9.8#se_Punch_Hit01=9.8#se_Rocks01=10.0#FrankyHe_BikeRev4=10.0#FrankyHe_BikeLoop3=10.2#punch_hit_giant01=10.7#enel_LandHit=10.7#FrankyHe_BikeRev5=10.8#ChopperHeCZ_Attack04_Whoosh=12.7#FrankyHe_BikeStop=12.7#CV_franky03=5.3</t>
    </r>
  </si>
  <si>
    <t>Particles/franky006/franky006_attack04_C</t>
  </si>
  <si>
    <t>和之国弗兰奇05</t>
  </si>
  <si>
    <t>将军发射器</t>
  </si>
  <si>
    <t>13905</t>
  </si>
  <si>
    <r>
      <rPr>
        <sz val="11"/>
        <color theme="1"/>
        <rFont val="等线"/>
        <charset val="134"/>
        <scheme val="minor"/>
      </rPr>
      <t>FrankyHe_BikeRev1=0.2#FrankyHe_BikeLoop1=1.1#FrankyHe_BikeSkid1=1.1#FrankyHe_BikeLoop2=1.2#FrankyHe_BikeLoop1=2.4#whooshlarge_slashly01=2.5#ChopperHeCZ_Attack04_Whoosh=3.6#jozz_Impact01=4.0#FrankyHe_BikeLoop2=4.0#FrankyHe_BikeLand=4.2#FrankyHe_BikeRev3=5.3#whooshlarge_nervous=6.0#FrankyHe_BikeRev5=6.3#whooshlarge_fly01=7.3#whooshlarge_crash01=8.0#perona_BigExplosion=9.1#jozz_Impact01=9.5#franky_StarShield=9.7#se_Ding02=9.7#franky_Transform01=10.6#franky_Machinery_Gear01=10.6#franky_Transform02=10.7#franky_MachineryClose=10.9#borsalino_LightShoot03=10.9#edward_Explosion01=11.0#Mr3_EnergyRoundUp=11.4#whoosh_laser=11.4#borsalinoCZ_lightpillar_energy=11.7#kumaCZ_lazer_hit=12.9#enel_ElectricThunder03=12.9#borsalino_LightShoot03=12.9#UsoppnewCZ_bugstar_explosionB=13.3#bltrmo_explode=13.7#se_Rocks01=14.2#whooshlarge_general=14.5</t>
    </r>
  </si>
  <si>
    <t>Particles/franky006/franky006_attack05_C</t>
  </si>
  <si>
    <t>和之国弗兰奇06</t>
  </si>
  <si>
    <t>3008706</t>
  </si>
  <si>
    <t>law_Sheath01=0.1#law_Sheath03=0.2#Ace_Swing01=0.2#se_Sword_Hit=0.3#se_Sword_Hit=0.5#law_Sheath03=0.9#Ace_Swing02=0.9#se_Sword_Hit=1.0#Ace_Swing02=1.1#se_Sword_Hit=1.2#franky_Machinery_Gear01=1.7#law_Sheath02=2.2</t>
  </si>
  <si>
    <t>和之国弗兰奇07</t>
  </si>
  <si>
    <t>将军左腕</t>
  </si>
  <si>
    <t>3008707</t>
  </si>
  <si>
    <t>franky_Machinery_Gear01=0#franky_Transform01=0#franky_Punch_Heavy=0.3#punch_hit_medium01=0.5#borsalino_LightShoot03=1.0#edward_Explosion01=1.0#franky_Machinery_Gear01=1.5#franky_Transform01=1.5</t>
  </si>
  <si>
    <t>paotong</t>
  </si>
  <si>
    <t>和之国弗兰奇08</t>
  </si>
  <si>
    <t>将军足下危险</t>
  </si>
  <si>
    <t>3008708</t>
  </si>
  <si>
    <t>law_Sheath01=0.3#law_Sheath03=0.3#franky_Machinery_Gear01=0.3#franky_Transform01=0.7#zoro_Spin_Wind=1.3#Ace_Swing01=1.3#edward_Spin01=1.3#se_Sword_Hit=1.4#edward_Spin01=1.5#se_Sword_Hit=1.6#edward_Spin03=1.8#se_Sword_Hit=1.9#edward_Spin01=2.0#se_Sword_Hit=2.1#se_Sword_Hit=2.2#se_Sword_Hit=2.3#franky_Transform01=2.9#law_Sheath02=3.0#franky_Machinery_Gear01=3.5</t>
  </si>
  <si>
    <t>和之国弗兰奇09</t>
  </si>
  <si>
    <t>弗兰奇大炮</t>
  </si>
  <si>
    <t>13909</t>
  </si>
  <si>
    <t>franky_Transform02=0.3#whooshmedium02=0.8#franky_Transform01=1.2#ChopperHeCZ_Attack04_Whoosh=1.8#franky_StarShield=2.1#franky_Machinery_Gear01=2.3#whooshlarge_general=2.5#se_Jump01=3.6#franky_MachineryClose=4.0#franky_Transform01=4.6#franky_Machinery02=4.6#Mr3_EnergyRoundUp=5.0#edward_Explosion01=5.9#franky_Windshoot=5.9#kuma_LaserShoot02=5.9#Carot_huixing_electric=7.0#borsalino_LightShoot03=7.0#enel_ElectricThunder03=7.0#CV_Nfranky_attack01=4.5</t>
  </si>
  <si>
    <t>Particles/franky006/franky006_attack09_C</t>
  </si>
  <si>
    <t>和之国布鲁克01</t>
  </si>
  <si>
    <r>
      <rPr>
        <sz val="11"/>
        <color theme="1"/>
        <rFont val="等线"/>
        <charset val="134"/>
        <scheme val="minor"/>
      </rPr>
      <t>Suger_S7_cloth=0.1#mihawkCZ_wu_foot03=0.3#BlookenewCZ_swallow_swing=0.7#BlookenewCZ_swallow_swing=0.8#BlookenewCZ_swallow_swing=0.9#BlookenewCZ_swallow_swing=1.0#slash_general=0.8#slash_general=0.9#slash_general=1.0#slash_general=1.1#kuzanCZ_icebird_ice=1.5#BlookenewCZ_attack_swing01=1.6#BlookenewCZ_assault_charge=1.6#BlookenewCZ_attack_swing03=2.3#BlookenewCZ_song_icehit=2.3#BltrmoCZ_pingzhang_cloth1=3.0#mihawkCZ_wu_foot03=3.3</t>
    </r>
  </si>
  <si>
    <t>和之国布鲁克02</t>
  </si>
  <si>
    <t>黄泉寒气</t>
  </si>
  <si>
    <r>
      <rPr>
        <sz val="11"/>
        <color theme="1"/>
        <rFont val="等线"/>
        <charset val="134"/>
        <scheme val="minor"/>
      </rPr>
      <t>Suger_S7_cloth=0.1#brook_Swing01=0.1#mihawkCZ_wu_foot03=0.3#BlookenewCZ_attack_swing01=0.8#BlookenewCZ_song_crash=0.8#BlookenewCZ_snow_icespike1=0.8#BlookenewCZ_swallow_ice=1.0#brook_Swing02=1.7#CV_BlookenewCZ_swallow1=0.8</t>
    </r>
  </si>
  <si>
    <t>和之国布鲁克03</t>
  </si>
  <si>
    <t>交锋·管弦乐</t>
  </si>
  <si>
    <r>
      <rPr>
        <sz val="11"/>
        <color theme="1"/>
        <rFont val="等线"/>
        <charset val="134"/>
        <scheme val="minor"/>
      </rPr>
      <t>brook_Swing01=0.1#EdwardnewCZ_pokong_cloth1=0.1#BlookenewCZ_fantasy_final=0.4#brook_Swing02=0.5#EdwardyoungCZ_wushuang_cloth2=1.0#kuzanCZ_icebird_ice=1.3#BlookenewCZ_assault_charge=1.4#BlookenewCZ_song_icehit=1.7#Suger_S7_cloth=2.6#mihawkCZ_wu_foot03=2.8#brook_Swing02=2.9#brook_Swing01=3.2#CV_Nbrook_attack03=1.7</t>
    </r>
  </si>
  <si>
    <t>和之国布鲁克04</t>
  </si>
  <si>
    <t>冷冽之魂</t>
  </si>
  <si>
    <r>
      <rPr>
        <sz val="11"/>
        <color theme="1"/>
        <rFont val="等线"/>
        <charset val="134"/>
        <scheme val="minor"/>
      </rPr>
      <t>BltrmoCZ_cloth_purple=0#blackbear_DarkIn01=0.3#kuzan_Icewind03=0.3#blackbear_DarkIn02=1.1#BlookenewCZ_song_crash=1.1#kuzan_IceCharge03=1.1#BlookenewCZ_swallow_ice=1.3#blackbear_DarkIn03=1.3#Suger_S7_cloth=2.3</t>
    </r>
  </si>
  <si>
    <t>和之国布鲁克05</t>
  </si>
  <si>
    <t>鼻哼三步·箭羽斩</t>
  </si>
  <si>
    <r>
      <rPr>
        <sz val="11"/>
        <color theme="1"/>
        <rFont val="等线"/>
        <charset val="134"/>
        <scheme val="minor"/>
      </rPr>
      <t>Suger_S7_cloth=0.1#brook_Swing01=0.1#mihawkCZ_wu_foot03=0.3#BlookenewCZ_attack_swing02=0.7#ZoronewCZ_attack_swing2=0.7#kuzanCZ_icebird_ice=0.7#buggy_SwingCircle02=0.7#buggy_SwingCircle02=0.8#buggy_SwingCircle02=1.0#slash_general=0.8#slash_general=0.9#slash_general=1.0#slash_general=1.1##slash_general=1.2#slash_general=1.3#slash_general=1.4#slash_general=1.5#brook_Swing02=1.8#BlookenewCZ_attack_swing01=1.9#BlookenewCZ_snow_impact=1.9</t>
    </r>
  </si>
  <si>
    <t>和之国布鲁克06</t>
  </si>
  <si>
    <r>
      <rPr>
        <sz val="11"/>
        <color theme="1"/>
        <rFont val="等线"/>
        <charset val="134"/>
        <scheme val="minor"/>
      </rPr>
      <t>nami_WindBuff=0#BlookenewCZ_snow_icespike2=0#whooshlarge_general=0.7#ZoronewCZ_swordcatch=1.4#MihawkNewCZ_night_swordon=2.4#mihawkCZ_wu_swordup=2.4#BlookenewCZ_snow_foot=3.2#kuzanCZ_twosword_jump=3.6#BlookenewCZ_soul_superslash=4.3#whooshlarge_slashly01=5.3#BlookenewCZ_attack_swing03=5.7#BlookenewCZ_assault_release=5.8#slash_general01=5.8#kuzan_Icewind03=5.8#FujitoraCZ_hell_swordin=6.5#BlookenewCZ_attack_swordin=7.4#ChopperHeCZ_Attack04_Whoosh=7.5#KuzanNewCZ_iceagenew_cast=8.0#BlookenewCZ_snow_icespike1=8.0#kuzanCZ_icebird_cast=8.1#CV_BlookenewCZ_snow1=0.2#CV_BlookenewCZ_snow2=6.5</t>
    </r>
  </si>
  <si>
    <t>Particles/brook005/brook005_attack06_C</t>
  </si>
  <si>
    <t>4555&amp;&amp;4556</t>
  </si>
  <si>
    <t>Bone_weapon03&amp;&amp;Bone_weapon03</t>
  </si>
  <si>
    <t>和之国布鲁克07</t>
  </si>
  <si>
    <t>我好恨啊</t>
  </si>
  <si>
    <r>
      <rPr>
        <sz val="11"/>
        <color theme="1"/>
        <rFont val="等线"/>
        <charset val="134"/>
        <scheme val="minor"/>
      </rPr>
      <t>BltrmoCZ_cloth_purple=0.3#EdwardnewCZ_pokong_cloth1=0.5#brook_Footsteps=0.6#BlookenewCZ_snow_foot=0.6#whooshlarge_general=0.8#TeachNew_darkvanish_xuli=1.5#whooshlarge_slashly01=2.6#ZororHeCZ_Light=3.4#brook_StepMoves=3.7#blackbear_DarkOut04=3.9#TeachNew_darkwater_cast1=3.9#blackbear_DarkIn01=4.4#whooshlarge_nervous=6.3#TeachNew_darkwater_show=6.4#blackbear_DarkIn02=6.7#Margo_bone=7.7#GarpHero_ball_bone1=7.7#GarpHero_ball_bone3=8.0#whooshlarge_crash01=8.1#TeachNew_darkwater_show=8.4#blackbear_DarkExplo=8.5#ship_Monsterroar02=8.5#GarpHero_ball_bone2=8.5#whooshlarge_general=9.0#perona_GhostCV=9.0</t>
    </r>
  </si>
  <si>
    <t>Particles/brook005/brook005_attack07_C</t>
  </si>
  <si>
    <t>和之国布鲁克08</t>
  </si>
  <si>
    <r>
      <rPr>
        <sz val="11"/>
        <color theme="1"/>
        <rFont val="等线"/>
        <charset val="134"/>
        <scheme val="minor"/>
      </rPr>
      <t>whooshlarge_general=0#mihawknew_S8_swordreverb=0.5#ReighleyyoungCZ_zhuying_swordstar=0.6#zoro_Swordenergy=0.7#ZoronewCZ_swordin=1.9#ZoroCZ_evil_swordout2=1.9#brook_Swing01=2.2#brook_Swing01=2.3#brook_Swing02=2.5#BlookenewCZ_attack_swing03=2.7#RobinnewCZ_supertree_buffend=3.3#kuzan_Icewind03=3.4#kuzan_Icewind03=4.3#EdwardyoungCZ_wushuang_cloth2=4.3#nami_WindBuff=4.3#kuzanCZ_twosword_jump=4.5#ChopperHeCZ_Attack04_Whoosh=5.7#hancocknewCloth_1=6.7#BlookenewCZ_attack_swing03=6.8#ZoronewCZ_world_superwhoosh=6.8#BlookenewCZ_snow_icespike2=8.6#kuzanCZ_iceage_wind=9.0#kuzan_IceCharge03=9.0#whooshlarge_slashly01=9.7#kuzanCZ_icebird_ice=9.9#kuzanCZ_icebird_cast=10.6#BlookenewCZ_snow_icespike1=10.6#KuzanNewCZ_iceagenew_cast=10.6#CV_Nbrook_FreezingSword=3.0</t>
    </r>
  </si>
  <si>
    <t>Particles/brook005/brook005_attack08_C</t>
  </si>
  <si>
    <t>花魁阿玲UR大妈霸海</t>
  </si>
  <si>
    <t>霸海</t>
  </si>
  <si>
    <t>13115</t>
  </si>
  <si>
    <t>AceCZ_firecolumn_firejump=0#AceCZ_largefire_smallburn=0#crocodile_CircleWind02=1.5#Purin_whooshback_end=1.6#akainuCZ_break_fireup=1.6#Hero_HuaKui_Attack01_01=1.7#windbuff=3.3#KaidoCZ_attack_swing1=3.3#whooshlarge_slashly02=4.8#KaidoCZ_back=4.9#Hero_KaiDuo_SkillAttack02_02=5.0#Hero_KaiDuo_SkillAttack07_11=5.7#EnelCZ_newthunder_longspark3=5.7#whooshlarge_slashly01=7.0#whooshlarge_nervous=7.2#EnelCZ_thunderdragon_spark01=8.4#whooshlarge_general=8.7#ZoronewCZ_world_drum1=9.5#ZoronewCZ_lion_whoosh=10.3#AceCZ_firepunch_cast=10.3#KaidoCZ_back=10.3#Hero_KaiDuo_SkillAttack02_02=10.4#whoosh_laser=10.7#Mr3_EnergyRoundUp=10.7#EdwardnewCZ_bodongzhan_ballhit=11.6#TeachNew_darklord_explosion2=11.6#RobinnewCZ_legs_rock2=12.3#ZoronewCZ_world_superwhoosh=13.0#OdenCZ_shiquan_rock=13.6#perona_BigExplosion=13.8#CV_BaHai_HuakuiKaido=9.3</t>
  </si>
  <si>
    <t>Particles/charlotte008/charlotte008_attack015_C</t>
  </si>
  <si>
    <t>龙人凯多联携技能</t>
  </si>
  <si>
    <t>3006615</t>
  </si>
  <si>
    <t>和之国甚平01</t>
  </si>
  <si>
    <t>14101</t>
  </si>
  <si>
    <r>
      <rPr>
        <sz val="11"/>
        <color theme="1"/>
        <rFont val="等线"/>
        <charset val="134"/>
        <scheme val="minor"/>
      </rPr>
      <t>jinbe_Swing02=0#JinbeCZ_shuaijiao_oncean=0.4#jinbe_Swing01=1.0#JinbeCZ_aoyi_hit=1.3#punch_hit_medium01=1.3#CV_jinbe_Waterhit=0.3</t>
    </r>
  </si>
  <si>
    <t>和之国甚平02</t>
  </si>
  <si>
    <t>14102</t>
  </si>
  <si>
    <r>
      <rPr>
        <sz val="11"/>
        <color theme="1"/>
        <rFont val="等线"/>
        <charset val="134"/>
        <scheme val="minor"/>
      </rPr>
      <t>jinbe_Swing02=0.2#JinbeCZ_qunjiao_water1=0.5#jinbe_Swing04=1.0#JinbeCZ_attack_water1=1.3#JinbeCZ_attack_water2=1.4#JinbeCZ_hailiu=1.4#JinbeCZ_attack_water3=1.5#SmoothieCZ_watercut_swing=1.3</t>
    </r>
  </si>
  <si>
    <t>和之国甚平03</t>
  </si>
  <si>
    <t>鱼人空手道·唐草瓦正拳</t>
  </si>
  <si>
    <t>14103</t>
  </si>
  <si>
    <r>
      <rPr>
        <sz val="11"/>
        <color theme="1"/>
        <rFont val="等线"/>
        <charset val="134"/>
        <scheme val="minor"/>
      </rPr>
      <t>jinbe_Swing05=0.5#se_FootstepGETA=0.5#jinbe_Water01=0.7#edward_Windimpact02=0.9#mujixie=1.0#JinbeCZ_attack_swingpurple=1.7#JinbeCZ_caopunch=1.8#punch_hit_medium01=1.8#FujitoraCZ_attack_wind=1.8</t>
    </r>
  </si>
  <si>
    <t>和之国甚平04</t>
  </si>
  <si>
    <t>鱼人空手道·鲛瓦正拳</t>
  </si>
  <si>
    <t>14104</t>
  </si>
  <si>
    <r>
      <rPr>
        <sz val="11"/>
        <color theme="1"/>
        <rFont val="等线"/>
        <charset val="134"/>
        <scheme val="minor"/>
      </rPr>
      <t>jinbe_Swing02=0#edward_Windimpact01=0.1#se_FootstepGETA=0.2#mujixie=0.4#JinbeCZ_shuaijiao_waterball=0.4#JinbeCZ_qunjiao_water4=0.4#JinbeCZ_aoyi_hit=1.0#JinbeCZ_jishui_water1=1.0#punch_hit_giant01=1.0#Inuarai_attack_cloth=1.8</t>
    </r>
  </si>
  <si>
    <t>和之国甚平05</t>
  </si>
  <si>
    <t>鱼人空手道·奥义·鬼瓦正拳</t>
  </si>
  <si>
    <t>14105</t>
  </si>
  <si>
    <r>
      <rPr>
        <sz val="11"/>
        <color theme="1"/>
        <rFont val="等线"/>
        <charset val="134"/>
        <scheme val="minor"/>
      </rPr>
      <t>ChopperHeCZ_Attack04_Whoosh=0#jinbe_Swing05=0.4#whooshsmall_general=0.9#JinbeCZ_attack_swingpurple=0.9#hancocknewCloth_1=1.4#KaidoCZ_lighting_wind=1.5#whooshlarge_nervous02=2.4#edward_Windimpact02=3.2#jinbe_Jet02=4.3#JinbeCZ_jiaopunch_hit=4.6#punch_hit_medium01=4.6#hancocknewCloth_1=4.8#punch_hit_giant01=5.7#jinbe_Jet03=5.7#JinbeCZ_shuaijiao_hit=5.7#JinbeCZ_aoyi_hit=5.7#CV_jinbe_Karate=1.5</t>
    </r>
  </si>
  <si>
    <t>Particles/jinbe002/jinbe002_attack05_C</t>
  </si>
  <si>
    <t>和之国甚平06</t>
  </si>
  <si>
    <t>枪波</t>
  </si>
  <si>
    <t>14106</t>
  </si>
  <si>
    <t>JinbeCZ_shuaijiao_bubble2=0.3#JinbeCZ_shuaijiao_deep1=0.3#jinbe_Water03=0.3#JinbeCZ_shuaijiao_oncean=2.1#whooshlarge_general=3.0#jinbe_WaterBall=4.0#SmoothieCZ_watercut_waterfall=4.0#whooshsmall_general=5.4#SmoothieCZ_waterslash_charge=5.4#jinbe_Water04=6.0#Peronasnew_though_whoosh2=6.8#JinbeCZ_shuaijiao_waterwhoosh=6.8#EdwardnewCZ_pokong_water=7.8#JinbeCZ_shuaijiao_hit=7.8#JinbeCZ_aoyi_hit=8.7#JinbeCZ_jiaopunch_hit=8.7#SmoothieCZ_giant_waterout=8.7#luffy_GiantSwingImpact02=8.7#CV_jinbe04=2.1</t>
  </si>
  <si>
    <t>Particles/jinbe002/jinbe002_attack06_C</t>
  </si>
  <si>
    <t>和之国甚平07</t>
  </si>
  <si>
    <t>枪波·群雨</t>
  </si>
  <si>
    <t>14107</t>
  </si>
  <si>
    <t>JinbeCZ_shuaijiao_deep2=0.3#jinbe_Water01=0.3#JinbeCZ_shuaijiao_bubble2=0.3#jinbe_Water01=2.5#JinbeCZ_shuaijiao_deep1=3.0#jinbe_Water03=3.0#Peronasnew_though_whoosh2=3.5#ZoronewCZ_world_superwhoosh=4.4#JinbeCZ_shuaijiao_bubble2=4.5#SmoothieCZ_watercut_bubble=4.5#whooshsmall_general=5.3#jinbe_Water04=5.3#jinbe_Jet02=6.2#jinbe_Water05=6.7#JinbeCZ_qunjiao_water2=6.7#JinbeCZ_caopunch=6.7#se_WaterBurst01=6.7#SmoothieCZ_watercut_bubble=6.7#ChopperHeCZ_Attack04_Whoosh=7.3#jinbe_WaterBall=8.6#jinbe_Water05=8.6#whooshlarge_slashly01=9.3#jinbe_Water04=10.0#reillyYoung_ultwater_buff=10.0#JinbeCZ_shuaijiao_waterwhoosh=10.2#JinbeCZ_shuaijiao_hit=10.2#Ace_FireShoot03=10.2#se_WaterSplash=10.2#whooshsmall_general=10.9#FujitoraCZ_attack_wind=11.3#SmoothieCZ_watercut_waterfall=11.3#FujitoraCZ_attack_wind=11.4#JinbeCZ_attack_water1=11.5#JinbeCZ_attack_water1=11.6#JinbeCZ_attack_water1=11.7#JinbeCZ_attack_water1=11.8#JinbeCZ_attack_water1=11.9#JinbeCZ_attack_water1=12.0#JinbeCZ_attack_water1=12.1#JinbeCZ_attack_water1=12.2#JinbeCZ_attack_water1=12.3#JinbeCZ_attack_water1=12.4#JinbeCZ_attack_water1=12.5#JinbeCZ_attack_water1=12.6#JinbeCZ_attack_water1=12.7#JinbeCZ_attack_water1=12.8#JinbeCZ_attack_water1=12.9#JinbeCZ_attack_water1=13.0#JinbeCZ_attack_water1=13.1#JinbeCZ_attack_water1=13.2#whooshlarge_general=12.6#whooshlarge_general=7.4#CV_jinbe02=7.4</t>
  </si>
  <si>
    <t>Particles/jinbe002/jinbe002_attack07_C</t>
  </si>
  <si>
    <t>和之国甚平08</t>
  </si>
  <si>
    <t>鱼人柔术·水心·海流一本背摔</t>
  </si>
  <si>
    <t>14108</t>
  </si>
  <si>
    <r>
      <rPr>
        <sz val="11"/>
        <color theme="1"/>
        <rFont val="等线"/>
        <charset val="134"/>
        <scheme val="minor"/>
      </rPr>
      <t>JinbeCZ_shuaijiao_deep3=0#jinbe_Water01=0#JinbeCZ_shuaijiao_bubble2=0#jinbe_Water03=0.7#whooshlarge_slashly01=0.8#JinbeCZ_shuaijiao_bubble2=1.0#JinbeCZ_shuaijiao_waterball=2.0#slap_hit_male=2.0#jinbe_Water01=2.1#whooshmedium01=2.5#JinbeCZ_qunjiao_water3=3.0#JinbeCZ_shuaijiao_oncean=3.0#JinbeCZ_shuaijiao_deep3=3.7#JinbeCZ_shuaijiao_bubble2=3.7#se_WaterBurst01=3.7#JinbeCZ_qunjiao_water2=3.7#SmoothieCZ_watercut_waterfall=3.7#whooshmedium01=5.4#JinbeCZ_shuaijiao_bubble2=5.5#whooshlarge_slashly01=6.7#JinbeCZ_aoyi_bubble=6.7#se_waterexplosion=6.7#JinbeCZ_shuaijiao_waterwhoosh=6.7#jinbe_Jet02=6.7#waterC=7.0#ReighleyyoungCZ_aoyi_water3=7.0#whooshsmall_general=8.1#SmoothieCZ_watercut_waterfall=8.5#JinbeCZ_aoyi_hit=8.6#JinbeCZ_shuaijiao_hit=8.6#whooshlarge_nervous=10.0#CV_JinbeCZ_shuaijiao1=0#CV_JinbeCZ_shuaijiao2=5.7</t>
    </r>
  </si>
  <si>
    <t>Particles/jinbe002/jinbe002_attack08_C</t>
  </si>
  <si>
    <t>黑色玛利亚01</t>
  </si>
  <si>
    <t>3008801</t>
  </si>
  <si>
    <t>sengoku_GroundStep=0.2#BltrmoCZ_foot3=0.2#sengoku_GroundStep=0.4#BltrmoCZ_foot2=0.4#sengoku_GroundStep=0.5#BltrmoCZ_foot1=0.5#chopper_Punch02=0.8#punch_hit_small01=0.9#se_Punch_FaceHit=0.9#chopper_Punch01=1.0#punch_hit_small02=1.3#chopper_Punch03=1.4#punch_hit_small01=1.5#chopper_Punch01=1.6#punch_hit_small02=1.9#sengoku_GroundStep=2.1#BltrmoCZ_foot3=2.1#se_MoveEcho=2.1#sengoku_GroundStep=2.3#BltrmoCZ_foot1=2.3#ChopperHeCZ_attack08_whoosh2=2.4#punch_hit_medium01=2.7#sengoku_GroundStep=3.2#BltrmoCZ_foot2=3.2#BltrmoCZ_foot2=3.2#sengoku_GroundStep=3.3#BltrmoCZ_foot3=3.3</t>
  </si>
  <si>
    <t>黑色玛利亚02</t>
  </si>
  <si>
    <t>振袖轮入道</t>
  </si>
  <si>
    <t>3008802</t>
  </si>
  <si>
    <t>whooshlarge_slashly01=0.2#BltrmoCZ_attack_swing2=0.6#FujitoraCZ_control_spin=0.8#Mr1_SpinWind=0.8#whooshlarge_general=1.5#Mr1_SpinWind=1.5#AceCZ_firecolumn_firejump=2.2#vivi_Spin01=2.4#vivi_Spin01=2.4#vivi_Spin02=2.9#vivi_Spin02=2.9#ChopperHeCZ_Attack04_Whoosh=3.5#Mr1_SpinWind=3.5#BltrmoCZ_attack_swing1=4.3#AceCZ_fireattack_explosion=4.3#franky_StarShield=4.4#EdwardyoungCZ_aoyi_rockup=4.5#AceCZ_Unkonwfire_hit=4.5#CV_bmaria04=3.3</t>
  </si>
  <si>
    <t>Particles/maria003/maria003_attack02_C</t>
  </si>
  <si>
    <t>黑色玛利亚03</t>
  </si>
  <si>
    <t>蛛足毒刃</t>
  </si>
  <si>
    <t>3008803</t>
  </si>
  <si>
    <t>sengoku_GroundStep=0.1#BltrmoCZ_foot1=0.1#sengoku_GroundStep=0.3#BltrmoCZ_foot3=0.3#sengoku_GroundStep=0.4#BltrmoCZ_foot2=0.4#se_MoveEcho=0.5#mihawkCZ_wu_slash01=0.8#se_AcidBurn=0.9#slash_large=1.0#bodyrock_hit02=1.0#Inuarai_crash_slash=1.0#sengoku_GroundStep=1.8#BltrmoCZ_foot2=1.9#sengoku_GroundStep=2.0#BltrmoCZ_foot3=2.1</t>
  </si>
  <si>
    <t>4592&amp;&amp;4593</t>
  </si>
  <si>
    <t>spider018&amp;&amp;spider019</t>
  </si>
  <si>
    <t>黑色玛利亚04</t>
  </si>
  <si>
    <t>蛛网束缚</t>
  </si>
  <si>
    <t>3008804</t>
  </si>
  <si>
    <t>whooshlarge_slashly01=0#UsoppnewCZ_explosion_slingshot=0.3#akainuCZ_attack_punchwhoosh02=0.5#whooshlarge_general=0.9#UsoppnewCZ_explosion_swing=1.2#UsoppnewCZ_slingshot_blue=1.4#UsoppnewCZ_feibiaoA=1.5#UsoppnewCZ_flower_smoke=1.8#Inuarai_moon_rockexplsion=1.8#EdwardyoungCZ_aoyi_rock2=2.1#UsoppnewCZ_bugstar_shot=2.2#FujitoraCZ_control_rock2=2.2#whooshlarge_nervous=2.6#UsoppnewCZ_bugstar_slingshotA=2.8#UsoppnewCZ_feibiaoB=3.3#UsoppnewCZ_slingshot_blue=3.3#Swish_Rope_WebSwing1=3.4#RobinnewCZ_handslap_slap=3.6#sengoku_GroundStep=3.7#BltrmoCZ_foot2=3.8#sengoku_GroundStep=4.0</t>
  </si>
  <si>
    <t>Particles/maria003/maria003_attack04_C</t>
  </si>
  <si>
    <t>黑色玛利亚05</t>
  </si>
  <si>
    <t>玛利亚之网</t>
  </si>
  <si>
    <t>3008805</t>
  </si>
  <si>
    <t>sengoku_GroundStep=0.2#BltrmoCZ_foot1=0.2#se_MoveEcho=0.2#sengoku_GroundStep=0.4#BltrmoCZ_foot3=0.4#sengoku_GroundStep=0.5#BltrmoCZ_foot2=0.5#UsoppnewCZ_explosion_swing=0.7#UsoppnewCZ_explosion_slingshot=0.8#chopper_Punch02=0.8#se_AcidBurn=0.9#punch_hit_small01=1.6#UsoppnewCZ_slingshot_orange=1.7#UsoppnewCZ_wolf_shot=1.7#slap_hit_male=1.7#sengoku_GroundStep=1.8#BltrmoCZ_foot2=1.9#sengoku_GroundStep=2.0#BltrmoCZ_foot3=2.1#sengoku_GroundStep=2.2#BltrmoCZ_foot1=2.2</t>
  </si>
  <si>
    <t>黑色玛利亚06</t>
  </si>
  <si>
    <t>炎涡轮入道</t>
  </si>
  <si>
    <t>3008806</t>
  </si>
  <si>
    <r>
      <rPr>
        <sz val="12"/>
        <color rgb="FF000000"/>
        <rFont val="等线"/>
        <charset val="134"/>
        <scheme val="minor"/>
      </rPr>
      <t>whooshlarge_general=0#Mr1_SpinWind=0.3#AceCZ_mirrorfire_cast01=0.3#whooshsmall_general=1.0#Mr1_SpinWind=1.0#Mr1_SpinWind=1.9#AceCZ_mirrorfire_cast02=1.9#whooshlarge_slashly01=2.4#Mr1_SpinWind=2.7#ChopperHeCZ_Attack04_Whoosh=3.4#Mr1_SpinWind=3.6#se_AcidBurn=4.2#Web_LaunchShot1=4.2#Explo_Small_Web=4.2#UsoppnewCZ_banboo_slingshot=4.3#Swish_Rope_WebSwing1=4.7#borsalinoCZ_laserhit=4.9#UsoppnewCZ_slingshot_orange=4.9#usopp2_Draw01=5.2#UsoppnewCZ_evil_disappear=5.4#KikuCZ_snowcan_spin=5.5#Mr1_SpinWind=5.8#sengoku_GroundStep=6.2#jozz_Explosion02=6.2#Bl</t>
    </r>
    <r>
      <rPr>
        <sz val="10.5"/>
        <color rgb="FF000000"/>
        <rFont val="等线"/>
        <charset val="134"/>
        <scheme val="minor"/>
      </rPr>
      <t> </t>
    </r>
    <r>
      <rPr>
        <sz val="12"/>
        <color theme="1"/>
        <rFont val="等线"/>
        <charset val="134"/>
        <scheme val="minor"/>
      </rPr>
      <t>trmoCZ_foot1=6.2#WetBrush=6.2#Mr1_SpinWind=6.4#whooshlarge_general=6.5#Squish_WetSlimeHit2=6.6#WetBrush=6.7#Squish_WetSlime4=6.9#Mr1_SpinWind=7.0#Squish_WetSlimeHit2=7.2#whooshsmall_general=7.3#Squish_WetSlime4=7.4#Mr1_SpinWind=7.4#whooshlarge_nervous=8.0#BltrmoCZ_attack_swing2=8.1#LuffynewCZ_fire_cast=8.2#Mr1_SpinWind=8.2#FujitoraCZ_control_spin=9.0#EdwardyoungCZ_aoyi_rockup=9.1#punch_hit_giant01=9.1#vivi_Spin01=9.2#vivi_Spin02=9.2#punch_hit_giant01=9.4#vivi_Spin02=9.6#vivi_Spin01=9.6#punch_hit_giant01=9.6#AceCZ_firecolumn_firejump=10.0#punch_hit_giant01=10.0#UsoppnewCZ_bugstar_explosionA=10.3#punch_hit_giant01=10.3#vivi_Spin01=10.5#vivi_Spin02=10.5#punch_hit_giant01=10.6#vivi_Spin02=10.8#punch_hit_giant01=10.9#whooshlarge_general=11.2#punch_hit_giant01=11.2#punch_hit_giant01=10.5#Margo_explode04=10.8#punch_hit_giant01=10.8#CV_bmaria02=2.7</t>
    </r>
  </si>
  <si>
    <t>Particles/maria003/maria003_attack06_C</t>
  </si>
  <si>
    <t>黑色玛利亚07</t>
  </si>
  <si>
    <t>毒蛛拳影</t>
  </si>
  <si>
    <t>3008807</t>
  </si>
  <si>
    <t>blackbear_DarkOut05=0#TeachNew_darkwater_show=0#whooshlarge_slashly01=1.3#hancocknewMove_2=2.7#Braytor_S4_watergun=2.7#se_MoveEcho=2.8#sakazuki_LavaMove03=3.0#chopper_Punch01=4.1#ChopperHeCZ_Attack04_Whoosh=4.2#chopper_Punch02=4.2#whooshlarge_general=4.9#whooshlarge_slashly02=5.2#TeachNew_darkwater_cast1=6.0#akainuCZ_evildog_magmamove01=6.0#SmoothieCZ_waterslash_charge=6.0#ReighleyyoungCZ_aoyi_water3=7.0#akainuCZ_magmabuff01=7.2#jinbe_WaterBall=7.2#JinbeCZ_shuaijiao_waterwhoosh=8.0#EdwardnewCZ_pokong_water=8.0#ZoronewCZ_world_superwhoosh=8.1#jinbe_Water01=10.3#punch_hit_medium01=10.4#OdenCZ_gun_darkswing=10.4#TeachNew_darklord_explosion1=10.4#ZoroCZ_swing_delay=10.6#se_Poison01=10.7#jinbe_Water02=10.8#CV_bmaria01=2.4</t>
  </si>
  <si>
    <t>Particles/maria003/maria003_attack07_C</t>
  </si>
  <si>
    <t>黑色玛利亚08</t>
  </si>
  <si>
    <t>燃烧玛利亚</t>
  </si>
  <si>
    <t>3008808</t>
  </si>
  <si>
    <t>TeachNew_darkvanish_appear=0#whooshlarge_general=0.4#KikuCZ_snowcan_spin=0.3#borsalinoCZ_laserhit=0.3#UsoppnewCZ_slingshot_orange=0.3#UsoppnewCZ_evil_disappear=0.3#Swish_Rope_WebSwing1=0.3#whooshlarge_slashly01=1.5#chopper_Punch02=1.5#se_MoveEcho=1.9#chopper_Punch01=2.9#AceCZ_firecolumn_falldown=3.0#ChopperHeCZ_Attack04_Whoosh=3.1#AceCZ_largefire_cast=4.6#akainuCZ_absolutelyjustice_firewhoosh=4.6#AceCZ_largefire_burn04=5.6#AceCZ_Firecross_burntwice=6.7#AceCZ_firecolumn_firejump=6.8#BMCZ_tianhuo_firehit=7.2#BMCZ_tianhuo_firehit=7.5#BMCZ_tianhuo_firehit=7.9#BMCZ_tianhuo_firehit=8.2#BMCZ_tianhuo_firehit=8.5#CV_bmaria03=3.5</t>
  </si>
  <si>
    <t>Particles/maria003/maria003_attack08_C</t>
  </si>
  <si>
    <t>罗杰01</t>
  </si>
  <si>
    <t>14301</t>
  </si>
  <si>
    <t>mihawknew_S2_sword2=0.2#EnelCZ_newthunder_sparkswing=0.2#se_Sword_Hit=0.3#mihawknew_S3_sword2=0.5#EnelCZ_dog_spark2=0.6#se_Sword_hit02=0.7#mihawknew_S4_sword=1.2#Inuarai_winddog_sparkbig=1.2#se_Swordheavy_Hit=1.5</t>
  </si>
  <si>
    <t>罗杰全体02</t>
  </si>
  <si>
    <t>留下全身家当</t>
  </si>
  <si>
    <t>14302</t>
  </si>
  <si>
    <r>
      <rPr>
        <sz val="10.5"/>
        <color theme="1"/>
        <rFont val="宋体"/>
        <charset val="134"/>
      </rPr>
      <t>whooshlarge_slashly01=0#nami_Electric01=0.4#BMCZ_leiting_spark=0.4#HancockNewCZ_sweetwind_cloth=1.2#whooshsmall_general=1.2#ZoroCZ_evil_swordout1=1.3#GarpHero_justice_whoosh=1.9#FujitoraCZ_destroy_rock=1.9#mihawknew_S8_swordreverb=1.9#Inuarai_winddog_red=2.0#mihawknew_S8_swordend=2.0#nami_Electric03=2.1#roger03=0.4</t>
    </r>
  </si>
  <si>
    <t>Particles/roger002/roger002_attack02_C</t>
  </si>
  <si>
    <t>weapon03</t>
  </si>
  <si>
    <t>罗杰全体03</t>
  </si>
  <si>
    <t>干上一场吧</t>
  </si>
  <si>
    <t>14303</t>
  </si>
  <si>
    <r>
      <rPr>
        <sz val="10.5"/>
        <color theme="1"/>
        <rFont val="宋体"/>
        <charset val="134"/>
      </rPr>
      <t>whooshsmall_general=0#HancockNewCZ_sweetwind_cloth=0.5#ZoroCZ_evil_swordout1=0.5#whooshmedium01=1.2#mihawknew_S2_sword2=1.3#OdenCZ_jump=1.8#KikuCZ_moon_superjump=1.9#UsoppnewCZ_explosion_whoosh=2.2#KozukiOden_Xiancao_jump=3.0#BMCZ_leiting_spark=3.2#BMCZ_weiguo_sword1=3.2#enel_Electric06=3.2#enel_ElectricThunder04=3.2#Carot_huixing_electric=3.2#mihawknew_S4_sword=4.2#whooshlarge_general=4.3#mihawknew_S8_swordend=4.9#FujitoraCZ_destroy_swordswing=5.0#EnelCZ_dog_spark2=5.2#BMCZ_poporen_rock=5.3#NaminewCZ_charge_hit=5.3#BMCZ_poporen_rock=5.8#EnelCZ_dog_spark2=5.8#BMCZ_poporen_rock=6.0#GarpCZ_lovepunch_whoosh=6.6#roger02=0.5</t>
    </r>
  </si>
  <si>
    <t>Particles/roger002/roger002_attack03_C</t>
  </si>
  <si>
    <t>weapon01</t>
  </si>
  <si>
    <t>罗杰全体04</t>
  </si>
  <si>
    <t>颠覆世界</t>
  </si>
  <si>
    <t>14304</t>
  </si>
  <si>
    <r>
      <rPr>
        <sz val="10.5"/>
        <color theme="1"/>
        <rFont val="宋体"/>
        <charset val="134"/>
      </rPr>
      <t>ZoroCZ_evil_swordout1=0.1#whooshlarge_slashly01=0.2#mihawkCZ_wu_swordhold=0.5#OdenCZ_shiquan_swordout1=0.5#mihawknew_S2_sword2=0.6#mihawknew_S4_sword=0.9#BMCZ_leiting_spark=0.9#enel_Electric06=0.9#enel_ElectricThunder04=0.9#whooshmedium01=1.6#BltrmoCZ_pingzhang_cloth2=2.6#OdenCZ_jump=2.6#whooshlarge_nervous02=2.6#Margo_cloth=2.6#GarpHero_justice_whoosh=3.9#whooshlarge_nervous=4.0#Inuarai_winddog_red=4.0#mihawknew_S8_swordend=4.0#BMCZ_weiguo_sword1=4.0#perona_BigExplosion=4.6#Inuarai_moon_explosion=4.6#roger06_rev=2.0</t>
    </r>
  </si>
  <si>
    <t>Particles/roger002/roger002_attack04_C</t>
  </si>
  <si>
    <t>罗杰全体05</t>
  </si>
  <si>
    <t>不能让你们受伤</t>
  </si>
  <si>
    <t>14305</t>
  </si>
  <si>
    <r>
      <rPr>
        <sz val="10.5"/>
        <color theme="1"/>
        <rFont val="宋体"/>
        <charset val="134"/>
      </rPr>
      <t>OdenCZ_shiquan_swordout1=0.1#mihawknew_S2_sword2=0.2#ZoroCZ_evil_swordout1=0.3#mihawknew_S8_swordreverb=0.6#whooshlarge_slashly01=0.7#mihawknew_S4_sword=0.8#enel_Electric06=1.5#nami_Electric02=1.5#borsalino_LightShining02=1.5#ZororHeCZ_Light=1.5#nami_Electric01=1.5#KikuCZ_shadow_swordhit=2.5#windbuff=2.5#AceCZ_angrypunch_hit1=2.5#nami_Electric03=2.6#slash_large=2.6#NaminewCZ_trap_spark=2.7#roger04_rev=1.4</t>
    </r>
  </si>
  <si>
    <t>Particles/roger002/roger002_attack05_C</t>
  </si>
  <si>
    <t>罗杰全体06</t>
  </si>
  <si>
    <t>神避</t>
  </si>
  <si>
    <t>14306</t>
  </si>
  <si>
    <t>nami_WindBuff=0#kuzanCZ_iceage_wind=0#KaidoCZ_lighting_wind=0#ship_Flagwind03=0.5#whooshlarge_general=2.3#ZoronewCZ_bird_swordin1=3.2#ZoroCZ_evil_swordout1=3.3#BMCZ_leiting_spark=3.3#enel_Electric06=3.3#enel_ElectricThunder04=3.3#mihawknew_S2_sword2=4.4#mihawkCZ_wu_swordhold=4.4#OdenCZ_shiquan_swordout1=4.5#whooshlarge_nervous=4.8#whooshmedium02=5.0#GarpHero_justice_whoosh=6.0#mihawknew_S8_swordreverb=6.0#Inuarai_winddog_red=6.1#mihawknew_S8_swordend=6.1#nami_Electric03=6.2#GarpHero_justice_whoosh=7.0#EnelCZ_dog_spark2=7.6#whooshlarge_nervous02=7.7#JozzCZ_crash_rock=7.7#AceCZ_angrypunch_hit1=7.7#KaidoCZ_lighting_explosion=9.0#SugerCZ_giant_explosion=9.0#UsoppnewCZ_explosion_quake=9.0#BMCZ_poporen_rock=9.2#maopi_spark1=9.6#Inuarai_sword_spark1=9.9#nami_Electric01=10.3#roger05_rev=3.7</t>
  </si>
  <si>
    <t>Particles/roger002/roger002_attack06_C</t>
  </si>
  <si>
    <t>罗杰全体07</t>
  </si>
  <si>
    <t>生存即是“杀戮”</t>
  </si>
  <si>
    <t>14307</t>
  </si>
  <si>
    <t>whooshlarge_general=0#windbuff=0.2#mihawknew_S4_sword=0.4#mihawknew_S2_sword2=0.4#Nekomamusi_dianhu_spark=0.5#enel_Electric06=0.5#enel_ElectricThunder04=0.5#whooshlarge_general=1.0#mihawknew_S3_sword2=1.3#ZoronewCZ_world_swing1=1.4#nami_Electric03=1.4#Inuarai_dianguang_swordspark1=1.8#nami_Electric03=1.9#punch_hit_giant01=1.9#Shishou_hit=1.9#slap_hit_male=1.9#GarpHero_justice_whoosh=2.1#whooshlarge_slashly02=2.4#whooshlarge_slashly01=2.6#BltrmoCZ_foot3=3.2#BltrmoCZ_foot1=3.5#BltrmoCZ_foot2=3.7#BltrmoCZ_foot1=4.0#OdenCZ_jump=4.0#KikuCZ_moon_superjump=4.1#040_landhit=4.3#Inuarai_moon_cloth=4.9#Peronasnew_though_cloth=4.9#BltrmoCZ_foot3=5.1#Nekomamusi_lighting_rock=5.1#bodyrock_hit02=5.1#mihawkCZ_wu_swordhold=5.8#mihawknew_S4_sword=5.9#mihawknew_S3_sword1=5.9#mihawknew_S7_swordwind=6.0#EdwardyoungCZ_wushuang_cloth1=6.1#KozukiOden_Gunghost_spark=6.1#EnelCZ_god_spark=6.1#BMCZ_tianhuo_spark=6.1#BMCZ_leiting_spark=6.1#EnelCZ_attack_spark=6.8#Inuarai_winddog_red=8.0#mihawknew_S8_swordend=8.0#KikuCZ_shadow_swordhit=8.0#perona_BigExplosion=8.2#NaminewCZ_charge_spark1=8.2#KozukiOden_Gunghost_spark=8.4#roger03_rev=6.6</t>
  </si>
  <si>
    <t>Particles/roger002/roger002_attack07_C</t>
  </si>
  <si>
    <t>罗杰全体08</t>
  </si>
  <si>
    <t>霸王的一击</t>
  </si>
  <si>
    <t>14308</t>
  </si>
  <si>
    <t>whooshlarge_general=0#ZororHeCZ_Light=0.8#ZororHeCZ_Disapear=0.8#GarpHero_justice_whoosh=1.4#BMCZ_leiting_spark=1.7#enel_Electric06=1.7#enel_ElectricThunder04=1.7#windbuff=1.8#BltrmoCZ_pai_cloth=2.5#EdwardyoungCZ_wushuang_cloth1=2.5#BMCZ_poporen_rock=2.9#bodyrock_hit02=2.9#whooshlarge_nervous=3.5#nami_Electric03=3.7#maopi_spark4=3.7#BlookenewCZ_attack_swordin=3.8#HancockNewCZ_sweetwind_cloth=3.9#ZoroCZ_evil_swordout1=3.9#whooshmedium01=4.7#mihawknew_S8_swordreverb=4.7#ZoroCZ_swing_delay=4.7#MihawkNewCZ_shiwenzi_swing2=4.8#KikuCZ_shadow_swordhit=5.7#LuffynewCZ_4gun_explosion=5.8#enel_ElectricSpeedyHit=5.8#enel_ElectricPose=5.8#Inuarai_dianguang_sparking2=5.8#KozukiOden_Gunghost_spark=5.8#Margo_explode04=7.2#Peronasnew_though_explosionfinal=7.2#perona_BigExplosion=8.2#Peronasnew_aoyi_explosion=8.2#EnelCZ_newthunder_explosion=8.2#NaminewCZ_sword_hit=8.2#FujitoraCZ_destroy_rock=8.2#roger01=3.9</t>
  </si>
  <si>
    <t>Particles/roger002/roger002_attack08_C</t>
  </si>
  <si>
    <t>罗杰单体02</t>
  </si>
  <si>
    <t>罗杰单体03</t>
  </si>
  <si>
    <t>罗杰单体04</t>
  </si>
  <si>
    <t>罗杰单体05</t>
  </si>
  <si>
    <t>罗杰单体06</t>
  </si>
  <si>
    <r>
      <rPr>
        <sz val="10.5"/>
        <color theme="1"/>
        <rFont val="宋体"/>
        <charset val="134"/>
      </rPr>
      <t>nami_WindBuff=0#kuzanCZ_iceage_wind=0#KaidoCZ_lighting_wind=0#ship_Flagwind03=0.5#whooshlarge_general=2.3#ZoronewCZ_bird_swordin1=3.2#ZoroCZ_evil_swordout1=3.3#BMCZ_leiting_spark=3.3#enel_Electric06=3.3#enel_ElectricThunder04=3.3#mihawknew_S2_sword2=4.4#mihawkCZ_wu_swordhold=4.4#OdenCZ_shiquan_swordout1=4.5#whooshlarge_nervous=4.8#whooshmedium02=5.0#GarpHero_justice_whoosh=6.0#mihawknew_S8_swordreverb=6.0#Inuarai_winddog_red=6.1#mihawknew_S8_swordend=6.1#nami_Electric03=6.2#GarpHero_justice_whoosh=7.0#EnelCZ_dog_spark2=7.6#whooshlarge_nervous02=7.7#JozzCZ_crash_rock=7.7#AceCZ_angrypunch_hit1=7.7#KaidoCZ_lighting_explosion=9.0#SugerCZ_giant_explosion=9.0#UsoppnewCZ_explosion_quake=9.0#BMCZ_poporen_rock=9.2#maopi_spark1=9.6#Inuarai_sword_spark1=9.9#nami_Electric01=10.3#roger05_rev=3.7</t>
    </r>
  </si>
  <si>
    <t>罗杰单体08</t>
  </si>
  <si>
    <t>金狮子01</t>
  </si>
  <si>
    <t>14401</t>
  </si>
  <si>
    <r>
      <rPr>
        <sz val="11"/>
        <color theme="1"/>
        <rFont val="等线"/>
        <charset val="134"/>
        <scheme val="minor"/>
      </rPr>
      <t>EdwardyoungCZ_pokong_cloth=0.2#040_swg1=0.3#slash_general01=0.4#Hero_YuZhiXiLiu_Skill04Hit_04=0.4#040_swg2=0.8#Hero_YuZhiXiLiu_Skill04Hit_04=0.9#slash_large=0.9#FujitoraCZ_aerolite_cloth=1.2#hogbak_MagicDoor01=1.3#se_Rock_Fall01=1.3#Drake_Attack07_01Hit=1.9#LucciCZ_fingergunban_hit02=1.9</t>
    </r>
  </si>
  <si>
    <t>金狮子02</t>
  </si>
  <si>
    <t>斩波</t>
  </si>
  <si>
    <t>14402</t>
  </si>
  <si>
    <r>
      <rPr>
        <sz val="11"/>
        <color theme="1"/>
        <rFont val="等线"/>
        <charset val="134"/>
        <scheme val="minor"/>
      </rPr>
      <t>HancockNewCZ_sweetwind_cloth=0.1#040_swg3=0.4#GarpHero_justice_cloth=0.4#040_smsh1_ht=0.5#mihawknew_S5_rock=0.5#borsalino_LightSwordCounter=0.5#slash_general01=0.5#se_Rock_Fall01=0.6#slash_large=0.6#slash_general01=0.7#slash_large=0.8#shiki05=0.3</t>
    </r>
  </si>
  <si>
    <t>金狮子03</t>
  </si>
  <si>
    <t>狮子·千切谷</t>
  </si>
  <si>
    <t>14403</t>
  </si>
  <si>
    <r>
      <rPr>
        <sz val="11"/>
        <color theme="1"/>
        <rFont val="等线"/>
        <charset val="134"/>
        <scheme val="minor"/>
      </rPr>
      <t>EdwardyoungCZ_wushuang_cloth1=0#borsalino_LightSwordCounter=0.4#040_smsh1_ht=0.4#slash_general01=0.5#borsalino_LightSwordCounter=0.6#040_smsh1_ht=0.6#slash_large=0.7#EdwardnewCZ_pokong_hit=0.7#borsalino_LightSwordCounter=0.8#040_smsh1_ht=0.8#slash_general01=0.9#borsalino_LightSwordCounter=1.0#040_smsh1_ht=1.0#slash_large=1.1#040_smsh1_ht=1.2#borsalino_LightSwordCounter=1.2#slash_general01=1.3#borsalino_LightSwordCounter=1.4#040_smsh1_ht=1.4#slash_large=1.5#borsalino_LightSwordCounter=1.6#040_smsh1_ht=1.6#slash_general01=1.7#KikuCZ_moon_cloth=1.8#borsalino_LightSwordCounter=2.0#040_smsh1_ht=2.0#slash_large=2.2#garp_CounterHit=2.2#punch_hit_small02=2.2#shiki06=0.3</t>
    </r>
  </si>
  <si>
    <t>金狮子04</t>
  </si>
  <si>
    <t>碎石飞刺</t>
  </si>
  <si>
    <t>14404</t>
  </si>
  <si>
    <r>
      <rPr>
        <sz val="11"/>
        <color theme="1"/>
        <rFont val="等线"/>
        <charset val="134"/>
        <scheme val="minor"/>
      </rPr>
      <t>whooshlarge_general=0#EdwardnewCZ_pokong_cloth1=0#FujitoraCZ_jump=0.4#FlankyCZ_jumpback=0.5#se_Rock_Fall01=1.1#EdwardyoungCZ_aoyi_rock2=1.1#se_Rocks01=1.1#hogbak_MagicDoor01=1.2#bodyrock_hit02=2.4#bodyrock_hit01=2.5#bodyrock_hit02=2.6#bodyrock_hit01=2.7#bodyrock_hit02=2.8#bodyrock_hit01=2.9#ReighleyyoungCZ_pokong_rockstep=2.9#whooshsmall_general=2.9#bodyrock_hit02=3.0</t>
    </r>
  </si>
  <si>
    <t>Particles/shiki001/shiki001_attack04_C</t>
  </si>
  <si>
    <t>金狮子05</t>
  </si>
  <si>
    <t>双刃连斩</t>
  </si>
  <si>
    <t>14405</t>
  </si>
  <si>
    <r>
      <rPr>
        <sz val="11"/>
        <color theme="1"/>
        <rFont val="等线"/>
        <charset val="134"/>
        <scheme val="minor"/>
      </rPr>
      <t>EdwardnewCZ_pokong_cloth1=0.2#franky_Punch_Heavy=0.2#mihawknew_S3_sword1=0.2#040_swg1=0.3#slash_general01=0.4#Hero_YuZhiXiLiu_Skill04Hit_04=0.4#franky_Punch_Heavy=0.7#mihawknew_S4_sword=0.7#KikuCZ_moon_cloth=0.8#slash_large=0.9#040_swg2=0.9#Hero_YuZhiXiLiu_Skill04Hit_04=0.9#Peronasnew_though_cloth=1.3#franky_Punch_Heavy=1.3#040_swg3=1.4#borsalinoCZ_skysword_swordend=1.4#slash_large=1.5#EdwardnewCZ_punch_rockhit=1.5#Hero_YuZhiXiLiu_Skill04Hit_04=1.5#ZoronewCZ_tornado_cloth=2.0#Suger_S7_cloth=2.0</t>
    </r>
  </si>
  <si>
    <t>金狮子06</t>
  </si>
  <si>
    <t>石陨</t>
  </si>
  <si>
    <t>14406</t>
  </si>
  <si>
    <r>
      <rPr>
        <sz val="11"/>
        <color theme="1"/>
        <rFont val="等线"/>
        <charset val="134"/>
        <scheme val="minor"/>
      </rPr>
      <t>KuzanNewCZ_wind=0#kuzanCZ_icebird_cloth=0.1#nami_WindBuff=0.1#whooshlarge_slashly01=1.4#hancocknewCloth_1=1.6#whooshlarge_nervous=2.0#Inuarai_moon_cloth=2.3#windbuff2=2.4#EdwardnewCZ_bodongzhan_cast=2.5#hogbak_MagicDoor01=2.5#moria_Magic02=2.5#KuzanNewCZ_wind=3.0#kiku_moonslash_rock=3.0#Suger_S4_quake=3.1#JozzCZ_crash_rock=4.5#sheephead_rock=4.5#se_Rocks01=4.8#LuffyCZwake_aoyi_dirt=5.3#se_DirtJump5.5#ChopperHeCZ_Attack04_Whoosh=6.5#kuzanCZ_icebird_cloth=6.7#whooshmedium01=7.7#Inuarai_moon_cloth=8.3#whooshlarge_slashly02=8.4#CrocodileCZ_samsara_sandcast01=8.4#EdwardyoungCZ_shock_cast=8.5#UsoppnewCZ_explosion_quake=10.0#040_ibki_ft=10.1#LucciCP0CZ_sixgun_hitground2=10.1#KaidoCZ_wine_cast=10.1#akainuCZ_evildog_magmaexplode=10.1#sheephead_rock=11.0#nami_WindBuff=11.2#se_Rocks01=11.2#CV_shiki04_rev=6.1</t>
    </r>
  </si>
  <si>
    <t>Particles/shiki001/shiki001_attack06_C</t>
  </si>
  <si>
    <t>金狮子07</t>
  </si>
  <si>
    <t>狮子威·御所地卷</t>
  </si>
  <si>
    <t>14407</t>
  </si>
  <si>
    <r>
      <rPr>
        <sz val="11"/>
        <color theme="1"/>
        <rFont val="等线"/>
        <charset val="134"/>
        <scheme val="minor"/>
      </rPr>
      <t>ChopperHeCZ_Attack04_Whoosh=0#KuzanNewCZ_wind=0#hancocknewCloth_1=1.0#whooshsmall_general=1.0#Inuarai_moon_cloth=1.3#windbuff2=1.3#EdwardnewCZ_bodongzhan_cast=1.4#hogbak_MagicDoor01=1.4#moria_Magic02=1.4#whooshlarge_slashly02=1.6#lion_roar01=2.3#KaidoCZ_hot_roar=2.3#lion_roar03=2.4#whooshlarge_slashly01=3.9#BltrmoCZ_cloth_purple=4.5#se_DragonRoar1=5.6#tiger_roar=5.6#ZoronewCZ_lion_roar=5.6#lion_roar01=5.6#se_DragonRoar2=6.3#LuffynewCZ_arms_whoosh1=6.7#LucciCP0CZ_sixgun_hitground3=7.2#perona_BigExplosion=7.2#LuffynewCZ_arms_whoosh1=7.5#LucciCP0CZ_sixgun_hitground3=7.6#perona_BigExplosion=7.6#LuffynewCZ_arms_whoosh1=7.8#LucciCP0CZ_sixgun_hitground3=7.9#perona_BigExplosion=7.9#LuffynewCZ_arms_whoosh1=8.2#LucciCP0CZ_sixgun_hitground3=8.4#perona_BigExplosion=8.4#LuffynewCZ_arms_whoosh1=8.6#LucciCP0CZ_sixgun_hitground3=8.7#perona_BigExplosion=8.7#LuffynewCZ_arms_whoosh1=9.1#Baby5CZ_aoyi_explosion1=9.2#LucciCP0CZ_sixgun_hitground3=9.2#perona_BigExplosion=9.2#CV_shiki03_rev1=0#CV_shiki03_rev2=4.4</t>
    </r>
  </si>
  <si>
    <t>Particles/shiki001/shiki001_attack07_C</t>
  </si>
  <si>
    <t>金狮子08</t>
  </si>
  <si>
    <t>狮子威·地卷</t>
  </si>
  <si>
    <t>14408</t>
  </si>
  <si>
    <r>
      <rPr>
        <sz val="11"/>
        <color theme="1"/>
        <rFont val="等线"/>
        <charset val="134"/>
        <scheme val="minor"/>
      </rPr>
      <t>KuzanNewCZ_wind=0#ChopperHeCZ_Attack04_Whoosh=0#kuzanCZ_icebird_cloth=0.2#UsoppnewCZ_explosion_quake=0.7#hogbak_MagicDoor01=0.8#jozz_Grab=0.9#moria_Magic02=0.9#whooshlarge_general=1.0#whooshlarge_nervous=1.3#lion_roar01=2.9#KaidoCZ_hot_roar=2.9#usopp_Dragon_Roar=2.9#lion_roar03=3.0#Suger_S4_quake=3.8#sheephead_rock=3.8#se_Rocks01=3.9#CrocodileCZ_samsara_sandcast01=5.4#se_DragonRoar1=5.6#tiger_roar=5.6#ZoronewCZ_lion_roar=5.6#KaidoCZ_hot_roar=5.6#whooshlarge_general=6.9#whooshlarge_slashly01=8.0#EdwardyoungCZ_shock_cast=8.3#whooshlarge_nervous=8.5#lion_roar01=9.0#ZoronewCZ_lion_roar=9.0#EnelCZ_dog_roar=9.0#se_DragonRoar1=9.0#EdwardyoungCZ_aoyi_rockup=9.3#kiku_moonslash_rock=10.1#akainuCZ_evildog_magmaexplode=10.3#BMCZ_poporen_rock=10.3#JozzCZ_crash_rock=11.7#040_ibki_ft=12.0#LucciCP0CZ_sixgun_hitground2=12.0#KaidoCZ_wine_cast=12.0#CV_shiki02_rev=0.1</t>
    </r>
  </si>
  <si>
    <t>Particles/shiki001/shiki001_attack08_C</t>
  </si>
  <si>
    <t>烬觉醒08</t>
  </si>
  <si>
    <t>丹弓皇</t>
  </si>
  <si>
    <t>3008908</t>
  </si>
  <si>
    <r>
      <rPr>
        <sz val="11"/>
        <color theme="1"/>
        <rFont val="等线"/>
        <charset val="134"/>
        <scheme val="minor"/>
      </rPr>
      <t>se_WindLoop2=0#windbuff=0#Hero_Jin_SkillAttack01_01=0.2#Hero_Jin_SkillAttack05_04=1.0#Hero_Jin_SkillAttack03_01=1.0#Hero_Jin_SkillAttack05_02=1.8#Hero_Jin_SkillAttack06_04=2.0#Hero_Jin_SkillAttack02_01=2.6#Hero_Jin_SkillAttack05_12=2.9#whooshmedium01=3.2#Hero_Jin_SkillAttack05_13=4.2#punch_hit_medium01=4.3#Roddy_wind=4.3</t>
    </r>
  </si>
  <si>
    <t>Particles/king001/king004_body@attack08_c</t>
  </si>
  <si>
    <t>Bone_touR</t>
  </si>
  <si>
    <t>烬觉醒09</t>
  </si>
  <si>
    <t>刃里双皇</t>
  </si>
  <si>
    <t>3008909</t>
  </si>
  <si>
    <r>
      <rPr>
        <sz val="11"/>
        <color theme="1"/>
        <rFont val="等线"/>
        <charset val="134"/>
        <scheme val="minor"/>
      </rPr>
      <t>whooshlarge_general=0#Hero_Jin_SkillAttack05_12=0#ChopperHeCZ_Attack04_Whoosh=1.8#Carot_dianhupunch=2.5#Hero_Jin_SkillAttack05_02=2.6#040_smsh1_ht=2.7#Carot_dianhupunch=2.8#Carot_dianhupunch=3.0#Carot_dianhupunch=3.2#Carot_dianhupunch=3.4#Carot_dianhupunch=3.6#Carot_dianhupunch=3.8#Carot_dianhupunch=4.0#Carot_dianhupunch=4.2#Carot_dianhupunch=4.4#Carot_dianhupunch=4.6#Carot_dianhupunch=4.8#Carot_dianhupunch=5.0#Carot_dianhupunch=5.2#Carot_dianhupunch=5.4#040_smsh1_ht=3.0#040_smsh1_ht=3.2#040_smsh1_ht=3.4#040_smsh1_ht=3.6#040_smsh1_ht=3.8#040_smsh1_ht=4.0#040_smsh1_ht=4.2#040_smsh1_ht=4.4#040_smsh1_ht=4.6#040_smsh1_ht=4.8#040_smsh1_ht=5.0#040_smsh1_ht=5.2#040_smsh1_ht=5.4#040_smsh1_ht=5.6#FujitoraCZ_control_rock3=4.1#FujitoraCZ_control_rock3=4.3#FujitoraCZ_control_rock3=4.5#FujitoraCZ_control_rock3=4.7#FujitoraCZ_control_rock3=4.9#FujitoraCZ_control_rock3=5.1#FujitoraCZ_control_rock3=5.3#FujitoraCZ_control_rock3=5.5#FujitoraCZ_control_rock3=5.7#garp_CounterHit=5.7#punch_hit_medium01=5.7</t>
    </r>
  </si>
  <si>
    <t>Particles/king001/king001_attack09_C</t>
  </si>
  <si>
    <t>烬觉醒10</t>
  </si>
  <si>
    <t>御守火龙皇</t>
  </si>
  <si>
    <t>12610</t>
  </si>
  <si>
    <r>
      <rPr>
        <sz val="11"/>
        <color theme="1"/>
        <rFont val="等线"/>
        <charset val="134"/>
        <scheme val="minor"/>
      </rPr>
      <t>se_WindLoop2=0#whooshlarge_general=0#Ace_Fire02=0.8#Ace_FireFlying02=0.8#Hero_Jin_SkillAttack05_02=1.3#AceCZ_Firecross_firearm=1.5#Hero_Jin_SkillAttack03_01=2.0#Hero_Jin_SkillAttack05_04=2.1#Hero_Jin_SkillAttack06_13=2.3#Hero_Jin_SkillAttack06_13=2.6#Hero_Jin_SkillAttack06_14=2.8#Hero_Jin_SkillAttack06_13=2.9#Hero_Jin_SkillAttack05_12=2.9#LuffynewCZ_fire_cast=3.1#whooshlarge_slashly01=4.2#Hero_Jin_SkillAttack01_01=4.3#Hero_Jin_SkillAttack02_01=4.4#akainuCZ_absolutelyjustice_firewhoosh=4.8#Hero_Jin_SkillAttack04_05=5.0#EnelCZ_attack_spark=5.7#BMCZ_firesky_burning=6.2#nami_Electric01=6.3#enel_Electric06=6.3#enel_Electric04=6.3#ZoronewCZ_world_slash=7.3#LucciCP0CZ_fire_fireball=7.4#AceCZ_firecolumn_firejump=7.4#LucciCP0CZ_fire_power=9.0#AceCZ_mirrorfire_cast01=10.0#AceCZ_Unkonwfire_hit=10.2#ZoronewCZ_tornado_dragon=10.4#BMCZ_poporen_fire2=10.5#akainuCZ_punish_fireup=12.0#AceCZ_firecolumn_falldown=12.5#AceCZ_firecolumn_firearm=13.0#AceCZ_Firecross_burn=13.5#AceCZ_Firecross_firearm=13.5#AceCZ_largefire_burn03=14.2#se_DragonRoar2=14.9#se_DragonRoar1=14.9#se_DragonRoar2=15.0#AceCZ_firecolumn_cast=15.1#AceCZ_firecolumn_firearm=15.1#AceCZ_firepunch_burning=15.5#AceCZ_firecolumn_explosion=15.5#LucciCP0CZ_fire_explosion=15.5#perona_BigExplosion=15.5</t>
    </r>
  </si>
  <si>
    <t>Particles/king001/king001_attack010_C</t>
  </si>
  <si>
    <t>4653&amp;&amp;4654&amp;&amp;4655</t>
  </si>
  <si>
    <t>baofa_Bip001&amp;&amp;Bip001RHand&amp;&amp;huo_Bip001</t>
  </si>
  <si>
    <t>荞麦假面01</t>
  </si>
  <si>
    <t>14501</t>
  </si>
  <si>
    <t>BMCZ_weiguo_cloth=0#mihawkCZ_wu_foot01=0.2#Hero_XinShanZhi_Attack01_01=0.4#Hero_XinShanZhi_Hit01_01=0.6#Hero_XinShanZhi_Attack01_02=0.9#Hero_XinShanZhi_Hit01_02=1.1#Hero_XinShanZhi_Attack01_01=1.4#sanji_Kick=1.5#sanji_Kick_Heavy=1.5#punch_hit_medium01=1.6#se_Rock_Fall01=1.6#Hero_XinShanZhi_SkillAttack02_03=1.9</t>
  </si>
  <si>
    <t>荞麦假面02</t>
  </si>
  <si>
    <t>荞麦强击</t>
  </si>
  <si>
    <t>14502</t>
  </si>
  <si>
    <t>hancocknewWindsmall_2=0#garp_Cloth01=0.2#mihawkCZ_wu_foot01=0.3#Hero_XinShanZhi_SkillAttack02_03=0.6#sanji_Circle=0.7#Hero_XinShanZhi_SkillAttack08_07=1.2#Hero_XinShanZhi_SkillHit08_01=1.5#punch_hit_medium01=1.5#BMCZ_weiguo_cloth=1.8#mihawkCZ_wu_foot03=2.3#CV_osoba02=0.5</t>
  </si>
  <si>
    <t>荞麦假面03</t>
  </si>
  <si>
    <t>荞麦冲击</t>
  </si>
  <si>
    <t>14503</t>
  </si>
  <si>
    <t>garp_Cloth01=0#Hero_XinShanZhi_Attack01_02=0.2#sanji_Kick=0.3#sanji_Kick_Heavy=0.3#Hero_XinShanZhi_Hit01_03=0.4#se_Rock_Fall01=0.4#Hero_XinShanZhi_SkillAttack08_07=0.8#ChoppernewCZ_antler_jump=0.9#Hero_XinShanZhi_Hit01_01=1.1#Hero_XinShanZhi_Attack01_01=1.3#Hero_XinShanZhi_Hit01_02=1.5#Hero_XinShanZhi_Attack01_01=1.6#Hero_XinShanZhi_Hit01_01=1.8#Hero_XinShanZhi_Attack01_01=1.9#Hero_XinShanZhi_Hit01_02=2.1#Hero_XinShanZhi_Attack01_01=2.3#Hero_XinShanZhi_Hit01_01=2.5#mihawkCZ_wu_foot01=2.8#Hero_XinShanZhi_SkillAttack02_03=2.8#sanji_Kick=2.9#Hero_XinShanZhi_SkillAttack08_07=3.1#Hero_XinShanZhi_SkillHit08_01=3.4#punch_hit_medium01=3.4#BMCZ_weiguo_cloth=3.6#mihawkCZ_wu_foot03=3.8#Suger_S7_cloth=4.1</t>
  </si>
  <si>
    <t>荞麦假面04</t>
  </si>
  <si>
    <t>疾风荞麦踢</t>
  </si>
  <si>
    <t>14504</t>
  </si>
  <si>
    <t>garp_Cloth01=0.1#mihawkCZ_wu_foot01=0.2#Hero_XinShanZhi_SkillAttack05_05=0.3#sanji_Circle=0.4#ChoppernewCZ_antler_jump=1.2#sanji_Kick_Heavy=1.2#Hero_XinShanZhi_Attack01_01=1.2#Hero_XinShanZhi_Hit01_03=1.4#punch_hit_medium01=1.4#Hero_XinShanZhi_SkillAttack02_03=1.5#mihawkCZ_wu_foot01=2.0</t>
  </si>
  <si>
    <t>4670&amp;&amp;4671</t>
  </si>
  <si>
    <t>荞麦假面05</t>
  </si>
  <si>
    <t>荞麦护盾</t>
  </si>
  <si>
    <t>14505</t>
  </si>
  <si>
    <t>EdwardyoungCZ_wushuang_cloth1=0.5#Cavendish_s4_cloth1=0.5#se_Metal01=0.6#Hit_MetalImpact19=0.6#franky_StarShield=0.6#RobinnewCZ_legs_handbuff=0.6#hogbak_MagicDoor01=0.6#CavedishCZ_shit_cloth=1.6</t>
  </si>
  <si>
    <t>荞麦假面06</t>
  </si>
  <si>
    <t>流星落</t>
  </si>
  <si>
    <t>14506</t>
  </si>
  <si>
    <t>whooshlarge_slashly01=0#CavedishCZ_shit_cloth=0#borsalinoCZ_lightpillar_energy=0.3#GarpHero_onepunch_ult=0.3#borsalinoCZ_lightkick_energy=0.4#ChopperHeCZ_Attack04_Whoosh=0.7#Hero_XinShanZhi_SkillAttack08_07=0.8#GarpHero_onepunch_whoosh1=0.9#Mr3_EnergyPop=0.9#Margo_bigwhoosh=1.0#Hero_XinShanZhi_SkillAttack08_07=1.4#sanji_Kick_Heavy=1.5#GarpHero_chuji_hit=1.9#punch_hit_medium01=1.9#mihawkCZ_wu_foot01=2.4#Bady5_aoyi_jump=2.8#Hero_XinShanZhi_SkillAttack02_03=2.9#EdwardnewCZ_pokong_jump=2.9#EdwardnewCZ_pokong_cloth1=3.8#sanji_Kick=3.8#Hero_XinShanZhi_SkillAttack03_04=4.3#ivankov_Spin01=4.3#ivankov_Spin01=4.8#EnelCZ_newthunder_spin=4.3#EnelCZ_newthunder_spin=4.8#Mr1_SpinWind=4.3#Mr1_SpinWind=4.8#sanji_Circle=4.3#sanji_Circle=4.4#sanji_Circle=4.5#sanji_Circle=4.6#sanji_Circle=4.7#sanji_Circle=4.8#sanji_Circle=4.9#sanji_Circle=5.0#sanji_Circle=5.1#sanji_Circle=5.2#whooshmedium01=5.4#HancockNewCZ_aoyi_spinbuff=5.4#Hero_XinShanZhi_SkillAttack02_03=5.5#whooshlarge_slashly01=5.8#Hero_XinShanZhi_SkillAttack04_03=6.0#Hero_XinShanZhi_SkillAttack05_05=6.0#ChopperHeCZ_Attack03_Hit3=6.2#EdwardnewCZ_bodongzhan_ballhit=6.2#Hero_XinShanZhi_SkillHit02_01=6.2#punch_hit_medium01=6.2#enel_ElectricSpeedyHit=6.2#GarpCZ_justicepunch_hit=6.8#Peronasnew_largeghost_hit=6.8#se_Rocks01=7.0</t>
  </si>
  <si>
    <t>Particles/sanji009/sanji009_attack06_C</t>
  </si>
  <si>
    <t>荞麦假面07</t>
  </si>
  <si>
    <t>流星突击</t>
  </si>
  <si>
    <t>14507</t>
  </si>
  <si>
    <t>TeachNew_darkvanish_whoosh=0#BltrmoCZ_pai_cloth=0.1#enel_ElectricSpeedyHit=0.7#AceCZ_Firecross_burn=0.7#firecballstereo=1.0#Hero_XinShanZhi_SkillAttack05_02=1.0#EdwardnewCZ_punch_ball=1.0#FrankyCZ_fire=1.0#LuffyCZ_rocket_xuli=1.0#GarpHero_onepunch_whoosh1=1.9#sanji_Kick=2.0#sanji_Kick_Heavy=2.0#Hero_XinShanZhi_Attack01_01=2.0#punch_hit_medium01=2.2#Hero_XinShanZhi_SkillHit06_03=2.2#GarpHero_onepunch_whoosh1=2.8#Hero_XinShanZhi_Attack01_02=2.8#punch_hit_giant01=3.0#punch_hit_heavyNPC=3.0#EdwardnewCZ_pokong_cloth1=3.4#LucciCP0CZ_fire_cast=3.6#BMCZ_firesky_hit=3.7#sanji_Kick=4.4#sanji_Kick_Heavy=4.4#Hero_XinShanZhi_Attack01_01=4.4#GarpHero_hit2=4.6#Hero_XinShanZhi_SkillHit06_03=4.6#BltrmoCZ_pingzhang_cloth1=4.6#se_Punch_FaceHit=4.6#se_Punch_Hit01=4.6#se_Kick_Hit02=4.6#Hero_XinShanZhi_SkillAttack05_02=5.1#EdwardnewCZ_punch_ball=5.1#FrankyCZ_fire=5.1#BMCZ_firesky_swing1=5.6#BMCZ_leihuo_firecast1=5.7#sanji_Kick_Heavy=6.5#Hero_XinShanZhi_Hit01_01=6.6#punch_hit_medium01=6.6#sanji_Kick_Heavy=6.7#punch_hit_medium01=6.8#Hero_XinShanZhi_Hit01_02=6.8#sanji_Kick_Heavy=7.0#punch_hit_medium01=7.1#Hero_XinShanZhi_Hit01_03=7.2#Hero_XinShanZhi_SkillAttack05_02=7.5#EdwardnewCZ_punch_ball=7.5#LuffyCZ_rocket_xuli=7.7#punch_hit_giant01=8.1#punch_hit_heavyNPC=8.1#EnelCZ_newthunder_spin=9.1#Hero_XinShanZhi_SkillAttack03_04=9.1#Mr1_SpinWind=9.1#Mr1_SpinWind=9.6#ivankov_Spin01=9.1#ivankov_Spin01=9.5#sanji_Circle=9.1#sanji_Circle=9.2#sanji_Circle=9.3#sanji_Circle=9.4#sanji_Circle=9.5#sanji_Circle=9.6#sanji_Circle=9.7#sanji_Circle=9.8#sanji_Circle=9.9#sanji_Circle=10.0#whooshmedium01=10.0#HancockNewCZ_aoyi_spinbuff=10.1#whooshlarge_slashly01=10.6#Hero_XinShanZhi_SkillAttack04_03=10.8#Hero_XinShanZhi_SkillAttack05_05=10.8#ChopperHeCZ_Attack03_Hit3=11.0#EdwardnewCZ_bodongzhan_ballhit=11.0#Hero_XinShanZhi_SkillHit02_01=11.0#punch_hit_medium01=11.0#enel_ElectricSpeedyHit=11.0#Peronasnew_though_whoosh1=11.4#whooshmedium01=11.6#JozzCZ_rock_rockroll2=11.9#OdenCZ_dragon_rock=11.9#GarpCZ_justicepunch_hit=11.9#akainuCZ_evildog_magmaexplode=11.9#se_Rocks01=11.9#CV_Nsanji_attack01=9.1#CV_osoba01_rev=10.9</t>
  </si>
  <si>
    <t>Particles/sanji009/sanji009_attack07_C</t>
  </si>
  <si>
    <t>4676&amp;&amp;4677&amp;&amp;4678</t>
  </si>
  <si>
    <t>Bip001_L_Toe0&amp;&amp;Bip001_R_Foot&amp;&amp;Dummy002</t>
  </si>
  <si>
    <t>荞麦假面08</t>
  </si>
  <si>
    <t>流星荞麦踢击</t>
  </si>
  <si>
    <t>14508</t>
  </si>
  <si>
    <t>whooshlarge_general=0#whooshlarge_slashly01=0.2#BltrmoCZ_cloth_purple=0.2#BMCZ_weiguo_cloth=0.5#CavedishCZ_shit_cloth=1.1#BltrmoCZ_pai_cloth=1.1#nami_WindBuff=1.3#Bady5_aoyi_jump=1.5#hancocknewCloth_1=1.6#Hero_XinShanZhi_SkillAttack02_03=1.6#EdwardnewCZ_pokong_jump=1.6#firecballstereo=1.6#Hero_XinShanZhi_SkillAttack05_02=1.6#EdwardnewCZ_punch_ball=1.6#enel_ElectricSpeedyHit=1.6#FrankyCZ_fire=1.6#LuffyCZ_rocket_xuli=1.6#BltrmoCZ_pingzhang_cloth1=2.8#Hero_XinShanZhi_SkillAttack05_02=3.5#BMCZ_firesky_hit=3.5#Nekomamusi_reddance_wind=3.5#LucciCP0CZ_fire_cast=4.4#Ace_FireFlying01=4.5#Hero_XinShanZhi_SkillAttack05_02=4.5#Nekomamusi_reddance_wind=5.2#Hero_XinShanZhi_SkillAttack05_06=5.3#Ace_FireFlying01=5.3#Ace_Fire05=5.3#Hero_XinShanZhi_SkillAttack05_02=5.3#LuffyCZ_rocket_xuli=5.3#Hero_XinShanZhi_SkillAttack02_03=6.3#Hero_XinShanZhi_SkillAttack03_04=6.3#whooshmedium01=7.3#LucciCP0CZ_fire_cast=7.3#BMCZ_firesky_hit=7.4#garp_CounterHit=7.4#enel_ElectricSpeedyHit=7.4#edward_Windimpact03=7.4#Nekomamusi_reddance_wind=7.4#whooshlarge_nervous02=8.4#whooshlarge_general=9.1#whooshmedium01=9.4#se_Rocks01=9.8#JozzCZ_rock_rockroll2=9.8#GarpCZ_justicepunch_hit=9.8#KaidoCZ_lighting_explosion=9.8#BMCZ_poporen_rock=9.8#FujitoraCZ_control_rock3=9.8#AceCZ_largefire_hit=9.8#whooshlarge_general=11.3#CV_osoba03_rev=6.1#CV_osoba04_rev=7.4</t>
  </si>
  <si>
    <t>Particles/sanji009/sanji009_attack08_C</t>
  </si>
  <si>
    <t>荞麦假面06(全体)</t>
  </si>
  <si>
    <t>跃地斩</t>
  </si>
  <si>
    <t>10409</t>
  </si>
  <si>
    <t>LuffynewCZ_combo_jump=0.2#ReighleyyoungCZ_leiluo_jump=0.2#bltrmo_jumprock=0.3#ReighleyyoungCZ_xuanying_blue=0.8#ReighleyyoungCZ_poyue_cast=0.8#FujitoraCZ_control_rock3=1.1#enel_Electric06=1.2#Explo_Rock1=1.4#FujitoraCZ_tiger_rock=1.4#Inuarai_attack_spark=1.4</t>
  </si>
  <si>
    <t>瞬影斩</t>
  </si>
  <si>
    <t>10410</t>
  </si>
  <si>
    <t>ReighleyyoungCZ_zhuying_swordstar=0.01#MihawkNewCZ_shiliuye_swordswing=0.5#ReighleyyoungCZ_attack_swing1=0.6#ReighleyyoungCZ_aoyi_swordspell=0.6#ReighleyyoungCZ_zhuying_slash2=0.6#ZoroCZ_evil_swordout2=0.8#mihawknew_S3_sword1=1.0#ZoroCZ_luoshengmen_swordin=1.2#slash_large=0.9#slash_general01=1.0#slash_large=1.1#slash_general01=1.2#slash_large=1.3#slash_general01=1.4#slash_large=1.5#ReighleyyoungCZ_aoyi_swingblue=1.6#ReighleyyoungCZ_poyue_cast=1.6#mihawkCZ_wu_swordhold=1.6#kuzanCZ_icebird_cloth=3.2</t>
  </si>
  <si>
    <t>疾躯突进</t>
  </si>
  <si>
    <t>10411</t>
  </si>
  <si>
    <t>hancocknewCloth_2=0.1#mihawkCZ_wu_foot01=0.2#mihawkCZ_wu_foot03=0.7#mihawkCZ_wu_foot04=1.3#ReighleyyoungCZ_aoyi_swingblue=0.4#EnelCZ_dog_spark2=0.4#kumaCZ_sadbubble_cloth=0.4#EnelCZ_attack_spark=0.5#whooshlarge_slashly01=1.2#whooshmedium01=1.2#whooshlarge_general=1.9#whooshmedium03=2.2#mihawkCZ_wu_foot03=2.8#mihawkCZ_wu_foot01=3.2#mihawkCZ_wu_foot04=3.5#mihawkCZ_wu_foot01=3.8#Peronasnew_though_cloth=3.8#luffy_Punch_Giant02=3.8#kumaCZ_sadbubble_cloth=3.9#punch_hit_medium01=4.0#mihawknew_S8_swordend=4.2#slash_general01=4.4#ReighleyyoungCZ_attack_swing1=4.7#ReighleyyoungCZ_aoyi_swordspell=4.7#ReighleyyoungCZ_zhuying_slash2=4.7#MihawkNewCZ_shiliuye_swordswing=5.0#slash_general01=5.3#FujitoraCZ_storm_swordswing=5.6#FujitoraCZ_destroy_swordswing=5.6#mihawknew_S2_sword2=5.6#slash_large=5.8#Inuarai_sword_spark1=5.8#KikuCZ_shadow_swordhit=6.3#LucciCZ_stormkick_cast=6.4#slash_large=6.5#kick_general01=6.5#ZoronewCZ_world_superwhoosh=7.0#mihawknew_S8_swordreverb=7.6#sanji_Kick_Heavy=7.8#EnelCZ_attack_spark=8.0#Carotzuowu_spark1=8.0#slash_large=8.0#slash_general01=8.0#ReighleyyoungCZ_poyue_cast=8.1#mihawkCZ_wu_swordhold=8.1#rockfall_general01=8.3#enel_Electric06=8.8#EnelCZ_dog_spark2=8.9#Explo_Rock1=9.0#FujitoraCZ_tiger_rock=9.0#Inuarai_attack_spark=9.0#KozukiOden_Gunghost_spark=9.0#whooshlarge_general=9.2#ChopperHeCZ_Attack04_Whoosh=9.7</t>
  </si>
  <si>
    <t>Particles/rayleigh003_body/rayleigh003_body_attack11_C</t>
  </si>
  <si>
    <t>4693&amp;&amp;4694&amp;&amp;4695&amp;&amp;4696</t>
  </si>
  <si>
    <t>Bip001_L_Foot&amp;&amp;Bip001_R_Foot&amp;&amp;Bip001_Spine1&amp;&amp;Dummy002</t>
  </si>
  <si>
    <t>绿牛01</t>
  </si>
  <si>
    <t>14601</t>
  </si>
  <si>
    <t>hancock_Kick01=0#kick_general01=0.3#hancock_Kick02=0.6#kick_general02=0.7#UsoppnewCZ_slingshot_blue=1.3#punch_hit_medium01=1.5#ryokugyu_attack08_grow1=1.5#UsoppnewCZ_evil_disappear=1.9</t>
  </si>
  <si>
    <t>绿牛02</t>
  </si>
  <si>
    <t>藤蔓鞭笞</t>
  </si>
  <si>
    <t>14602</t>
  </si>
  <si>
    <t>BltrmoCZ_pingzhang_cloth1=0.1#BltrmoCZ_cloth_purple=0.5#UsoppnewCZ_evil_disappear=0.5#hancock_QuickKicks02=1.0#hancock_QuickKicks02=1.5#hancock_QuickKicks02=1.9#UsoppnewCZ_slingshot_blue=1.0#ReighleyyoungCZ_pokong_rockimpact=1.2#punch_hit_medium01=1.1#ryokugyu_attack08_grow1=1.1#punch_hit_medium01=1.3#ryokugyu_attack08_grow1=1.3#punch_hit_medium01=1.5#ryokugyu_attack08_grow1=1.5#punch_hit_medium01=1.7#ryokugyu_attack08_grow1=1.7#punch_hit_medium01=1.9#ryokugyu_attack08_grow1=1.9#punch_hit_medium01=2.1#ryokugyu_attack08_grow1=2.1#punch_hit_medium01=2.3#ryokugyu_attack08_grow1=2.3#UsoppnewCZ_wolf_appear=2.5#FujitoraCZ_tiger_rock=2.5#ryokugyu_attack08_Fist=2.5#punch_hit_medium01=2.5</t>
  </si>
  <si>
    <t>绿牛03</t>
  </si>
  <si>
    <t>枝蔓刺袭</t>
  </si>
  <si>
    <t>14603</t>
  </si>
  <si>
    <t>BltrmoCZ_pai_cloth=0.2#UsoppnewCZ_slingshot_blue0.3#ryokugyu_attack07_FistDrop=0.3#ChopperHeCZ_attack08_whoosh2=0.8#rockfall_general01=1.1#JozzCZ_crash_rock=1.1#punch_hit_medium01=1.4#slash_large=1.4#slash_large=1.5#slash_large=1.6#slash_large=1.7#punch_hit_medium01=1.7#UsoppnewCZ_evil_disappear=2.7#LuffyCZ_JETrocket_swing2=2.7#se_Rock_Fall01=2.7#BltrmoCZ_pingzhang_cloth1=3.2</t>
  </si>
  <si>
    <t>绿牛04</t>
  </si>
  <si>
    <t>劲藤挥击</t>
  </si>
  <si>
    <t>14604</t>
  </si>
  <si>
    <t>BltrmoCZ_pingzhang_cloth1=0#LuffyCZ_JETrocket_swing2=0.1#BltrmoCZ_cloth_purple=0.4#ChopperHeCZ_attack08_whoosh2=0.4#UsoppnewCZ_evil_disappear=0.5#Margo_rock02=0.6#punch_hit_medium01=0.6#FujitoraCZ_tiger_rock=1.1#UsoppnewCZ_slingshot_blue=1.1#punch_hit_medium01=1.1#LuffyCZ_JETrocket_swing2=1.8#UsoppnewCZ_evil_disappear=1.8</t>
  </si>
  <si>
    <t>绿牛05</t>
  </si>
  <si>
    <t>养分掠夺</t>
  </si>
  <si>
    <t>14605</t>
  </si>
  <si>
    <t>BltrmoCZ_pingzhang_cloth1=0#BltrmoCZ_cloth_purple=0.2#UsoppnewCZ_evil_disappear=0.2#slash_large=0.5#se_Punch_FaceHit=0.5#ryokugyu_attack07_fist=0.5blackbear_DarkOut01=0.5#Braytor_S3_waterfall=0.8#chopper_Heal=0.8#Braytor_S3_waterfall=1.8#chopper_Heal=1.8#LuffyCZ_JETrocket_swing2=2.6#UsoppnewCZ_evil_disappear=2.6</t>
  </si>
  <si>
    <t>绿牛07</t>
  </si>
  <si>
    <t>巨拳森林</t>
  </si>
  <si>
    <t>14607</t>
  </si>
  <si>
    <t>se_WindLoop1=0#windbuff2=0.5#ChopperHeCZ_attack08_whoosh1=1.2#whooshsmall_general=1.3#ryokugyu_attack07_trans=1.4#MsDoubleFinger_Grow=1.4#ryokugyu_attack07_fist=3.1#ryokugyu_attack07_FistDrop=4.3#se_Rock_Fall01=4.3#ChopperHeCZ_Attack04_Whoosh=4.5#kiku_moonslash_rock=5.1#ChopperHeCZ_attack08_whoosh1=5.1#whooshlarge_nervous=5.3#ryokugyu_attack07_AttackLayer=5.4#ChopperHeCZ_attack08_whoosh2=6.7#punch_hit_medium01=7.1#BMCZ_poporen_rock=7.1#Explo_Rock1=7.1#whooshlarge_slashly01=7.4#FujitoraCZ_tiger_rock=7.9#rockfall_general01=7.9#CV_ryokugyu01_reverb1=0.9#CV_ryokugyu01_reverb2=5.5</t>
  </si>
  <si>
    <t>Particles/aramaki001/aramaki001_attack07_C</t>
  </si>
  <si>
    <t>绿牛08</t>
  </si>
  <si>
    <t>禁憎森森</t>
  </si>
  <si>
    <t>14608</t>
  </si>
  <si>
    <t>se_WindLoop1=0#blackbear_DarkOut03=0.2#whooshlarge_general=1.3#se_WindLoop2=2.0#ryokugyu_attack08_grow1=2.1#ryokugyu_attack08_grow2=2.7#ryokugyu_attack08_grow1=3.8#ryokugyu_attack08_grow2=4.1#whooshlarge_slashly01=4.4#ryokugyu_attack07_trans=5.0#se_Rocks01=5.0#MsDoubleFinger_Grow=5.0#ryokugyu_attack08_Fist=6.7#kiku_moonslash_rock=7.0#se_DragonRoar1=7.1#whooshlarge_nervous02=7.2#ryokugyu_attack07_AttackLayer=7.3#ChopperHeCZ_attack08_whoosh1=9.6#whooshlarge_nervous=9.8#FujitoraCZ_destroy_rock=10.0#BMCZ_poporen_rock=10.0#FujitoraCZ_tiger_rock=10.0#whooshlarge_general=11.4#se_Rock_Fall01=11.6#CV_ryokugyu03=0.6#CV_ryokugyu06_reverb=4.0</t>
  </si>
  <si>
    <t>Particles/aramaki001/aramaki001_attack08_C</t>
  </si>
  <si>
    <t>绿牛09</t>
  </si>
  <si>
    <t>尖藤穿刺</t>
  </si>
  <si>
    <t>14609</t>
  </si>
  <si>
    <t>whooshlarge_slashly01=0.1#ChopperHeCZ_attack08_whoosh1=1.3#ChopperHeCZ_attack08_whoosh2=1.3#BMCZ_poporen_rock=1.6#Explo_Rock1=1.6#ryokugyu_attack07_trans=2.0#se_Rocks01=2.0#slash_large=3.7#punch_hit_medium01=3.7#slash_general01=4.2#punch_hit_medium01=4.2#slash_large=4.5#punch_hit_medium01=4.5#slash_general01=4.7#punch_hit_medium01=4.7#whooshlarge_slashly01=4.9#ryokugyu_attack07_AttackLayer=5.5#whooshlarge_nervous=5.5#se_Rocks01=5.5#UsoppnewCZ_wolf_slingshotA=5.5#ryokugyu_attack09_AttackSpin=5.6#whooshlarge_general=6.8#ChopperHeCZ_attack08_whoosh1=8.0#ChopperHeCZ_attack08_whoosh2=8.0#punch_hit_medium01=8.3#ZororHeCZ_Slay=8.3#slash_general01=8.3#slash_large=8.3#ryokugyu_attack07_fist#CV_ryokugyu02=0.6</t>
  </si>
  <si>
    <t>Particles/aramaki001/aramaki001_attack09_C</t>
  </si>
  <si>
    <t>大口真神大和01</t>
  </si>
  <si>
    <t>14701</t>
  </si>
  <si>
    <t>Hero_DaHe_Attack01_03=0.1#Hero_DaHe_SkillAttack06_05=0.5#se_Punch_Hit01=0.6#se_Punch_FaceHit=0.6#BlookenewCZ_ice_hit=0.6#Hero_DaHe_Attack01_06=1.0#se_Punch_Hit02=1.1#se_Punch_FaceHit=1.1#BlookenewCZ_ice_hit=1.1#Hero_DaHe_Attack01_05=1.8#Hero_DaHe_SkillAttack04_05=1.9#Hero_DaHe_Attack01_01=1.9#Hero_DaHe_Attack01_07=2.0#se_Punch_FaceHit=2.0#BlookenewCZ_swallow_ice=2.0#Hero_DaHe_SkillAttack06_01=3.0#Hero_DaHe_SkillAttack06_06=3.4</t>
  </si>
  <si>
    <t>大口真神大和02</t>
  </si>
  <si>
    <t>寒冰飞刃</t>
  </si>
  <si>
    <t>14702</t>
  </si>
  <si>
    <t>Hero_DaHe_SkillAttack01_01=0.1#kuzan_Icecrack_End=0.3#kuzanCZ_icebird_ice=0.8#hancocknewCloth_1=1.0#hancocknewCloth_2=1.3#Hero_DaHe_SkillAttack04_01=2.4#KuzanNewCZ_icesword_swing=2.5#BlookenewCZ_ice_hit=2.6#BlookenewCZ_ice_hit=2.7#BlookenewCZ_song_icehit=2.7#BlookenewCZ_ice_hit=2.8</t>
  </si>
  <si>
    <t>大口真神大和03</t>
  </si>
  <si>
    <t>镜山</t>
  </si>
  <si>
    <t>14703</t>
  </si>
  <si>
    <t>Hero_DaHe_SkillAttack04_01=0.2#hancocknewCloth_1=0.5#SugerCZ_call_buff=0.8#kuzanCZ_freeze=0.8#kuzanCZ_freeze=0.8#kuzan_Icecrack_End=0.8#KuzanNewCZ_iceagenew_sword=0.8#kuzan_Icehit02=1.7#kuzan_Icecrack01=1.7#</t>
  </si>
  <si>
    <t>大口真神大和04</t>
  </si>
  <si>
    <t>无侍冰牙</t>
  </si>
  <si>
    <t>14704</t>
  </si>
  <si>
    <t>hancocknewWindsmall_2=0#hancocknewMagicwind_2=0.1#KuzanNewCZ_iceagenew_cast=0.8#se_Punch_FaceHit=1.1#se_Punch_FaceHit=1.2#se_Punch_FaceHit=1.3#se_Punch_FaceHit=1.4#se_Punch_FaceHit=1.5#se_Punch_FaceHit=1.6#se_Punch_FaceHit=1.7#se_Punch_FaceHit=1.8#se_Punch_FaceHit=1.9#CV_Dahe_yamato05=0.1</t>
  </si>
  <si>
    <t>大口真神大和05</t>
  </si>
  <si>
    <t>14705</t>
  </si>
  <si>
    <t>Hero_DaHe_SkillAttack04_01=0.2#LucciCP0CZ_fingergunjump_jump=0.2#Hero_DaHe_SkillAttack06_03=0.2#nami_Electric01=0.2#Hero_DaHe_SkillAttack06_05=0.9#Hero_DaHe_SkillAttack04_02=0.9#Hero_DaHe_SkillAttack02_03=0.9#Hero_DaHe_SkillAttack05_01=0.9#nami_Electric03=1.2#rockfall_general01=1.2#Hero_DaHe_SkillAttack01_01=1.6#BltrmoCZ_foot2=1.8#CV_Dahe_yamato03=0.8</t>
  </si>
  <si>
    <t>Bip001_Prop1</t>
  </si>
  <si>
    <t>大口真神大和06</t>
  </si>
  <si>
    <t>迅猛连扑</t>
  </si>
  <si>
    <t>14706</t>
  </si>
  <si>
    <t>se_WindLoop1=0#nami_WindBuff=0#KuzanNewCZ_wind=0#se_FootstepDirt01=0.3#se_FootstepDirt02=0.6#se_FootstepDirt01=0.9#se_FootstepDirt02=1.2#se_FootstepDirt01=1.5#se_FootstepDirt02=1.8#se_FootstepDirt01=2.1#se_FootstepDirt02=2.4#se_FootstepDirt01=2.7#se_FootstepDirt02=3.0#Peronasnew_aoyi_whoosh=2.3#KaidoCZ_lighting_wind=2.5#EnelCZ_bianshenattack=3.0#EnelCZ_newthunder_longspark3=3.2#BltrmoCZ_foot1=3.3#BltrmoCZ_foot2=3.6#BltrmoCZ_foot3=3.9#BltrmoCZ_foot2=4.2#BltrmoCZ_foot1=4.5#BltrmoCZ_foot2=4,8#BltrmoCZ_foot3=5.1#BltrmoCZ_foot2=5.4#BltrmoCZ_foot1=5.7#BltrmoCZ_foot2=6.0#BltrmoCZ_foot3=6.2#BltrmoCZ_foot1=6.5#brook_Footsteps=3.4#brook_Footsteps02=3.7#brook_Footsteps=4.0#brook_Footsteps02=4.3#brook_Footsteps=4.6#brook_Footsteps02=4.9#brook_Footsteps=5.2#brook_Footsteps02=5.5#brook_Footsteps=5.8#brook_Footsteps02=6.1#brook_Footsteps=6.3#brook_Footsteps02=6.5#se_WindLoop2=3.5#Hero_DaHe_SkillAttack07_02=4.0#ZoroCZ_swing_delay=6.3#LuffynewCZ_combo_rockhit=6.5#mihawknew_S2_rock=6.5#Hero_DaHe_SkillAttack03_06=6.5#EnelCZ_attack_spark=6.5#se_WindLoop1=7.0#punch_hit_medium01=7.7#se_Punch_Giant_Hit=7.7#se_Punch_Giant_Hit=8.0#se_Punch_Giant_Hit=8.0#JinbeCZ_jiaopunch_hit=8.2#punch_hit_giant01=8.2#se_WindLoop2=8.4#BltrmoCZ_foot1=8.6#se_Rock_Fall01=8.6#BltrmoCZ_foot2=8.7#brook_Footsteps=8.7#BltrmoCZ_foot3=8.9#brook_Footsteps02=8.9#BltrmoCZ_foot2=9.2#brook_Footsteps=9.3#Suger_S7_foot_R=9.4#brook_Footsteps02=9.5#BltrmoCZ_foot1=9.6#brook_Footsteps=9.7#BltrmoCZ_foot2=9.9#brook_Footsteps02=10.0#BltrmoCZ_foot1=10.4#brook_Footsteps=10.4</t>
  </si>
  <si>
    <t>Particles/yamato003/yamato003_attack06_C</t>
  </si>
  <si>
    <t>Particles/yamato003/yamato003_attack06_light</t>
  </si>
  <si>
    <t>大口真神大和07</t>
  </si>
  <si>
    <t>冰诸斩</t>
  </si>
  <si>
    <t>14707</t>
  </si>
  <si>
    <t xml:space="preserve">whooshlarge_general=0#ChopperHeCZ_attack08_whoosh2=0.5#Hero_DaHe_SkillAttack04_05=0.7#Hero_DaHe_SkillAttack06_06=0.7#kuzanCZ_freeze=0.8#kuzan_Icecrack_End=0.8#KuzanNewCZ_iceagenew_sword=0.8#windbuff=1.0#ChopperHeCZ_Attack04_Whoosh=1.7#KikuCZ_moon_superjump=2.4#vivi_Spin01=2.7#vivi_Spin01=2.7#BlookenewCZ_snow_icespike2=3.0#BlookenewCZ_snow_icespike1=3.0#KuzanNewCZ_iceagenew_sword=3.2#whooshmedium01=3.3#Hero_DaHe_SkillAttack03_13=3.5#vivi_Spin02=3.2#vivi_Spin02=3.2#whooshmedium01=3.3#vivi_Spin01=3.8#vivi_Spin02=3.8#vivi_Spin01=4.3#vivi_Spin02=4.3#vivi_Spin01=4.9#vivi_Spin02=4.9#vivi_Spin01=5.3#MargoNewCZ_spin_swing1=5.9#Hero_DaHe_SkillAttack06_01=5.9#Peronasnew_though_whoosh3=6.3#Peronasnew_though_whoosh2=6.3#KuzanNewCZ_iceball_buff=6.6#KuzanNewCZ_iceagenew_explosion=6.6#CV_Dahe_yamato08_reverb=3.3
</t>
  </si>
  <si>
    <t>Particles/yamato003/yamato003_attack07_C</t>
  </si>
  <si>
    <t>Particles/yamato003/yamato003_attack07_light</t>
  </si>
  <si>
    <t>大口真神大和08</t>
  </si>
  <si>
    <t>14708</t>
  </si>
  <si>
    <t>ChopperHeCZ_Attack04_Whoosh=0#Hero_DaHe_SkillAttack05_01=0.5#Hero_DaHe_SkillAttack03_02=0.5#Hero_DaHe_SkillAttack07_02=0.5#whooshsmall_general=1.5#whooshlarge_general=1.7#ReighleyyoungCZ_pokong_rockstep=1.7#KikuCZ_moon_superjump=1.7#ship_Thunder01=2.5#Hero_DaHe_SkillAttack05_01=2.5#Hero_DaHe_SkillAttack07_07=2.8#EnelCZ_newthunder_longspark3=2.8#EnelCZ_attack_spark=2.8#Hero_DaHe_SkillAttack06_13=3.4#whooshlarge_nervous=3.8#Hero_DaHe_SkillAttack02_02=4.1#Hero_DaHe_SkillAttack02_02=4.6#whooshlarge_slashly01=4.6#Hero_DaHe_SkillAttack04_05=4.9#JinbeCZ_jiaopunch_hit=5.0#Hero_DaHe_SkillAttack02_04=5.0#Hero_KaiDuo_Attack01_02=5.1#EnelCZ_superthunder_hit02=6.1#Hero_DaHe_SkillAttack03_12=6.1#BMCZ_poporen_rock=6.2#CV_DaHe_02=3.0</t>
  </si>
  <si>
    <t>Particles/yamato003/yamato003_attack08_C</t>
  </si>
  <si>
    <t>4731&amp;&amp;4732</t>
  </si>
  <si>
    <t>Bip001 Spine&amp;&amp;bone_weapon001</t>
  </si>
  <si>
    <t>Particles/yamato003/yamato003_attack08_light</t>
  </si>
  <si>
    <t>大口真神大和09</t>
  </si>
  <si>
    <t>神足白蛇躯</t>
  </si>
  <si>
    <t>14709</t>
  </si>
  <si>
    <t>EnelCZ_newthunder_longspark3=0#ChopperHeCZ_Attack04_Whoosh=0#ship_Thunder01=1.3#EnelCZ_attack_spark=1.7#Hero_DaHe_SkillAttack07_07=1.7#rockfall_general01=1.8#Hero_DaHe_SkillAttack03_14=2.5#Hero_DaHe_SkillAttack07_02=3.0#se_Rocks01=3.0#Carotzuowu_spark2=4.0#Hero_DaHe_SkillAttack07_05=4.8#whooshsmall_general=5.1#BMCZ_leiting_spark=5.6#EnelCZ_superthunder_hit01=5.6#whooshmedium01=5.9#whooshlarge_nervous02=6.3#se_DragonRoar2=7.4#se_DragonRoar2=7.4#KaidoCZ_hot_roar=7.4#ZoronewCZ_world_superwhoosh=8.2#RobinnewCZ_legs_rock2=9.9#rockfall_general01=10.0#ZororHeCZ_Disapear=11.0#CavedishCZ_rommel_disappear=11.0#EnelCZ_attack_spark=11.8#Hero_DaHe_SkillAttack03_14=12.0#BMCZ_leihuo_thunder1=12.0#Hero_DaHe_SkillAttack03_14=12.3#whooshlarge_slashly01=12.3#Hero_DaHe_SkillAttack07_07=12.8#Hero_DaHe_SkillAttack07_02=13.0#Hero_DaHe_SkillAttack07_06=13.7#EnelCZ_newthunder_explosion=13.8#Hero_DaHe_SkillAttack04_06=13.9#EnelCZ_superthunder_hit01=14.4#EnelCZ_superthunder_hit02=14.4#CV_Dahe_yamato06_reverb=4.2#CV_Dahe_yamato07_reverb=6.4</t>
  </si>
  <si>
    <t>Particles/yamato003/yamato003_attack09_C</t>
  </si>
  <si>
    <t>鸣镝改</t>
  </si>
  <si>
    <t>风刃破</t>
  </si>
  <si>
    <t>12108</t>
  </si>
  <si>
    <t>Hero_JieKe_Attack02=0.1#Hero_JieKe_SkillAttack02_02=0.6#Roddy_wind=0.8#slash_general=0.8#slash_general=0.9#slash_general=1.0#Hero_JieKe_SkillAttack03_03=1.3#CV_JieKe01=0.7</t>
  </si>
  <si>
    <t>风暴连斩</t>
  </si>
  <si>
    <t>12109</t>
  </si>
  <si>
    <t>Hero_JieKe_Attack02=0#Hero_JieKe_SkillAttack01_01=0.6#Hero_JieKe_SkillAttack01_01=1.2#OdenCZ_swordin2=0.6#OdenCZ_swordin2=0.8#OdenCZ_swordin2=1.0#OdenCZ_swordin2=1.2#OdenCZ_swordin2=1.4#OdenCZ_swordin2=1.5#OdenCZ_swordin2=1.6#OdenCZ_swordin2=1.7#OdenCZ_swordin2=1.8#OdenCZ_swordin2=1.9#OdenCZ_swordin2=2.0#OdenCZ_swordin2=2.1#Hero_JieKe_SkillAttack05_04=0.6#Hero_JieKe_SkillAttack05_04=0.8#Hero_JieKe_SkillAttack05_04=1.0#Hero_JieKe_SkillAttack05_04=1.2#Hero_JieKe_SkillAttack05_04=1.4#Hero_JieKe_SkillAttack05_04=1.5#Hero_JieKe_SkillAttack05_04=1.6#Hero_JieKe_SkillAttack05_04=1.7#Hero_JieKe_SkillAttack05_04=1.8#Hero_JieKe_SkillAttack05_04=1.9#Hero_JieKe_SkillAttack05_04=2.0#Hero_JieKe_SkillAttack05_04=2.1#slash_general=0.7#slash_general=0.9#slash_general=1.1#slash_general=1.3#slash_general=1.5#slash_general=1.6#slash_general=1.8#slash_general=1.9#slash_general=2.0#slash_general=2.1#slash_general=2.2#Hero_JieKe_SkillAttack03_03=2.9#CV_JieKe04=0.6</t>
  </si>
  <si>
    <t>猛犸之力</t>
  </si>
  <si>
    <t>12110</t>
  </si>
  <si>
    <t>whooshlarge_general=0#Hero_JieKe_SkillAttack02_02=0.9#Hero_JieKe_SkillAttack04_02=1.0#ultimate_Sign=1.1#se_Rocks01=1.1#Suger_S6_rock_A=1.1#Peronasnew_though_whoosh1=2.2#Hero_JieKe_SkillAttack04_07=3.0#EdwardyoungCZ_aoyi_rock2=4.0#Hero_JieKe_SkillAttack01_03=4.0#Hero_JieKe_SkillAttack05_04=4.0#Hero_JieKe_SkillAttack01_03=4.4#Hero_JieKe_SkillAttack05_04=4.4#Hero_JieKe_SkillAttack01_03=4.7#Hero_JieKe_SkillAttack05_04=4.7#Hero_JieKe_SkillAttack01_03=5.1#Hero_JieKe_SkillAttack05_04=5.1#Hero_JieKe_SkillAttack04_10=5.7#Hero_JieKe_SkillAttack05_12=5.7#Hero_JieKe_SkillAttack04_09=6.0#Hero_JieKe_SkillAttack05_06=6.1#Hero_JieKe_SkillAttack06_13=6.1#Hero_JieKe_SkillAttack06_09=6.1#se_punch_03=6.4#se_Punch_Hit01=6.4#Hero_JieKe_SkillAttack06_14=6.5#se_punch_03=6.6#se_Punch_Hit01=6.6#se_punch_03=6.8#se_Punch_Hit01=6.8#UsoppnewCZ_bugstar_whoosh=6.9#ChopperHeCZ_attack08_whoosh2=8.1#ChopperHeCZ_attack08_whoosh1=8.1#Hero_JieKe_SkillAttack04_11=8.6#Hero_JieKe_SkillAttack04_15=8.6#rockfall_general01=8.6#FujitoraCZ_control_rock3=8.6</t>
  </si>
  <si>
    <t>Particles/jack003/jack003_attack10_C</t>
  </si>
  <si>
    <t>基德&amp;罗 基德01</t>
  </si>
  <si>
    <t>基德普攻</t>
  </si>
  <si>
    <t>14801</t>
  </si>
  <si>
    <t>Hero_JiDe_SkillAttack04_05=0#Veggegunner_shotgun_handing=0.2#Gun_NailRifle_Shot04=0.5#nami_Shoot=0.5#Gun_NailRifle_Shot04=0.7#nami_Shoot=0.7#Gun_NailRifle_Shot04=0.9#nami_Shoot=0.9#Gun_NailRifle_Shot04=1.0#nami_Shoot=1.0#Gun_NailRifle_Shot04=1.2#nami_Shoot=1.2#Gun_NailRifle_Shot04=1.3#nami_Shoot=1.3#Gun_NailRifle_Shot04=1.5#nami_Shoot=1.5#Gun_NailRifle_Shot04=1.9#nami_Shoot=1.9#kuzan_Iceshoot01=1.9#se_Shoot_Hit=0.6#se_Shoot_Hit=0.7#se_Shoot_Hit=0.9#se_Shoot_Hit=1.1#se_Shoot_Hit=1.3#se_Shoot_Hit=1.5#se_Shoot_Hit=2.0#se_CannonShoot01=2.0#Hero_JiDe_SkillAttack06_03=2.6</t>
  </si>
  <si>
    <t>基德&amp;罗 基德02</t>
  </si>
  <si>
    <t>这是我的猎物</t>
  </si>
  <si>
    <t>14802</t>
  </si>
  <si>
    <t>kid_Swing02=0.2#kid_Swing01=0.6#kid_Iron01=0.7#punch_hit_heavyNPC=0.7#kid_AttractionLite01=1.2#Hero_JiDe_SkillAttack05_01=1.3#kid_Swing02=2.3#kid_Crash01=2.5#punch_hit_medium01=2.5#bodyrock_hit02=2.5</t>
  </si>
  <si>
    <t>基德&amp;罗 基德03</t>
  </si>
  <si>
    <t>14803</t>
  </si>
  <si>
    <t>LuffynewCZ_combo_rockhit=0.1#crocodile_Sand01=0.1#Hero_JiDe_SkillAttack03_01=0.3#Hero_JiDe_SkillAttack01_01=0.3#kid_Swing02=1.0#Hero_JiDe_Attack01_05=1.2#Hero_JiDe_SkillAttack01_03=1.2#Hero_JiDe_SkillAttack01_02=1.2#kid_Swing01=2.0#kid_Swing02=2.5#kid_Crash01=2.7#punch_hit_medium01=2.7#bodyrock_hit02=2.7</t>
  </si>
  <si>
    <t>基德&amp;罗 基德04</t>
  </si>
  <si>
    <t>电磁炮</t>
  </si>
  <si>
    <t>14804</t>
  </si>
  <si>
    <t>whooshsmall_general=0.2#whooshmedium01=0.9#Hero_JiDe_SkillAttack01_02=0.9#kid_Iron01=0.9#whooshmedium02=1.2#ZoronewCZ_world_superwhoosh=2.8#Hero_JiDe_SkillAttack02_07=3.3#Peronasnew_though_whoosh1=5.2#Peronasnew_though_whoosh2=6.3#Hero_JiDe_SkillAttack02_08=6.3#Hero_JiDe_SkillAttack03_01=6.3#Hero_JiDe_SkillAttack03_02=6.3#Hero_JiDe_SkillAttack04_01=7.5#whooshlarge_nervous02=7.7#Hero_JiDe_SkillAttack04_16=8.0#enel_Electric06=10.2#nami_Electric01=10.3#Hero_JiDe_SkillAttack04_21=10.3#Hero_JiDe_SkillAttack05_01=10.3#whooshlarge_general=10.6#Hero_JiDe_SkillAttack05_20=11.6#UsoppnewCZ_bugstar_whoosh=12.0#kid_Attraction03=12.7#kid_AttractionLite01=12.7#whoosh_laser=12.7#Hero_JiDe_SkillAttack04_09=12.8#enel_ElectricThunder02=14.5#kid_IronShoot=14.5#borsalino_LightShoot03=14.5#EnelCZ_superthunder_hit02=14.5#Margo_explode04=14.5#kumaCZ_lazer_hit=14.6#NaminewCZ_charge_hit=16.0#CV_JiDe_04=1.4#CV_JiDe05_Rev=11.0</t>
  </si>
  <si>
    <t>Particles/trafalgarlaw009_1/trafalgarlaw009_attack04_C</t>
  </si>
  <si>
    <t>Particles/trafalgarlaw009_1/trafalgarlaw009_attack04_light</t>
  </si>
  <si>
    <t>基德&amp;罗 基德05</t>
  </si>
  <si>
    <t>14805</t>
  </si>
  <si>
    <t>kid_Swing02=0.3#kid_Swing01=0.7#kid_Iron01=0.8#punch_hit_heavyNPC=0.8#EdwardyoungCZ_pokong_cloth=0.9#kid_AttractionLite01=1.3#ZoroCZ_attack_swing3=1.3#Hero_JiDe_SkillAttack05_01=1.4#slash_large=1.4#EdwardyoungCZ_pokong_cloth=1.8#kid_Swing02=2.4#kid_Crash01=2.6#punch_hit_medium01=2.6#bodyrock_hit02=2.6</t>
  </si>
  <si>
    <t>基德&amp;罗 基德06</t>
  </si>
  <si>
    <t>14806</t>
  </si>
  <si>
    <t>LuffynewCZ_combo_rockhit=0.1#crocodile_Sand01=0.1#Hero_JiDe_SkillAttack03_01=0.3#Hero_JiDe_SkillAttack01_01=0.3#kid_Swing02=1.0#Hero_JiDe_Attack01_05=1.2#Hero_JiDe_SkillAttack01_03=1.2#Hero_JiDe_SkillAttack01_02=1.2#kid_Swing01=2.0#kid_Swing02=2.5#kid_Crash01=2.7#punch_hit_medium01=2.7#bodyrock_hit02=2.7#EdwardyoungCZ_pokong_cloth=1.3#mihawknew_S4_sword=1.8#mihawknew_S3_sword1=1.8#slash_large=2.0#KaidoCZ_luocha_rock=2.0#EdwardyoungCZ_pokong_cloth=2.3</t>
  </si>
  <si>
    <t>基德&amp;罗 基德11变身技能</t>
  </si>
  <si>
    <t>临时同盟</t>
  </si>
  <si>
    <t>14811</t>
  </si>
  <si>
    <t>ZoronewCZ_world_superwhoosh=0.3#AceCZ_angrypunch_footblue=0.4#AceCZ_angrypunch_footorange=0.7#AceCZ_angrypunch_footblue=1.3#AceCZ_angrypunch_footorange=1.7#BltrmoCZ_foot2=2.0#AceCZ_angrypunch_footblue=2.1#BltrmoCZ_foot3=2.4#AceCZ_angrypunch_footorange=2.5#BltrmoCZ_foot2=2.7#AceCZ_angrypunch_footblue=2.9#BltrmoCZ_foot3=3.2#BltrmoCZ_foot2=3.6#whooshsmall_general=2.9#coby_buff02=2.9#NaminewCZ_charge_bubble=3.2#kiku_moonslash_rock=3.6#se_Rocks01=3.9#ChopperHeCZ_Attack04_Whoosh=4.8#ChopperHeCZ_attack08_whoosh2=4.8#kid_Swing02=4.9#ChopperHeCZ_attack08_whoosh1=5.2#kid_Swing01=5.4#kid_Iron01=5.5#punch_hit_heavyNPC=5.5#BltrmoCZ_cloth_purple=5.5#kid_Crash01=5.5#punch_hit_medium01=5.5#whooshmedium01=5.9#EdwardyoungCZ_pokong_cloth=5.9#Hero_Luo_Attack01_03=6.0#Hero_XinLuo_Attack05=6.1#slash_large=6.2#whooshlarge_slashly03=6.6#Hero_Luo_Attack01_02=6.7#Hero_XinLuo_Attack03=6.7#slash_general01=6.8#kid_AttractionLite01=7.2#KaidoCZ_luocha_rock=7.9#ReighleyyoungCZ_pokong_rockimpact=7.9#Suger_S6_rock_A=8.0#FujitoraCZ_tiger_rock=8.0#Suger_S6_rock_A=8.4#FujitoraCZ_tiger_rock=8.4#Suger_S6_rock_A=8.9#FujitoraCZ_tiger_rock=8.9#Suger_S6_rock_A=9.3#FujitoraCZ_tiger_rock=9.3#mihawknew_S6_whoosh=9.8#Suger_S6_rock_A=9.8#FujitoraCZ_tiger_rock=9.8#kumaCZ_healing_whoosh=10.0#040_landhit=10.6#Peronasnew_though_whoosh1=11.2#mihawknew_S8_smallwhoosh1=12.1#whooshlarge_nervous=12.7#Peronasnew_though_whoosh2=13.5#FujitoraCZ_destroy_rock=13.6#GarpHero_onepunch_explosion=13.6#Inuarai_moon_rockexplsion=13.6#Inuarai_moon_rockexplsion=13.9#rockfall_general01=13.9#Inuarai_moon_rockexplsion=14.2#rockfall_general01=14.2#Inuarai_moon_rockexplsion=14.5#rockfall_general01=14.5#Inuarai_moon_rockexplsion=14.8#rockfall_general01=14.8#rockfall_general01=14.9#OdenCZ_dragon_rock=14.9</t>
  </si>
  <si>
    <t>Particles/trafalgarlaw009_1/trafalgarlaw009_attack11_C</t>
  </si>
  <si>
    <t>基德&amp;罗 罗07</t>
  </si>
  <si>
    <t>罗普攻</t>
  </si>
  <si>
    <t>3009507</t>
  </si>
  <si>
    <t>BltrmoCZ_cloth_purple=0.3#Hero_XinLuo_Attack03=0.8#slash_general01=0.9#Hero_Luo_Attack01_02=1.1#slash_general01=1.2#BltrmoCZ_pai_cloth=1.5#Hero_Luo_Attack01_03=1.9#Hero_XinLuo_Attack05=2.0#slash_large=2.1#Mr2_Swing01=3.0#Hero_XinLuo_Attack08=3.5#garp_Cloth01=4.1#ZoroCZ_evil_swordout1=4.6</t>
  </si>
  <si>
    <t>基德&amp;罗 罗09</t>
  </si>
  <si>
    <t>伽马手术刀</t>
  </si>
  <si>
    <t>3009509</t>
  </si>
  <si>
    <t>Inuarai_dianguang_sparkend=0.8#BMCZ_leiting_spark=0.8#Inuarai_moon_spark1=0.8#Hero_Luo_SkillAttack05_14=1.1#NaminewCZ_charge_hit=2.0#CarotCZ_huixing_superhit2=2.0#ChopperHeCZ_attack08_whoosh1=3.0#ChopperHeCZ_attack08_whoosh2=3.0#Hero_JiDe_SkillAttack05_20=3.2#FrankyCZ_wind_pao=3.3#Hero_JiDe_SkillAttack02_06=3.3#kid_Crash01=3.4#kid_Iron01=3.4#Hero_JiDe_SkillAttack05_02=3.4</t>
  </si>
  <si>
    <t>基德&amp;罗 罗10</t>
  </si>
  <si>
    <t>穿刺波动</t>
  </si>
  <si>
    <t>3009510</t>
  </si>
  <si>
    <t>whooshsmall_general=0.1#whooshmedium01=0.9#Margo_firewhoosh=0.9#Hero_Luo_SkillAttack03_02=1.1#NaminewCZ_charge_bubble=1.3#ZororHeCZ_BassDrop=1.5#FujitoraCZ_storm_wind=1.8#EdwardyoungCZ_aoyi_rock2=1.9#CrocodileCZ_desertslash_swing=1.9#SmoothieCZ_watercut_swing=2.5#Hero_Luo_SkillAttack03_01=2.8#coby_buff02=3.0#Hero_Luo_SkillAttack03_03=3.3#kuma_Bubble01=3.4#whooshlarge_slashly01=4.3#kumaCZ_healing_whoosh=4.5#whoosh_lazer=5.3#whooshlarge_slashly02=5.6#mihawknew_S8_swordreverb=6.0#ZoronewCZ_world_superwhoosh=6.3#mihawkCZ_shark_cast=6.3#EdwardyoungCZ_wushuang_slash=8.1#ZoronewCZ_lion_whoosh=8.4#mihawknew_S7_bigwhoosh=8.6#FujitoraCZ_destroy_rock=9.1#GarpHero_onepunch_explosion=9.1#Inuarai_moon_rockexplsion=9.1</t>
  </si>
  <si>
    <t>Particles/trafalgarlaw009_1/trafalgarlaw009_attack10_C</t>
  </si>
  <si>
    <t>基德&amp;罗 罗11变身技能</t>
  </si>
  <si>
    <t>3009511</t>
  </si>
  <si>
    <t>基德&amp;罗 罗12</t>
  </si>
  <si>
    <t>冲击波动</t>
  </si>
  <si>
    <t>3009512</t>
  </si>
  <si>
    <t>BltrmoCZ_cloth_purple=0#Hero_JiDe_SkillAttack05_20=0.1#coby_buff02=0.1#mihawknew_S2_sword1=0.4#kuma_Bubble01=0.5#mihawknew_S3_sword1=0.9#Inuarai_sword_swing=1.0#enel_ElectricHit01=1.2#enel_ElectricThunder04=1.2#ChopperHeCZ_attack08_whoosh1=1.7#ChopperHeCZ_attack08_whoosh2=1.7#FrankyCZ_wind_pao=2.0#EnelCZ_dog_spark2=2.0#Hero_JiDe_SkillAttack02_06=2.0#Mr2_Swing01=2.0#Hero_JiDe_SkillAttack05_02=2.1#punch_hit_giant01=2.1#Hero_XinLuo_Attack08=2.7#Hero_JiDe_SkillAttack05_05=2.9#garp_Cloth01=3.2</t>
  </si>
  <si>
    <t>机关炮</t>
  </si>
  <si>
    <t>3009801</t>
  </si>
  <si>
    <t>whooshmedium02=0.3#Hero_KuiYin_Attack02=1.5#Hero_KuiYin_SkillAttack03_01=1.5#Hero_KuiYin_SkillAttack01_07=2.3#Hero_KuiYin_SkillAttack01_07=3.0#Hero_KuiYin_SkillAttack01_07=3.7#Hero_KuiYin_SkillAttack01_07=4.4#Hero_KuiYin_SkillAttack03_03=2.3#Hero_KuiYin_SkillAttack03_03=3.0#Hero_KuiYin_SkillAttack03_03=3.7#Hero_KuiYin_SkillAttack03_03=4.4#AceCZ_largefire_hit=2.5#BMCZ_tianhuo_firehit=2.5#BMCZ_tianhuo_firehit=2.9#BMCZ_tianhuo_firehit=3.4#BMCZ_tianhuo_firehit=3.7#BMCZ_tianhuo_firehit=4.2#BMCZ_tianhuo_firehit=4.6#BMCZ_tianhuo_firehit=5.1#AceCZ_Unkonwfire_hit=2.7#AceCZ_Unkonwfire_hit=3.2#AceCZ_Unkonwfire_hit=3.6#AceCZ_Unkonwfire_hit=3.9#AceCZ_Unkonwfire_hit=4.4#AceCZ_Unkonwfire_hit=4.8#AceCZ_Unkonwfire_hit=5.2#AceCZ_Unkonwfire_hit=5.4#AceCZ_Firecross_explode=5.4</t>
  </si>
  <si>
    <t>Particles/queen004/queen004_attack09_C</t>
  </si>
  <si>
    <t>tou_012</t>
  </si>
  <si>
    <t>火花QUEEN</t>
  </si>
  <si>
    <t>3009802</t>
  </si>
  <si>
    <t>whooshmedium01=0#EnelCZ_superthunder_whoosh=0#whooshlarge_nervous=0.6#se_DragonRoar1=0.6#se_DragonRoar2=0.6#se_DragonRoar2=0.6#LuffynewCZ_arms_whoosh1=1.3#ChopperHeCZ_Attack04_Whoosh=1.3#ChopperHeCZ_attack08_whoosh2=1.7#Cavendish_s2_rockhit=2.0#bodyrock_hit02=2.0#punch_hit_heavyNPC=2.0#ChopperHeCZ_attack08_whoosh2=2.1#Cavendish_s2_rockhit=2.4#bodyrock_hit01=2.4#punch_hit_heavyNPC=2.4#ChopperHeCZ_attack08_whoosh2=2.5#Cavendish_s2_rockhit=2.8#bodyrock_hit02=2.8#bodyrock_hit02=2.8#ChopperHeCZ_attack08_whoosh2=2.9#Cavendish_s2_rockhit=3.2#bodyrock_hit01=3.2#bodyrock_hit02=3.2#BMCZ_poporen_rock=3.2#punch_hit_medium01=3.2#whooshlarge_general=3.3#Peronasnew_though_whoosh2=3.6#ZororHeCZ_Light=4.1#ZororHeCZ_Disapear=4.1#Superslash_hit=4.7#zoro_Slash_Long=4.7#lightslash_hit=4.7#BMCZ_tianhuo_firehit=5.2#BMCZ_tianhuo_firehit=5.7#BMCZ_tianhuo_firehit=6.1#BMCZ_tianhuo_firehit=6.4#BMCZ_tianhuo_firehit=6.8#BMCZ_tianhuo_firehit=7.2#AceCZ_Unkonwfire_hit=5.4#AceCZ_Unkonwfire_hit=5.9#AceCZ_Unkonwfire_hit=6.3#AceCZ_Unkonwfire_hit=6.6#AceCZ_Unkonwfire_hit=7.0#AceCZ_Unkonwfire_hit=7.3#AceCZ_Firecross_explode=7.3</t>
  </si>
  <si>
    <t>Particles/queen004/queen004_attack10_C</t>
  </si>
  <si>
    <t>tou_011</t>
  </si>
  <si>
    <t>黑色火光</t>
  </si>
  <si>
    <t>3009803</t>
  </si>
  <si>
    <t>EnelCZ_superthunder_whoosh=0.4#Hero_JiDe_SkillAttack05_06=0.6#whooshlarge_slashly01=1.0#ChopperHeCZ_attack08_whoosh1=1.1#Hero_JiDe_SkillAttack06_02=1.4#whoosh_lazer=1.6#borsalinoCZ_lightpillar_energy=1.7#Peronasnew_though_whoosh1=2.4#mihawknew_S8_smallwhoosh1=2.6#Hero_JiDe_SkillAttack06_02=2.8#Hero_JiDe_SkillAttack06_03=3.4#ChopperHeCZ_attack08_whoosh1=3.5#ChopperHeCZ_attack08_whoosh2=3.5#akainuCZ_attack_punchwhoosh03=3.7#ChoppernewCZ_crash_whoosh3=3.9#Hero_JiDe_SkillAttack01_02=4.1#EdwardnewCZ_bodongzhan_whoosh1=4.1#kumaCZ_lazer_hit=4.5#Baby5CZ_pistolgirl_shoot=4.5#NaminewCZ_charge_hit=4.5#CarotCZ_huixing_superhit2=4.5#EdwardnewCZ_bodongzhan_ballhit=4.5#ChopperHeCZ_attack08_whoosh1=4.9#mihawknew_S8_smallwhoosh2=5.0#enel_ElectricHit01=5.4#CrocodileCZ_samsara_hitground=5.4#AceCZ_Unkonwfire_hit=5.5AceCZ_Unkonwfire_hit=5.7#AceCZ_Unkonwfire_hit=6.0#BMCZ_tianhuo_firehit=5.5#BMCZ_tianhuo_firehit=5.6#BMCZ_tianhuo_firehit=5.9#AceCZ_Firecross_explode=6.0</t>
  </si>
  <si>
    <t>Particles/queen004/queen004_attack11_C</t>
  </si>
  <si>
    <t>4789&amp;&amp;4790&amp;&amp;4791</t>
  </si>
  <si>
    <t>bone_handL002&amp;&amp;bone_tail009&amp;&amp;tou_017</t>
  </si>
  <si>
    <t>邦妮01</t>
  </si>
  <si>
    <t>14901</t>
  </si>
  <si>
    <t>CobeCZ_swing1=0.3#punch_hit_small02=0.4#CobeCZ_swing2=0.7#punch_hit_small01=0.8#sanji_Kick_Heavy=1.2#punch_hit_heavyNPC=1.3</t>
  </si>
  <si>
    <t>邦妮02</t>
  </si>
  <si>
    <t>给我站住</t>
  </si>
  <si>
    <t>14902</t>
  </si>
  <si>
    <t>nami_Stick_Joint=0.1#NaminewCZ_attack_stickswing=0.4#se_Punch_FaceHit=0.5#kick_general01=0.5#EdwardnewCZ_weaponhit2=0.5#EnelCZ_attack_swing02=0.8#se_Punch_FaceHit=0.9#kick_general02=0.9#EdwardyoungCZ_weaponhit1=0.9#Roddy_wind=0.9#nami_Stick_Fold=1.9</t>
  </si>
  <si>
    <t>bone_weapon002</t>
  </si>
  <si>
    <t>邦妮03</t>
  </si>
  <si>
    <t>不要伤害我爸爸！</t>
  </si>
  <si>
    <t>14903</t>
  </si>
  <si>
    <t>hancocknewCloth_1=0.1#OdenCZ_jump=0.4#hancocknewCloth_2=0.4#MargoNewCZ_reborn_spin=0.5#LucciCP0CZ_zhiming_swing2=1.1#sanji_Kick_Heavy=1.1#MargoNewCZ_spin_swing1=1.1#rockfall_general01=1.2#punch_hit_heavyNPC=1.3#hancocknewCloth_2=1.9#CV_bonnie02=1.1</t>
  </si>
  <si>
    <t>Bip001 Spine</t>
  </si>
  <si>
    <t>邦妮04</t>
  </si>
  <si>
    <t>绝不原谅！！！</t>
  </si>
  <si>
    <t>14904</t>
  </si>
  <si>
    <t>nami_Stick_Joint=0.1#EnelCZ_attack_swing01=0.4#kick_general02=0.5#EdwardnewCZ_weaponhit2=0.5#NaminewCZ_attack_stickswing=0.7#kick_general01=0.8#EdwardyoungCZ_weaponhit1=0.8#OdenCZ_jump=1.2#EnelCZ_attack_swing02=1.8#NaminewCZ_thunderstick_swing=1.8#se_Punch_FaceHit=1.9#punch_hit_medium01=1.9#se_Rock_Fall01=1.9#EdwardnewCZ_weaponhit2=1.9#Roddy_swordhit2=1.9#nami_Stick_Fold=3.1#CV_bonnie08=1.8</t>
  </si>
  <si>
    <t>邦妮05</t>
  </si>
  <si>
    <t>好吃——！！！</t>
  </si>
  <si>
    <t>14905</t>
  </si>
  <si>
    <t>chopper_Sweat=0.3#KaidoCZ_wine_drinking=0.5#Mr5_Eat=0.7#Suger_S7_eat=1.3#nami_Bubble=1.3#FrankyCZ_cole_drink=1.9#SugerCZ_call_buff=2.0#RobinnewCZ_handslap_buff=2.4#hancocknewLoveBuff_1=2.5#bonnie01=2.4</t>
  </si>
  <si>
    <t>4805&amp;&amp;4806</t>
  </si>
  <si>
    <t>bone_weapon001&amp;&amp;bone_weapon002</t>
  </si>
  <si>
    <t>邦妮06</t>
  </si>
  <si>
    <t>少啰嗦！！</t>
  </si>
  <si>
    <t>14906</t>
  </si>
  <si>
    <t>Baby5CZ_footgun_reload=0.2#Hero_JiDe_SkillAttack04_05=0.2#Hero_JiDe_SkillAttack04_10=0.5#LuffyCZwake_aoyi_steam1=0.5#SmokernewCZ_whitestorm_steam1=0.5#SmokernewCZ_whiteplace_steam=0.5#Peronasnew_though_whoosh2=1.0#ChopperHeCZ_Attack04_Whoosh=2.9#luffy_SteamLeak=2.9#nami_Stick_Spin02=3.4#nami_Stick_Spin02=3.4#whooshlarge_slashly02=4.0#nami_Stick_Joint=4.4#ChopperHeCZ_attack08_whoosh2=5.4#ChopperHeCZ_attack08_whoosh1=5.4#GarpHero_ball_hit1=5.7#rockfall_general01=5.7#punch_hit_medium01=5.7#CV_bonnie07_Rev_1=0.2#CV_bonnie07_Rev_2=4.5</t>
  </si>
  <si>
    <t>Particles/bonney001/bonney001_attack06_C</t>
  </si>
  <si>
    <t>4808&amp;&amp;4809&amp;&amp;4810</t>
  </si>
  <si>
    <t>bone_bootsL004&amp;&amp;bone_bootsR004&amp;&amp;Dummy001</t>
  </si>
  <si>
    <t>邦妮07</t>
  </si>
  <si>
    <t>扭曲未来</t>
  </si>
  <si>
    <t>14907</t>
  </si>
  <si>
    <t>whooshlarge_slashly01=0#whooshlarge_nervous=0.6#ZoroCZ_swing_delay=0.6#ZororHeCZ_Light=0.7#whooshmedium01=1.1#whooshlarge_general=1.6#ChopperHeCZ_attack08_whoosh2=2.0#ChopperHeCZ_attack08_whoosh2=2.5#whooshlarge_nervous02=3.2#ChopperHeCZ_Attack04_Whoosh=4.0#ChopperHeCZ_attack08_whoosh1=4.0#ChopperHeCZ_attack08_whoosh2=4.0#punch_hit_giant01=4.3#kid_Crash03=4.3#CV_bonnie04_Rev=1.5</t>
  </si>
  <si>
    <t>Particles/bonney001/bonney001_attack07_C</t>
  </si>
  <si>
    <t>邦妮08</t>
  </si>
  <si>
    <t>迹死突刺</t>
  </si>
  <si>
    <t>14908</t>
  </si>
  <si>
    <t>whooshlarge_general=0#nami_Stick_Spin01=0.7#whooshlarge_nervous02=1.4#whooshmedium02=1.4#nami_Stick_Joint=1.7#ChopperHeCZ_Attack04_Whoosh=3.5#ChopperHeCZ_attack08_whoosh1=3.5#ChopperHeCZ_attack08_whoosh2=3.5#punch_hit_giant01=3.8#EdwardnewCZ_weaponhit2=3.8#Roddy_swordhit2=3.8#KuzanNewCZ_iceagenew_hill=4.7#KikuCZ_shadow_light=4.8#NaminewCZ_sword_hit=4.8#kuzan_Icehit06=4.8#EdwardnewCZ_punch_glasshit=4.8#ChopperHeCZ_Attack05_Chime=5.0#ReighleyyoungCZ_pokong_glass=4.9#ReighleyyoungCZ_pokong_glass=5.0#ReighleyyoungCZ_pokong_glass=5.1#ReighleyyoungCZ_pokong_glass=5.2#ReighleyyoungCZ_pokong_glass=5.3#CV_bonnie06_Rev=0.3#CV_bonnie05_Rev=2.9</t>
  </si>
  <si>
    <t>Particles/bonney001/bonney001_attack08_C</t>
  </si>
  <si>
    <t>新世界库赞11</t>
  </si>
  <si>
    <t>冰霜封禁</t>
  </si>
  <si>
    <t>9411</t>
  </si>
  <si>
    <t>kuzanCZ_icerain_swing=0.2#kuzanCZ_appear=0.7#kuzanCZ_icebird_cast=0.7#kuzanCZ_freeze=0.8#kuzanCZ_icebird_cloth=1.5#</t>
  </si>
  <si>
    <t>新世界库赞12</t>
  </si>
  <si>
    <t>9412</t>
  </si>
  <si>
    <t>kuzanCZ_twosword_jump=0.4#KuzanNewCZ_iceagenew_sword=0.5#kuzan_Iceshoot02=0.6#kuzanCZ_icebird_ice=0.8#kuzan_Icecrack01=1.0#kuzan_Icecrack01=1.1#kuzan_Icecrack01=1.2#kuzan_Icecrack01=1.3#kuzan_Icecrack01=1.4#KuzanNewCZ_attack_swing1=1.0#KuzanNewCZ_attack_swing1=1.1#KuzanNewCZ_attack_swing1=1.2#KuzanNewCZ_attack_swing1=1.3#KuzanNewCZ_attack_swing1=1.4#Cavendish_s4_cloth1=1.7#BltrmoCZ_foot3=1.9#se_FootstepDirt01=1.9#se_FootstepDirt02=2.4#BltrmoCZ_foot2=2.4</t>
  </si>
  <si>
    <t>新世界库赞13</t>
  </si>
  <si>
    <t>冰柱</t>
  </si>
  <si>
    <t>9413</t>
  </si>
  <si>
    <t>whooshlarge_slashly01=0#kuzanCZ_icerain_swing=0.5#kuzanCZ_appear=1.3#kuzanCZ_icebird_cast=1.3#kuzanCZ_freeze=1.4#KuzanNewCZ_bird_crash=1.7#KuzanNewCZ_iceage_broken=2.1#whooshmedium01=2.7#kuzanCZ_twosword_jump=3.4#kuzanCZ_iceage_wind=3.4#kuzanCZ_icebird_ice=4.0#KuzanNewCZ_iceagenew_sword=4.0#kuzan_Iceshoot02=4.1#KuzanNewCZ_bird_snowball=5.0#Peronasnew_though_whoosh1=5.9#whooshlarge_nervous=6.3#whooshlarge_nervous02=6.4#kuzanCZ_twosword_appear=7.4#KuzanNewCZ_bird_wing=7.4#kuzanCZ_iceball_jump=7.5#KuzanNewCZ_iceage_sword=7.5#KuzanNewCZ_liangjimao_cloth=7.5#kuzanCZ_iceage_explosion=9.0#KuzanNewCZ_bingrendan_hit2=9.3#KuzanNewCZ_bingrendan_hit2=9.9#KuzanNewCZ_bingrendan_hit2=10.3#KuzanNewCZ_bingrendan_hit2=10.8#KuzanNewCZ_iceagenew_hitground=9.9#KuzanNewCZ_iceagenew_hitground=9.0#KuzanNewCZ_iceagenew_hitground=9.3#KuzanNewCZ_iceagenew_hitground=9.9#KuzanNewCZ_iceagenew_hitground=10.3#KuzanNewCZ_iceagenew_hitground=10.8#CV_KuzanNewCZ_iceage1=0.5#CV_KuzanNewCZ_bingrendan=6.2</t>
  </si>
  <si>
    <t>Particles/kuzan003/kuzan003_body_attack013_C</t>
  </si>
  <si>
    <t>S-老鹰01</t>
  </si>
  <si>
    <t>15001</t>
  </si>
  <si>
    <t>mihawknew_S1_sword=0.4#slash_general01=0.5#mihawknew_S2_sword2=0.7#slash_large=0.8#OdenCZ_jump=1.1#mihawknew_S4_sword=1.6#slash_general01=1.7#Suger_S6_rock_A=1.7#CarotCZ_huixing_cloth=1.9</t>
  </si>
  <si>
    <t>S-老鹰02</t>
  </si>
  <si>
    <t>瞄准</t>
  </si>
  <si>
    <t>15002</t>
  </si>
  <si>
    <t>040_swg2=0.3#mihawknew_S3_sword1=0.7#040_swg3=0.8#se_BeepAiming=0.9#se_BeepAiming=1.0#se_BeepAiming=1.1#se_BeepLock=2.1#040_swg1=2.6</t>
  </si>
  <si>
    <t>S-老鹰03</t>
  </si>
  <si>
    <t>大剑连斩</t>
  </si>
  <si>
    <t>15003</t>
  </si>
  <si>
    <t>Jack_attack_wind=0.2#Jack_attack_wind=0.5#Jack_attack_wind=0.9#Jack_attack_wind=1.1#mihawknew_S1_sword=0.3#040_swg1=0.3#mihawknew_S2_sword2=0.5#040_swg2=0.6#se_Sword_hit02=0.4#se_Sword_hit02=0.5#se_Sword_hit02=0.7#se_Sword_hit02=0.8#se_Sword_hit02=1.0#se_Sword_hit02=1.1#se_Sword_hit02=1.3#se_Sword_hit02=1.4#mihawknew_S2_sword2=0.9#040_swg3=1.0#mihawknew_S1_sword=1.1#040_swg2=1.2#mihawknew_S7_swordwind=1.6#mihawknew_S4_sword=2.2#Roddy_wind=2.3#040_swg3=2.3#slash_large=2.3#slash_large=2.4#slash_large=2.5#040_swg2=2.9#ZoroCZ_attack_swing3=3.4#s_hawk01_revb=2.2</t>
  </si>
  <si>
    <t>S-老鹰04</t>
  </si>
  <si>
    <t>大剑半月斩</t>
  </si>
  <si>
    <t>15004</t>
  </si>
  <si>
    <t>LucciCP0CZ_fingergunjump_jump=0.4#windbuff=0.8#mihawknew_S4_sword=1.0#mihawknew_S3_sword1=1.0#mihawknew_S7_swordwind=1.0#slash_large=1.1#slash_large=1.2#slash_large=1.3#CarotCZ_huixing_cloth=1.7#s_hawk02_revb=1.0</t>
  </si>
  <si>
    <t>S-老鹰05</t>
  </si>
  <si>
    <t>大剑跳跃击</t>
  </si>
  <si>
    <t>15005</t>
  </si>
  <si>
    <t>OdenCZ_jump=0.2#Inuarai_jump1=0.2#mihawknew_S3_sword1=0.2#mihawknew_S4_sword=0.9#slash_general01=1.0#bodyrock_hit02=1.0#OdenCZ_jump=1.6#BMCZ_weiguo_cloth=2.0#s_hawk03_revb=0.9</t>
  </si>
  <si>
    <t>S-老鹰06</t>
  </si>
  <si>
    <t>螺旋双刃</t>
  </si>
  <si>
    <t>15006</t>
  </si>
  <si>
    <t>ZororHeCZ_Light=0#whooshmedium03=0.4#BltrmoCZ_pai_cloth=0.7#jozz_Grab=0.8#whooshmedium01=1.1#OdenCZ_jump=1.9#kuzanCZ_twosword_jump=2.0#whooshlarge_slashly01=2.1#Suger_S6_rock_A=2.1#ZoronewCZ_world_superwhoosh=2.7#enel_Electric01=4.3#Peronasnew_though_whoosh1=4.5#enel_Electric07=4.5#Peronasnew_though_whoosh3=4.6#BltrmoCZ_pingzhang_cloth2=5.6#BMCZ_weiguo_cloth=6.3#whooshlarge_nervous=6.4#whoosh_laser=6.4#whooshsmall_general=7.6#whooshlarge_slashly03=8.3#Margo_explode02=9.1#JozzCZ_rock_rockroll2=9.1#akainuCZ_evildog_magmaexplode=9.2#s_hawk12_revb=6.5</t>
  </si>
  <si>
    <t>Particles/egle001/egle001_attack06_C</t>
  </si>
  <si>
    <t>4862&amp;&amp;4863&amp;&amp;4864&amp;&amp;4865</t>
  </si>
  <si>
    <t>Bip001&amp;&amp;bone_armL002&amp;&amp;bone_armR002&amp;&amp;s_green</t>
  </si>
  <si>
    <t>Particles/egle001/elgel_attack06_DefaultDirLight</t>
  </si>
  <si>
    <t>S-老鹰07</t>
  </si>
  <si>
    <t>足刃突进</t>
  </si>
  <si>
    <t>15007</t>
  </si>
  <si>
    <t>GarpHero_ball_bone1=0.1#GarpHero_ball_bone3=0.1#whooshlarge_slashly01=0.2#BMCZ_weiguo_cloth=0.5#Roddy_wind=0.5#EdwardnewCZ_pokong_cloth1=0.9#AceCZ_angrypunch_footred=1.3#ZoronewCZ_world_superwhoosh=1.6#EdwardnewCZ_storm_wind=1.6#kid_Wind01=1.6#hogbak_SneakyWind=1.6#se_RockFall02VmUp=1.6#se_Rocks01=1.6#se_Rocks01=2.5#whooshlarge_nervous=3.2#se_Rocks01=3.5#EdwardyoungCZ_wushuang_cloth1=4.9#whooshmedium01=4.9#whooshmedium01=5.6#Nekomamusi_reddance_wind=5.6#EdwardyoungCZ_pokong_cloth=5.6#law_CriticalHit=5.7#Superslash_hit=5.7#ZororHeCZ_Slay=7.2#KozukiOden_Skill_swingend_1=7.2#KaidoCZ_lighting_explosion=7.3#FujitoraCZ_destroy_rock=7.3</t>
  </si>
  <si>
    <t>Particles/egle001/egle001_attack07_C</t>
  </si>
  <si>
    <t>4867&amp;&amp;4868&amp;&amp;4869</t>
  </si>
  <si>
    <t>Bip001 Spine&amp;&amp;Dummy001&amp;&amp;Dummy002</t>
  </si>
  <si>
    <t>S-老鹰08</t>
  </si>
  <si>
    <t>足刃斩</t>
  </si>
  <si>
    <t>15008</t>
  </si>
  <si>
    <t>BMCZ_weiguo_cloth=0.1#BMCZ_weiguo_cloth=0.7#kuzanCZ_twosword_jump=0.7#rockfall_general01=0.7#ChopperHeCZ_attack08_whoosh1=0.9#ChopperHeCZ_Attack04_Whoosh=1.0#whoosh_laser=1.9#borsalinoCZ_lightpillar_energy=1.9#EdwardnewCZ_pokong_cloth1=2.5#OdenCZ_jump=2.7#whooshmedium01=3.2#TeachNew_jump=3.4#whooshlarge_nervous02=4.0#ZororHeCZ_Jump=5.3#LucciCP0CZ_fingergunjump_jump=5.4#ZororHeCZ_Disapear=5.6#whooshlarge_slashly02=5.7#ZoronewCZ_world_hit=6.2#FujitoraCZ_destroy_rock=6.2#JozzCZ_rock_rockroll2=6.2#Roddy_wind=6.3#Jackelephant_fengren_wind=6.3#punch_hit_heavyNPC=6.4#punch_hit_heavyNPC=6.5#punch_hit_heavyNPC=6.6#punch_hit_heavyNPC=6.7#s_hawk07_revb=4.2</t>
  </si>
  <si>
    <t>Particles/egle001/egle001_attack08_C</t>
  </si>
  <si>
    <t>s_green</t>
  </si>
  <si>
    <t>大剑跳跃击（单体）</t>
  </si>
  <si>
    <t>光月御殿11</t>
  </si>
  <si>
    <t>旋舞斩</t>
  </si>
  <si>
    <t>SmoothieCZ_tornado_cloth=0#mihawknew_S2_sword2=0.4#mihawknew_S2_sword2=0.6#mihawknew_S2_sword2=0.8#mihawknew_S2_sword2=1.0#mihawknew_S2_sword2=1.2#vivi_Spin02=0.4#zoro_Spin_Wind=0.4#slash_large=0.5#slash_large=0.7#slash_large=0.9#slash_large=1.1#slash_large=1.3#MihawkNewCZ_night_swordin=1.5#mihawknew_S2_sword2=1.7#NaminewCZ_trap_spark=1.8#Suger_S6_rock_A=1.8#slash_large=1.8#EdwardyoungCZ_wushuang_cloth1=2.1#Suger_S7_foot_L=2.5#se_FootstepGETA=2.5#OdenCZ_swordin1=2.9</t>
  </si>
  <si>
    <t>光月御殿12</t>
  </si>
  <si>
    <t>裂地斩</t>
  </si>
  <si>
    <t>ZoronewCZ_swordcatch=0.1#SmoothieCZ_waterslash_sword=0.1#mihawknew_S8_swordend=0.5#NaminewCZ_thundersword_hit=0.6#mihawknew_S7_swordwind=0.6#rockfall_general01=0.7#se_Sword_hit02=0.7#se_Sword_hit02=0.8#se_Sword_hit02=0.9#se_Sword_hit02=1.0#OdenCZ_swordin3=1.5</t>
  </si>
  <si>
    <t>光月御殿13</t>
  </si>
  <si>
    <t>侍魅大魂</t>
  </si>
  <si>
    <t>BlookenewCZ_assault_charge=0.2#bltrmo_cast=0.5#borsalinoCZ_lightpillar_cast=0.5#whooshlarge_general=0.7#Inuarai_winddog_sparksmall=1.5#Inuarai_moon_spark1=1.5#rockfall_general01=1.5#se_Rock_Fall01=1.5#kuzan_IceCharge03=1.7#whoosh_laser=2.5#whooshlarge_nervous02=2.5#whooshlarge_slashly01=3.8#KikuCZ_huasanluan_light=4.1#mihawkCZ_shark_cast=5.3#ZoroCZ_swing_delay=5.3#whooshmedium03=5.3#ZoronewCZ_world_superwhoosh=6.0#se_WindLoop2=7.5#whooshmedium02=7.5#ZoronewCZ_lion_end=7.6#mihawknew_S8_swordreverb=7.8#windbuff=8.0#ZororHeCZ_Slay=8.1##CVOdenCZ_ghost1=2.7</t>
  </si>
  <si>
    <t>Particles/kozuki/kozuki001_body_attack013_C</t>
  </si>
  <si>
    <t>S-蛇女01</t>
  </si>
  <si>
    <t>hancock_Kick02=0.2#se_FootstepDirt01=0.2#se_Punch_Hit01=0.4#kick_general01=0.4#hancock_Kick05=0.5#se_Punch_Hit01=0.6#kick_general02=0.6#smoke_SteamCharge02=0.8#HancockNewCZ_meiying_swing2=1.2#se_Punch_Hit01=1.4#kick_general01=1.4#LuffyCZ_JETrocket_swing1=1.8#se_FootstepDirt02=2.3#s_snake05=1.3</t>
  </si>
  <si>
    <t>4945&amp;&amp;4946</t>
  </si>
  <si>
    <t>S-蛇女02</t>
  </si>
  <si>
    <t>hancock_Kick01=0.2#LuffyCZ_JETrocket_swing3=0.4#hancocknewKick_1=0.8#hancock_Kick05=0.9#se_Punch_Hit01=1.0#kick_general01=1.0#ChopperHeCZ_Attack03_Hit2=1.0#Suger_S7_cloth=1.2#se_FootstepDirt01=1.7#se_FootstepDirt02=1.8#s_snake04=0.9</t>
  </si>
  <si>
    <t>S-蛇女03</t>
  </si>
  <si>
    <t>飞吻</t>
  </si>
  <si>
    <t>hancock_Kiss01=0.6#hancocknewCutecast_1=0.6#Carot_lion_cute=0.6#hancocknewCuteRelese_7=1.1#ChopperHeCZ_Attack02_Cast=1.1#FujitoraCZ_attack_wind=1.1#ChopperHeCZ_attack07_Hit1=1.2#se_Punch_Hit01=1.3#se_Punch_Hit01=1.4#se_Punch_Hit01=1.5#</t>
  </si>
  <si>
    <t>S-蛇女04</t>
  </si>
  <si>
    <t>HancockNewCZ_sweetwind_buff=0#Nekomamusi_reddance_wind=0.3#hancocknewCloth_1=0.6#hancocknewCloth_2=0.8#hancocknewMagicwind_1=0.8#hancocknewMagicwind_2=1.5#hancocknewMagicwind_3=2.4#hancocknewShine=2.4#hancocknewCutecast_1=3.5#hancocknewShine=3.7#borsalino_Light02=3.7#hancock_Charm=3.7#hancocknewCutecast_1=3.7#hancock_Charm=3.7#hancocknewCuteRelese_7=3.7#HancockNewCZ_kissgun_buff=4.4#Mr3_EnergyPop=4.4#borsalino_Light02=4.4#hancock_Charm=4.4#hancocknewWindsmall_2=-4.9#hancocknewDOFSwing=4.9#hancocknewCutecast_1=5.1#Carot_lion_cute=5.1#Mr3_EnergyPop=5.9#borsalino_Light02=5.9#hancocknewCutecast_1=5.9#ChopperHeCZ_Attack05_Chime=5.9#hancocknewCuteRelese_7=5.9#ZororHeCZ_Light=5.9#hancocknewLoveBuff_1=5.9#hancock_Charm=5.9#HancockNewCZ_sweetwind_buff=6.6#hancock_Beam=6.6#HancockNewCZ_sweetwind_cast1=6.6#hancocknewMagicwind_1=8.7#hancocknewMagicwind_2=9.0#Bady5_pistolgirl_shot=9.7#hancocknewCuteRelese_5=9.8#hancocknewCuteRelese_6=9.8#hancock_Arrows01=9.8#hancocknewCuteRelese_2=9.8#Cavendish_s4_shinning=9.8#mihawk_EnergySp01=9.8#Margo_explode01=9.8#Mr3_EnergyIn=10.1#UsoppnewCZ_explosion=11.4#ChopperHeCZ_Attack05_Explo=11.4#ChopperHeCZ_Attack05_Chime=11.5#perona_BigExplosion=11.5#kuzanCZ_iceage_wind=11.5#s_snake03=8.7</t>
  </si>
  <si>
    <t>Particles/snake_001/snake001_attack04_C</t>
  </si>
  <si>
    <t>4901&amp;&amp;4902&amp;&amp;4903</t>
  </si>
  <si>
    <t>Bip001 Spine&amp;&amp;bone_er001&amp;&amp;bone_er002</t>
  </si>
  <si>
    <t>S-蛇女05</t>
  </si>
  <si>
    <t>别碰我！无礼之徒</t>
  </si>
  <si>
    <t>whooshlarge_slashly01=0#hancocknewCloth_1=0.2#EdwardnewCZ_punch_swing=0.8#smoke_SteamCharge02=0.8#ChoppernewCZ_super_fly=0.8#Suger_S6_rock_A=0.9#whooshmedium01=1.2#hancock_Kick01=1.5#ChopperHeCZ_Attack03_Hit1=1.8#hancock_Kick05=2.1#ChopperHeCZ_Attack03_Hit2=2.2#hancocknewCloth_2=2.3#AceCZ_fireattack_explosion=3.1#BMCZ_weiguo_fire=3.1#SmokernewCZ_whiteplace_rocket2=3.1#OdenCZ_rilun_jump=3.2#whooshmedium03=3.3#hancock_Kick04=3.9#ChopperHeCZ_Attack03_Hit3=4.1#hancock_Kick02=4.3#ChopperHeCZ_Attack04_Whoosh=4.3#punch_hit_medium01=4.4#hancock_Kick07=5.1#punch_hit_giant01=5.2#akainuCZ_evildog_magmaexplode=5.3#rockfall_general01=5.3#</t>
  </si>
  <si>
    <t>Particles/snake_001/snake001_attack05_C</t>
  </si>
  <si>
    <t>S-蛇女06</t>
  </si>
  <si>
    <t>普攻（变身后）</t>
  </si>
  <si>
    <t>smoke_SteamFlying04=0.1#LuffyCZ_JETrocket_swing3=0.1#hancock_Kick02=0.4#hancock_Kick02=0.5#KikuCZ_moon_cloth=0.5#kick_general01=0.6#kick_general02=0.7#hancock_Kick07=1.2#punch_hit_medium01=1.4#akainuCZ_evildog_magmaexplode=1.4</t>
  </si>
  <si>
    <t>4908&amp;&amp;4909</t>
  </si>
  <si>
    <t>S-蛇女07</t>
  </si>
  <si>
    <t>挥臂断空</t>
  </si>
  <si>
    <t>luffy_SteamLeak=0.1#smoke_SteamFlying04=0.1#hancocknewCloth_1=0.7#hancock_Kick02=0.7#kick_general01=0.9#se_Punch_FaceHit=0.9#hancocknewCloth_2=1.0#hancock_Kick03=1.1#kick_general02=1.5#se_Punch_FaceHit=1.5#ChopperHeCZ_Attack03_Hit3=1.5</t>
  </si>
  <si>
    <t>4912&amp;&amp;4913</t>
  </si>
  <si>
    <t>S-蛇女08</t>
  </si>
  <si>
    <t>luffy_SteamLeak=0.1#vivi_Spin01=0.1#LuffyCZ_JETrocket_swing3=0.1#hancock_Kick02=0.2#hancock_Kick02=0.3#hancock_Kick02=0.4#kick_general01=0.3#kick_general02=0.46#kick_general01=0.6#kick_general02=0.7#LuffyCZ_JETrocket_swing1=0.8#</t>
  </si>
  <si>
    <t>4916&amp;&amp;4917</t>
  </si>
  <si>
    <t>S-蛇女09</t>
  </si>
  <si>
    <t>镭射</t>
  </si>
  <si>
    <t>whooshlarge_general=0#Mr3_EnergyPop=1.2#borsalino_Light02=1.2#hancocknewCutecast_1=1.2#HancockNewCZ_bow_buff=2.0#borsalinoCZ_bachijing_energy01=2.0#Mr3_EnergyIn=2.0#ChopperHeCZ_Attack04_Whoosh=3.2#UsoppnewCZ_explosion_quake=3.5#borsalinoCZ_lightkick_explosion=4.0#LucciCP0CZ_fire_explosion=4.1#TeachNew_darklord_explosion2=4.1#AceCZ_firecolumn_falldown=4.1#CV_snake09=2.3</t>
  </si>
  <si>
    <t>Particles/snake_001/snake001_attack09_C</t>
  </si>
  <si>
    <t>4920&amp;&amp;4922</t>
  </si>
  <si>
    <t>Bip001 R Hand&amp;&amp;s_green</t>
  </si>
  <si>
    <t>S-老鹰09</t>
  </si>
  <si>
    <t>大剑斩断</t>
  </si>
  <si>
    <t>OdenCZ_jump=0#whooshsmall_general=0#mihawknew_S8_swordreverb=0.3#whooshlarge_slashly01=0.3#Inuarai_jump1=0.5#mihawknew_S3_sword1=1.4#mihawknew_S7_swordwind=1.4#mihawknew_S4_sword=1.5#NaminewCZ_sword_threebody=1.5#MihawkNewCZ_shiliuye_sword=1.9#windbuff=1.9#whooshmedium01=2.6#JozzCZ_rock_rockroll2=3.2#ZororHeCZ_Slay=3.3#SmoothieCZ_waterslash_explosion=3.3#Explo_Rock1=3.3</t>
  </si>
  <si>
    <t>Particles/egle001/egle001_attack09_C</t>
  </si>
  <si>
    <t>Bone_fire001</t>
  </si>
  <si>
    <t>S-老鹰10</t>
  </si>
  <si>
    <t>疾风刃</t>
  </si>
  <si>
    <t>whooshsmall_general=0#EdwardnewCZ_storm_wind=0.4#BMCZ_weiguo_cloth=0.5#kuzanCZ_twosword_jump=0.5#Suger_S6_rock_A=0.6#akainuCZ_attack_punchwhoosh01=1.1#slash_large=1.2#punch_hit_heavyNPC=1.2#akainuCZ_attack_punchwhoosh01=1.8#slash_large=1.9#punch_hit_heavyNPC=1.9#akainuCZ_attack_punchwhoosh01=2.3#slash_large=2.4#punch_hit_heavyNPC=2.4#akainuCZ_attack_punchwhoosh01=2.6#slash_large=2.7#punch_hit_heavyNPC=2.7#akainuCZ_attack_punchwhoosh01=2.8#slash_large=2.9#punch_hit_heavyNPC=2.9#akainuCZ_attack_punchwhoosh01=3.2#slash_large=3.3#punch_hit_heavyNPC=3.3#akainuCZ_attack_punchwhoosh01=3.6#slash_large=3.7#punch_hit_heavyNPC=3.7#BMCZ_weiguo_cloth=4.4#OdenCZ_jump=4.6#kuzanCZ_twosword_jump=4.7#ZoronewCZ_world_superwhoosh=4.7#Suger_S6_rock_A=4.8#EdwardyoungCZ_pokong_cloth=6.1#ZororHeCZ_Slay=6.2#punch_hit_giant01=6.3#law_CriticalHit=6.3#Superslash_hit=6.3#JozzCZ_rock_rockroll2=6.4#Margo_explode02=6.5#akainuCZ_evildog_magmaexplode=6.5#SmoothieCZ_waterslash_explosion=6.5</t>
  </si>
  <si>
    <t>Particles/egle001/egle001_attack10_C</t>
  </si>
  <si>
    <t>戈普10</t>
  </si>
  <si>
    <t>铁拳连打</t>
  </si>
  <si>
    <t>BMCZ_weiguo_cloth=0#GarpHero_attack_swing1=0.3#punch_hit_small01=0.4#se_Punch_FaceHit=0.4#GarpCZ_wrestle_swing03=0.7#punch_hit_small01=0.9#se_Punch_Hit02=0.9#se_Punch_FaceHit=0.9#GarpCZ_wrestle_jump=1.1#enel_ElectricSpeedyHit=1.3#GarpHero_onepunch_xuli=1.3#GarpHero_attack_swing2=1.7#EnelCZ_attack_spark=1.8#GarpHero_zuhe_hit=2.0#punch_hit_medium01=2.0</t>
  </si>
  <si>
    <t>4948&amp;&amp;4949</t>
  </si>
  <si>
    <t>Bip001_L_Hand&amp;&amp;Bip001_R_Hand</t>
  </si>
  <si>
    <t>戈普11</t>
  </si>
  <si>
    <t>拳风</t>
  </si>
  <si>
    <t>GarpCZ_bomb_swing=0#maopi_spark1=0.4#GarpHero_justice_xuli=0.4#GarpCZ_lovepunch_hit=0.7#GarpCZ_lovepunch_hit=1.0#GarpCZ_lovepunch_hit=1.4#GarpCZ_lovepunch_hit=1.7#GarpCZ_lovepunch_hit=2.1#Suger_S6_rock_A=0.8#Suger_S6_rock_A=1.2#Suger_S6_rock_A=1.6#Suger_S6_rock_A=1.9#Suger_S6_rock_A=2.3#GarpCZ_justicepunch_cloth=2.6</t>
  </si>
  <si>
    <t>戈普12</t>
  </si>
  <si>
    <t>铁拳落下</t>
  </si>
  <si>
    <t>KuzanNewCZ_wind=0#whooshlarge_general=0.8#se_WindLoop2=0.8#whooshlarge_slashly01=2.8#enel_ElectricHit01=3.6#Carot_spark_small=3.6#Inuarai_attack_spark=3.6#KozukiOden_Gunghost_spark=3.6#EdwardyoungCZ_aoyi_rockup=3.6#EnelCZ_dog_spark2=4.8#LuffynewCZ_arms_whoosh1=4.9#whooshmedium03=5.2#Inuarai_attack2_spark2=5.3#ZororHeCZ_Disapear=5.7#LuffynewCZ_arms_whoosh2=6.1#Inuarai_moon_spark1=6.1#Inuarai_winddog_sparkslash2=6.2#Inuarai_moon_spark2=6.3#ZoronewCZ_world_superwhoosh=6.6#EnelCZ_newthunder_longspark3=6.6#maopi_spark1=8.0#Carotzuowu_spark2=8.0#enel_ElectricHit01=8.7#whooshmedium01=9.3#usopp_Elec_Spark=9.3#Inuarai_moon_spark1=9.3#maopi_spark4=9.3#se_WindLoop1=9.7#whooshlarge_nervous02=10.2#GarpCZ_bomb_explosion=11.0#FujitoraCZ_destroy_rock=11.0#maopi_spark1=11.0#Margo_explode04=11.0#usopp_Elec_Spark=11.0#CV_GarpHero_justice1=1.7#CV_GarpHero_ball2=8.7</t>
  </si>
  <si>
    <t>Particles/garp/garp_attack012_c</t>
  </si>
  <si>
    <t>Particles/garp/garp_attack012_light</t>
  </si>
  <si>
    <t>未来岛卡古01</t>
  </si>
  <si>
    <t>FlankyCZ_jumpforward=0.3#Mr2_Swing01=0.4#sanji_Kick=0.4#kick_general01=0.5#Mr2_Swing02=0.7#sanji_Kick=0.7#kick_general02=0.8#Mr2_AttackHeavy04=1.2#sanji_Kick_Heavy=1.2#kick_general01=1.3#se_Kick_Hit01=1.3#nami_Cloth=1.9</t>
  </si>
  <si>
    <t>未来岛卡古02</t>
  </si>
  <si>
    <t>nami_Cloth=0#ChoppernewCZ_spin_jump=0.4#MargoNewCZ_undeadbird_cloth=0.5#AkainuNewCZ_attack_swing3=1.1#BMCZ_firesky_swing1=1.1#slash_larger=1.2#slash_larger=1.3#slash_larger=1.4#slash_larger=1.5#slash_larger=1.6</t>
  </si>
  <si>
    <t>未来岛卡古03</t>
  </si>
  <si>
    <t>nami_Cloth=0#Mr3_EnergyRoundUp=0.1#LuffyCZ_giantaxe_jump=0.2#FlankyCZ_jumpback=0.4#Mr2_MoveCircle01=0.5#FlankyCZ_jumpforward=0.9#Mr2_Swing01=1.0#sanji_Kick_Heavy=1.0#kick_general02=1.1#se_Kick_Hit01=1.1#punch_hit_medium01=1.1#Roddy_wind=1.1</t>
  </si>
  <si>
    <t>Bip001_R_Foot</t>
  </si>
  <si>
    <t>未来岛卡古04</t>
  </si>
  <si>
    <t>nami_Cloth=0.1#Mr2_AttackHeavy04=0.4#Mr2_Swing02=0.4#Mr2_Swing01=0.9#Mr2_Swing01=1.0#Mr2_Swing01=1.1#Mr2_Swing01=1.2#Mr2_Swing01=1.3#Mr2_Swing01=1.4#Mr2_Swing01=1.5#Mr2_Swing01=1.6#Mr2_Swing01=1.7#Mr2_Swing01=1.8#mihawk_EnergyIn=0.9#mihawk_EnergyIn=1.0#mihawk_EnergyIn=1.1#mihawk_EnergyIn=1.2#mihawk_EnergyIn=1.3#mihawk_EnergyIn=1.4#mihawk_EnergyIn=1.5#mihawk_EnergyIn=1.6#mihawk_EnergyIn=1.7#mihawk_EnergyIn=1.8#se_Kick_Hit01=0.9#se_Kick_Hit01=1.0#se_Kick_Hit01=1.1#se_Kick_Hit01=1.2#se_Kick_Hit01=1.3#se_Kick_Hit01=1.4#se_Kick_Hit01=1.5#se_Kick_Hit01=1.6#se_Kick_Hit01=1.7#se_Kick_Hit01=1.8#se_Kick_Hit01=1.9#se_Rocks01=1.0#sanji_Kick_Heavy=2.3#Mr2_AttackHeavy04=2.3#brook_Charge01=2.3#kick_general02=2.5#Explo_Rock1=2.5#rockfall_general01=2.5#nami_Cloth=2.9</t>
  </si>
  <si>
    <t>未来岛卡古05</t>
  </si>
  <si>
    <t>whooshmedium02=0#BltrmoCZ_cloth_purple=0.6#whooshmedium01=1.3#FujitoraCZ_hell_cloth=1.3#BltrmoCZ_pingzhang_cloth1=1.7#vivi_Spin01=1.8#vivi_Spin01=1.8#CarotCZ_huixing_cloth=2.2#whooshlarge_general=2.5#vivi_Spin01=2.6#vivi_Spin01=2.6#Jackelephant_fengren_wind=2.6#BltrmoCZ_pingzhang_cloth1=2.7#BltrmoCZ_pingzhang_cloth1=3.3#KaidoCZ_lighting_wind=3.3#vivi_Spin01=3.4#vivi_Spin02=3.6#vivi_Spin02=3.6#Mr2_Attacks01_Short=3.8#Mr2_MoveCircle01=3.9#crocodile_CircleWind=3.9#nami_WindBuff=4.0#Mr2_MoveCircle01=4.2#Mr2_MoveCircle01=4.5#Mr2_Attacks01_Short=4.6#Mr2_MoveCircle01=4.8#whooshlarge_slashly01=4.9#Mr2_MoveCircle01=5.2#Mr2_Attacks01_Short=5.4#Mr2_MoveCircle01=5.5#Mr2_MoveCircle01=5.8#Mr2_MoveCircle01=6.1#FujitoraCZ_hell_cloth=6.3#whooshmedium03=6.3#Peronasnew_though_whoosh1=6.3#whoosh_lazer=6.7#whooshmedium01=7.8#ZoronewCZ_world_superwhoosh=7.8#nami_Wind_Push=7.9#FlankyCZ_jumpforward=7.9#sanji_Kick_Heavy=8.0#Baby5CZ_burning_explosion=8.0#Peronasnew_though_whoosh2=10.0#TrebolCZ_ult_explosion=10.1#JozzCZ_crash_rock=10.1#akainuCZ_evildog_magmaexplode=10.2#Peronasnew_largeghost_hit=10.2#CV_kaku_RoundBreak1=0#CV_kaku_RoundBreak2=6.5</t>
  </si>
  <si>
    <t>Particles/kaku001/kaku001_attack05_C</t>
  </si>
  <si>
    <t>Bip001 L Foot</t>
  </si>
  <si>
    <t>未来岛卡古06</t>
  </si>
  <si>
    <t>长颈鹿普攻</t>
  </si>
  <si>
    <t>Mr2_Swing01=0.3#Mr2_Swing02=0.8#ChoppernewCZ_spin_jump=0.8#Mr2_AttackHeavy04=0.9#sanji_Kick_Heavy=0.9#kick_general01=1.0#se_Kick_Hit02=1.0#Mr2_AttackHeavy04=1.6</t>
  </si>
  <si>
    <t>未来岛卡古07</t>
  </si>
  <si>
    <t>鼻枪（变身）</t>
  </si>
  <si>
    <t>BltrmoCZ_pingzhang_cloth1=0.1#nami_WindBuff=0.1#whooshsmall_general=0.3#whooshlarge_slashly01=1.8#whooshmedium03=1.8#jozz_Grab=2.4#mihawk_EnergySp01=2.6#EdwardnewCZ_storm_wind=2.6#Nekomamusi_reddance_wind=2.6#Mr3_EnergyRoundUp=2.7#mihawk_EnergyIn=3.8#borsalinoCZ_bachijing_finalexplosion=3.8#mihawk_Energy=3.8#whooshmedium01=5.3#FujitoraCZ_storm_wind=5.4#ChoppernewCZ_crash_whoosh2=5.4#whooshsmall_general=6.1#whooshlarge_general=6.2#whooshmedium03=6.6#whooshmedium02=7.5#ZoronewCZ_world_superwhoosh=7.9#Inuarai_winddog_red=7.9#usopp_Elec_Spark=7.9#ChoppernewCZ_crash_whoosh3=8.0#EnelCZ_god_spark=8.0#Peronasnew_though_whoosh1=9.5#whooshlarge_slashly02=10.0#Nekomamusi_lighting_explosion=11.1#perona_BigExplosion=11.1#FujitoraCZ_attack_wind=11.1#windbuff=11.2#CV_fi_kaku05=0.8</t>
  </si>
  <si>
    <t>Particles/kaku001/kaku001_attack07_C</t>
  </si>
  <si>
    <t>未来岛卡古08</t>
  </si>
  <si>
    <t>鼻枪·乱</t>
  </si>
  <si>
    <t>Mr2_Swing01=0.3#ChoppernewCZ_spin_jump=0.4#Mr2_Swing02=0.5#kick_general02=0.6#se_Kick_Hit01=0.6#ChoppernewCZ_spin_jump=1.0#Mr2_Swing02=1.1#kick_general02=1.2#se_Kick_Hit01=1.2#ChoppernewCZ_antler_jump=1.8#ChoppernewCZ_spin_jump=2.3#Mr2_AttackHeavy04=2.4#sanji_Kick_Heavy=2.4#kick_general01=2.5#se_Kick_Hit02=2.5#punch_hit_medium01=2.5#Mr2_AttackHeavy04=3.1</t>
  </si>
  <si>
    <t>未来岛卡古09</t>
  </si>
  <si>
    <t>长颈鹿人蛇形回旋</t>
  </si>
  <si>
    <t>whooshmedium01=0.3#jozz_Grab=0.6#whooshsmall_general=1.1#Mr2_AttackHeavy04=1.2#Mr2_Swing02=2.0#ChoppernewCZ_spin_jump=2.0#Mr2_AttackHeavy04=2.1#sanji_Kick_Heavy=2.1#kick_general01=2.2#se_Kick_Hit02=2.2#LuffyCZwake_aoyi_explosion1=2.2#whooshlarge_general=2.5#CV_fi_kaku04=3.2#Mr3_EnergyRoundUp=3.5#whooshlarge_fly01=3.5#ZoronewCZ_world_superwhoosh=4.5#whooshmedium02=4.5#Mr1_SpinWind=5.4#brook_Charge01=5.6#KozukiOden_Gunghost_spark=5.6#enel_ElectricThunder03=5.6#kuzanCZ_iceage_explosion=5.6#Mr2_Attacks01_Short=5.8#EnelCZ_attack_spark=6.2#Mr2_Attacks01_Short=6.6#LucciCP0CZ_fire_explosion=7.3#perona_BigExplosion=7.3#CV_fi_kaku04=3.2</t>
  </si>
  <si>
    <t>Particles/kaku001/kaku001_attack09_C</t>
  </si>
  <si>
    <t>酒龙八卦·酒后发火</t>
  </si>
  <si>
    <t>3006608</t>
  </si>
  <si>
    <t>akainuCZ_absolutelyjustice_firewhoosh=0#ZoroCZ_swing_delay=1.7#Purin_whooshback_xuli=1.8#LuffyCZwake_aoyi_drum2=2.0#AceCZ_Firecross_firearm=2.3#AceCZ_mirrorfire_cast02=2.3#jozz_Grab=3.2#whooshlarge_slashly01=3.8#akainuCZ_attack_punchwhoosh04=4.0#akainuCZ_attack_punchwhoosh01=4.5#EnelCZ_dog_spark2=5.0#Inuarai_sword_spark1=5.0#enel_ElectricThunder04=5.1#AkainuNewCZ_crash_fire=5.4#Bady5_fire_flame=5.4#ZoronewCZ_lion_whoosh=6.2#whooshlarge_fly01=6.2#enel_ElectricThunder02=6.2#KozukiOden_Gunghost_spark=6.2#enel_ElectricThunder=6.5#enel_ElectricPose=6.8#AceCZ_netfire_spell=7.4#AkainuNewCZ_cannon_fire2=7.4#ZororHeCZ_Disapear=8.0#Inuarai_moon_spark1=8.0#BMCZ_poporen_fire3=9.0#AceCZ_firecolumn_falldown=9.0#AceCZ_mirrorfire_cast01=9.0#Peronasnew_though_whoosh2=9.8#AceCZ_largefire_cast=10.3#AceCZ_Firecross_burntwice=10.3#AceCZ_Firecross_explode=10.4#AceCZ_Unkonwfire_hit=10.4#akainuCZ_absolutelyjustice_firewhoosh=10.4</t>
  </si>
  <si>
    <t>Particles/kaido005/kaido006_attack08_C_new</t>
  </si>
  <si>
    <t>Point001_huzi</t>
  </si>
  <si>
    <t>大威德·雷鸣八卦</t>
  </si>
  <si>
    <t>3006616</t>
  </si>
  <si>
    <t>EnelCZ_newthunder_longspark1=0#KozukiOden_Gunghost_spark=0#Nekomamusi_reddance_spark=0#EnelCZ_newthunder_longspark2=0#whooshlarge_slashly02=0.4#whooshlarge_general=2.6#Inuarai_winddog_sparksmall=2.9#Nekomamusi_reddance_sparksmall=3.4#whooshlarge_slashly01=3.8#KaidoCZ_attack_swing1=4.1#Inuarai_attack_spark=4.2#EnelCZ_newthunder_sparkswing=4.2#FujitoraCZ_control_rock1=5.0#Suger_S6_rock_A=5.1#EnelCZ_dog_spark2=5.3#Inuarai_winddog_sparkbig=5.4#Inuarai_sword_spark1=5.4#whooshmedium01=5.8#maopi_spark1=6.0#EnelCZ_superthunder_spark=6.0#EnelCZ_thunderdragon_spark01=6.0#EnelCZ_god_spark=6.7#Peronasnew_though_whoosh1=7.5#Inuarai_moon_sparkenergy1=7.6#whooshlarge_nervous02=7.7#Inuarai_sword_spark2=8.0#Nekomamusi_reddance_sparksmall=9.8#Hero_KaiDuo_SkillAttack10_07=10.4#Inuarai_moon_sparkenergy2=10.6#NaminewCZ_charge_hit=10.6#EnelCZ_newthunder_longspark3=10.6#kuzanCZ_iceage_explosion=10.6#CVKaidoCZ_dragon=1.6#CVKaidoCZ_lighting2=7.0</t>
  </si>
  <si>
    <t>Particles/kaido005/kaido006_attack16_C</t>
  </si>
  <si>
    <t>Particles/kaido005/kaido006_attack16_DefaultDirLight</t>
  </si>
  <si>
    <t>升龙·火焰八卦</t>
  </si>
  <si>
    <t>11817</t>
  </si>
  <si>
    <t>040_hkn_ht=0#AceCZ_firecolumn_firejump=0#AceCZ_largefire_rage=0.5#Ace_FireBoom=2.4#AceCZ_netfire_spell=2.4#AceCZ_Firecross_firearm=2.4#AceCZ_largefire_burn02=2.4#Ace_FireFlying04=3.7#akainuCZ_absolutelyjustice_firewhoosh=3.7#akainuCZ_evildog_firehand=4.8#akainuCZ_punish_firecast=4.8#AkainuNewCZ_crash_fire=5.9#Bady5_fire_flame=6.2#LuffyCZwake_aoyi_explosion1=7.0#BMCZ_firesky_hit=7.0#LucciCP0CZ_fire_explosion=7.0#se_DragonRoar1=7.8#se_DragonRoar2=7.8#se_DragonRoar2=7.8#AceCZ_netfire_spell=7.9#AceCZ_largefire_burn02=7.9#AceCZ_largefire_cast=8.0#AceCZ_mirrorfire_burn=9.0#AceCZ_mirrorfire_cast02=9.0#BMCZ_firesky_burning=9.0#whoosh_laser=9.3#ZoronewCZ_world_superwhoosh=11.0#akainuCZ_absolutelyjustice_firewhoosh=11.0#AkainuNewCZ_dog_fire1=11.0#BMCZ_poporen_fire3=11.0#ZoronewCZ_tornado_dragon=12.0#ZoronewCZ_tornado_dragon=12.0#BMCZ_poporen_fire2=13.3#AceCZ_netfire_xuli=13.3#AceCZ_mirrorfire_cast02=13.3#AceCZ_firecolumn_explosion=14.3#AceCZ_largefire_hit=14.3</t>
  </si>
  <si>
    <t>Particles/kaido005/kaido007_attack17_C</t>
  </si>
  <si>
    <t>5档路飞01</t>
  </si>
  <si>
    <t>15301</t>
  </si>
  <si>
    <t>brook_SpeedSteps=0.1#Mr1_SpinWind=0.1#UsoppnewCZ_bugstar_slingshotA=0.1#HZG_Luff_Attack02_01=0.7#LuffyCZ_machinegun_swing2=1.1#LuffyCZ_machinegun_swing2=1.1#se_Punch_Hit01=1.135#se_Punch_Hit02=1.2#se_Punch_Hit01=1.235#se_Punch_Hit02=1.335#se_Punch_Hit01=1.4#se_Punch_Hit02=1.44#se_Punch_Hit01=1.535#se_Punch_Hit02=1.635#HZG_Luff_Attack08_01=1.79#UsoppnewCZ_banboo_slingshot=1.9#HZG_Luff_Attack01_04=2.0#LuffyCZwake_aoyi_explosion1=2.7#rockfall_general01=2.8#LuffyCZ_second_jump2=3.3#luffy_Leak_Resume=3.8#</t>
  </si>
  <si>
    <t>nika_001</t>
  </si>
  <si>
    <t>5档路飞02</t>
  </si>
  <si>
    <t>橡皮橡皮·白色印章</t>
  </si>
  <si>
    <t>15302</t>
  </si>
  <si>
    <t>SugerCZ_jump=0.2#LuffyCZ_second_jump1=0.2#kuzanCZ_twosword_jump=0.2#HZG_Luff_Attack05_02=0.7#GarpCZ_wrestle_jump=0.9#ReighleyyoungCZ_pokong_jump=1.0#kick_general01=1.0#kick_general02=1.05#kick_general01=1.1#Nekomamusi_jump=1.5#luffy_Expand02=2.0#luffy_Leak_Resume=2.7</t>
  </si>
  <si>
    <t>5档路飞03</t>
  </si>
  <si>
    <t>橡皮橡皮·白星枪</t>
  </si>
  <si>
    <t>15303</t>
  </si>
  <si>
    <t>BMCZ_weiguo_jump=0.2#ivankov_Spin01=0.3#ivankov_Spin02=0.3#nami_Stick_Spin02=0.4#nami_Stick_Spin02=0.4#HZG_Luff_Attack02_02=1.0#EnelCZ_attack_spark=1.3#EnelCZ_dog_spark2=1.9#punch_hit_giant01=2.1#luffy_Expand02=2.8#luffy_Leak_Resume=3.4</t>
  </si>
  <si>
    <t>5档路飞04</t>
  </si>
  <si>
    <t>橡皮橡皮·巨人·突进</t>
  </si>
  <si>
    <t>15304</t>
  </si>
  <si>
    <t>whooshmedium01=0#whooshmedium03=0#luffy_Expand02=0.8#nami_Stick_Spin02=0.9#nami_Stick_Spin02=0.9#ivankov_Spin01=0.9#ivankov_Spin02=0.9#whooshlarge_slashly01=1.9#kuma_Bubble02=2.0#luffy_Leak_Resume=2.0#kuma_Bubble02=2.0#whooshlarge_nervous=2.1#UsoppnewCZ_flower_appear=2.2#UsoppnewCZ_flower_appear=2.2#SugerCZ_ult_toyappear=2.2#sheephead_rock=3.3#FujitoraCZ_destroy_rock=3.3#luffy_Expand01=4.3#luffy_Expand01=4.3#BMCZ_weiguo_jump=4.3#BMCZ_weiguo_jump=4.3#kuma_Bubble01=4.3#ReighleyyoungCZ_pokong_rockimpact=5.0#EdwardyoungCZ_aoyi_rockup=5.0#g5_luffy04=2.5#</t>
  </si>
  <si>
    <t>Particles/luffy028/luffy028_attack04_C</t>
  </si>
  <si>
    <t>nika_spine03</t>
  </si>
  <si>
    <t>5档路飞05</t>
  </si>
  <si>
    <t>橡皮橡皮·鼹鼠枪</t>
  </si>
  <si>
    <t>15305</t>
  </si>
  <si>
    <t>whooshmedium01=0.1#LuffyCZ_second_jump1=0.2#whooshlarge_general=0.4#kuzanCZ_twosword_jump=0.7#LucciCZ_razor_jump=0.7#HZG_Luff_Attack02_02=1.0#luffy_Leak_Resume=1.1#luffy_Expand01=1.1#luffy_Expand01=1.1#UsoppnewCZ_wolf_slingshotA=1.1#HZG_Luff_Attack01_04=1.2#HZG_Luff_Attack09_08=2.2#HZG_Luff_Attack05_01=2.2#Peronasnew_though_whoosh2=2.3#luffy_Expand02=2.4#luffy_Expand03=2.4#HZG_Luff_Attack06_06=2.4#Hero_XinShanZhi_SkillAttack08_08=2.9#LuffyCZ_machinegun_swing2=2.9#LuffyCZ_machinegun_swing2=2.9#LuffyCZ_machinegun_swing2=3.4#LuffyCZ_machinegun_swing2=3.4#LuffyCZ_machinegun_swing2=3.9#LuffyCZ_machinegun_swing2=3.9#LuffyCZ_machinegun_swing2=4.4#LuffyCZ_machinegun_swing2=4.4#LuffyCZ_machinegun_swing2=4.9#LuffyCZ_machinegun_swing2=4.9#LuffyCZ_machinegun_swing2=5.4#LuffyCZ_machinegun_swing2=5.4#ChopperHeCZ_attack07_whoosh2=5.6#sakazuki_LavaExplo01=5.6#TrebolCZ_ult_explosion=5.7#luffy_Expand02=5.8#usopp_Surprise=5.8#HZG_Luff_Attack04_06=6.7#luffy_Expand01=6.8#usopp_Throw=6.8#usopp_Escape=6.8#usopp_Surprise=6.8#perona_BigExplosion=6.9#TeachNew_darkvanish_explosion=6.9#g5_luffy05_1=3.0#g5_luffy05_2=5.1</t>
  </si>
  <si>
    <t>Particles/luffy028/luffy028_attack05_C</t>
  </si>
  <si>
    <t>4998&amp;&amp;4999</t>
  </si>
  <si>
    <t>nika_001&amp;&amp;nika_spine03</t>
  </si>
  <si>
    <t>5档路飞06</t>
  </si>
  <si>
    <t>形态二普攻</t>
  </si>
  <si>
    <t>ship_Thunder03=0#HZG_Luff_Attack02_02=0.1#HZG_Luff_Attack02_02=0.1#LuffyCZ_second_jump2=0.2#LuffyCZ_second_jump1=0.2#LucciCZ_razor_jump=0.2#OdenCZ_dragon_footrock=0.2#HZG_Luff_Attack01_04=0.4#CarotCZ_huixing_spark=0.5#HZG_Luff_Attack04_04=1.0#EnelCZ_superthunder_hit02=1.2#EnelCZ_superthunder_hit01=1.2#luffy_Expand02=1.9#luffy_Leak_Resume=2.6</t>
  </si>
  <si>
    <t>Particles/luffy028/luffy029_attack07_C</t>
  </si>
  <si>
    <t>nika_handR008</t>
  </si>
  <si>
    <t>5档路飞07</t>
  </si>
  <si>
    <t>橡皮橡皮·白色火箭</t>
  </si>
  <si>
    <t>UsoppnewCZ_bugstar_slingshotB=0.1#EnelCZ_superthunder_hit01=0.1#vivi_Spin02=0.5#vivi_Spin02=0.5#se_SpinShort=0.6#se_SpinShort=0.6#UsoppnewCZ_bugstar_spring=1.3#punch_hit_medium01=1.3#g5_luffy03_1=0#g5_luffy03_2=1.3</t>
  </si>
  <si>
    <t>5档路飞08</t>
  </si>
  <si>
    <t>橡皮橡皮·雷电扩散</t>
  </si>
  <si>
    <t>ship_Thunder03=0#BMCZ_weiguo_jump=0.2#SugerCZ_jump=0.2#HZG_Luff_Attack02_02=0.4#CarotCZ_huixing_spark=0.5#UsoppnewCZ_bugstar_slingshotA=0.5#SmoothieCZ_jump2=1.3#EnelCZ_superthunder_hit01=1.5#BMCZ_honglei_thunder=1.5#luffy_Expand02=2.1#luffy_Leak_Resume=3.0</t>
  </si>
  <si>
    <t>nika_handL001</t>
  </si>
  <si>
    <t>5档路飞09</t>
  </si>
  <si>
    <t>橡皮橡皮·雷电（抛雷电）</t>
  </si>
  <si>
    <t>ship_Thunder03=0#EnelCZ_newthunder_longspark2=0#whooshsmall_general=0.1#BMCZ_honglei_thunder=0.4#ChopperHeCZ_attack08_whoosh1=0.7#ChopperHeCZ_attack08_whoosh2=0.7#Nekomamusi_reddance_spark=0.9#whooshlarge_slashly01=1.2#EnelCZ_newthunder_sparkswing=1.4#whooshlarge_slashly02=2.5#BMCZ_tianhuo_thunder=2.5#whooshmedium01=3.4#BMCZ_leihuo_thunder1=3.4#EnelCZ_superthunder_hit02=3.7#EnelCZ_superthunder_hit01=3.7#g5_luffy01=1.5</t>
  </si>
  <si>
    <t>Particles/luffy028/luffy029_attack09_C</t>
  </si>
  <si>
    <t>Particles/luffy028/luffy029_attack09_DefaultDirLight</t>
  </si>
  <si>
    <t>5档路飞10</t>
  </si>
  <si>
    <t>橡皮橡皮·雷电连击（来回弹）</t>
  </si>
  <si>
    <t>Baby5CZ_whoosh=0#whooshlarge_slashly01=0#HZG_Luff_Attack02_02=1.1#UsoppnewCZ_wolf_slingshotA=1.1#luffy_Leak_Resume=1.8#luffy_Expand01=1.8#HZG_Luff_Attack01_04=1.8#UsoppnewCZ_bugstar_spring=1.8#UsoppnewCZ_bugstar_shot=1.8#EnelCZ_superthunder_hit02=1.8#EnelCZ_superthunder_spark=1.8#NaminewCZ_thunderdance_spark=1.8#whooshlarge_fly01=2.4#whooshmedium01=2.4#BMCZ_leiting_thunder=2.8#EnelCZ_leiying_01=2.9#Nekomamusi_reddance_spark=2.9#EnelCZ_newthunder_longspark3=4.4#EnelCZ_superthunder_spark=4.4#kuma_Laser02=4.4#se_Punch_Hit01=4.4#kuma_Laser02=4.7#se_Punch_Hit01=4.7#kuma_Laser02=4.9#se_Punch_Hit01=4.9#kuma_Laser02=5.0#se_Punch_Hit01=5.0#kuma_Laser02=5.2#se_Punch_Hit01=5.2#kuma_Laser02=5.3#se_Punch_Hit01=5.3#kuma_Laser02=5.4#se_Punch_Hit01=5.4#kuma_Laser02=5.5#se_Punch_Hit01=5.5#kuma_Laser02=5.6#se_Punch_Hit01=5.6#kuma_Laser02=5.7#se_Punch_Hit01=5.7#kuma_Laser02=5.9#se_Punch_Hit01=5.9#kuma_Laser02=6.0#se_Punch_Hit01=6.0#kuma_Laser02=6.2#se_Punch_Hit01=6.2#kuma_LaserShoot02=6.2#se_Punch_Hit01=4.4#kuma_Laser02=4.7#se_Punch_Hit01=4.7#kuma_Laser02=4.9#se_Punch_Hit01=4.9#kuma_Laser02=5.0#se_Punch_Hit01=5.0#kuma_Laser02=5.2#se_Punch_Hit01=5.2#kuma_Laser02=5.3#se_Punch_Hit01=5.3#kuma_Laser02=5.4#se_Punch_Hit01=5.4#kuma_Laser02=5.5#se_Punch_Hit01=5.5#kuma_Laser02=5.6#se_Punch_Hit01=5.6#kuma_Laser02=5.7#se_Punch_Hit01=5.7#kuma_Laser02=5.9#se_Punch_Hit01=5.9#kuma_Laser02=6.0#se_Punch_Hit01=6.0#kuma_Laser02=6.2#se_Punch_Hit01=6.2#kuma_LaserShoot02=6.2#enel_ElectricThunder=6.2#enel_ElectricThunder=6.2#se_Punch_Hit01=5.33#se_Punch_Hit01=5.36#se_Punch_Hit01=5.5#se_Punch_Hit01=5.73#se_Punch_Hit01=5.33#se_Punch_Hit01=5.36#se_Punch_Hit01=5.5#se_Punch_Hit01=5.73#KikuCZ_moon_rock=7.3#Baby5CZ_heavyweapon_explosion=7.5#perona_BigExplosion=7.5</t>
  </si>
  <si>
    <t>Particles/luffy028/luffy029_attack010_C</t>
  </si>
  <si>
    <t>Particles/luffy028/luffy029_attack010_DefaultDirLight</t>
  </si>
  <si>
    <t>5档路飞11</t>
  </si>
  <si>
    <t>霸王色缠绕的一击</t>
  </si>
  <si>
    <t>se_WindLoop1=0#KuzanNewCZ_wind=0#ChopperHeCZ_Attack04_Whoosh=2.9#whooshlarge_slashly01=2.9#whooshmedium01=4.2#BMCZ_honglei_thunder=4.6#Peronasnew_though_whoosh2=5.1#HZG_Luff_Attack09_08=5.1#EnelCZ_newthunder_longspark3=5.1#EnelCZ_newthunder_longspark3=5.1#BMCZ_leiting_thunder=5.5#whoosh_lazer=6.0#EnelCZ_superthunder_hit02=6.1#EnelCZ_superthunder_hit02=6.1#EnelCZ_newthunder_explosion=7.4#ReighleyyoungCZ_pokong_rockimpact=7.4#whooshlarge_nervous=8.2#TeachNew_darkvanish_whoosh=8.2#Purin_whooshback_xuli=8.2#BMCZ_leiting_thunder=8.4#EnelCZ_newthunder_longspark3=8.4#EnelCZ_leiying_01=8.4#ZororHeCZ_BassDrop=9.2#whooshlarge_nervous02=9.2#Nekomamusi_reddance_spark=9.2#whooshmedium03=9.2#EnelCZ_thunderdragon_hit=11.5#ReighleyyoungCZ_pokong_rockstep=11.5#EdwardyoungCZ_aoyi_rockup=11.5#JozzCZ_rock_rockroll2=11.5#GarpHero_onepunch_xuli=11.6#g5_luffy06=3.3#g5_luffy07=4.9#g5_luffy04=9.6#</t>
  </si>
  <si>
    <t>Particles/luffy028/luffy028_attack011_C</t>
  </si>
  <si>
    <t>Particles/luffy028/luffy028_attack011_DefaultDirLight</t>
  </si>
  <si>
    <t>g5_luffy_BGM_1&amp;&amp;g5_luffy_BGM_2</t>
  </si>
  <si>
    <t>5档路飞12</t>
  </si>
  <si>
    <t>橡皮橡皮·猿神枪(落）</t>
  </si>
  <si>
    <t>ChopperHeCZ_Attack04_Whoosh=0#kuzanCZ_iceage_wind=0#UsoppnewCZ_bugstar_whoosh=1.3#UsoppnewCZ_bugstar_whoosh=2.9#whooshlarge_nervous02=2.3#Purin_whooshback_end=3.6#Peronasnew_aoyi_whoosh=5.7#Peronasnew_aoyi_explosion=6.1#UsoppnewCZ_explosion=6.1#Suger_S4_quake=6.1#se_GroundShake01=6.1#CrocodileCZ_samsara_sandcast01=6.1#bltrmo_explodebig=6.4#perona_BigExplosion=6.4#JozzCZ_rock_rockroll1=7.3#UsoppnewCZ_explosion_quake=7.8#JozzCZ_rock_rockroll2=8.6#CV_LuffynewCZ_4gun4=0.4</t>
  </si>
  <si>
    <t>Particles/luffy028/luffy030_attack013_C</t>
  </si>
  <si>
    <t>Particles/luffy028/luffy030_attack013_DefaultDirLight</t>
  </si>
  <si>
    <t>5档路飞13</t>
  </si>
  <si>
    <t>橡皮橡皮·猿神枪（起跳）</t>
  </si>
  <si>
    <t>whooshmedium01=0#whooshlarge_slashly01=0#Carot_spark_small=0.5#whooshlarge_general=0.7#EnelCZ_thunderdragon_spark01=0.9#EnelCZ_dog_spark2=1.4#NaminewCZ_thunderstick_thunder1=1.4#Nekomamusi_reddance_sparksmall=1.5#Baby5CZ_whoosh=1.6#CavedishCZ_superaoyi_whooshstart2=1.9#EnelCZ_superthunder_whoosh=2.1#Purin_whooshback_end=3.1#whooshlarge_nervous=3.4#g5_luffy12=2.3#</t>
  </si>
  <si>
    <t>Particles/luffy028/luffy030_attack012_C</t>
  </si>
  <si>
    <t>Particles/luffy028/luffy030_attack012_DefaultDirLight</t>
  </si>
  <si>
    <t>5档路飞14</t>
  </si>
  <si>
    <t>橡皮橡皮·猿神枪（中间态）</t>
  </si>
  <si>
    <t>ZoronewCZ_world_superwhoosh=0</t>
  </si>
  <si>
    <t>Particles/luffy028/luffy030_attack014_C</t>
  </si>
  <si>
    <t>小菊11</t>
  </si>
  <si>
    <t>鬼手佛心恶行斩破</t>
  </si>
  <si>
    <t>10611</t>
  </si>
  <si>
    <t>Inuarai_sword_cloth=0.1#KikuCZ_huasanluan_swordin2=0.3#KikuCZ_shadow_light=1.0#KikuCZ_aoyi_swing2=1.0#KikuCZ_aoyi_swordin=1.0#rockfall_general01=1.0#slash_large=1.1#slash_large=1.2#slash_large=1.3#zoro_Swing01=1.8#zoro_Swing02=2.0#KikuCZ_attack_swordin=2.9</t>
  </si>
  <si>
    <t>小菊12</t>
  </si>
  <si>
    <t>圆舞斩</t>
  </si>
  <si>
    <t>10612</t>
  </si>
  <si>
    <t>Inuarai_attack_cloth=0.2#KikuCZ_huasanluan_swordin1=0.2#KikuCZ_snowcan_spin=0.6#mihawknew_S4_sword=0.6#mihawknew_S3_sword1=0.6#mihawknew_S8_swordwhoosh=0.6#se_Swordheavy_Hit=0.7#se_Swordheavy_Hit=0.8#se_Swordheavy_Hit=0.9#zoro_Swing01=1.7#zoro_Swing02=1.9#KikuCZ_liaoluan_swordin=3.0</t>
  </si>
  <si>
    <t>小菊13</t>
  </si>
  <si>
    <t>断罪</t>
  </si>
  <si>
    <t>10613</t>
  </si>
  <si>
    <t>KikuCZ_moon_shinning=0#KuzanNewCZ_wind=0#nami_WindBuff=0#LuffyCZ_rocket_wind=0#whooshlarge_general=0#KikuCZ_huasanluan_light=0.5#KikuCZ_liaoluan_swordin=1.8#KikuCZ_liaoluan_buff=1.9#KikuCZ_shadow_light=1.9#whooshlarge_slashly01=2.1#whooshsmall_general=3.3#whooshmedium03=3.3#KikuCZ_huasanluan_swordin1=3.5#KikuCZ_aoyi_swordin=3.6#KaidoCZ_lighting_wind=3.8#Nekomamusi_reddance_wind=3.8#kuzanCZ_iceage_wind=3.8#nami_WindIce=3.8#whooshlarge_nervous02=5.8#whooshlarge_nervous=5.8#whooshlarge_slashly01=7.7#whooshmedium01=7.7#Purin_whooshback_xuli=7.7#KikuCZ_shadow_swordhit=8.5#kiku_moonslash_show=10.0#KikuCZ_shadow_music=10.0#kiku_shadow_night2=10.0#CVKikuCZ_moonslash_3=6.1</t>
  </si>
  <si>
    <t>Particles/kikunojo001/kikunojo001_body_attack013_C</t>
  </si>
  <si>
    <t>s_dao01</t>
  </si>
  <si>
    <t>小菊14</t>
  </si>
  <si>
    <t>随机定位胧影</t>
  </si>
  <si>
    <t>未来岛鲁兹01</t>
  </si>
  <si>
    <t>人形态普攻</t>
  </si>
  <si>
    <t>15401</t>
  </si>
  <si>
    <t>BMCZ_weiguo_cloth=0#LucciCP0CZ_zhiming_swing2=0.3#Roddy_wind=0.3#punch_hit_small01=0.4#se_Kick_Hit01=0.4#LucciCP0CZ_fingergunjump_jump=0.6#punch_hit_small02=0.6#se_Kick_Hit02=0.6#LucciCZ_leopardattack_swing01=0.9#punch_hit_small03=1.1#se_Kick_Hit01=1.1#LucciCP0CZ_sixgun_swing=1.3#se_Punch_FaceHit=1.4#se_Kick_Hit02=1.4#CarotCZ_huixing_cloth=1.5</t>
  </si>
  <si>
    <t>未来岛鲁兹02</t>
  </si>
  <si>
    <t>15402</t>
  </si>
  <si>
    <t>hancocknewMagicwind_2=0.1#BltrmoCZ_cloth_purple=0.1#LucciCP0CZ_fire_punch=0.7#Jack_attack_wind=0.7#LucciCZ_fingergunban_shoot=0.7#LucciCZ_fingergunban_shoot=0.7#LucciCZ_fingergunban_hit02=0.8#EdwardnewCZ_pokong_cloth1=1.4</t>
  </si>
  <si>
    <t>未来岛鲁兹03</t>
  </si>
  <si>
    <t>指枪·斑</t>
  </si>
  <si>
    <t>15403</t>
  </si>
  <si>
    <t>BMCZ_weiguo_cloth=0#LucciCZ_fingergunban_razor=0.3#LucciCZ_fingergun=0.4##LucciCZ_fingergun=0.45##LucciCZ_fingergun=0.5##LucciCZ_fingergun=0.55##LucciCZ_fingergun=0.6##LucciCZ_fingergun=0.65##LucciCZ_fingergun=0.7##LucciCZ_fingergun=0.75##LucciCZ_fingergun=0.8##LucciCZ_fingergun=0.85##LucciCZ_fingergun=0.9##LucciCZ_fingergun=0.95##LucciCZ_fingergun=1.0##LucciCZ_fingergun=1.15##LucciCZ_fingergun=1.2##LucciCZ_fingergun=1.25##LucciCZ_fingergun=1.3##LucciCZ_fingergun=1.35#LucciCZ_fingergun=1.4##LucciCZ_fingergun=1.45##LucciCZ_fingergun=1.5#LucciCZ_fingergun=1.55#LucciCZ_fingergun=1.6##LucciCZ_fingergun=1.65#LucciCZ_fingergun=1.7#LucciCZ_fingergun=1.75#LucciCZ_fingergun=1.8#se_Sword_Hit=0.5#se_Sword_Hit=1.8</t>
  </si>
  <si>
    <t>未来岛鲁兹04</t>
  </si>
  <si>
    <t>铁块</t>
  </si>
  <si>
    <t>15404</t>
  </si>
  <si>
    <t>Hero_DaHe_Buff01=0.1#Baby5CZ_needed_buff2=0.1</t>
  </si>
  <si>
    <t>未来岛鲁兹05</t>
  </si>
  <si>
    <t>纸绘</t>
  </si>
  <si>
    <t>15405</t>
  </si>
  <si>
    <t>mihawkCZ_shark_buff=0.1#LucciCZ_sixgun_buff=0.1</t>
  </si>
  <si>
    <t>未来岛鲁兹08（地面变身）</t>
  </si>
  <si>
    <t>觉醒模式</t>
  </si>
  <si>
    <t>15408</t>
  </si>
  <si>
    <t>KuzanNewCZ_wind=0#se_WindLoop2=0#CarotCZ_huixing_cloth=0#FrankyCZ_wind_energy=0.9#kuzanCZ_iceage_wind=0.9#edward_Windimpact02=1.3#EdwardyoungCZ_storm_wind=1.3#whooshlarge_nervous=2.1#whooshmedium01=2.1#ChoppernewCZ_super_transform=2.1#whooshlarge_slashly01=3.9#Peronasnew_though_whoosh1=3.9#whooshlarge_general=5.1#LucciCP0CZ_fire_punch=5.9#luccilanjiaokainiao=5.9#Peronasnew_though_whoosh2=6.4#Purin_whooshback_cast1=6.4#Peronasnew_though_whoosh3=6.4#LucciCP0CZ_sixgun_hitground1=7.0#LucciCZ_fingergunban_hitground=7.3#LucciCZ_fingergunban_hit02=7.9#whooshmedium03=8.0#sheephead_rock=8.1#FujitoraCZ_destroy_rock=8.1#LucciCP0CZ_bird_whoosh=8.1#Peronasnew_largeghost_whoosh=8.3#LucciCZ_fingergunban_razor=8.3#LucciCZ_fingergunban_razor=8.4#LucciCZ_fingergunban_razor=8.5#8.6#=8.7#LucciCZ_fingergunban_razor=8.8#LucciCZ_fingergunban_razor=9.1#LucciCZ_fingergunban_razor=9.2#LucciCZ_fingergunban_razor=9.3#040_hkn_in=9.9#CrocodileCZ_sandhide=9.9#LucciCZ_leopardsixgun_swing=10.4#LucciCP0CZ_stormkick_jump=10.5##LucciCP0CZ_zhiming_swing2=10.5#LucciCZ_leopardstormkick=10.5#whooshmedium01=11#whooshlarge_nervous02=11.2#whooshmedium01=12.1#LucciCZ_sixgun_cast=12.2#Purin_whooshback_cast2=12.3#Peronasnew_explosion=13.0#Suger_S6_explode_B=13.0#lucciexplode=13.0#JozzCZ_crash_rock=13.8#JozzCZ_crash_rock=13.8#Peronasnew_though_explosionfinal=13.8#perona_BigExplosion=13.8#TeachNew_darkvanish_explosion=13.8#JozzCZ_rock_rockroll2=13.8#JozzCZ_crash_rock=13.8#Lucci_09=0#Lucci_09=0</t>
  </si>
  <si>
    <t>Particles/roblucci009/roblucci009_attack08_C</t>
  </si>
  <si>
    <t>Particles/roblucci009/roblucci009_attack08_DefaultDirLight</t>
  </si>
  <si>
    <t>未来岛鲁兹10(豹形态)普攻</t>
  </si>
  <si>
    <t>豹形态普攻</t>
  </si>
  <si>
    <t>LucciCZ_fingergunban_razor=0.1#LucciCZ_fingergunban_razor=0.2#LucciCZ_fingergunban_razor=0.3#LucciCZ_fingergunban_razor=0.4#LucciCZ_fingergunban_razor=0.6#LucciCZ_fingergunban_razor=0.7#LucciCZ_fingergunban_razor=0.8#LucciCZ_fingergun=0.2#LucciCZ_fingergun=0.25#LucciCZ_fingergun=0.3#LucciCZ_fingergun=0.35#LucciCZ_fingergun=0.4#LucciCZ_fingergun=0.45#LucciCZ_fingergun=0.5#LucciCZ_fingergun=0.55#LucciCZ_fingergun=0.6#LucciCZ_fingergun=0.65#LucciCZ_fingergun=0.7#LucciCZ_fingergun=0.75#LucciCZ_fingergun=0.8#LucciCZ_fingergun=0.85#LucciCZ_fingergun=0.9#LucciCZ_fingergun=0.95#LucciCZ_fingergun=1#LucciCZ_fingergun=1.05#LucciCZ_fingergun=1.1#LucciCZ_fingergun=1.15#se_Sword_Hit=0.3#se_Sword_Hit=0.4#se_Sword_Hit=0.5#se_Sword_Hit=0.6#se_Sword_Hit=0.7#se_Sword_Hit=0.8#se_Sword_Hit=0.9#se_Sword_Hit=1.0#se_Sword_Hit=1.1#LucciCZ_attack_swing03=1.2#LucciCZ_leopardattack_swing01=1.5#LucciCZ_fingergun=1.6#LucciCZ_fingergunban_shoot=1.6#punch_hit_giant01=1.7#punch_hit_small02=1.7#se_Sword_Hit=1.7</t>
  </si>
  <si>
    <t>未来岛鲁兹11(豹形态)小技能</t>
  </si>
  <si>
    <t>LucciCZ_leopardsixgun_cast=0#LucciCZ_leopardsixgun_swing=0.2#ReighleyyoungCZ_pokong_rockstep=0.4#LucciCZ_leopardsixgun_hit=1.2#LucciCP0CZ_sixgun_hitground2=1.2#Roddy_wind=1.3#Lucci_02=0</t>
  </si>
  <si>
    <t>未来岛鲁兹12(豹形态)镜头技</t>
  </si>
  <si>
    <t>手枪</t>
  </si>
  <si>
    <t>GarpCZ_lovepunch_breath=0.3#monster_roar02=0.3#monster_roar01=0.3#smallwolf_roar=0.3#whooshmedium01=1.3#LucciCZ_sixgun_cast=1.9#jozz_Grab=2.0#whoosh_lazer=2.3#whooshlarge_nervous=2.3#Carot_spark_big=2.3#EnelCZ_attack_spark=2.3#whooshlarge_slashly01=3.8#ZororHeCZ_Slay=4.7#law_CriticalHit=4.7#punch_hit_giant01=4.7#Suger_S6_explode_A=4.7#Lucci_01=2.5#Lucci_01=2.5</t>
  </si>
  <si>
    <t>Particles/roblucci009/roblucci012_attack012_C</t>
  </si>
  <si>
    <t>未来岛鲁兹13（变为攻击）</t>
  </si>
  <si>
    <t>攻击模式</t>
  </si>
  <si>
    <t>Baby5CZ_needed_buff2=0.3#LucciCP0CZ_fire_cast=0.3</t>
  </si>
  <si>
    <t>未来岛鲁兹14（变为防御）</t>
  </si>
  <si>
    <t>防御模式</t>
  </si>
  <si>
    <t>LucciCZ_stormkick_cast=0.2#Baby5CZ_needed_buff2=0.3#LucciCP0CZ_fire_cast=0.3</t>
  </si>
  <si>
    <t>未来岛鲁兹15（变为空中）</t>
  </si>
  <si>
    <t>空中模式</t>
  </si>
  <si>
    <t>Baby5CZ_needed_buff2=0.3#RobinnewCZ_legs_handbuff=0.3#LucciCP0CZ_fire_cast=0.3#BltrmoCZ_cloth_purple=0.9#LucciCP0CZ_fingergunjump_jump=1.0</t>
  </si>
  <si>
    <t>未来岛鲁兹01（空中）</t>
  </si>
  <si>
    <t>未来岛鲁兹06（空中）</t>
  </si>
  <si>
    <t>3012202</t>
  </si>
  <si>
    <t>BltrmoCZ_pingzhang_cloth1=0.1#BltrmoCZ_pai_cloth=0.2#LucciCZ_stormkick_cast=0.8#Suger_S6_rock_A=1.0#LucciCZ_stormkick_cast=1.2#Suger_S6_rock_A=1.3#LucciCZ_stormkick_cast=1.5#Suger_S6_rock_A=1.6#LucciCZ_stormkick_cast=1.8#luccilanjiaokainiao=1.8#Suger_S6_rock_A=2.0#LucciCP0CZ_bird_hit=2.0#BMCZ_weiguo_cloth=2.4</t>
  </si>
  <si>
    <t>未来岛鲁兹07（空中）</t>
  </si>
  <si>
    <t>剃刀</t>
  </si>
  <si>
    <t>3012203</t>
  </si>
  <si>
    <t>BltrmoCZ_pingzhang_cloth1=0.1#LucciCZ_fingergunban_razor=0.5#LucciCZ_fingergunban_razor=0.8#LucciCZ_fingergunban_razor=1.1#luccilanjiaokainiao=0.5#Hero_XinLuZi_SkiilAttack01_01=0.5#Hero_XinLuZi_SkillHit01_01=0.5#Hero_XinLuZi_SkiilAttack01_01=0.6#Hero_XinLuZi_SkillHit01_01=0.7#Hero_XinLuZi_SkiilAttack01_01=0.8#Hero_XinLuZi_SkiilAttack01_01=1.0#Hero_XinLuZi_SkiilAttack01_01=1.1#BltrmoCZ_pingzhang_cloth1=1.7#Cavendish_s4_cloth1=1.9</t>
  </si>
  <si>
    <t>未来岛鲁兹09（空中变身）</t>
  </si>
  <si>
    <t>觉醒模式（空中）</t>
  </si>
  <si>
    <t>3012204</t>
  </si>
  <si>
    <t>whooshmedium01=0.2#LucciCZ_leopardattack_swing01=0.3#LucciCZ_razor_jump=0.3#LucciCZ_sixgun_cast=1.0#ChopperHeCZ_attack08_whoosh2=1.4#LucciCZ_fingergunban_razor=1.5#LucciCP0CZ_zhiming_swing1=1.6#Inuarai_attack2_spark1=1.6#Inuarai_moon_spark1=1.6#akainuCZ_attack_punchwhoosh01=1.6#LucciCZ_fingergunban_razor=2.1#LucciCP0CZ_zhiming_swing2=2.1#ChopperHeCZ_attack07_whoosh2=2.1#Inuarai_attack2_spark2=2.1#Inuarai_attack_spark=2.1#akainuCZ_attack_punchwhoosh02=2.1#EnelCZ_dog_spark2=2.7#Inuarai_dianguang_sparkend=2.8#ChopperHeCZ_attack08_whoosh1=3.0#whooshmedium03=3.0#LucciCZ_fingergunban_razor=3.2#LucciCZ_stormkick_cast=3.2#LucciCP0CZ_sixgun_swing=3.2#Inuarai_winddog_sparkhand=3.2#Inuarai_winddog_sparkbig=3.2#EnelCZ_attack_spark=3.9#LucciCZ_leopardsixgun_buff=3.9#LucciCZ_leopardattack_swing01=5.0#LucciCZ_leopardstormkick=5.0#LucciCZ_fingergunban_hit02=5.2#lucciexplode=5.2#ReighleyyoungCZ_pokong_rockimpact=5.2#LucciCZ_fingergunban_hitground=6.2#LucciCZ_leopardsixgun_hit=6.3#UsoppnewCZ_explosion=6.3#KikuCZ_moon_rock=6.3#Lucci_05=3.9#Lucci_05=3.9</t>
  </si>
  <si>
    <t>Particles/roblucci009/roblucci009_attack09_C</t>
  </si>
  <si>
    <t>Particles/roblucci009/roblucci009_attack09_DefaultDirLight</t>
  </si>
  <si>
    <t>指枪（单体）</t>
  </si>
  <si>
    <t>未来岛斯图西01</t>
  </si>
  <si>
    <t>CarotCZ_huixing_cloth=0#se_FootstepHeels01=0.4#se_FootstepHeels01=0.4#040_atd1_ot=0.5#LucciCZ_fingergun=0.9#LucciCZ_fingergunban_shoot=1.0#LucciCZ_fingergun=1.2#LucciCZ_fingergunban_shoot=1.3#LucciCP0CZ_fire_cast=1.3#Cavendish_s4_cloth1=1.7</t>
  </si>
  <si>
    <t>未来岛斯图西02</t>
  </si>
  <si>
    <t>飞指枪多重</t>
  </si>
  <si>
    <t>BltrmoCZ_pingzhang_cloth1=0.1#CavedishCZ_shit_cloth=0.1#ChopperHeCZ_Attack03_Jump1=0.3#sheephead_rock=0.5#LucciCZ_fingergun=0.5#LucciCZ_fingergun=0.6#LucciCZ_fingergun=0.7#LucciCZ_fingergun=0.8#LucciCZ_fingergun=0.9#LucciCZ_fingergun=1.0#LucciCZ_fingergun=1.1#LucciCZ_fingergun=1.2#LucciCZ_fingergun=1.3#LucciCZ_fingergun=1.4#LucciCZ_fingergunban_shoot=0.6#LucciCZ_fingergunban_shoot=0.7#LucciCZ_fingergunban_shoot=0.8#LucciCZ_fingergunban_shoot=0.9#LucciCZ_fingergunban_shoot=1.0#LucciCZ_fingergunban_shoot=1.1#LucciCZ_fingergunban_shoot=1.2#LucciCZ_fingergunban_shoot=1.3#LucciCZ_fingergunban_shoot=1.4#LucciCZ_fingergunban_shoot=1.5#LucciCZ_fingergunban_hit01=1.8#LucciCZ_fingergun=1.9#ReighleyyoungCZ_pokong_rockstep=1.9#LucciCP0CZ_sixgun_hitground3=2.0#EdwardnewCZ_pokong_cloth1=2.1#</t>
  </si>
  <si>
    <t>未来岛斯图西03</t>
  </si>
  <si>
    <t>飞指枪空袭</t>
  </si>
  <si>
    <t>BltrmoCZ_pingzhang_cloth1=0#ChopperHeCZ_Attack03_Jump1=0.3#HZG_Robin_Attack04_12=0.3#CavedishCZ_shit_cloth=0.5#ChopperHeCZ_Attack03_Jump1=0.7#HZG_Robin_Attack04_12=0.7#HZG_Robin_Attack09_03=0.9#LucciCZ_fingergun=1.2#LucciCZ_fingergun=1.3#LucciCZ_fingergun=1.4#LucciCZ_fingergun=1.5#LucciCZ_fingergun=1.6#LucciCZ_fingergunban_shoot=1.3#LucciCZ_fingergunban_shoot=1.4#LucciCZ_fingergunban_shoot=1.#LucciCZ_fingergunban_shoot=1.6#LucciCZ_fingergunban_shoot=1.7#se_Rock_Fall01=1.6#EdwardnewCZ_pokong_cloth1=1.8#CarotCZ_huixing_cloth=1.9#se_FootstepHeels01=2.3#se_FootstepHeels02=2.3#se_FootstepHeels02=3.1#</t>
  </si>
  <si>
    <t>未来岛斯图西05（指枪`背刺）</t>
  </si>
  <si>
    <t>指枪背刺</t>
  </si>
  <si>
    <t>BltrmoCZ_pingzhang_cloth1=0#LucciCZ_attack_swing03=0.4#LucciCZ_leopardstormkick=0.4#LucciCZ_fingergun=1.0#LucciCZ_fingergunban_shoot=1.0#LucciCP0CZ_sixgun_hitground3=1.1#punch_hit_giant01=1.1#LucciCZ_attack_swing03=1.5#LucciCZ_leopardstormkick=1.5</t>
  </si>
  <si>
    <t>未来岛斯图西06（指枪）</t>
  </si>
  <si>
    <t>se_WindLoop1=0#nami_WindBuff=0.2#se_FootstepHeels01=0.5#se_FootstepHeels02=0.5#Baby5CZ_aoyi_foot1=0.5#se_FootstepHeels01=1.0#se_FootstepHeels02=1.0#Baby5CZ_aoyi_foot2=1.0##se_FootstepHeels01=1.6#se_FootstepHeels02=1.6#Baby5CZ_aoyi_foot3=1.6#se_FootstepHeels01=2.2#se_FootstepHeels02=2.2#Baby5CZ_aoyi_foot4=2.2#se_FootstepHeels02=2.7#Baby5CZ_aoyi_foot1=2.7#ChopperHeCZ_attack08_whoosh1=1.2#EdwardyoungCZ_wushuang_cloth1=1.2#ReighleyyoungCZ_aoyi_cloth=1.2#Peronasnew_aoyi_whoosh=1.7#ChoppernewCZ_crash_whoosh3=2.4#se_WindLoop2=3.5#whooshlarge_general=3.6#Mr3_EnergyPop=4.7#nami_PopEcho=4.7#Purin_whooshback_xuli=5.3#FujitoraCZ_hell_whoosh=5.3#whooshmedium01=6.3#Peronasnew_though_whoosh2=6.3#LucciCP0CZ_sixgun_hitground3=6.5#LucciCZ_fingergun=6.5#LucciCZ_fingergunban_shoot=6.5#NaminewCZ_thunderdance_spark=6.8#Margo_explode02=7.5#ReighleyyoungCZ_pokong_rockstep=7.5#Baby5CZ_burning_explosion=7.5#whooshlarge_slashly01=8.5#ChopperHeCZ_Attack04_Whoosh=9.0#whooshsmall_general=9.0#stussy02=4.0#stussy05=9.0#</t>
  </si>
  <si>
    <t>Particles/stussy001/stussy001_attack06_C</t>
  </si>
  <si>
    <t>Particles/stussy001/stussy001_attack06_DefaultDirLight</t>
  </si>
  <si>
    <t>未来岛斯图西04（岚脚）</t>
  </si>
  <si>
    <t>岚脚（蝙蝠形态）</t>
  </si>
  <si>
    <t>BltrmoCZ_pingzhang_cloth1=0#ChopperHeCZ_Attack03_Jump1=0.2#HZG_Robin_Attack04_12=0.2#CavedishCZ_shit_cloth=0.5#ChopperHeCZ_Attack03_Jump1=0.6#HZG_Robin_Attack04_12=0.6#LucciCP0CZ_zhiming_swing2=1.0#LucciCZ_stormkick_cast=1.0#LucciCZ_fingergunban_hit02=1.2#CarotCZ_huixing_cloth=1.5#</t>
  </si>
  <si>
    <t>未来岛斯图西07（纸绘残影）</t>
  </si>
  <si>
    <t>纸绘残影</t>
  </si>
  <si>
    <t>3012603</t>
  </si>
  <si>
    <t>mihawknew_S8_smallwhoosh2=0.1#mihawknew_S8_smallwhoosh1=0.2#whooshmedium01=0.3#kuma_BubblePop=1.1#Mr3_EnergyPop=1.1#nami_PopEcho=1.1#CavedishCZ_rommel_disappear=1.1#whooshlarge_slashly01=1.7#mihawknew_S8_smallwhoosh3=1.7#mihawknew_S8_smallwhoosh1=1.7#kuma_BubblePop=2.3#Mr3_EnergyPop=2.3#nami_PopEcho=2.3#CavedishCZ_rommel_disappear=2.3#mihawknew_S8_smallwhoosh1=3.0#whooshmedium03=3.0#mihawknew_S8_smallwhoosh2=3.1#whooshmedium01=3.1#CavedishCZ_rommel_disappear=3.6#kuma_BubblePop=3.6#Mr3_EnergyPop=3.6#nami_PopEcho=3.6#NaminewCZ_charge_bubble=3.6#Margo_firewhoosh=4.2#Margo_firewhoosh=4.7#Margo_firewhoosh=5.2#Margo_firewhoosh=5.6#Purin_whooshback_xuli=5.6#whooshlarge_nervous=5.8#Mr5_MouthBlow=6.0#FujitoraCZ_hell_whoosh=6.3#Superslash_hit=6.7#law_CriticalHit=6.7#ZororHeCZ_Slay=6.7#kuma_BubblePop=7.5#nami_PopEcho=7.5#Bodyfall=7.9#stussy03=0.2#stussy04=7.5#</t>
  </si>
  <si>
    <t>Particles/stussy001/stussy003_attack07_C</t>
  </si>
  <si>
    <t>Particles/stussy001/stussy003_attack07_DefaultDirLight</t>
  </si>
  <si>
    <t>未来岛斯图西08（剃刀）</t>
  </si>
  <si>
    <t>3012604</t>
  </si>
  <si>
    <t>whooshsmall_general=0#whooshsmall_general=0.2#whooshlarge_slashly01=1.1#whooshmedium01=1.8#Purin_whooshback_cast1=2.0#LucciCZ_attack_swing03=2.0#LucciCZ_leopardstormkick=2.0#Purin_whooshback_cast2=2.5#LucciCZ_attack_swing03=2.5#LucciCZ_leopardstormkick=2.5#mihawknew_S8_smallwhoosh1=2.5#punch_hit_medium01=2.6#ChopperHeCZ_Attack04_Whoosh=3.0#LucciCZ_attack_swing03=3.1#LucciCZ_leopardstormkick=3.1#Purin_whooshback_cast1=3.8#LucciCZ_attack_swing03=3.8#LucciCZ_leopardstormkick=3.8#Purin_whooshback_cast2=4.2#LucciCZ_attack_swing03=4.2#LucciCZ_leopardstormkick=4.2#LuffynewCZ_arms_whoosh2=4.2#whooshmedium03=4.2#Purin_whooshback_cast1=4.5#LucciCZ_attack_swing03=4.5#LucciCZ_leopardstormkick=4.5#whooshmedium03=4.9#FujitoraCZ_destroy_rock=5.0#LucciCP0CZ_bird_whoosh=5.0#Peronasnew_largeghost_whoosh=5.2#LucciCZ_fingergunban_razor=5.2#LucciCZ_fingergunban_razor=5.3##LucciCZ_fingergunban_razor=5.6#LucciCZ_fingergunban_razor=5.7#LucciCZ_fingergunban_razor=5.9#LucciCZ_fingergunban_razor=6.0#LucciCZ_fingergunban_razor=6.2#LucciCZ_fingergunban_razor=6.3#LucciCZ_fingergunban_razor=6.4#LucciCZ_fingergunban_razor=6.5#LucciCZ_fingergunban_razor=6.7#sheephead_rock=5.7#whooshmedium01=7.1#whooshlarge_slashly01=7.6#LucciCZ_leopardsixgun_swing=7.8#040_hkn_in=7.9#LucciCP0CZ_zhiming_swing2=7.9#LucciCZ_leopardstormkick=7.9#Purin_whooshback_cast1=7.9#LucciCZ_attack_swing03=7.9#LucciCZ_leopardstormkick=7.9#LucciCP0CZ_stormkick_jump=7.9#kuma_BubblePop=9.0#Mr3_EnergyPop=9.0#nami_PopEcho=9.0#ZororHeCZ_Disapear=9.0#JozzCZ_crash_rock=9.5#Peronasnew_though_explosionfinal=9.5#perona_BigExplosion=9.5#TeachNew_darkvanish_explosion=9.5#JozzCZ_rock_rockroll2=9.5#JozzCZ_crash_rock=9.5#Peronasnew_aoyi_explosion=9.5#stussy01=0.1#</t>
  </si>
  <si>
    <t>Particles/stussy001/stussy003_attack08_C</t>
  </si>
  <si>
    <t>未来岛斯图西09（蝙蝠普攻）</t>
  </si>
  <si>
    <t>蝙蝠形态普攻</t>
  </si>
  <si>
    <t>未来岛斯图西10（岚脚）</t>
  </si>
  <si>
    <t>岚脚（人形态）</t>
  </si>
  <si>
    <t>锦卫门觉醒09</t>
  </si>
  <si>
    <t>你的对手是在下！</t>
  </si>
  <si>
    <t>ZoronewCZ_lion_sword1=0.1#Hero_JinWeiMen_Attack01_01=0.3#Hero_JinWeiMen_Attack04_01=0.3#se_FootstepGETA=0.4#Suger_S7_foot_L=0.4#CavedishCZ_attack1_swing2=0.9#Hero_JinWeiMen_Attack02_04=1.0#mihawknew_S1_sword=1.0#mihawknew_S1_sword=1.0#akainuCZ_punish_fireup=1.0#Hero_JinWeiMen_Attack05_03=1.7#mihawknew_S3_sword1=1.7#CavedishCZ_attack2_swing1=1.7#ZoronewCZ_swordcatch=2.3#hancocknewCloth_1=2.3#BltrmoCZ_cloth_purple=2.8#Hero_JinWeiMen_Attack06_07=3.0#mihawknew_S2_sword2=3.0#CavedishCZ_attack2_swing2=3.0#AceCZ_Firecross_burntwice=3.0#HancockNewCZ_sweetwind_cloth=3.7#se_FootstepGETA=3.9#Suger_S7_foot_R=3.9#se_FootstepGETA=4.5#Suger_S7_foot_L=4.5#ZoroCZ_evil_swordout1=4.5</t>
  </si>
  <si>
    <t>锦卫门觉醒10</t>
  </si>
  <si>
    <t>你就亲身体会吧！</t>
  </si>
  <si>
    <t>8110</t>
  </si>
  <si>
    <t>ZoronewCZ_lion_sword1=0#Hero_JinWeiMen_Attack02_03=0.2#se_FootstepGETA=0.3#mihawknew_S2_sword1=0.8#AceCZ_netfire_spell=0.8#akainuCZ_punish_fireup=0.8#BMCZ_tianhuo_firehit=0.8#mihawknew_S3_sword2=1.2#AceCZ_netfire_spell=1.2#BMCZ_tianhuo_firehit=1.2#ZoronewCZ_fannao_swordin1=1.7#mihawknew_S1_sword=2.4#mihawknew_S2_sword2=2.4#AceCZ_Firecross_burn=2.4#akainuCZ_punish_firecast=2.4#BMCZ_tianhuo_firehit=2.5#hancocknewCloth_1=3.5#BltrmoCZ_pingzhang_cloth1=3.6#se_FootstepGETA=3.9#Suger_S7_foot_R=3.9#se_FootstepGETA=4.3#Suger_S7_foot_L=4.3#ZoroCZ_evil_swordout1=4.3</t>
  </si>
  <si>
    <t>5097&amp;&amp;5098</t>
  </si>
  <si>
    <t>锦卫门觉醒11</t>
  </si>
  <si>
    <t>狐火流·裂焰斩・流樱</t>
  </si>
  <si>
    <t>8111</t>
  </si>
  <si>
    <t>whooshlarge_general=0#nami_WindBuff=0#kuzanCZ_iceage_wind=0#ZoronewCZ_lion_sword1=0.4#se_FootstepGETA=0.2##se_FootstepGETA=0.7#se_FootstepGETA=1.3#se_FootstepGETA=1.9#BltrmoCZ_foot1=0.2#BltrmoCZ_foot1=0.7#BltrmoCZ_foot1=1.3#BltrmoCZ_foot1=1.9#BltrmoCZ_foot1=2.5#mihawknew_S3_sword1=1.3#mihawknew_S2_sword2=1.4#ZoronewCZ_swordcatch=1.5#UsoppnewCZ_explosion_whoosh=1.8#ZoroCZ_swordin=2.3#ZoronewCZ_lion_sword1=2.5#akainuCZ_absolutelyjustice_jump=3.2#EdwardnewCZ_pokong_jump=3.2#UsoppnewCZ_bugstar_whoosh=3.6#AceCZ_Firecross_burn=4.0#mihawknew_S1_sword=4.1#akainuCZ_punish_fireup=4.1#mihawknew_S2_sword2=4.6#AceCZ_netfire_spell=4.6#akainuCZ_punish_firecast=4.6#akainuCZ_punish_fireup=4.7#kuzanCZ_iceage_wind=5.4#blackbear_DarkExplo=5.5#whooshlarge_nervous=5.6#whoosh_laser=6.8#enel_ElectricHit01=6.8#Hero_JinWeiMen_Attack06_07=6.8#kuzanCZ_iceage_wind=7.6#usopp_Elec_Spark=7.7#enel_ElectricThunder03=7.7#perona_BigExplosion=7.7#NaminewCZ_charge_hit=7.7#CV_kine18_reverb=2.5#CV_kine19_reverb=5.3</t>
  </si>
  <si>
    <t>Particles/kinemon001_body/kinemon001_body_attack011_C</t>
  </si>
  <si>
    <t>锦卫门觉醒12</t>
  </si>
  <si>
    <t>御殿二刀流·桃源十拳</t>
  </si>
  <si>
    <t>8112</t>
  </si>
  <si>
    <t>whooshlarge_general=0#ZoronewCZ_swordcatch=0.2#EdwardyoungCZ_storm_wind=0.2#ZoronewCZ_lion_sword1=1.0#mihawknew_S2_sword2=1.2#ZoroCZ_evil_swordout2=1.2#kumaCZ_hitfly_book=1.2#mihawknew_S1_sword=1.3#enel_ElectricSpeedyHit=1.3#EdwardnewCZ_bodongzhan_ballhit=1.4#kuzanCZ_iceage_wind=1.7#whooshmedium02=1.8#Hero_JinWeiMen_Attack06_07=1.9#akainuCZ_punish_firecast=1.9#ChoppernewCZ_super_transform=1.9#AceCZ_Unkonwfire_hit=3.3#AceCZ_largefire_cast=3.6#whooshmedium01=3.7#whooshlarge_slashly02=4.0#BMCZ_leiting_spark=4.7#BMCZ_tianhuo_spark=4.9#mihawknew_S8_swordreverb=6.3#LuffynewCZ_4_surdo2=6.4#whooshlarge_nervous02=6.5#EnelCZ_attack_spark=6.5#EnelCZ_newthunder_sparkswing=6.5#LuffynewCZ_4_chiba=6.8#Inuarai_dianguang_sparking2=6.8#Hero_JinWeiMen_Attack07_07=6.9#Hero_JinWeiMen_Attack07_07=7.3#Hero_JinWeiMen_Attack07_07=7.4#Hero_JinWeiMen_Attack07_07=7.5#whooshlarge_slashly01=8.1#Inuarai_dianguang_swordspark1=8.1#EnelCZ_attack_spark=8.1#TeachNew_darklord_explosion2=8.6#EnelCZ_newthunder_explosion=8.6#CV_kine02_reverb=4.9#</t>
  </si>
  <si>
    <t>Particles/kinemon001_body/kinemon001_body_attack012_C</t>
  </si>
  <si>
    <t>S小熊01</t>
  </si>
  <si>
    <t>kuma_Bubble01=0.3#nami_Bubble=0.4#Bady5_pistolgirl_shot=0.6#DOF_LineShoot03=0.7</t>
  </si>
  <si>
    <t>S小熊02</t>
  </si>
  <si>
    <t>kuma_BubbleShoots=0.3#DOF_LineShoot03=0.4#DOF_LineShoot03=0.5#DOF_LineShoot03=0.6#DOF_LineShoot03=0.7#DOF_LineShoot03=0.8#DOF_LineShoot03=0.9#DOF_LineShoot03=1.0#DOF_LineShoot03=1.1#DOF_LineShoot03=1.2#DOF_LineShoot03=1.3#DOF_LineShoot03=1.4#Bady5_pistolgirl_shot=1.7#kuma_BubbleShoot01=1.7#hancock_Shoot02=1.9#DOF_LineShoot03=1.9</t>
  </si>
  <si>
    <t>S小熊03</t>
  </si>
  <si>
    <t>ChopperHeCZ_attack08_whoosh2=0.2#DOF_LineShoot02=0.5#kuzan_Iceshoot02=0.5#punch_hit_heavyNPC=0.5</t>
  </si>
  <si>
    <t>S小熊04</t>
  </si>
  <si>
    <t>whooshlarge_general=0#kuma_Bubble02=1.1#kuma_BubblePop=1.1#kuma_BubbleShoot01=1.1#kalifa_pop01=1.1#ZoronewCZ_world_superwhoosh=1.5#Peronasnew_though_whoosh2=3.3#kuma_PopOut=3.5#kalifa_pop02=3.5#nami_PopEcho=3.7#kuma_Bubble01=3.7#hancocknewGlassRise=3.7#HancockNewCZ_bow_kissflying=4.0#kuzan_Iceshoot01=5.6#whooshmedium01=6.1#kuma_Bubble02=6.3#DOF_LineShoot01=6.3#kuma_BubbleShoot01=6.3#kuma_BubblePop=6.3#kumaCZ_sadbubble_bubble=6.3#OdenCZ_shiquan_rock=6.9#UsoppnewCZ_explosion_quake=7.5#AceCZ_firecolumn_explosion=8.7#KaidoCZ_lighting_explosion=8.7#CV_sbear02_slow=4.7#</t>
  </si>
  <si>
    <t>Particles/bear001/bear001_attack04_C</t>
  </si>
  <si>
    <t>5112&amp;&amp;5113</t>
  </si>
  <si>
    <t>S小熊05</t>
  </si>
  <si>
    <t>SmokernewCZ_doublesprite_xuli=0#kuma_Laser01=0.1#Bady5_pistolgirl_xuli=0.5#kumaCZ_lazer_hit=0.5#Baby5CZ_burning_explosion=0.5#</t>
  </si>
  <si>
    <t>5116&amp;&amp;5117&amp;&amp;5118&amp;&amp;5119</t>
  </si>
  <si>
    <t>Bip001_L_Hand&amp;&amp;Bip001_R_Hand&amp;&amp;Dummy001&amp;&amp;Dummy002</t>
  </si>
  <si>
    <t>S小熊06</t>
  </si>
  <si>
    <t>镭射·连续射击</t>
  </si>
  <si>
    <t>Nekomamusi_cannon_xuli=0.3#GarpHero_justice_xuli=0.3#FrankyCZ_attack_shoot=0.4#EdwardyoungCZ_shock_xuli=0.4#Baby5CZ_burning_explosion=0.5#UsoppnewCZ_bugstar_explosionA=0.5#usopp_Explosion=0.6#usopp_Explosion=0.8#usopp_Explosion=1.0#usopp_Explosion=1.2#usopp_Explosion=1.4#usopp_Explosion=1.5</t>
  </si>
  <si>
    <t>5122&amp;&amp;5118&amp;&amp;5119</t>
  </si>
  <si>
    <t>Bip001 Head&amp;&amp;Dummy001&amp;&amp;Dummy002</t>
  </si>
  <si>
    <t>S小熊07</t>
  </si>
  <si>
    <t>镭射·集中射击</t>
  </si>
  <si>
    <t>whooshlarge_general=0.2#UsoppnewCZ_explosion_whoosh=0.4#whooshmedium01=2.7#whoosh_lazer=2.9#EdwardyoungCZ_pokong_xuli1=2.9#whooshlarge_nervous=4.4#kumaCZ_lazer_hit=4.5#NaminewCZ_charge_hit=4.5#TrebolCZ_ult_explosion=4.8#KaidoCZ_lighting_explosion=4.9#CrocodileCZ_samsara_sandcast01=4.9#borsalinoCZ_bachijing_finalexplosion=5.8#perona_BigExplosion=5.8#CV_sbear01=2.4</t>
  </si>
  <si>
    <t>Particles/bear001/bear002_attack07_C</t>
  </si>
  <si>
    <t>Particles/bear001/bear002_attack07_DefaultDirLight</t>
  </si>
  <si>
    <t>S小熊08</t>
  </si>
  <si>
    <t>镭射·轰炸</t>
  </si>
  <si>
    <t>KikuCZ_moon_rock=0#FujitoraCZ_control_rock3=0.9#LuffynewCZ_4rocket=0.9#LuffynewCZ_4rocket=1.2#whooshmedium02=1.9#ZoronewCZ_world_superwhoosh=1.9#se_WindLoop2=2.1#whooshmedium01=3.7#whoosh_lazer=4.0#EdwardyoungCZ_pokong_xuli1=4.0#kumaCZ_lazer_hit=5.1#TeachNew_darklord_explosion2=5.1#FrankyCZ_attack_shoot=5.2#Peronasnew_though_whoosh2=5.4#UsoppnewCZ_bugstar_explosionA=6.4#kiku_moonslash_rock=6.4#TeachNew_darklord_explosion1=6.4#TeachNew_darklord_explosion1=6.6#TeachNew_darklord_explosion1=6.8#TeachNew_darklord_explosion1=7.0#TeachNew_darklord_explosion1=7.2#TeachNew_darklord_explosion1=7.4#TeachNew_darklord_explosion1=7.5#TeachNew_darklord_explosion1=7.7#TeachNew_darklord_explosion1=7.9#CV_sbear04=3.2</t>
  </si>
  <si>
    <t>Particles/bear001/bear002_attack08_C</t>
  </si>
  <si>
    <t>Particles/bear001/bear002_attack08_DefaultDirLight</t>
  </si>
  <si>
    <t>未来岛黑胡子01</t>
  </si>
  <si>
    <t>TeachNew_darkvanish_whiteball=0#EdwardnewCZ_broken_swing=0.5#punch_hit_small03=0.6#punch_hit_heavyNPC=0.6#EdwardnewCZ_storm_swing=0.9#punch_hit_small03=1.0#punch_hit_heavyNPC=1.0#EdwardnewCZ_broken_swing=1.2#punch_hit_small03=1.3#punch_hit_heavyNPC=1.3#TeachNew_jump=2.1#TeachNew_gravity_cast=2.1#edward_Windimpact02=2.1#TeachNew_darkwater_show=2.1#punch_hit_small01=2.3##punch_hit_small01=2.4##punch_hit_small01=2.5#punch_hit_small01=2.6#punch_hit_small01=2.7#punch_hit_small01=2.8</t>
  </si>
  <si>
    <t>5136&amp;&amp;5137</t>
  </si>
  <si>
    <t>未来岛黑胡子02</t>
  </si>
  <si>
    <t>暗玉</t>
  </si>
  <si>
    <t>BltrmoCZ_pingzhang_cloth1=0.1#TeachNew_darkwater_show=0.4#jinbe_Water01=0.4#BltrmoCZ_cloth_bule=0.6#JinbeCZ_shuaijiao_waterwhoosh=0.6#blackbear_DarkOut03=0.7#punch_hit_giant01=0.8#punch_hit_giant01=0.9#punch_hit_giant01=1.0#punch_hit_giant01=1.1#TeachNew_tearing1=1.4#SmoothieCZ_waterslash_charge=1.4#borsalinoCZ_qionggouyu_explosion=3.6#SmoothieCZ_waterslash_point=3.6#punch_hit_giant01=3.7</t>
  </si>
  <si>
    <t>未来岛黑胡子03</t>
  </si>
  <si>
    <t>武装色强击</t>
  </si>
  <si>
    <t>whooshmedium02=0#BltrmoCZ_pai_cloth=0.3#whooshmedium01=0.8#BMCZ_weiguo_cloth=1.0#jozz_Grab=1.1#punch_hit_small02=1.1#whooshmedium03=1.6#BltrmoCZ_pingzhang_cloth2=1.7#whooshsmall_general=2.3#punch_hit_heavyNPC=2.5#se_Punch_FaceHit=2.5#se_punch_03=2.5#ChopperHeCZ_attack08_whoosh1=2.8#ChopperHeCZ_Attack04_Whoosh=3.6#ChopperHeCZ_attack08_whoosh1=3.6#ChopperHeCZ_attack08_whoosh2=3.6#punch_hit_medium01=3.9#se_Punch_Giant_Hit=3.9#CarotCZ_huixing_cloth=4.7</t>
  </si>
  <si>
    <t>Particles/blackbeard005_body/blackbeard005_attack03_c</t>
  </si>
  <si>
    <t>未来岛黑胡子04</t>
  </si>
  <si>
    <t>震海</t>
  </si>
  <si>
    <t>usopp_Cloth=0.2#LuffyCZ_second_xuli=0.2#blackbear_DarkIn01=0.2#TeachNew_jump=0.9#edward_Aexplosion01=1.1#AkainuNewCZ_wind_hit1=1.1#franky_Windshoot=1.1#TeachNew_darklord_broken=1.1#blackbear_DarkIn02=1.1#bltrmo_pingzhangbroken=1.9</t>
  </si>
  <si>
    <t>未来岛黑胡子05</t>
  </si>
  <si>
    <t>TeachNew_darkvanish_appear=0.1#TeachNew_darkvanish_xuli=0.1#Baby5CZ_whoosh=1.4#usopp_Cloth=1.5#LuffyCZ_second_xuli=1.5#blackbear_DarkIn01=1.5#TeachNew_darkvanish_darkball=2.5#TeachNew_jump=2.5#whooshlarge_fly01=2.5#TeachNew_tearing1=2.7#TeachNew_darkvanish_explosion=2.7#whooshmedium01=3.9#TeachNew_shouting_buff=4.3#EdwardyoungCZ_storm_wind=4.3#EdwardnewCZ_bodongzhan_ballhit=5.4#Nekomamusi_cannon_xuli=5.4#EdwardyoungCZ_silie_xuli=-5.4#Purin_whooshback_xuli=6.0#TeachNew_darkwater_cast2_2=6.2#edward_Aexplosion02=7.0#edward_Aexplosion01=7.0#AkainuNewCZ_wind_hit1=7.0#blackbear_DarkIn02=7.0#franky_Windshoot=7.0#RobinnewCZ_legs_rock2=7.8#JozzCZ_crash_rock=7.8#perona_BigExplosion=7.8#franky_Windshoot=7.8#TeachNew_darklord_broken=7.8#BlookenewCZ_soul_broken=7.8</t>
  </si>
  <si>
    <t>Particles/blackbeard005_body/blackbeard005_attack05_C</t>
  </si>
  <si>
    <t>5145&amp;&amp;5146</t>
  </si>
  <si>
    <t>未来岛黑胡子06</t>
  </si>
  <si>
    <t>whooshmedium01=0#KikuCZ_moon_cloth=0#whooshlarge_general=0.4#hancocknewCloth_2=1.2#kumaCZ_sadbubble_cloth=1.6#Suger_S6_rock_A=1.7#whooshlarge_nervous=2.6#TeachNew_darkvanish_xuli=2.6#TeachNew_darkwater_darkamb=2.6#whooshlarge_slashly01=3.7#TeachNew_anliu_swing=4.0#TeachNew_attack_swing=4.4#blackbear_DarkIn01=4.4#blackbear_DarkOut03=4.5#TeachNew_darkvanish_appear=4.5#CrocodileCZ_newmoonsand_swing=4.5#JozzCZ_rock_rockroll1=4.5#blackbear_DarkExplo=4.8#bltrmo_jumprock=6.5#BMCZ_poporen_rock=6.5#RobinnewCZ_legs_rock2=6.5#JozzCZ_crash_rock=6.5#JozzCZ_rock_rockroll2=6.5#blackbear_DarkOut05=7.3#TeachNew_darkwater_cast1=8.1#TeachNew_darkvanish_xuli=9.0#TeachNew_darkwater_cast2_2=10.1#kuzanCZ_iceage_wind=10.1#EdwardnewCZ_punch_xuli1=10.5#TeachNew_anliu_swing=11.0#TeachNew_jump=11.4#KikuCZ_moon_cloth=12.2#TeachNew_attack_swing=12.2#CrocodileCZ_desertslash_sandcast01=12.3#EdwardyoungCZ_aoyi_rock2=12.3#FujitoraCZ_destroy_rock=12.3#JozzCZ_rock_rockroll2=12.3#TeachNew_darkwater_cast2_1=12.3#FujitoraCZ_tiger_rock=13.6#BMCZ_poporen_rock=13.6#BMCZ_poporen_rock=13.8#rockfall_general01=14.0#BMCZ_poporen_rock=14.1#Suger_S6_rock_A=14.3#BMCZ_poporen_rock=14.3#rockfall_general01=14.5#FujitoraCZ_tiger_rock=14.6#BMCZ_poporen_rock=14.6</t>
  </si>
  <si>
    <t>Particles/blackbeard005_body/blackbeard005_attack06_C</t>
  </si>
  <si>
    <t>未来岛黑胡子07</t>
  </si>
  <si>
    <t>震破</t>
  </si>
  <si>
    <t>KuzanNewCZ_wind=0#windbuff2=0#nami_WindBuff=0#whooshlarge_general=0.1#EnelCZ_attack_spark=1.1#maopi_spark1=1.1#EnelCZ_newthunder_sparkswing=1.5#EnelCZ_dog_spark2=1.5#EnelCZ_god_spark=1.5#whooshlarge_nervous=1.9#Inuarai_dianguang_sparkend=2.9#Nekomamusi_reddance_spark=2.9#KozukiOden_Gunghost_spark=2.9#Inuarai_dianguang_swordspark2=2.9#EnelCZ_dog_spark2=3.0#NaminewCZ_thunderdance_hit=3.1#enel_ElectricThunder03=3.1#enel_ElectricSpeedyHit=3.1#SmoothieCZ_waterslash_explosion=3.3#EdwardnewCZ_pokong_water=4.2#SmoothieCZ_giant_waterout=4.4#EdwardyoungCZ_aoyi_rockup=5.2#rockfall_general01=5.2#BMCZ_poporen_rock=5.2#JozzCZ_crash_rock=5.2#BMCZ_poporen_rock=5.4#EdwardyoungCZ_aoyi_rockup=5.4#FujitoraCZ_tiger_rock=5.7#EdwardyoungCZ_aoyi_rockup=6.0#rockfall_general01=6.0#JozzCZ_crash_rock=6.0#UsoppnewCZ_bugstar_whoosh=6.2#ZoronewCZ_world_superwhoosh=6.3#EnelCZ_superthunder_hit02=6.8#NaminewCZ_thundersword_thunder=6.8#EnelCZ_newthunder_longspark3=6.8</t>
  </si>
  <si>
    <t>Particles/blackbeard005_body/blackbeard005_attack07_C</t>
  </si>
  <si>
    <t>5149&amp;&amp;5150</t>
  </si>
  <si>
    <t>Bip001 Head&amp;&amp;Bip001 R Hand</t>
  </si>
  <si>
    <t>Particles/blackbeard005_body/blackbeard005_attack07_DefaultDirLight</t>
  </si>
  <si>
    <t>未来岛黑胡子08</t>
  </si>
  <si>
    <t>暗灾·覆灭</t>
  </si>
  <si>
    <t>usopp_Cloth=0#BltrmoCZ_pingzhang_cloth1=0#se_WindLoop2=0#Inuarai_sword_cloth=0.3#blackbear_DarkIn01=0.3#TeachNew_anliu_cast2=0.4#ZoroCZ_evil_xuli=0.4#nami_WindBuff=0.4#whooshlarge_general=0.7#EdwardnewCZ_bodongzhan_ballhit=2.2#Nekomamusi_cannon_xuli=2.2#EdwardyoungCZ_silie_xuli=2.2#whooshmedium01=2.7#UsoppnewCZ_bugstar_whoosh=2.7#whooshlarge_nervous=3.3#edward_Aexplosion01=4.5#AkainuNewCZ_wind_hit1=4.5#blackbear_DarkIn02=4.5#franky_Windshoot=4.5#edward_Aexplosion02=4.5#whooshlarge_slashly02=4.8#BlookenewCZ_soul_broken=5.6#perona_BigExplosion=5.6#kuzanCZ_iceage_wind=5.6#TeachNew_darkwater_darkamb=6.0#JozzCZ_rock_rockroll2=6.0#CrocodileCZ_samsara_sandcast01=6.0#whooshlarge_slashly01=6.0#JozzCZ_rock_rockroll1=6.0#Peronasnew_though_whoosh1=9.0#TeachNew_darkvanish_appear=9.0#Peronasnew_though_whoosh2=10.2#TeachNew_darkvanish_darkball=10.2#CarotCZ_dianhu_spark=11.1#TeachNew_darkwater_cast1=11.1#Nekomamusi_reddance_sparksmall=11.8#enel_Electric06=11.8#ZoronewCZ_world_superwhoosh=11.8#Nekomamusi_cannon_xuli=12.0#EdwardyoungCZ_broken_xuli=12.0#TeachNew_darkwater_cast3=12.8#perona_BigExplosion=13.0#JinbeCZ_shuaijiao_waterwhoosh=13.0#borsalinoCZ_bachijing_finalexplosion=13.0#blackbear_DarkOut03=13.0</t>
  </si>
  <si>
    <t>Particles/blackbeard005_body/blackbeard005_attack08_C</t>
  </si>
  <si>
    <t>Particles/blackbeard005_body/blackbeard005_attack08_DefaultDirLight</t>
  </si>
  <si>
    <t>未来岛黑胡子09</t>
  </si>
  <si>
    <t>暗水·灭杀</t>
  </si>
  <si>
    <t>TeachNew_darkvanish_darkball=0.8#TeachNew_jump=0.8#TeachNew_darkwater_storm=0.8#TeachNew_darkvanish_explosion=1.8#blackbear_DarkOut04=1.8#whooshlarge_fly01=1.8#whooshlarge_slashly01=2.2#whooshmedium01=2.2#whooshmedium01=3.5#EdwardyoungCZ_storm_wind=3.5</t>
  </si>
  <si>
    <t>Particles/blackbeard005_body/blackbeard005_attack09_C</t>
  </si>
  <si>
    <t>未来岛黑胡子10</t>
  </si>
  <si>
    <t>震碎</t>
  </si>
  <si>
    <t>ZoronewCZ_world_superwhoosh=0#TeachNew_darkvanish_whiteball=0.1#Nekomamusi_cannon_xuli=0.5#LuffyCZ_second_xuli=1.1#usopp_Cloth=1.1#TeachNew_jump=1.1#blackbear_DarkIn01=1.1#ChoppernewCZ_crash_whoosh3=1.2#AkainuNewCZ_wind_hit1=1.3#franky_Windshoot=1.3#TeachNew_darklord_broken=1.3#blackbear_DarkIn02=1.3#edward_Aexplosion01=2.1#rockfall_general01=2.1#BMCZ_poporen_rock=2.1#bltrmo_pingzhangbroken=2.1#franky_Windshoot=2.1#edward_Explosion02=2.1#JozzCZ_rock_rockroll2=2.1</t>
  </si>
  <si>
    <t>Particles/blackbeard005_body/blackbeard005_attack10_C</t>
  </si>
  <si>
    <t>未来岛黑胡子11</t>
  </si>
  <si>
    <t>觉醒· 火拳</t>
  </si>
  <si>
    <t>Ace_Fire05=0#AceCZ_firecolumn_firejump=0#AceCZ_angrypunch_hit1=1.5#AceCZ_Firecross_burn=2.0#jozz_Grab=2.1#AceCZ_angrypunch_cast=3.0#jozz_Grab=3.0#AceCZ_angrypunch_burn2=3.5#AceCZ_Firecross_firearm=4.0#AceCZ_largefire_burn02=4.0#AceCZ_largefire_burn01=5.0#AceCZ_firecolumn_firearm=5.0#BMCZ_poporen_fire2=5.0#akainuCZ_absolutelyjustice_firewhoosh=6.4#AceCZ_firecolumn_cast=7.4#AceCZ_largefire_cast=7.4#AceCZ_largefire_burn02=8.0#AceCZ_angrypunch_hit1=8.0#AceCZ_angrypunch_hit2=8.0#AceCZ_firepunch_cast=8.0#AceCZ_angrypunch_cast=8.0</t>
  </si>
  <si>
    <t>Particles/ace/ace001_attack13_C</t>
  </si>
  <si>
    <t>小丑海盗02帽子两个尖</t>
  </si>
  <si>
    <t>zoro_Swing01=0.4#zoro_Swing02=0.9</t>
  </si>
  <si>
    <t>小丑海盗03秃子</t>
  </si>
  <si>
    <t>smoke_Swing01=0#smoke_Swing01=0.26#smoke_Swing04=0.8</t>
  </si>
  <si>
    <t>阿秋</t>
  </si>
  <si>
    <t>Foot_DeepWater_Wade01=1.13#zoro_Jumpspin=1.13#usopp_Tap=1.13#Foot_DeepWater_Wade01=1.28#zoro_Jumpspin=1.28#usopp_Tap=1.28#Foot_DeepWater_Wade01=1.43#zoro_Jumpspin=1.43#usopp_Tap=1.43</t>
  </si>
  <si>
    <t>步枪海兵</t>
  </si>
  <si>
    <t>Gun_Pistol_Shot03=0.9#Gun_Pistol_Shot03=1.37</t>
  </si>
  <si>
    <t>胖黑猫持刀</t>
  </si>
  <si>
    <t>se_Normalswing=0.5#se_Normalswing=0.83</t>
  </si>
  <si>
    <t>手枪海盗A</t>
  </si>
  <si>
    <t>pistol_gunshot=0.13#pistol_gunshot=0.36#pistol_gunshot=0.67</t>
  </si>
  <si>
    <t>步枪海贼A</t>
  </si>
  <si>
    <t>Gun_Pistol_Shot04=0.13#Gun_Pistol_Shot04=0.46</t>
  </si>
  <si>
    <t>持刀海盗A</t>
  </si>
  <si>
    <t>smoke_Swing02=0.3#kuzan_Swing=0.8</t>
  </si>
  <si>
    <t>步枪海盗B</t>
  </si>
  <si>
    <t>Gun_Pistol_Shot04=0.46#Gun_Pistol_Shot04=0.83</t>
  </si>
  <si>
    <t>火炮海盗A</t>
  </si>
  <si>
    <t>Gun_Reload_Weapon19=0.6#Shotgun_Shot07=1.3</t>
  </si>
  <si>
    <t>单斧海盗</t>
  </si>
  <si>
    <t>se_Slowswing=0.3#se_Slowswing=1#se_Rock_Fall02=1.2</t>
  </si>
  <si>
    <t>胖鱼人</t>
  </si>
  <si>
    <t>kuzan_Swing=0.46#se_Slowswing=0.8</t>
  </si>
  <si>
    <t>黑带</t>
  </si>
  <si>
    <t>kuzan_Swing=0.3#kuzan_Swing02=0.53</t>
  </si>
  <si>
    <t>持刀海盗B</t>
  </si>
  <si>
    <t>kuzan_Swing=0.3#se_Normalswing=0.9#se_Normalswing=1.7</t>
  </si>
  <si>
    <t>火炮海盗B</t>
  </si>
  <si>
    <t>Gun_Reload_Weapon19=0.2#Shotgun_Shot07=0.6</t>
  </si>
  <si>
    <t>毛奇</t>
  </si>
  <si>
    <t>lion_roar=0.1#se_Normalswing=0.85</t>
  </si>
  <si>
    <t>技能1</t>
  </si>
  <si>
    <t>se_Jump01=0#se_Jump02=0.2#se_Normalswing=1.3</t>
  </si>
  <si>
    <t>小怪-胖猫</t>
  </si>
  <si>
    <t>胖猫普攻</t>
  </si>
  <si>
    <t>smoke_Swing02=0</t>
  </si>
  <si>
    <t>小怪-瘦猫</t>
  </si>
  <si>
    <t>瘦猫普攻</t>
  </si>
  <si>
    <t>smoke_Swing04=0.2#smoke_Swing03=0.7#se_Normalswing=1.1#se_Normalswing=1.2#se_Normalswing=1.266#se_Normalswing=1.3333#se_Normalswing=1.4#se_Normalswing=1.4666</t>
  </si>
  <si>
    <t>持刀黑猫</t>
  </si>
  <si>
    <t>黑猫B普攻</t>
  </si>
  <si>
    <t>se_Normalswing=0.63#se_Normalswing=1.13</t>
  </si>
  <si>
    <t>石锤黑猫</t>
  </si>
  <si>
    <t>石锤黑猫普攻</t>
  </si>
  <si>
    <t>se_Slowswing=0.3#se_Rock_Fall02=0.433333333333333</t>
  </si>
  <si>
    <t>小怪-镇长布特尔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</si>
  <si>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01101</t>
    </r>
  </si>
  <si>
    <t>kuzan_Swing=0.2#kuzan_Swing=0.6</t>
  </si>
  <si>
    <t>阔嘴鱼人-猩猩</t>
  </si>
  <si>
    <t>se_Slowswing=0.2#kuzan_Swing=0.8</t>
  </si>
  <si>
    <t>流氓鱼人</t>
  </si>
  <si>
    <t>se_Normalswing=0.41#se_Normalswing=0.51#smoke_Swing04=0.75</t>
  </si>
  <si>
    <t>刺豚鱼人</t>
  </si>
  <si>
    <t>zoro_Swing01=0.26#zoro_Swing02=0.76#kuzan_Swing=1.55</t>
  </si>
  <si>
    <t>普攻-加怒气的</t>
  </si>
  <si>
    <t>se_Jump01=0#Foot_DeepWater_Wade01=0.8#zoro_Jumpspin=0.8#usopp_Tap=0.8#Foot_DeepWater_Wade01=1.5#zoro_Jumpspin=1.5#usopp_Tap=1.5</t>
  </si>
  <si>
    <t>kuzan_Swing=0.6#kuzan_Swing02=0.8</t>
  </si>
  <si>
    <t>Mr.9</t>
  </si>
  <si>
    <t>Mr2_Swing01=0.16#Mr2_Swing01=0.36#smoke_Swing01=0.8#Mr2_Swing01=0.95</t>
  </si>
  <si>
    <t>耐力钢棒</t>
  </si>
  <si>
    <t>se_Jump02=0.5#nami_Cloth=0.6#Mr2_Swing01=1.43#Mr2_Swing01=1.9</t>
  </si>
  <si>
    <t>伊卡莱姆</t>
  </si>
  <si>
    <t>mr8_Trans=0.244#mr8_Attack=0.546</t>
  </si>
  <si>
    <t>喇叭炮攻击</t>
  </si>
  <si>
    <t>nami_Cloth=0.287#mr8_Sax=1#mr8_skill=1.2</t>
  </si>
  <si>
    <r>
      <rPr>
        <sz val="11"/>
        <color theme="1"/>
        <rFont val="宋体"/>
        <charset val="134"/>
      </rPr>
      <t>M</t>
    </r>
    <r>
      <rPr>
        <sz val="11"/>
        <color theme="1"/>
        <rFont val="等线"/>
        <charset val="134"/>
      </rPr>
      <t>s.星期一</t>
    </r>
  </si>
  <si>
    <t>nami_Cloth=0.2#Swish_Rope_WebSwing1=0.5#chopper_Punch01=1.65</t>
  </si>
  <si>
    <t>怪力千斤坠</t>
  </si>
  <si>
    <t>chopper_Punch01=0.37#chopper_Punch01=0.67#chopper_Punch01=1.47#se_Rock_Fall02=1.65</t>
  </si>
  <si>
    <r>
      <rPr>
        <sz val="11"/>
        <color theme="1"/>
        <rFont val="宋体"/>
        <charset val="134"/>
      </rPr>
      <t>M</t>
    </r>
    <r>
      <rPr>
        <sz val="11"/>
        <color theme="1"/>
        <rFont val="等线"/>
        <charset val="134"/>
      </rPr>
      <t>s.情人节</t>
    </r>
  </si>
  <si>
    <t>Mr2_Swing01=0.2#nami_Cloth=0.2#Mr2_Swing02=0.6#nami_Cloth=0.6</t>
  </si>
  <si>
    <t>一万公斤</t>
  </si>
  <si>
    <t>se_Jump01=0#se_MoveEcho=1#se_Rock_Fall02=1.3#SE_012035=1.3</t>
  </si>
  <si>
    <t>棋子</t>
  </si>
  <si>
    <t>Swish_Rope_WebSwing1=0.2#Swish_Rope_WebSwing1=0.3#se_bow=1.3#se_bow=1.4</t>
  </si>
  <si>
    <t>Dummy02</t>
  </si>
  <si>
    <t>火焰箭</t>
  </si>
  <si>
    <t>se_Fire01=0#Swish_Rope_WebSwing1=0.144#se_bow=1.5#se_Fire_Throw=1.5</t>
  </si>
  <si>
    <t>兔子拉邦大佬</t>
  </si>
  <si>
    <t>smoke_Swing01=0#smoke_Swing01=0.35#smoke_Swing01=1.25#smoke_Swing01=1.27</t>
  </si>
  <si>
    <t>se_Jump01=0.6#se_Rock_Fall02=1.2#SE_012035=1.2</t>
  </si>
  <si>
    <t>功夫海牛</t>
  </si>
  <si>
    <t>Mr2_Swing02=0.15#Mr2_Swing02=0.3#Mr2_Swing01=1</t>
  </si>
  <si>
    <t>多尔顿</t>
  </si>
  <si>
    <t>smoke_Swing04=0#smoke_Swing04=0.3#smoke_Swing04=0.7#SE_012035=0.9</t>
  </si>
  <si>
    <t>se_Jump01=0.1#smoke_Swing04=0.65</t>
  </si>
  <si>
    <t>反叛军</t>
  </si>
  <si>
    <t>zoro_Swing02=0.12#zoro_Swing01=0.47#smoke_PunchesCloth=1</t>
  </si>
  <si>
    <t>持枪铁桶护卫队</t>
  </si>
  <si>
    <t>se_Rifle_Shot04=0.4#se_Rifle_Shot04=0.9</t>
  </si>
  <si>
    <t>圣诞快乐</t>
  </si>
  <si>
    <t>Mr2_Swing01=0.216#Mr2_Swing01=0.582</t>
  </si>
  <si>
    <t>se_Jump01=0#se_Dig01=0.4#se_Dig01=1.175#Mr2_Swing01=1.747#Mr2_Swing01=1.975#se_Dig01=2.5</t>
  </si>
  <si>
    <t>se_Sniff01=0.135#se_Sniff02=1#se_Jump01=2.782#se_Dig01=3.219#se_Dig02=3.3#se_Dig01=3.812#se_DirtJump=4.573#se_Jump02=4.657#Mr2_Swing01=5.393#Mr3_Arrow=5.403#se_Swordheavy_Hit=5.559</t>
  </si>
  <si>
    <t>Particles/christmas001/christmas001_attack03_c</t>
  </si>
  <si>
    <t>叛军A02</t>
  </si>
  <si>
    <t>se_Rifle_Shot04=0.8</t>
  </si>
  <si>
    <t>叛军B01</t>
  </si>
  <si>
    <t>zoro_Swing02=0.3#smoke_PunchesCloth=1.2#smoke_Swing04=1.1</t>
  </si>
  <si>
    <t>叛军B02</t>
  </si>
  <si>
    <t>se_Rifle_Shot04=0.65</t>
  </si>
  <si>
    <t>海军领队</t>
  </si>
  <si>
    <t>zoro_Swing02=0#zoro_Swing02=0.2#se_MoveEcho=0.8#zoro_Swing01=1.1</t>
  </si>
  <si>
    <t>里霸斯</t>
  </si>
  <si>
    <t>franky_Cannon_Shoot=0.53#franky_Cannon_Shoot=1.03#franky_Punch_Heavy=1</t>
  </si>
  <si>
    <t>萨奇斯</t>
  </si>
  <si>
    <t>Mr2_Swing02=0.2#buggy_Swing01=0.23#Mr2_Swing02=0.5#buggy_Swing01=0.56</t>
  </si>
  <si>
    <t>持刀铁桶护卫队</t>
  </si>
  <si>
    <t>zoro_Swing02=0.3#zoro_Swing02=0.8#zoro_Swing01=1.1</t>
  </si>
  <si>
    <t>钝器国王军</t>
  </si>
  <si>
    <t>smoke_Swing01=0.2#zoro_Swing02=0.3#smoke_Swing01=0.82#zoro_Swing02=0.92</t>
  </si>
  <si>
    <t>持弓国王军</t>
  </si>
  <si>
    <t>Swish_Rope_WebSwing1=0.2#se_bow=0.5#Swish_Rope_WebSwing1=0.9#se_bow=1.4</t>
  </si>
  <si>
    <t>海贼头目狼牙棒</t>
  </si>
  <si>
    <t>nami_Cloth=0#smoke_Swing01=0.158#SE_012035=0.7#kuma_HitGround=0.7</t>
  </si>
  <si>
    <t>smoke_Swing01=0#smoke_Swing04=0.519#Swish_SwingHugeShovel=0.704#Robin_Swing05=0.949#smoke_Swing01=0.6#smoke_Swing01=1</t>
  </si>
  <si>
    <t>海贼头目</t>
  </si>
  <si>
    <t>zoro_Swing01=0.2#zoro_Swing02=0.63</t>
  </si>
  <si>
    <t>艾比达</t>
  </si>
  <si>
    <t>艾比达船员1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</si>
  <si>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01801</t>
    </r>
  </si>
  <si>
    <t>艾比达船员2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</si>
  <si>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01901</t>
    </r>
  </si>
  <si>
    <t>艾比达船员3</t>
  </si>
  <si>
    <r>
      <rPr>
        <sz val="11"/>
        <color theme="1"/>
        <rFont val="等线"/>
        <charset val="134"/>
      </rPr>
      <t>2</t>
    </r>
    <r>
      <rPr>
        <sz val="11"/>
        <color theme="1"/>
        <rFont val="等线"/>
        <charset val="134"/>
      </rPr>
      <t>02001</t>
    </r>
  </si>
  <si>
    <t>贝雷帽近战</t>
  </si>
  <si>
    <t>105801</t>
  </si>
  <si>
    <t>se_Jump02=0#Mr2_Swing02=0.2#Mr2_Swing01=0.3#Mr2_Swing02=0.93#Mr2_Swing01=1.03</t>
  </si>
  <si>
    <t>贝雷帽远程</t>
  </si>
  <si>
    <t>105901</t>
  </si>
  <si>
    <t>Swish_Rope_WebSwing1=0#se_bow=0.5#Swish_Rope_WebSwing1=0.65#se_bow=1.2</t>
  </si>
  <si>
    <t>神兵A</t>
  </si>
  <si>
    <t>106001</t>
  </si>
  <si>
    <t>smoke_Swing02=0#chopper_Punch02=0.639#se_Jump01=0.957#smoke_Swing04=1.03#chopper_Punch03=1.136#Mr2_Swing02=1.474</t>
  </si>
  <si>
    <t>神兵B</t>
  </si>
  <si>
    <t>106101</t>
  </si>
  <si>
    <t>smoke_Swing04=0.1#Mr2_Swing02=0.5#se_Jump01=0.74#se_EnergyOut=0.85#chopper_Punch02=1.225#se_Rock_Fall02=1.386</t>
  </si>
  <si>
    <t>阿悟</t>
  </si>
  <si>
    <t>nami_Cloth=0#Awu_Sp01=0.08#Awu_Sp01=0.337#nami_Cloth=0.354#Awu_Sp02=0.61#Mr2_Swing01=0.849#Mr2_Swing01=1.063#Mr2_Swing01=1.519#Mr2_Swing02=1.521</t>
  </si>
  <si>
    <t>Awu_Sp01=0.126#Awu_Sp02=0.4#Awu_Sp01=0.6#Awu_Sp02=0.873#Mr2_Swing02=1.146#se_Impact01=1.556#se_Impact02=1.6#se_Impact03=1.655</t>
  </si>
  <si>
    <t>Awu_Sp01=0.2#chopper_JumpThrow=0.2#Awu_Sp03=0.2#smoke_Swing04=0.543#Mr2_Swing02=0.652#grenade_boom=0.9#Awu_Sp02=1.446</t>
  </si>
  <si>
    <t>修罗</t>
  </si>
  <si>
    <t>Swish_SwingHugeShovel=0#garp_Cloth02=0.125#Mr2_Swing02=0.369#smoke_Swing02=0.561#Mr2_Swing01=1</t>
  </si>
  <si>
    <t>Mr2_Swing01=0.1#se_Fire_Throw=0.1#Mr2_Swing01=1.473#Mr2_Swing01=1.569#Mr2_Swing01=1.643#Mr2_Swing01=1.8#Mr2_Swing01=1.938#Mr2_Swing01=2.073#Mr2_Swing01=2.2#Mr2_Swing01=2.3#Mr2_Swing01=2.4#Mr2_Swing01=2.6#Mr2_Swing01=2.734#Mr2_Swing01=2.8</t>
  </si>
  <si>
    <t>绳之试炼</t>
  </si>
  <si>
    <t>nami_Cloth=0.3#garp_Cloth02=1.025#Explo_Small_Web=1.7#Smash_LargeSpiderWebForm=2.3#Web_LaunchShot1=2.816#Smash_LargeSpiderWebForm=3.172#Web_LaunchShot1=3.581#Web_LaunchShot1=3.784#Swish_Rope_WebSwing1=3.985#Swish_Rope_WebSwing1=3.986</t>
  </si>
  <si>
    <t>Particles/shura001_body/shura001_body_attack03_c</t>
  </si>
  <si>
    <t>涅槃</t>
  </si>
  <si>
    <t>nami_Cloth=0.2#smoke_Swing02=1</t>
  </si>
  <si>
    <t>喷气拳</t>
  </si>
  <si>
    <t>garp_Cloth02=0#kuma_PopOut=0.5#smoke_Swing02=0.732#chopper_Punch03=1.089</t>
  </si>
  <si>
    <t>沼之试炼</t>
  </si>
  <si>
    <t>se_Jump01=0.6#garp_Cloth02=1#smoke_SteamFlying04=1.739#smoke_SteamCharge01=1.954#enel_SlowSight=2.224#smoke_Swing04=3.2#usopp_Tap=4.28#se_Punch_Giant_Hit=4.351#se_Shoot_Hit=4.351#GasBomb_Discharge3=4.3</t>
  </si>
  <si>
    <r>
      <rPr>
        <sz val="11"/>
        <color theme="1"/>
        <rFont val="等线"/>
        <charset val="134"/>
      </rPr>
      <t>Particles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gedatsu001_body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gedatsu001_body_attack03_c</t>
    </r>
  </si>
  <si>
    <t>欧姆</t>
  </si>
  <si>
    <t>tashigi_Swing01=0.131#zoro_Swing01=0.2#mihawk_Swing01=0.2#mihawk_Swing02=0.588#nami_Wind_Push=0.55</t>
  </si>
  <si>
    <t>云之穿梭</t>
  </si>
  <si>
    <t>mihawk_Swing01=0.469#zoro_Swing01=0.469#zoro_Slash=0.678#smoke_SteamFlying03=0.678#SE_012035=1.035#se_Rock_Fall01=1.035#mihawk_ObjFlying01=1.109#SE_012035=1.374#SE_012035=1.627</t>
  </si>
  <si>
    <t>云之剑</t>
  </si>
  <si>
    <t>mihawk_EnergyIn=0#zoro_Swing01=0.4#mihawk_Swing01=0.4#zoro_Slash=0.52#tashigi_Swing01=1#mihawk_Swing01=1.56</t>
  </si>
  <si>
    <r>
      <rPr>
        <sz val="11"/>
        <color theme="1"/>
        <rFont val="宋体"/>
        <charset val="134"/>
      </rPr>
      <t>Dummy0</t>
    </r>
    <r>
      <rPr>
        <sz val="11"/>
        <color theme="1"/>
        <rFont val="宋体"/>
        <charset val="134"/>
      </rPr>
      <t>03</t>
    </r>
  </si>
  <si>
    <t>佩鲁</t>
  </si>
  <si>
    <t>garp_Cloth01=0#zoro_Swing01=0.25#zoro_Swing01=0.5</t>
  </si>
  <si>
    <t>se_Jump01=0.482#se_Jump02=0.66#se_Rush01=0.81#smoke_PunchesCloth=0.929#se_Jump02=1.5#se_Rush01=1.66#smoke_PunchesCloth=1.8</t>
  </si>
  <si>
    <t>恰卡</t>
  </si>
  <si>
    <t>zoro_Swing01=0.2#zoro_Swing02=0.5</t>
  </si>
  <si>
    <t>鸣牙</t>
  </si>
  <si>
    <t>se_Jump02=0.2#se_Rush01=0.4#se_Jump02=0.8#se_Rush01=1</t>
  </si>
  <si>
    <t>兔子拉邦小弟</t>
  </si>
  <si>
    <t>smoke_Swing01=0#SE_012035=0.3#se_Rock_Fall02=0.3#smoke_Swing01=0.5#SE_012035=0.8#se_Rock_Fall02=0.8</t>
  </si>
  <si>
    <t>沙漠装-步枪海军</t>
  </si>
  <si>
    <t>106801</t>
  </si>
  <si>
    <t>se_ShotgunReload=0#Shotgun_Shot08=1.2#Shotgun_Shot08=1.9</t>
  </si>
  <si>
    <t>沙漠装-单刀海军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</si>
  <si>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06901</t>
    </r>
  </si>
  <si>
    <t>zoro_Swing02=0.1#zoro_Swing02=0.33#usopp_Cloth=0.833#zoro_Swing01=1.472</t>
  </si>
  <si>
    <t>火炮海军A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</si>
  <si>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07001</t>
    </r>
  </si>
  <si>
    <t>franky_Cannon_Shoot=0.074#franky_Cannon_Shoot=0.4#franky_Cannon_Shoot=1.35</t>
  </si>
  <si>
    <t>火炮海军B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</si>
  <si>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07101</t>
    </r>
  </si>
  <si>
    <t>franky_Cannon_Shoot=0.75#franky_Cannon_Shoot=1.35</t>
  </si>
  <si>
    <t>沙漠装-单刀海军B</t>
  </si>
  <si>
    <t>107201</t>
  </si>
  <si>
    <t>zoro_Swing02=0.109#se_MoveEcho=0.181#kuzan_Swing=0.733#zoro_Swing01=0.8</t>
  </si>
  <si>
    <t>沙漠装-火炮海军</t>
  </si>
  <si>
    <r>
      <rPr>
        <sz val="11"/>
        <color theme="1"/>
        <rFont val="等线"/>
        <charset val="134"/>
      </rPr>
      <t>1</t>
    </r>
    <r>
      <rPr>
        <sz val="11"/>
        <color theme="1"/>
        <rFont val="等线"/>
        <charset val="134"/>
      </rPr>
      <t>07301</t>
    </r>
  </si>
  <si>
    <t>franky_Cannon_Shoot=1.15#franky_Cannon_Shoot=1.847</t>
  </si>
  <si>
    <t>战士-螳螂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</si>
  <si>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07401</t>
    </r>
  </si>
  <si>
    <t>se_Jump02=0#zoro_Jumpspin=0.1#zoro_Swing01=0.5#zoro_Swing02=0.8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</si>
  <si>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07402</t>
    </r>
  </si>
  <si>
    <t>nami_Cloth=0#se_Jump01=0.551#smoke_Swing03=0.995#sanji_Kick_Heavy=1.176#se_MoveEcho=1.444#sanji_Circle=1.476#se_MoveEcho=1.578</t>
  </si>
  <si>
    <t>山迪亚战士A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</si>
  <si>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09201</t>
    </r>
  </si>
  <si>
    <t>Swish_Rope_WebSwing1=0#se_bow=0.55</t>
  </si>
  <si>
    <t>山迪亚战士B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</si>
  <si>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09301</t>
    </r>
  </si>
  <si>
    <t>nami_Cloth=0#smoke_Swing03=0.35#smoke_Swing01=0.7</t>
  </si>
  <si>
    <t>旧神-甘·福尔</t>
  </si>
  <si>
    <t>107501</t>
  </si>
  <si>
    <t>smoke_Swing03=0#smoke_Swing03=0.246#se_Jump01=0.542#tashigi_Swing01=0.504#smoke_Swing03=1#kuzan_Swing02=1#kuzan_Swing02=1.668#se_Impact02=2.0#kuma_HitGround=2.061</t>
  </si>
  <si>
    <t>拉基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</si>
  <si>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12101</t>
    </r>
  </si>
  <si>
    <t>se_Jump02=0#Mr2_Swing02=0.5#Gun_Pistol_Shot02=0.9#Gun_Pistol_Shot02=1.4</t>
  </si>
  <si>
    <t>加血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</si>
  <si>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12102</t>
    </r>
  </si>
  <si>
    <t>nami_Cloth=0.2#chopper_Heal=1#vivi_Magic01=1.3</t>
  </si>
  <si>
    <r>
      <rPr>
        <sz val="11"/>
        <color theme="1"/>
        <rFont val="宋体"/>
        <charset val="134"/>
      </rPr>
      <t>898&amp;&amp;</t>
    </r>
    <r>
      <rPr>
        <sz val="11"/>
        <color theme="1"/>
        <rFont val="宋体"/>
        <charset val="134"/>
      </rPr>
      <t>899</t>
    </r>
  </si>
  <si>
    <t>root&amp;&amp;Bip001 L Finger01</t>
  </si>
  <si>
    <t>巴利</t>
  </si>
  <si>
    <t>107601</t>
  </si>
  <si>
    <t>Mr2_Swing01=0.2#Mr2_Swing01=0.5#Mr2_Swing02=0.7#Mr2_Swing01=0.95</t>
  </si>
  <si>
    <t>八字绳结</t>
  </si>
  <si>
    <t>107602</t>
  </si>
  <si>
    <t>sanji_Kick=0.16#nami_Cloth=0.49#se_Jump02=0.65#Mr2_Swing02=1.07#Swish_SwingHugeShovel=1.07#se_StormKick=1.1#Swish_Rope_WebSwing1=1.71</t>
  </si>
  <si>
    <t>泰鲁斯通</t>
  </si>
  <si>
    <t>107701</t>
  </si>
  <si>
    <t>Mr2_Swing02=0#smoke_Swing01=0.335#SE_012035=0.771#se_Rock_Fall02=0.771</t>
  </si>
  <si>
    <t>技能2</t>
  </si>
  <si>
    <t>107702</t>
  </si>
  <si>
    <t>se_Jump01=0#Mr2_Swing02=0.474#franky_Cannon_Shoot=0.8#usopp_Explosion=0.85#nami_Cloth=1.288</t>
  </si>
  <si>
    <t>赞拜</t>
  </si>
  <si>
    <t>107801</t>
  </si>
  <si>
    <t>nami_Cloth=0#Shotgun_Shot08=0.6#usopp_Explosion=0.6#Shotgun_Shot08=0.9#Shotgun_Shot08=1.2#usopp_Explosion=1.2</t>
  </si>
  <si>
    <t>107802</t>
  </si>
  <si>
    <t>smoke_Swing03=0#se_Punch_FaceHit=0.25#nami_Cloth=0.649#Shotgun_Shot08=1.05#usopp_Explosion=1.05</t>
  </si>
  <si>
    <t>瓦杰</t>
  </si>
  <si>
    <t>107901</t>
  </si>
  <si>
    <t>smoke_Swing01=0.103#Mr2_Swing01=0.2#se_Jump02=0.6#Mr2_AttackHeavy04=0.8#Mr2_Swing01=0.8</t>
  </si>
  <si>
    <t>107902</t>
  </si>
  <si>
    <t>nami_Cloth=0.2#Mr2_Attacks01=1.8#Mr2_Attacks01_Short=2.865#sanji_Kick=3.55#nami_Cloth=3.6</t>
  </si>
  <si>
    <t>921&amp;&amp;922</t>
  </si>
  <si>
    <t>技能3</t>
  </si>
  <si>
    <t>107903</t>
  </si>
  <si>
    <t>nami_Cloth=1.26#smoke_Swing01=1.8#Mr2_Swing01=2#Mr2_AttackHeavy04=2.1#Male_BigSniff_Breath2=3.4#Mr3_Arrow=3.5#se_Rock_Fall02=3.6#Male_BigSniff_Breath3=3.6#Mr3_Arrow=3.6#Mr3_Arrow=3.9#se_Rock_Fall02=3.9#Mr3_Arrow=4.2#se_Rock_Fall02=4.2</t>
  </si>
  <si>
    <t>Particles/tilejie001_body/tilejie001_body_attack03_C</t>
  </si>
  <si>
    <t>尼罗</t>
  </si>
  <si>
    <t>108001</t>
  </si>
  <si>
    <t>Mr2_Swing02=0#sanji_Kick=0.226#sanji_Kick=0.227#se_Jump02=0.265#se_Jump01=0.558#smoke_Swing01=0.653#sanji_Kick=0.905#Mr2_AttackHeavy04=0.9</t>
  </si>
  <si>
    <t>108002</t>
  </si>
  <si>
    <t>Robin_Hand03=0#chopper_Bottlecrash=0.1#vivi_Magic03=0.1#sanji_Circle=0.28</t>
  </si>
  <si>
    <t>108003</t>
  </si>
  <si>
    <t>Mr2_Swing02=0#se_Jump01=0.364#sanji_Kick=0.364#cp9_StormKick=0.365#se_Jump02=0.646#sanji_Kick=0.731#cp9_StormKick=0.731#Mr2_AttackHeavy04=0.836</t>
  </si>
  <si>
    <t>布鲁诺</t>
  </si>
  <si>
    <t>108201</t>
  </si>
  <si>
    <t>se_Jump02=0.04#sanji_Kick=0.137#Mr2_Swing02=0.6#cp9_FingerGun=1.155</t>
  </si>
  <si>
    <t>108202</t>
  </si>
  <si>
    <t>nami_Cloth=0#se_DoorOpen=0.305#se_MoveEcho=0.907#se_DoorOpen=1.2#se_MoveEcho=1.654#smoke_Swing04=2.273</t>
  </si>
  <si>
    <t>Particles/blueno001_body/blueno001_body_attack02_C</t>
  </si>
  <si>
    <t>108203</t>
  </si>
  <si>
    <t>sanji_Kick=1#sanji_Kick=1.8#Swish_SwingHugeShovel=2.995#sanji_Kick=3.195#sanji_Kick=3.293#sanji_Kick=3.395#sanji_Kick=3.515#sanji_Kick=3.621#sanji_Kick=3.72#sanji_Kick=3.821#sanji_Kick=3.941#sanji_Kick=4.048#sanji_Kick=4.146#sanji_Kick=4.221#sanji_Kick=4.248#sanji_Kick=4.368#sanji_Kick_Heavy=4.518#SE_012035=4.731#se_Rock_Fall02=4.795</t>
  </si>
  <si>
    <t>Particles/blueno001_body/blueno001_body_attack03_C</t>
  </si>
  <si>
    <t>928&amp;&amp;929</t>
  </si>
  <si>
    <t>root&amp;&amp;Bip001 R Foot</t>
  </si>
  <si>
    <t>斯巴达姆</t>
  </si>
  <si>
    <t>108301</t>
  </si>
  <si>
    <t>zoro_Swing02=0.13#zoro_Swing01=0.55</t>
  </si>
  <si>
    <t>108302</t>
  </si>
  <si>
    <t>Mr2_Swing02=0.5#mihawk_Swing01=1.381#zoro_Swing01=1.381#se_Elephant=1.5</t>
  </si>
  <si>
    <t>108401</t>
  </si>
  <si>
    <t>sanji_Kick=0.122#smoke_Swing02=0.122#sanji_Kick=0.549</t>
  </si>
  <si>
    <t>108402</t>
  </si>
  <si>
    <t>sanji_Kick=0.099#se_Jump01=0.4#Mr2_Swing01=0.699#kuzan_Swing=0.851#sanji_Kick=1.102</t>
  </si>
  <si>
    <t>108403</t>
  </si>
  <si>
    <t>sanji_Kick=0.81#cp9_StormKick=0.871#Mr2_Swing01=1.54#kuzan_Swing=1.636#cp9_StormKick=1.636#cp9_StormKick=1.884</t>
  </si>
  <si>
    <t>Particles/coby002_body/coby002_body_attack03_C</t>
  </si>
  <si>
    <t>108501</t>
  </si>
  <si>
    <t>nami_Cloth=0#zoro_Swing01=0.181#zoro_Swing01=0.581</t>
  </si>
  <si>
    <t>108502</t>
  </si>
  <si>
    <t>nami_Cloth=0#buggy_SwingCircle02=0.29#zoro_Swing01=0.666#se_Jump01=1#se_MoveEcho=1.285#Mr2_Swing01=1.373#Mr2_Swing01=1.5</t>
  </si>
  <si>
    <t>基威</t>
  </si>
  <si>
    <t>108701</t>
  </si>
  <si>
    <t>Mr2_Swing01=0.35#Mr2_Swing01=0.6</t>
  </si>
  <si>
    <t>108702</t>
  </si>
  <si>
    <t>Mr2_Swing01=0.25#Mr2_Swing02=0.31#Mr2_Swing01=0.57#se_Jump02=1.088#Mr2_Swing01=1.4#Mr2_Swing01=1.75#se_Jump01=2.282#Mr2_Swing01=2.6</t>
  </si>
  <si>
    <t>摩兹</t>
  </si>
  <si>
    <t>108801</t>
  </si>
  <si>
    <t>Mr2_Swing01=0.25#se_Jump01=0.682#Mr2_Swing02=0.8#Mr2_Swing01=1.2</t>
  </si>
  <si>
    <t>108802</t>
  </si>
  <si>
    <t>Mr2_Swing01=0.173#se_Jump02=0.264#Mr2_Swing01=0.674#Mr2_Swing01=1.044#Mr2_Swing02=1.044#se_Jump01=1.529#Mr2_Swing01=1.913#Mr2_Swing02=1.913</t>
  </si>
  <si>
    <t>脸谱</t>
  </si>
  <si>
    <t>108901</t>
  </si>
  <si>
    <t>nami_Cloth=0#vivi_Spin01=0.2#chopper_Punch03=0.933#se_SpinShort=1.226</t>
  </si>
  <si>
    <t>108902</t>
  </si>
  <si>
    <t>nami_Cloth=0.1#smoke_Swing03=0.36#chopper_Punch03=0.49#Pickup_Misc14=0.65#SE_012035=0.68</t>
  </si>
  <si>
    <t>108903</t>
  </si>
  <si>
    <t>nami_Cloth=0#se_SpinShort=0.166#se_SpinShort=0.426#chopper_Punch03=1#chopper_Punch03=1.4#chopper_Punch03=2.041#Mr2_Swing01=2.07</t>
  </si>
  <si>
    <t>技能4</t>
  </si>
  <si>
    <t>108904</t>
  </si>
  <si>
    <t>nami_Cloth=0.357#Mr3_BigSwing=1.226#se_Jump01=1.8#smoke_Swing01=2.147#SE_012035=2.6#usopp_Explosion=2.6#franky_Swing02=2.96#vivi_Spin01=3.252#vivi_Spin01=4.026#se_Jump02=4.75#se_Fire_Throw=4.95#chopper_Punch03=5.488#Ace_Fire03=5.488#se_Jump01=5.882#smoke_Swing01=6.4#chopper_Punch03=6.651#franky_Fire_Shoot01=6.651#Ace_Fire01=7.039#nami_Cloth=8.439</t>
  </si>
  <si>
    <t>Particles/kumadori001_body/kumadori001_body_attack04_C</t>
  </si>
  <si>
    <t>946&amp;&amp;947</t>
  </si>
  <si>
    <t>root&amp;&amp;wq</t>
  </si>
  <si>
    <t>海军上校A</t>
  </si>
  <si>
    <t>109001</t>
  </si>
  <si>
    <t>nami_Cloth=0#zoro_Swing01=0.405#smoke_Swing02=0.7#se_Rock_Fall02=1.2</t>
  </si>
  <si>
    <t>海军上校B</t>
  </si>
  <si>
    <t>109101</t>
  </si>
  <si>
    <t>nami_Cloth=0#zoro_Swing01=0.4#Mr2_Swing02=0.47#zoro_Swing01=0.82#Mr2_Swing02=0.89</t>
  </si>
  <si>
    <t>铁锤船工</t>
  </si>
  <si>
    <t>109401</t>
  </si>
  <si>
    <t>smoke_Swing03=0#smoke_Swing03=0.23#Mr2_Swing02=0.793#smoke_Swing04=0.803</t>
  </si>
  <si>
    <t>弗兰奇家族A</t>
  </si>
  <si>
    <t>109501</t>
  </si>
  <si>
    <t>brook_Swing02=0.2#brook_Swing03=0.4</t>
  </si>
  <si>
    <t>弗兰奇家族B</t>
  </si>
  <si>
    <t>109601</t>
  </si>
  <si>
    <t>zoro_Swing02=0.1#zoro_Swing02=0.4#zoro_Swing01=0.7#zoro_Swing01=0.9</t>
  </si>
  <si>
    <t>弗兰奇家族C</t>
  </si>
  <si>
    <t>109701</t>
  </si>
  <si>
    <t>Mr2_Swing02=0.35#zoro_Swing01=0.7#zoro_Swing01=1</t>
  </si>
  <si>
    <t>司法犬部队</t>
  </si>
  <si>
    <t>109801</t>
  </si>
  <si>
    <t>Mr2_Swing02=0.7#se_Normalswing=0.75#Mr2_Swing02=1#se_Normalswing=1.05#Mr2_Swing02=1.2</t>
  </si>
  <si>
    <t>有罪陪审团</t>
  </si>
  <si>
    <t>109901</t>
  </si>
  <si>
    <t>nami_Cloth=0#smoke_Swing02=0.157#franky_Swing01=0.346#se_MetalChain01=0.4#franky_Swing02=0.512#smoke_Swing01=0.712#SE_012035=1.131#se_Rock_Fall02=1.131#se_MetalChain01=1.442#franky_Swing01=1.546</t>
  </si>
  <si>
    <t>持枪CP9 A</t>
  </si>
  <si>
    <t>110001</t>
  </si>
  <si>
    <t>Mr2_Swing02=0.2#Gun_Pistol_Shot06=0.6#Gun_Pistol_Shot06=0.8</t>
  </si>
  <si>
    <t>持枪CP9 B</t>
  </si>
  <si>
    <t>110101</t>
  </si>
  <si>
    <t>se_Jump02=0#Shotgun_Shot08=0.8#Gun_Pistol_Shot02=0.85</t>
  </si>
  <si>
    <t>海军大佐A</t>
  </si>
  <si>
    <t>110201</t>
  </si>
  <si>
    <t>Mr2_Swing02=0.2#Shotgun_Shot08=0.7#Gun_Pistol_Shot02=0.7#Shotgun_Shot08=1.4#Gun_Pistol_Shot02=1.4</t>
  </si>
  <si>
    <t>海军大佐B</t>
  </si>
  <si>
    <t>110301</t>
  </si>
  <si>
    <t>Mr2_Swing02=0.1#Gun_Pistol_Shot01=1.4#Gun_Pistol_Shot01=1.7</t>
  </si>
  <si>
    <t>福克西</t>
  </si>
  <si>
    <t>210701</t>
  </si>
  <si>
    <t>Mr2_Swing02=1#Mr2_Swing01=1.321#Mr2_Swing01=1.494</t>
  </si>
  <si>
    <t>210702</t>
  </si>
  <si>
    <t>nami_Cloth=0#mihawk_Energy=0#Pickup_Spirit05=0.34#Pickup_Magic51=1.814#Pickup_Scifi_Energy08=1.814</t>
  </si>
  <si>
    <t>210703</t>
  </si>
  <si>
    <t>nami_Cloth=0#mihawk_Energy=0#Pickup_Spirit05=0.197#Mr2_Swing01=0.8#Pickup_Magic44=0.844#foxy_magic=0.967#Mr2_Swing01=1.429#Pickup_Scifi_Energy08=1.471</t>
  </si>
  <si>
    <t>992&amp;&amp;994</t>
  </si>
  <si>
    <t>root&amp;&amp;Bip001 R Finger0Nub</t>
  </si>
  <si>
    <t>210704</t>
  </si>
  <si>
    <t>nami_Wind_Push=0#se_CannonShoot01=0.2#nami_Shoot=0.2#smoke_FastPunches=1.8#smoke_FastPunchesShort=2.954#kuma_SwingSlowly=3.57#chopper_Punch02=4.1#franky_Punch_Heavy=4.1</t>
  </si>
  <si>
    <t>Particles/foxy001_body/foxy001_body_attack04_C</t>
  </si>
  <si>
    <t>波尔茜</t>
  </si>
  <si>
    <t>210801</t>
  </si>
  <si>
    <t>nami_Cloth=0.087#vivi_Spin02=0.3#Mr2_Swing01=1#nami_Wind_Push=1</t>
  </si>
  <si>
    <t>210802</t>
  </si>
  <si>
    <t>nami_Cloth=0.087#chopper_Luck=0.48#nami_Wind_Push=1.071#luffy_Steam_End=1.071#smoke_SteamFlying02=1.071#kalifa_MagicClean=1.4</t>
  </si>
  <si>
    <t>997&amp;&amp;998</t>
  </si>
  <si>
    <t>root&amp;&amp;Bip001 R Finger31</t>
  </si>
  <si>
    <t>汉堡</t>
  </si>
  <si>
    <t>210901</t>
  </si>
  <si>
    <t>nami_Cloth=0#franky_Swing01=0.434#franky_Punch_Heavy=0.434#franky_Swing02=0.75#franky_Punch_Heavy=0.75#franky_Punch_Heavy=1.539#SE_012035=1.65#se_Rock_Fall02=1.65</t>
  </si>
  <si>
    <t>皮克鲁斯</t>
  </si>
  <si>
    <t>211201</t>
  </si>
  <si>
    <t>nami_Cloth=0#Swish_SwingHugeShovel=0.576#Mr2_Attacks01_Short=0.746#Swish_SwingHugeShovel=0.95#Swish_SwingHugeShovel=1.2#Mr2_Attacks01_Short=1.356#Swish_SwingHugeShovel=1.988#Mr2_AttackHeavy04=2.076</t>
  </si>
  <si>
    <t>211202</t>
  </si>
  <si>
    <t>nami_Cloth=0#Swish_Rope_WebSwing1=0.285#se_Jump02=0.9#Swish_SwingHugeShovel=1.388#se_Rush01=1.46#Mr2_AttackHeavy04=1.581</t>
  </si>
  <si>
    <t>三头犬</t>
  </si>
  <si>
    <t>111301</t>
  </si>
  <si>
    <t>monster_roar01=0#monster_roar02=0.859#dog_attack=0.859#dog_attack=1.45</t>
  </si>
  <si>
    <t>辛德丽</t>
  </si>
  <si>
    <t>108601</t>
  </si>
  <si>
    <t>Mr2_Swing02=0.2#se_Jump02=0.35#Mr2_Swing01=0.76</t>
  </si>
  <si>
    <t>普攻mod2</t>
  </si>
  <si>
    <t>108602</t>
  </si>
  <si>
    <t>se_Jump02=0.4#se_Throw01=0.43#se_Jump02=0.652#se_Throw02=0.7#se_Jump02=0.75#se_Jump02=0.918#se_Throw03=0.96#se_DishBroken01=1#se_DishBroken02=1.166#se_Jump02=1.2#se_Throw03=1.23#se_DishBroken02=1.466#se_DishBroken01=1.766</t>
  </si>
  <si>
    <t>僵尸A</t>
  </si>
  <si>
    <t>110501</t>
  </si>
  <si>
    <t>Zombie_Voice02=0#se_Normalswing=0.96#se_Normalswing=1.26</t>
  </si>
  <si>
    <t>僵尸B</t>
  </si>
  <si>
    <t>110601</t>
  </si>
  <si>
    <t>Zombie_Voice03=0#Mr2_Swing01=0.3#Mr2_Swing01=0.7</t>
  </si>
  <si>
    <t>僵尸C</t>
  </si>
  <si>
    <t>110701</t>
  </si>
  <si>
    <t>Zombie_Voice04=0#Mr2_Swing01=0.1#Mr2_Swing01=0.36#Mr2_Swing01=0.83</t>
  </si>
  <si>
    <t>僵尸D</t>
  </si>
  <si>
    <t>110801</t>
  </si>
  <si>
    <t>Zombie_Voice05=0#Mr2_Swing01=0.33#Mr2_Swing01=0.63</t>
  </si>
  <si>
    <t>僵尸E</t>
  </si>
  <si>
    <t>111001</t>
  </si>
  <si>
    <t>Zombie_Voice06=0#Mr2_Swing01=0.33#Mr2_Swing01=0.53</t>
  </si>
  <si>
    <t>僵尸F</t>
  </si>
  <si>
    <t>111101</t>
  </si>
  <si>
    <t>Zombie_Voice05=0#Mr2_Swing01=0.46#se_Jump02=0.6#Mr2_Swing01=1.06</t>
  </si>
  <si>
    <t>僵尸G</t>
  </si>
  <si>
    <t>111201</t>
  </si>
  <si>
    <t>Zombie_Voice04=0#Mr2_Swing01=0.33#se_Jump01=0.5#Mr2_Swing01=0.66#Mr2_Swing01=1.2</t>
  </si>
  <si>
    <t>盔甲僵尸A</t>
  </si>
  <si>
    <t>111401</t>
  </si>
  <si>
    <t>se_Armor02=0#se_Jump02=0.1#se_Armor03=0.2#smoke_Swing03=0.15#se_Armor04=0.7#se_Armor01=1#smoke_Swing01=0.9</t>
  </si>
  <si>
    <t>盔甲僵尸B</t>
  </si>
  <si>
    <t>111501</t>
  </si>
  <si>
    <t>se_Armor01=0#se_Armor03=0.3#se_Slowswing=0.3#mihawk_Swing03=0.3#se_Armor02=0.9#se_Slowswing=0.9#mihawk_Swing02=0.9#se_Armor04=1.2#mihawk_Swing01=1.26</t>
  </si>
  <si>
    <t>动物僵尸河马</t>
  </si>
  <si>
    <t>111601</t>
  </si>
  <si>
    <t>nami_Cloth=0#zoro_Swing02=0.53#moria_Swing03=0.76#zoro_Swing01=1.33</t>
  </si>
  <si>
    <t>动物僵尸熊猫</t>
  </si>
  <si>
    <t>111701</t>
  </si>
  <si>
    <t>se_MetalChain01=0#franky_Swing01=0.288#se_Jump01=0.682#se_MetalChain01=0.787#franky_Swing02=0.8#se_MetalChain02=0.881#se_MetalChain03=1.73#SE_012035=1.8#se_Rock_Fall02=1.8</t>
  </si>
  <si>
    <t>僵尸树</t>
  </si>
  <si>
    <t>111801</t>
  </si>
  <si>
    <t>se_Leaves01=0#nami_Cloth=0#se_Leaves02=0.423#chopper_Punch03=0.787#se_Leaves01=0.787#se_Leaves02=1#se_Rock_Fall02=0.919#SE_012035=1.019#se_Leaves01=1.153#chopper_Punch03=1.223#se_Rock_Fall02=1.366#SE_012035=1.466#se_Leaves02=1.366</t>
  </si>
  <si>
    <t>惊吓盒子</t>
  </si>
  <si>
    <t>111901</t>
  </si>
  <si>
    <t>smoke_Swing03=0.2#Mr2_Funny02=0.359#smoke_Swing03=0.506#buggy_Funny02=0.765#smoke_Swing03=1.095#bellamy_Spring01=1.1#buggy_Funny03=1.2#Mr2_Funny02=1.21</t>
  </si>
  <si>
    <t>蜘蛛猴儿</t>
  </si>
  <si>
    <t>捶地</t>
  </si>
  <si>
    <t>Mr2_Swing02=0.336#SE_012035=0.636#Explo_Small_Web=0.736</t>
  </si>
  <si>
    <t>二连</t>
  </si>
  <si>
    <t>nami_Cloth=0.087#Web_LaunchShot1=0.282#nami_Cloth=0.632#Web_LaunchShot1=0.841</t>
  </si>
  <si>
    <t>天降蛛网</t>
  </si>
  <si>
    <t>nami_Cloth=0.8#Mr2_Swing02=1.274#Mr2_Swing02=1.974#Explo_Small_Web=2.7#Explo_Small_Web=2.871#Explo_Small_Web=3.071#Explo_Small_Web=3.271#Web_LaunchShot1=4.2#Web_LaunchShot1=4.4#Web_LaunchShot1=4.641</t>
  </si>
  <si>
    <t>Particles/ateles001_body/ateles001_body_attack03_C</t>
  </si>
  <si>
    <t>野猪萝拉</t>
  </si>
  <si>
    <t>zoro_Swing01=0.248#se_Rock_Fall02=0.348#zoro_Swing02=0.6#se_Rock_Fall02=0.7#zoro_Swing01=1.143#se_Rock_Fall02=1.243</t>
  </si>
  <si>
    <t>se_Jump01=0#tashigi_Swing01=0.025#tashigi_Swing01=0.094#SE_012035=0.931</t>
  </si>
  <si>
    <t>技能2（镜头）</t>
  </si>
  <si>
    <t>se_Rush_Long=0#nami_Cloth=0#se_RushSteps=0.37#cp9_GroundImpact=1.659#se_Jump01=1.942#smoke_SteamFlying08=2.319#Mr2_Funny02=2.755#SE_012035=3#kuma_HitGround=3.103</t>
  </si>
  <si>
    <t>Particles/boar001_body/boar001_body_attack03_C</t>
  </si>
  <si>
    <t>风之治五郎</t>
  </si>
  <si>
    <t>zoro_Swing01=0.126#zoro_Swing01=0.466#zoro_Swing01=0.84#zoro_Slash=1.74</t>
  </si>
  <si>
    <t>技能（烦恼风）</t>
  </si>
  <si>
    <t>zoro_Jumpspin=0#zoro_Jumphit=0.491#zoro_Obj_Flying=0.634#zoro_Sheath_End=1.683</t>
  </si>
  <si>
    <t>技能（一文字斩）</t>
  </si>
  <si>
    <t>nami_Cloth=0.087#zoro_Slash=0.712#zoro_Swordenergy=0.8#zoro_Slash_Long=0.863</t>
  </si>
  <si>
    <t>狗头企鹅</t>
  </si>
  <si>
    <t>se_Jump02=0#sanji_Kick=0.316</t>
  </si>
  <si>
    <t>se_Jump01=0#sanji_Kick=0.5#sanji_Kick=0.9#sanji_Kick=1.6</t>
  </si>
  <si>
    <t>Mr2_Funny01=0#se_Jump01=0.6#zoro_Jumpspin=0.6#sanji_Kicks_Speed=1.328#sanji_Kick=2.881#buggy_Funny02=3</t>
  </si>
  <si>
    <t>Particles/penguin001_body/penguin001_body_attack03_C</t>
  </si>
  <si>
    <t>奥兹</t>
  </si>
  <si>
    <t>113001</t>
  </si>
  <si>
    <t>moria_Swing03=1#kuma_HitGround=1.281#moria_GroundImpact=1.299#se_Rock_Fall01=1.299</t>
  </si>
  <si>
    <t>113002</t>
  </si>
  <si>
    <t>Swish_SwingHugeShovel=0.9#se_RockFall02VmUp=1.235#SE_012035=1.235#kuma_HitGround=1.235</t>
  </si>
  <si>
    <t>113003</t>
  </si>
  <si>
    <t>kuzan_Swing02=1.2#se_HugeSwing=1.2#se_Punch_Giant_Hit=1.4#nami_Wind_Push=1.4#kuma_HitGround=1.4</t>
  </si>
  <si>
    <t>肚皮砸地板（镜头）</t>
  </si>
  <si>
    <t>113004</t>
  </si>
  <si>
    <t>mihawk_EnergySp01=0#se_Jump01=1.532#zoro_Jumpspin=1.532#kuzan_Swing02=1.6#chopper_Ultramove=1.904#SE_012035=4.065#se_RockFall02VmUp=4.065#kuma_HitGround=4.065#perona_GroundHit=4.065</t>
  </si>
  <si>
    <t>Particles/oades001_body/oades001_body_attack04_c</t>
  </si>
  <si>
    <t>10,12.2,0</t>
  </si>
  <si>
    <t>飞天捶地（镜头）</t>
  </si>
  <si>
    <t>113005</t>
  </si>
  <si>
    <t>chopper_Ultramove=0#garp_Jump01=1.195#kuzan_Swing02=1.374#smoke_SteamFlying06=1.683#mihawk_EnergySp01=4#luffy_Punch_Giant02=5.849#luffy_Scratch_Punch=5.849#SE_012035=6#se_RockFall02VmUp=6#kuma_HitGround=6.106#perona_GroundHit=6.1</t>
  </si>
  <si>
    <t>Particles/oades001_body/oades001_body_attack05_c</t>
  </si>
  <si>
    <t>飞天机关枪（镜头）</t>
  </si>
  <si>
    <t>113006</t>
  </si>
  <si>
    <t>aozi_ao=8.77#aozi_hits=10.57#luffy_Punch_Giant02=12.585#SE_012035=12.789#se_RockFall02VmUp=12.789</t>
  </si>
  <si>
    <t>Particles/oades001_body/oades001_body_attack06_c</t>
  </si>
  <si>
    <t>飞鱼A</t>
  </si>
  <si>
    <t>113101</t>
  </si>
  <si>
    <t>Gun_Pistol_Shot06=0.74#Gun_Pistol_Shot06=0.823#Gun_Pistol_Shot01=0.892#Gun_Pistol_Shot06=0.968#Gun_Pistol_Shot06=1.068#Gun_Pistol_Shot01=1.21#Gun_Pistol_Shot05=1.3#Gun_Pistol_Shot01=1.5</t>
  </si>
  <si>
    <t>-4.5</t>
  </si>
  <si>
    <t>1196&amp;&amp;1197</t>
  </si>
  <si>
    <t>Bip001 L Finger1&amp;&amp;Bip001 R Finger1</t>
  </si>
  <si>
    <t>飞鱼B</t>
  </si>
  <si>
    <t>113201</t>
  </si>
  <si>
    <t>nami_Cloth=0#Swish_SwingHugeShovel=0.433#SE_012035=0.865#se_Rock_Fall02=0.895</t>
  </si>
  <si>
    <t>-3</t>
  </si>
  <si>
    <t>新海盗A</t>
  </si>
  <si>
    <t>113301</t>
  </si>
  <si>
    <t>Mr2_Swing01=0.2#nami_Cloth=0.5#se_Jump01=0.5#Mr2_Swing01=0.83</t>
  </si>
  <si>
    <t>新海盗B</t>
  </si>
  <si>
    <t>113401</t>
  </si>
  <si>
    <t>chopper_Punch03=0.16#chopper_Punch03=0.36#chopper_Punch01=1</t>
  </si>
  <si>
    <t>新海盗C</t>
  </si>
  <si>
    <t>113501</t>
  </si>
  <si>
    <t>Mr2_Swing01=0.33#Mr2_Swing01=0.7#nami_Cloth=0.8</t>
  </si>
  <si>
    <t>新海盗D</t>
  </si>
  <si>
    <t>113601</t>
  </si>
  <si>
    <t>Mr2_Swing01=0.16#Mr2_Swing01=0.4#nami_Cloth=0.6#se_Jump01=0.7#Mr2_Swing01=1.26</t>
  </si>
  <si>
    <t>橡胶长枪（奥兹专用）</t>
  </si>
  <si>
    <t>se_Jump01=0#luffy_Punchlong=0.744#se_Rock_Fall01=0.883</t>
  </si>
  <si>
    <t>一级绞肉（奥兹专用）</t>
  </si>
  <si>
    <t>串烧（奥兹专用）</t>
  </si>
  <si>
    <t>迪巴鲁</t>
  </si>
  <si>
    <t>迪巴鲁普攻</t>
  </si>
  <si>
    <t>113701</t>
  </si>
  <si>
    <t>nami_Cloth=0#Gun_NailRifle_Shot04=0.6#Punch_Boxing_BodyHit04=0.6#Gun_NailRifle_Shot03=1.023#Punch_Boxing_BodyHit04=1.023</t>
  </si>
  <si>
    <t>迪巴鲁飞空炮</t>
  </si>
  <si>
    <t>113702</t>
  </si>
  <si>
    <t>nami_Cloth=0#se_Jump01=0.146#zoro_Jumpspin=0.202#Gun_NailRifle_Shot04=0.84#Punch_Boxing_BodyHit04=0.84#se_Rock_Fall01=0.84#Gun_NailRifle_Shot03=0.931#SE_012035=1#se_Rock_Fall02=1#Punch_Boxing_BodyHit04=0.931</t>
  </si>
  <si>
    <t>新海盗A远程</t>
  </si>
  <si>
    <t>普攻（速度最快）</t>
  </si>
  <si>
    <t>113801</t>
  </si>
  <si>
    <t>nami_Cloth=0#Gun_Pistol_Shot05=0.7#Gun_Pistol_Shot01=0.923</t>
  </si>
  <si>
    <t>新海盗B远程</t>
  </si>
  <si>
    <t>普攻（全体）</t>
  </si>
  <si>
    <t>113901</t>
  </si>
  <si>
    <t>nami_Cloth=0#franky_Cannon_Shoot=0.2#Ace_Fire03=0.3#Gun_Reload_Weapon19=0.754#franky_Cannon_Shoot=1.4#Ace_Fire04=1.656</t>
  </si>
  <si>
    <t>新海盗C远程</t>
  </si>
  <si>
    <t>114001</t>
  </si>
  <si>
    <t>新海盗D远程</t>
  </si>
  <si>
    <t>普攻（九宫）</t>
  </si>
  <si>
    <t>114101</t>
  </si>
  <si>
    <t>nami_Cloth=0#franky_Cannon_Shoot=0.8#franky_Cannon_Shoot=1.547</t>
  </si>
  <si>
    <t>拍卖场杂兵（近战）</t>
  </si>
  <si>
    <t>114201</t>
  </si>
  <si>
    <t>zoro_Swing01=0.281#zoro_Swing02=0.6</t>
  </si>
  <si>
    <t>查尔罗斯</t>
  </si>
  <si>
    <t>114301</t>
  </si>
  <si>
    <t>Gun_Pistol_Shot01=0.523#Gun_Pistol_Shot01=0.962</t>
  </si>
  <si>
    <t>反复横跳</t>
  </si>
  <si>
    <t>114302</t>
  </si>
  <si>
    <t>nami_Cloth=0#se_Jump02=0.26#cp9_GroundImpact=0.529#se_Jump02=0.6#cp9_GroundImpact=0.923#se_Jump02=1.046#cp9_GroundImpact=1.418#se_Jump02=1.559#cp9_GroundImpact=1.872</t>
  </si>
  <si>
    <t>精准射击</t>
  </si>
  <si>
    <t>114303</t>
  </si>
  <si>
    <t>Gun_Pistol_Shot01=0.623#Gun_Pistol_Shot01=0.982#Gun_Pistol_Shot01=1.523#buggy_Funny01=2.4</t>
  </si>
  <si>
    <t>金盏花1</t>
  </si>
  <si>
    <t>三连斩（单体）</t>
  </si>
  <si>
    <t>114401</t>
  </si>
  <si>
    <t>jinbe_Swing05=0.044#mihawk_Swing01=0.4#buggy_Swing01=0.426#jinbe_Swing01=0.6#buggy_Swing01=0.705#jinbe_Swing01=1.21#buggy_Swing01=1.3</t>
  </si>
  <si>
    <t>金盏花2</t>
  </si>
  <si>
    <t>喷毒（全体）</t>
  </si>
  <si>
    <t>114402</t>
  </si>
  <si>
    <t>calendula_Split02=0.312#calendula_Split01=0.4#calendula_Venom=0.4</t>
  </si>
  <si>
    <t>金盏花3</t>
  </si>
  <si>
    <t>重击+铁山（单体）</t>
  </si>
  <si>
    <t>114403</t>
  </si>
  <si>
    <t>nami_Cloth=0#kuzan_Swing02=0.4#franky_Swing02=0.46#buggy_Swing01=0.53#mihawk_Swing01=1.36#buggy_Swing01=1.432#mihawk_Swing01=1.432#SE_012035=1.565#se_RockFall02VmUp=1.565</t>
  </si>
  <si>
    <t>金盏花4</t>
  </si>
  <si>
    <t>刀柄叩击（废弃）</t>
  </si>
  <si>
    <t>114404</t>
  </si>
  <si>
    <t>jinbe_Swing03=0.23</t>
  </si>
  <si>
    <t>金盏花5</t>
  </si>
  <si>
    <t>喷毒（镜头全体）</t>
  </si>
  <si>
    <t>114405</t>
  </si>
  <si>
    <t>franky_Swing01=1.8#calendula_Split01=2.2#calendula_Venom=2.238#se_Impact03=2.345#calendula_Split01=3#se_Impact03=3.094#calendula_Split01=3.4#se_Impact03=3.494#calendula_Split01=3.7#se_Impact03=3.794</t>
  </si>
  <si>
    <t>Particles/calendula/calendula001_body_attack05c</t>
  </si>
  <si>
    <t>金盏花6</t>
  </si>
  <si>
    <t>尾巴攻击（镜头单体）</t>
  </si>
  <si>
    <t>114406</t>
  </si>
  <si>
    <t>Whoosh_MeteorPassby01=0.4#Swish_SwingHugeShovel=0.914#Mr3_BigSwing=0.964#se_HugeSwing=1.373#jinbe_Swing02=2#chopper_Punch02=2.4#franky_Punch_Heavy=2.46#luffy_Punch_Giant02=0.25</t>
  </si>
  <si>
    <t>Particles/calendula/calendula001_body_attack06_c</t>
  </si>
  <si>
    <t>金盏花7</t>
  </si>
  <si>
    <t>仁王立（不建议单用，但是也有buff特效）</t>
  </si>
  <si>
    <t>114407</t>
  </si>
  <si>
    <t>Pickup_Misc14=0.1</t>
  </si>
  <si>
    <t>金盏花8</t>
  </si>
  <si>
    <t>火蛇零式-地狱冲（镜头单体）</t>
  </si>
  <si>
    <t>114408</t>
  </si>
  <si>
    <t>smoke_SteamFlying05=0#Ace_Fire02=0.52#Ace_Fire03=1.526#Ace_FireFlying04=2.809#Ace_FireFlying02=4.077#kuzan_IceCharge02=4.077#smoke_SteamCharge02=5#Fireball_Lava_Launch3=5.347</t>
  </si>
  <si>
    <t>Particles/calendula/calendula001_body_attack08_C</t>
  </si>
  <si>
    <t>宫灯花1</t>
  </si>
  <si>
    <t>尾巴蠕动单击（一列）</t>
  </si>
  <si>
    <t>114501</t>
  </si>
  <si>
    <t>nami_Cloth=0#nami_Cloth=0.2#franky_Swing02=0.2#Swish_SwingHugeShovel=0.874#SE_012035=1.133#SE_012035=1.242#franky_Swing01=1.8#nami_Cloth=1.888</t>
  </si>
  <si>
    <t>宫灯花2</t>
  </si>
  <si>
    <t>蠕动回避（buff）</t>
  </si>
  <si>
    <t>114502</t>
  </si>
  <si>
    <t>nami_Cloth=0#se_Magic02=0#Pickup_Misc14=0</t>
  </si>
  <si>
    <t>宫灯花3</t>
  </si>
  <si>
    <t>尾巴二连(横两列 )</t>
  </si>
  <si>
    <t>114503</t>
  </si>
  <si>
    <t>nami_Cloth=0#crocodile_Swing01=0.268#jinbe_Swing01=0.431#smoke_Swing05=0.7#smoke_Swing03=0.995</t>
  </si>
  <si>
    <t>宫灯花4</t>
  </si>
  <si>
    <t>尾巴尖小扫（单体普攻）</t>
  </si>
  <si>
    <t>114504</t>
  </si>
  <si>
    <t>jinbe_Swing01=0#Swish_SwingHugeShovel=0.548#Mr2_Swing01=0.7#smoke_Swing05=0.8#Mr2_Swing01=0.83#Mr2_Swing01=0.973#Mr2_Swing01=1.126</t>
  </si>
  <si>
    <t>宫灯花5</t>
  </si>
  <si>
    <t>一般尾巴横击（横两列）</t>
  </si>
  <si>
    <t>114505</t>
  </si>
  <si>
    <t>nami_Cloth=0#tashigi_Swing01=0.142#jinbe_Swing01=0.662#Swish_SwingHugeShovel=0.758</t>
  </si>
  <si>
    <t>宫灯花6</t>
  </si>
  <si>
    <t>尾巴尖猛冲（镜头单体）</t>
  </si>
  <si>
    <t>114506</t>
  </si>
  <si>
    <t>nami_Cloth=0.122#luffy_Punch_Giant02=0.122#nami_Cloth=0.7#franky_Swing01=0.7#Mr2_AttackHeavy03=2.243#brook_Swing01=2.266#jinbe_Swing01=2.3</t>
  </si>
  <si>
    <t>Particles/sandersonia001_body/sandersonia001_body_attack06_C</t>
  </si>
  <si>
    <t>宫灯花7</t>
  </si>
  <si>
    <t>尾巴下压（二连，三格）</t>
  </si>
  <si>
    <t>114507</t>
  </si>
  <si>
    <t>jinbe_Swing01=0.288#Swish_SwingHugeShovel=0.288#smoke_Swing05=0.4#smoke_Swing03=0.7#SE_012035=0.954#se_Rock_Fall02=0.954</t>
  </si>
  <si>
    <t>宫灯花8</t>
  </si>
  <si>
    <t>回旋击飞（镜头单体）</t>
  </si>
  <si>
    <t>114508</t>
  </si>
  <si>
    <t>Pickup_Misc14=0.247#franky_Swing01=0.885#Swish_SwingHugeShovel=1.024#jinbe_Swing01=1.549#smoke_Swing03=1.6</t>
  </si>
  <si>
    <t>Particles/sandersonia001_body/sandersonia001_body_attack08_C</t>
  </si>
  <si>
    <t>宫灯花9</t>
  </si>
  <si>
    <t>蟒蛇阵-黑牢（镜头全体）</t>
  </si>
  <si>
    <t>114509</t>
  </si>
  <si>
    <t>enel_SlowSight=0#smoke_SteamCharge01=0.965#smoke_SteamCharge02=3#franky_Swing01=4#SE_012035=4.262#se_Rock_Fall02=4.262#franky_Swing01=4.2#SE_012035=4.462#se_Rock_Fall02=4.462#franky_Swing01=4.4#SE_012035=4.662#se_Rock_Fall02=4.662#franky_Swing01=4.65#SE_012035=4.912#se_Rock_Fall02=4.912#franky_Swing01=4.85#SE_012035=5.112#se_Rock_Fall02=5.112#franky_Swing01=5.05#SE_012035=5.312#se_Rock_Fall02=5.312#franky_Swing01=5.2#SE_012035=5.362#se_Rock_Fall02=5.362#franky_Swing01=5.4#SE_012035=5.562#se_Rock_Fall02=5.562#franky_Swing01=5.7#SE_012035=5.862#se_Rock_Fall02=5.862</t>
  </si>
  <si>
    <t>Particles/sandersonia001_body/sandersonia001_body_attack09_C</t>
  </si>
  <si>
    <t>0,0,3</t>
  </si>
  <si>
    <t>PX</t>
  </si>
  <si>
    <t>量产大熊手炮</t>
  </si>
  <si>
    <t>114605</t>
  </si>
  <si>
    <t>1238&amp;&amp;1239&amp;&amp;1240</t>
  </si>
  <si>
    <t>量产大熊嘴炮</t>
  </si>
  <si>
    <t>114606</t>
  </si>
  <si>
    <t>kuma_LaserPrepare=0#kuma_Laser01=0.8#kuma_LaserShoot02=1#kuma_HitGround=1.128</t>
  </si>
  <si>
    <t>1241&amp;&amp;1242</t>
  </si>
  <si>
    <t>天龙人护卫（长枪）</t>
  </si>
  <si>
    <t>114701</t>
  </si>
  <si>
    <t>nami_Cloth=0#brook_Swing03=0.1#brook_Swing01=0.15#usopp_Cloth=1</t>
  </si>
  <si>
    <t>天龙人护卫（剑）</t>
  </si>
  <si>
    <t>114801</t>
  </si>
  <si>
    <t>Mr2_Swing02=0#zoro_Swing01=0.5#zoro_Swing02=0.7#zoro_Swing01=1.15</t>
  </si>
  <si>
    <t>戴兹</t>
  </si>
  <si>
    <t>一般</t>
  </si>
  <si>
    <t>114901</t>
  </si>
  <si>
    <t>nami_Cloth=0#Swish_Rope_WebSwing1=0.185#se_bow=0.527</t>
  </si>
  <si>
    <t>空中连射</t>
  </si>
  <si>
    <t>114902</t>
  </si>
  <si>
    <t>nami_Cloth=0#se_Jump01=0.219#Swish_Rope_WebSwing1=0.652#se_bow=1#Swish_Rope_WebSwing1=1#se_bow=1.3</t>
  </si>
  <si>
    <t>女战士（剑）</t>
  </si>
  <si>
    <t>115001</t>
  </si>
  <si>
    <t>se_Jump01=0#usopp_Cloth=0.1#zoro_Swing02=0.456</t>
  </si>
  <si>
    <t>女战士（弓箭）</t>
  </si>
  <si>
    <t>115101</t>
  </si>
  <si>
    <t>se_Jump01=0#se_bow=0.4#se_bow=0.6#se_bow=0.7</t>
  </si>
  <si>
    <t>贾罗</t>
  </si>
  <si>
    <t>115201</t>
  </si>
  <si>
    <t>zoro_Swing01=0.254#zoro_Swing01=0.481</t>
  </si>
  <si>
    <t>马克罗</t>
  </si>
  <si>
    <t>115301</t>
  </si>
  <si>
    <t>nami_Cloth=0#Mr2_Swing02=0.4#Mr2_Swing01=0.4#crocodile_Swing01=0.4#Mr2_Swing01=0.539#Mr2_Swing02=0.539#Mr2_Swing01=0.673#Mr2_Swing02=0.673</t>
  </si>
  <si>
    <t>淡水</t>
  </si>
  <si>
    <t>115401</t>
  </si>
  <si>
    <t>Mr2_Swing02=0.4#Mr2_Swing02=0.674#Mr2_Swing02=1.2#usopp_Tap=1.28</t>
  </si>
  <si>
    <t>拍卖行杂兵（远程）</t>
  </si>
  <si>
    <t>115501</t>
  </si>
  <si>
    <t>Gun_Pistol_Shot02=0.4#Gun_Pistol_Shot02=0.6</t>
  </si>
  <si>
    <t>老天龙人</t>
  </si>
  <si>
    <t>115601</t>
  </si>
  <si>
    <t>se_ShotgunReload=0#se_WoodImpact02=0.2#se_WoodImpact02=0.418#nami_Cloth=0.787#Gun_Pistol_Shot02=1.48#Gun_Pistol_Shot02=2.1#se_WoodImpact02=3.098</t>
  </si>
  <si>
    <t>附加乔巴特效回血</t>
  </si>
  <si>
    <t>114304</t>
  </si>
  <si>
    <t>chopper_Heal=0#nami_Cloth=0#se_Jump02=0.26#cp9_GroundImpact=0.529#se_Jump02=0.6#cp9_GroundImpact=0.923#se_Jump02=1.046#cp9_GroundImpact=1.418#se_Jump02=1.559#cp9_GroundImpact=1.872</t>
  </si>
  <si>
    <t>115701</t>
  </si>
  <si>
    <t>115801</t>
  </si>
  <si>
    <t>115901</t>
  </si>
  <si>
    <t>116001</t>
  </si>
  <si>
    <t>巴基利克斯</t>
  </si>
  <si>
    <t>普攻爪击</t>
  </si>
  <si>
    <t>116101</t>
  </si>
  <si>
    <t>se_Jump01=0.151#zoro_Jumpspin=0.2#smoke_Swing03=0.495#Robin_Swing05=0.61#smoke_Swing03=0.61</t>
  </si>
  <si>
    <t>起风</t>
  </si>
  <si>
    <t>116102</t>
  </si>
  <si>
    <t>nami_Cloth=0#chopper_Punch01=0.287#Robin_GiantHand01=0.3#crocodile_Obj_Flying=0.562#luffy_Punch_Giant02=0.614#mihawk_ObjFlying01=0.7#nami_Wind_Push=0.821</t>
  </si>
  <si>
    <t>连续啄击</t>
  </si>
  <si>
    <t>116103</t>
  </si>
  <si>
    <t>nami_Cloth=0#chopper_Punch03=0.323#brook_Swing02=0.323#chopper_Punch03=0.658#brook_Swing02=0.658#smoke_Swing03=1.095#brook_Swing01=1.132#chopper_Punch03=1.187</t>
  </si>
  <si>
    <t>蓝猩</t>
  </si>
  <si>
    <t>普攻臂锤</t>
  </si>
  <si>
    <t>116201</t>
  </si>
  <si>
    <t>jinbe_Swing01=0.211#jinbe_Swing02=0.371#SE_012035=0.46#jinbe_Swing01=0.678#jinbe_Swing02=0.764#SE_012035=1.113#SE_012035=1.018</t>
  </si>
  <si>
    <t>重斧</t>
  </si>
  <si>
    <t>116202</t>
  </si>
  <si>
    <t>nami_Cloth=0#jinbe_Swing01=0.655#SE_012035=0.972</t>
  </si>
  <si>
    <t>重斧2</t>
  </si>
  <si>
    <t>116203</t>
  </si>
  <si>
    <t>Swish_SwingHugeShovel=0#nami_Cloth=0#kuzan_Object_Passing=0.233#jinbe_Swing01=0.8#SE_012035=1.166</t>
  </si>
  <si>
    <t>【废弃】召唤？？</t>
  </si>
  <si>
    <t>116204</t>
  </si>
  <si>
    <t>汉尼拔</t>
  </si>
  <si>
    <t>普攻三连</t>
  </si>
  <si>
    <t>116301</t>
  </si>
  <si>
    <t>Mr2_Swing01=0.282#brook_Swing02=0.282#Mr2_Swing01=0.551#brook_Swing02=0.551#Mr2_Swing01=1#brook_Swing02=1#SE_012035=1.12</t>
  </si>
  <si>
    <t>连环枪</t>
  </si>
  <si>
    <t>116302</t>
  </si>
  <si>
    <t>Mr2_Swing01=0.251#brook_Swing02=0.251#Mr2_Swing01=0.351#brook_Swing02=0.351#Mr2_Swing01=0.473#brook_Swing02=0.473#Mr2_Swing01=0.617#brook_Swing02=0.617#Mr2_Swing01=0.751#brook_Swing02=0.751#Mr2_Swing01=1.2#brook_Swing02=1.2</t>
  </si>
  <si>
    <t>劈斩</t>
  </si>
  <si>
    <t>116303</t>
  </si>
  <si>
    <t>brook_Swing03=0.291#Mr2_Swing01=0.464#brook_Swing02=0.513</t>
  </si>
  <si>
    <t>【镜头】换刀火焰大车轮</t>
  </si>
  <si>
    <t>116304</t>
  </si>
  <si>
    <t>brook_Swing03=0#brook_Swing02=0.151#chopper_Punch02=0.221#kid_ObjectFly03=0.231#jinbe_Swing02=0.904#Ace_FireFlying02=1.1#Swish_SwingHugeShovel=1.318#jinbe_Swing05=1.439#Ace_Fire02=1.8#Swish_SwingHugeShovel=1.831#Swish_SwingHugeShovel=2.13#jinbe_Swing05=2.527#Swish_SwingHugeShovel=2.642#Ace_Fire02=2.8#Swish_SwingHugeShovel=2.942#jinbe_Swing05=3.454#franky_Fire_Shoot01=3.917</t>
  </si>
  <si>
    <t>Particles/hannyabal001/hannyabal001_attack04_c</t>
  </si>
  <si>
    <t>【换刀后】二连斩</t>
  </si>
  <si>
    <t>116305</t>
  </si>
  <si>
    <t>zoro_Swing02=0.245#se_Fire_Throw=0.45#zoro_Swing01=0.781#se_Fire_Throw=0.911</t>
  </si>
  <si>
    <t>【换刀后】蓄力斩</t>
  </si>
  <si>
    <t>116306</t>
  </si>
  <si>
    <t>Swish_SwingHugeShovel=0.135#Ace_Fire02=0.214#Swish_SwingHugeShovel=0.405#Swish_SwingHugeShovel=0.654#smoke_Swing03=0.995#se_Fire_Throw=1.153</t>
  </si>
  <si>
    <t>【换刀后】回旋斩</t>
  </si>
  <si>
    <t>116307</t>
  </si>
  <si>
    <t>se_Jump02=0#zoro_Swing01=0.267#se_Fire_Throw=0.4#zoro_Swing01=0.572#se_Fire_Throw=0.655#zoro_Swing01=1.248#se_Fire_Throw=1.352</t>
  </si>
  <si>
    <t>候斯</t>
  </si>
  <si>
    <t>普攻突刺</t>
  </si>
  <si>
    <t>116401</t>
  </si>
  <si>
    <t>brook_Swing01=0.148#Mr2_Swing02=0.248</t>
  </si>
  <si>
    <t>吹笛</t>
  </si>
  <si>
    <t>116402</t>
  </si>
  <si>
    <t>vivi_Magic02=0#se_Summon01=0.5</t>
  </si>
  <si>
    <t>猛突刺</t>
  </si>
  <si>
    <t>116403</t>
  </si>
  <si>
    <t>brook_Swing03=0#franky_Punch_Heavy=0.25#zoro_Jumpspin=0.25</t>
  </si>
  <si>
    <t>蔓提克拉</t>
  </si>
  <si>
    <t>普攻撕咬</t>
  </si>
  <si>
    <t>116501</t>
  </si>
  <si>
    <t>lion_roar01=0</t>
  </si>
  <si>
    <t>舔~舔~</t>
  </si>
  <si>
    <t>116502</t>
  </si>
  <si>
    <t>lion_roar02=0.3#se_Magic02=0.5</t>
  </si>
  <si>
    <t>猛兽突进</t>
  </si>
  <si>
    <t>116503</t>
  </si>
  <si>
    <t>lion_roar03=0.7#smoke_SteamCharge02=1</t>
  </si>
  <si>
    <t>萨迪小姐</t>
  </si>
  <si>
    <t>普攻鞭打【前两排六格】</t>
  </si>
  <si>
    <t>116601</t>
  </si>
  <si>
    <t>nami_Cloth=0#Mr2_Swing02=0.474#se_WhipSwing01=0.6</t>
  </si>
  <si>
    <t>攻击指挥</t>
  </si>
  <si>
    <t>116602</t>
  </si>
  <si>
    <t>nami_Cloth=0.087#Mr2_Swing02=0.443</t>
  </si>
  <si>
    <t>飞吻魅惑</t>
  </si>
  <si>
    <t>116603</t>
  </si>
  <si>
    <t>nami_Cloth=0.087#vivi_Magic03=0.46#se_Kiss=0.46</t>
  </si>
  <si>
    <t>斯芬克斯</t>
  </si>
  <si>
    <t>116701</t>
  </si>
  <si>
    <t>nami_Cloth=0.3#kuzan_Swing02=1.1#SE_012035=1.4#se_Rock_Fall02=1.4</t>
  </si>
  <si>
    <t>下压【横排六格】</t>
  </si>
  <si>
    <t>116702</t>
  </si>
  <si>
    <t>nami_Cloth=0#jinbe_Swing04=0.212#SE_012035=0.6#se_Rock_Fall02=0.6#kuma_HitGround=0.6</t>
  </si>
  <si>
    <t>连续攻击</t>
  </si>
  <si>
    <t>116703</t>
  </si>
  <si>
    <t>nami_Cloth=0#jinbe_Swing01=0.41#SE_012035=0.666#se_Rock_Fall02=0.666#jinbe_Swing01=0.71#jinbe_Swing01=0.947#SE_012035=0.974#jinbe_Swing01=1.104#SE_012035=1.221#se_Rock_Fall02=1.221#jinbe_Swing01=1.262#SE_012035=1.35#SE_012035=1.516#jinbe_Swing01=2.043#SE_012035=2.29#se_Rock_Fall02=2.29#kuma_HitGround=2.368</t>
  </si>
  <si>
    <t>撕裂【横排三格】</t>
  </si>
  <si>
    <t>116704</t>
  </si>
  <si>
    <t>nami_Cloth=0#jinbe_Swing05=0.243#luffy_Punch_Giant02=0.65#zoro_Slash=0.65</t>
  </si>
  <si>
    <t>排·球·拳</t>
  </si>
  <si>
    <t>116705</t>
  </si>
  <si>
    <t>se_Jump01=0#zoro_Jumpspin=0.139#moria_GroundImpact=0.678#SE_012035=0.731#moria_GroundImpact=0.818#SE_012035=0.885#se_Rock_Fall02=0.885#moria_GroundImpact=1.071#SE_012035=1.1#moria_GroundImpact=1.462#SE_012035=1.462#kuma_HitGround=1.553#se_Rock_Fall02=1.571</t>
  </si>
  <si>
    <t>雪地狼</t>
  </si>
  <si>
    <t>116801</t>
  </si>
  <si>
    <t>wolf_Attack01=0.2</t>
  </si>
  <si>
    <t>咆哮</t>
  </si>
  <si>
    <t>116802</t>
  </si>
  <si>
    <t>se_Werewolf_Howl=0.3</t>
  </si>
  <si>
    <t>撕咬</t>
  </si>
  <si>
    <t>116803</t>
  </si>
  <si>
    <t>wolf_Attack02=0#dog_attack=0.8</t>
  </si>
  <si>
    <t>考拉怪</t>
  </si>
  <si>
    <t>116901</t>
  </si>
  <si>
    <t>smoke_Swing03=0.238#smoke_Swing03=0.706#smoke_Swing03=1.555#Mr2_Swing02=1.7</t>
  </si>
  <si>
    <t>战意高扬</t>
  </si>
  <si>
    <t>116902</t>
  </si>
  <si>
    <t>Hogbak_Magic01=0.239#Pickup_Scifi_Energy08=0.511#nami_Cloth=0.811</t>
  </si>
  <si>
    <t>连续拳</t>
  </si>
  <si>
    <t>116903</t>
  </si>
  <si>
    <t>smoke_Swing03=0.228#smoke_Swing03=0.419#smoke_Swing03=0.611#smoke_Swing03=0.787#smoke_Swing03=1.166#Mr2_Swing02=1.383</t>
  </si>
  <si>
    <t>监狱步枪守卫</t>
  </si>
  <si>
    <t>117001</t>
  </si>
  <si>
    <t>Gun_Pistol_Shot02=0.55#Gun_Pistol_Shot03=0.55</t>
  </si>
  <si>
    <t>精密射击</t>
  </si>
  <si>
    <t>117002</t>
  </si>
  <si>
    <t>Gun_Reload_Weapon19=0.5#Gun_Pistol_Shot02=1.3#Gun_Pistol_Shot03=1.3</t>
  </si>
  <si>
    <t>牛头怪</t>
  </si>
  <si>
    <t>普攻二连击</t>
  </si>
  <si>
    <t>117101</t>
  </si>
  <si>
    <t>jinbe_Swing01=0.11#jinbe_Swing04=0.4</t>
  </si>
  <si>
    <t>117102</t>
  </si>
  <si>
    <t>单次重击</t>
  </si>
  <si>
    <t>117103</t>
  </si>
  <si>
    <t>morgan_pre=0#jinbe_Swing04=0.458#franky_Punch_Heavy=0.62</t>
  </si>
  <si>
    <t>连击</t>
  </si>
  <si>
    <t>117104</t>
  </si>
  <si>
    <t>nami_Cloth=0#jinbe_Swing04=0.185#jinbe_Swing04=0.452#SE_012035=0.536#se_Rock_Fall02=0.536#jinbe_Swing04=0.728#SE_012035=0.812#jinbe_Swing04=0.967#SE_012035=1.103#SE_012035=1.326#jinbe_Swing04=1.517#SE_012035=1.881#se_Rock_Fall02=1.9</t>
  </si>
  <si>
    <t>面具狱卒杂鱼</t>
  </si>
  <si>
    <t>117201</t>
  </si>
  <si>
    <t>brook_Swing03=0.2</t>
  </si>
  <si>
    <t>犀牛怪</t>
  </si>
  <si>
    <t>117301</t>
  </si>
  <si>
    <t>jinbe_Swing04=0.109#jinbe_Swing04=0.605</t>
  </si>
  <si>
    <t>117302</t>
  </si>
  <si>
    <t>se_Jump02=0#Hogbak_Magic01=0.239#Pickup_Scifi_Energy08=0.511#nami_Cloth=0.811</t>
  </si>
  <si>
    <t>旋风斩</t>
  </si>
  <si>
    <t>117303</t>
  </si>
  <si>
    <t>nami_Cloth=0#jinbe_Swing04=0.245#jinbe_Swing01=0.461#jinbe_Swing04=0.461#Swish_SwingHugeShovel=0.461#jinbe_Swing04=0.6#jinbe_Swing01=0.838#jinbe_Swing04=0.9#jinbe_Swing04=1.1#Swish_SwingHugeShovel=1.098#jinbe_Swing04=1.264</t>
  </si>
  <si>
    <t>斑马怪</t>
  </si>
  <si>
    <t>普攻二连扫</t>
  </si>
  <si>
    <t>117401</t>
  </si>
  <si>
    <t>nami_Cloth=0#jinbe_Swing04=0.12#jinbe_Swing04=0.684</t>
  </si>
  <si>
    <t>117402</t>
  </si>
  <si>
    <t>117403</t>
  </si>
  <si>
    <t>nami_Cloth=0#jinbe_Swing04=0.1#zoro_Jumpspin=0.191#jinbe_Swing04=0.789#SE_012035=1.156#se_Rock_Fall02=1.156</t>
  </si>
  <si>
    <t>【精英】巨锤哥</t>
  </si>
  <si>
    <t>117501</t>
  </si>
  <si>
    <t>smoke_Swing02=0#jinbe_Swing04=0.663#SE_012035=1#kuzan_Icerock_Crack=1</t>
  </si>
  <si>
    <t>铁锤·大车轮</t>
  </si>
  <si>
    <t>117502</t>
  </si>
  <si>
    <t>nami_Cloth=0#se_Jump02=0.102#kuzan_IceCharge01=0.5#jinbe_Swing01=0.5#Swish_SwingHugeShovel=0.776#Swish_SwingHugeShovel=1#Swish_SwingHugeShovel=1.188#Swish_SwingHugeShovel=1.377#Swish_SwingHugeShovel=1.588#kuzan_IceCharge01=1.83#Swish_SwingHugeShovel=1.83</t>
  </si>
  <si>
    <t>weapon_R</t>
  </si>
  <si>
    <t>铁锤·龙卷</t>
  </si>
  <si>
    <t>117503</t>
  </si>
  <si>
    <t>kuzan_IceCharge01=0.1#Swish_SwingHugeShovel=0.3#luffy_Punch_Giant02=0.3#Swish_SwingHugeShovel=0.434#Swish_SwingHugeShovel=0.6#kuzan_IceCharge01=1.211#franky_Punch_Heavy=1.311#Swish_SwingHugeShovel=1.4#Swish_SwingHugeShovel=1.536</t>
  </si>
  <si>
    <t>【精英】管儿枪哥</t>
  </si>
  <si>
    <t>燧发枪·暴击</t>
  </si>
  <si>
    <t>117601</t>
  </si>
  <si>
    <t>nami_Cloth=0#se_Rifle_Shot04=1.2#Gun_Pistol_Shot02=1.2</t>
  </si>
  <si>
    <t>燧发枪·三连</t>
  </si>
  <si>
    <t>117602</t>
  </si>
  <si>
    <t>nami_Cloth=0#se_Rifle_Shot04=0.4#Gun_Pistol_Shot02=0.4#se_Rifle_Shot04=0.635#Gun_Pistol_Shot02=0.635#se_Rifle_Shot04=1.064#Gun_Pistol_Shot02=1.064</t>
  </si>
  <si>
    <t>燧发枪·突袭（一列）</t>
  </si>
  <si>
    <t>117603</t>
  </si>
  <si>
    <t>nami_Cloth=0.28#Gun_Pistol_Shot02=0.646#Gun_NailRifle_Shot03=0.646#Gun_Pistol_Shot02=0.792#Gun_NailRifle_Shot03=0.792</t>
  </si>
  <si>
    <t>特殊子弹1·散弹</t>
  </si>
  <si>
    <t>117604</t>
  </si>
  <si>
    <t>nami_Cloth=0#Gun_Pistol_Shot02=0.183#Shotgun_Shot08=0.183#se_Shotgun=0.183#Gun_Pistol_Shot02=0.646#Shotgun_Shot08=0.646#se_Shotgun=0.646</t>
  </si>
  <si>
    <t>BUFF动作</t>
  </si>
  <si>
    <t>117605</t>
  </si>
  <si>
    <t>Hogbak_Magic02=1</t>
  </si>
  <si>
    <t>【精英】刺刀哥</t>
  </si>
  <si>
    <t>小太刀三连</t>
  </si>
  <si>
    <t>117701</t>
  </si>
  <si>
    <t>zoro_Swing02=0.2#hancock_Kick02=0.366#zoro_Swing02=0.59#brook_Swing01=0.666#jinbe_Swing02=1.1#zoro_Swing01=1.3#brook_Swing03=1.3#hancock_Kick02=1.4</t>
  </si>
  <si>
    <t>居合斩</t>
  </si>
  <si>
    <t>117702</t>
  </si>
  <si>
    <t>nami_Cloth=0#jinbe_Swing02=0.604#brook_Swing03=0.668#zoro_Swing01=0.75#zoro_Slash=0.839</t>
  </si>
  <si>
    <t>居合·空间杀法</t>
  </si>
  <si>
    <t>117703</t>
  </si>
  <si>
    <t>nami_Cloth=0#zoro_Jumpspin=0.402#se_Jump02=0.512#se_Jump02=0.666#se_Jump01=0.713#se_Jump02=0.8#se_Jump02=0.96#se_Jump02=1.119#franky_Swing02=1.231#se_Jump02=1.338</t>
  </si>
  <si>
    <t>117704</t>
  </si>
  <si>
    <t>nami_Cloth=0#zoro_Swing02=0.849#Mr2_Swing02=0.961#Hogbak_Magic01=1.116</t>
  </si>
  <si>
    <t>【精英】大太刀海军</t>
  </si>
  <si>
    <t>117801</t>
  </si>
  <si>
    <t>nami_Cloth=0#smoke_Swing03=0.495#mihawk_Swing01=0.56#smoke_Swing03=0.758#Mr2_AttackHeavy04=0.942#se_Jump02=1.26#zoro_Jumpspin=1.26#smoke_Swing03=1.4#law_Swing01=1.4#Mr2_AttackHeavy04=1.4</t>
  </si>
  <si>
    <t>重斩</t>
  </si>
  <si>
    <t>117802</t>
  </si>
  <si>
    <t>nami_Cloth=0#smoke_Swing03=1.095#law_Swing01=1.095#Mr2_AttackHeavy04=1.238#zoro_Slash_Long=1.238#mihawk_Swing01=1.663#mihawk_ObjFlying01=1.8#zoro_Slash=1.8</t>
  </si>
  <si>
    <t>117803</t>
  </si>
  <si>
    <t>nami_Cloth=0#smoke_Swing03=0.245#zoro_Swing02=0.245#smoke_Swing03=0.428#zoro_Swing02=0.428#smoke_Swing03=0.801#zoro_Swing02=0.801#mihawk_Swing02=0.9#zoro_Swing02=1.39#smoke_Swing01=1.39#Mr2_AttackHeavy02=1.505#usopp_Cloth=1.8#Mr2_Swing02=1.9#sanji_Kick=1.9</t>
  </si>
  <si>
    <t>X字斩</t>
  </si>
  <si>
    <t>117804</t>
  </si>
  <si>
    <t>nami_Cloth=0#Mr2_Attacks01_Short=0#smoke_Swing02=0.641#mihawk_ObjFlying01=1#mihawk_ObjFlying01=1.245</t>
  </si>
  <si>
    <t>117805</t>
  </si>
  <si>
    <t>nami_Cloth=0#mihawk_Swing01=0.4#moria_Magic01Fadein=0.512</t>
  </si>
  <si>
    <t>附魔斩</t>
  </si>
  <si>
    <t>117806</t>
  </si>
  <si>
    <t>nami_Cloth=0#mihawk_Swing01=0.4#Ace_Swing02=0.549#mihawk_Swing02=0.928#Ace_Swing02=1.04#se_Jump02=1.257#smoke_Swing01=1.609#mihawk_Swing01=1.755#Ace_Swing02=1.966#SE_012035=1.966</t>
  </si>
  <si>
    <t>【精英】多功能步枪海军</t>
  </si>
  <si>
    <t>腰射【通常弹】</t>
  </si>
  <si>
    <t>117901</t>
  </si>
  <si>
    <t>Shotgun_Shot08=0.7#Gun_Pistol_Shot04=0.7#Shotgun_Shot08=0.955#Gun_Pistol_Shot04=0.955</t>
  </si>
  <si>
    <t>精密射击【通常】</t>
  </si>
  <si>
    <t>117902</t>
  </si>
  <si>
    <t>nami_Cloth=0.6#Shotgun_Shot08=1.2#Gun_Pistol_Shot04=1.2#Gun_Pistol_Shot02=1.2</t>
  </si>
  <si>
    <t>腰射【散弹】</t>
  </si>
  <si>
    <t>117903</t>
  </si>
  <si>
    <t>nami_Cloth=0#se_ShotgunReload=0.254#Shotgun_Shot08=1.2#Gun_Pistol_Shot04=1.2#Gun_Pistol_Shot02=1.2#se_ShotgunReload=1.61#Shotgun_Shot08=2.244#Gun_Pistol_Shot04=2.244#Gun_Pistol_Shot02=2.244</t>
  </si>
  <si>
    <t>连射（单体）</t>
  </si>
  <si>
    <t>117904</t>
  </si>
  <si>
    <t>nami_Cloth=0#se_ShotgunReload=0.254#Gun_Pistol_Shot02=1.2#Gun_Pistol_Shot04=1.2#Gun_Pistol_Shot02=1.392#Gun_Pistol_Shot02=1.6#Gun_Pistol_Shot02=1.792#Gun_Pistol_Shot02=1.992#Gun_Pistol_Shot02=2.329</t>
  </si>
  <si>
    <t>117905</t>
  </si>
  <si>
    <t>nami_Cloth=0#Mr2_Swing02=0.348#se_Magic02=0.438#Hogbak_Magic01=0.6</t>
  </si>
  <si>
    <t>精密射击【冰属性】</t>
  </si>
  <si>
    <t>nami_Cloth=0.6#kuzan_Icebullet01=1.2#Shotgun_Shot08=1.2#Gun_Pistol_Shot04=1.2#Gun_Pistol_Shot02=1.2</t>
  </si>
  <si>
    <t>精密射击【雷属性】</t>
  </si>
  <si>
    <t>nami_Cloth=0.6#enel_ElectricSpeedyHit=1.2#Shotgun_Shot08=1.2#Gun_Pistol_Shot04=1.2#Gun_Pistol_Shot02=1.2</t>
  </si>
  <si>
    <t>精密射击【风属性】</t>
  </si>
  <si>
    <t>nami_Cloth=0.6#nami_Wind_Push=1.2#Shotgun_Shot08=1.2#Gun_Pistol_Shot04=1.2#Gun_Pistol_Shot02=1.2</t>
  </si>
  <si>
    <t>精密射击【火属性】</t>
  </si>
  <si>
    <t>nami_Cloth=0.6#se_FireBlast=1.2#Shotgun_Shot08=1.2#Gun_Pistol_Shot04=1.2#Gun_Pistol_Shot02=1.2</t>
  </si>
  <si>
    <t>黄发双枪海盗二技能</t>
  </si>
  <si>
    <t>102102</t>
  </si>
  <si>
    <t>pistol_gunshot=0.476#pistol_gunshot=0.6#pistol_gunshot=1.315#pistol_gunshot=1.42#nami_Cloth=1.825#pistol_gunshot=2.26#pistol_gunshot=2.337#pistol_gunshot=2.509#pistol_gunshot=2.6</t>
  </si>
  <si>
    <t>紫衣持刀小辫海盗二技能</t>
  </si>
  <si>
    <t>102302</t>
  </si>
  <si>
    <t>smoke_Swing02=0#zoro_Jumpspin=0.335#se_Jump02=0.512#se_Jump02=0.752#se_Jump02=0.932#se_Jump02=1.152#zoro_Swing02=1.653#Mr2_Swing01=1.87</t>
  </si>
  <si>
    <t>黄衣斧子海盗二技能</t>
  </si>
  <si>
    <t>102602</t>
  </si>
  <si>
    <t>nami_Cloth=0#se_Slowswing=0.412#se_Slowswing=0.605#se_Slowswing=1.171#SE_012035=1.273#se_Slowswing=1.441#SE_012035=1.548#se_Slowswing=1.751#SE_012035=1.873#se_Slowswing=2.031#SE_012035=2.136#se_Slowswing=2.725#SE_012035=2.862#se_Rock_Fall02=2.862</t>
  </si>
  <si>
    <t>持刀海军大佐2二技能</t>
  </si>
  <si>
    <t>109102</t>
  </si>
  <si>
    <t>nami_Cloth=0#zoro_Swing01=0.126#Mr2_Swing02=0.25#tashigi_Swing01=0.5#zoro_Swing01=0.584#Mr2_Swing02=0.7#zoro_Swing01=1.003#Mr2_Swing02=1.174</t>
  </si>
  <si>
    <t>手枪海军大佐二技能</t>
  </si>
  <si>
    <t>110302</t>
  </si>
  <si>
    <t>nami_Cloth=0#Gun_Pistol_Shot01=0.623#Gun_Pistol_Shot01=0.743#Gun_Pistol_Shot01=0.924#Gun_Pistol_Shot01=1.1#Gun_Pistol_Shot06=1.25</t>
  </si>
  <si>
    <t>猴斯全体</t>
  </si>
  <si>
    <t>116404</t>
  </si>
  <si>
    <t>nami_Cloth=0#brook_Swing03=0.246#se_Jump02=0.4#brook_Swing03=0.6#se_Jump02=0.6#brook_Swing03=0.808#se_Jump02=0.808#brook_Swing03=1#se_Jump02=1#brook_Swing03=1.2#se_Jump02=1.2#brook_Swing03=1.432#se_Jump02=1.432#brook_Swing03=1.726#se_Jump02=1.726#brook_Swing03=1.84#se_Jump02=2.032#chopper_Punch03=2.032</t>
  </si>
  <si>
    <t>猴斯镜头</t>
  </si>
  <si>
    <t>116405</t>
  </si>
  <si>
    <t>nami_Cloth=0#vivi_Magic02=0.278#se_CrowdRun01=1#se_Summon01=1.2#se_CrowdRun02=1.873#se_CrowdRun01=2.45#se_CrowdRun01=3#se_CrowdRun02=3#se_CrowdRun02=3.437#se_CrowdRun01=3.437#jinbe_Swing01=4.01#se_Swordheavy_Hit=4.2#se_Punch_Giant_Hit=4.4#jinbe_Swing01=4.5#se_Punch_Giant_Hit=4.8#jinbe_Swing01=4.886#se_Swordheavy_Hit=5#se_Sword_Hit=5#jinbe_Swing01=5#se_Punch_FaceHit=5.161#se_Punch_FaceHit=5.471</t>
  </si>
  <si>
    <t>Particles/hoss001_body/Hoss001_body_attack05_c</t>
  </si>
  <si>
    <t>萨迪镜头</t>
  </si>
  <si>
    <t>116604</t>
  </si>
  <si>
    <t>usopp_Cloth=0#ivankov_Circle=0.661#smoke_Swing01=2.438#se_WhipSwing01=2.754#se_WhipSwing01=2.754#se_Rock_Fall02=2.818#smoke_Swing02=3.8#se_WhipSwing01=4.234#smoke_Swing03=5.404#se_WhipSwing01=5.6#se_WhipSwing01=5.6#se_Rock_Fall02=5.681</t>
  </si>
  <si>
    <t>Particles/sadie001_body/sadie001_body_attack04_c</t>
  </si>
  <si>
    <t>萨迪鞭子1</t>
  </si>
  <si>
    <t>116605</t>
  </si>
  <si>
    <t>nami_Cloth=0#hancock_Kick02=0.348#smoke_Swing01=0.881#se_WhipSwing01=1.198#se_Rock_Fall02=1.247</t>
  </si>
  <si>
    <t>萨迪鞭子2</t>
  </si>
  <si>
    <t>116606</t>
  </si>
  <si>
    <t>nami_Cloth=0#hancock_Kick02=0.348#smoke_Swing01=0.781#se_WhipSwing01=1.098#chopper_Punch02=1#smoke_Swing01=1.351#se_WhipSwing01=1.681#chopper_Punch03=1.6</t>
  </si>
  <si>
    <t>监狱墨镜大炮管子</t>
  </si>
  <si>
    <t>118001</t>
  </si>
  <si>
    <t>nami_Cloth=0#franky_Cannon_Shoot=0.5#Gun_Pistol_Shot02=0.5#franky_Cannon_Shoot=1#Gun_Pistol_Shot02=1</t>
  </si>
  <si>
    <t>狱卒细炮管子</t>
  </si>
  <si>
    <t>118101</t>
  </si>
  <si>
    <t>nami_Cloth=0#Gun_Pistol_Shot02=0.6#Gun_NailRifle_Shot04=0.6#Gun_Pistol_Shot02=0.875#Gun_NailRifle_Shot04=0.875#Gun_Pistol_Shot02=1.397#Gun_NailRifle_Shot04=1.397</t>
  </si>
  <si>
    <t>日奈日奈日</t>
  </si>
  <si>
    <t>平A</t>
  </si>
  <si>
    <t>118201</t>
  </si>
  <si>
    <t>Mr2_Swing01=0.348#Mr2_Swing02=0.348#Mr2_Swing01=0.774#Mr2_Swing02=0.774#smoke_Swing01=0.953#Mr2_Swing01=1.207#Mr2_Swing02=1.207</t>
  </si>
  <si>
    <t>铁牢</t>
  </si>
  <si>
    <t>118202</t>
  </si>
  <si>
    <t>buggy_Charge02=0#kuzan_IceCharge01=0#se_Metal01=0.24#Hit_MetalRodInsert1=0.24#se_Rock_Fall02=0.423</t>
  </si>
  <si>
    <t>镜头buff</t>
  </si>
  <si>
    <t>118203</t>
  </si>
  <si>
    <t>kalifa_MagicClean=0#hogbak_SneakyWind=0#nami_WindBuff=0.907#vivi_Magic02=1.52#Mr2_Swing02=6.188#Hogbak_Magic02=6.369</t>
  </si>
  <si>
    <t>Particles/hina001/hina001_attack03_C</t>
  </si>
  <si>
    <t>烟鬼lovelove天惊拳</t>
  </si>
  <si>
    <t>118204</t>
  </si>
  <si>
    <t>nami_Cloth=0.329#buggy_Funny02=0.697#smoke_SteamFlying01=2.212#smoke_SteamCharge02=2.212#smoke_SteamFlying04=2.691#smoke_SteamFlying08=2.848#smoke_SteamFlying06=3.254#smoke_SteamCharge01=3.815#smoke_SteamFlying04=4.049#smoke_SteamCharge02=4.397</t>
  </si>
  <si>
    <t>大铁牢</t>
  </si>
  <si>
    <t>118205</t>
  </si>
  <si>
    <t>Robin_Swing02=0#smoke_Swing01=0#se_Metal01=0.2#Hit_MetalRodInsert1=0.381#Robin_Swing05=1.495#smoke_Swing01=1.495#smoke_Swing03=1.55#se_Metal01=1.781#Hit_MetalImpact19=1.86#se_MetalImpact=1.86#se_Rock_Fall01=1.86</t>
  </si>
  <si>
    <t>镜头单体爆发</t>
  </si>
  <si>
    <t>118206</t>
  </si>
  <si>
    <t>nami_Cloth=0#smoke_SteamCharge02=0.434#smoke_Swing01=1#Robin_Swing05=1.118#Whoosh_MeteorPassby01=1.691#brook_BlinkSwing=1.691#se_Jump02=1.96#brook_BlinkSwing=1.96#se_Jump02=2.2#brook_BlinkSwing=2.2#se_Jump02=2.56#chopper_Punch01=3#cp9_GroundImpact=3.273</t>
  </si>
  <si>
    <t>Particles/hina001/hina001_attack06_C</t>
  </si>
  <si>
    <t>镜头炮击</t>
  </si>
  <si>
    <t>118207</t>
  </si>
  <si>
    <t>ultimate_Sign=0#usopp_Cloth=1.51#Mr2_Swing02=1.8#franky_Cannon_Shoot=2.296#franky_Cannon_Shoot=3#se_CannonShoot01=3#franky_Cannon_Shoot=3.548#franky_Cannon_Shoot=3.728#se_CannonShoot01=3.728#franky_Cannon_Shoot=4.321#franky_Cannon_Shoot=4.321#franky_Cannon_Shoot=4.5#edward_Explosion04=5.321#grenade_boom=5.321#usopp_Explosion=5.652#edward_Explosion04=6#grenade_boom=6#Explo_Small_Bomb3=6.336#grenade_boom=6.336#usopp_Explosion=6.704#grenade_boom=6.981#Explo_Small_Bomb3=6.981#edward_Explosion04=6.981#grenade_boom=7.547#usopp_Explosion=7.547</t>
  </si>
  <si>
    <t>Particles/hina001/hina001_attack07_C</t>
  </si>
  <si>
    <t>地裂</t>
  </si>
  <si>
    <t>117105</t>
  </si>
  <si>
    <t>nami_Cloth=0#zoro_Jumpspin=0.512#se_Jump01=0.6#jinbe_Swing02=0.6#jinbe_Swing04=0.8#SE_012035=1.131#se_Rock_Fall02=1.131#kuma_HitGround=1.276</t>
  </si>
  <si>
    <t>撞击镜头</t>
  </si>
  <si>
    <t>117106</t>
  </si>
  <si>
    <t>nami_Cloth=0.8#cp9_GroundImpact=1#nami_Cloth=1.156#sengoku_GroundStep=1.474#law_Charge=1.757#mihawk_ObjFlying05=1.757#se_DirtJump=1.757#se_DirtJump=2.662#kid_ObjectFly03=3.32#sengoku_ImpactLite=3.768#sengoku_GroundStep=3.768</t>
  </si>
  <si>
    <t>Particles/humanox001_body/humanox001_body_attack06_c</t>
  </si>
  <si>
    <t>镜头</t>
  </si>
  <si>
    <t>117304</t>
  </si>
  <si>
    <t>nami_Cloth=0#jinbe_Swing04=0.326#Swish_SwingHugeShovel=0.512#Swish_SwingHugeShovel=0.8#kuzan_IceCharge02=1#se_DirtJump=1.1#Swish_SwingHugeShovel=1.1#Swish_SwingHugeShovel=1.323#Swish_SwingHugeShovel=1.5#Swish_SwingHugeShovel=1.6#Swish_SwingHugeShovel=1.92</t>
  </si>
  <si>
    <t>Particles/rhinoceros001_body/rhinoceros001_body_attack04_c</t>
  </si>
  <si>
    <t>117404</t>
  </si>
  <si>
    <t>buggy_Funny02=0.565#nami_Cloth=0.788#kuzan_IceCharge02=1.2#se_DirtJump=1.64#nami_Cloth=2.3#jinbe_Swing04=2.623#se_Punch_Giant_Hit=3.04#se_Punch_FaceHit=3.04#Punch_Boxing_BodyHit05=3.04#buggy_Charge01=3.187</t>
  </si>
  <si>
    <t>Particles/zebra001_body/zebra001_body_attack04_c</t>
  </si>
  <si>
    <t>大buff</t>
  </si>
  <si>
    <t>116904</t>
  </si>
  <si>
    <t>Hogbak_Magic01=0.239#se_Magic01=0.75#kuzan_IceCharge01=0.75</t>
  </si>
  <si>
    <t>监狱墨镜大炮管子【远程】</t>
  </si>
  <si>
    <t>巴士底</t>
  </si>
  <si>
    <t>118301</t>
  </si>
  <si>
    <t>nami_Cloth=0#smoke_Swing01=0.253#zoro_Swing01=0.451</t>
  </si>
  <si>
    <t>2镜头</t>
  </si>
  <si>
    <t>118302</t>
  </si>
  <si>
    <t>mihawk_MoveSp01=0#nami_Cloth=0.6#smoke_Swing01=0.649#zoro_Slash_Heavy=0.812#zoro_Swing01=0.847#zoro_Slash_Long=0.88</t>
  </si>
  <si>
    <t>Particles/bastille/bastille001_body_attack02_c</t>
  </si>
  <si>
    <t>3</t>
  </si>
  <si>
    <t>118303</t>
  </si>
  <si>
    <t>morgan_pre=0#nami_Cloth=0#smoke_Swing01=0.937#zoro_Swing01=1.035#mihawk_ObjFlying01=1.035</t>
  </si>
  <si>
    <t>4buff</t>
  </si>
  <si>
    <t>118304</t>
  </si>
  <si>
    <t>Hogbak_Magic02=0</t>
  </si>
  <si>
    <t>5</t>
  </si>
  <si>
    <t>118305</t>
  </si>
  <si>
    <t>se_Jump01=0#zoro_Jumpspin=0#smoke_Swing01=0.302#zoro_Swing01=0.4#nami_Cloth=0.889#smoke_Swing01=0.95#zoro_Swing01=1.048#smoke_Swing01=1.274#zoro_Swing01=1.372#smoke_Swing01=1.555#zoro_Swing01=1.653#smoke_Swing01=1.862#zoro_Swing01=2.043#Mr2_Swing02=2.2#smoke_Swing05=2.439#smoke_Swing01=2.653#zoro_Swing01=2.799</t>
  </si>
  <si>
    <t>鬼蜘蛛</t>
  </si>
  <si>
    <t>1废弃</t>
  </si>
  <si>
    <t>118401</t>
  </si>
  <si>
    <t>2废弃</t>
  </si>
  <si>
    <t>118402</t>
  </si>
  <si>
    <t>3废弃</t>
  </si>
  <si>
    <t>118403</t>
  </si>
  <si>
    <t>118404</t>
  </si>
  <si>
    <t>nami_Cloth=0.3#Hogbak_Magic02=0.729#Hogbak_Magic01=1.2</t>
  </si>
  <si>
    <t>118405</t>
  </si>
  <si>
    <t>se_Jump01=0.142#tashigi_Swing01=0.142#se_Jump02=0.211#se_MoveEcho=0.348#Swish_SwingHugeShovel=0.348#zoro_Swing01=0.609#zoro_Swing02=0.609#zoro_Slash=0.82</t>
  </si>
  <si>
    <t>6</t>
  </si>
  <si>
    <t>118406</t>
  </si>
  <si>
    <t>smoke_Swing03=0#zoro_Swing01=0.1#zoro_Swing02=0.1#smoke_Swing03=0.309#zoro_Swing01=0.309#zoro_Swing02=0.309#tashigi_Swing01=0.509#nami_Cloth=0.8#zoro_Swing02=1.042#zoro_Swing01=1.042#jinbe_Swing01=1.042</t>
  </si>
  <si>
    <t>7镜头</t>
  </si>
  <si>
    <t>118407</t>
  </si>
  <si>
    <t>chopper_Ultramove=0#tashigi_Swing01=1.2#brook_BlinkSwing=1.695#smoke_Swing03=1.695#zoro_Slash_Heavy=1.695#zoro_Slash_Long=1.89</t>
  </si>
  <si>
    <t>Particles/mosou/musou001_body_attack07_c</t>
  </si>
  <si>
    <t>0,0,-2.5</t>
  </si>
  <si>
    <t>鼯鼠</t>
  </si>
  <si>
    <t>118501</t>
  </si>
  <si>
    <t>nami_Cloth=0#zoro_Swing02=0.33#zoro_Swing02=0.56#zoro_Swing01=1</t>
  </si>
  <si>
    <t>2（横排3格）</t>
  </si>
  <si>
    <t>118502</t>
  </si>
  <si>
    <t>tashigi_Swing01=0#nami_Cloth=0#se_Jump01=0.2#zoro_Jumpspin=0.2#zoro_Swing01=0.517#jozz_Swing02=0.597</t>
  </si>
  <si>
    <t>118503</t>
  </si>
  <si>
    <t>smoke_Swing02=0#zoro_Swing01=0.3#zoro_Slash=0.435</t>
  </si>
  <si>
    <t>4</t>
  </si>
  <si>
    <t>118504</t>
  </si>
  <si>
    <t>nami_Cloth=0#zoro_Swing02=0.1#zoro_Swing02=0.56#zoro_Swing02=0.8#zoro_Swing02=1.03#zoro_Swing02=1.23#zoro_Swing02=1.43#tashigi_Swing01=1.43#nami_Cloth=1.8#zoro_Swing01=2.53</t>
  </si>
  <si>
    <t>5buff</t>
  </si>
  <si>
    <t>118505</t>
  </si>
  <si>
    <t>moria_Darkmagic=0#Pickup_Scifi_Energy08=2</t>
  </si>
  <si>
    <t>6镜头</t>
  </si>
  <si>
    <t>118506</t>
  </si>
  <si>
    <t>nami_Cloth=0.517#usopp_Cloth=0.517#mihawk_EnergySp01=0.919#sengoku_GroundStep=2.281#cp9_GroundImpact=2.281#smoke_Swing02=2.786#zoro_Swing01=3.106#chopper_Punch02=3.242</t>
  </si>
  <si>
    <t>Particles/momonga/momonga001_body_attack06_c</t>
  </si>
  <si>
    <t>118507</t>
  </si>
  <si>
    <t>nami_Cloth=0#smoke_Swing05=0#zoro_Swing01=0.381#kuzan_IceCharge02=0.901#smoke_SteamCharge02=1.634#sengoku_GroundStep=1.8#smoke_Swing02=2#zoro_Swing01=2.306#chopper_Punch02=2.448#zoro_Slash_Long=2.448</t>
  </si>
  <si>
    <t>Particles/momonga/momonga001_body_attack07_c</t>
  </si>
  <si>
    <t>8镜头</t>
  </si>
  <si>
    <t>118508</t>
  </si>
  <si>
    <t>nami_Cloth=0#se_Jump01=0.4#zoro_Jumpspin=0.4#kuma_SwingSlowly=0.512#kuzan_IceCharge01=1.238#law_Swing01=1.4#law_Glance=1.4#zoro_Swing01=1.4#cp9_GroundImpact=1.928#sengoku_ImpactLite=1.928</t>
  </si>
  <si>
    <t>Particles/momonga/momonga001_body_attack08_c</t>
  </si>
  <si>
    <t>0,0,-1.4</t>
  </si>
  <si>
    <t>鬼蜘蛛（没手）</t>
  </si>
  <si>
    <t>118601</t>
  </si>
  <si>
    <t>zoro_Swing02=0.13#zoro_Swing02=0.4#zoro_Swing02=0.83#zoro_Swing02=1.06#zoro_Swing01=1.36</t>
  </si>
  <si>
    <t>118602</t>
  </si>
  <si>
    <t>se_Jump01=0.1#zoro_Jumpspin=0.1#zoro_Swing02=0.23#zoro_Swing02=0.66#zoro_Swing02=0.93#zoro_Swing02=1.13#usopp_Cloth=1.4#zoro_Swing02=1.4</t>
  </si>
  <si>
    <t>118603</t>
  </si>
  <si>
    <t>zoro_Swing02=0.16#zoro_Slash2=0.16#zoro_Swing02=0.4#zoro_Slash2=0.4#zoro_Swing02=0.76#zoro_Slash2=0.76#zoro_Swing02=0.93#zoro_Slash2=0.93#zoro_Swing02=1.3#zoro_Slash2=1.3</t>
  </si>
  <si>
    <t>118604</t>
  </si>
  <si>
    <t>【怪物】时装克罗克达尔</t>
  </si>
  <si>
    <t>40350101</t>
  </si>
  <si>
    <t>crocodile_Swing01=0.1#crocodile_Obj_Flying=0.5</t>
  </si>
  <si>
    <t>40350102</t>
  </si>
  <si>
    <t>crocodile_Swing01=0#crocodile_Sand01=0.1#crocodile_SandEnd=0.3</t>
  </si>
  <si>
    <t>40350103</t>
  </si>
  <si>
    <t>crocodile_Swing01=0.1#crocodile_CircleWind=0.2#crocodile_Sand01=0.2#crocodile_SandEnd=2.557</t>
  </si>
  <si>
    <t>40350104</t>
  </si>
  <si>
    <t>crocodile_Swing01=0.3#crocodile_Sand01=0.7#crocodile_Obj_Flying=0.7#crocodile_GndShakingSand=1#crocodile_GndShakingSand=1.5#crocodile_Obj_Flying=1.9#CV_crocodile_DesertBlade=0</t>
  </si>
  <si>
    <t>40350105</t>
  </si>
  <si>
    <t>crocodile_Obj_Flying02=0.2#crocodile_Swing01=0.368#crocodile_Obj_Flying=0.5#crocodile_CircleWind=0.6#crocodile_Swing01=2.2#crocodile_Sand01=2.7#CV_crocodile_NewmoonSand=1</t>
  </si>
  <si>
    <t>40350106</t>
  </si>
  <si>
    <t>crocodile_Swing01=0.2#crocodile_ObjFlyingSwing=0.4#crocodile_Sand01=0.655#crocodile_GndShakingSand=0.482#CV_crocodile_DesertDiamondBlade=0</t>
  </si>
  <si>
    <t>40350107</t>
  </si>
  <si>
    <t>crocodile_Swing01=0.2#crocodile_Swing02=0.306#crocodile_Hit_Sand02=0.615#crocodile_Obj_Flying02=0.437#crocodile_CircleWind02=0.437#crocodile_Obj_Flying=2.7#crocodile_SandEnd=3.5#CV_crocodile_SandStorm=0</t>
  </si>
  <si>
    <t>40350108</t>
  </si>
  <si>
    <t>crocodile_Swing01=0.2#crocodile_Obj_Flying=0.584#crocodile_CircleWind=1.212#crocodile_GndShaking=2.066#crocodile_GndShakingSand=4.071#crocodile_Obj_Flying=5.7#crocodile_SandEnd=6.3#CV_crocodile_Erode=0</t>
  </si>
  <si>
    <t>【怪物】时装女帝</t>
  </si>
  <si>
    <t>40560101</t>
  </si>
  <si>
    <t>40560102</t>
  </si>
  <si>
    <t>40560103</t>
  </si>
  <si>
    <t>40560104</t>
  </si>
  <si>
    <t>40560105</t>
  </si>
  <si>
    <t>40560106</t>
  </si>
  <si>
    <t>40560107</t>
  </si>
  <si>
    <t>40560108</t>
  </si>
  <si>
    <t>镜头2（单体攻击）</t>
  </si>
  <si>
    <t>假路飞</t>
  </si>
  <si>
    <t>118701</t>
  </si>
  <si>
    <t>nami_Cloth=0#pistol_gunshot02=0.55</t>
  </si>
  <si>
    <t>双枪</t>
  </si>
  <si>
    <t>118702</t>
  </si>
  <si>
    <t>nami_Cloth=0#Mr2_Swing02=0.167#Mr2_Swing01=0.2#Mr2_Swing02=0.2#Mr2_Swing02=0.274#pistol_gunshot02=0.692#pistol_gunshot02=0.792#pistol_gunshot02=0.9#pistol_gunshot02=1#pistol_gunshot02=1.136#pistol_gunshot02=1.292#pistol_gunshot02=1.429</t>
  </si>
  <si>
    <t>118703</t>
  </si>
  <si>
    <t>Hogbak_Magic03=1.6#se_Magic02=1.6#se_Rush_Long=1.827#Hogbak_Magic01=2.1#law_Glance=4.02</t>
  </si>
  <si>
    <t>Particles/falseluffy001_body/falseluffy001_body_attack03_C</t>
  </si>
  <si>
    <t>假奈美</t>
  </si>
  <si>
    <t>118801</t>
  </si>
  <si>
    <t>Mr2_Swing02=0.54#Gun_Pistol_Shot01=0.623#nami_Cloth=0.833#Gun_Pistol_Shot01=1.427</t>
  </si>
  <si>
    <t>裤裆藏雷</t>
  </si>
  <si>
    <t>118802</t>
  </si>
  <si>
    <t>nami_Cloth=0#Mr2_Swing02=0.274#Robin_Swing05=0.8#usopp_Explosion=1.2</t>
  </si>
  <si>
    <t>118803</t>
  </si>
  <si>
    <t>se_FootstepHeels01=0#se_FootstepHeels02=0.5#se_FootstepHeels01=1.1#se_FootstepHeels02=1.7#se_FootstepHeels01=2.27#se_FootstepHeels02=2.821#se_FootstepHeels02=3.343#kuma_SwingSlowly=2.27#Hogbak_Magic02=3.5#vivi_Magic01=3.806#nami_Cloth=4.188#law_Glance=5.1</t>
  </si>
  <si>
    <t>Particles/falsenami001_body/falsenami001_body_attack03_C</t>
  </si>
  <si>
    <t>假乌索普</t>
  </si>
  <si>
    <t>118901</t>
  </si>
  <si>
    <t>Mr2_Swing02=0#Gun_Pistol_Shot02=0.58#Gun_Pistol_Shot02=1.158#Gun_Pistol_Shot02=1.546</t>
  </si>
  <si>
    <t>原地炮筒</t>
  </si>
  <si>
    <t>118902</t>
  </si>
  <si>
    <t>nami_Cloth=0#buggy_Funny02=0.512#usopp_Tap=1.08#se_CannonShoot01=1.679#usopp_Explosion=2.4</t>
  </si>
  <si>
    <t>118903</t>
  </si>
  <si>
    <t>nami_Cloth=0#usopp_Tap=0.6#se_Jump01=1#zoro_Jumpspin=1#se_CannonShoot01=1.702#usopp_Explosion=2#law_Glance=3</t>
  </si>
  <si>
    <t>Particles/falseusopp001_body/falseusopp001_body_attack03_C</t>
  </si>
  <si>
    <t>卡里布</t>
  </si>
  <si>
    <t>119001</t>
  </si>
  <si>
    <t>nami_Cloth=0.263#se_Mud01=0.441#law_Swing01=0.603#crocodile_Swing01=0.8#law_Swing01=1.124#se_Mud02=1.6</t>
  </si>
  <si>
    <t>祈祷buff</t>
  </si>
  <si>
    <t>119002</t>
  </si>
  <si>
    <t>vivi_Magic02=0#nami_Cloth=0#buggy_Funny02=0.4#hancock_Charm=0.813#vivi_Magic01=1.132</t>
  </si>
  <si>
    <t>机枪</t>
  </si>
  <si>
    <t>119003</t>
  </si>
  <si>
    <t>se_Mud01=0#sakazuki_LavaMove03=0#se_Mud02=0.512#MachineGunBurst2=1.645#MachineGunBurst2=1.863#MachineGunBurst2=2.079#MachineGunBurst2=2.294#MachineGunBurst2=2.509#MachineGunBurst2=2.724#MachineGunBurst2=2.94#MachineGunBurst2=3.15#buggy_Funny01=3.5#se_Mud02=3.5</t>
  </si>
  <si>
    <t>喷泥</t>
  </si>
  <si>
    <t>119004</t>
  </si>
  <si>
    <t>usopp_Cloth=0#nami_Cloth=0.806#cp9_GroundImpact=0.881#sakazuki_LavaExplo01=1.005#se_Mud02=1.005#se_Mud01=1.318#se_Mud02=1.663</t>
  </si>
  <si>
    <t>镜头大喷泥</t>
  </si>
  <si>
    <t>119005</t>
  </si>
  <si>
    <t>chopper_Ultramove=0#se_FootstepDirt01=0#se_FootstepDirt02=0.243#se_FootstepDirt01=0.531#se_FootstepDirt02=0.8#se_FootstepDirt01=1.047#se_FootstepDirt02=1.332#se_FootstepDirt01=1.6#zoro_Jumpspin=1.802#buggy_Funny03=2.41#moria_GroundImpact=2.581#jinbe_Impact=2.581#sakazuki_LavaShaking03Fade=2.581</t>
  </si>
  <si>
    <t>Particles/karib/karib_attack05_C</t>
  </si>
  <si>
    <t>黑胖龙宫城士兵</t>
  </si>
  <si>
    <t>222501</t>
  </si>
  <si>
    <t>nami_Cloth=0#zoro_Swing01=0.214#jozz_Swing02=0.214#zoro_Swing01=0.326#jozz_Swing02=0.326#zoro_Swing01=0.462#jozz_Swing02=0.462#zoro_Swing01=0.614#jozz_Swing02=0.614#usopp_Cloth=0.7#law_Swing01=0.833#zoro_Swing01=1#jozz_Swing02=1</t>
  </si>
  <si>
    <t>蓝瘦龙宫城士兵</t>
  </si>
  <si>
    <t>222601</t>
  </si>
  <si>
    <t>nami_Cloth=0#zoro_Swing01=0.3#jozz_Swing02=0.3#zoro_Swing01=0.481#jozz_Swing02=0.481#usopp_Cloth=0.681#law_Swing01=0.918#zoro_Swing01=1.081#jozz_Swing02=1.081</t>
  </si>
  <si>
    <t>持刀新鱼人</t>
  </si>
  <si>
    <t>119101</t>
  </si>
  <si>
    <t>nami_Cloth=0#zoro_Swing02=0.117#nami_Cloth=0.441#se_Jump01=0.582#zoro_Swing01=1#cp9_GroundImpact=1.2</t>
  </si>
  <si>
    <t>持枪新鱼人</t>
  </si>
  <si>
    <t>119201</t>
  </si>
  <si>
    <t>nami_Cloth=0#Gun_Pistol_Shot06=0.586#Gun_Pistol_Shot06=0.9#Gun_Pistol_Shot06=1.4</t>
  </si>
  <si>
    <t>霍迪·琼斯</t>
  </si>
  <si>
    <t>119301</t>
  </si>
  <si>
    <t>nami_Cloth=0.2#Mr2_Swing02=0.2#jinbe_Water01=0.356#jinbe_Swing02=1#jinbe_Water02=1.267#jinbe_Swing04=1.541#jinbe_Water02=1.641#jinbe_Swing04=1.896#jinbe_Water02=2</t>
  </si>
  <si>
    <t>冲拳</t>
  </si>
  <si>
    <t>119302</t>
  </si>
  <si>
    <t>nami_Cloth=0#jinbe_Water02=0.247#jinbe_Water04=0.909#jinbe_Swing01=0.909#chopper_Punch01=0.909#franky_Punch_Heavy=1.033#borsalino_LightExplosion01=1.218</t>
  </si>
  <si>
    <t>直线4格水珠</t>
  </si>
  <si>
    <t>119303</t>
  </si>
  <si>
    <t>nami_Cloth=0#Mr2_Swing02=0.161#jinbe_Water04=0.4#jinbe_Swing05=0.955#se_Impact03=1.546#Foot_DeepWater_Wade01=1.681#CV_hody34=0.6</t>
  </si>
  <si>
    <t>冲拳2</t>
  </si>
  <si>
    <t>119304</t>
  </si>
  <si>
    <t>nami_Cloth=0#jinbe_Water01=0.319#jinbe_Swing01=0.9#franky_Punch_Heavy=1.002#se_Impact02=1.145#se_Impact03=1.145#jinbe_Impact=1.145#kuma_HitGround=1.145#CV_hody28=0.7</t>
  </si>
  <si>
    <t>镜头1：假面骑士</t>
  </si>
  <si>
    <t>119305</t>
  </si>
  <si>
    <t>jinbe_Water03=0#jinbe_Swing05=0.211#jinbe_Swing04=0.5#kuma_HitGround=0.7#se_RockFall02VmUp=0.7#se_WaterBurst01=1.1#smoke_Swing02=3.5#smoke_Swing01=3.7#CV_hody36=0#CV_hody37=3.4</t>
  </si>
  <si>
    <t>Particles/hordy001/hordy001_attack05_C</t>
  </si>
  <si>
    <t>镜头2：妙妙屋</t>
  </si>
  <si>
    <t>119306</t>
  </si>
  <si>
    <t>jinbe_Water03=0#jinbe_WaterBall=0.854#nami_Cloth=3.738#se_Jump02=3.857#zoro_Jumpspin=3.857#jinbe_Water04=3.857#kuzan_IceCharge02=4.481#jinbe_Water03=4.9#Robin_GiantHand01=6.241#vista_MultiSwing=6.241#jinbe_Water04=6.241#CV_hody35=0#CV_hody28=6</t>
  </si>
  <si>
    <t>Particles/hordy001/hordy001_attack06_C</t>
  </si>
  <si>
    <t>Bone06</t>
  </si>
  <si>
    <t>镜头3：吃药</t>
  </si>
  <si>
    <t>119307</t>
  </si>
  <si>
    <t>Mr2_Swing02=0.375#Mr5_Eat=0.744#blackbear_DarkIn01=1.5#edward_Indraft=1.5#enel_Heartbeat=2#franky_Wind_Gathering=2.158#enel_Heartbeat=3#enel_Heartbeat=4#se_Magic01=4.477#moria_Darkmagic=4.477#enel_Heartbeat=5#enel_SlowSight=5.725#enel_Heartbeat=6#enel_Heartbeat=7#CV_hody31=1.3#CV_hody29=2.5</t>
  </si>
  <si>
    <t>Particles/hordy001/hordy001_attack07_C</t>
  </si>
  <si>
    <t>范德戴肯九世</t>
  </si>
  <si>
    <t>飞刀投掷</t>
  </si>
  <si>
    <t>119401</t>
  </si>
  <si>
    <t>usopp_Cloth=0#kuzan_Swing=0.1#hancock_Kick04=0.37#hancock_Kick04=0.502#hancock_Kick04=0.618#hancock_Kick04=0.737</t>
  </si>
  <si>
    <t>万箭齐发</t>
  </si>
  <si>
    <t>119402</t>
  </si>
  <si>
    <t>nami_Cloth=0#jinbe_Swing04=0.497#DOF_Swing01=0.718#kuzan_IceCharge02=0.887#se_Arrows01=1.742#se_Sword_Hit=1.742#se_Sword_Hit=1.9#se_Sword_Hit=2.1#se_Sword_Hit=2.3#se_Sword_Hit=2.5</t>
  </si>
  <si>
    <t>大斧子</t>
  </si>
  <si>
    <t>119403</t>
  </si>
  <si>
    <t>nami_Cloth=0.1#moria_Swing02=0.5#smoke_Swing03=0.5#edward_Spin01=0.69#Swish_SwingHugeShovel=0.69#Swish_SwingHugeShovel=1.025#smoke_SteamCharge01=1.025#edward_Spin01=1.204#Swish_SwingHugeShovel=1.4#edward_Spin01=1.4#edward_Spin01=2.011#edward_Spin03=2.011#Swish_SwingHugeShovel=2.202#se_Rock_Fall02=2.471</t>
  </si>
  <si>
    <t>船上升</t>
  </si>
  <si>
    <t>119404</t>
  </si>
  <si>
    <t>nami_Cloth=1.2#cp9_GroundImpact=2.851#Pickup_Misc14=3.469#se_Steam01=4.469#kuma_PullSp01=8.086#se_OceanWaveOut=8.086#kuma_PullSp01=10.784#jozz_Charging04=11.284</t>
  </si>
  <si>
    <t>Particles/decken002/decken002_attack04_c</t>
  </si>
  <si>
    <t>船下降</t>
  </si>
  <si>
    <t>119405</t>
  </si>
  <si>
    <t>chopper_Ultramove=0#nami_Cloth=1.23#se_Jump01=1.614#zoro_Jumpspin=1.614#se_GroundShake02=2.8#se_GroundShake01=4.131#perona_GroundHit=8.787#se_Punch_Giant_Hit=8.787#se_Punch_FaceHit=8.787</t>
  </si>
  <si>
    <t>Particles/decken002/decken002_attack05_c</t>
  </si>
  <si>
    <t>豹藏</t>
  </si>
  <si>
    <t>旋转</t>
  </si>
  <si>
    <t>119501</t>
  </si>
  <si>
    <t>nami_Cloth=0#vista_MultiSwing=0.393#brook_BlinkSwing=0.953#se_Jump02=1.1#vista_MultiSwing=1.234#tashigi_Swing01=1.234#zoro_Slash=1.853</t>
  </si>
  <si>
    <t>喝酒斩</t>
  </si>
  <si>
    <t>119502</t>
  </si>
  <si>
    <t>nami_Cloth=0#Mr2_Swing02=0.274#vista_MultiSwing=0.784#zoro_Slash_Heavy=0.784#brook_BlinkSwing=1#buggy_Swing01=1.222</t>
  </si>
  <si>
    <t>buff</t>
  </si>
  <si>
    <t>119503</t>
  </si>
  <si>
    <t>nami_Cloth=0#Mr5_Eat=0.8#franky_Wind_Gathering=1.283#blackbear_DarkIn02=2.62#Pickup_Scifi_Energy08=2.953#Pickup_Magic44=3.266</t>
  </si>
  <si>
    <t>全体乱舞</t>
  </si>
  <si>
    <t>119504</t>
  </si>
  <si>
    <t>nami_Cloth=0#se_Jump02=0.263#zoro_Jumpspin=0.263#vista_MultiSwing=0.5#zoro_Jumpspin=1#zoro_Slash=1#se_Jump02=1.77</t>
  </si>
  <si>
    <t>镜头必杀</t>
  </si>
  <si>
    <t>119505</t>
  </si>
  <si>
    <t>Swish_Rope_WebSwing1=0.8#se_Poison01=0.943#Robin_Swing05=2.131#zoro_Jumpspin=3.148#se_Jump01=3.148#kuzan_IceCharge02=3.384#smoke_SteamFlying05=3.384#vista_MultiSwing=6#zoro_Slash_Long=6#zoro_Slash=6.326#se_Swordheavy_Hit=6#se_Sword_Hit=6#se_Sword_Hit=6.1#se_Sword_Hit=6.2#se_Swordheavy_Hit=6.326#se_Sword_Hit=6.326</t>
  </si>
  <si>
    <t>Particles/hyouzou001_body/hyouzou001_body_attack05_C</t>
  </si>
  <si>
    <t>0,0,1</t>
  </si>
  <si>
    <t>1880&amp;&amp;1881&amp;&amp;1882&amp;&amp;1883&amp;&amp;1884&amp;&amp;1885&amp;&amp;1886&amp;&amp;1887</t>
  </si>
  <si>
    <t>Dummy001&amp;&amp;Dummy004&amp;&amp;Dummy005&amp;&amp;Dummy006&amp;&amp;Dummy007&amp;&amp;Dummy008&amp;&amp;Dummy009&amp;&amp;Dummy010</t>
  </si>
  <si>
    <t>咚森</t>
  </si>
  <si>
    <t>119601</t>
  </si>
  <si>
    <t>nami_Cloth=0#kid_Swing01=0.317#kid_Swing02=0.874#nami_Cloth=1.4#kid_Swing02=1.837#jozz_Swing02=1.837#se_Rock_Fall02=2.06</t>
  </si>
  <si>
    <t>跳跃下击</t>
  </si>
  <si>
    <t>119602</t>
  </si>
  <si>
    <t>nami_Cloth=0#se_Jump01=0.2#zoro_Jumpspin=0.2#kid_Swing01=0.317#kid_Swing02=0.868#jozz_Swing02=0.868#se_Rock_Fall02=1.03</t>
  </si>
  <si>
    <t>119603</t>
  </si>
  <si>
    <t>nami_Cloth=0#kid_Wind01=0.3#Mr5_Eat=0.8#franky_Wind_Gathering=1.283#blackbear_DarkIn02=2.32#Pickup_Scifi_Energy08=2.553#Pickup_Magic44=2.866</t>
  </si>
  <si>
    <t>镜头攻击</t>
  </si>
  <si>
    <t>119604</t>
  </si>
  <si>
    <t>jozz_Swing02=0#Swish_SwingHugeShovel=0#Swish_SwingHugeShovel=0.188#Swish_SwingHugeShovel=0.371#Swish_SwingHugeShovel=0.5#Swish_SwingHugeShovel=0.661#Swish_SwingHugeShovel=0.811#Swish_SwingHugeShovel=1#enel_SlowSight=1#Swish_SwingHugeShovel=1.183#jozz_Smash=1.183#jozz_Smash=1.4#enel_SlowSight=1.684#kid_Swing02=2.471#kid_Swing01=2.617#jozz_Smash=2.617#sengoku_ImpactLite=2.617#Swish_SwingHugeShovel=2.617</t>
  </si>
  <si>
    <t>Particles/hyeongje001_body/hyeongje001_body_attack04_C</t>
  </si>
  <si>
    <t>伊卡露丝</t>
  </si>
  <si>
    <t>119701</t>
  </si>
  <si>
    <t>nami_Cloth=0#brook_Swing01=0.3#edward_Swing01=0.3#brook_Swing01=0.4#edward_Swing01=0.5#brook_Swing01=0.6#edward_Swing01=0.7#edward_Swing01=0.8#brook_Swing01=0.9#edward_Swing01=1.088#brook_Swing01=1.088#brook_Swing01=1.3#Robin_Swing05=1.3#edward_Swing01=1.3</t>
  </si>
  <si>
    <t>百烈掌</t>
  </si>
  <si>
    <t>119702</t>
  </si>
  <si>
    <t>nami_Cloth=0#Robin_Swing05=0.2#franky_Swing02=0.2#se_Rock_Fall02=0.2#nami_Cloth=0.529#moria_Swing02=0.66#jinbe_Swing01=0.76#jinbe_Swing01=0.9#smoke_FastPunchesShort=1.1#jinbe_Swing01=1.3#jozz_Smash=1.3#jinbe_Swing01=1.48#jinbe_Swing01=1.638</t>
  </si>
  <si>
    <t>119703</t>
  </si>
  <si>
    <t>nami_Cloth=0#Mr5_Eat=0.6#franky_Wind_Gathering=1#blackbear_DarkIn02=2.3#Pickup_Scifi_Energy08=2.5#Pickup_Magic44=3</t>
  </si>
  <si>
    <t>镜头墨鱼干</t>
  </si>
  <si>
    <t>119704</t>
  </si>
  <si>
    <t>enel_SlowSight=0#nami_Cloth=1.237#kuzan_IceCharge01=1.237#moria_Swing02=2.5#Robin_Swing05=2.5#franky_Swing02=2.5#jinbe_Swing01=2.5#nami_Cloth=2.6#jozz_Smash=2.7#zoro_Slash=2.7#sel_CriticalHit01=2.8</t>
  </si>
  <si>
    <t>Particles/icarus001_body/icarus001_body_attack04_C</t>
  </si>
  <si>
    <t>达摩</t>
  </si>
  <si>
    <t>119801</t>
  </si>
  <si>
    <t>nami_Cloth=0#se_Jump01=0.2#se_Dig02=0.575#se_Dig01=0.717#se_Dig02=1.2#kuzan_IceCharge01=1.56#jozz_Swing02=1.8</t>
  </si>
  <si>
    <t>前突咬人</t>
  </si>
  <si>
    <t>119802</t>
  </si>
  <si>
    <t>se_Jump02=0.125#zoro_Jumpspin=0.125#nami_Cloth=0.357#jozz_Swing02=0.653#macro_Swing01=0.653</t>
  </si>
  <si>
    <t>119803</t>
  </si>
  <si>
    <t>nami_Cloth=0#Mr5_Eat=0.6#franky_Wind_Gathering=0.6#blackbear_DarkIn02=2#Pickup_Scifi_Energy08=2.5#Pickup_Magic44=3</t>
  </si>
  <si>
    <t>镜头钻地</t>
  </si>
  <si>
    <t>119804</t>
  </si>
  <si>
    <t>se_TeethCling=0#se_TeethCling=0.436#se_TeethCling=0.889#se_Jump01=1.282#zoro_Jumpspin=1.282#se_DirtLoop=1.647#jozz_Charging04=2.414#se_DirtLoop=2.918#kuzan_IceCharge01=4.311#se_GroundShakingShort=4.884#se_Rock_Fall02=6.5#kuma_HitGround=6.5</t>
  </si>
  <si>
    <t>Particles/daruma001_body/daruma001_body_attack04_C</t>
  </si>
  <si>
    <t>泽奥</t>
  </si>
  <si>
    <t>119901</t>
  </si>
  <si>
    <t>jinbe_Swing02=0#jinbe_Swing05=0#jinbe_Swing05=0.2#se_MetalChain01=0.2#jinbe_Swing05=0.4#se_MetalChain02=0.65#jinbe_Swing03=1.288#se_MetalChain03=1.549#jinbe_Impact=1.549</t>
  </si>
  <si>
    <t>119902</t>
  </si>
  <si>
    <t>无影锁链</t>
  </si>
  <si>
    <t>119903</t>
  </si>
  <si>
    <t>se_Jump02=0#jinbe_Swing05=0#se_MetalChain01=0#jinbe_Swing05=0.2#se_Rock_Fall02=0.6#se_MetalChain03=0.6#kuma_HitGround=0.6#jozz_Impact01=1.1#se_Jump02=1.288#jinbe_Swing03=1.288#kuma_HitGround=1.288#zoro_Jumpspin=1.4</t>
  </si>
  <si>
    <t>镜头锁头</t>
  </si>
  <si>
    <t>119904</t>
  </si>
  <si>
    <t>nami_Cloth=0.4#se_Jump02=0.76#se_MetalChain01=0.912#zoro_Jumpspin=0.912#nami_Wind_Push=1.196#se_MetalChain01=1.6#smoke_SteamFlying04=1.6#jinbe_Swing04=2.878#nami_Cloth=2.878#se_MetalChain01=3.154#se_MetalChain03=3.689#se_MetalChain02=4#Robin_Swing02=4#se_MetalChain01=4.4#Mr2_Swing01=4.69#law_Catch=4.8#kuma_SwingSlowly=5.226#jinbe_Swing02=6.038#Robin_Swing01=6.2#se_Jump01=6.416#kuzan_IceCharge01=6.6#se_MetalChain02=6.6#Robin_Swing05=6.8#se_MetalChain02=7.412#se_MetalChain01=7.879#usopp2_Draw03=7.879#Swish_Rope_WebSwing1=8.6#Robin_BoneBreak=8.923#nami_Cloth=9.607#zoro_Jumpspin=9.781#cp9_GroundImpact=9.781#se_MetalChain01=9.932#se_MetalChain04=9.932#se_MetalChain01=10.718</t>
  </si>
  <si>
    <t>Particles/zeao001_body/zeao001_body_attack04_C</t>
  </si>
  <si>
    <t>隐身</t>
  </si>
  <si>
    <t>119905</t>
  </si>
  <si>
    <t>Pickup_Magic44=0#Pickup_Spirit05=0</t>
  </si>
  <si>
    <t>旋转【阶段打血最少】</t>
  </si>
  <si>
    <t>喝酒斩【阶段打血最少】</t>
  </si>
  <si>
    <t>全体乱舞【阶段打血最少】</t>
  </si>
  <si>
    <t>镜头必杀【阶段打血最少】</t>
  </si>
  <si>
    <t>飞刀投掷【技能飞刀打随机】</t>
  </si>
  <si>
    <t>飞刀投掷【阶段2打后排】</t>
  </si>
  <si>
    <t>霍迪·琼斯-鱼人岛下主线-打随机</t>
  </si>
  <si>
    <t>茶胡子</t>
  </si>
  <si>
    <t>120201</t>
  </si>
  <si>
    <t>zoro_Swing01=0.319#zoro_Swing02=0.717</t>
  </si>
  <si>
    <t>120202</t>
  </si>
  <si>
    <t>smoke_Swing01=0.825#jinbe_Impact=1.1</t>
  </si>
  <si>
    <t>震击</t>
  </si>
  <si>
    <t>120203</t>
  </si>
  <si>
    <t>cp9_GroundImpact=0.574#cp9_GroundImpact=1.2#cp9_GroundImpact=1.54#jinbe_Impact=2.4</t>
  </si>
  <si>
    <t>史姆丽</t>
  </si>
  <si>
    <t>120301</t>
  </si>
  <si>
    <t>Squish_WetSlime1=0.556#Squish_WetSlimeHit2=1.222</t>
  </si>
  <si>
    <t>猛扑</t>
  </si>
  <si>
    <t>120302</t>
  </si>
  <si>
    <t>macro_Swing01=0.707</t>
  </si>
  <si>
    <t>分裂</t>
  </si>
  <si>
    <t>120303</t>
  </si>
  <si>
    <t>Squish_WetSlime1=0.442#Squish_WetSlime4=1.195#Squish_WetSlime4=1.555#Squish_WetSlime4=1.863#Squish_WetSlime4=2.351</t>
  </si>
  <si>
    <t>双足飞龙</t>
  </si>
  <si>
    <t>120401</t>
  </si>
  <si>
    <t>sengoku_GroundStep=0.354#sengoku_GroundStep=0.507#franky_Punch_Heavy=1.181</t>
  </si>
  <si>
    <t>喷火（平喷）</t>
  </si>
  <si>
    <t>120402</t>
  </si>
  <si>
    <t>usopp_Dragon_Attack=0.88</t>
  </si>
  <si>
    <t>横冲直撞（飞喷）</t>
  </si>
  <si>
    <t>120403</t>
  </si>
  <si>
    <t>franky_Punch_Light=0.97#franky_Punch_Light=1.467#usopp_Dragon_Attack=2.14#franky_Punch_Light=3.96#sengoku_GroundStep=4.453#sengoku_GroundStep=4.63</t>
  </si>
  <si>
    <t>火龙</t>
  </si>
  <si>
    <t>120501</t>
  </si>
  <si>
    <t>se_DragonRoar1=0#sengoku_GroundStep=1.09#sengoku_GroundStep=1.24#sengoku_GroundStep=1.4#sengoku_GroundStep=1.54</t>
  </si>
  <si>
    <t>喷火</t>
  </si>
  <si>
    <t>120502</t>
  </si>
  <si>
    <t>se_DragonRoar2=0.3#usopp_Dragon_Attack=1.56</t>
  </si>
  <si>
    <t>飞空喷火</t>
  </si>
  <si>
    <t>120503</t>
  </si>
  <si>
    <t>sengoku_GroundStep=0.29#sengoku_GroundStep=0.54#franky_Punch_Light=1.26#franky_Punch_Light1.75#usopp_Dragon_Attack=2.44#sengoku_GroundStep=3.59</t>
  </si>
  <si>
    <t>小孩</t>
  </si>
  <si>
    <t>120601</t>
  </si>
  <si>
    <t>ph部队-持刀</t>
  </si>
  <si>
    <t>120701</t>
  </si>
  <si>
    <t>zoro_Swing01=0.34#zoro_Swing01=0.63#zoro_Swing02=1.3</t>
  </si>
  <si>
    <t>ph部队-持枪</t>
  </si>
  <si>
    <t>120801</t>
  </si>
  <si>
    <t>Gun_Reload_Weapon19=0.487#Gun_Pistol_Shot01=1.57#Gun_NailRifle_Shot04=2.17</t>
  </si>
  <si>
    <t>G5海军-持刀</t>
  </si>
  <si>
    <t>120901</t>
  </si>
  <si>
    <t>zoro_Swing01=0.37#zoro_Swing01=0.66#zoro_Swing01=1.02</t>
  </si>
  <si>
    <t>G5海军-持枪</t>
  </si>
  <si>
    <t>121001</t>
  </si>
  <si>
    <t>se_ShotgunReload=0.214#Gun_Pistol_Shot02=1#Gun_Pistol_Shot02=1.95</t>
  </si>
  <si>
    <t>豹型半人马</t>
  </si>
  <si>
    <t>121101</t>
  </si>
  <si>
    <t>edward_Spin01=0.47#edward_Spin01=1.06#sakazuki_Swing01=1.549</t>
  </si>
  <si>
    <t>长颈鹿型半人马</t>
  </si>
  <si>
    <t>121201</t>
  </si>
  <si>
    <t>zoro_Swing01=0.58#zoro_Swing01=1.1#zoro_Swing02=1.43</t>
  </si>
  <si>
    <t>雪山兄弟（洛克）</t>
  </si>
  <si>
    <t>121301</t>
  </si>
  <si>
    <t>se_shotgunReload=0#Gun_Pistol_Shot01=0.96</t>
  </si>
  <si>
    <t>蓄力射击</t>
  </si>
  <si>
    <t>121302</t>
  </si>
  <si>
    <t>se_shotgunReload=0#Shotgun_Shot08=1.37</t>
  </si>
  <si>
    <t>雪山兄弟</t>
  </si>
  <si>
    <t>121303</t>
  </si>
  <si>
    <t>blackbear_DarkOut05=0#kuzan_IceCharge01=2.231#mihawk_Energy=3.134#pistol_gunshot02=4.33#pistol_gunshot02=4.492#usopp_Explosion=4.8</t>
  </si>
  <si>
    <t>Particles/xueshanxiongdi001_body/xueshanxiongdi001_body_attack03_C</t>
  </si>
  <si>
    <t>雪山兄弟（斯科奇）</t>
  </si>
  <si>
    <t>121401</t>
  </si>
  <si>
    <t>se_shotgunReload=0.138#Gun_Pistol_Shot01=1.04</t>
  </si>
  <si>
    <t>天然陷阱</t>
  </si>
  <si>
    <t>121402</t>
  </si>
  <si>
    <t>se_shotgunReload=0.237#Gun_Pistol_Shot01=1.11#Gun_Pistol_Shot01=1.51#Gun_Pistol_Shot02=1.86</t>
  </si>
  <si>
    <t>小型史姆丽</t>
  </si>
  <si>
    <t>121501</t>
  </si>
  <si>
    <t>se_Mud01=0.677</t>
  </si>
  <si>
    <t>维尔高</t>
  </si>
  <si>
    <t>225401</t>
  </si>
  <si>
    <t>zoro_Swing02=0.31#zoro_Swing01=0.79</t>
  </si>
  <si>
    <t>核弹指枪</t>
  </si>
  <si>
    <t>225402</t>
  </si>
  <si>
    <t>nami_Cloth=0.51#mihawk_EnergyIn=0.76#hogbak_Magic02=0.76#Ace_FireHit=1.3</t>
  </si>
  <si>
    <t>225403</t>
  </si>
  <si>
    <t>garp_Cloth01=0.3#040_Spin_Bar1=1.3#jinbe_Swing01=1.64#luffy_GiantSwingImpact02=1.82</t>
  </si>
  <si>
    <t>weapon001</t>
  </si>
  <si>
    <t>225404</t>
  </si>
  <si>
    <t>se_Jump01=0.4#smoke_FastPunches=1#franky_Punch_heavy=2.48#law_Charge=2.56#040_grab_bar=3.86</t>
  </si>
  <si>
    <t>（镜头）圣光爆衣茄子</t>
  </si>
  <si>
    <t>121605</t>
  </si>
  <si>
    <t>blackbear_DarkOut05=0.357#sanji_Kick_Heavy=2.46#se_Jump02=3#chopper_Punch02=3.9#chopper_Punch03=4.04#se_Jump02=4.36#mihawk_EnergySp01=4.65#mihawk_ObjFlying05=5.6#sanji_Kick_Heavy=5.6#se_Jump01=6.22#luffy_GiantSwingImpact02=7.1#jozz_Impact01=7.15</t>
  </si>
  <si>
    <t>Particles/vergo001_body/vergo001_body_attack05_C</t>
  </si>
  <si>
    <t>莫奈</t>
  </si>
  <si>
    <t>121701</t>
  </si>
  <si>
    <t>sanji_Kick=0.35#Mr2_Swing01=0.66#Mr2_Swing02=0.92#sanji_Kick_Heavy=1.49</t>
  </si>
  <si>
    <t>万年雪</t>
  </si>
  <si>
    <t>121702</t>
  </si>
  <si>
    <t>smoke_SteamFlying01=0.11#se_Jump02=0.11#kuzan_Icewind01=0.775#kuzan_Icewind03=1.18#</t>
  </si>
  <si>
    <t>钢锥连击</t>
  </si>
  <si>
    <t>121703</t>
  </si>
  <si>
    <t>040_ult6=0.248#sanji_Kick_Heavy=1.07</t>
  </si>
  <si>
    <t>（镜头）太平雪·肌刀</t>
  </si>
  <si>
    <t>121705</t>
  </si>
  <si>
    <t>smoke_SteamFlying05=0.1#nami_Wind_Push=2.63#nami_Windbuff=2.67#mihawk_ObjFlying01=4.8</t>
  </si>
  <si>
    <t>Particles/monet001/monet001_body_Atk05_C</t>
  </si>
  <si>
    <t>2523&amp;&amp;2524</t>
  </si>
  <si>
    <t>Bone005&amp;&amp;Bone005</t>
  </si>
  <si>
    <t>（镜头）暴风雪</t>
  </si>
  <si>
    <t>121706</t>
  </si>
  <si>
    <t>griffon_takeoff=0.2#edward_Windimpact02=0.36#griffon_glide1=1.1#griffon_fly1=2.72#griffon_fly1=3.26#nami_Wind_Push=4.69#kid_ObjectFly03=5.36#franky_Windshoot=5.43</t>
  </si>
  <si>
    <t>Particles/monet001/monet001_body_Atk06_C</t>
  </si>
  <si>
    <t>水牛</t>
  </si>
  <si>
    <t>121801</t>
  </si>
  <si>
    <t>nami_Cloth=0.38#zoro_Spin_Wind=0.9#nami_Wind_Push=0.94#zoro_Spin_Wind=1.6#smoke_SteamFlying01=1.95#garp_Cloth01=2.77</t>
  </si>
  <si>
    <t>螺旋突击</t>
  </si>
  <si>
    <t>121802</t>
  </si>
  <si>
    <t>kuma_SwingSlowly=0.24#kid_Swing01=0.8#kid_Swing01=1.04#kid_Swing01=1.24#kid_Swing01=1.43#garp_Jump01=1.65</t>
  </si>
  <si>
    <t>扫射</t>
  </si>
  <si>
    <t>121803</t>
  </si>
  <si>
    <t>smoke_SteamCharge01=0.35#nami_WindBuff=1.32</t>
  </si>
  <si>
    <t>德林杰</t>
  </si>
  <si>
    <t>121901</t>
  </si>
  <si>
    <t>sanji_Kick=0.334#sanji_Kick=0.567#sanji_Kick_Heavy=1.03</t>
  </si>
  <si>
    <t>飞身踢</t>
  </si>
  <si>
    <t>121902</t>
  </si>
  <si>
    <t>macro_Swing01=0.22#macro_Swing01=0.65#macro_Swing01=1.#edward_Swing04=1.32#macro_Swing01=1.36</t>
  </si>
  <si>
    <t>连环踢</t>
  </si>
  <si>
    <t>121903</t>
  </si>
  <si>
    <t>sanji_Kicks_Speedy=0.376#sanji_Kick_Heavy=1.157</t>
  </si>
  <si>
    <t>飞身头槌</t>
  </si>
  <si>
    <t>121904</t>
  </si>
  <si>
    <t>moria_Ultramove=0.246#se_Jump02=5.09#hogbak_Blood=5.267#se_Swordheavy_Hit=5.3</t>
  </si>
  <si>
    <t>Particles/dellinger001_body/dellinger001_body_attack04_C</t>
  </si>
  <si>
    <t>贾恩·安格</t>
  </si>
  <si>
    <t>飞刀</t>
  </si>
  <si>
    <t>garp_Cloth02=0.095#swish_WeaponSwing_Swipe6=0.125#usopp_Shoot02=0.72</t>
  </si>
  <si>
    <t>弹药填充</t>
  </si>
  <si>
    <t>windbuff2=0.12</t>
  </si>
  <si>
    <t>武器投掷</t>
  </si>
  <si>
    <t>usopp_Shoot02=0.1#usopp_Shoot02=0.32#usopp_Shoot02=0.86</t>
  </si>
  <si>
    <t>斗牛</t>
  </si>
  <si>
    <t>luffy_Punch_Giant02=0.6</t>
  </si>
  <si>
    <t>斗鱼01</t>
  </si>
  <si>
    <t>122101</t>
  </si>
  <si>
    <t>chopper_Punch02=0.6</t>
  </si>
  <si>
    <t>斗鱼02</t>
  </si>
  <si>
    <t>122202</t>
  </si>
  <si>
    <t>多弗朗门戈手下01</t>
  </si>
  <si>
    <t>122401</t>
  </si>
  <si>
    <t>brook_Swing01=0.36#buggy_Swing01=0.7</t>
  </si>
  <si>
    <t>多弗朗门戈手下02</t>
  </si>
  <si>
    <t>122501</t>
  </si>
  <si>
    <t>Gun_Pistol_Shot06=0.69#Gun_Pistol_Shot06=0.99#Gun_Pistol_Shot06=1.42</t>
  </si>
  <si>
    <t>ph部队-持枪-周年庆-群攻</t>
  </si>
  <si>
    <r>
      <rPr>
        <sz val="11"/>
        <color theme="1"/>
        <rFont val="等线"/>
        <charset val="134"/>
        <scheme val="minor"/>
      </rPr>
      <t>凯撒 周年庆</t>
    </r>
    <r>
      <rPr>
        <sz val="11"/>
        <color theme="1"/>
        <rFont val="等线"/>
        <charset val="134"/>
        <scheme val="minor"/>
      </rPr>
      <t xml:space="preserve">  攻击后排</t>
    </r>
  </si>
  <si>
    <t>普通参赛者（铁链）</t>
  </si>
  <si>
    <t>122601</t>
  </si>
  <si>
    <t>se_MetalChain01=0.486#jozz_Swing02=0.486#jozz_Swing02=1#DOF_Swing02=1.537#se_MetalChain02=1.7</t>
  </si>
  <si>
    <t>普通参赛者（斧）</t>
  </si>
  <si>
    <t>122701</t>
  </si>
  <si>
    <t>sakazuki_Swing01=0.566</t>
  </si>
  <si>
    <t>普通参赛者（剑）</t>
  </si>
  <si>
    <t>122801</t>
  </si>
  <si>
    <t>zoro_Swing01=0.458#</t>
  </si>
  <si>
    <t>青椒</t>
  </si>
  <si>
    <t>123001</t>
  </si>
  <si>
    <t>040_ibki_ft=0.75#040_landhit=1.7#040_landhit=1.935#040_landhit=2.16#040_landhit=2.69</t>
  </si>
  <si>
    <t>武头回转</t>
  </si>
  <si>
    <t>123002</t>
  </si>
  <si>
    <t>se_Jump02=0.151#kuma_HitGround=0.646#edward_Spin01=1.43#edward_Spin01=1.81#edward_Spin01=2.15#edward_Spin01=2.43#edward_Spin01=2.677#se_Jump01=2.96</t>
  </si>
  <si>
    <t>八冲拳·直拳</t>
  </si>
  <si>
    <t>123003</t>
  </si>
  <si>
    <t>garp_Cloth02=0.24#luffy_GiantSwingImpact02=0.9</t>
  </si>
  <si>
    <t>激怒状态</t>
  </si>
  <si>
    <t>123004</t>
  </si>
  <si>
    <t>moria_Ultramove=0.367#se_Impact03=3#edward_Windimpact01=3.02</t>
  </si>
  <si>
    <t>Particles/qingjiao/qingjiao001_body_attack04_C</t>
  </si>
  <si>
    <t>锥龙锥钉·青椒开门</t>
  </si>
  <si>
    <t>123005</t>
  </si>
  <si>
    <t>edward_Windimpact01=0.618#se_Impact03=0.88#nami_Cloth=1.98#smoke_SteamCharge02=2.38#macro_Flying02=3.07#mto_fall=3.92#mto_imp=4.425</t>
  </si>
  <si>
    <t>Particles/qingjiao/qingjiao001_body_attack05_C</t>
  </si>
  <si>
    <t>蕾贝卡</t>
  </si>
  <si>
    <t>9101</t>
  </si>
  <si>
    <t>brook_Swing01=0.4#brook_Swing02=0.84</t>
  </si>
  <si>
    <t>前突</t>
  </si>
  <si>
    <t>9102</t>
  </si>
  <si>
    <t>brook_Swing03=0.86</t>
  </si>
  <si>
    <t>9103</t>
  </si>
  <si>
    <t>buggy_Swing01=0.42#se_Swordheavy_Hit=1.18</t>
  </si>
  <si>
    <t>挑飞</t>
  </si>
  <si>
    <t>9104</t>
  </si>
  <si>
    <t>brook_Swing03=0.366</t>
  </si>
  <si>
    <t>镜头技</t>
  </si>
  <si>
    <t>9105</t>
  </si>
  <si>
    <t>moria_Ultramove=0#jinbe_Swing03=0.53#buggy_Swing01=1.32#se_Jump01=3.61#moria_ScissorsCut=4.1#040_ult7=4.64#brook_Swing03=6.72</t>
  </si>
  <si>
    <t>Particles/JQ_BOSS_leibeika/leibeika001_body_attack05_C</t>
  </si>
  <si>
    <t>斯雷曼</t>
  </si>
  <si>
    <t>123101</t>
  </si>
  <si>
    <t>zoro_Swing01=0.41</t>
  </si>
  <si>
    <t>三连击</t>
  </si>
  <si>
    <t>123102</t>
  </si>
  <si>
    <t>zoro_Swing01=0.23#zoro_Swing01=0.48#zoro_Swing02=0.95</t>
  </si>
  <si>
    <t>处刑</t>
  </si>
  <si>
    <t>123103</t>
  </si>
  <si>
    <t>DOF_Swing02=0.64#zoro_Swing01=0.76</t>
  </si>
  <si>
    <t>洛林格·罗甘</t>
  </si>
  <si>
    <t>123301</t>
  </si>
  <si>
    <t>040_landhit=0.4</t>
  </si>
  <si>
    <t>撞</t>
  </si>
  <si>
    <t>123302</t>
  </si>
  <si>
    <t>law_Charge=0.39#smoke_SteamCharge02=1.28</t>
  </si>
  <si>
    <t>123303</t>
  </si>
  <si>
    <t>smoke_SteamCharge01=0.16#Fireball_Lava_Launch3=1.59#law_Charge=3.35</t>
  </si>
  <si>
    <t>Particles/luogan/luogan001_body_attack03_C</t>
  </si>
  <si>
    <t>斯巴达恩</t>
  </si>
  <si>
    <t>226701</t>
  </si>
  <si>
    <t>chopper_Punch01=0.21</t>
  </si>
  <si>
    <t>5连重击</t>
  </si>
  <si>
    <t>226702</t>
  </si>
  <si>
    <t>chopper_Punch03=0.295#chopper_Punch02=0.456#chopper_Punch03=0.573#chopper_Punch02=0.79#luffy_GiantSwingImpact02=1.32</t>
  </si>
  <si>
    <t>警官</t>
  </si>
  <si>
    <t>226901</t>
  </si>
  <si>
    <t>Shotgun_Shot08=0.426#Shotgun_Shot08=0.695</t>
  </si>
  <si>
    <t>紫罗兰</t>
  </si>
  <si>
    <t>123401</t>
  </si>
  <si>
    <t>hancock_Kick02=0.387#hancock_Kick01=1.23#sanji_Kick=2.27</t>
  </si>
  <si>
    <t>123402</t>
  </si>
  <si>
    <t>hancock_Kick06=0.36#hancock_Kick05=1.17#sanji_Kick_Heavy=2.03</t>
  </si>
  <si>
    <t>123403</t>
  </si>
  <si>
    <t>brook_Swing01=0.29#brook_Swing02=0.576#brook_Swing03=1.12</t>
  </si>
  <si>
    <t>123404</t>
  </si>
  <si>
    <t>garp_Cloth02=0.137#sanji_Kick_Heavy=0.79</t>
  </si>
  <si>
    <t>镜头技1</t>
  </si>
  <si>
    <t>123405</t>
  </si>
  <si>
    <t>se_Sakura=0#se_FootstepHeels01=0.79#se_FootstepHeels02=0.79#AFuben_difficultUnlock=5.1#edward_Windimpact01=7.31</t>
  </si>
  <si>
    <t>Particles/JQ_BOSS_ziluolan/ziluolan001_body_attack05_c</t>
  </si>
  <si>
    <t>镜头技2</t>
  </si>
  <si>
    <t>123406</t>
  </si>
  <si>
    <t>chopper_Ultramove=0#nami_PopEcho=1.86#smoke_SteamFlying01=3.5#zoro_Obj_Flying=5.04#mto_imp=6.1</t>
  </si>
  <si>
    <t>Particles/JQ_BOSS_ziluolan/ziluolan001_body_attack08_C</t>
  </si>
  <si>
    <t>迪亚曼蒂</t>
  </si>
  <si>
    <t>123501</t>
  </si>
  <si>
    <t>zoro_Swing01=0.26#zoro_Swing02=0.57</t>
  </si>
  <si>
    <t>123502</t>
  </si>
  <si>
    <t>windbuff=0#zoro_Swing01=0.5#kid_ObjectFly02=0.86</t>
  </si>
  <si>
    <t>123503</t>
  </si>
  <si>
    <t>smoke_PunchesCloth=0#franky_StarShield=0.42</t>
  </si>
  <si>
    <t>123504</t>
  </si>
  <si>
    <t>moria_Ultramove=0.076#Mr3_BigSwing=3.278#luffy_GiantSwing03=4.458</t>
  </si>
  <si>
    <t>Particles/diamante001/diamante001_body_attack04_C</t>
  </si>
  <si>
    <t>daobing</t>
  </si>
  <si>
    <t>123505</t>
  </si>
  <si>
    <t>mihawk_EnergySp01=0#smoke_PunchesCloth=1.9#brook_BlinkSwing=2#Explo_Fireworks=2.72</t>
  </si>
  <si>
    <t>Particles/diamante001/diamante001_body_attack05_C</t>
  </si>
  <si>
    <t>赛诺尔·平克</t>
  </si>
  <si>
    <t>123601</t>
  </si>
  <si>
    <t>chopper_Punch01=0.4#chopper_Punch02=0.64#chopper_Punch03=1.3</t>
  </si>
  <si>
    <t>皮卡（正常）</t>
  </si>
  <si>
    <t>123701</t>
  </si>
  <si>
    <t>zoro_Swing01=0.45#zoro_Swing02=0.72#jinbe_Impact=1.46</t>
  </si>
  <si>
    <t>123702</t>
  </si>
  <si>
    <t>windbuff=0#brook_Swing03=0.747</t>
  </si>
  <si>
    <t>123703</t>
  </si>
  <si>
    <t>smoke_SteamCharge01=0.12#Ace_Firefly=0.667#luffy_GiantSwingImpact02=1.385</t>
  </si>
  <si>
    <t>皮卡（霸气形态）</t>
  </si>
  <si>
    <t>123801</t>
  </si>
  <si>
    <t>luffy_GiantSwing02=0.53#luffy_GiantSwing02=0.86</t>
  </si>
  <si>
    <t>123802</t>
  </si>
  <si>
    <t>se_Jump02=0.52#law_Energy01=0.96#luffy_GiantSwingImpact02=1.52</t>
  </si>
  <si>
    <t>123803</t>
  </si>
  <si>
    <t>smoke_SteamCharge01=0#luffy_GiantSwing02=0.65#luffy_GiantSwingImpact01=0.78</t>
  </si>
  <si>
    <t>皮卡（小石头）</t>
  </si>
  <si>
    <t>123901</t>
  </si>
  <si>
    <t>smoke_SteamFlying02=0.17#jinbe_Impact=0.8#jinbe_Impact=1.14#jozz_Impact01=1.7#jinbe_Impact=1.95</t>
  </si>
  <si>
    <t>123902</t>
  </si>
  <si>
    <t>windbuff=0.1#law_Energy01=2.44#se_Impact03=2.44</t>
  </si>
  <si>
    <t>123903</t>
  </si>
  <si>
    <t>kuma_SwingSlowly=0#se_Jump02=0.46#luffy_GiantSwingImpact01=0.89</t>
  </si>
  <si>
    <t>皮卡（大石头）</t>
  </si>
  <si>
    <t>124001</t>
  </si>
  <si>
    <t>kuma_SwingSlowly=0.63#luffy_GiantSwingImpact02=1.32</t>
  </si>
  <si>
    <t>124002</t>
  </si>
  <si>
    <t>smoke_SteamFlying01=1.115#mto_imp=1.96</t>
  </si>
  <si>
    <t>124003</t>
  </si>
  <si>
    <t>windbuff=0.533#luffy_GiantSwingImpact01=0.87</t>
  </si>
  <si>
    <t>124004</t>
  </si>
  <si>
    <t>kuma_SwingSlowly=0#jinbe_Impact=1.38#jinbe_Impact=2.19#luffy_GiantSwingImpact02=3.48</t>
  </si>
  <si>
    <t>Particles/pica004/pica004_body_attack04_C</t>
  </si>
  <si>
    <t>古拉迪乌斯</t>
  </si>
  <si>
    <t>124101</t>
  </si>
  <si>
    <t>franky_Machinery_Gear01=0.33#se_CannonShoot01=1.06</t>
  </si>
  <si>
    <t>124102</t>
  </si>
  <si>
    <t>se_Jump01=0.176#se_CannonShoot01=0.96#se_CannonShoot01=1.14#se_CannonShoot01=1.56</t>
  </si>
  <si>
    <t>124103</t>
  </si>
  <si>
    <t>nami_Cloth=0.3#se_DirtJump=0.785</t>
  </si>
  <si>
    <t>124104</t>
  </si>
  <si>
    <t>nami_Cloth=0.23#moria_GroundImpact=0.76#usopp_Explosion=0.76</t>
  </si>
  <si>
    <t>托雷波尔</t>
  </si>
  <si>
    <t>124301</t>
  </si>
  <si>
    <t>se_waterhit4=0.57</t>
  </si>
  <si>
    <t>124302</t>
  </si>
  <si>
    <t>treasureHunt_water01=0.45</t>
  </si>
  <si>
    <t>124303</t>
  </si>
  <si>
    <t>se_waterhit3=0.577#jozz_Impact01=1.23#se_waterhit3=1.41</t>
  </si>
  <si>
    <t>124304</t>
  </si>
  <si>
    <t>kuma_SwingSlowly=0#jinbe_Water03=0.38#jinbe_DeepWater=1.49#smoke_SteamCharge01=1.985#se_WaterBurst01=3.616</t>
  </si>
  <si>
    <t>Particles/trebol002/trebol002_attack04_C</t>
  </si>
  <si>
    <t>123602</t>
  </si>
  <si>
    <t>kuma_SwingSlowly=0.1#se_DirtJump=0.94#se_DirtLoop=1.28#smoke_SteamFlying03=3.6#chopper_Punch01=4.3#chopper_Punch02=4.5#chopper_Punch03=4.94#luffy_GiantSwingImpact02=6#se_DirtJump=7.04</t>
  </si>
  <si>
    <t>Particles/senor/senor001_body_attack02_c</t>
  </si>
  <si>
    <t>124201</t>
  </si>
  <si>
    <t>smoke_SteamCharge01=0.237#chopper_Move01=1.56#buggy_Swing01=2.13</t>
  </si>
  <si>
    <t>124202</t>
  </si>
  <si>
    <t>chopper_Spill=0#chopper_Move01=2.71</t>
  </si>
  <si>
    <t>124204</t>
  </si>
  <si>
    <t>windbuff=0.16#brook_Swing01=0.85#brook_Swing02=1.19#brook_Swing01=1.35#brook_Swing02=1.737#brook_Swing01=1.96#brook_Swing02=2.31#brook_Swing01=2.5#brook_Swing02=2.9</t>
  </si>
  <si>
    <t>124205</t>
  </si>
  <si>
    <t>kuma_SwingSlowly=0.146#nami_Buff=1.87#smoke_SteamCharge01=2.53#smoke_FastPunches=3.97#luffy_Punch_Giant02=5.388#luffy_GiantSwingImpact02=5.494</t>
  </si>
  <si>
    <t>Particles/sugar001_body/sugar001_body_attack05_C</t>
  </si>
  <si>
    <t>40040201</t>
  </si>
  <si>
    <t>usopp_Shoot01=0.152#usopp_Shuriken=0.4#usopp_Shoot01=0.749#usopp_Shuriken=1.013#usopp_Shoot02=1.347#macro_Fire01=1.574#usopp_Shoot02=2.139#usopp_Obj_Flying=2.4#franky_Fire_Shoot01=2.4</t>
  </si>
  <si>
    <t>40040202</t>
  </si>
  <si>
    <t>se_Jump01=0.1#usopp_Shoot02=0.3#usopp_Tap=0.7#Pickup_Scifi_Energy08=0.7#chopper_JumpThrow=1.521#arlong_TeethPre=1.521#Mr2_Swing02=2.04#arlong_TeethPre=2.04#buggy_Funny03=2.14#CV_Nusopp_attack01=0.3</t>
  </si>
  <si>
    <t>40040203</t>
  </si>
  <si>
    <t>usopp2_Draw01=0.4#usopp_Shoot02=1.159#usopp_Swing=1.4#ivankov_Trans02=1.651#Robin_Swing05=1.9#se_leafs01=1.9#brook_Swing03=1.9#brook_Swing03=2#brook_Swing03=2.3#Robin_Swing02=2.5#se_leafs01=2.8#se_Sword_Hit=1.9#se_Sword_Hit=2.028#se_Sword_Hit=2.228#se_Sword_Hit=2.405#se_Sword_Hit=2.5#CV_Nusopp_attack02=1.159</t>
  </si>
  <si>
    <t>40040204</t>
  </si>
  <si>
    <t>usopp2_Draw02=0.248#usopp_Shoot02=0.656#usopp_Obj_Flying=0.845#usopp_Tap=1.301#ivankov_Trans=1.458#se_Hyaline=1.458#magellan_Gas02=1.558#CV_Nusopp_attack03=0.656</t>
  </si>
  <si>
    <t>40040205</t>
  </si>
  <si>
    <t>usopp2_Draw03=0.389#usopp_Shoot02=1.076#usopp_Obj_Flying=1.33#usopp_Shuriken=1.455#usopp_Shuriken=1.714#CV_Nusopp_attack01=1.076</t>
  </si>
  <si>
    <t>40040206</t>
  </si>
  <si>
    <t>kuma_SwingSlowly=0#se_Ding=1.2#usopp2_Draw01=1.892#usopp_Shoot02=2.361#usopp_Obj_Flying=2.597#ivankov_Trans02=2.7#chopper_Move01=2.8#kuma_PopIn=3.506#jozz_Charging04=4.66#se_WoodFall=5.88#usopp_Tap=5.88#usopp2_Draw01=6.64#usopp2_Draw03=7.134#se_BeepAiming=8.613#se_BeepLock=9.743#usopp_Obj_Flying=9.834#usopp_Explosion=10.356#usopp_Explosion=10.9#usopp_Explosion=11.45#Explo_Fireworks=11.683#usopp_Explosion=11.683#usopp_Explosion=11.852#usopp_Explosion=12.3#usopp_Explosion=12.6#CV_Nusopp_Larvae=5#CV_Nusopp10=11.652</t>
  </si>
  <si>
    <t>40040207</t>
  </si>
  <si>
    <t>smoke_SteamFlying05=0#usopp2_Draw01=2.899#usopp2_Draw03=2.899#usopp_Obj_Flying=3.719#perona_BigExplosion=4.342#magellan_Gas02=4.722#sengoku_Explosion02=5.146#luffy_Steam_End=5.5#CV_Nusopp_GreenStar=1#CV_Nusopp02=5.5</t>
  </si>
  <si>
    <t>40040208</t>
  </si>
  <si>
    <t>砂糖玩偶</t>
  </si>
  <si>
    <t>124401</t>
  </si>
  <si>
    <t>chopper_Move01=0.51</t>
  </si>
  <si>
    <t>索隆黑西服固定战斗（皮卡剧情）</t>
  </si>
  <si>
    <t>40020201</t>
  </si>
  <si>
    <t>zoro_Swing01=0.1#zoro_Swing02=0.277#se_Jump02=0.56#zoro_Swing02=0.662#zoro_Swing01=0.662#smoke_Swing03=0.662#Mr3_SwingObj=0.662#CV_Nzoro_attack01=0.1#CV_Nzoro_attack02=0.662</t>
  </si>
  <si>
    <t>极·虎狩</t>
  </si>
  <si>
    <t>40020202</t>
  </si>
  <si>
    <t>nami_Cloth=0#law_Sheath03=0.346#zoro_Sheath_Begin=0.742#zoro_Swing01=0.914#se_Jump01=1.324#zoro_Jumpspin=1.324#smoke_Swing03=1.612#Mr3_SwingObj=1.612#zoro_Slash_Heavy=1.612#tiger_roar=1.612#franky_Punch_Heavy=1.911#nami_Cloth=2.888#zoro_Sheath_End=3.264#CV_Nzoro_ExTiger=0.5</t>
  </si>
  <si>
    <t>40020204</t>
  </si>
  <si>
    <t>nami_Cloth=0#law_Sheath03=0.294#law_Sheath01=0.355#zoro_Sheath_Begin=0.847#tashigi_Swing01=0.864#jinbe_Swing01=1.41#zoro_Swing01=1.41#kuzan_IceCharge01=1.41#franky_Punch_Heavy=1.63#nami_Cloth=2.498#law_Sheath02=2.838#zoro_Sheath_End=2.838#CV_Nzoro_PurgatorySlash=0</t>
  </si>
  <si>
    <t>40020205</t>
  </si>
  <si>
    <t>nami_Cloth=0#law_Sheath03=0.346#zoro_Sheath_Begin=0.742#se_Jump01=0.932#se_Jump02=1.1#zoro_Jumpspin=1.1#zoro_Slash=1.2#mihawk_ObjFlying01=1.45#mihawk_ObjFlying01=1.649#mihawk_ObjFlying04=1.873#mihawk_ObjFlying01=1.873#CV_Nzoro_ThousandDepression=0</t>
  </si>
  <si>
    <t>40020208</t>
  </si>
  <si>
    <t>kuma_SwingSlowly=0#Swish_Rope_WebSwing1=0.238#Ace_Fire01=1.106#zoro_SwordPowerup01=1.358#law_Sheath04=2#moria_Darkmagic=2#law_Sheath01=2.615#nami_Cloth=2.7#zoro_Sheath_Begin=3.059#zoro_Spin_Wind=4.626#zoro_Spin_Wind=5.048#zoro_Spin_Wind=5.72#brook_Charge01=6.674#jozz_Charging03=7.487#tashigi_Swing01=7.83#jinbe_Swing01=8.376#zoro_Slash_Heavy=8.376#zoro_Slash_Long=8.621#sel_CriticalHit01=8.621#zoro_Asura=9.165#CV_Nzoro_3katana=1.5#CV_Nzoro_ThousandWorld=5.5</t>
  </si>
  <si>
    <t>小熊玩偶</t>
  </si>
  <si>
    <t>脑袋夹子</t>
  </si>
  <si>
    <t>TrebolCZ_attack_swing1=0.33#TrebolCZ_attack_swing1=0.76#TrebolCZ_attack_swing2=1.23#water_hit1=0.48#water_hit1=0.88#punch_hit_small01=1.41</t>
  </si>
  <si>
    <t>黏黏波浪</t>
  </si>
  <si>
    <t>general_A_jumpforward=0.06#TrebolCZ_wave_jump=0.19#TrebolCZ_wave_hit=0.63#punch_hit_heavyNPC=0.65</t>
  </si>
  <si>
    <t>3132&amp;&amp;3132</t>
  </si>
  <si>
    <t>黏黏长链</t>
  </si>
  <si>
    <t>TrebolCZ_liuxing_swing1=0.27#TrebolCZ_liuxing_swing1=0.72#TrebolCZ_liuxing_swing2=1.54#slap_hit_male=0.47#slap_hit_male=0.89#slap_hit_male=1.7#water_hit1=1.7</t>
  </si>
  <si>
    <t>wp_bone11</t>
  </si>
  <si>
    <t>黏黏发射炮</t>
  </si>
  <si>
    <r>
      <rPr>
        <sz val="11"/>
        <color theme="1"/>
        <rFont val="等线"/>
        <charset val="134"/>
        <scheme val="minor"/>
      </rPr>
      <t>whooshsmall_general=1#water_hit1=2.11#water_hit1=2.45#water_hit1=2.83#water_hit1=3.19#water_hit1=3.57#water_hit1=3.95#water_hit1=4.28#water_hit1=4.67#water_hit1=5.02#water_hit1=5.39#water_hit1=5.74#water_hit1=6.03#water_hit1=6.64#punch_hit_medium01=6.54#TrebolCZ_ult_zipper=7.71#TrebolCZ_ult_fire=7.98#TrebolCZ_ult_swing=8.66#whooshsmall_general=8.81#TrebolCZ_ult_explosion=10.32#</t>
    </r>
    <r>
      <rPr>
        <sz val="11"/>
        <color rgb="FFFF0000"/>
        <rFont val="等线"/>
        <charset val="134"/>
        <scheme val="minor"/>
      </rPr>
      <t>TrebolCZ_ult_water=1.72#TrebolCZ_ult_water=1.95#TrebolCZ_ult_water=2.22#TrebolCZ_ult_water=2.45#TrebolCZ_ult_water=2.71#TrebolCZ_ult_water=2.95#TrebolCZ_ult_water=3.21#TrebolCZ_ult_water=3.44#TrebolCZ_ult_water=3.7#TrebolCZ_ult_water=3.92#TrebolCZ_ult_water=4.18#TrebolCZ_ult_water=4.42#TrebolCZ_ult_water=4.68#TrebolCZ_ult_water=4.92#TrebolCZ_ult_water=5.17#TrebolCZ_ult_water=5.4</t>
    </r>
  </si>
  <si>
    <t>Particles/trebol003_SSR/trebol003_SSR_attack_04_C</t>
  </si>
  <si>
    <t xml:space="preserve">脑袋夹子旧版 </t>
  </si>
  <si>
    <t>wanjubing_swing=0.4#punch_hit_small02=0.64</t>
  </si>
  <si>
    <t>两年后贝拉米（德岛）</t>
  </si>
  <si>
    <t>smoke_Swing01=0.035#smoke_Swing03=0.293#smoke_Swing04=0.547#smoke_Swing03=0.97#Ace_Swing02=1.12</t>
  </si>
  <si>
    <t>折线冲刺</t>
  </si>
  <si>
    <t>226803</t>
  </si>
  <si>
    <t>edward_Windimpact01=0#coby_buff02=0.14#040_swg_fire1=1.22#swing_combo=1.49#se_Kick_Hit01=1.56#Margo_rock01=1.58#swing_combo=1.77#Margo_rock01=1.88#se_Kick_Hit01=1.88#swing_combo=2.3#se_Kick_Hit01=2.39#Margo_rock01=2.39#Explo_Small_Web=2.8</t>
  </si>
  <si>
    <t>弹簧·五芒星</t>
  </si>
  <si>
    <t>226808</t>
  </si>
  <si>
    <t>mihawk_Swing02=1.09#Margo_star=1.09#bltrmo_Ultramove=1.99#Margo_rock01=3.3#DOF_Ult01=3.87#Explo_Rock1=3.87#swing_combo=4.75#swing_combo=4.88#swing_combo=5.04#swing_combo=5.2#swing_combo=5.36#swing_combo=5.5#swing_combo=5.67#swing_combo=5.81#swing_combo=5.96#swing_combo=6.13#swing_combo=6.29#swing_combo=6.45#swing_combo=6.62#edward_Swing01=6.88#Margo_rock01=7.01#se_Rock_Fall01=7.05</t>
  </si>
  <si>
    <t>Particles/bellamy002/bellamy002_attack08_C</t>
  </si>
  <si>
    <t>-4.8,0,0</t>
  </si>
  <si>
    <t>Bone61</t>
  </si>
  <si>
    <t>青椒（尖头）</t>
  </si>
  <si>
    <t>227301</t>
  </si>
  <si>
    <t>227302</t>
  </si>
  <si>
    <t>227303</t>
  </si>
  <si>
    <t>227304</t>
  </si>
  <si>
    <t>227305</t>
  </si>
  <si>
    <t>旺达</t>
  </si>
  <si>
    <t>124801</t>
  </si>
  <si>
    <r>
      <rPr>
        <sz val="11"/>
        <color theme="1"/>
        <rFont val="等线"/>
        <charset val="134"/>
        <scheme val="minor"/>
      </rPr>
      <t>Wonda_jump=0.31#ZoroCZ_attack_swing1=0.81#GarpHero_zuhe_swing1=1.37#</t>
    </r>
    <r>
      <rPr>
        <sz val="11"/>
        <color rgb="FFFF0000"/>
        <rFont val="等线"/>
        <charset val="134"/>
        <scheme val="minor"/>
      </rPr>
      <t>slash_general01=0.44#slash_general01=0.91#slash_general01=1.45</t>
    </r>
  </si>
  <si>
    <t>Bone27</t>
  </si>
  <si>
    <t>124802</t>
  </si>
  <si>
    <t>Wonda_crash=0.27#GarpHero_zuhe_swing1=0.39#ZoroCZ_attack_swing1=0.54#Wonda_jumpback=1.47#Wonda_jumpback=1.87</t>
  </si>
  <si>
    <t>罗迪</t>
  </si>
  <si>
    <t>125101</t>
  </si>
  <si>
    <r>
      <rPr>
        <sz val="11"/>
        <color theme="1"/>
        <rFont val="等线"/>
        <charset val="134"/>
        <scheme val="minor"/>
      </rPr>
      <t>JozzCZ_attack_swing=0.16#JozzCZ_attack_swing=0.44#JozzCZ_attack_swing=0.95#Roddy_swordhit1=1.11#</t>
    </r>
    <r>
      <rPr>
        <sz val="11"/>
        <color rgb="FFFF0000"/>
        <rFont val="等线"/>
        <charset val="134"/>
        <scheme val="minor"/>
      </rPr>
      <t>slash_general01=0.3#slash_general01=0.55#slash_general01=1.06</t>
    </r>
  </si>
  <si>
    <t>电角</t>
  </si>
  <si>
    <t>125102</t>
  </si>
  <si>
    <t>Roddy_ready=0.06#OdenCZ_attack_swing2=0.89#punch_hit_giant01=1.02#Roddy_wind=1.02</t>
  </si>
  <si>
    <t>冲撞</t>
  </si>
  <si>
    <t>125103</t>
  </si>
  <si>
    <t>kumaCZ_healing_swing01=0.08#Roddy_swordhit2=0.19#kumaCZ_sadbubble_swing=0.53#kumaCZ_sadbubble_swing=0.89#ZoronewCZ_bird_swordin1=0.95#Bodyfall_Carpet2=0.98#Roddy_swordcatch=1.09</t>
  </si>
  <si>
    <t>毛皮族</t>
  </si>
  <si>
    <t>124901</t>
  </si>
  <si>
    <r>
      <rPr>
        <sz val="11"/>
        <color theme="1"/>
        <rFont val="等线"/>
        <charset val="134"/>
        <scheme val="minor"/>
      </rPr>
      <t>ChoppernewCZ_fight_swing4=0.33#ChoppernewCZ_fight_swing4=0.49#ChoppernewCZ_fight_swing4=0.6#ChoppernewCZ_fight_swing4=0.75#ChoppernewCZ_fight_swing4=1.52#maopi_spark1=1.26#</t>
    </r>
    <r>
      <rPr>
        <sz val="11"/>
        <color rgb="FFFF0000"/>
        <rFont val="等线"/>
        <charset val="134"/>
        <scheme val="minor"/>
      </rPr>
      <t>punch_hit_small01=0.38#punch_hit_small01=0.51#punch_hit_small01=0.65#punch_hit_small01=0.83#punch_hit_small01=1.63</t>
    </r>
  </si>
  <si>
    <t>毛皮族帽子</t>
  </si>
  <si>
    <t>125001</t>
  </si>
  <si>
    <r>
      <rPr>
        <sz val="11"/>
        <color theme="1"/>
        <rFont val="等线"/>
        <charset val="134"/>
        <scheme val="minor"/>
      </rPr>
      <t>ChoppernewCZ_fight_swing4=0.3#ChoppernewCZ_fight_swing4=0.81#ChoppernewCZ_fight_swing4=1.29#maopi_spark2=0.29#maopi_spark3=0.81#maopi_spark4=1.29#</t>
    </r>
    <r>
      <rPr>
        <sz val="11"/>
        <color rgb="FFFF0000"/>
        <rFont val="等线"/>
        <charset val="134"/>
        <scheme val="minor"/>
      </rPr>
      <t>punch_hit_small01=0.39#punch_hit_small01=0.91#punch_hit_small01=1.4</t>
    </r>
  </si>
  <si>
    <t>杰克海贼团海盗1</t>
  </si>
  <si>
    <t>125201</t>
  </si>
  <si>
    <r>
      <rPr>
        <sz val="11"/>
        <color theme="1"/>
        <rFont val="等线"/>
        <charset val="134"/>
        <scheme val="minor"/>
      </rPr>
      <t>GarpCZ_attack_swing01=0.41#GarpCZ_attack_swing01=0.65#GarpCZ_attack_swing01=1.1#</t>
    </r>
    <r>
      <rPr>
        <sz val="11"/>
        <color rgb="FFFF0000"/>
        <rFont val="等线"/>
        <charset val="134"/>
        <scheme val="minor"/>
      </rPr>
      <t>slash_general01=0.6#slash_general01=0.83#slash_general01=1.24</t>
    </r>
  </si>
  <si>
    <t>杰克海贼团海盗2</t>
  </si>
  <si>
    <t>125301</t>
  </si>
  <si>
    <r>
      <rPr>
        <sz val="11"/>
        <color theme="1"/>
        <rFont val="等线"/>
        <charset val="134"/>
        <scheme val="minor"/>
      </rPr>
      <t>GarpCZ_attack_swing02=0.21#GarpCZ_attack_swing02=0.53#GarpCZ_attack_swing02=1#UsoppnewCZ_evil_bite=1.16#smallwolf_roar=1.16#</t>
    </r>
    <r>
      <rPr>
        <sz val="11"/>
        <color rgb="FFFF0000"/>
        <rFont val="等线"/>
        <charset val="134"/>
        <scheme val="minor"/>
      </rPr>
      <t>slash_general01=0.38#slash_general01=0.7</t>
    </r>
  </si>
  <si>
    <t>绵羊头</t>
  </si>
  <si>
    <t>125401</t>
  </si>
  <si>
    <r>
      <rPr>
        <sz val="11"/>
        <color theme="1"/>
        <rFont val="等线"/>
        <charset val="134"/>
        <scheme val="minor"/>
      </rPr>
      <t>ChoppernewCZ_fight_swing4=0.24#ChoppernewCZ_fight_swing4=0.54#JozzCZ_attack_swing=0.89#</t>
    </r>
    <r>
      <rPr>
        <sz val="11"/>
        <color rgb="FFFF0000"/>
        <rFont val="等线"/>
        <charset val="134"/>
        <scheme val="minor"/>
      </rPr>
      <t>punch_hit_small02=0.34#punch_hit_small02=0.65#punch_hit_small02=1.05</t>
    </r>
  </si>
  <si>
    <t>羊角攻击</t>
  </si>
  <si>
    <t>125402</t>
  </si>
  <si>
    <t>ChoppernewCZ_fight_swing5=0.3#sheephead_swing=0.47#OdenCZ_jump=0.79#GarpCZ_attack_swing01=1.26#GarpCZ_attack_swing01=1.58#bodyrock_hit01=1.38#bodyrock_hit01=1.74#sheephead_rock=1.53</t>
  </si>
  <si>
    <t>羊角连打</t>
  </si>
  <si>
    <t>125403</t>
  </si>
  <si>
    <r>
      <rPr>
        <sz val="11"/>
        <color theme="1"/>
        <rFont val="等线"/>
        <charset val="134"/>
        <scheme val="minor"/>
      </rPr>
      <t>ChoppernewCZ_fight_swing5=0.25#sheephead_swing=0.41#GarpCZ_attack_swing01=0.91#GarpCZ_attack_swing01=2.34#</t>
    </r>
    <r>
      <rPr>
        <sz val="11"/>
        <color rgb="FFFF0000"/>
        <rFont val="等线"/>
        <charset val="134"/>
        <scheme val="minor"/>
      </rPr>
      <t>slash_general01=1.14#slash_general01=2.54</t>
    </r>
  </si>
  <si>
    <t>卡彭</t>
  </si>
  <si>
    <t>125501</t>
  </si>
  <si>
    <t>Vegge_attack_swing=0.64#Vegge_attack_machinegun=0.79</t>
  </si>
  <si>
    <t>125502</t>
  </si>
  <si>
    <t>Roddy_wind=0.62#LuffyCZ_attack_swing2=0.63#LuffyCZ_attack_swing2=0.78#LuffyCZ_attack_swing2=0.94#LuffyCZ_attack_swing2=1.14#Vegge_cannon_snap=2.27#CV_Vegge_laugh=0.23</t>
  </si>
  <si>
    <t>125503</t>
  </si>
  <si>
    <t>Vegge_cannon_snap=0.53#Vegge_cannon_hand=1.74#LuffyCZ_attack_swing1=1.89#LuffyCZ_attack_swing1=2.06#LuffyCZ_attack_swing1=2.19#LuffyCZ_attack_swing1=2.34#LuffyCZ_attack_swing1=2.49#LuffyCZ_attack_swing1=2.66#LuffyCZ_attack_swing1=2.8#LuffyCZ_attack_swing1=2.95#Peronasnew_explosion=2.29#Peronasnew_though_explosionfinal=2.54#Peronasnew_explosion=2.69#Peronasnew_explosion=3.27</t>
  </si>
  <si>
    <t>3413&amp;&amp;3414&amp;&amp;3415&amp;&amp;3416&amp;&amp;3417&amp;&amp;3418&amp;&amp;3419</t>
  </si>
  <si>
    <t>Bip001 Spine1&amp;&amp;Bip001 Spine1&amp;&amp;Bip001 Spine1&amp;&amp;Bip001 Spine1&amp;&amp;Bip001 Spine1&amp;&amp;Bip001 Spine1&amp;&amp;Bip001 Spine1</t>
  </si>
  <si>
    <t>卡朋手下01</t>
  </si>
  <si>
    <t>125601</t>
  </si>
  <si>
    <t>Veggegunner_shotgun_handing=0.26#Veggegunner_shotgun_shot=0.57#Veggegunner_shotgun_shot=1.25</t>
  </si>
  <si>
    <t>卡朋手下02</t>
  </si>
  <si>
    <t>125701</t>
  </si>
  <si>
    <t>Veggegunner_machinegun_handing=0.28#Veggegunner_machinegun_shot1=0.95#Veggegunner_machinegun_shot2=1.51</t>
  </si>
  <si>
    <t>125801</t>
  </si>
  <si>
    <r>
      <rPr>
        <sz val="11"/>
        <color theme="1"/>
        <rFont val="等线"/>
        <charset val="134"/>
        <scheme val="minor"/>
      </rPr>
      <t>Jack_attack_wind=0.52#JozzCZ_attack_swing=0.55#Jack_swing_orange=1.37#Jack_swing_orange=1.97#Jack_swing_green=2.84#</t>
    </r>
    <r>
      <rPr>
        <sz val="11"/>
        <color rgb="FFFF0000"/>
        <rFont val="等线"/>
        <charset val="134"/>
        <scheme val="minor"/>
      </rPr>
      <t>slash_general01=1.48#slash_general01=2.05#slash_general01=2.94</t>
    </r>
  </si>
  <si>
    <t>125802</t>
  </si>
  <si>
    <r>
      <rPr>
        <sz val="11"/>
        <color theme="1"/>
        <rFont val="等线"/>
        <charset val="134"/>
        <scheme val="minor"/>
      </rPr>
      <t>Jack_swing_orange=0.24#Jack_swing_orange=1.17#Jack_swing_orange=1.93#Jack_swing_green=0.73#Jack_swing_green=1.56#GarpCZ_attack_swing02=2.97#Jack_swing_green=3.06#</t>
    </r>
    <r>
      <rPr>
        <sz val="11"/>
        <color rgb="FFFF0000"/>
        <rFont val="等线"/>
        <charset val="134"/>
        <scheme val="minor"/>
      </rPr>
      <t>slash_general01=0.35#slash_general01=0.83#slash_general01=1.26#slash_general01=1.67#slash_general01=2.03#slash_large=3.16</t>
    </r>
  </si>
  <si>
    <t>杰克象形态</t>
  </si>
  <si>
    <t>125901</t>
  </si>
  <si>
    <t>Jackelephant_swing_purple=0.68#Jackelephant_swing_purple=1.4#Jackelephant_attack=2.01#punch_hit_heavyNPC=0.81#punch_hit_heavyNPC=1.57</t>
  </si>
  <si>
    <t>125902</t>
  </si>
  <si>
    <t>Jackelephant_roar_foot=0.62#Jackelephant_swing_yellow=1.13#Jackelephant_swing_yellow=1.52#Jackelephant_swing_yellow=1.88#Jackelephant_roar_swing=2.47#Jackelephant_roar=2.44#Jackelephant_swing_purple=3.09#bodyrock_hit01=3.16#punch_hit_medium01=3.19#punch_hit_heavyNPC=1.28#punch_hit_heavyNPC=1.662#punch_hit_heavyNPC=2.02</t>
  </si>
  <si>
    <t>125903</t>
  </si>
  <si>
    <t>Jackelephant_fengren_wind=0.49#GarpCZ_attack_swing01=0.76#GarpCZ_attack_swing01=1.47#Jackelephant_swing_purple=2.23#punch_hit_heavyNPC=2.4</t>
  </si>
  <si>
    <t>125904</t>
  </si>
  <si>
    <t>whooshlarge_slashly01=0.09#Jackelephant_crash_roar1=0.26#whoosh_lazer=1.02#bodyrock_hit01=1.27#bodyrock_hit01=1.49#bodyrock_hit01=1.72#Jackelephant_swing_bule=1.78#whooshlarge_crash01=2.89#Jackelephant_crash_roar2=2.92#LuffyCZ_JETrocket_rockhit=4.01</t>
  </si>
  <si>
    <t>Particles/Jack/Jack_Attack_02_04_C</t>
  </si>
  <si>
    <t>加洛特</t>
  </si>
  <si>
    <t>126001</t>
  </si>
  <si>
    <r>
      <rPr>
        <sz val="11"/>
        <color theme="1"/>
        <rFont val="等线"/>
        <charset val="134"/>
        <scheme val="minor"/>
      </rPr>
      <t>Carotzuowu_spark1=0#CarotCZ_attack_swing1=0.29#CarotCZ_attack_swing1=0.69#CarotCZ_attack_swing2=1.4#CarotCZ_attack_spark=1.68#CarotCZ_attack_yeah=2.31#Carotzuowu_spark2=1.884#</t>
    </r>
    <r>
      <rPr>
        <sz val="11"/>
        <color rgb="FFFF0000"/>
        <rFont val="等线"/>
        <charset val="134"/>
        <scheme val="minor"/>
      </rPr>
      <t>slash_general01=0.45#slash_general01=0.86#punch_hit_small02=1.67</t>
    </r>
  </si>
  <si>
    <t>126002</t>
  </si>
  <si>
    <t>DOF_Swing02=0.48#macro_Fire01=0.7#DOF_Swing01=1.06#040_action.acb.00002=1.215#DOF_Swing03=1.59#040_atd1_ht=1.815</t>
  </si>
  <si>
    <t>smoke_SteamFlying02=0.135#Mr3_SwingObj=0.7#DOF_Swing01=0.84#Mr3_SwingObj=1.55#DOF_Swing02=1.55#DOF_Swing05=2.11#Mr3_SwingObj=2.2#Mr3_SwingObj=2.94#DOF_Swing03=3.03#040_action.acb.00002=3.35</t>
  </si>
  <si>
    <t>kid_ObjectFly02=0.222#DOF_LineShoot01=0.807#DOF_LineShoot01=0.977#DOF_LineShoot01=1.17#DOF_LineShoot01=1.305#Explo_Small_Web=1.322#perona_SmallExplosion=1.322#perona_SmallExplosion=1.522#perona_SmallExplosion=1.756#Explo_Small_Web=1.756#perona_SmallExplosion=1.99</t>
  </si>
  <si>
    <t>se_Sakura=0#blackbear_DarkOut04=0.41#reiju17=1.28#se_Jump02=2.38#law_Charge=3.12#edward_Spin01=3.65#kid_ObjectFly03=3.7#edward_Spin01=4.16#kid_ObjectFly03=4.16#edward_Spin01=4.52#kid_ObjectFly03=4.53#kid_ObjectFly03=4.837#edward_Spin01=4.837#kid_ObjectFly03=5.16#edward_Spin01=5.16#kid_ObjectFly03=5.52#edward_Spin01=5.52#Mr3_EnergyIn=5.95#smoke_SteamFlying02=5.95#smoke_SteamFlying01=7.63#Mr3_EnergyPop=8.55#luffy_GiantSwingImpact03=8.55</t>
  </si>
  <si>
    <t>sanji_Kick=0.544#sanji_Kick=1.113#hancock_Kick02=1.246#sanji_Kick_Heavy=1.622</t>
  </si>
  <si>
    <t>sanji_Kick=0.364#hancock_Kick02=0.577#hancock_QuickKicks02=0.58#sanji_Kick_Heavy=1.556</t>
  </si>
  <si>
    <t>sanji_Kick_Heavy=0.384#se_Punch_Giant_Hit=0.384#garp_Cloth02=0.802#hancock_Kick02=1.433#se_Kick_Hit01=1.433#sanji_Kick=1.820#sakazuki_LavaPunch01=1.82#jinbe_Impact=1.82#se_Kick_Hit02=1.82</t>
  </si>
  <si>
    <t>blackbear_DarkOut03=0.321#CV_Nsanji_DiabloJump=1.233#Ace_FireFlying02=2.2#chopper_Move01#2.714#franky_Fire_Shoot01=3.2#Fireball_Launch3=3.235#Fireball_Launch3=3.872#franky_Fire_Shoot02=3.933#CV_Nsanji_attack01=4.447#Mr1_SpinWind=4.447#zoro_Spin_Wind=5.249#Ace_FireBoom=6#sanji_Kick_Heavy=6.028</t>
  </si>
  <si>
    <t>jozz_Swing01=0.258#jozz_Swing02=0.632#edward_Swing02=1.7#luffy_GiantSwing02=1.7</t>
  </si>
  <si>
    <t>katakuri_gun=0.54#usopp_Cloth=1.14#katakuri_gun=1.38#katakuri_gun=2.33#franky_Machinery_Gear01=2.98</t>
  </si>
  <si>
    <t>nami_Wind_Push=0.34#Squish_WetSlime1=0.37#magellan_Venom01=0.37#nami_Wind_Push=0.75#Squish_WetSlime1=0.89#magellan_Venom01=0.89#nami_Wind_Push=1.32#Squish_WetSlime1=1.43#magellan_Venom01=1.43</t>
  </si>
  <si>
    <t>ultimate_Sign=0.3#blackbear_DarkOut04=0.31#katakuri26=0.52#ult_04=3.37#katakuri27=4.7#sengoku_Explosion=6.48#edward_Explosion02=6.48#blackbear_DarkExplo=8.19#sengoku_Explosion02=8.19</t>
  </si>
  <si>
    <t>law_Swing01=0#se_waterhit=0.22#se_Sword_Hit=0.22#law_Swing01=0.36#se_waterhit=0.58#se_Sword_Hit=0.58#law_Swing01=0.76#se_waterhit=0.99#se_Sword_Hit=0.99#edward_Swing05=1.48#se_waterhit=1.66#se_Sword_Hit=1.66</t>
  </si>
  <si>
    <t>law_Swing01=0.1#se_waterhit=0.2#law_Swing01=0.4#se_waterhit=0.6#jozz_Swing01=1.28#se_waterhit=1.46#jinbe_Swing03=1.95#se_waterhit4=2.1#se_waterhit=2.12#edward_Swing04=2.87#se_waterhit3=2.9</t>
  </si>
  <si>
    <t>law_Swing01=0.19#se_waterhit=0.36#law_Swing01=0.51#se_waterhit=0.68#</t>
  </si>
  <si>
    <t>sakazuki_Swing01=0.39#sakazuki_Swing02=0.79#jinbe_Impact=1.72#jozz_Impact01=2.32</t>
  </si>
  <si>
    <t>smoke_SteamCharge01=0.2#Ace_FireFlying02=1.14#Fireball_Launch3=1.15#Fireball_Launch3=1.25#Fireball_Launch3=1.39#Fireball_Launch3=1.58#Fireball_Launch3=1.74#Fireball_Launch3=1.86#Fireball_Launch3=1.95#040_hkn_in=2.48#Ace_Swing02=2.68#Ace_Swing02=3#Ace_Fire02=3#Ace_Swing02=3.27#Ace_Swing02=3.6#ivankov_Spin02=3.74#Ace_Swing02=3.87#Ace_Firefly=4.31#Ace_FireBoom=4.93</t>
  </si>
  <si>
    <t>smoke_SteamCharge01=0#enel_ElectricThunder03=0.71#enel_ElectricThunder04=2.79#usopp_Elec_Spark=2.79</t>
  </si>
  <si>
    <t>mom_0044=0.248#se_Jump01=1.15#smoke_SteamCharge01=1.54#mihawk_ObjFlying02=1.86#se_Jump02=2.85#enel_ElectricHit01=3.82#mom_0042=4.17#ultimate_Sign=4.44#enel_ElectricThunder03=5.92#luffy_GiantSwingImpact03=5.92#usopp_Phoenix_Flying=7.03#apimp_082=7.42#borsalino_LightShoot01=7.658#</t>
  </si>
  <si>
    <t>edward_Swing04=0.39#edward_Swing03=0.96</t>
  </si>
  <si>
    <t>crocodile_Hit_Sand=0.56#sakazuki_Swing01=0.56#sakazuki_Swing02=1.14#nami_Lightning02=1.17#sakazuki_Swing01=1.71#borsalino_LightShoot03=1.72#enel_ElectricThunder04=2.55#enel_ElectricHit01=2.58</t>
  </si>
  <si>
    <t>smoke_SteamCharge01=0.27#mom_0063=0.726#Fireball_Launch3=1.34#Fireball_Launch3=1.5#Fireball_Launch3=1.63#Fireball_Launch3=1.72#Fireball_Launch3=1.91#Fireball_Launch3=2.11#Fireball_Launch3=2.33#mto_imp=2.51#mto_imp=2.72#se_Jump01=3#mto_imp=3#mto_imp=3.34#mto_imp=3.64#usopp_Elec_Spark=3.9#edward_Explosion05=3.9#blackbear_DarkOut03=4.05#enel_ElectricThunder03=4.55#luffy_GiantPassing=5.36#Mr3_EnergyIn=6.28#luffy_GiantSwing03=7.95#Fireball_Lava_Launch3=7.95#kuzan_IceCharge02=7.95#edward_Windimpact03=7.95#mom_0037=8</t>
  </si>
  <si>
    <t>夏洛特烤布丁</t>
  </si>
  <si>
    <t>126101</t>
  </si>
  <si>
    <t>Boss_KaoBuDing_Attack01_01=0.22#Boss_KaoBuDing_Attack01_02=0.3</t>
  </si>
  <si>
    <t>镰刀攻击</t>
  </si>
  <si>
    <t>126102</t>
  </si>
  <si>
    <t>Boss_KaoBuDing_SkillAttack01_01=0#Boss_KaoBuDing_SkillAttack01_02=0.85#Boss_KaoBuDing_SkillAttack01_03=1.45</t>
  </si>
  <si>
    <t>镜世界</t>
  </si>
  <si>
    <t>126103</t>
  </si>
  <si>
    <t>Boss_KaoBuDing_SkillAttack02_01=0#Boss_KaoBuDing_SkillAttack02_02=0.5#Boss_KaoBuDing_SkillAttack02_03=0.85#Boss_KaoBuDing_SkillAttack02_04=1.04#Boss_KaoBuDing_SkillAttack02_05=2.15#Boss_KaoBuDing_SkillAttack02_06=3.8#Boss_KaoBuDing_SkillAttack02_07=4.5</t>
  </si>
  <si>
    <t>Particles/brulee001/brulee001_attack03_C</t>
  </si>
  <si>
    <t>兰德鲁夫</t>
  </si>
  <si>
    <t>126201</t>
  </si>
  <si>
    <t>Monster_LanDeLuFu_Attack01_01=0.23#Monster_LanDeLuFu_Attack01_02=0.55</t>
  </si>
  <si>
    <t>飞突刺</t>
  </si>
  <si>
    <t>126202</t>
  </si>
  <si>
    <t>Monster_LanDeLuFu_SkillAttack02_01=0.34#Monster_LanDeLuFu_SkillAttack02_02=0.77#Monster_LanDeLuFu_SkillAttack02_03=1.28</t>
  </si>
  <si>
    <t>投掷长矛</t>
  </si>
  <si>
    <t>126203</t>
  </si>
  <si>
    <t>Monster_LanDeLuFu_SkillAttack01_01=0.29#Monster_LanDeLuFu_SkillAttack01_02=0.84#Monster_LanDeLuFu_SkillAttack01_03=1.7</t>
  </si>
  <si>
    <t>黄油饼干</t>
  </si>
  <si>
    <t>126301</t>
  </si>
  <si>
    <t>Boss_HuangYou_Attack01_01=0.4#Boss_HuangYou_Attack01_02=0.75</t>
  </si>
  <si>
    <t>黄油束缚</t>
  </si>
  <si>
    <t>126302</t>
  </si>
  <si>
    <t>Boss_HuangYou_SkillAttack01_01=0#Boss_HuangYou_SkillAttack01_02=1.06</t>
  </si>
  <si>
    <t>Bone_Bip001 R Hand</t>
  </si>
  <si>
    <t>超级黄油</t>
  </si>
  <si>
    <t>126303</t>
  </si>
  <si>
    <t>Boss_HuangYou_SkillAttack02_01=0#Boss_HuangYou_SkillAttack02_02=1.24#Boss_HuangYou_SkillAttack02_03=2.37#Boss_HuangYou_SkillHit02_01=1.85#Boss_HuangYou_SkillHit02_01=2.2#Boss_HuangYou_SkillHit02_01=2.59</t>
  </si>
  <si>
    <t>Particles/garetto001/garetto001_attack03_C</t>
  </si>
  <si>
    <t>一智</t>
  </si>
  <si>
    <t>126401</t>
  </si>
  <si>
    <t>Boss_YiZhi_Attack01_01=0.43#Boss_YiZhi_Attack01_02=0.63#Boss_YiZhi_Attack01_03=1.12#Boss_YiZhi_Attack01_04=1.44#Boss_YiZhi_Attack01_05=2.02</t>
  </si>
  <si>
    <t>火焰拳</t>
  </si>
  <si>
    <t>126402</t>
  </si>
  <si>
    <t>Boss_YiZhi_SkillAttack01_01=0.12#Boss_YiZhi_SkillAttack01_02=0.4#Boss_YiZhi_SkillAttack01_03=0.9</t>
  </si>
  <si>
    <t>3814&amp;&amp;3815&amp;&amp;3816</t>
  </si>
  <si>
    <t>Bip001 L Foot&amp;&amp;Bip001 R Foot&amp;&amp;Bip R Hand</t>
  </si>
  <si>
    <t>火花双重回旋</t>
  </si>
  <si>
    <t>126403</t>
  </si>
  <si>
    <t>Boss_YiZhi_SkillAttack02_01=0.4#Boss_YiZhi_SkillAttack02_02=0.75#Boss_YiZhi_SkillAttack02_03=1.9</t>
  </si>
  <si>
    <t>3819&amp;&amp;3820</t>
  </si>
  <si>
    <t>火花光拳</t>
  </si>
  <si>
    <t>126404</t>
  </si>
  <si>
    <t>Hero_XinShanZhi_SkillAttack04_01=0#Boss_YiZhi_SkillAttack03_01=1.08#Boss_YiZhi_SkillAttack03_02=1.08#Boss_YiZhi_SkillAttack03_03=1.6#Boss_YiZhi_SkillAttack03_04=2.1#Boss_YiZhi_SkillAttack03_05=2.41#Boss_YiZhi_SkillAttack03_06=2.62#Boss_YiZhi_SkillAttack03_06=2.86#Boss_YiZhi_SkillAttack03_07=3.73#Boss_YiZhi_SkillAttack03_08=5.1#Boss_YiZhi_SkillAttack03_09=6#Boss_YiZhi_SkillAttack03_10=6.3#Boss_YiZhi_SkillAttack03_11=7.9#Boss_YiZhi_SkillAttack03_12=7.74#Boss_YiZhi_SkillAttack03_13=7.94#Boss_YiZhi_SkillAttack03_14=8.06#Boss_YiZhi_SkillAttack03_15=8.12</t>
  </si>
  <si>
    <t>Particles/yizhi001/yizhi001_attack04_C</t>
  </si>
  <si>
    <t>3822&amp;&amp;3823&amp;&amp;3824&amp;&amp;3825</t>
  </si>
  <si>
    <t>Bip001 L Foot&amp;&amp;Bip001 L Hand&amp;&amp;Bip001 R Foot&amp;&amp;Bip001 R Hand</t>
  </si>
  <si>
    <t>尼智</t>
  </si>
  <si>
    <t>126501</t>
  </si>
  <si>
    <t>Hero_XinShanZhi_Attack01_02=0.2#Boss_NiZhi_Attack01_01=0.58#Boss_NiZhi_Attack01_02=0.68#Boss_NiZhi_Attack01_03=0.83#Boss_NiZhi_Attack01_04=1#Boss_NiZhi_Attack01_05=1.58#Boss_NiZhi_Attack01_06=1.74#Monster_YongZhi_Move01=1.71</t>
  </si>
  <si>
    <t>3777&amp;&amp;3778</t>
  </si>
  <si>
    <t>雷电脚</t>
  </si>
  <si>
    <t>126502</t>
  </si>
  <si>
    <t>Boss_NiZhi_SkillAttack01_01=0.36#Boss_NiZhi_SkillAttack01_02=0.9#Monster_YongZhi_Move01=1.47</t>
  </si>
  <si>
    <t>3780&amp;&amp;3781</t>
  </si>
  <si>
    <t>超电光剑</t>
  </si>
  <si>
    <t>126503</t>
  </si>
  <si>
    <t>Boss_NiZhi_SkillAttack02_01=0.06#Boss_NiZhi_SkillAttack02_02=1.32#Boss_NiZhi_SkillAttack02_03=2.5#Boss_NiZhi_SkillAttack02_04=2.95#Boss_NiZhi_SkillAttack02_04=3.1#Boss_NiZhi_SkillAttack02_04=3.27#Boss_NiZhi_SkillAttack02_04=3.46#Boss_NiZhi_SkillAttack02_04=3.68#Boss_NiZhi_SkillAttack02_05=3.72#Boss_NiZhi_SkillAttack02_06=4.55#Boss_NiZhi_SkillAttack02_07=5.05#Boss_NiZhi_SkillAttack02_08=5.4</t>
  </si>
  <si>
    <t>Particles/niji001/niji001_attack03_C</t>
  </si>
  <si>
    <t>3782&amp;&amp;3783</t>
  </si>
  <si>
    <t>Bip001 HeadNub&amp;&amp;Bone026</t>
  </si>
  <si>
    <t>勇智</t>
  </si>
  <si>
    <t>126601</t>
  </si>
  <si>
    <t>Boss_YongZhi_Attack01=0.15#Boss_YongZhi_Attack02=0.36#Boss_YongZhi_Attack03=0.62#Boss_YongZhi_Attack04=1.03</t>
  </si>
  <si>
    <t>飞空踢</t>
  </si>
  <si>
    <t>126602</t>
  </si>
  <si>
    <t>Boss_YongZhi_SkillAttack01_01=0.12#Boss_YongZhi_SkillAttack01_02=0.9#Boss_YongZhi_SkillAttack01_03=1.86</t>
  </si>
  <si>
    <t>卷力断头</t>
  </si>
  <si>
    <t>126603</t>
  </si>
  <si>
    <t>Boss_YongZhi_SkillAttack02_01=0.3#Boss_YongZhi_SkillAttack02_02=0.33#Boss_YongZhi_SkillAttack02_03=2.03#Boss_YongZhi_SkillAttack02_04=2.8#Boss_YongZhi_SkillAttack02_05=3.54#Boss_YongZhi_SkillAttack02_06=3.65#Boss_YongZhi_SkillAttack02_07=3.66#Boss_YongZhi_SkillAttack02_08=4.05#Boss_YongZhi_SkillAttack02_09=4.4#Boss_YongZhi_SkillAttack02_10=4.74#Boss_YongZhi_SkillAttack02_11=4.74#Boss_YongZhi_SkillAttack02_12=5.11#Boss_YongZhi_SkillAttack02_13=5.5#Boss_YongZhi_SkillAttack02_14=5.78</t>
  </si>
  <si>
    <t>Particles/yongzhi001/yongzhi001_attack03_C</t>
  </si>
  <si>
    <t>3627&amp;&amp;3628</t>
  </si>
  <si>
    <t>Bone_Bip001 L Toe0&amp;&amp;Bone_Bip001 R Toe0Nub</t>
  </si>
  <si>
    <t>伽智</t>
  </si>
  <si>
    <t>126701</t>
  </si>
  <si>
    <t>Boss_QiangZhi_Attack01_01=0.48#Boss_QiangZhi_Attack01_02=0.6#Boss_QiangZhi_Attack01_03=0.65</t>
  </si>
  <si>
    <t>连续刺击</t>
  </si>
  <si>
    <t>126702</t>
  </si>
  <si>
    <t>Boss_QiangZhi_SkillAttack01_01=0.3#Boss_QiangZhi_SkillAttack01_02=0.38#Boss_QiangZhi_SkillAttack01_03=0.55#Boss_QiangZhi_SkillAttack01_04=0.62#Boss_QiangZhi_SkillAttack01_05=0.74#Boss_QiangZhi_SkillAttack01_06=1.21</t>
  </si>
  <si>
    <t>爆射飞踢</t>
  </si>
  <si>
    <t>126703</t>
  </si>
  <si>
    <t>Hero_XinShanZhi_SkillAttack04_01=0#Boss_QiangZhi_SkillAttack02_01=0.95#Boss_QiangZhi_SkillAttack02_02=1.06#Boss_QiangZhi_SkillAttack02_03=2.25#Boss_QiangZhi_SkillAttack02_04=3.25#Boss_QiangZhi_SkillAttack02_05=4.75#Boss_QiangZhi_SkillAttack02_06=5.2</t>
  </si>
  <si>
    <t>Particles/judge001/judge001_attack03_C</t>
  </si>
  <si>
    <t>Bone_Bip001 L Foot</t>
  </si>
  <si>
    <t>象棋兵-刀</t>
  </si>
  <si>
    <t>126801</t>
  </si>
  <si>
    <t>Monster_XiangQiDao_Attack01=0.32</t>
  </si>
  <si>
    <t>126802</t>
  </si>
  <si>
    <t>Monster_XiangQiDao_Skill01=0.55</t>
  </si>
  <si>
    <t>象棋兵-矛</t>
  </si>
  <si>
    <t>126901</t>
  </si>
  <si>
    <t>Monster_XiangQiMao_Attack01=0.61</t>
  </si>
  <si>
    <t>象棋兵-剑</t>
  </si>
  <si>
    <t>127001</t>
  </si>
  <si>
    <t>Monster_XiangQiJian_Attack01=0.2</t>
  </si>
  <si>
    <t>象棋兵-弓</t>
  </si>
  <si>
    <t>127101</t>
  </si>
  <si>
    <t>Monster_XiangQiGong_Attack01=0.25</t>
  </si>
  <si>
    <t>象棋兵-枪</t>
  </si>
  <si>
    <t>127201</t>
  </si>
  <si>
    <t>Monster_XiangQiQiang_Attack01_01=0.4#Monster_XiangQiQiang_Attack01_02=0.9</t>
  </si>
  <si>
    <t>象棋兵-双刀</t>
  </si>
  <si>
    <t>127301</t>
  </si>
  <si>
    <t>Monster_XiangQiShuangDao_Attack01=0.3</t>
  </si>
  <si>
    <t>127302</t>
  </si>
  <si>
    <t>Monster_XiangQiShuangDao_Attack01_01=0#Monster_XiangQiShuangDao_Attack01_02=0.6#Monster_XiangQiShuangDao_Attack01_03=0.95</t>
  </si>
  <si>
    <t>霍姆斯-甜甜圈</t>
  </si>
  <si>
    <t>127401</t>
  </si>
  <si>
    <t>Monster_HuoMuSiTianTianQuan_Attack01=0.32</t>
  </si>
  <si>
    <t>霍姆斯-蛋糕</t>
  </si>
  <si>
    <t>127501</t>
  </si>
  <si>
    <t>Monster_HuoMuSiDanGao_Attack01=0.22</t>
  </si>
  <si>
    <t>霍姆斯-甜筒</t>
  </si>
  <si>
    <t>127601</t>
  </si>
  <si>
    <t>Monster_HuoMuSiTianTong_Attack01=0.26</t>
  </si>
  <si>
    <t>霍姆斯-布丁</t>
  </si>
  <si>
    <t>127701</t>
  </si>
  <si>
    <t>Monster_HuoMuSiBuDing_Attack01=0.25</t>
  </si>
  <si>
    <t>夏洛特欧培拉</t>
  </si>
  <si>
    <t>127801</t>
  </si>
  <si>
    <t>Boss_OuPeiLa_Attack01_01=0.03#Boss_OuPeiLa_Attack01_02=0.88#Boss_OuPeiLa_Attack01_03=1.26</t>
  </si>
  <si>
    <t>3799&amp;&amp;3800</t>
  </si>
  <si>
    <t>奶油喷射</t>
  </si>
  <si>
    <t>127802</t>
  </si>
  <si>
    <t>Boss_OuPeiLa_SkillAttack01_01=0.3#Boss_OuPeiLa_SkillAttack01_02=1.56</t>
  </si>
  <si>
    <t>Bip001 R Finger3Nub</t>
  </si>
  <si>
    <t>奶油怪兽</t>
  </si>
  <si>
    <t>127803</t>
  </si>
  <si>
    <t>Boss_OuPeiLa_SkillAttack02_01=0#Boss_OuPeiLa_SkillAttack02_02=0.5#Boss_OuPeiLa_SkillAttack02_03=1.1#Boss_OuPeiLa_SkillAttack02_04=2.45#Boss_OuPeiLa_SkillAttack02_05=3.3#Boss_OuPeiLa_SkillAttack02_06=3.76</t>
  </si>
  <si>
    <t>Particles/opera001/opera001_attack03_C</t>
  </si>
  <si>
    <t>夏洛特蒙道尔</t>
  </si>
  <si>
    <t>127901</t>
  </si>
  <si>
    <t>Boss_MengDaoEr_Attack01_01=0.32#Boss_MengDaoEr_Attack01_02=0.45#Monster_XiangQiQiang_Hit01=0.53</t>
  </si>
  <si>
    <t>书书台阶</t>
  </si>
  <si>
    <t>127902</t>
  </si>
  <si>
    <t>Boss_MengDaoEr_SkillAttack01_01=0.44#Boss_MengDaoEr_SkillAttack01_02=0.73#Boss_MengDaoEr_SkillAttack01_03=2.1</t>
  </si>
  <si>
    <t>书世界</t>
  </si>
  <si>
    <t>127903</t>
  </si>
  <si>
    <t>Boss_MengDaoEr_SkillAttack02_01=0.23#Boss_MengDaoEr_SkillAttack02_02=0.5#Boss_MengDaoEr_SkillAttack02_03=2.42#Boss_KaoBuDing_SkillAttack02_07=4</t>
  </si>
  <si>
    <t>Particles/montdor001/montdor001_attack03_C</t>
  </si>
  <si>
    <t>大妈手下02</t>
  </si>
  <si>
    <t>128101</t>
  </si>
  <si>
    <t>Monster_DaMa02_Attack02=0.28#Monster_DaMa02_Attack03=0.35#Monster_DaMa02_Attack05=0.5</t>
  </si>
  <si>
    <t>蛋蛋男爵</t>
  </si>
  <si>
    <t>128201</t>
  </si>
  <si>
    <t>Boss_DanDan_Attack01_01=0.15#Boss_DanDan_Attack01_02=0.82#Boss_DanDan_Attack01_03=2.02</t>
  </si>
  <si>
    <t>飞腿</t>
  </si>
  <si>
    <t>128202</t>
  </si>
  <si>
    <t>Boss_DanDan_SkillAttack01_01=0.4#Boss_DanDan_SkillAttack01_02=0.65#Boss_DanDan_SkillAttack01_03=1.13#Hero_XinShanZhi_Hit01_01=1.31</t>
  </si>
  <si>
    <t>螺旋飞腿</t>
  </si>
  <si>
    <t>128203</t>
  </si>
  <si>
    <t>Boss_DanDan_SkillAttack02_01=0.25#Boss_DanDan_SkillAttack02_02=1.35</t>
  </si>
  <si>
    <t>高速旋踢</t>
  </si>
  <si>
    <t>128204</t>
  </si>
  <si>
    <t>Boss_DanDan_SkillAttack03_01=1.4#Boss_DanDan_SkillAttack03_02=3.2</t>
  </si>
  <si>
    <t>Particles/barontamago002/barontamago002_attack04_c</t>
  </si>
  <si>
    <t>山治（王子服）</t>
  </si>
  <si>
    <t>128301</t>
  </si>
  <si>
    <t>128302</t>
  </si>
  <si>
    <t>128303</t>
  </si>
  <si>
    <t>128304</t>
  </si>
  <si>
    <t>128305</t>
  </si>
  <si>
    <t>128306</t>
  </si>
  <si>
    <t>128307</t>
  </si>
  <si>
    <t>128308</t>
  </si>
  <si>
    <t>大妈手下01</t>
  </si>
  <si>
    <t>128401</t>
  </si>
  <si>
    <t>Monster_DaMa01_Attack01=0.15#Monster_DaMa01_Attack02=0.23#Monster_DaMa01_Attack03=0.43#Monster_DaMa01_Attack04=1.15#Monster_DaMa01_Attack05=1.25</t>
  </si>
  <si>
    <t>大妈手下03</t>
  </si>
  <si>
    <t>Monster_DaMa03_Attack01=0.29#Monster_DaMa03_Attack02=0.4#Monster_DaMa03_Attack03=0.56#Monster_DaMa03_Attack04=0.86#Monster_DaMa03_Attack05=1.08#Monster_DaMa03_Attack06=1.24</t>
  </si>
  <si>
    <t>大妈手下04</t>
  </si>
  <si>
    <t>Monster_DaMa04_Attack01=0.15#Monster_DaMa04_Attack02=0.3#Monster_DaMa04_Attack03=0.45#Monster_DaMa04_Attack04=0.6</t>
  </si>
  <si>
    <t>烤箱01</t>
  </si>
  <si>
    <t>128801</t>
  </si>
  <si>
    <t>Boss_KaoXiang_Attack01=0.1#Boss_KaoXiang_Attack02=0.66#Boss_KaoXiang_Attack03=0.85#Boss_KaoXiang_Attack03=0.98#Boss_KaoXiang_Attack04=1.54</t>
  </si>
  <si>
    <t>烤箱02</t>
  </si>
  <si>
    <t>128802</t>
  </si>
  <si>
    <t>Boss_KaoXiang_Skill01Attack01=0.5#Boss_KaoXiang_Skill01Attack02=1.07#Boss_KaoXiang_Skill01Attack03=1.44#Hero_MingGe_SkillAttack05_03=1.53#Hero_MingGe_SkillAttack05_03=1.74</t>
  </si>
  <si>
    <t>烤箱03</t>
  </si>
  <si>
    <t>128803</t>
  </si>
  <si>
    <t>Boss_KaoXiang_Skill02Attack01=0.34#Boss_KaoXiang_Skill02Attack02=0.75#Boss_KaoXiang_Skill02Attack03=1#Boss_KaoXiang_Skill02Attack03=1.13#Boss_KaoXiang_Skill02Attack04=1.28</t>
  </si>
  <si>
    <t>烤箱04</t>
  </si>
  <si>
    <t>128804</t>
  </si>
  <si>
    <t>Boss_KaoXiang_Skill03Attack01=0.55#Boss_KaoXiang_Skill03Attack02=1.98#Boss_KaoXiang_Skill03Attack03=2.23#Boss_KaoXiang_Skill03Attack04=3.64#Boss_KaoXiang_Skill03Attack05=4.5</t>
  </si>
  <si>
    <t>Particles/oven001/oven001_attack04_C</t>
  </si>
  <si>
    <t>大福01</t>
  </si>
  <si>
    <t>128701</t>
  </si>
  <si>
    <t>Boss_DaFu_Attack01=0.06#Boss_DaFu_Attack02=0.68#Boss_DaFu_Attack03=1.3#Boss_DaFu_Attack04=1.68#Boss_DaFu_Attack05=1.8#Boss_DaFu_Attack06=2.25</t>
  </si>
  <si>
    <t>大福02</t>
  </si>
  <si>
    <t>128702</t>
  </si>
  <si>
    <t>Boss_DaFu_Skill02Attack01=0.1#Boss_DaFu_Skill02Attack02=0.7#Boss_DaFu_Skill02Attack03=1.03#Boss_DaFu_Skill02Attack04=1.75#Boss_DaFu_Skill02Attack05=2#Boss_DaFu_Skill02Attack06=2.6</t>
  </si>
  <si>
    <t>大福03</t>
  </si>
  <si>
    <t>128703</t>
  </si>
  <si>
    <t>Boss_DaFu_Skill01Attack01=0.12#Boss_DaFu_Skill01Attack02=0.8#Boss_DaFu_Skill01Attack03=1.55#Boss_DaFu_Skill01Attack04=1.73#Boss_DaFu_Skill01Attack05=2.32</t>
  </si>
  <si>
    <t>大福04</t>
  </si>
  <si>
    <t>128704</t>
  </si>
  <si>
    <t>Boss_DaFu_Skill03Attack01=1.5#Boss_DaFu_Skill03Attack02=2.38#Boss_DaFu_Skill03Attack03=3.68#Boss_DaFu_Skill03Attack04=4.2#Boss_DaFu_Skill03Attack05=4.45#Boss_DaFu_Skill03Attack06=5#Boss_DaFu_Skill03Attack07=5.93#Boss_DaFu_Skill03Attack08=6.8</t>
  </si>
  <si>
    <t>吉格拉</t>
  </si>
  <si>
    <t>129001</t>
  </si>
  <si>
    <t>Boss_JiGeLa_Attack01=0.18#Boss_JiGeLa_Attack02=0.45#Boss_JiGeLa_Attack03=0.75</t>
  </si>
  <si>
    <t>佩罗斯佩多01</t>
  </si>
  <si>
    <t>128901</t>
  </si>
  <si>
    <t>Boss_PeiLuoSi_Attack01=0.46#Boss_PeiLuoSi_Attack02=0.8#Boss_PeiLuoSi_Attack03=0.94</t>
  </si>
  <si>
    <t>佩罗斯佩多02</t>
  </si>
  <si>
    <t>128902</t>
  </si>
  <si>
    <t>Boss_PeiLuoSi_Skill01Attack01=0.5#Boss_PeiLuoSi_Skill01Attack02=0.9#Boss_PeiLuoSi_Skill01Attack03=1.1</t>
  </si>
  <si>
    <t>佩罗斯佩多03</t>
  </si>
  <si>
    <t>128903</t>
  </si>
  <si>
    <t>Boss_PeiLuoSi_Skill02Attack01=0.24#Boss_PeiLuoSi_Skill02Attack02=1.2</t>
  </si>
  <si>
    <t>佩罗斯佩多04</t>
  </si>
  <si>
    <t>128904</t>
  </si>
  <si>
    <t>se_Lick02=0.4#se_Lick01=0.75#Boss_PeiLuoSi_Skill03Attack01=1.15#Boss_PeiLuoSi_Skill03Attack02=0.27#Boss_OuPeiLa_SkillAttack02_02=1#Boss_PeiLuoSi_Skill03Attack03=1.8#Boss_PeiLuoSi_Skill03Attack04=2.52#Boss_PeiLuoSi_Skill03Attack05=3.29#Boss_PeiLuoSi_Skill03Attack06=3.8#Boss_PeiLuoSi_Skill03Attack07=4.47#Boss_PeiLuoSi_Skill03Attack08=6.1#Boss_PeiLuoSi_Skill03Attack09=6.72#Boss_PeiLuoSi_Skill03Attack10=7.6#Boss_PeiLuoSi_Skill03Attack11=8.36#Boss_PeiLuoSi_Skill03Attack12=7.63#Boss_PeiLuoSi_Skill03Attack12=7.78#Boss_PeiLuoSi_Skill03Attack12=8.34#Boss_PeiLuoSi_Skill03Attack13=7.95#Boss_PeiLuoSi_Skill03Attack13=8.12#Boss_PeiLuoSi_Skill03Attack13=8.54#Boss_PeiLuoSi_Skill03Attack13=8.8</t>
  </si>
  <si>
    <t>Particles/Perospero001/Perospero001_attack04_C</t>
  </si>
  <si>
    <t>凯多手下01普攻</t>
  </si>
  <si>
    <t>普攻-麻痹</t>
  </si>
  <si>
    <t>Veggegunner_shotgun_handing=0.3#Gun_Pistol_Shot05=0.9#Suger_S6_rock_A=0.9#Gun_Pistol_Shot05=1.1#Suger_S6_rock_A=1.1#Gun_Pistol_Shot04=1.5#Gun_Pistol_Shot04=1.6#Suger_S6_rock_A=1.6</t>
  </si>
  <si>
    <t>凯多手下02普攻</t>
  </si>
  <si>
    <t>Veggegunner_shotgun_handing=0.5#Gun_Pistol_Shot03=0.9#Suger_S6_rock_A=0.9##Gun_Pistol_Shot03=1.1#Suger_S6_rock_A=1.1#Gun_Pistol_Shot03=1.6##Gun_Pistol_Shot04=1.7#Suger_S6_rock_A=1.7</t>
  </si>
  <si>
    <t>霍金斯手下普攻</t>
  </si>
  <si>
    <t>mihawknew_S3_sword2=0.2#se_Sword_Hit=0.4#mihawknew_S2_sword2=0.5#se_Sword_Hit=0.6</t>
  </si>
  <si>
    <t>霍金斯手下技能</t>
  </si>
  <si>
    <t>技能</t>
  </si>
  <si>
    <r>
      <rPr>
        <sz val="11"/>
        <color theme="1"/>
        <rFont val="等线"/>
        <charset val="134"/>
        <scheme val="minor"/>
      </rPr>
      <t>vista_MultiSwing=0.4#BlookenewCZ_soul_sword=0.5#BlookenewCZ_soul_sword=0.6#BlookenewCZ_soul_sword=0.7#mihawknew_S4_sword=0.8#se_Swordheavy_Hit=0.9#Suger_S6_rock_A=0.9</t>
    </r>
  </si>
  <si>
    <t>狒狒丸普攻</t>
  </si>
  <si>
    <r>
      <rPr>
        <sz val="11"/>
        <color theme="1"/>
        <rFont val="等线"/>
        <charset val="134"/>
        <scheme val="minor"/>
      </rPr>
      <t>LuffyCZ_giantgun_whoosh=0#zoro_Swing01=0#mihawknew_S4_sword=0.4#se_Sword_hit02=0.5#se_Sword_Hit=0.5</t>
    </r>
  </si>
  <si>
    <t>狒狒丸技能1</t>
  </si>
  <si>
    <r>
      <rPr>
        <sz val="11"/>
        <color theme="1"/>
        <rFont val="等线"/>
        <charset val="134"/>
        <scheme val="minor"/>
      </rPr>
      <t>ChopperHeCZ_attack08_whoosh2=0.2#ChopperHeCZ_attack08_whoosh2=0.7#ZoronewCZ_attack_swing2=0.9#se_Sword_Hit=1.0</t>
    </r>
  </si>
  <si>
    <t>狒狒丸技能2</t>
  </si>
  <si>
    <t>技能-斩断</t>
  </si>
  <si>
    <r>
      <rPr>
        <sz val="11"/>
        <color theme="1"/>
        <rFont val="等线"/>
        <charset val="134"/>
        <scheme val="minor"/>
      </rPr>
      <t>mihawk_MoveSp02=0.1#Hero_JieKe_Move01=0.6#ChopperHeCZ_attack08_whoosh1=0.7#ZoronewCZ_lion_roar=0.9#EnelCZ_dog_roar=0.9#ChopperHeCZ_attack08_whoosh2=1.8#ChopperHeCZ_attack08_whoosh2=2.1#ZoroCZ_luoshengmen_swing=2.2#se_Swordheavy_Hit=2.4</t>
    </r>
  </si>
  <si>
    <t>蝙蝠人普攻</t>
  </si>
  <si>
    <r>
      <rPr>
        <sz val="11"/>
        <color theme="1"/>
        <rFont val="等线"/>
        <charset val="134"/>
        <scheme val="minor"/>
      </rPr>
      <t>UsoppnewCZ_slingshot_cyan=0.5#UsoppnewCZ_slingshot_orange=0.7#hancocknewBow=0.9#se_bow=1.0#se_Sword_Hit=1.0</t>
    </r>
  </si>
  <si>
    <t>蝙蝠人技能1</t>
  </si>
  <si>
    <t>技能-加暴击和爆伤</t>
  </si>
  <si>
    <r>
      <rPr>
        <sz val="11"/>
        <color theme="1"/>
        <rFont val="等线"/>
        <charset val="134"/>
        <scheme val="minor"/>
      </rPr>
      <t>coby_buff02=0.3#SugerCZ_call_buff=0.5#Pickup_Scifi_Energy08=0.6</t>
    </r>
  </si>
  <si>
    <t>蝙蝠人技能2</t>
  </si>
  <si>
    <t>技能-镜头拉远</t>
  </si>
  <si>
    <r>
      <rPr>
        <sz val="11"/>
        <color theme="1"/>
        <rFont val="等线"/>
        <charset val="134"/>
        <scheme val="minor"/>
      </rPr>
      <t>UsoppnewCZ_bugstar_slingshotA=0.5#se_bow=1.4#se_bow=1.5#se_Sword_hit02=1.5#se_bow=1.6#se_Sword_hit02=1.6#se_bow=1.7#se_Sword_hit02=1.7#se_bow=1.8#se_Sword_hit02=1.8#se_Sword_hit02=1.9</t>
    </r>
  </si>
  <si>
    <t>霍金斯普攻</t>
  </si>
  <si>
    <t>霍金斯技能1</t>
  </si>
  <si>
    <t>稻草手刀</t>
  </si>
  <si>
    <t>霍金斯技能2</t>
  </si>
  <si>
    <t>武士1普攻</t>
  </si>
  <si>
    <r>
      <rPr>
        <sz val="11"/>
        <color theme="1"/>
        <rFont val="等线"/>
        <charset val="134"/>
        <scheme val="minor"/>
      </rPr>
      <t>zoro_Swing01=0.2#se_Sword_hit02=0.4#zoro_Swing02=0.45#se_Sword_hit02=0.7</t>
    </r>
  </si>
  <si>
    <t>武士2普攻</t>
  </si>
  <si>
    <t>普攻-镜头拉远</t>
  </si>
  <si>
    <r>
      <rPr>
        <sz val="11"/>
        <color theme="1"/>
        <rFont val="等线"/>
        <charset val="134"/>
        <scheme val="minor"/>
      </rPr>
      <t>smoke_Swing03=0.2#smoke_Swing03=0.5#se_Sword_hit02=0.5#se_Sword_hit02=0.8</t>
    </r>
  </si>
  <si>
    <t>武士3普攻</t>
  </si>
  <si>
    <r>
      <rPr>
        <sz val="11"/>
        <color theme="1"/>
        <rFont val="等线"/>
        <charset val="134"/>
        <scheme val="minor"/>
      </rPr>
      <t>zoro_Swing02=0.3#zoro_Swing01=0.6#se_Sword_hit02=0.6#se_Sword_hit02=0.8</t>
    </r>
  </si>
  <si>
    <t>相扑普攻</t>
  </si>
  <si>
    <t>普攻-击退1格</t>
  </si>
  <si>
    <r>
      <rPr>
        <sz val="11"/>
        <color theme="1"/>
        <rFont val="等线"/>
        <charset val="134"/>
        <scheme val="minor"/>
      </rPr>
      <t>franky_Punch_Light=0.2#franky_Punch_Light=0.5#punch_hit_medium01=0.6</t>
    </r>
  </si>
  <si>
    <t>霍尔海姆普攻</t>
  </si>
  <si>
    <t>ZoronewCZ_lion_swing=0.3#se_Sword_hit02=0.5#ZoroCZ_attack_swing2=0.7#se_Sword_hit02=0.8#ZoroCZ_evil_swordout1=1.3</t>
  </si>
  <si>
    <t>霍尔海姆技能1</t>
  </si>
  <si>
    <t>技能-镜头拉远-灼烧</t>
  </si>
  <si>
    <t>se_FireBlast=0.2#se_Fire_Throw=1.0#MargoNewCZ_phoenix_fireswing1=1.0#punch_hit_medium01=1.2#ZoroCZ_evil_swordout1=2.3</t>
  </si>
  <si>
    <t>霍尔海姆技能2</t>
  </si>
  <si>
    <r>
      <rPr>
        <sz val="11"/>
        <color theme="1"/>
        <rFont val="等线"/>
        <charset val="134"/>
        <scheme val="minor"/>
      </rPr>
      <t>whooshlarge_nervous=0.2#SmoothieCZ_waterslash_sword=0.4#whooshlarge_slashly01=1.3#ZoronewCZ_lion_roar=1.8#LuffynewCZ_fire_cast=1.8#AkainuNewCZ_cannon_fire2=2.8#AceCZ_Unkonwfire_hit=2.8#AkainuNewCZ_dog_fire2=3.2#LucciCP0CZ_fire_explosion=4.0</t>
    </r>
  </si>
  <si>
    <t>Particles/holdem001/holdem001_attack03_C</t>
  </si>
  <si>
    <t>浦岛普攻</t>
  </si>
  <si>
    <t>浦岛技能1</t>
  </si>
  <si>
    <t>技能-镜头拉远-放逐</t>
  </si>
  <si>
    <r>
      <rPr>
        <sz val="11"/>
        <color theme="1"/>
        <rFont val="等线"/>
        <charset val="134"/>
        <scheme val="minor"/>
      </rPr>
      <t>Carot_dianhupunch=0.1#franky_Punch_Light=0.2#franky_Punch_Heavy=0.5#punch_hit_medium01=0.7#luffy_GiantSwingImpact02=0.7</t>
    </r>
  </si>
  <si>
    <t>浦岛技能2</t>
  </si>
  <si>
    <r>
      <rPr>
        <sz val="11"/>
        <color theme="1"/>
        <rFont val="等线"/>
        <charset val="134"/>
        <scheme val="minor"/>
      </rPr>
      <t>franky_Punch_Light=0.1#franky_Punch_Heavy=0.5#punch_hit_giant01=0.7#franky_Punch_Heavy=1.3#punch_hit_medium01=1.5#franky_Punch_Heavy=1.5#punch_hit_medium01=1.7#luffy_GiantSwingImpact02=1.7</t>
    </r>
  </si>
  <si>
    <t>浦岛技能3</t>
  </si>
  <si>
    <r>
      <rPr>
        <sz val="11"/>
        <color theme="1"/>
        <rFont val="等线"/>
        <charset val="134"/>
        <scheme val="minor"/>
      </rPr>
      <t>whooshlarge_nervous=0.1#whooshlarge_slashly01=0.9#whooshmedium01=1.8#LuffynewCZ_4_swing=1.9#punch_hit_small01=2.0#LuffynewCZ_4_swing=2.0#punch_hit_small01=2.1#LuffynewCZ_4_swing=2.1#punch_hit_small01=2.2#LuffynewCZ_4_swing=2.2#punch_hit_small01=2.3#LuffynewCZ_4_swing=2.3#punch_hit_small01=2.4#LuffynewCZ_4_swing=2.4#punch_hit_small01=2.5#LuffynewCZ_4_swing=2.5#punch_hit_small01=2.6#LuffynewCZ_4_swing=2.6#punch_hit_small01=2.7#LuffynewCZ_4_swing=2.7#punch_hit_small01=2.8#LuffynewCZ_4_swing=2.8#punch_hit_small01=2.9#LuffynewCZ_4_swing=2.9#punch_hit_small01=3.0#LuffynewCZ_4_swing=3.0#punch_hit_small01=3.1#LuffynewCZ_4_swing=3.1#punch_hit_small01=3.2#LuffynewCZ_4_swing=3.2#punch_hit_small01=3.3#LuffynewCZ_4_swing=3.3#punch_hit_small01=3.4#LuffynewCZ_4_swing=3.4#punch_hit_small01=3.5#LuffynewCZ_4_swing=3.5#punch_hit_small01=3.6#LuffynewCZ_4_swing=3.6#punch_hit_small01=3.7#LuffynewCZ_4_swing=3.7#punch_hit_small01=3.8#LuffynewCZ_4_swing=3.8#punch_hit_small01=3.9#LuffynewCZ_4_swing=3.9#punch_hit_small01=4.0#LuffynewCZ_4_swing=4.0#punch_hit_small01=4.1#LuffynewCZ_4_swing=4.1#punch_hit_small01=4.2#LuffynewCZ_4_swing=4.2#punch_hit_small01=4.3#LuffynewCZ_4_swing=4.3#punch_hit_small01=4.4#LuffynewCZ_4_swing=4.4#punch_hit_small01=4.5#LuffynewCZ_4_swing=4.5#punch_hit_small01=4.6#LuffynewCZ_4_swing=4.6#punch_hit_small01=4.7#whooshlarge_general=4.1</t>
    </r>
  </si>
  <si>
    <t>Particles/pudao001/pudao001_attack04_C</t>
  </si>
  <si>
    <t>主线凯多</t>
  </si>
  <si>
    <t>大蛇手下普攻（铳）</t>
  </si>
  <si>
    <t>se_ShotgunReload=0#Gun_Pistol_Shot02=0.9#Gun_NailRifle_Shot03=1.1#se_Shoot_Hit=1.1</t>
  </si>
  <si>
    <t>大蛇手下普攻（刀）</t>
  </si>
  <si>
    <t>hancocknewCloth_1=0.1#mihawknew_S2_sword2=0.7#FujitoraCZ_attack_swingblue=0.7#se_Sword_hit02=0.9#BltrmoCZ_pingzhang_cloth1=1.3</t>
  </si>
  <si>
    <t>牛鬼丸普攻</t>
  </si>
  <si>
    <t>OdenCZ_jump=0.1#BMCZ_change_swing=0.7#mihawknew_S2_sword2=0.7#slash_large=0.8#BlookenewCZ_snow_swordout=1.5</t>
  </si>
  <si>
    <t>牛鬼丸技能1</t>
  </si>
  <si>
    <t>二连斩</t>
  </si>
  <si>
    <t>BMCZ_weiguo_sword3=0.1#BMCZ_poporen_swing1=0.8#slash_general01=0.9#slash_large=0.9#BMCZ_poporen_swing2=1.2#BMCZ_change_swing=1.2#slash_large=1.3#KozukiOden_Skill_swingend_1=1.3#BlookenewCZ_snow_swordout=1.7</t>
  </si>
  <si>
    <t>牛鬼丸技能2</t>
  </si>
  <si>
    <t>雪旋风</t>
  </si>
  <si>
    <t>BMCZ_weiguo_sword3=0.2#Mr1_SpinWind=0.3#Mr1_SpinWind=0.3#luffy_GiantSwing03=1.2#mihawkCZ_shark_swing=1.2#se_Swordheavy_Hit=1.3#slash_general01=1.3#se_Swordheavy_Hit=1.4#slash_general01=1.4#se_Swordheavy_Hit=1.5#slash_general01=1.5#mihawkCZ_wu_sworddown=2.0</t>
  </si>
  <si>
    <t>镰造普攻</t>
  </si>
  <si>
    <t>mihawknew_S1_sword=0.1#edward_Swing02=0.1#slash_large=0.2#mihawknew_S2_sword1=0.6#edward_Swing04=0.6#slash_large=0.7#mihawknew_S2_sword2=1.1#mihawknew_S3_sword1=1.1#edward_Swing05=1.1#KozukiOden_Skill_swingend_1=1.2#slash_large=1.2</t>
  </si>
  <si>
    <t>镰造技能1</t>
  </si>
  <si>
    <t>旋风镰刃</t>
  </si>
  <si>
    <t>CarotCZ_huixing_cloth=0#OdenCZ_shiquan_swordout1=0.2#mihawknew_S1_sword=0.4#KikuCZ_snowcan_spin=0.9#MihawkNewCZ_night_spin=0.9#MargoNewCZ_reborn_spin=1.0#mihawknew_S6_sword=0.9#mihawknew_S6_sword=1.0#mihawknew_S6_sword=1.1#mihawknew_S6_sword=1.2#slash_large=1.0#slash_large=1.1#slash_large=1.2#mihawknew_S2_sword2=1.6#mihawknew_S3_sword1=1.6#edward_Swing05=1.6#KozukiOden_Skill_swingend_1=1.7#slash_large=1.7#CavedishCZ_shit_cloth=2.3#mihawkCZ_wu_sworddown=2.4#mihawknew_S2_sword2=2.5</t>
  </si>
  <si>
    <t>镰造技能2</t>
  </si>
  <si>
    <t>真空镰刃</t>
  </si>
  <si>
    <t>CarotCZ_huixing_cloth=0#mihawknew_S2_sword2=0.2#mihawknew_S3_sword1==0.2#edward_Swing04=0.2#slash_large=0.4#slash_large=0.5#slash_large=0.6#MihawkNewCZ_shiwenzi_swing1=1.1#KozukiOden_Skill_swingend_1=1.2#slash_large=1.2#KozukiOden_Skill_swingend_1=1.3#slash_large=1.3#KozukiOden_Skill_swingend_1=1.4#slash_large=1.4</t>
  </si>
  <si>
    <t>镰造技能2（追加）</t>
  </si>
  <si>
    <t>真空镰刃-追加</t>
  </si>
  <si>
    <t>佩吉旺普攻</t>
  </si>
  <si>
    <t>佩吉旺技能1</t>
  </si>
  <si>
    <t>佩吉旺镜头技</t>
  </si>
  <si>
    <t>霍金斯镜头技</t>
  </si>
  <si>
    <t>德雷克普攻</t>
  </si>
  <si>
    <t>德雷克技能1</t>
  </si>
  <si>
    <t>德雷克镜头技</t>
  </si>
  <si>
    <t>狂死郎普攻</t>
  </si>
  <si>
    <t>mihawk_Swing01=0.1#ZoronewCZ_attack_swing2=0.4#se_Sword_Hit=0.5#ZoronewCZ_attack_swing1=0.6#se_Sword_hit02=0.7#MihawkNewCZ_shangxian_swing=1.0#se_Swordheavy_Hit=1.1#BltrmoCZ_pai_cloth=2.0#ZoronewCZ_lion_sword1=2.1</t>
  </si>
  <si>
    <t>狂死郎技能1</t>
  </si>
  <si>
    <t>半月断</t>
  </si>
  <si>
    <t>BltrmoCZ_pai_cloth=0.1#kid_Wind01=0.1#NaminewCZ_trap_wind=0.1#BlookenewCZ_attack_swordin=0.2#mihawkCZ_blackchop_hitground=0.8#mihawknew_S4_sword=0.9#se_Sword_Hit=1.1#se_Swordheavy_Hit=1.1#se_Sword_hit02=1.2#se_Swordheavy_Hit=1.2#se_Sword_Hit=1.3#se_Sword_hit02=1.3#se_Swordheavy_Hit=1.3#Suger_S7_cloth=1.7#ZoronewCZ_lion_sword1=1.7#BltrmoCZ_pai_cloth=1.9</t>
  </si>
  <si>
    <t>狂死郎镜头技</t>
  </si>
  <si>
    <t>做好觉悟了吧</t>
  </si>
  <si>
    <t>whooshlarge_slashly01=0#BlookenewCZ_snow_swordout=0#mihawkCZ_wu_swordhold=0#kid_Wind01=0.3#Roddy_wind=0.3#FrankyCZ_windsheild=0.3#NaminewCZ_trap_wind=0.3#whooshlarge_slashly03=1.0#CarotCZ_huixing_cloth=2.1#ZoroCZ_evil_swordout1=3.0#ZororHeCZ_Light=3.1#borsalino_Light03=3.1#ZoronewCZ_world_slash=3.7#ChopperHeCZ_Attack04_Whoosh=3.9#ChopperHeCZ_attack07_whoosh2=3.9#ZororHeCZ_Slay=5.1#MargoNewCZ_slash_change=5.1</t>
  </si>
  <si>
    <t>Particles/denjiro001/denjiro001_attack03_C</t>
  </si>
  <si>
    <t>巴巴努基</t>
  </si>
  <si>
    <t>大象鼻息</t>
  </si>
  <si>
    <t>索莉提亚</t>
  </si>
  <si>
    <t>旋风击</t>
  </si>
  <si>
    <t>去死吧</t>
  </si>
  <si>
    <t>多朋</t>
  </si>
  <si>
    <t>屠杀房间</t>
  </si>
  <si>
    <t>候选者</t>
  </si>
  <si>
    <t>手枪海盗</t>
  </si>
  <si>
    <t/>
  </si>
  <si>
    <t>Swish_Rope_WebSwing1=0#se_bow=0.5#Swish_Rope_WebSwing1=0.65#se_bow=1.15</t>
  </si>
  <si>
    <t>se_Normalswing=0.226#se_Slowswing=0.2</t>
  </si>
  <si>
    <t>luffy_Punchlong=0.351#luffy_Kick=0.73#luffy_Kick=1.233</t>
  </si>
  <si>
    <t>zoro_Swing01=0.126#zoro_Swing01=0.466#zoro_Swing01=0.84#zoro_Slash=1.74#zoro_Sheath_End=2.8</t>
  </si>
  <si>
    <t>franky_Machinery01=0#franky_Swing01=0.308#franky_Swing02=0.8#franky_Machinery02=1.083#franky_Machinery_Gear01=1.547#franky_Machinegun_Shoot=1.743#franky_Machinery_Gear02=3.351</t>
  </si>
  <si>
    <t>kuzan_Swing=0.114#nami_Wind_Push=0.266#kuzan_Icehit02=0.433#kuzan_Icehit01=0.595#kuzan_Icehit06Fade=0.716</t>
  </si>
  <si>
    <t>mihawk_Sheath01=0.2#mihawk_Swing01=0.5#mihawk_Swing02=1.1#mihawk_Swing02=1.7#mihawk_Sheath02=2.6</t>
  </si>
  <si>
    <t>enel_Spin=0.1#enel_Electric01=0.43#enel_ElectricHit01=0.563</t>
  </si>
  <si>
    <t>smoke_Swing01=0#smoke_Swing02=0.349#smoke_Swing05=0.753</t>
  </si>
  <si>
    <t>Ace_FireShoot01=0.4</t>
  </si>
  <si>
    <t>强者挑战-布鲁克</t>
  </si>
  <si>
    <t>强者挑战-黄猿</t>
  </si>
  <si>
    <t>borsalino_Light01=0.583#borsalino_Light01=1.743#borsalino_Light02=1.743</t>
  </si>
  <si>
    <t>强者挑战-赤犬</t>
  </si>
  <si>
    <t>sakazuki_Swing01=0.131#sakazuki_Swing02=0.434#sakazuki_Swing03=0.771#sakazuki_Swing02=1.185#sakazuki_Swing04=1.824</t>
  </si>
  <si>
    <t>一万公斤（范围攻击）</t>
  </si>
  <si>
    <t>se_Jump01=0#se_MoveEcho=1#se_Rock_Fall02=1.3</t>
  </si>
  <si>
    <t>3301</t>
  </si>
  <si>
    <t>3302</t>
  </si>
  <si>
    <t>3303</t>
  </si>
  <si>
    <t>3304</t>
  </si>
  <si>
    <t>root&amp;&amp;bimao</t>
  </si>
  <si>
    <t>怪物大熊</t>
  </si>
  <si>
    <t>拍飞2</t>
  </si>
  <si>
    <t>kuma_Light=0#Mr3_SwingObj=0.864#kuma_SwingSlowly=1#kuma_BubblePop=2.3</t>
  </si>
  <si>
    <t>borsalino_LightSwordAppear=0.437#borsalino_LightAppear01=0.843#borsalino_LightShining01=1.2#borsalino_Move01=1.784#borsalino_LightSwordSwing02=2.104#borsalino_LightSwordSwing01=2.619#borsalino_LightSwordSwing03=3#tashigi_Swing01=3.399#borsalino_LightSwordCounter=3.548#borsalino_LightSwordSwing04=3.548</t>
  </si>
  <si>
    <t>borsalino_Light01=0.661#borsalino_Light01=1.17#borsalino_Light01=1.754#borsalino_Light03=1.754</t>
  </si>
  <si>
    <t>borsalino_Assemble01=0.235#borsalino_LightShoot01=1.298#Explo_Rock1=1.543#borsalino_LightExplosion01=1.543</t>
  </si>
  <si>
    <t>borsalino_LightSwordAppear=0#borsalino_LightShining02=0.233#borsalino_LightAppear01=0.672#borsalino_Light03=1.25#borsalino_Light01=1.462#borsalino_LightExplosion01=1.675#usopp_Explosion=1.731</t>
  </si>
  <si>
    <t>sakazuki_Ultimate01=0.605#sakazuki_Ultimate02=3.674#sakazuki_Ultimate03=5#sakazuki_LavaExplo03=6.791#sakazuki_LavaExplo03=7.208#sakazuki_LavaExplo03=7.628#sakazuki_LavaExplo03=8#sakazuki_LavaExplo03=8.583#CV_akainu_MetroVocalno=0#CV_akainu08=2.5</t>
  </si>
  <si>
    <t>战斧连击</t>
  </si>
  <si>
    <t>防守准备</t>
  </si>
  <si>
    <t>garp_Snore=1#Mr2_Funny01=1#garp_Bubble=2.332#buggy_Funny02=3</t>
  </si>
  <si>
    <t>nami_Wind_Push=0#morgan_pre=0.2#kuma_PopOut=0.6</t>
  </si>
  <si>
    <t>惩恶</t>
  </si>
  <si>
    <t>sakazuki_LavaShaking02=0.128#sakazuki_Swing04=0.651#sakazuki_Swing05=0.651#CV_akainu_DogBite=0</t>
  </si>
  <si>
    <t>usopp_Cloth=0#jinbe_Water01=0.14#se_Rock_Fall02=0.2#jinbe_Swing04=0.692#jinbe_Water02=0.692#jinbe_Water01=0.8#jinbe_Swing04=1#jinbe_Water02=1#jinbe_Swing04=1.389#jinbe_Water02=1.389#jinbe_Swing04=1.81#jinbe_Water02=1.81</t>
  </si>
  <si>
    <t>战国</t>
  </si>
  <si>
    <t>重磅拳</t>
  </si>
  <si>
    <t>防御</t>
  </si>
  <si>
    <t>smoke_Swing02=0.7#jozz_Trans02=1#CV_joz01=0.8</t>
  </si>
  <si>
    <t>3404</t>
  </si>
  <si>
    <t>mihawk_Sheath01=0#se_Jump01=0.2#mihawk_Swing01=0.2#mihawk_Swing02=1#mihawk_Swing02=1.133#mihawk_Swing02=1.333#mihawk_Swing02=1.433#mihawk_Swing02=1.533#mihawk_Swing01=1.56#se_Jump01=2.2#mihawk_EnergyIn=2.218#mihawk_Swing03=2.557#mihawk_Swing01=2.717#zoro_Slash_Heavy=2.717#SE_012035=3.044#se_Rock_Fall02=3.044#zoro_Swing01=3.681#zoro_Swing01=3.833#tashigi_Swing01=3.456#se_Jump01=3.833#mihawk_Sheath02=4.757</t>
  </si>
  <si>
    <t>女帝</t>
  </si>
  <si>
    <t>纷影连环踢</t>
  </si>
  <si>
    <t>基德</t>
  </si>
  <si>
    <t>吸引·守护</t>
  </si>
  <si>
    <t>高速斩</t>
  </si>
  <si>
    <t>se_Jump01=0#Mr2_Swing01=0.373#sanji_Kick=0.4#se_Rock_Fall02=0.517#se_Jump02=0.914#se_Jump02=1.375#se_Jump02=1.897#se_Jump02=2.275#se_Jump02=1.068#se_Jump02=1.554#se_Jump02=2.015#se_Jump02=2.4#se_Jump02=1.219#se_Jump02=1.708#se_Jump02=2.16#se_Jump02=2.56#zoro_Jumpspin=0.702#zoro_Jumpspin=1.299#zoro_Jumpspin=1.897#zoro_Jumpspin=2.494#se_MoveEcho=0.883#se_MoveEcho=1.502#se_MoveEcho=2.12#se_MoveEcho=2.739#CV_lucci01=0</t>
  </si>
  <si>
    <t>Ace_Fire01=0#Ace_Swing01=0.8#Ace_FireFlying01=0.863#CV_ace_FirePunch=0.3</t>
  </si>
  <si>
    <t>Ace_Firefly=0.628#Ace_Fire05=1.866#CV_ace_FireBudda=0.7</t>
  </si>
  <si>
    <t>角刀影</t>
  </si>
  <si>
    <t>5305</t>
  </si>
  <si>
    <t>影袭</t>
  </si>
  <si>
    <t>5307</t>
  </si>
  <si>
    <t>kuzan_Swing=0.1#kuzan_Object_Passing=0.743#kuzan_Icerock_Crack=0.916#kuzan_Icehit01=1.087</t>
  </si>
  <si>
    <t>enel_Electric02=0#enel_Electric03=0.2#enel_ElectricDrum1=0.3#enel_ElectricBird=0.293#enel_Electric03=1.646#enel_ElectricThunder=1.06#CV_enel_30mVolts=0</t>
  </si>
  <si>
    <t>6205</t>
  </si>
  <si>
    <t>6204</t>
  </si>
  <si>
    <t>尖刺强化</t>
  </si>
  <si>
    <t>尖刺反击</t>
  </si>
  <si>
    <t>4705</t>
  </si>
  <si>
    <t>泡沫</t>
  </si>
  <si>
    <t>1423&amp;&amp;1451</t>
  </si>
  <si>
    <t>Bip001 R Finger1&amp;&amp;root</t>
  </si>
  <si>
    <t>罗</t>
  </si>
  <si>
    <t>屠宰场</t>
  </si>
  <si>
    <t>路飞-战棋</t>
  </si>
  <si>
    <t>橡皮·机关枪</t>
  </si>
  <si>
    <t>102</t>
  </si>
  <si>
    <t>luffy_Punch_Gatlin=0.638#luffy_Punch_Gatlin=1#luffy_Punch_Gatlin=1.529#luffy_Punch_Gatlin_End=2#CV_luffy_XJshort=0#CV_luffy_Gatlin=0.85</t>
  </si>
  <si>
    <t>弗兰奇-战棋</t>
  </si>
  <si>
    <t>力量右拳</t>
  </si>
  <si>
    <t>604</t>
  </si>
  <si>
    <t>franky_Machinery01=0#franky_Swing01=0.408#franky_Swing02=0.9#franky_Swing02=1.5#franky_Swing01=2.094#franky_Swing01=2.289#franky_Swing01=2.7#franky_Swing02=2.7#franky_Cannon_Shoot=2.948#se_Rock_Fall01=2.948#SE_012035=2.948#franky_Machinery02=3.7#CV_franky_StrongR=0</t>
  </si>
  <si>
    <t>斯摩格-战棋</t>
  </si>
  <si>
    <t>Mr.3-战棋</t>
  </si>
  <si>
    <t>184&amp;&amp;487</t>
  </si>
  <si>
    <t>贝拉米-战棋</t>
  </si>
  <si>
    <t>蓄力弹簧跳击</t>
  </si>
  <si>
    <t>杰布拉-战棋</t>
  </si>
  <si>
    <t>3000302</t>
  </si>
  <si>
    <t>卡古-战棋</t>
  </si>
  <si>
    <t>4303</t>
  </si>
  <si>
    <t>贝宝-战棋</t>
  </si>
  <si>
    <t>连续踢</t>
  </si>
  <si>
    <t>索隆-战棋</t>
  </si>
  <si>
    <t>一百零八烦恼凤</t>
  </si>
  <si>
    <t>zoro_Jumpspin=0.136#zoro_Jumphit=0.528#zoro_Obj_Flying=0.834#zoro_Sheath_End=1.5#CV_zoro_Vexed=0</t>
  </si>
  <si>
    <t>乌索普-战棋</t>
  </si>
  <si>
    <t>手里剑流星群</t>
  </si>
  <si>
    <t>山治-战棋</t>
  </si>
  <si>
    <t>踢技套餐</t>
  </si>
  <si>
    <t>布鲁克-战棋</t>
  </si>
  <si>
    <t>塔西米-战棋</t>
  </si>
  <si>
    <t>Mr.1-战棋</t>
  </si>
  <si>
    <t>Mr.2-战棋</t>
  </si>
  <si>
    <t>脚尖踢</t>
  </si>
  <si>
    <t>龙马-战棋</t>
  </si>
  <si>
    <t>前奏曲触·剑攻击</t>
  </si>
  <si>
    <t>巴基-战棋</t>
  </si>
  <si>
    <t>奈美-战棋</t>
  </si>
  <si>
    <t>艾尼路-战棋-雷鸟甩棍子动作</t>
  </si>
  <si>
    <t>比斯塔-战棋</t>
  </si>
  <si>
    <t>花剑连斩</t>
  </si>
  <si>
    <t>斯巴达姆-战棋</t>
  </si>
  <si>
    <t>火炮海盗B-战棋</t>
  </si>
  <si>
    <t>阿龙-战棋</t>
  </si>
  <si>
    <t>战棋-香克斯</t>
  </si>
  <si>
    <t>赤龙断</t>
  </si>
  <si>
    <t>贯风斩</t>
  </si>
  <si>
    <t>战棋-大熊技能2</t>
  </si>
  <si>
    <t>Mr3_SwingObj=0.8#se_Rock_Fall02=1#Mr3_SwingObj=1.787#se_Rock_Fall02=2#kuma_BubbleShoots=2.84#CV_kuma_SuperPresureCannon=1</t>
  </si>
  <si>
    <t>战棋-赤犬技能2</t>
  </si>
  <si>
    <t>喷发</t>
  </si>
  <si>
    <t>sakazuki_LavaShaking01=0.145#sakazuki_Swing04=0.689#sakazuki_LavaPunch01=0.689</t>
  </si>
  <si>
    <t>战棋-甚平技能2</t>
  </si>
  <si>
    <t>jinbe_Swing02=0#se_Rock_Fall02=0.43#jinbe_Water04=0.5#vivi_Magic03=0.6</t>
  </si>
  <si>
    <t>战棋-战国技能2</t>
  </si>
  <si>
    <t>烈风冲拳</t>
  </si>
  <si>
    <t>战棋-乔兹技能2</t>
  </si>
  <si>
    <t>nami_Cloth=0#jozz_Trans01=0.2#jozz_Diamond01=0.259#zoro_Jumpspin=0.495#se_Jump01=0.495#jozz_Charging01=0.495#SE_012035=1.1#se_Rock_Fall02=1.169</t>
  </si>
  <si>
    <t>战棋-鹰眼技能2</t>
  </si>
  <si>
    <t>黑刀·曙光</t>
  </si>
  <si>
    <t>mihawk_Sheath01=0#mihawk_Energy=0.6#mihawk_Swing03=1.4#mihawk_ObjFlying01=1.813#mihawk_ObjFlying01=2.084#mihawk_ObjFlying01=2.347#mihawk_Sheath02=2.8</t>
  </si>
  <si>
    <t>战棋-汉库克技能2</t>
  </si>
  <si>
    <t>香吻脚</t>
  </si>
  <si>
    <t>战棋-基德技能2</t>
  </si>
  <si>
    <t>吸引·铁壁</t>
  </si>
  <si>
    <t>战棋-雷利技能1</t>
  </si>
  <si>
    <t>下旋踢</t>
  </si>
  <si>
    <t>战棋-白胡子技能2</t>
  </si>
  <si>
    <t>碎敌</t>
  </si>
  <si>
    <t>战棋-路奇技能2</t>
  </si>
  <si>
    <t>nami_Cloth=0#kuma_SwingSlowly=0.27#chopper_Bottlecrash=0.9#franky_Punch_Heavy=0.911#sanji_Kick_Heavy=1#smoke_HeavyHit=1.1#CV_lucci_SixKing=0</t>
  </si>
  <si>
    <t>战棋-黄猿技能2</t>
  </si>
  <si>
    <t>战棋-青雉技能2</t>
  </si>
  <si>
    <t>kuzan_Icehit02=0.446#kuzan_Icehit03=1.373#kuzan_Icehit01=1.373#kuzan_Icerock_Crack=2.511#kuzan_Icehit04=2.511#kuzan_Icecrack_End=3.031</t>
  </si>
  <si>
    <t>战棋-麦哲伦技能2</t>
  </si>
  <si>
    <t>战棋-比斯塔技能2</t>
  </si>
  <si>
    <t>怪用技能香克斯</t>
  </si>
  <si>
    <t>401300201</t>
  </si>
  <si>
    <t>401300204</t>
  </si>
  <si>
    <t>401300207</t>
  </si>
  <si>
    <t>bajilisike001_body巴基利克斯</t>
  </si>
  <si>
    <t>bluestar001_body蓝猩猩</t>
  </si>
  <si>
    <t>hannyabal001_body汉尼拔</t>
  </si>
  <si>
    <t>hoss001_body候斯</t>
  </si>
  <si>
    <t>mantikra001_body蔓提克拉</t>
  </si>
  <si>
    <t>sadie001_body萨迪</t>
  </si>
  <si>
    <t>sphinx001_body斯芬克斯</t>
  </si>
  <si>
    <t>近战</t>
  </si>
  <si>
    <t>远程</t>
  </si>
  <si>
    <t>原地</t>
  </si>
  <si>
    <t>近战，目标的前端</t>
  </si>
  <si>
    <t>正对中间</t>
  </si>
  <si>
    <t>中间</t>
  </si>
  <si>
    <t>近战，目标的中心</t>
  </si>
  <si>
    <t>当前位置</t>
  </si>
  <si>
    <t>SkillElementType_Att = 0; //普通攻击</t>
  </si>
  <si>
    <t>SkillElementType_Treat = 1; //治疗</t>
  </si>
  <si>
    <t>SkillElementType_Real = 2; //真实伤害</t>
  </si>
  <si>
    <t>SkillElementType_Poison = 3; //毒</t>
  </si>
  <si>
    <t>SkillElementType_Thunder = 4; //雷</t>
  </si>
  <si>
    <t>SkillElementType_Elec = 5; //电</t>
  </si>
  <si>
    <t>SkillElementType_Fire = 6; //火</t>
  </si>
  <si>
    <t>SkillElementType_Ice = 7; //冰</t>
  </si>
  <si>
    <t>SkillElementType_Water = 8; //水</t>
  </si>
  <si>
    <t>SkillElementType_Light = 9; //光</t>
  </si>
  <si>
    <t>SkillElementType_Dark = 10; //暗</t>
  </si>
  <si>
    <t>SkillElementType_Wind = 11; //风</t>
  </si>
  <si>
    <t>SkillElementType_Whole = 12; //全</t>
  </si>
  <si>
    <t>单体</t>
  </si>
  <si>
    <t>当前对象</t>
  </si>
  <si>
    <t>Single</t>
  </si>
  <si>
    <t>及目标为中的十字范围的敌人</t>
  </si>
  <si>
    <t>十字范围：以目标为中心的十字选取范围</t>
  </si>
  <si>
    <t>CenterCross</t>
  </si>
  <si>
    <t>及目标身后一格的敌人</t>
  </si>
  <si>
    <t>直线两格：攻击目标与目标身后的一格</t>
  </si>
  <si>
    <t>FrontColTwo</t>
  </si>
  <si>
    <t>及目标身后两格的敌人</t>
  </si>
  <si>
    <t>直线三格：攻击目标与目标身后二格</t>
  </si>
  <si>
    <t>FrontColThree</t>
  </si>
  <si>
    <t>及目标身后三格的敌人</t>
  </si>
  <si>
    <t>直线四格：攻击目标与目标身后三格</t>
  </si>
  <si>
    <t>FrontColFour</t>
  </si>
  <si>
    <t>及以目标为中心的九宫格范围内的敌人</t>
  </si>
  <si>
    <t>九宫格：已目标为中心的九宫格范围</t>
  </si>
  <si>
    <t>CenterNine</t>
  </si>
  <si>
    <t>全体敌人</t>
  </si>
  <si>
    <t>全体：攻击全体敌方目标</t>
  </si>
  <si>
    <t>All</t>
  </si>
  <si>
    <t>及目标为中心的横排三个格子的敌人</t>
  </si>
  <si>
    <t>横排三格：攻击目标为中心的横排三格</t>
  </si>
  <si>
    <t>CenterRowThree</t>
  </si>
  <si>
    <t>及目标为中心的横排六个格子的敌人</t>
  </si>
  <si>
    <t>横排六格：目标为中心的横排三格以及其身后的横排三格</t>
  </si>
  <si>
    <t>CenterRowThreeAndBack</t>
  </si>
  <si>
    <t>X型范围：已目标为中心的X范围</t>
  </si>
  <si>
    <t>CenterX</t>
  </si>
  <si>
    <t>T型范围：目标为中心的横排三格以及其身后的直线三格</t>
  </si>
  <si>
    <t>CenterT</t>
  </si>
  <si>
    <t>目标及左边一格</t>
  </si>
  <si>
    <t>WithLeft</t>
  </si>
  <si>
    <t>目标及右边一格</t>
  </si>
  <si>
    <t>WithRight</t>
  </si>
  <si>
    <t>横排九格：目标为中心的横排三格以及其身后的2个横排三格</t>
  </si>
  <si>
    <t>CenterRowThreeAndBackTWO</t>
  </si>
  <si>
    <t>以目标为主，附带随机攻击1名其他单位</t>
  </si>
  <si>
    <t>WithRandomOne</t>
  </si>
  <si>
    <t>以目标为主，附带随机攻击2名其他单位</t>
  </si>
  <si>
    <t>WithRandomTwo</t>
  </si>
  <si>
    <t>随机攻击1名其他单位</t>
  </si>
  <si>
    <t>目标所在排</t>
  </si>
  <si>
    <t>目标所在排及其后一排</t>
  </si>
  <si>
    <t>目标所在列</t>
  </si>
  <si>
    <t>SelfRandomOne(20),//20.随机治疗1名己方单位</t>
  </si>
  <si>
    <t>SelfRandomOneExcept(21);//21.随机治疗1名己方除自己以外的其他单位</t>
  </si>
  <si>
    <t>WithBackCross(22); //22.目标及其身后的十字范围</t>
  </si>
  <si>
    <t>除自己以外血量最少</t>
  </si>
  <si>
    <t>RowAndFront(24),;//24.目标所在排及其前一排</t>
  </si>
  <si>
    <t>SelfMinPerhpExcept(25);//25.己方除自己以外的血量百分比最小单位</t>
  </si>
  <si>
    <t>SelfMinHp(26),//26.己方血量最小单位</t>
  </si>
  <si>
    <t>SelfMinPerhp(27);//27.己方血量百分比最小单位</t>
  </si>
  <si>
    <t>SelfDeadCanReviveRandom://28.己方随机一名可被复活的死亡的人</t>
  </si>
  <si>
    <t>战棋5*5</t>
  </si>
  <si>
    <t>战棋直线3格</t>
  </si>
  <si>
    <t>战棋直线4格</t>
  </si>
  <si>
    <t>战棋直线5格</t>
  </si>
  <si>
    <t>战棋直线6格</t>
  </si>
  <si>
    <r>
      <rPr>
        <sz val="11"/>
        <color theme="1"/>
        <rFont val="宋体"/>
        <charset val="134"/>
      </rPr>
      <t>2018.1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.</t>
    </r>
    <r>
      <rPr>
        <sz val="11"/>
        <color theme="1"/>
        <rFont val="宋体"/>
        <charset val="134"/>
      </rPr>
      <t>16</t>
    </r>
    <r>
      <rPr>
        <sz val="11"/>
        <color theme="1"/>
        <rFont val="宋体"/>
        <charset val="134"/>
      </rPr>
      <t>更新 选取规则</t>
    </r>
  </si>
  <si>
    <t>0 当前对象</t>
  </si>
  <si>
    <t>1 十字范围：以目标为中心的十字选取范围</t>
  </si>
  <si>
    <t>2 直线两格：目标与目标身后的一格</t>
  </si>
  <si>
    <t>3 直线三格：目标与目标身后二格</t>
  </si>
  <si>
    <t>4 直线四格：目标与目标身后三格</t>
  </si>
  <si>
    <t>5 九宫格：目标为中心的九宫格范围</t>
  </si>
  <si>
    <t>6 全体</t>
  </si>
  <si>
    <t>7  横排三格：目标为中心的横排三格</t>
  </si>
  <si>
    <t>8  横排六格：目标为中心的横排三格以及其身后的横排三格</t>
  </si>
  <si>
    <t>9 X型范围：目标为中心的X范围</t>
  </si>
  <si>
    <t>10 T型范围：目标为中心的横排三格以及其身后的直线三格</t>
  </si>
  <si>
    <t>11 目标及左边一格</t>
  </si>
  <si>
    <t>12 目标及右边一格</t>
  </si>
  <si>
    <t>13 横排九格：目标为中心的横排三格以及其身后的2个横排三格</t>
  </si>
  <si>
    <t>14 以目标为主，附带随机选取1名其他单位</t>
  </si>
  <si>
    <t>15 以目标为主，附带随机选取2名其他单位</t>
  </si>
  <si>
    <t>16 随机选取1名其他单位（目标在随机范围内）</t>
  </si>
  <si>
    <t>17 目标所在排</t>
  </si>
  <si>
    <t>18 目标所在排及其后一排</t>
  </si>
  <si>
    <t>19 目标所在列</t>
  </si>
  <si>
    <t>20 随机1名己方单位</t>
  </si>
  <si>
    <t>21 随机1名己方除自己以外的其他单位</t>
  </si>
  <si>
    <t>22 目标及其身后的十字范围</t>
  </si>
  <si>
    <t>23 己方除自己以外的血量最小单位</t>
  </si>
  <si>
    <t>24 目标所在排及其前一排</t>
  </si>
  <si>
    <t>25 己方除自己以外的血量百分比最小单位</t>
  </si>
  <si>
    <t>26 己方血量最小单位</t>
  </si>
  <si>
    <t>27 己方血量百分比最小单位</t>
  </si>
  <si>
    <t>28 己方随机一名可被复活的死亡的人（用于复活技能）</t>
  </si>
  <si>
    <t>29 目标血量最少</t>
  </si>
  <si>
    <t>30 目标血量最少（百分比）</t>
  </si>
  <si>
    <t>31  后排优先</t>
  </si>
  <si>
    <t>id</t>
  </si>
  <si>
    <t>Desc</t>
  </si>
  <si>
    <t>StaticName</t>
  </si>
  <si>
    <t>前排</t>
  </si>
  <si>
    <t>前排第一位</t>
  </si>
  <si>
    <t>FirstOne</t>
  </si>
  <si>
    <t>我方前排</t>
  </si>
  <si>
    <t>前排第一位(我方)</t>
  </si>
  <si>
    <t>FirstOne_Self</t>
  </si>
  <si>
    <t>前排目标：优先攻击对方前排角色，如果敌方前排有多名角色（最多三名）优先攻击自身站位所对应列的角色</t>
  </si>
  <si>
    <t>FirstRowOne</t>
  </si>
  <si>
    <t>我方前排目标：优先攻击对方前排角色，如果敌方前排有多名角色（最多三名）优先攻击自身站位所对应列的角色</t>
  </si>
  <si>
    <t>FirstRowOne_Self</t>
  </si>
  <si>
    <t>后排</t>
  </si>
  <si>
    <t>后排目标：优先攻击对方后排角色，如果敌方后排用多名角色（最多三名）优先攻击自身站位所对应列的角色</t>
  </si>
  <si>
    <t>LastRowOne</t>
  </si>
  <si>
    <t>我方后排</t>
  </si>
  <si>
    <t>我方后排目标：优先攻击对方后排角色，如果敌方后排用多名角色（最多三名）优先攻击自身站位所对应列的角色</t>
  </si>
  <si>
    <t>LastRowOne_Self</t>
  </si>
  <si>
    <t>随机目标</t>
  </si>
  <si>
    <t>随机目标：随机攻击对方阵容中的任一角色</t>
  </si>
  <si>
    <t>RandomOne</t>
  </si>
  <si>
    <t>我方随机目标</t>
  </si>
  <si>
    <t>我方随机目标：随机攻击对方阵容中的任一角色</t>
  </si>
  <si>
    <t>RandomOne_Self</t>
  </si>
  <si>
    <t>血量最高的目标</t>
  </si>
  <si>
    <t>血量最高：优先攻击对方阵容中当前血量最高的角色</t>
  </si>
  <si>
    <t>MaxHp</t>
  </si>
  <si>
    <t>我方血量最高的目标</t>
  </si>
  <si>
    <t>我方血量最高：优先攻击对方阵容中当前血量最高的角色</t>
  </si>
  <si>
    <t>MaxHp_Self</t>
  </si>
  <si>
    <t>血量最低的目标</t>
  </si>
  <si>
    <t>血量最低：优先攻击对方阵容中当前血量最低的角色</t>
  </si>
  <si>
    <t>MinHp</t>
  </si>
  <si>
    <t>我方血量最低的目标</t>
  </si>
  <si>
    <t>我方血量最低：优先攻击对方阵容中当前血量最低的角色</t>
  </si>
  <si>
    <t>MinHp_Self</t>
  </si>
  <si>
    <t>优先攻击自身站位所对应列的角色（从前至后），若对应列没有目标时，则攻击相邻列（若玩家站在中间列且没有目标时，优先攻击下方列的敌人</t>
  </si>
  <si>
    <t>Opposite</t>
  </si>
  <si>
    <t>打出一列</t>
  </si>
  <si>
    <t>我方优先攻击自身站位所对应列的角色（从前至后），若对应列没有目标时，则攻击相邻列（若玩家站在中间列且没有目标时，优先攻击下方列的敌人</t>
  </si>
  <si>
    <t>Opposite_Self</t>
  </si>
  <si>
    <t>自己</t>
  </si>
  <si>
    <t>前排随机单体</t>
  </si>
  <si>
    <t>后排随机单体</t>
  </si>
  <si>
    <t>前排正中（无人则取前排单体）</t>
  </si>
  <si>
    <t>后排正中（无人则取后排单体）</t>
  </si>
  <si>
    <t>五号位（无人则取前排单体）</t>
  </si>
  <si>
    <t>八号位（无人则取前排单体）</t>
  </si>
  <si>
    <t>防御最高：优先攻击对方阵容中当前防御最高的角色（防御一致选靠前）</t>
  </si>
  <si>
    <t>防御最低：优先攻击对方阵容中当前防御最低的角色（防御一致选靠前）</t>
  </si>
  <si>
    <t>敌方带流血buff（无则选前排单体，有多个则选靠前）</t>
  </si>
  <si>
    <t>敌方带眩晕buff（无则选前排单体，有多个则选靠前）</t>
  </si>
  <si>
    <t>敌方带破甲buff-BuffGroup为11（无则选前排单体，有多个则选靠前）</t>
  </si>
  <si>
    <t>  FirstOne(0),//前排第一位</t>
  </si>
  <si>
    <t>    FirstOne_Self(100),//己方前排第一位</t>
  </si>
  <si>
    <t>    FirstRowOne(1),//前排目标：优先攻击对方前排角色，如果敌方前排有多名角色（最多三名）优先攻击自身站位所对应列的角色</t>
  </si>
  <si>
    <t>    FirstRowOne_Self(101),</t>
  </si>
  <si>
    <t>    LastRowOne(2), //后排目标：优先攻击对方后排角色，如果敌方后排用多名角色（最多三名）优先攻击自身站位所对应列的角色</t>
  </si>
  <si>
    <t>    LastRowOne_Self(102),</t>
  </si>
  <si>
    <t>    RandomOne(3),  //随机目标：随机攻击对方阵容中的任一角色</t>
  </si>
  <si>
    <t>    RandomOne_Self(103),</t>
  </si>
  <si>
    <t>    MaxHp(4),      //血量最高：优先攻击对方阵容中当前血量最高的角色（血量一致选靠前）</t>
  </si>
  <si>
    <t>    MaxHp_Self(104),</t>
  </si>
  <si>
    <t>    MinHp(5),      //血量最低：优先攻击对方阵容中当前血量最低的角色（血量一致选靠前）</t>
  </si>
  <si>
    <t>    MinHp_Self(105),</t>
  </si>
  <si>
    <t>    Opposite(6),   //优先攻击自身站位所对应列的角色（从前至后），若对应列没有目标时，则攻击相邻列（若玩家站在中间列且没有目标时，优先攻击下方列的敌人</t>
  </si>
  <si>
    <t>    Opposite_Self(106),</t>
  </si>
  <si>
    <t>    FirstRowRandomOne(7),  //前排随机单体</t>
  </si>
  <si>
    <t>    FirstRowRandomOne_Self(107),</t>
  </si>
  <si>
    <t>    LastRowRandomOne(8),   //后排随机单体</t>
  </si>
  <si>
    <t>    LastRowRandomOne_Self(108),</t>
  </si>
  <si>
    <t>    FirstRowMid(9),  //前排正中（无人则取前排单体）</t>
  </si>
  <si>
    <t>    FirstRowMid_Self(109),</t>
  </si>
  <si>
    <t>    LastRowMid(10),  //后排正中（无人则取后排单体）</t>
  </si>
  <si>
    <t>    LastRowMid_Self(110),</t>
  </si>
  <si>
    <t>    PositionFive(11),   //五号位（无人则取前排单体）</t>
  </si>
  <si>
    <t>    PositionFive_Self(111),</t>
  </si>
  <si>
    <t>    PositionEight(12),  //八号位（无人则取前排单体）</t>
  </si>
  <si>
    <t>    PositionEight_Self(112),</t>
  </si>
  <si>
    <t>    MaxDef(13),      //防御最高：优先攻击对方阵容中当前防御最高的角色（防御一致选靠前）</t>
  </si>
  <si>
    <t>    MaxDef_Self(113),</t>
  </si>
  <si>
    <t>    MinDef(14),      //防御最低：优先攻击对方阵容中当前防御最低的角色（防御一致选靠前）</t>
  </si>
  <si>
    <t>    MinDef_Self(114),</t>
  </si>
  <si>
    <t>    BuffBleedOne(15),   //敌方带流血buff（无则选前排单体，有多个则选靠前）</t>
  </si>
  <si>
    <t>    BuffBleedOne_Self(115),</t>
  </si>
  <si>
    <t>    BuffDizzyOne(16),   //敌方带眩晕buff（无则选前排单体，有多个则选靠前）</t>
  </si>
  <si>
    <t>    BuffDizzyOne_Self(116),</t>
  </si>
  <si>
    <t>    BuffGroup11One(17), //敌方带破甲buff-BuffGroup为11（无则选前排单体，有多个则选靠前）</t>
  </si>
  <si>
    <t>    BuffGroup11One_Self(117),</t>
  </si>
  <si>
    <t>    MaxPerhp(18),      //血量百分比最高：优先攻击对方阵容中当前血量百分比最高的角色（血量一致选靠前）</t>
  </si>
  <si>
    <t>    MaxPerhp_Self(118),</t>
  </si>
  <si>
    <t>    MinPerhp(19),      //血量百分比最低：优先攻击对方阵容中当前血量百分比最低的角色（血量一致选靠前）</t>
  </si>
  <si>
    <t>    MinPerhp_Self(119),</t>
  </si>
  <si>
    <t>    MaxSpeed(20),      //速度百分比最高：优先攻击对方阵容中当前血量百分比最低的角色（血量一致选靠前）</t>
  </si>
  <si>
    <t>    MaxSpeed_Self(120),</t>
  </si>
  <si>
    <t>    MinSpeed(21),      //速度百分比最低：优先攻击对方阵容中当前血量百分比最低的角色（血量一致选靠前）</t>
  </si>
  <si>
    <t>    MinSpeed_Self(121),</t>
  </si>
  <si>
    <t>    MaxAtt(22),      //攻击百分比最高：优先攻击对方阵容中当前血量百分比最低的角色（血量一致选靠前）</t>
  </si>
  <si>
    <t>    MaxAtt_Self(122),</t>
  </si>
  <si>
    <t>    MinAtt(23),      //攻击百分比最低：优先攻击对方阵容中当前血量百分比最低的角色（血量一致选靠前）</t>
  </si>
  <si>
    <t>    MinAtt_Self(123),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</si>
  <si>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401</t>
    </r>
  </si>
  <si>
    <t>jinbe_Swing01=0.216#jinbe_Swing03=0.728#jinbe_Swing04=1.302#jinbe_Swing02=1.622</t>
  </si>
  <si>
    <r>
      <rPr>
        <sz val="11"/>
        <color theme="1"/>
        <rFont val="宋体"/>
        <charset val="134"/>
      </rPr>
      <t>5402</t>
    </r>
  </si>
  <si>
    <r>
      <rPr>
        <sz val="11"/>
        <color theme="1"/>
        <rFont val="宋体"/>
        <charset val="134"/>
      </rPr>
      <t>5403</t>
    </r>
  </si>
  <si>
    <t>garp_Cloth02=0#smoke_SteamFlying01=0.5#Mr3_SwingObj=1.012#jinbe_Swing05=1.412#jinbe_Water03=2#jinbe_DeepWater=2.014#jinbe_Jet02=2.8#garp_CounterHit=3#CV_jinbe_FishPunch=0</t>
  </si>
  <si>
    <r>
      <rPr>
        <sz val="11"/>
        <color theme="1"/>
        <rFont val="宋体"/>
        <charset val="134"/>
      </rPr>
      <t>5404</t>
    </r>
  </si>
  <si>
    <t>jinbe_Swing02=0#se_Rock_Fall02=0.43#jinbe_Water04=0.5</t>
  </si>
  <si>
    <r>
      <rPr>
        <sz val="11"/>
        <color theme="1"/>
        <rFont val="宋体"/>
        <charset val="134"/>
      </rPr>
      <t>5405</t>
    </r>
  </si>
  <si>
    <t>jinbe_Water01=0#Mr2_Swing02=0.141#Mr2_Swing02=0.474#jinbe_Water05=0.603#se_Rock_Fall02=0.603#Mr2_Swing02=0.8#jinbe_Water05=0.8#se_Rock_Fall02=0.8#Mr2_Swing02=1.074#jinbe_Water05=1.2#se_Rock_Fall02=1.2#Mr2_Swing02=1.332#jinbe_Water05=1.594#se_Rock_Fall02=1.594#Mr2_Swing02=1.925#jinbe_Water05=2.397#se_Rock_Fall02=2.43</t>
  </si>
  <si>
    <r>
      <rPr>
        <sz val="11"/>
        <color theme="1"/>
        <rFont val="宋体"/>
        <charset val="134"/>
      </rPr>
      <t>5406</t>
    </r>
  </si>
  <si>
    <t>nami_Cloth=0#Mr3_SwingObj=0#jinbe_Swing02=0.6#jinbe_Jet02=1.245#garp_CounterHit=1.245#se_Impact02=1.245#jinbe_Impact=1.245#CV_jinbe_Punch=0</t>
  </si>
  <si>
    <r>
      <rPr>
        <sz val="11"/>
        <color theme="1"/>
        <rFont val="宋体"/>
        <charset val="134"/>
      </rPr>
      <t>5407</t>
    </r>
  </si>
  <si>
    <t>jinbe_Jet02=0.746#jinbe_WaterBall=0.746#chopper_Ultramove=2.559#sakazuki_LavaMove02=4.836#sakazuki_LavaMove03=5.14#sakazuki_LavaMove03=5.635#sakazuki_LavaMove02=6.311#sakazuki_LavaMove03=6.882#franky_Swing02=6.968#jinbe_Water06=7.525#Explo_Rock1=7.525#kuma_HitGround=7.525#garp_GroundShaking=7.757#jinbe_Water03=9#CV_jinbe_Penetrate=2.6</t>
  </si>
  <si>
    <r>
      <rPr>
        <sz val="11"/>
        <color theme="1"/>
        <rFont val="宋体"/>
        <charset val="134"/>
      </rPr>
      <t>5408</t>
    </r>
  </si>
  <si>
    <t>ultimate_Sign=0#chopper_Ultramove=1.888#usopp_Cloth=1.888#jinbe_Water03=2.506#jinbe_WaterBall=2.775#jinbe_Water06=4.864#franky_Windshoot=6.3#jinbe_Jet01=6.312#se_Impact01=6.312#se_Impact02=6.312#CV_jinbe_Waterhit=4</t>
  </si>
  <si>
    <r>
      <rPr>
        <sz val="11"/>
        <color theme="1"/>
        <rFont val="宋体"/>
        <charset val="134"/>
      </rPr>
      <t>Particles/</t>
    </r>
    <r>
      <rPr>
        <sz val="11"/>
        <color theme="1"/>
        <rFont val="宋体"/>
        <charset val="134"/>
      </rPr>
      <t>jinbe001_body/jinbe001_body_attack08_C</t>
    </r>
  </si>
  <si>
    <r>
      <rPr>
        <sz val="11"/>
        <color theme="1"/>
        <rFont val="宋体"/>
        <charset val="134"/>
      </rPr>
      <t>root</t>
    </r>
    <r>
      <rPr>
        <sz val="11"/>
        <color theme="1"/>
        <rFont val="宋体"/>
        <charset val="134"/>
      </rPr>
      <t>&amp;&amp;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</si>
</sst>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</numFmts>
  <fonts count="66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  <scheme val="minor"/>
    </font>
    <font>
      <sz val="9"/>
      <color rgb="FF000000"/>
      <name val="微软雅黑"/>
      <charset val="134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9C0006"/>
      <name val="等线"/>
      <charset val="134"/>
    </font>
    <font>
      <sz val="11"/>
      <name val="等线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宋体"/>
      <charset val="134"/>
    </font>
    <font>
      <sz val="11"/>
      <color theme="0"/>
      <name val="微软雅黑"/>
      <charset val="134"/>
    </font>
    <font>
      <sz val="10.5"/>
      <color rgb="FF111F2C"/>
      <name val="Segoe UI"/>
      <charset val="134"/>
    </font>
    <font>
      <sz val="10.5"/>
      <color rgb="FF111F2C"/>
      <name val="宋体"/>
      <charset val="134"/>
    </font>
    <font>
      <sz val="11"/>
      <color rgb="FFFF0000"/>
      <name val="等线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Helvetica"/>
      <charset val="134"/>
    </font>
    <font>
      <sz val="10.5"/>
      <color rgb="FF171A1D"/>
      <name val="Segoe UI"/>
      <charset val="134"/>
    </font>
    <font>
      <sz val="9"/>
      <color theme="1"/>
      <name val="微软雅黑"/>
      <charset val="134"/>
    </font>
    <font>
      <sz val="10"/>
      <color rgb="FF333333"/>
      <name val="宋体"/>
      <charset val="134"/>
    </font>
    <font>
      <sz val="9.75"/>
      <color rgb="FF333333"/>
      <name val="Helvetica"/>
      <charset val="134"/>
    </font>
    <font>
      <sz val="11"/>
      <name val="黑体"/>
      <charset val="134"/>
    </font>
    <font>
      <sz val="11"/>
      <color rgb="FFFF0000"/>
      <name val="宋体"/>
      <charset val="134"/>
    </font>
    <font>
      <sz val="10.5"/>
      <color theme="1"/>
      <name val="宋体"/>
      <charset val="134"/>
    </font>
    <font>
      <sz val="11"/>
      <color rgb="FF000000"/>
      <name val="Meiryo UI"/>
      <charset val="134"/>
    </font>
    <font>
      <sz val="11"/>
      <color rgb="FF000000"/>
      <name val="宋体"/>
      <charset val="134"/>
    </font>
    <font>
      <sz val="10.8"/>
      <color rgb="FF000000"/>
      <name val="Helvetica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6" tint="-0.25"/>
      <name val="等线"/>
      <charset val="134"/>
    </font>
    <font>
      <sz val="11"/>
      <color theme="9" tint="-0.5"/>
      <name val="等线"/>
      <charset val="134"/>
    </font>
    <font>
      <sz val="11"/>
      <color theme="4" tint="-0.25"/>
      <name val="等线"/>
      <charset val="134"/>
    </font>
    <font>
      <sz val="11"/>
      <color theme="5" tint="-0.25"/>
      <name val="等线"/>
      <charset val="134"/>
      <scheme val="minor"/>
    </font>
    <font>
      <sz val="11"/>
      <color rgb="FFFFFF00"/>
      <name val="等线"/>
      <charset val="134"/>
      <scheme val="minor"/>
    </font>
    <font>
      <sz val="11"/>
      <color theme="4" tint="-0.25"/>
      <name val="等线"/>
      <charset val="134"/>
      <scheme val="minor"/>
    </font>
    <font>
      <sz val="11"/>
      <color rgb="FFC00000"/>
      <name val="等线"/>
      <charset val="134"/>
      <scheme val="minor"/>
    </font>
    <font>
      <sz val="11"/>
      <color theme="9" tint="-0.5"/>
      <name val="等线"/>
      <charset val="134"/>
      <scheme val="minor"/>
    </font>
    <font>
      <sz val="11"/>
      <color theme="4" tint="-0.5"/>
      <name val="等线"/>
      <charset val="134"/>
      <scheme val="minor"/>
    </font>
    <font>
      <sz val="11"/>
      <color rgb="FFFFC000"/>
      <name val="等线"/>
      <charset val="134"/>
      <scheme val="minor"/>
    </font>
    <font>
      <sz val="11"/>
      <color rgb="FF0070C0"/>
      <name val="等线"/>
      <charset val="134"/>
      <scheme val="minor"/>
    </font>
    <font>
      <sz val="11"/>
      <color rgb="FF92D050"/>
      <name val="等线"/>
      <charset val="134"/>
      <scheme val="minor"/>
    </font>
    <font>
      <sz val="10"/>
      <color rgb="FF333333"/>
      <name val="Helvetica"/>
      <charset val="134"/>
    </font>
    <font>
      <sz val="12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94">
    <fill>
      <patternFill patternType="none"/>
    </fill>
    <fill>
      <patternFill patternType="gray125"/>
    </fill>
    <fill>
      <patternFill patternType="solid">
        <fgColor rgb="FFF2E9CA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664906765953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6649067659536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BDFF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6" tint="0.79943235572374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D5FF"/>
        <bgColor indexed="64"/>
      </patternFill>
    </fill>
    <fill>
      <patternFill patternType="solid">
        <fgColor rgb="FF6A84B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33D8E3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6D57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ADFB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7E719F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51F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9083F1"/>
        <bgColor indexed="64"/>
      </patternFill>
    </fill>
    <fill>
      <patternFill patternType="solid">
        <fgColor theme="4" tint="0.396649067659536"/>
        <bgColor indexed="64"/>
      </patternFill>
    </fill>
    <fill>
      <patternFill patternType="solid">
        <fgColor theme="5" tint="0.396771141697439"/>
        <bgColor indexed="64"/>
      </patternFill>
    </fill>
    <fill>
      <patternFill patternType="solid">
        <fgColor theme="7" tint="0.39759514145329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2" fontId="0" fillId="0" borderId="0">
      <alignment vertical="center"/>
    </xf>
    <xf numFmtId="0" fontId="30" fillId="70" borderId="0">
      <alignment vertical="center"/>
    </xf>
    <xf numFmtId="0" fontId="31" fillId="71" borderId="12">
      <alignment vertical="center"/>
    </xf>
    <xf numFmtId="44" fontId="0" fillId="0" borderId="0">
      <alignment vertical="center"/>
    </xf>
    <xf numFmtId="0" fontId="5" fillId="21" borderId="0">
      <alignment vertical="center"/>
    </xf>
    <xf numFmtId="41" fontId="0" fillId="0" borderId="0">
      <alignment vertical="center"/>
    </xf>
    <xf numFmtId="0" fontId="30" fillId="72" borderId="0">
      <alignment vertical="center"/>
    </xf>
    <xf numFmtId="0" fontId="4" fillId="73" borderId="0">
      <alignment vertical="center"/>
    </xf>
    <xf numFmtId="43" fontId="0" fillId="0" borderId="0">
      <alignment vertical="center"/>
    </xf>
    <xf numFmtId="0" fontId="32" fillId="74" borderId="0">
      <alignment vertical="center"/>
    </xf>
    <xf numFmtId="0" fontId="33" fillId="0" borderId="0">
      <alignment vertical="center"/>
    </xf>
    <xf numFmtId="9" fontId="0" fillId="0" borderId="0">
      <alignment vertical="center"/>
    </xf>
    <xf numFmtId="0" fontId="34" fillId="0" borderId="0">
      <alignment vertical="center"/>
    </xf>
    <xf numFmtId="0" fontId="0" fillId="75" borderId="13">
      <alignment vertical="center"/>
    </xf>
    <xf numFmtId="0" fontId="32" fillId="76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14">
      <alignment vertical="center"/>
    </xf>
    <xf numFmtId="0" fontId="40" fillId="0" borderId="14">
      <alignment vertical="center"/>
    </xf>
    <xf numFmtId="0" fontId="32" fillId="77" borderId="0">
      <alignment vertical="center"/>
    </xf>
    <xf numFmtId="0" fontId="35" fillId="0" borderId="15">
      <alignment vertical="center"/>
    </xf>
    <xf numFmtId="0" fontId="32" fillId="78" borderId="0">
      <alignment vertical="center"/>
    </xf>
    <xf numFmtId="0" fontId="41" fillId="79" borderId="16">
      <alignment vertical="center"/>
    </xf>
    <xf numFmtId="0" fontId="42" fillId="79" borderId="12">
      <alignment vertical="center"/>
    </xf>
    <xf numFmtId="0" fontId="0" fillId="18" borderId="0">
      <alignment vertical="center"/>
    </xf>
    <xf numFmtId="0" fontId="43" fillId="80" borderId="17">
      <alignment vertical="center"/>
    </xf>
    <xf numFmtId="0" fontId="0" fillId="81" borderId="0">
      <alignment vertical="center"/>
    </xf>
    <xf numFmtId="0" fontId="30" fillId="82" borderId="0">
      <alignment vertical="center"/>
    </xf>
    <xf numFmtId="0" fontId="5" fillId="21" borderId="0">
      <alignment vertical="center"/>
    </xf>
    <xf numFmtId="0" fontId="44" fillId="0" borderId="18">
      <alignment vertical="center"/>
    </xf>
    <xf numFmtId="0" fontId="45" fillId="0" borderId="19">
      <alignment vertical="center"/>
    </xf>
    <xf numFmtId="0" fontId="46" fillId="83" borderId="0">
      <alignment vertical="center"/>
    </xf>
    <xf numFmtId="0" fontId="47" fillId="84" borderId="0">
      <alignment vertical="center"/>
    </xf>
    <xf numFmtId="0" fontId="30" fillId="85" borderId="0">
      <alignment vertical="center"/>
    </xf>
    <xf numFmtId="0" fontId="32" fillId="31" borderId="0">
      <alignment vertical="center"/>
    </xf>
    <xf numFmtId="0" fontId="0" fillId="18" borderId="0">
      <alignment vertical="center"/>
    </xf>
    <xf numFmtId="0" fontId="30" fillId="12" borderId="0">
      <alignment vertical="center"/>
    </xf>
    <xf numFmtId="0" fontId="30" fillId="86" borderId="0">
      <alignment vertical="center"/>
    </xf>
    <xf numFmtId="0" fontId="30" fillId="87" borderId="0">
      <alignment vertical="center"/>
    </xf>
    <xf numFmtId="0" fontId="32" fillId="88" borderId="0">
      <alignment vertical="center"/>
    </xf>
    <xf numFmtId="0" fontId="32" fillId="35" borderId="0">
      <alignment vertical="center"/>
    </xf>
    <xf numFmtId="0" fontId="0" fillId="89" borderId="0">
      <alignment vertical="center"/>
    </xf>
    <xf numFmtId="0" fontId="30" fillId="24" borderId="0">
      <alignment vertical="center"/>
    </xf>
    <xf numFmtId="0" fontId="5" fillId="5" borderId="0">
      <alignment vertical="center"/>
    </xf>
    <xf numFmtId="0" fontId="32" fillId="90" borderId="0">
      <alignment vertical="center"/>
    </xf>
    <xf numFmtId="0" fontId="0" fillId="0" borderId="0">
      <alignment vertical="center"/>
    </xf>
    <xf numFmtId="0" fontId="0" fillId="81" borderId="0">
      <alignment vertical="center"/>
    </xf>
    <xf numFmtId="0" fontId="32" fillId="91" borderId="0">
      <alignment vertical="center"/>
    </xf>
    <xf numFmtId="0" fontId="5" fillId="5" borderId="0">
      <alignment vertical="center"/>
    </xf>
    <xf numFmtId="0" fontId="30" fillId="92" borderId="0">
      <alignment vertical="center"/>
    </xf>
    <xf numFmtId="0" fontId="32" fillId="93" borderId="0">
      <alignment vertical="center"/>
    </xf>
    <xf numFmtId="0" fontId="0" fillId="89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749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0" borderId="0" xfId="48" applyNumberFormat="1" applyFont="1" applyFill="1" applyBorder="1" applyAlignment="1" applyProtection="1">
      <alignment vertical="center"/>
    </xf>
    <xf numFmtId="0" fontId="0" fillId="4" borderId="0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176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1" fillId="0" borderId="0" xfId="48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48" applyNumberFormat="1" applyFont="1" applyFill="1" applyBorder="1" applyAlignment="1" applyProtection="1">
      <alignment horizontal="right" vertical="center"/>
    </xf>
    <xf numFmtId="0" fontId="0" fillId="5" borderId="0" xfId="55" applyNumberFormat="1" applyFont="1" applyFill="1" applyBorder="1" applyAlignment="1" applyProtection="1">
      <alignment vertical="center"/>
    </xf>
    <xf numFmtId="0" fontId="0" fillId="0" borderId="0" xfId="55" applyNumberFormat="1" applyFont="1" applyFill="1" applyBorder="1" applyAlignment="1" applyProtection="1">
      <alignment vertical="center"/>
    </xf>
    <xf numFmtId="0" fontId="0" fillId="0" borderId="2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/>
    </xf>
    <xf numFmtId="0" fontId="0" fillId="7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/>
    </xf>
    <xf numFmtId="0" fontId="4" fillId="0" borderId="0" xfId="8" applyNumberFormat="1" applyFont="1" applyFill="1" applyBorder="1" applyAlignment="1" applyProtection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/>
    </xf>
    <xf numFmtId="0" fontId="0" fillId="9" borderId="0" xfId="0" applyNumberFormat="1" applyFont="1" applyFill="1" applyBorder="1" applyAlignment="1" applyProtection="1">
      <alignment vertical="center"/>
    </xf>
    <xf numFmtId="0" fontId="0" fillId="10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vertical="center"/>
    </xf>
    <xf numFmtId="0" fontId="0" fillId="12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vertical="center"/>
    </xf>
    <xf numFmtId="0" fontId="0" fillId="18" borderId="0" xfId="0" applyNumberFormat="1" applyFont="1" applyFill="1" applyBorder="1" applyAlignment="1" applyProtection="1">
      <alignment vertical="center"/>
    </xf>
    <xf numFmtId="0" fontId="0" fillId="19" borderId="0" xfId="0" applyNumberFormat="1" applyFont="1" applyFill="1" applyBorder="1" applyAlignment="1" applyProtection="1">
      <alignment vertical="center"/>
    </xf>
    <xf numFmtId="0" fontId="0" fillId="20" borderId="0" xfId="0" applyNumberFormat="1" applyFont="1" applyFill="1" applyBorder="1" applyAlignment="1" applyProtection="1">
      <alignment vertical="center"/>
    </xf>
    <xf numFmtId="0" fontId="0" fillId="21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/>
    </xf>
    <xf numFmtId="0" fontId="0" fillId="23" borderId="0" xfId="0" applyNumberFormat="1" applyFont="1" applyFill="1" applyBorder="1" applyAlignment="1" applyProtection="1">
      <alignment vertical="center"/>
    </xf>
    <xf numFmtId="0" fontId="0" fillId="24" borderId="0" xfId="0" applyNumberFormat="1" applyFont="1" applyFill="1" applyBorder="1" applyAlignment="1" applyProtection="1">
      <alignment vertical="center"/>
    </xf>
    <xf numFmtId="0" fontId="0" fillId="25" borderId="0" xfId="0" applyNumberFormat="1" applyFont="1" applyFill="1" applyBorder="1" applyAlignment="1" applyProtection="1">
      <alignment vertical="center"/>
    </xf>
    <xf numFmtId="0" fontId="0" fillId="26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/>
    </xf>
    <xf numFmtId="0" fontId="5" fillId="28" borderId="0" xfId="0" applyNumberFormat="1" applyFont="1" applyFill="1" applyBorder="1" applyAlignment="1" applyProtection="1">
      <alignment vertical="center"/>
    </xf>
    <xf numFmtId="0" fontId="5" fillId="29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0" fillId="30" borderId="0" xfId="0" applyNumberFormat="1" applyFont="1" applyFill="1" applyBorder="1" applyAlignment="1" applyProtection="1">
      <alignment vertical="center"/>
    </xf>
    <xf numFmtId="0" fontId="0" fillId="31" borderId="0" xfId="0" applyNumberFormat="1" applyFont="1" applyFill="1" applyBorder="1" applyAlignment="1" applyProtection="1">
      <alignment vertical="center"/>
    </xf>
    <xf numFmtId="0" fontId="0" fillId="32" borderId="0" xfId="0" applyNumberFormat="1" applyFont="1" applyFill="1" applyBorder="1" applyAlignment="1" applyProtection="1">
      <alignment vertical="center"/>
    </xf>
    <xf numFmtId="0" fontId="6" fillId="32" borderId="0" xfId="0" applyNumberFormat="1" applyFont="1" applyFill="1" applyBorder="1" applyAlignment="1" applyProtection="1">
      <alignment vertical="center"/>
    </xf>
    <xf numFmtId="0" fontId="0" fillId="33" borderId="0" xfId="0" applyNumberFormat="1" applyFont="1" applyFill="1" applyBorder="1" applyAlignment="1" applyProtection="1">
      <alignment vertical="center"/>
    </xf>
    <xf numFmtId="0" fontId="0" fillId="34" borderId="0" xfId="0" applyNumberFormat="1" applyFont="1" applyFill="1" applyBorder="1" applyAlignment="1" applyProtection="1">
      <alignment vertical="center"/>
    </xf>
    <xf numFmtId="0" fontId="0" fillId="35" borderId="0" xfId="0" applyNumberFormat="1" applyFont="1" applyFill="1" applyBorder="1" applyAlignment="1" applyProtection="1">
      <alignment vertical="center"/>
    </xf>
    <xf numFmtId="0" fontId="0" fillId="36" borderId="0" xfId="0" applyNumberFormat="1" applyFont="1" applyFill="1" applyBorder="1" applyAlignment="1" applyProtection="1">
      <alignment vertical="center"/>
    </xf>
    <xf numFmtId="0" fontId="0" fillId="37" borderId="0" xfId="0" applyNumberFormat="1" applyFont="1" applyFill="1" applyBorder="1" applyAlignment="1" applyProtection="1">
      <alignment vertical="center"/>
    </xf>
    <xf numFmtId="0" fontId="0" fillId="38" borderId="0" xfId="0" applyNumberFormat="1" applyFont="1" applyFill="1" applyBorder="1" applyAlignment="1" applyProtection="1">
      <alignment vertical="center"/>
    </xf>
    <xf numFmtId="0" fontId="0" fillId="39" borderId="0" xfId="0" applyNumberFormat="1" applyFont="1" applyFill="1" applyBorder="1" applyAlignment="1" applyProtection="1">
      <alignment vertical="center"/>
    </xf>
    <xf numFmtId="0" fontId="2" fillId="40" borderId="0" xfId="0" applyNumberFormat="1" applyFont="1" applyFill="1" applyBorder="1" applyAlignment="1" applyProtection="1">
      <alignment vertical="center"/>
    </xf>
    <xf numFmtId="0" fontId="2" fillId="39" borderId="0" xfId="0" applyNumberFormat="1" applyFont="1" applyFill="1" applyBorder="1" applyAlignment="1" applyProtection="1">
      <alignment vertical="center"/>
    </xf>
    <xf numFmtId="0" fontId="0" fillId="41" borderId="0" xfId="0" applyNumberFormat="1" applyFont="1" applyFill="1" applyBorder="1" applyAlignment="1" applyProtection="1">
      <alignment vertical="center"/>
    </xf>
    <xf numFmtId="0" fontId="0" fillId="42" borderId="0" xfId="0" applyNumberFormat="1" applyFont="1" applyFill="1" applyBorder="1" applyAlignment="1" applyProtection="1">
      <alignment vertical="center"/>
    </xf>
    <xf numFmtId="0" fontId="0" fillId="43" borderId="0" xfId="0" applyNumberFormat="1" applyFont="1" applyFill="1" applyBorder="1" applyAlignment="1" applyProtection="1">
      <alignment vertical="center"/>
    </xf>
    <xf numFmtId="0" fontId="0" fillId="44" borderId="0" xfId="0" applyNumberFormat="1" applyFont="1" applyFill="1" applyBorder="1" applyAlignment="1" applyProtection="1">
      <alignment vertical="center"/>
    </xf>
    <xf numFmtId="0" fontId="0" fillId="45" borderId="0" xfId="0" applyNumberFormat="1" applyFont="1" applyFill="1" applyBorder="1" applyAlignment="1" applyProtection="1">
      <alignment vertical="center"/>
    </xf>
    <xf numFmtId="0" fontId="0" fillId="46" borderId="0" xfId="0" applyNumberFormat="1" applyFont="1" applyFill="1" applyBorder="1" applyAlignment="1" applyProtection="1">
      <alignment vertical="center"/>
    </xf>
    <xf numFmtId="0" fontId="0" fillId="47" borderId="0" xfId="0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vertical="center"/>
    </xf>
    <xf numFmtId="0" fontId="0" fillId="48" borderId="0" xfId="0" applyNumberFormat="1" applyFont="1" applyFill="1" applyBorder="1" applyAlignment="1" applyProtection="1">
      <alignment vertical="center"/>
    </xf>
    <xf numFmtId="0" fontId="6" fillId="46" borderId="0" xfId="0" applyNumberFormat="1" applyFont="1" applyFill="1" applyBorder="1" applyAlignment="1" applyProtection="1">
      <alignment vertical="center"/>
    </xf>
    <xf numFmtId="0" fontId="2" fillId="47" borderId="3" xfId="0" applyNumberFormat="1" applyFont="1" applyFill="1" applyBorder="1" applyAlignment="1" applyProtection="1">
      <alignment vertical="center"/>
    </xf>
    <xf numFmtId="0" fontId="5" fillId="3" borderId="3" xfId="0" applyNumberFormat="1" applyFont="1" applyFill="1" applyBorder="1" applyAlignment="1" applyProtection="1">
      <alignment vertical="center"/>
    </xf>
    <xf numFmtId="0" fontId="0" fillId="49" borderId="0" xfId="0" applyNumberFormat="1" applyFont="1" applyFill="1" applyBorder="1" applyAlignment="1" applyProtection="1">
      <alignment vertical="center"/>
    </xf>
    <xf numFmtId="0" fontId="0" fillId="50" borderId="0" xfId="0" applyNumberFormat="1" applyFont="1" applyFill="1" applyBorder="1" applyAlignment="1" applyProtection="1">
      <alignment vertical="center"/>
    </xf>
    <xf numFmtId="0" fontId="5" fillId="33" borderId="0" xfId="0" applyNumberFormat="1" applyFont="1" applyFill="1" applyBorder="1" applyAlignment="1" applyProtection="1">
      <alignment vertical="center"/>
    </xf>
    <xf numFmtId="0" fontId="5" fillId="6" borderId="0" xfId="0" applyNumberFormat="1" applyFont="1" applyFill="1" applyBorder="1" applyAlignment="1" applyProtection="1">
      <alignment vertical="center"/>
    </xf>
    <xf numFmtId="0" fontId="5" fillId="38" borderId="0" xfId="0" applyNumberFormat="1" applyFont="1" applyFill="1" applyBorder="1" applyAlignment="1" applyProtection="1">
      <alignment vertical="center"/>
    </xf>
    <xf numFmtId="0" fontId="5" fillId="8" borderId="0" xfId="0" applyNumberFormat="1" applyFont="1" applyFill="1" applyBorder="1" applyAlignment="1" applyProtection="1">
      <alignment vertical="center"/>
    </xf>
    <xf numFmtId="0" fontId="5" fillId="14" borderId="0" xfId="0" applyNumberFormat="1" applyFont="1" applyFill="1" applyBorder="1" applyAlignment="1" applyProtection="1">
      <alignment vertical="center"/>
    </xf>
    <xf numFmtId="0" fontId="0" fillId="51" borderId="0" xfId="0" applyNumberFormat="1" applyFont="1" applyFill="1" applyBorder="1" applyAlignment="1" applyProtection="1">
      <alignment vertical="center"/>
    </xf>
    <xf numFmtId="0" fontId="0" fillId="52" borderId="0" xfId="0" applyNumberFormat="1" applyFont="1" applyFill="1" applyBorder="1" applyAlignment="1" applyProtection="1">
      <alignment vertical="center"/>
    </xf>
    <xf numFmtId="0" fontId="2" fillId="52" borderId="0" xfId="0" applyNumberFormat="1" applyFont="1" applyFill="1" applyBorder="1" applyAlignment="1" applyProtection="1">
      <alignment vertical="center"/>
    </xf>
    <xf numFmtId="0" fontId="2" fillId="47" borderId="0" xfId="0" applyNumberFormat="1" applyFont="1" applyFill="1" applyBorder="1" applyAlignment="1" applyProtection="1">
      <alignment vertical="center"/>
    </xf>
    <xf numFmtId="0" fontId="2" fillId="13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14" borderId="0" xfId="0" applyNumberFormat="1" applyFont="1" applyFill="1" applyBorder="1" applyAlignment="1" applyProtection="1">
      <alignment vertical="top" wrapText="1"/>
    </xf>
    <xf numFmtId="0" fontId="0" fillId="14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center"/>
    </xf>
    <xf numFmtId="0" fontId="0" fillId="36" borderId="0" xfId="0" applyNumberFormat="1" applyFont="1" applyFill="1" applyBorder="1" applyAlignment="1" applyProtection="1">
      <alignment horizontal="right" vertical="center"/>
    </xf>
    <xf numFmtId="49" fontId="0" fillId="36" borderId="1" xfId="44" applyNumberFormat="1" applyFont="1" applyFill="1" applyBorder="1" applyAlignment="1" applyProtection="1">
      <alignment horizontal="left" vertical="center"/>
    </xf>
    <xf numFmtId="0" fontId="0" fillId="36" borderId="0" xfId="0" applyNumberFormat="1" applyFont="1" applyFill="1" applyBorder="1" applyAlignment="1" applyProtection="1">
      <alignment horizontal="left" vertical="center"/>
    </xf>
    <xf numFmtId="49" fontId="0" fillId="33" borderId="1" xfId="38" applyNumberFormat="1" applyFont="1" applyFill="1" applyBorder="1" applyAlignment="1" applyProtection="1">
      <alignment horizontal="left" vertical="center"/>
    </xf>
    <xf numFmtId="49" fontId="0" fillId="0" borderId="1" xfId="44" applyNumberFormat="1" applyFont="1" applyFill="1" applyBorder="1" applyAlignment="1" applyProtection="1">
      <alignment horizontal="left" vertical="center"/>
    </xf>
    <xf numFmtId="49" fontId="0" fillId="0" borderId="1" xfId="38" applyNumberFormat="1" applyFont="1" applyFill="1" applyBorder="1" applyAlignment="1" applyProtection="1">
      <alignment horizontal="left" vertical="center"/>
    </xf>
    <xf numFmtId="49" fontId="0" fillId="32" borderId="1" xfId="38" applyNumberFormat="1" applyFont="1" applyFill="1" applyBorder="1" applyAlignment="1" applyProtection="1">
      <alignment horizontal="left" vertical="center"/>
    </xf>
    <xf numFmtId="49" fontId="2" fillId="8" borderId="1" xfId="44" applyNumberFormat="1" applyFont="1" applyFill="1" applyBorder="1" applyAlignment="1" applyProtection="1">
      <alignment horizontal="left" vertical="center"/>
    </xf>
    <xf numFmtId="49" fontId="0" fillId="6" borderId="1" xfId="44" applyNumberFormat="1" applyFont="1" applyFill="1" applyBorder="1" applyAlignment="1" applyProtection="1">
      <alignment horizontal="left" vertical="center"/>
    </xf>
    <xf numFmtId="0" fontId="2" fillId="6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36" borderId="0" xfId="0" applyNumberFormat="1" applyFont="1" applyFill="1" applyBorder="1" applyAlignment="1" applyProtection="1">
      <alignment vertical="center"/>
    </xf>
    <xf numFmtId="0" fontId="6" fillId="36" borderId="0" xfId="0" applyNumberFormat="1" applyFont="1" applyFill="1" applyBorder="1" applyAlignment="1" applyProtection="1">
      <alignment vertical="center"/>
    </xf>
    <xf numFmtId="0" fontId="2" fillId="36" borderId="0" xfId="0" applyNumberFormat="1" applyFont="1" applyFill="1" applyBorder="1" applyAlignment="1" applyProtection="1">
      <alignment vertical="center"/>
    </xf>
    <xf numFmtId="0" fontId="1" fillId="33" borderId="0" xfId="0" applyNumberFormat="1" applyFont="1" applyFill="1" applyBorder="1" applyAlignment="1" applyProtection="1">
      <alignment vertical="center"/>
    </xf>
    <xf numFmtId="0" fontId="0" fillId="53" borderId="0" xfId="0" applyNumberFormat="1" applyFont="1" applyFill="1" applyBorder="1" applyAlignment="1" applyProtection="1">
      <alignment vertical="center"/>
    </xf>
    <xf numFmtId="0" fontId="1" fillId="53" borderId="0" xfId="0" applyNumberFormat="1" applyFont="1" applyFill="1" applyBorder="1" applyAlignment="1" applyProtection="1">
      <alignment vertical="center"/>
    </xf>
    <xf numFmtId="0" fontId="0" fillId="0" borderId="0" xfId="38" applyNumberFormat="1" applyFont="1" applyFill="1" applyBorder="1" applyAlignment="1" applyProtection="1">
      <alignment vertical="center"/>
    </xf>
    <xf numFmtId="0" fontId="4" fillId="53" borderId="0" xfId="8" applyNumberFormat="1" applyFont="1" applyFill="1" applyBorder="1" applyAlignment="1" applyProtection="1">
      <alignment vertical="center"/>
    </xf>
    <xf numFmtId="0" fontId="0" fillId="0" borderId="0" xfId="8" applyNumberFormat="1" applyFont="1" applyFill="1" applyBorder="1" applyAlignment="1" applyProtection="1">
      <alignment vertical="center"/>
    </xf>
    <xf numFmtId="0" fontId="1" fillId="32" borderId="0" xfId="0" applyNumberFormat="1" applyFont="1" applyFill="1" applyBorder="1" applyAlignment="1" applyProtection="1">
      <alignment vertical="center"/>
    </xf>
    <xf numFmtId="0" fontId="2" fillId="8" borderId="0" xfId="8" applyNumberFormat="1" applyFont="1" applyFill="1" applyBorder="1" applyAlignment="1" applyProtection="1">
      <alignment vertical="center"/>
    </xf>
    <xf numFmtId="0" fontId="0" fillId="6" borderId="0" xfId="8" applyNumberFormat="1" applyFont="1" applyFill="1" applyBorder="1" applyAlignment="1" applyProtection="1">
      <alignment vertical="center"/>
    </xf>
    <xf numFmtId="0" fontId="2" fillId="53" borderId="0" xfId="0" applyNumberFormat="1" applyFont="1" applyFill="1" applyBorder="1" applyAlignment="1" applyProtection="1">
      <alignment vertical="center"/>
    </xf>
    <xf numFmtId="0" fontId="1" fillId="14" borderId="0" xfId="0" applyNumberFormat="1" applyFont="1" applyFill="1" applyBorder="1" applyAlignment="1" applyProtection="1">
      <alignment vertical="top" wrapText="1"/>
    </xf>
    <xf numFmtId="176" fontId="1" fillId="0" borderId="0" xfId="0" applyNumberFormat="1" applyFont="1" applyFill="1" applyBorder="1" applyAlignment="1" applyProtection="1">
      <alignment vertical="top" wrapText="1"/>
    </xf>
    <xf numFmtId="176" fontId="2" fillId="8" borderId="0" xfId="0" applyNumberFormat="1" applyFont="1" applyFill="1" applyBorder="1" applyAlignment="1" applyProtection="1">
      <alignment vertical="center"/>
    </xf>
    <xf numFmtId="176" fontId="0" fillId="6" borderId="0" xfId="0" applyNumberFormat="1" applyFont="1" applyFill="1" applyBorder="1" applyAlignment="1" applyProtection="1">
      <alignment vertical="center"/>
    </xf>
    <xf numFmtId="0" fontId="7" fillId="0" borderId="0" xfId="8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4" fillId="0" borderId="0" xfId="8" applyNumberFormat="1" applyFont="1" applyFill="1" applyBorder="1" applyAlignment="1" applyProtection="1">
      <alignment horizontal="right" vertical="center"/>
    </xf>
    <xf numFmtId="0" fontId="2" fillId="8" borderId="0" xfId="0" applyNumberFormat="1" applyFont="1" applyFill="1" applyBorder="1" applyAlignment="1" applyProtection="1">
      <alignment horizontal="right" vertical="center"/>
    </xf>
    <xf numFmtId="0" fontId="0" fillId="6" borderId="0" xfId="0" applyNumberFormat="1" applyFont="1" applyFill="1" applyBorder="1" applyAlignment="1" applyProtection="1">
      <alignment horizontal="right" vertical="center"/>
    </xf>
    <xf numFmtId="49" fontId="0" fillId="0" borderId="0" xfId="0" applyNumberFormat="1" applyFont="1" applyFill="1" applyBorder="1" applyAlignment="1" applyProtection="1">
      <alignment horizontal="left" vertical="top" wrapText="1"/>
    </xf>
    <xf numFmtId="0" fontId="4" fillId="0" borderId="2" xfId="8" applyNumberFormat="1" applyFont="1" applyFill="1" applyBorder="1" applyAlignment="1" applyProtection="1">
      <alignment vertical="center"/>
    </xf>
    <xf numFmtId="0" fontId="8" fillId="8" borderId="0" xfId="0" applyNumberFormat="1" applyFont="1" applyFill="1" applyBorder="1" applyAlignment="1" applyProtection="1">
      <alignment vertical="center"/>
    </xf>
    <xf numFmtId="0" fontId="2" fillId="8" borderId="2" xfId="0" applyNumberFormat="1" applyFont="1" applyFill="1" applyBorder="1" applyAlignment="1" applyProtection="1">
      <alignment vertical="center"/>
    </xf>
    <xf numFmtId="0" fontId="0" fillId="6" borderId="2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horizontal="left" vertical="center"/>
    </xf>
    <xf numFmtId="49" fontId="0" fillId="9" borderId="1" xfId="44" applyNumberFormat="1" applyFont="1" applyFill="1" applyBorder="1" applyAlignment="1" applyProtection="1">
      <alignment horizontal="left" vertical="center"/>
    </xf>
    <xf numFmtId="49" fontId="0" fillId="4" borderId="1" xfId="44" applyNumberFormat="1" applyFont="1" applyFill="1" applyBorder="1" applyAlignment="1" applyProtection="1">
      <alignment horizontal="left" vertical="center"/>
    </xf>
    <xf numFmtId="0" fontId="0" fillId="10" borderId="4" xfId="0" applyNumberFormat="1" applyFont="1" applyFill="1" applyBorder="1" applyAlignment="1" applyProtection="1">
      <alignment vertical="center" wrapText="1"/>
    </xf>
    <xf numFmtId="0" fontId="0" fillId="10" borderId="0" xfId="0" applyNumberFormat="1" applyFont="1" applyFill="1" applyBorder="1" applyAlignment="1" applyProtection="1">
      <alignment vertical="center" wrapText="1"/>
    </xf>
    <xf numFmtId="49" fontId="0" fillId="10" borderId="1" xfId="44" applyNumberFormat="1" applyFont="1" applyFill="1" applyBorder="1" applyAlignment="1" applyProtection="1">
      <alignment horizontal="left" vertical="center"/>
    </xf>
    <xf numFmtId="0" fontId="0" fillId="10" borderId="5" xfId="49" applyNumberFormat="1" applyFont="1" applyFill="1" applyBorder="1" applyAlignment="1" applyProtection="1">
      <alignment vertical="center" wrapText="1"/>
    </xf>
    <xf numFmtId="0" fontId="0" fillId="10" borderId="0" xfId="49" applyNumberFormat="1" applyFont="1" applyFill="1" applyBorder="1" applyAlignment="1" applyProtection="1">
      <alignment vertical="center" wrapText="1"/>
    </xf>
    <xf numFmtId="49" fontId="0" fillId="10" borderId="1" xfId="38" applyNumberFormat="1" applyFont="1" applyFill="1" applyBorder="1" applyAlignment="1" applyProtection="1">
      <alignment horizontal="left" vertical="center"/>
    </xf>
    <xf numFmtId="0" fontId="1" fillId="10" borderId="6" xfId="49" applyNumberFormat="1" applyFont="1" applyFill="1" applyBorder="1" applyAlignment="1" applyProtection="1">
      <alignment vertical="center" wrapText="1"/>
    </xf>
    <xf numFmtId="0" fontId="0" fillId="10" borderId="7" xfId="49" applyNumberFormat="1" applyFont="1" applyFill="1" applyBorder="1" applyAlignment="1" applyProtection="1">
      <alignment vertical="center" wrapText="1"/>
    </xf>
    <xf numFmtId="0" fontId="0" fillId="10" borderId="8" xfId="49" applyNumberFormat="1" applyFont="1" applyFill="1" applyBorder="1" applyAlignment="1" applyProtection="1">
      <alignment vertical="center" wrapText="1"/>
    </xf>
    <xf numFmtId="0" fontId="2" fillId="10" borderId="8" xfId="31" applyNumberFormat="1" applyFont="1" applyFill="1" applyBorder="1" applyAlignment="1" applyProtection="1">
      <alignment vertical="center" wrapText="1"/>
    </xf>
    <xf numFmtId="0" fontId="2" fillId="10" borderId="0" xfId="31" applyNumberFormat="1" applyFont="1" applyFill="1" applyBorder="1" applyAlignment="1" applyProtection="1">
      <alignment vertical="center" wrapText="1"/>
    </xf>
    <xf numFmtId="0" fontId="2" fillId="10" borderId="8" xfId="51" applyNumberFormat="1" applyFont="1" applyFill="1" applyBorder="1" applyAlignment="1" applyProtection="1">
      <alignment vertical="center" wrapText="1"/>
    </xf>
    <xf numFmtId="0" fontId="2" fillId="10" borderId="0" xfId="51" applyNumberFormat="1" applyFont="1" applyFill="1" applyBorder="1" applyAlignment="1" applyProtection="1">
      <alignment vertical="center" wrapText="1"/>
    </xf>
    <xf numFmtId="0" fontId="0" fillId="8" borderId="0" xfId="8" applyNumberFormat="1" applyFont="1" applyFill="1" applyBorder="1" applyAlignment="1" applyProtection="1">
      <alignment vertical="center"/>
    </xf>
    <xf numFmtId="0" fontId="0" fillId="9" borderId="0" xfId="8" applyNumberFormat="1" applyFont="1" applyFill="1" applyBorder="1" applyAlignment="1" applyProtection="1">
      <alignment vertical="center"/>
    </xf>
    <xf numFmtId="0" fontId="0" fillId="0" borderId="0" xfId="44" applyNumberFormat="1" applyFont="1" applyFill="1" applyBorder="1" applyAlignment="1" applyProtection="1">
      <alignment vertical="center"/>
    </xf>
    <xf numFmtId="0" fontId="0" fillId="4" borderId="0" xfId="8" applyNumberFormat="1" applyFont="1" applyFill="1" applyBorder="1" applyAlignment="1" applyProtection="1">
      <alignment vertical="center"/>
    </xf>
    <xf numFmtId="0" fontId="0" fillId="10" borderId="0" xfId="8" applyNumberFormat="1" applyFont="1" applyFill="1" applyBorder="1" applyAlignment="1" applyProtection="1">
      <alignment vertical="center"/>
    </xf>
    <xf numFmtId="176" fontId="0" fillId="8" borderId="0" xfId="0" applyNumberFormat="1" applyFont="1" applyFill="1" applyBorder="1" applyAlignment="1" applyProtection="1">
      <alignment vertical="center"/>
    </xf>
    <xf numFmtId="176" fontId="0" fillId="9" borderId="0" xfId="0" applyNumberFormat="1" applyFont="1" applyFill="1" applyBorder="1" applyAlignment="1" applyProtection="1">
      <alignment vertical="center"/>
    </xf>
    <xf numFmtId="176" fontId="0" fillId="4" borderId="0" xfId="0" applyNumberFormat="1" applyFont="1" applyFill="1" applyBorder="1" applyAlignment="1" applyProtection="1">
      <alignment vertical="center"/>
    </xf>
    <xf numFmtId="176" fontId="0" fillId="10" borderId="0" xfId="0" applyNumberFormat="1" applyFont="1" applyFill="1" applyBorder="1" applyAlignment="1" applyProtection="1">
      <alignment vertical="center"/>
    </xf>
    <xf numFmtId="0" fontId="0" fillId="10" borderId="2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right" vertical="center"/>
    </xf>
    <xf numFmtId="0" fontId="0" fillId="9" borderId="0" xfId="0" applyNumberFormat="1" applyFont="1" applyFill="1" applyBorder="1" applyAlignment="1" applyProtection="1">
      <alignment horizontal="right" vertical="center"/>
    </xf>
    <xf numFmtId="0" fontId="0" fillId="4" borderId="0" xfId="0" applyNumberFormat="1" applyFont="1" applyFill="1" applyBorder="1" applyAlignment="1" applyProtection="1">
      <alignment horizontal="right" vertical="center"/>
    </xf>
    <xf numFmtId="0" fontId="0" fillId="10" borderId="0" xfId="0" applyNumberFormat="1" applyFont="1" applyFill="1" applyBorder="1" applyAlignment="1" applyProtection="1">
      <alignment horizontal="right" vertical="center"/>
    </xf>
    <xf numFmtId="0" fontId="1" fillId="10" borderId="0" xfId="0" applyNumberFormat="1" applyFont="1" applyFill="1" applyBorder="1" applyAlignment="1" applyProtection="1">
      <alignment vertical="center"/>
    </xf>
    <xf numFmtId="0" fontId="0" fillId="0" borderId="1" xfId="44" applyNumberFormat="1" applyFont="1" applyFill="1" applyBorder="1" applyAlignment="1" applyProtection="1">
      <alignment horizontal="left" vertical="center"/>
    </xf>
    <xf numFmtId="0" fontId="0" fillId="0" borderId="1" xfId="38" applyNumberFormat="1" applyFont="1" applyFill="1" applyBorder="1" applyAlignment="1" applyProtection="1">
      <alignment horizontal="left" vertical="center"/>
    </xf>
    <xf numFmtId="0" fontId="0" fillId="0" borderId="2" xfId="49" applyNumberFormat="1" applyFont="1" applyFill="1" applyBorder="1" applyAlignment="1" applyProtection="1">
      <alignment vertical="center" wrapText="1"/>
    </xf>
    <xf numFmtId="0" fontId="0" fillId="0" borderId="0" xfId="49" applyNumberFormat="1" applyFont="1" applyFill="1" applyBorder="1" applyAlignment="1" applyProtection="1">
      <alignment vertical="center" wrapText="1"/>
    </xf>
    <xf numFmtId="0" fontId="2" fillId="0" borderId="2" xfId="51" applyNumberFormat="1" applyFont="1" applyFill="1" applyBorder="1" applyAlignment="1" applyProtection="1">
      <alignment vertical="center" wrapText="1"/>
    </xf>
    <xf numFmtId="0" fontId="2" fillId="0" borderId="0" xfId="51" applyNumberFormat="1" applyFont="1" applyFill="1" applyBorder="1" applyAlignment="1" applyProtection="1">
      <alignment vertical="center" wrapText="1"/>
    </xf>
    <xf numFmtId="0" fontId="0" fillId="4" borderId="1" xfId="38" applyNumberFormat="1" applyFont="1" applyFill="1" applyBorder="1" applyAlignment="1" applyProtection="1">
      <alignment horizontal="left" vertical="center"/>
    </xf>
    <xf numFmtId="0" fontId="0" fillId="4" borderId="1" xfId="44" applyNumberFormat="1" applyFont="1" applyFill="1" applyBorder="1" applyAlignment="1" applyProtection="1">
      <alignment horizontal="left" vertical="center"/>
    </xf>
    <xf numFmtId="0" fontId="0" fillId="32" borderId="1" xfId="44" applyNumberFormat="1" applyFont="1" applyFill="1" applyBorder="1" applyAlignment="1" applyProtection="1">
      <alignment horizontal="left" vertical="center"/>
    </xf>
    <xf numFmtId="49" fontId="0" fillId="0" borderId="1" xfId="0" applyNumberFormat="1" applyFont="1" applyFill="1" applyBorder="1" applyAlignment="1" applyProtection="1">
      <alignment horizontal="left" vertical="center"/>
    </xf>
    <xf numFmtId="0" fontId="0" fillId="11" borderId="0" xfId="0" applyNumberFormat="1" applyFont="1" applyFill="1" applyBorder="1" applyAlignment="1" applyProtection="1">
      <alignment horizontal="center" vertical="center" wrapText="1"/>
    </xf>
    <xf numFmtId="0" fontId="0" fillId="11" borderId="0" xfId="0" applyNumberFormat="1" applyFont="1" applyFill="1" applyBorder="1" applyAlignment="1" applyProtection="1">
      <alignment horizontal="left" vertical="center"/>
    </xf>
    <xf numFmtId="0" fontId="0" fillId="11" borderId="0" xfId="0" applyNumberFormat="1" applyFont="1" applyFill="1" applyBorder="1" applyAlignment="1" applyProtection="1">
      <alignment horizontal="center" vertical="center"/>
    </xf>
    <xf numFmtId="176" fontId="9" fillId="14" borderId="0" xfId="0" applyNumberFormat="1" applyFont="1" applyFill="1" applyBorder="1" applyAlignment="1" applyProtection="1">
      <alignment vertical="center"/>
    </xf>
    <xf numFmtId="176" fontId="0" fillId="0" borderId="0" xfId="8" applyNumberFormat="1" applyFont="1" applyFill="1" applyBorder="1" applyAlignment="1" applyProtection="1">
      <alignment vertical="center"/>
    </xf>
    <xf numFmtId="176" fontId="0" fillId="11" borderId="0" xfId="0" applyNumberFormat="1" applyFont="1" applyFill="1" applyBorder="1" applyAlignment="1" applyProtection="1">
      <alignment vertical="center"/>
    </xf>
    <xf numFmtId="0" fontId="2" fillId="4" borderId="0" xfId="0" applyNumberFormat="1" applyFont="1" applyFill="1" applyBorder="1" applyAlignment="1" applyProtection="1">
      <alignment vertical="center"/>
    </xf>
    <xf numFmtId="0" fontId="0" fillId="11" borderId="0" xfId="0" applyNumberFormat="1" applyFont="1" applyFill="1" applyBorder="1" applyAlignment="1" applyProtection="1">
      <alignment horizontal="right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0" fontId="0" fillId="4" borderId="2" xfId="0" applyNumberFormat="1" applyFont="1" applyFill="1" applyBorder="1" applyAlignment="1" applyProtection="1">
      <alignment horizontal="center" vertical="center"/>
    </xf>
    <xf numFmtId="0" fontId="0" fillId="12" borderId="0" xfId="0" applyNumberFormat="1" applyFont="1" applyFill="1" applyBorder="1" applyAlignment="1" applyProtection="1">
      <alignment horizontal="left" vertical="center"/>
    </xf>
    <xf numFmtId="0" fontId="0" fillId="0" borderId="2" xfId="0" applyNumberFormat="1" applyFont="1" applyFill="1" applyBorder="1" applyAlignment="1" applyProtection="1">
      <alignment horizontal="left" vertical="center"/>
    </xf>
    <xf numFmtId="0" fontId="2" fillId="8" borderId="0" xfId="0" applyNumberFormat="1" applyFont="1" applyFill="1" applyBorder="1" applyAlignment="1" applyProtection="1">
      <alignment horizontal="left" vertical="center"/>
    </xf>
    <xf numFmtId="49" fontId="2" fillId="8" borderId="1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0" fillId="10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Alignment="1" applyProtection="1">
      <alignment horizontal="left" vertical="center"/>
    </xf>
    <xf numFmtId="0" fontId="0" fillId="12" borderId="0" xfId="0" applyNumberFormat="1" applyFont="1" applyFill="1" applyBorder="1" applyAlignment="1" applyProtection="1">
      <alignment horizontal="center" vertical="center"/>
    </xf>
    <xf numFmtId="0" fontId="0" fillId="12" borderId="0" xfId="8" applyNumberFormat="1" applyFont="1" applyFill="1" applyBorder="1" applyAlignment="1" applyProtection="1">
      <alignment vertical="center"/>
    </xf>
    <xf numFmtId="0" fontId="0" fillId="14" borderId="0" xfId="8" applyNumberFormat="1" applyFont="1" applyFill="1" applyBorder="1" applyAlignment="1" applyProtection="1">
      <alignment vertical="center"/>
    </xf>
    <xf numFmtId="0" fontId="2" fillId="0" borderId="0" xfId="8" applyNumberFormat="1" applyFont="1" applyFill="1" applyBorder="1" applyAlignment="1" applyProtection="1">
      <alignment vertical="center"/>
    </xf>
    <xf numFmtId="176" fontId="0" fillId="12" borderId="0" xfId="0" applyNumberFormat="1" applyFont="1" applyFill="1" applyBorder="1" applyAlignment="1" applyProtection="1">
      <alignment vertical="center"/>
    </xf>
    <xf numFmtId="176" fontId="2" fillId="0" borderId="0" xfId="0" applyNumberFormat="1" applyFont="1" applyFill="1" applyBorder="1" applyAlignment="1" applyProtection="1">
      <alignment vertical="center"/>
    </xf>
    <xf numFmtId="0" fontId="0" fillId="12" borderId="2" xfId="0" applyNumberFormat="1" applyFont="1" applyFill="1" applyBorder="1" applyAlignment="1" applyProtection="1">
      <alignment vertical="center"/>
    </xf>
    <xf numFmtId="0" fontId="2" fillId="12" borderId="0" xfId="0" applyNumberFormat="1" applyFont="1" applyFill="1" applyBorder="1" applyAlignment="1" applyProtection="1">
      <alignment horizontal="right" vertical="center"/>
    </xf>
    <xf numFmtId="0" fontId="2" fillId="8" borderId="2" xfId="0" applyNumberFormat="1" applyFont="1" applyFill="1" applyBorder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0" fillId="7" borderId="0" xfId="0" applyNumberFormat="1" applyFont="1" applyFill="1" applyBorder="1" applyAlignment="1" applyProtection="1">
      <alignment horizontal="left" vertical="center"/>
    </xf>
    <xf numFmtId="0" fontId="0" fillId="13" borderId="0" xfId="0" applyNumberFormat="1" applyFont="1" applyFill="1" applyBorder="1" applyAlignment="1" applyProtection="1">
      <alignment horizontal="left" vertical="center"/>
    </xf>
    <xf numFmtId="0" fontId="0" fillId="18" borderId="0" xfId="27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49" fontId="0" fillId="4" borderId="1" xfId="0" applyNumberFormat="1" applyFont="1" applyFill="1" applyBorder="1" applyAlignment="1" applyProtection="1">
      <alignment vertical="center"/>
    </xf>
    <xf numFmtId="49" fontId="1" fillId="4" borderId="1" xfId="0" applyNumberFormat="1" applyFont="1" applyFill="1" applyBorder="1" applyAlignment="1" applyProtection="1">
      <alignment vertical="center"/>
    </xf>
    <xf numFmtId="0" fontId="2" fillId="10" borderId="5" xfId="51" applyNumberFormat="1" applyFont="1" applyFill="1" applyBorder="1" applyAlignment="1" applyProtection="1">
      <alignment vertical="center" wrapText="1"/>
    </xf>
    <xf numFmtId="0" fontId="2" fillId="36" borderId="9" xfId="51" applyNumberFormat="1" applyFont="1" applyFill="1" applyBorder="1" applyAlignment="1" applyProtection="1">
      <alignment vertical="center" wrapText="1"/>
    </xf>
    <xf numFmtId="0" fontId="0" fillId="0" borderId="2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 wrapText="1"/>
    </xf>
    <xf numFmtId="0" fontId="0" fillId="6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" fillId="51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horizontal="right" vertical="center"/>
    </xf>
    <xf numFmtId="0" fontId="0" fillId="54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horizontal="center" vertical="center"/>
    </xf>
    <xf numFmtId="0" fontId="2" fillId="6" borderId="0" xfId="8" applyNumberFormat="1" applyFont="1" applyFill="1" applyBorder="1" applyAlignment="1" applyProtection="1">
      <alignment vertical="center"/>
    </xf>
    <xf numFmtId="176" fontId="0" fillId="13" borderId="0" xfId="0" applyNumberFormat="1" applyFont="1" applyFill="1" applyBorder="1" applyAlignment="1" applyProtection="1">
      <alignment vertical="center"/>
    </xf>
    <xf numFmtId="176" fontId="0" fillId="14" borderId="0" xfId="0" applyNumberFormat="1" applyFont="1" applyFill="1" applyBorder="1" applyAlignment="1" applyProtection="1">
      <alignment vertical="center"/>
    </xf>
    <xf numFmtId="176" fontId="2" fillId="6" borderId="0" xfId="0" applyNumberFormat="1" applyFont="1" applyFill="1" applyBorder="1" applyAlignment="1" applyProtection="1">
      <alignment vertical="center"/>
    </xf>
    <xf numFmtId="0" fontId="2" fillId="13" borderId="0" xfId="0" applyNumberFormat="1" applyFont="1" applyFill="1" applyBorder="1" applyAlignment="1" applyProtection="1">
      <alignment horizontal="right" vertical="center"/>
    </xf>
    <xf numFmtId="0" fontId="0" fillId="14" borderId="0" xfId="0" applyNumberFormat="1" applyFont="1" applyFill="1" applyBorder="1" applyAlignment="1" applyProtection="1">
      <alignment horizontal="right" vertical="center"/>
    </xf>
    <xf numFmtId="0" fontId="0" fillId="0" borderId="0" xfId="48" applyNumberFormat="1" applyFont="1" applyFill="1" applyBorder="1" applyAlignment="1" applyProtection="1">
      <alignment horizontal="center" vertical="center" wrapText="1"/>
    </xf>
    <xf numFmtId="0" fontId="0" fillId="0" borderId="0" xfId="48" applyNumberFormat="1" applyFont="1" applyFill="1" applyBorder="1" applyAlignment="1" applyProtection="1">
      <alignment horizontal="left" vertical="center"/>
    </xf>
    <xf numFmtId="0" fontId="0" fillId="13" borderId="0" xfId="0" applyNumberFormat="1" applyFont="1" applyFill="1" applyBorder="1" applyAlignment="1" applyProtection="1">
      <alignment horizontal="center" vertical="center" wrapText="1"/>
    </xf>
    <xf numFmtId="0" fontId="0" fillId="14" borderId="0" xfId="0" applyNumberFormat="1" applyFont="1" applyFill="1" applyBorder="1" applyAlignment="1" applyProtection="1">
      <alignment horizontal="center" vertical="center" wrapText="1"/>
    </xf>
    <xf numFmtId="49" fontId="0" fillId="14" borderId="1" xfId="38" applyNumberFormat="1" applyFont="1" applyFill="1" applyBorder="1" applyAlignment="1" applyProtection="1">
      <alignment horizontal="left" vertical="center"/>
    </xf>
    <xf numFmtId="49" fontId="0" fillId="0" borderId="1" xfId="48" applyNumberFormat="1" applyFont="1" applyFill="1" applyBorder="1" applyAlignment="1" applyProtection="1">
      <alignment vertical="center"/>
    </xf>
    <xf numFmtId="49" fontId="0" fillId="0" borderId="0" xfId="48" applyNumberFormat="1" applyFont="1" applyFill="1" applyBorder="1" applyAlignment="1" applyProtection="1">
      <alignment vertical="center"/>
    </xf>
    <xf numFmtId="0" fontId="0" fillId="14" borderId="0" xfId="48" applyNumberFormat="1" applyFont="1" applyFill="1" applyBorder="1" applyAlignment="1" applyProtection="1">
      <alignment vertical="center"/>
    </xf>
    <xf numFmtId="0" fontId="4" fillId="13" borderId="0" xfId="8" applyNumberFormat="1" applyFont="1" applyFill="1" applyBorder="1" applyAlignment="1" applyProtection="1">
      <alignment vertical="center"/>
    </xf>
    <xf numFmtId="0" fontId="0" fillId="13" borderId="0" xfId="8" applyNumberFormat="1" applyFont="1" applyFill="1" applyBorder="1" applyAlignment="1" applyProtection="1">
      <alignment vertical="center"/>
    </xf>
    <xf numFmtId="0" fontId="6" fillId="53" borderId="0" xfId="8" applyNumberFormat="1" applyFont="1" applyFill="1" applyBorder="1" applyAlignment="1" applyProtection="1">
      <alignment vertical="center"/>
    </xf>
    <xf numFmtId="0" fontId="2" fillId="34" borderId="0" xfId="8" applyNumberFormat="1" applyFont="1" applyFill="1" applyBorder="1" applyAlignment="1" applyProtection="1">
      <alignment vertical="center"/>
    </xf>
    <xf numFmtId="0" fontId="4" fillId="14" borderId="0" xfId="8" applyNumberFormat="1" applyFont="1" applyFill="1" applyBorder="1" applyAlignment="1" applyProtection="1">
      <alignment vertical="center"/>
    </xf>
    <xf numFmtId="0" fontId="2" fillId="14" borderId="0" xfId="8" applyNumberFormat="1" applyFont="1" applyFill="1" applyBorder="1" applyAlignment="1" applyProtection="1">
      <alignment vertical="center"/>
    </xf>
    <xf numFmtId="0" fontId="9" fillId="14" borderId="0" xfId="0" applyNumberFormat="1" applyFont="1" applyFill="1" applyBorder="1" applyAlignment="1" applyProtection="1">
      <alignment vertical="center"/>
    </xf>
    <xf numFmtId="0" fontId="0" fillId="17" borderId="0" xfId="48" applyNumberFormat="1" applyFont="1" applyFill="1" applyBorder="1" applyAlignment="1" applyProtection="1">
      <alignment vertical="center"/>
    </xf>
    <xf numFmtId="176" fontId="0" fillId="0" borderId="0" xfId="48" applyNumberFormat="1" applyFont="1" applyFill="1" applyBorder="1" applyAlignment="1" applyProtection="1">
      <alignment vertical="center"/>
    </xf>
    <xf numFmtId="0" fontId="9" fillId="14" borderId="0" xfId="48" applyNumberFormat="1" applyFont="1" applyFill="1" applyBorder="1" applyAlignment="1" applyProtection="1">
      <alignment vertical="center"/>
    </xf>
    <xf numFmtId="0" fontId="9" fillId="14" borderId="0" xfId="8" applyNumberFormat="1" applyFont="1" applyFill="1" applyBorder="1" applyAlignment="1" applyProtection="1">
      <alignment vertical="center"/>
    </xf>
    <xf numFmtId="0" fontId="0" fillId="14" borderId="2" xfId="0" applyNumberFormat="1" applyFont="1" applyFill="1" applyBorder="1" applyAlignment="1" applyProtection="1">
      <alignment vertical="center"/>
    </xf>
    <xf numFmtId="0" fontId="1" fillId="14" borderId="0" xfId="0" applyNumberFormat="1" applyFont="1" applyFill="1" applyBorder="1" applyAlignment="1" applyProtection="1">
      <alignment horizontal="right" vertical="center"/>
    </xf>
    <xf numFmtId="0" fontId="1" fillId="14" borderId="0" xfId="0" applyNumberFormat="1" applyFont="1" applyFill="1" applyBorder="1" applyAlignment="1" applyProtection="1">
      <alignment vertical="center"/>
    </xf>
    <xf numFmtId="0" fontId="4" fillId="14" borderId="0" xfId="8" applyNumberFormat="1" applyFont="1" applyFill="1" applyBorder="1" applyAlignment="1" applyProtection="1">
      <alignment horizontal="right" vertical="center"/>
    </xf>
    <xf numFmtId="49" fontId="0" fillId="14" borderId="0" xfId="0" applyNumberFormat="1" applyFont="1" applyFill="1" applyBorder="1" applyAlignment="1" applyProtection="1">
      <alignment vertical="center"/>
    </xf>
    <xf numFmtId="0" fontId="0" fillId="32" borderId="0" xfId="48" applyNumberFormat="1" applyFont="1" applyFill="1" applyBorder="1" applyAlignment="1" applyProtection="1">
      <alignment vertical="center"/>
    </xf>
    <xf numFmtId="49" fontId="0" fillId="32" borderId="1" xfId="0" applyNumberFormat="1" applyFont="1" applyFill="1" applyBorder="1" applyAlignment="1" applyProtection="1">
      <alignment vertical="center"/>
    </xf>
    <xf numFmtId="0" fontId="0" fillId="32" borderId="0" xfId="0" applyNumberFormat="1" applyFont="1" applyFill="1" applyBorder="1" applyAlignment="1" applyProtection="1"/>
    <xf numFmtId="0" fontId="5" fillId="55" borderId="0" xfId="0" applyNumberFormat="1" applyFont="1" applyFill="1" applyBorder="1" applyAlignment="1" applyProtection="1">
      <alignment horizontal="left"/>
    </xf>
    <xf numFmtId="0" fontId="0" fillId="15" borderId="0" xfId="48" applyNumberFormat="1" applyFont="1" applyFill="1" applyBorder="1" applyAlignment="1" applyProtection="1">
      <alignment vertical="center"/>
    </xf>
    <xf numFmtId="0" fontId="10" fillId="15" borderId="0" xfId="48" applyNumberFormat="1" applyFont="1" applyFill="1" applyBorder="1" applyAlignment="1" applyProtection="1">
      <alignment vertical="center"/>
    </xf>
    <xf numFmtId="49" fontId="0" fillId="15" borderId="1" xfId="0" applyNumberFormat="1" applyFont="1" applyFill="1" applyBorder="1" applyAlignment="1" applyProtection="1">
      <alignment vertical="center"/>
    </xf>
    <xf numFmtId="0" fontId="10" fillId="0" borderId="0" xfId="48" applyNumberFormat="1" applyFont="1" applyFill="1" applyBorder="1" applyAlignment="1" applyProtection="1">
      <alignment vertical="center"/>
    </xf>
    <xf numFmtId="0" fontId="6" fillId="0" borderId="0" xfId="48" applyNumberFormat="1" applyFont="1" applyFill="1" applyBorder="1" applyAlignment="1" applyProtection="1">
      <alignment vertical="center"/>
    </xf>
    <xf numFmtId="176" fontId="0" fillId="15" borderId="0" xfId="0" applyNumberFormat="1" applyFont="1" applyFill="1" applyBorder="1" applyAlignment="1" applyProtection="1">
      <alignment vertical="center"/>
    </xf>
    <xf numFmtId="0" fontId="0" fillId="15" borderId="0" xfId="0" applyNumberFormat="1" applyFont="1" applyFill="1" applyBorder="1" applyAlignment="1" applyProtection="1">
      <alignment horizontal="right" vertical="center"/>
    </xf>
    <xf numFmtId="0" fontId="2" fillId="15" borderId="0" xfId="0" applyNumberFormat="1" applyFont="1" applyFill="1" applyBorder="1" applyAlignment="1" applyProtection="1">
      <alignment vertical="center"/>
    </xf>
    <xf numFmtId="49" fontId="0" fillId="15" borderId="0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16" borderId="0" xfId="48" applyNumberFormat="1" applyFont="1" applyFill="1" applyBorder="1" applyAlignment="1" applyProtection="1">
      <alignment vertical="center"/>
    </xf>
    <xf numFmtId="0" fontId="0" fillId="16" borderId="1" xfId="0" applyNumberFormat="1" applyFont="1" applyFill="1" applyBorder="1" applyAlignment="1" applyProtection="1">
      <alignment horizontal="left" vertical="center"/>
    </xf>
    <xf numFmtId="176" fontId="9" fillId="6" borderId="0" xfId="0" applyNumberFormat="1" applyFont="1" applyFill="1" applyBorder="1" applyAlignment="1" applyProtection="1">
      <alignment vertical="center"/>
    </xf>
    <xf numFmtId="0" fontId="0" fillId="16" borderId="0" xfId="0" applyNumberFormat="1" applyFont="1" applyFill="1" applyBorder="1" applyAlignment="1" applyProtection="1">
      <alignment horizontal="right" vertical="center"/>
    </xf>
    <xf numFmtId="0" fontId="2" fillId="16" borderId="0" xfId="0" applyNumberFormat="1" applyFont="1" applyFill="1" applyBorder="1" applyAlignment="1" applyProtection="1">
      <alignment vertical="center"/>
    </xf>
    <xf numFmtId="49" fontId="0" fillId="16" borderId="0" xfId="0" applyNumberFormat="1" applyFont="1" applyFill="1" applyBorder="1" applyAlignment="1" applyProtection="1">
      <alignment vertical="center"/>
    </xf>
    <xf numFmtId="0" fontId="11" fillId="0" borderId="0" xfId="0" applyNumberFormat="1" applyFont="1" applyFill="1" applyBorder="1" applyAlignment="1" applyProtection="1">
      <alignment vertical="center"/>
    </xf>
    <xf numFmtId="0" fontId="0" fillId="35" borderId="0" xfId="48" applyNumberFormat="1" applyFont="1" applyFill="1" applyBorder="1" applyAlignment="1" applyProtection="1">
      <alignment vertical="center"/>
    </xf>
    <xf numFmtId="49" fontId="0" fillId="35" borderId="0" xfId="0" applyNumberFormat="1" applyFont="1" applyFill="1" applyBorder="1" applyAlignment="1" applyProtection="1">
      <alignment vertical="center"/>
    </xf>
    <xf numFmtId="0" fontId="0" fillId="5" borderId="0" xfId="48" applyNumberFormat="1" applyFont="1" applyFill="1" applyBorder="1" applyAlignment="1" applyProtection="1">
      <alignment vertical="center"/>
    </xf>
    <xf numFmtId="49" fontId="0" fillId="5" borderId="1" xfId="0" applyNumberFormat="1" applyFont="1" applyFill="1" applyBorder="1" applyAlignment="1" applyProtection="1">
      <alignment vertical="center"/>
    </xf>
    <xf numFmtId="0" fontId="0" fillId="6" borderId="0" xfId="48" applyNumberFormat="1" applyFont="1" applyFill="1" applyBorder="1" applyAlignment="1" applyProtection="1">
      <alignment vertical="center"/>
    </xf>
    <xf numFmtId="49" fontId="0" fillId="6" borderId="1" xfId="0" applyNumberFormat="1" applyFont="1" applyFill="1" applyBorder="1" applyAlignment="1" applyProtection="1">
      <alignment vertical="center"/>
    </xf>
    <xf numFmtId="0" fontId="12" fillId="0" borderId="0" xfId="0" applyNumberFormat="1" applyFont="1" applyFill="1" applyBorder="1" applyAlignment="1" applyProtection="1">
      <alignment vertical="center"/>
    </xf>
    <xf numFmtId="49" fontId="0" fillId="17" borderId="1" xfId="0" applyNumberFormat="1" applyFont="1" applyFill="1" applyBorder="1" applyAlignment="1" applyProtection="1">
      <alignment vertical="center"/>
    </xf>
    <xf numFmtId="0" fontId="0" fillId="18" borderId="0" xfId="48" applyNumberFormat="1" applyFont="1" applyFill="1" applyBorder="1" applyAlignment="1" applyProtection="1">
      <alignment vertical="center"/>
    </xf>
    <xf numFmtId="49" fontId="0" fillId="18" borderId="1" xfId="0" applyNumberFormat="1" applyFont="1" applyFill="1" applyBorder="1" applyAlignment="1" applyProtection="1">
      <alignment vertical="center"/>
    </xf>
    <xf numFmtId="0" fontId="0" fillId="7" borderId="0" xfId="48" applyNumberFormat="1" applyFont="1" applyFill="1" applyBorder="1" applyAlignment="1" applyProtection="1">
      <alignment vertical="center"/>
    </xf>
    <xf numFmtId="0" fontId="10" fillId="7" borderId="0" xfId="0" applyNumberFormat="1" applyFont="1" applyFill="1" applyBorder="1" applyAlignment="1" applyProtection="1">
      <alignment vertical="center"/>
    </xf>
    <xf numFmtId="49" fontId="0" fillId="7" borderId="0" xfId="0" applyNumberFormat="1" applyFont="1" applyFill="1" applyBorder="1" applyAlignment="1" applyProtection="1">
      <alignment vertical="center"/>
    </xf>
    <xf numFmtId="0" fontId="0" fillId="19" borderId="0" xfId="48" applyNumberFormat="1" applyFont="1" applyFill="1" applyBorder="1" applyAlignment="1" applyProtection="1">
      <alignment vertical="center"/>
    </xf>
    <xf numFmtId="49" fontId="0" fillId="19" borderId="1" xfId="0" applyNumberFormat="1" applyFont="1" applyFill="1" applyBorder="1" applyAlignment="1" applyProtection="1">
      <alignment vertical="center"/>
    </xf>
    <xf numFmtId="0" fontId="0" fillId="20" borderId="0" xfId="48" applyNumberFormat="1" applyFont="1" applyFill="1" applyBorder="1" applyAlignment="1" applyProtection="1">
      <alignment vertical="center"/>
    </xf>
    <xf numFmtId="49" fontId="0" fillId="20" borderId="1" xfId="0" applyNumberFormat="1" applyFont="1" applyFill="1" applyBorder="1" applyAlignment="1" applyProtection="1">
      <alignment vertical="center"/>
    </xf>
    <xf numFmtId="0" fontId="0" fillId="21" borderId="0" xfId="48" applyNumberFormat="1" applyFont="1" applyFill="1" applyBorder="1" applyAlignment="1" applyProtection="1">
      <alignment vertical="center"/>
    </xf>
    <xf numFmtId="49" fontId="0" fillId="21" borderId="1" xfId="0" applyNumberFormat="1" applyFont="1" applyFill="1" applyBorder="1" applyAlignment="1" applyProtection="1">
      <alignment vertical="center"/>
    </xf>
    <xf numFmtId="0" fontId="0" fillId="22" borderId="0" xfId="48" applyNumberFormat="1" applyFont="1" applyFill="1" applyBorder="1" applyAlignment="1" applyProtection="1">
      <alignment vertical="center"/>
    </xf>
    <xf numFmtId="49" fontId="0" fillId="22" borderId="0" xfId="0" applyNumberFormat="1" applyFont="1" applyFill="1" applyBorder="1" applyAlignment="1" applyProtection="1">
      <alignment vertical="center"/>
    </xf>
    <xf numFmtId="0" fontId="0" fillId="22" borderId="0" xfId="0" applyNumberFormat="1" applyFont="1" applyFill="1" applyBorder="1" applyAlignment="1" applyProtection="1">
      <alignment vertical="center" wrapText="1"/>
    </xf>
    <xf numFmtId="0" fontId="0" fillId="23" borderId="0" xfId="48" applyNumberFormat="1" applyFont="1" applyFill="1" applyBorder="1" applyAlignment="1" applyProtection="1">
      <alignment vertical="center"/>
    </xf>
    <xf numFmtId="49" fontId="0" fillId="23" borderId="1" xfId="0" applyNumberFormat="1" applyFont="1" applyFill="1" applyBorder="1" applyAlignment="1" applyProtection="1">
      <alignment vertical="center"/>
    </xf>
    <xf numFmtId="0" fontId="2" fillId="7" borderId="0" xfId="48" applyNumberFormat="1" applyFont="1" applyFill="1" applyBorder="1" applyAlignment="1" applyProtection="1">
      <alignment vertical="center"/>
    </xf>
    <xf numFmtId="0" fontId="2" fillId="19" borderId="0" xfId="48" applyNumberFormat="1" applyFont="1" applyFill="1" applyBorder="1" applyAlignment="1" applyProtection="1">
      <alignment vertical="center"/>
    </xf>
    <xf numFmtId="0" fontId="2" fillId="20" borderId="0" xfId="48" applyNumberFormat="1" applyFont="1" applyFill="1" applyBorder="1" applyAlignment="1" applyProtection="1">
      <alignment vertical="center"/>
    </xf>
    <xf numFmtId="176" fontId="0" fillId="17" borderId="0" xfId="0" applyNumberFormat="1" applyFont="1" applyFill="1" applyBorder="1" applyAlignment="1" applyProtection="1">
      <alignment vertical="center"/>
    </xf>
    <xf numFmtId="176" fontId="0" fillId="18" borderId="0" xfId="0" applyNumberFormat="1" applyFont="1" applyFill="1" applyBorder="1" applyAlignment="1" applyProtection="1">
      <alignment vertical="center"/>
    </xf>
    <xf numFmtId="176" fontId="0" fillId="7" borderId="0" xfId="0" applyNumberFormat="1" applyFont="1" applyFill="1" applyBorder="1" applyAlignment="1" applyProtection="1">
      <alignment vertical="center"/>
    </xf>
    <xf numFmtId="0" fontId="5" fillId="7" borderId="0" xfId="0" applyNumberFormat="1" applyFont="1" applyFill="1" applyBorder="1" applyAlignment="1" applyProtection="1">
      <alignment vertical="center"/>
    </xf>
    <xf numFmtId="176" fontId="0" fillId="19" borderId="0" xfId="0" applyNumberFormat="1" applyFont="1" applyFill="1" applyBorder="1" applyAlignment="1" applyProtection="1">
      <alignment vertical="center"/>
    </xf>
    <xf numFmtId="176" fontId="0" fillId="20" borderId="0" xfId="0" applyNumberFormat="1" applyFont="1" applyFill="1" applyBorder="1" applyAlignment="1" applyProtection="1">
      <alignment vertical="center"/>
    </xf>
    <xf numFmtId="176" fontId="0" fillId="21" borderId="0" xfId="0" applyNumberFormat="1" applyFont="1" applyFill="1" applyBorder="1" applyAlignment="1" applyProtection="1">
      <alignment vertical="center"/>
    </xf>
    <xf numFmtId="176" fontId="0" fillId="22" borderId="0" xfId="0" applyNumberFormat="1" applyFont="1" applyFill="1" applyBorder="1" applyAlignment="1" applyProtection="1">
      <alignment vertical="center"/>
    </xf>
    <xf numFmtId="176" fontId="0" fillId="23" borderId="0" xfId="0" applyNumberFormat="1" applyFont="1" applyFill="1" applyBorder="1" applyAlignment="1" applyProtection="1">
      <alignment vertical="center"/>
    </xf>
    <xf numFmtId="0" fontId="0" fillId="17" borderId="0" xfId="0" applyNumberFormat="1" applyFont="1" applyFill="1" applyBorder="1" applyAlignment="1" applyProtection="1">
      <alignment horizontal="right" vertical="center"/>
    </xf>
    <xf numFmtId="0" fontId="0" fillId="18" borderId="0" xfId="0" applyNumberFormat="1" applyFont="1" applyFill="1" applyBorder="1" applyAlignment="1" applyProtection="1">
      <alignment horizontal="right" vertical="center"/>
    </xf>
    <xf numFmtId="0" fontId="0" fillId="7" borderId="0" xfId="0" applyNumberFormat="1" applyFont="1" applyFill="1" applyBorder="1" applyAlignment="1" applyProtection="1">
      <alignment horizontal="right" vertical="center"/>
    </xf>
    <xf numFmtId="0" fontId="0" fillId="19" borderId="0" xfId="0" applyNumberFormat="1" applyFont="1" applyFill="1" applyBorder="1" applyAlignment="1" applyProtection="1">
      <alignment horizontal="right" vertical="center"/>
    </xf>
    <xf numFmtId="0" fontId="0" fillId="20" borderId="0" xfId="0" applyNumberFormat="1" applyFont="1" applyFill="1" applyBorder="1" applyAlignment="1" applyProtection="1">
      <alignment horizontal="right" vertical="center"/>
    </xf>
    <xf numFmtId="0" fontId="0" fillId="21" borderId="0" xfId="0" applyNumberFormat="1" applyFont="1" applyFill="1" applyBorder="1" applyAlignment="1" applyProtection="1">
      <alignment horizontal="right" vertical="center"/>
    </xf>
    <xf numFmtId="0" fontId="0" fillId="22" borderId="0" xfId="0" applyNumberFormat="1" applyFont="1" applyFill="1" applyBorder="1" applyAlignment="1" applyProtection="1">
      <alignment horizontal="right" vertical="center"/>
    </xf>
    <xf numFmtId="0" fontId="0" fillId="23" borderId="0" xfId="0" applyNumberFormat="1" applyFont="1" applyFill="1" applyBorder="1" applyAlignment="1" applyProtection="1">
      <alignment horizontal="right" vertical="center"/>
    </xf>
    <xf numFmtId="0" fontId="2" fillId="17" borderId="0" xfId="0" applyNumberFormat="1" applyFont="1" applyFill="1" applyBorder="1" applyAlignment="1" applyProtection="1">
      <alignment vertical="center"/>
    </xf>
    <xf numFmtId="49" fontId="0" fillId="17" borderId="0" xfId="0" applyNumberFormat="1" applyFont="1" applyFill="1" applyBorder="1" applyAlignment="1" applyProtection="1">
      <alignment vertical="center"/>
    </xf>
    <xf numFmtId="0" fontId="2" fillId="18" borderId="0" xfId="0" applyNumberFormat="1" applyFont="1" applyFill="1" applyBorder="1" applyAlignment="1" applyProtection="1">
      <alignment vertical="center"/>
    </xf>
    <xf numFmtId="49" fontId="0" fillId="18" borderId="0" xfId="0" applyNumberFormat="1" applyFont="1" applyFill="1" applyBorder="1" applyAlignment="1" applyProtection="1">
      <alignment vertical="center"/>
    </xf>
    <xf numFmtId="0" fontId="2" fillId="7" borderId="0" xfId="0" applyNumberFormat="1" applyFont="1" applyFill="1" applyBorder="1" applyAlignment="1" applyProtection="1">
      <alignment vertical="center"/>
    </xf>
    <xf numFmtId="0" fontId="2" fillId="19" borderId="0" xfId="0" applyNumberFormat="1" applyFont="1" applyFill="1" applyBorder="1" applyAlignment="1" applyProtection="1">
      <alignment vertical="center"/>
    </xf>
    <xf numFmtId="49" fontId="0" fillId="19" borderId="0" xfId="0" applyNumberFormat="1" applyFont="1" applyFill="1" applyBorder="1" applyAlignment="1" applyProtection="1">
      <alignment vertical="center"/>
    </xf>
    <xf numFmtId="0" fontId="2" fillId="20" borderId="0" xfId="0" applyNumberFormat="1" applyFont="1" applyFill="1" applyBorder="1" applyAlignment="1" applyProtection="1">
      <alignment vertical="center"/>
    </xf>
    <xf numFmtId="49" fontId="0" fillId="20" borderId="0" xfId="0" applyNumberFormat="1" applyFont="1" applyFill="1" applyBorder="1" applyAlignment="1" applyProtection="1">
      <alignment vertical="center"/>
    </xf>
    <xf numFmtId="0" fontId="2" fillId="21" borderId="0" xfId="0" applyNumberFormat="1" applyFont="1" applyFill="1" applyBorder="1" applyAlignment="1" applyProtection="1">
      <alignment vertical="center"/>
    </xf>
    <xf numFmtId="49" fontId="0" fillId="21" borderId="0" xfId="0" applyNumberFormat="1" applyFont="1" applyFill="1" applyBorder="1" applyAlignment="1" applyProtection="1">
      <alignment vertical="center"/>
    </xf>
    <xf numFmtId="0" fontId="2" fillId="21" borderId="0" xfId="0" applyNumberFormat="1" applyFont="1" applyFill="1" applyBorder="1" applyAlignment="1" applyProtection="1">
      <alignment horizontal="right" vertical="center"/>
    </xf>
    <xf numFmtId="0" fontId="0" fillId="24" borderId="0" xfId="48" applyNumberFormat="1" applyFont="1" applyFill="1" applyBorder="1" applyAlignment="1" applyProtection="1">
      <alignment vertical="center"/>
    </xf>
    <xf numFmtId="49" fontId="0" fillId="24" borderId="1" xfId="0" applyNumberFormat="1" applyFont="1" applyFill="1" applyBorder="1" applyAlignment="1" applyProtection="1">
      <alignment vertical="center"/>
    </xf>
    <xf numFmtId="49" fontId="0" fillId="7" borderId="1" xfId="0" applyNumberFormat="1" applyFont="1" applyFill="1" applyBorder="1" applyAlignment="1" applyProtection="1">
      <alignment vertical="center"/>
    </xf>
    <xf numFmtId="0" fontId="0" fillId="25" borderId="0" xfId="48" applyNumberFormat="1" applyFont="1" applyFill="1" applyBorder="1" applyAlignment="1" applyProtection="1">
      <alignment vertical="center"/>
    </xf>
    <xf numFmtId="49" fontId="0" fillId="25" borderId="1" xfId="0" applyNumberFormat="1" applyFont="1" applyFill="1" applyBorder="1" applyAlignment="1" applyProtection="1">
      <alignment vertical="center"/>
    </xf>
    <xf numFmtId="0" fontId="0" fillId="26" borderId="0" xfId="48" applyNumberFormat="1" applyFont="1" applyFill="1" applyBorder="1" applyAlignment="1" applyProtection="1">
      <alignment vertical="center"/>
    </xf>
    <xf numFmtId="49" fontId="0" fillId="26" borderId="1" xfId="0" applyNumberFormat="1" applyFont="1" applyFill="1" applyBorder="1" applyAlignment="1" applyProtection="1">
      <alignment vertical="center"/>
    </xf>
    <xf numFmtId="0" fontId="0" fillId="2" borderId="0" xfId="48" applyNumberFormat="1" applyFont="1" applyFill="1" applyBorder="1" applyAlignment="1" applyProtection="1">
      <alignment vertical="center"/>
    </xf>
    <xf numFmtId="49" fontId="0" fillId="2" borderId="1" xfId="0" applyNumberFormat="1" applyFont="1" applyFill="1" applyBorder="1" applyAlignment="1" applyProtection="1">
      <alignment vertical="center"/>
    </xf>
    <xf numFmtId="0" fontId="0" fillId="56" borderId="0" xfId="48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horizontal="left"/>
    </xf>
    <xf numFmtId="0" fontId="0" fillId="27" borderId="0" xfId="48" applyNumberFormat="1" applyFont="1" applyFill="1" applyBorder="1" applyAlignment="1" applyProtection="1">
      <alignment vertical="center"/>
    </xf>
    <xf numFmtId="49" fontId="0" fillId="27" borderId="0" xfId="0" applyNumberFormat="1" applyFont="1" applyFill="1" applyBorder="1" applyAlignment="1" applyProtection="1">
      <alignment horizontal="left"/>
    </xf>
    <xf numFmtId="49" fontId="0" fillId="27" borderId="0" xfId="0" applyNumberFormat="1" applyFont="1" applyFill="1" applyBorder="1" applyAlignment="1" applyProtection="1">
      <alignment vertical="center"/>
    </xf>
    <xf numFmtId="49" fontId="0" fillId="25" borderId="0" xfId="0" applyNumberFormat="1" applyFont="1" applyFill="1" applyBorder="1" applyAlignment="1" applyProtection="1">
      <alignment horizontal="left"/>
    </xf>
    <xf numFmtId="49" fontId="0" fillId="25" borderId="0" xfId="0" applyNumberFormat="1" applyFont="1" applyFill="1" applyBorder="1" applyAlignment="1" applyProtection="1">
      <alignment vertical="center"/>
    </xf>
    <xf numFmtId="0" fontId="5" fillId="28" borderId="0" xfId="48" applyNumberFormat="1" applyFont="1" applyFill="1" applyBorder="1" applyAlignment="1" applyProtection="1">
      <alignment vertical="center"/>
    </xf>
    <xf numFmtId="49" fontId="5" fillId="28" borderId="0" xfId="0" applyNumberFormat="1" applyFont="1" applyFill="1" applyBorder="1" applyAlignment="1" applyProtection="1">
      <alignment horizontal="left"/>
    </xf>
    <xf numFmtId="49" fontId="5" fillId="28" borderId="0" xfId="0" applyNumberFormat="1" applyFont="1" applyFill="1" applyBorder="1" applyAlignment="1" applyProtection="1">
      <alignment vertical="center"/>
    </xf>
    <xf numFmtId="0" fontId="0" fillId="24" borderId="0" xfId="0" applyNumberFormat="1" applyFont="1" applyFill="1" applyBorder="1" applyAlignment="1" applyProtection="1">
      <alignment vertical="center" wrapText="1"/>
    </xf>
    <xf numFmtId="176" fontId="0" fillId="24" borderId="0" xfId="0" applyNumberFormat="1" applyFont="1" applyFill="1" applyBorder="1" applyAlignment="1" applyProtection="1">
      <alignment vertical="center"/>
    </xf>
    <xf numFmtId="176" fontId="0" fillId="25" borderId="0" xfId="0" applyNumberFormat="1" applyFont="1" applyFill="1" applyBorder="1" applyAlignment="1" applyProtection="1">
      <alignment vertical="center"/>
    </xf>
    <xf numFmtId="176" fontId="0" fillId="26" borderId="0" xfId="0" applyNumberFormat="1" applyFont="1" applyFill="1" applyBorder="1" applyAlignment="1" applyProtection="1">
      <alignment vertical="center"/>
    </xf>
    <xf numFmtId="0" fontId="6" fillId="2" borderId="0" xfId="0" applyNumberFormat="1" applyFont="1" applyFill="1" applyBorder="1" applyAlignment="1" applyProtection="1">
      <alignment vertical="center"/>
    </xf>
    <xf numFmtId="176" fontId="0" fillId="27" borderId="0" xfId="0" applyNumberFormat="1" applyFont="1" applyFill="1" applyBorder="1" applyAlignment="1" applyProtection="1">
      <alignment vertical="center"/>
    </xf>
    <xf numFmtId="0" fontId="10" fillId="27" borderId="0" xfId="0" applyNumberFormat="1" applyFont="1" applyFill="1" applyBorder="1" applyAlignment="1" applyProtection="1">
      <alignment vertical="center"/>
    </xf>
    <xf numFmtId="176" fontId="5" fillId="28" borderId="0" xfId="0" applyNumberFormat="1" applyFont="1" applyFill="1" applyBorder="1" applyAlignment="1" applyProtection="1">
      <alignment vertical="center"/>
    </xf>
    <xf numFmtId="0" fontId="0" fillId="24" borderId="0" xfId="0" applyNumberFormat="1" applyFont="1" applyFill="1" applyBorder="1" applyAlignment="1" applyProtection="1">
      <alignment horizontal="right" vertical="center"/>
    </xf>
    <xf numFmtId="0" fontId="0" fillId="25" borderId="0" xfId="0" applyNumberFormat="1" applyFont="1" applyFill="1" applyBorder="1" applyAlignment="1" applyProtection="1">
      <alignment horizontal="right" vertical="center"/>
    </xf>
    <xf numFmtId="0" fontId="0" fillId="26" borderId="0" xfId="0" applyNumberFormat="1" applyFont="1" applyFill="1" applyBorder="1" applyAlignment="1" applyProtection="1">
      <alignment horizontal="right" vertical="center"/>
    </xf>
    <xf numFmtId="0" fontId="0" fillId="30" borderId="0" xfId="0" applyNumberFormat="1" applyFont="1" applyFill="1" applyBorder="1" applyAlignment="1" applyProtection="1">
      <alignment horizontal="right" vertical="center"/>
    </xf>
    <xf numFmtId="0" fontId="0" fillId="2" borderId="0" xfId="0" applyNumberFormat="1" applyFont="1" applyFill="1" applyBorder="1" applyAlignment="1" applyProtection="1">
      <alignment horizontal="right" vertical="center"/>
    </xf>
    <xf numFmtId="0" fontId="2" fillId="27" borderId="0" xfId="0" applyNumberFormat="1" applyFont="1" applyFill="1" applyBorder="1" applyAlignment="1" applyProtection="1">
      <alignment vertical="center"/>
    </xf>
    <xf numFmtId="0" fontId="2" fillId="25" borderId="0" xfId="0" applyNumberFormat="1" applyFont="1" applyFill="1" applyBorder="1" applyAlignment="1" applyProtection="1">
      <alignment vertical="center"/>
    </xf>
    <xf numFmtId="0" fontId="2" fillId="25" borderId="0" xfId="0" applyNumberFormat="1" applyFont="1" applyFill="1" applyBorder="1" applyAlignment="1" applyProtection="1">
      <alignment horizontal="right" vertical="center"/>
    </xf>
    <xf numFmtId="0" fontId="11" fillId="27" borderId="0" xfId="0" applyNumberFormat="1" applyFont="1" applyFill="1" applyBorder="1" applyAlignment="1" applyProtection="1">
      <alignment vertical="center"/>
    </xf>
    <xf numFmtId="0" fontId="11" fillId="25" borderId="0" xfId="0" applyNumberFormat="1" applyFont="1" applyFill="1" applyBorder="1" applyAlignment="1" applyProtection="1">
      <alignment vertical="center"/>
    </xf>
    <xf numFmtId="0" fontId="13" fillId="28" borderId="0" xfId="0" applyNumberFormat="1" applyFont="1" applyFill="1" applyBorder="1" applyAlignment="1" applyProtection="1">
      <alignment vertical="center"/>
    </xf>
    <xf numFmtId="0" fontId="2" fillId="17" borderId="0" xfId="48" applyNumberFormat="1" applyFont="1" applyFill="1" applyBorder="1" applyAlignment="1" applyProtection="1">
      <alignment vertical="center"/>
    </xf>
    <xf numFmtId="0" fontId="2" fillId="0" borderId="0" xfId="48" applyNumberFormat="1" applyFont="1" applyFill="1" applyBorder="1" applyAlignment="1" applyProtection="1">
      <alignment vertical="center"/>
    </xf>
    <xf numFmtId="0" fontId="2" fillId="6" borderId="0" xfId="48" applyNumberFormat="1" applyFont="1" applyFill="1" applyBorder="1" applyAlignment="1" applyProtection="1">
      <alignment vertical="center"/>
    </xf>
    <xf numFmtId="49" fontId="0" fillId="57" borderId="0" xfId="0" applyNumberFormat="1" applyFont="1" applyFill="1" applyBorder="1" applyAlignment="1" applyProtection="1">
      <alignment horizontal="left"/>
    </xf>
    <xf numFmtId="0" fontId="0" fillId="57" borderId="0" xfId="0" applyNumberFormat="1" applyFont="1" applyFill="1" applyBorder="1" applyAlignment="1" applyProtection="1">
      <alignment vertical="center"/>
    </xf>
    <xf numFmtId="49" fontId="0" fillId="57" borderId="1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horizontal="left"/>
    </xf>
    <xf numFmtId="0" fontId="2" fillId="30" borderId="0" xfId="48" applyNumberFormat="1" applyFont="1" applyFill="1" applyBorder="1" applyAlignment="1" applyProtection="1">
      <alignment vertical="center"/>
    </xf>
    <xf numFmtId="49" fontId="0" fillId="30" borderId="0" xfId="0" applyNumberFormat="1" applyFont="1" applyFill="1" applyBorder="1" applyAlignment="1" applyProtection="1">
      <alignment horizontal="left"/>
    </xf>
    <xf numFmtId="0" fontId="0" fillId="30" borderId="0" xfId="0" applyNumberFormat="1" applyFont="1" applyFill="1" applyBorder="1" applyAlignment="1" applyProtection="1">
      <alignment horizontal="left" vertical="center"/>
    </xf>
    <xf numFmtId="0" fontId="0" fillId="31" borderId="0" xfId="48" applyNumberFormat="1" applyFont="1" applyFill="1" applyBorder="1" applyAlignment="1" applyProtection="1">
      <alignment vertical="center"/>
    </xf>
    <xf numFmtId="49" fontId="0" fillId="31" borderId="0" xfId="0" applyNumberFormat="1" applyFont="1" applyFill="1" applyBorder="1" applyAlignment="1" applyProtection="1">
      <alignment horizontal="left"/>
    </xf>
    <xf numFmtId="49" fontId="0" fillId="31" borderId="0" xfId="0" applyNumberFormat="1" applyFont="1" applyFill="1" applyBorder="1" applyAlignment="1" applyProtection="1">
      <alignment vertical="center"/>
    </xf>
    <xf numFmtId="0" fontId="2" fillId="29" borderId="0" xfId="48" applyNumberFormat="1" applyFont="1" applyFill="1" applyBorder="1" applyAlignment="1" applyProtection="1">
      <alignment vertical="center"/>
    </xf>
    <xf numFmtId="0" fontId="2" fillId="58" borderId="0" xfId="48" applyNumberFormat="1" applyFont="1" applyFill="1" applyBorder="1" applyAlignment="1" applyProtection="1">
      <alignment vertical="center"/>
    </xf>
    <xf numFmtId="0" fontId="5" fillId="57" borderId="0" xfId="0" applyNumberFormat="1" applyFont="1" applyFill="1" applyBorder="1" applyAlignment="1" applyProtection="1">
      <alignment vertical="center"/>
    </xf>
    <xf numFmtId="0" fontId="6" fillId="27" borderId="0" xfId="0" applyNumberFormat="1" applyFont="1" applyFill="1" applyBorder="1" applyAlignment="1" applyProtection="1">
      <alignment vertical="center"/>
    </xf>
    <xf numFmtId="176" fontId="0" fillId="30" borderId="0" xfId="0" applyNumberFormat="1" applyFont="1" applyFill="1" applyBorder="1" applyAlignment="1" applyProtection="1">
      <alignment vertical="center"/>
    </xf>
    <xf numFmtId="176" fontId="0" fillId="31" borderId="0" xfId="0" applyNumberFormat="1" applyFont="1" applyFill="1" applyBorder="1" applyAlignment="1" applyProtection="1">
      <alignment vertical="center"/>
    </xf>
    <xf numFmtId="0" fontId="2" fillId="0" borderId="0" xfId="48" applyNumberFormat="1" applyFont="1" applyFill="1" applyBorder="1" applyAlignment="1" applyProtection="1">
      <alignment vertical="center" wrapText="1"/>
    </xf>
    <xf numFmtId="0" fontId="1" fillId="59" borderId="0" xfId="0" applyNumberFormat="1" applyFont="1" applyFill="1" applyBorder="1" applyAlignment="1" applyProtection="1">
      <alignment vertical="center"/>
    </xf>
    <xf numFmtId="0" fontId="1" fillId="6" borderId="0" xfId="0" applyNumberFormat="1" applyFont="1" applyFill="1" applyBorder="1" applyAlignment="1" applyProtection="1">
      <alignment vertical="center"/>
    </xf>
    <xf numFmtId="0" fontId="1" fillId="30" borderId="0" xfId="0" applyNumberFormat="1" applyFont="1" applyFill="1" applyBorder="1" applyAlignment="1" applyProtection="1">
      <alignment vertical="center"/>
    </xf>
    <xf numFmtId="0" fontId="1" fillId="31" borderId="0" xfId="0" applyNumberFormat="1" applyFont="1" applyFill="1" applyBorder="1" applyAlignment="1" applyProtection="1">
      <alignment vertical="center"/>
    </xf>
    <xf numFmtId="0" fontId="2" fillId="30" borderId="0" xfId="0" applyNumberFormat="1" applyFont="1" applyFill="1" applyBorder="1" applyAlignment="1" applyProtection="1">
      <alignment vertical="center"/>
    </xf>
    <xf numFmtId="0" fontId="2" fillId="29" borderId="0" xfId="0" applyNumberFormat="1" applyFont="1" applyFill="1" applyBorder="1" applyAlignment="1" applyProtection="1">
      <alignment vertical="center"/>
    </xf>
    <xf numFmtId="49" fontId="0" fillId="6" borderId="0" xfId="0" applyNumberFormat="1" applyFont="1" applyFill="1" applyBorder="1" applyAlignment="1" applyProtection="1">
      <alignment vertical="center"/>
    </xf>
    <xf numFmtId="0" fontId="11" fillId="6" borderId="0" xfId="0" applyNumberFormat="1" applyFont="1" applyFill="1" applyBorder="1" applyAlignment="1" applyProtection="1">
      <alignment vertical="center"/>
    </xf>
    <xf numFmtId="0" fontId="11" fillId="30" borderId="0" xfId="0" applyNumberFormat="1" applyFont="1" applyFill="1" applyBorder="1" applyAlignment="1" applyProtection="1">
      <alignment vertical="center"/>
    </xf>
    <xf numFmtId="49" fontId="0" fillId="30" borderId="0" xfId="0" applyNumberFormat="1" applyFont="1" applyFill="1" applyBorder="1" applyAlignment="1" applyProtection="1">
      <alignment vertical="center"/>
    </xf>
    <xf numFmtId="0" fontId="0" fillId="27" borderId="0" xfId="0" applyNumberFormat="1" applyFont="1" applyFill="1" applyBorder="1" applyAlignment="1" applyProtection="1">
      <alignment vertical="center" wrapText="1"/>
    </xf>
    <xf numFmtId="0" fontId="0" fillId="31" borderId="0" xfId="0" applyNumberFormat="1" applyFont="1" applyFill="1" applyBorder="1" applyAlignment="1" applyProtection="1">
      <alignment vertical="center" wrapText="1"/>
    </xf>
    <xf numFmtId="49" fontId="0" fillId="14" borderId="0" xfId="0" applyNumberFormat="1" applyFont="1" applyFill="1" applyBorder="1" applyAlignment="1" applyProtection="1">
      <alignment horizontal="left"/>
    </xf>
    <xf numFmtId="49" fontId="0" fillId="32" borderId="0" xfId="0" applyNumberFormat="1" applyFont="1" applyFill="1" applyBorder="1" applyAlignment="1" applyProtection="1">
      <alignment horizontal="left"/>
    </xf>
    <xf numFmtId="49" fontId="0" fillId="32" borderId="0" xfId="0" applyNumberFormat="1" applyFont="1" applyFill="1" applyBorder="1" applyAlignment="1" applyProtection="1">
      <alignment horizontal="left" wrapText="1"/>
    </xf>
    <xf numFmtId="0" fontId="6" fillId="14" borderId="0" xfId="48" applyNumberFormat="1" applyFont="1" applyFill="1" applyBorder="1" applyAlignment="1" applyProtection="1">
      <alignment vertical="center"/>
    </xf>
    <xf numFmtId="0" fontId="6" fillId="32" borderId="0" xfId="48" applyNumberFormat="1" applyFont="1" applyFill="1" applyBorder="1" applyAlignment="1" applyProtection="1">
      <alignment vertical="center"/>
    </xf>
    <xf numFmtId="49" fontId="6" fillId="32" borderId="0" xfId="0" applyNumberFormat="1" applyFont="1" applyFill="1" applyBorder="1" applyAlignment="1" applyProtection="1">
      <alignment horizontal="left"/>
    </xf>
    <xf numFmtId="0" fontId="2" fillId="54" borderId="0" xfId="48" applyNumberFormat="1" applyFont="1" applyFill="1" applyBorder="1" applyAlignment="1" applyProtection="1">
      <alignment vertical="center"/>
    </xf>
    <xf numFmtId="0" fontId="0" fillId="54" borderId="0" xfId="48" applyNumberFormat="1" applyFont="1" applyFill="1" applyBorder="1" applyAlignment="1" applyProtection="1">
      <alignment vertical="center"/>
    </xf>
    <xf numFmtId="49" fontId="0" fillId="54" borderId="1" xfId="0" applyNumberFormat="1" applyFont="1" applyFill="1" applyBorder="1" applyAlignment="1" applyProtection="1">
      <alignment vertical="center"/>
    </xf>
    <xf numFmtId="0" fontId="2" fillId="33" borderId="0" xfId="48" applyNumberFormat="1" applyFont="1" applyFill="1" applyBorder="1" applyAlignment="1" applyProtection="1">
      <alignment vertical="center"/>
    </xf>
    <xf numFmtId="0" fontId="0" fillId="33" borderId="0" xfId="48" applyNumberFormat="1" applyFont="1" applyFill="1" applyBorder="1" applyAlignment="1" applyProtection="1">
      <alignment vertical="center"/>
    </xf>
    <xf numFmtId="49" fontId="0" fillId="33" borderId="1" xfId="0" applyNumberFormat="1" applyFont="1" applyFill="1" applyBorder="1" applyAlignment="1" applyProtection="1">
      <alignment vertical="center"/>
    </xf>
    <xf numFmtId="0" fontId="2" fillId="5" borderId="0" xfId="48" applyNumberFormat="1" applyFont="1" applyFill="1" applyBorder="1" applyAlignment="1" applyProtection="1">
      <alignment vertical="center"/>
    </xf>
    <xf numFmtId="0" fontId="14" fillId="5" borderId="0" xfId="0" applyNumberFormat="1" applyFont="1" applyFill="1" applyBorder="1" applyAlignment="1" applyProtection="1">
      <alignment vertical="center"/>
    </xf>
    <xf numFmtId="49" fontId="0" fillId="5" borderId="0" xfId="0" applyNumberFormat="1" applyFont="1" applyFill="1" applyBorder="1" applyAlignment="1" applyProtection="1">
      <alignment vertical="center"/>
    </xf>
    <xf numFmtId="0" fontId="15" fillId="5" borderId="0" xfId="0" applyNumberFormat="1" applyFont="1" applyFill="1" applyBorder="1" applyAlignment="1" applyProtection="1">
      <alignment vertical="center"/>
    </xf>
    <xf numFmtId="0" fontId="2" fillId="32" borderId="0" xfId="48" applyNumberFormat="1" applyFont="1" applyFill="1" applyBorder="1" applyAlignment="1" applyProtection="1">
      <alignment vertical="center"/>
    </xf>
    <xf numFmtId="0" fontId="2" fillId="14" borderId="0" xfId="48" applyNumberFormat="1" applyFont="1" applyFill="1" applyBorder="1" applyAlignment="1" applyProtection="1">
      <alignment vertical="center"/>
    </xf>
    <xf numFmtId="0" fontId="0" fillId="5" borderId="0" xfId="0" applyNumberFormat="1" applyFont="1" applyFill="1" applyBorder="1" applyAlignment="1" applyProtection="1">
      <alignment horizontal="left" vertical="center"/>
    </xf>
    <xf numFmtId="0" fontId="9" fillId="31" borderId="0" xfId="48" applyNumberFormat="1" applyFont="1" applyFill="1" applyBorder="1" applyAlignment="1" applyProtection="1">
      <alignment vertical="center"/>
    </xf>
    <xf numFmtId="0" fontId="6" fillId="14" borderId="0" xfId="0" applyNumberFormat="1" applyFont="1" applyFill="1" applyBorder="1" applyAlignment="1" applyProtection="1">
      <alignment vertical="center"/>
    </xf>
    <xf numFmtId="176" fontId="6" fillId="14" borderId="0" xfId="0" applyNumberFormat="1" applyFont="1" applyFill="1" applyBorder="1" applyAlignment="1" applyProtection="1">
      <alignment vertical="center"/>
    </xf>
    <xf numFmtId="176" fontId="0" fillId="33" borderId="0" xfId="0" applyNumberFormat="1" applyFont="1" applyFill="1" applyBorder="1" applyAlignment="1" applyProtection="1">
      <alignment vertical="center"/>
    </xf>
    <xf numFmtId="176" fontId="0" fillId="32" borderId="0" xfId="0" applyNumberFormat="1" applyFont="1" applyFill="1" applyBorder="1" applyAlignment="1" applyProtection="1">
      <alignment vertical="center"/>
    </xf>
    <xf numFmtId="0" fontId="16" fillId="32" borderId="0" xfId="0" applyNumberFormat="1" applyFont="1" applyFill="1" applyBorder="1" applyAlignment="1" applyProtection="1">
      <alignment vertical="center"/>
    </xf>
    <xf numFmtId="0" fontId="0" fillId="32" borderId="0" xfId="0" applyNumberFormat="1" applyFont="1" applyFill="1" applyBorder="1" applyAlignment="1" applyProtection="1">
      <alignment horizontal="right" vertical="center"/>
    </xf>
    <xf numFmtId="0" fontId="6" fillId="32" borderId="0" xfId="0" applyNumberFormat="1" applyFont="1" applyFill="1" applyBorder="1" applyAlignment="1" applyProtection="1">
      <alignment horizontal="right" vertical="center"/>
    </xf>
    <xf numFmtId="0" fontId="0" fillId="33" borderId="0" xfId="0" applyNumberFormat="1" applyFont="1" applyFill="1" applyBorder="1" applyAlignment="1" applyProtection="1">
      <alignment horizontal="right" vertical="center"/>
    </xf>
    <xf numFmtId="0" fontId="17" fillId="31" borderId="0" xfId="0" applyNumberFormat="1" applyFont="1" applyFill="1" applyBorder="1" applyAlignment="1" applyProtection="1">
      <alignment vertical="center"/>
    </xf>
    <xf numFmtId="0" fontId="17" fillId="14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vertical="center" wrapText="1"/>
    </xf>
    <xf numFmtId="0" fontId="17" fillId="32" borderId="0" xfId="0" applyNumberFormat="1" applyFont="1" applyFill="1" applyBorder="1" applyAlignment="1" applyProtection="1">
      <alignment vertical="center"/>
    </xf>
    <xf numFmtId="49" fontId="0" fillId="32" borderId="0" xfId="0" applyNumberFormat="1" applyFont="1" applyFill="1" applyBorder="1" applyAlignment="1" applyProtection="1">
      <alignment vertical="center"/>
    </xf>
    <xf numFmtId="0" fontId="0" fillId="32" borderId="0" xfId="0" applyNumberFormat="1" applyFont="1" applyFill="1" applyBorder="1" applyAlignment="1" applyProtection="1">
      <alignment vertical="center" wrapText="1"/>
    </xf>
    <xf numFmtId="49" fontId="6" fillId="32" borderId="0" xfId="0" applyNumberFormat="1" applyFont="1" applyFill="1" applyBorder="1" applyAlignment="1" applyProtection="1">
      <alignment vertical="center"/>
    </xf>
    <xf numFmtId="0" fontId="6" fillId="32" borderId="0" xfId="0" applyNumberFormat="1" applyFont="1" applyFill="1" applyBorder="1" applyAlignment="1" applyProtection="1">
      <alignment vertical="center" wrapText="1"/>
    </xf>
    <xf numFmtId="0" fontId="17" fillId="6" borderId="0" xfId="0" applyNumberFormat="1" applyFont="1" applyFill="1" applyBorder="1" applyAlignment="1" applyProtection="1">
      <alignment vertical="center"/>
    </xf>
    <xf numFmtId="0" fontId="0" fillId="6" borderId="0" xfId="0" applyNumberFormat="1" applyFont="1" applyFill="1" applyBorder="1" applyAlignment="1" applyProtection="1">
      <alignment vertical="center" wrapText="1"/>
    </xf>
    <xf numFmtId="0" fontId="17" fillId="33" borderId="0" xfId="0" applyNumberFormat="1" applyFont="1" applyFill="1" applyBorder="1" applyAlignment="1" applyProtection="1">
      <alignment vertical="center"/>
    </xf>
    <xf numFmtId="0" fontId="0" fillId="60" borderId="0" xfId="0" applyNumberFormat="1" applyFont="1" applyFill="1" applyBorder="1" applyAlignment="1" applyProtection="1">
      <alignment vertical="center"/>
    </xf>
    <xf numFmtId="49" fontId="0" fillId="33" borderId="0" xfId="0" applyNumberFormat="1" applyFont="1" applyFill="1" applyBorder="1" applyAlignment="1" applyProtection="1">
      <alignment vertical="center"/>
    </xf>
    <xf numFmtId="0" fontId="0" fillId="33" borderId="0" xfId="0" applyNumberFormat="1" applyFont="1" applyFill="1" applyBorder="1" applyAlignment="1" applyProtection="1">
      <alignment vertical="center" wrapText="1"/>
    </xf>
    <xf numFmtId="0" fontId="11" fillId="14" borderId="0" xfId="0" applyNumberFormat="1" applyFont="1" applyFill="1" applyBorder="1" applyAlignment="1" applyProtection="1">
      <alignment vertical="center"/>
    </xf>
    <xf numFmtId="0" fontId="0" fillId="30" borderId="0" xfId="48" applyNumberFormat="1" applyFont="1" applyFill="1" applyBorder="1" applyAlignment="1" applyProtection="1">
      <alignment vertical="center"/>
    </xf>
    <xf numFmtId="0" fontId="15" fillId="0" borderId="0" xfId="0" applyNumberFormat="1" applyFont="1" applyFill="1" applyBorder="1" applyAlignment="1" applyProtection="1">
      <alignment vertical="center"/>
    </xf>
    <xf numFmtId="0" fontId="2" fillId="37" borderId="0" xfId="48" applyNumberFormat="1" applyFont="1" applyFill="1" applyBorder="1" applyAlignment="1" applyProtection="1">
      <alignment vertical="center"/>
    </xf>
    <xf numFmtId="49" fontId="0" fillId="37" borderId="0" xfId="0" applyNumberFormat="1" applyFont="1" applyFill="1" applyBorder="1" applyAlignment="1" applyProtection="1">
      <alignment horizontal="left"/>
    </xf>
    <xf numFmtId="0" fontId="0" fillId="37" borderId="0" xfId="0" applyNumberFormat="1" applyFont="1" applyFill="1" applyBorder="1" applyAlignment="1" applyProtection="1">
      <alignment horizontal="left" vertical="center"/>
    </xf>
    <xf numFmtId="49" fontId="0" fillId="37" borderId="1" xfId="0" applyNumberFormat="1" applyFont="1" applyFill="1" applyBorder="1" applyAlignment="1" applyProtection="1">
      <alignment vertical="center"/>
    </xf>
    <xf numFmtId="0" fontId="2" fillId="61" borderId="0" xfId="48" applyNumberFormat="1" applyFont="1" applyFill="1" applyBorder="1" applyAlignment="1" applyProtection="1">
      <alignment vertical="center"/>
    </xf>
    <xf numFmtId="49" fontId="0" fillId="61" borderId="0" xfId="0" applyNumberFormat="1" applyFont="1" applyFill="1" applyBorder="1" applyAlignment="1" applyProtection="1">
      <alignment horizontal="left"/>
    </xf>
    <xf numFmtId="0" fontId="0" fillId="61" borderId="0" xfId="0" applyNumberFormat="1" applyFont="1" applyFill="1" applyBorder="1" applyAlignment="1" applyProtection="1">
      <alignment vertical="center"/>
    </xf>
    <xf numFmtId="0" fontId="0" fillId="61" borderId="0" xfId="0" applyNumberFormat="1" applyFont="1" applyFill="1" applyBorder="1" applyAlignment="1" applyProtection="1">
      <alignment horizontal="left" vertical="center"/>
    </xf>
    <xf numFmtId="49" fontId="0" fillId="61" borderId="1" xfId="0" applyNumberFormat="1" applyFont="1" applyFill="1" applyBorder="1" applyAlignment="1" applyProtection="1">
      <alignment vertical="center"/>
    </xf>
    <xf numFmtId="0" fontId="2" fillId="21" borderId="0" xfId="48" applyNumberFormat="1" applyFont="1" applyFill="1" applyBorder="1" applyAlignment="1" applyProtection="1">
      <alignment vertical="center"/>
    </xf>
    <xf numFmtId="49" fontId="0" fillId="21" borderId="0" xfId="0" applyNumberFormat="1" applyFont="1" applyFill="1" applyBorder="1" applyAlignment="1" applyProtection="1">
      <alignment horizontal="left"/>
    </xf>
    <xf numFmtId="0" fontId="2" fillId="51" borderId="0" xfId="48" applyNumberFormat="1" applyFont="1" applyFill="1" applyBorder="1" applyAlignment="1" applyProtection="1">
      <alignment vertical="center"/>
    </xf>
    <xf numFmtId="49" fontId="0" fillId="51" borderId="0" xfId="0" applyNumberFormat="1" applyFont="1" applyFill="1" applyBorder="1" applyAlignment="1" applyProtection="1">
      <alignment horizontal="left"/>
    </xf>
    <xf numFmtId="49" fontId="0" fillId="51" borderId="0" xfId="0" applyNumberFormat="1" applyFont="1" applyFill="1" applyBorder="1" applyAlignment="1" applyProtection="1">
      <alignment vertical="center"/>
    </xf>
    <xf numFmtId="0" fontId="2" fillId="62" borderId="0" xfId="48" applyNumberFormat="1" applyFont="1" applyFill="1" applyBorder="1" applyAlignment="1" applyProtection="1">
      <alignment vertical="center"/>
    </xf>
    <xf numFmtId="49" fontId="0" fillId="62" borderId="0" xfId="0" applyNumberFormat="1" applyFont="1" applyFill="1" applyBorder="1" applyAlignment="1" applyProtection="1">
      <alignment horizontal="left"/>
    </xf>
    <xf numFmtId="0" fontId="0" fillId="62" borderId="0" xfId="0" applyNumberFormat="1" applyFont="1" applyFill="1" applyBorder="1" applyAlignment="1" applyProtection="1">
      <alignment vertical="center"/>
    </xf>
    <xf numFmtId="49" fontId="0" fillId="62" borderId="0" xfId="0" applyNumberFormat="1" applyFont="1" applyFill="1" applyBorder="1" applyAlignment="1" applyProtection="1">
      <alignment vertical="center"/>
    </xf>
    <xf numFmtId="0" fontId="2" fillId="46" borderId="0" xfId="48" applyNumberFormat="1" applyFont="1" applyFill="1" applyBorder="1" applyAlignment="1" applyProtection="1">
      <alignment vertical="center"/>
    </xf>
    <xf numFmtId="49" fontId="0" fillId="46" borderId="0" xfId="0" applyNumberFormat="1" applyFont="1" applyFill="1" applyBorder="1" applyAlignment="1" applyProtection="1">
      <alignment horizontal="left"/>
    </xf>
    <xf numFmtId="49" fontId="0" fillId="13" borderId="0" xfId="0" applyNumberFormat="1" applyFont="1" applyFill="1" applyBorder="1" applyAlignment="1" applyProtection="1">
      <alignment horizontal="right"/>
    </xf>
    <xf numFmtId="49" fontId="0" fillId="13" borderId="0" xfId="0" applyNumberFormat="1" applyFont="1" applyFill="1" applyBorder="1" applyAlignment="1" applyProtection="1">
      <alignment horizontal="left"/>
    </xf>
    <xf numFmtId="0" fontId="0" fillId="13" borderId="0" xfId="0" applyNumberFormat="1" applyFont="1" applyFill="1" applyBorder="1" applyAlignment="1" applyProtection="1">
      <alignment horizontal="right"/>
    </xf>
    <xf numFmtId="0" fontId="5" fillId="30" borderId="0" xfId="0" applyNumberFormat="1" applyFont="1" applyFill="1" applyBorder="1" applyAlignment="1" applyProtection="1">
      <alignment vertical="center"/>
    </xf>
    <xf numFmtId="0" fontId="0" fillId="34" borderId="0" xfId="48" applyNumberFormat="1" applyFont="1" applyFill="1" applyBorder="1" applyAlignment="1" applyProtection="1">
      <alignment vertical="center"/>
    </xf>
    <xf numFmtId="0" fontId="5" fillId="21" borderId="0" xfId="0" applyNumberFormat="1" applyFont="1" applyFill="1" applyBorder="1" applyAlignment="1" applyProtection="1">
      <alignment vertical="center"/>
    </xf>
    <xf numFmtId="0" fontId="6" fillId="21" borderId="0" xfId="0" applyNumberFormat="1" applyFont="1" applyFill="1" applyBorder="1" applyAlignment="1" applyProtection="1">
      <alignment vertical="center"/>
    </xf>
    <xf numFmtId="176" fontId="0" fillId="34" borderId="0" xfId="0" applyNumberFormat="1" applyFont="1" applyFill="1" applyBorder="1" applyAlignment="1" applyProtection="1">
      <alignment vertical="center"/>
    </xf>
    <xf numFmtId="0" fontId="18" fillId="0" borderId="0" xfId="0" applyNumberFormat="1" applyFont="1" applyFill="1" applyBorder="1" applyAlignment="1" applyProtection="1">
      <alignment vertical="center" wrapText="1"/>
    </xf>
    <xf numFmtId="0" fontId="1" fillId="34" borderId="0" xfId="0" applyNumberFormat="1" applyFont="1" applyFill="1" applyBorder="1" applyAlignment="1" applyProtection="1">
      <alignment vertical="center"/>
    </xf>
    <xf numFmtId="0" fontId="0" fillId="34" borderId="0" xfId="0" applyNumberFormat="1" applyFont="1" applyFill="1" applyBorder="1" applyAlignment="1" applyProtection="1">
      <alignment horizontal="right" vertical="center"/>
    </xf>
    <xf numFmtId="0" fontId="19" fillId="0" borderId="0" xfId="0" applyNumberFormat="1" applyFont="1" applyFill="1" applyBorder="1" applyAlignment="1" applyProtection="1">
      <alignment vertical="center"/>
    </xf>
    <xf numFmtId="0" fontId="0" fillId="30" borderId="0" xfId="0" applyNumberFormat="1" applyFont="1" applyFill="1" applyBorder="1" applyAlignment="1" applyProtection="1">
      <alignment vertical="center" wrapText="1"/>
    </xf>
    <xf numFmtId="0" fontId="11" fillId="34" borderId="0" xfId="0" applyNumberFormat="1" applyFont="1" applyFill="1" applyBorder="1" applyAlignment="1" applyProtection="1">
      <alignment vertical="center"/>
    </xf>
    <xf numFmtId="49" fontId="0" fillId="34" borderId="0" xfId="0" applyNumberFormat="1" applyFont="1" applyFill="1" applyBorder="1" applyAlignment="1" applyProtection="1">
      <alignment vertical="center"/>
    </xf>
    <xf numFmtId="0" fontId="0" fillId="34" borderId="0" xfId="0" applyNumberFormat="1" applyFont="1" applyFill="1" applyBorder="1" applyAlignment="1" applyProtection="1">
      <alignment vertical="center" wrapText="1"/>
    </xf>
    <xf numFmtId="0" fontId="20" fillId="0" borderId="0" xfId="0" applyNumberFormat="1" applyFont="1" applyFill="1" applyBorder="1" applyAlignment="1" applyProtection="1">
      <alignment vertical="center"/>
    </xf>
    <xf numFmtId="49" fontId="9" fillId="14" borderId="0" xfId="0" applyNumberFormat="1" applyFont="1" applyFill="1" applyBorder="1" applyAlignment="1" applyProtection="1">
      <alignment vertical="center"/>
    </xf>
    <xf numFmtId="49" fontId="0" fillId="25" borderId="0" xfId="0" applyNumberFormat="1" applyFont="1" applyFill="1" applyBorder="1" applyAlignment="1" applyProtection="1">
      <alignment horizontal="right"/>
    </xf>
    <xf numFmtId="0" fontId="0" fillId="25" borderId="0" xfId="0" applyNumberFormat="1" applyFont="1" applyFill="1" applyBorder="1" applyAlignment="1" applyProtection="1">
      <alignment horizontal="right"/>
    </xf>
    <xf numFmtId="0" fontId="0" fillId="35" borderId="0" xfId="0" applyNumberFormat="1" applyFont="1" applyFill="1" applyBorder="1" applyAlignment="1" applyProtection="1">
      <alignment horizontal="right"/>
    </xf>
    <xf numFmtId="49" fontId="0" fillId="35" borderId="0" xfId="0" applyNumberFormat="1" applyFont="1" applyFill="1" applyBorder="1" applyAlignment="1" applyProtection="1">
      <alignment horizontal="left"/>
    </xf>
    <xf numFmtId="49" fontId="0" fillId="35" borderId="0" xfId="0" applyNumberFormat="1" applyFont="1" applyFill="1" applyBorder="1" applyAlignment="1" applyProtection="1">
      <alignment horizontal="right"/>
    </xf>
    <xf numFmtId="0" fontId="0" fillId="23" borderId="0" xfId="0" applyNumberFormat="1" applyFont="1" applyFill="1" applyBorder="1" applyAlignment="1" applyProtection="1">
      <alignment horizontal="right"/>
    </xf>
    <xf numFmtId="49" fontId="0" fillId="23" borderId="0" xfId="0" applyNumberFormat="1" applyFont="1" applyFill="1" applyBorder="1" applyAlignment="1" applyProtection="1">
      <alignment horizontal="left"/>
    </xf>
    <xf numFmtId="49" fontId="0" fillId="23" borderId="0" xfId="0" applyNumberFormat="1" applyFont="1" applyFill="1" applyBorder="1" applyAlignment="1" applyProtection="1">
      <alignment horizontal="right"/>
    </xf>
    <xf numFmtId="49" fontId="0" fillId="23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horizontal="right"/>
    </xf>
    <xf numFmtId="0" fontId="0" fillId="14" borderId="0" xfId="48" applyNumberFormat="1" applyFont="1" applyFill="1" applyBorder="1" applyAlignment="1" applyProtection="1">
      <alignment vertical="center" wrapText="1"/>
    </xf>
    <xf numFmtId="0" fontId="0" fillId="3" borderId="0" xfId="0" applyNumberFormat="1" applyFont="1" applyFill="1" applyBorder="1" applyAlignment="1" applyProtection="1">
      <alignment horizontal="right"/>
    </xf>
    <xf numFmtId="0" fontId="0" fillId="3" borderId="0" xfId="48" applyNumberFormat="1" applyFont="1" applyFill="1" applyBorder="1" applyAlignment="1" applyProtection="1">
      <alignment vertical="center"/>
    </xf>
    <xf numFmtId="0" fontId="5" fillId="63" borderId="0" xfId="0" applyNumberFormat="1" applyFont="1" applyFill="1" applyBorder="1" applyAlignment="1" applyProtection="1">
      <alignment horizontal="left"/>
    </xf>
    <xf numFmtId="49" fontId="0" fillId="3" borderId="0" xfId="0" applyNumberFormat="1" applyFont="1" applyFill="1" applyBorder="1" applyAlignment="1" applyProtection="1">
      <alignment vertical="center"/>
    </xf>
    <xf numFmtId="0" fontId="0" fillId="13" borderId="0" xfId="48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horizontal="left"/>
    </xf>
    <xf numFmtId="49" fontId="0" fillId="13" borderId="0" xfId="0" applyNumberFormat="1" applyFont="1" applyFill="1" applyBorder="1" applyAlignment="1" applyProtection="1">
      <alignment vertical="center"/>
    </xf>
    <xf numFmtId="0" fontId="0" fillId="30" borderId="0" xfId="0" applyNumberFormat="1" applyFont="1" applyFill="1" applyBorder="1" applyAlignment="1" applyProtection="1">
      <alignment horizontal="right"/>
    </xf>
    <xf numFmtId="0" fontId="0" fillId="30" borderId="0" xfId="0" applyNumberFormat="1" applyFont="1" applyFill="1" applyBorder="1" applyAlignment="1" applyProtection="1">
      <alignment horizontal="left"/>
    </xf>
    <xf numFmtId="0" fontId="0" fillId="61" borderId="0" xfId="0" applyNumberFormat="1" applyFont="1" applyFill="1" applyBorder="1" applyAlignment="1" applyProtection="1">
      <alignment horizontal="right"/>
    </xf>
    <xf numFmtId="0" fontId="0" fillId="61" borderId="0" xfId="48" applyNumberFormat="1" applyFont="1" applyFill="1" applyBorder="1" applyAlignment="1" applyProtection="1">
      <alignment vertical="center"/>
    </xf>
    <xf numFmtId="0" fontId="0" fillId="61" borderId="0" xfId="0" applyNumberFormat="1" applyFont="1" applyFill="1" applyBorder="1" applyAlignment="1" applyProtection="1">
      <alignment horizontal="left"/>
    </xf>
    <xf numFmtId="0" fontId="0" fillId="61" borderId="0" xfId="0" applyNumberFormat="1" applyFont="1" applyFill="1" applyBorder="1" applyAlignment="1" applyProtection="1">
      <alignment horizontal="left" wrapText="1"/>
    </xf>
    <xf numFmtId="0" fontId="0" fillId="13" borderId="0" xfId="0" applyNumberFormat="1" applyFont="1" applyFill="1" applyBorder="1" applyAlignment="1" applyProtection="1">
      <alignment horizontal="left" wrapText="1"/>
    </xf>
    <xf numFmtId="49" fontId="0" fillId="13" borderId="1" xfId="0" applyNumberFormat="1" applyFont="1" applyFill="1" applyBorder="1" applyAlignment="1" applyProtection="1">
      <alignment vertical="center"/>
    </xf>
    <xf numFmtId="0" fontId="0" fillId="64" borderId="0" xfId="48" applyNumberFormat="1" applyFont="1" applyFill="1" applyBorder="1" applyAlignment="1" applyProtection="1">
      <alignment vertical="center"/>
    </xf>
    <xf numFmtId="0" fontId="5" fillId="3" borderId="0" xfId="48" applyNumberFormat="1" applyFont="1" applyFill="1" applyBorder="1" applyAlignment="1" applyProtection="1">
      <alignment vertical="center"/>
    </xf>
    <xf numFmtId="0" fontId="5" fillId="30" borderId="0" xfId="48" applyNumberFormat="1" applyFont="1" applyFill="1" applyBorder="1" applyAlignment="1" applyProtection="1">
      <alignment vertical="center"/>
    </xf>
    <xf numFmtId="0" fontId="21" fillId="3" borderId="0" xfId="0" applyNumberFormat="1" applyFont="1" applyFill="1" applyBorder="1" applyAlignment="1" applyProtection="1">
      <alignment vertical="center"/>
    </xf>
    <xf numFmtId="0" fontId="5" fillId="23" borderId="0" xfId="0" applyNumberFormat="1" applyFont="1" applyFill="1" applyBorder="1" applyAlignment="1" applyProtection="1">
      <alignment vertical="center"/>
    </xf>
    <xf numFmtId="176" fontId="0" fillId="3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horizontal="right" vertical="center"/>
    </xf>
    <xf numFmtId="0" fontId="2" fillId="23" borderId="0" xfId="0" applyNumberFormat="1" applyFont="1" applyFill="1" applyBorder="1" applyAlignment="1" applyProtection="1">
      <alignment vertical="center"/>
    </xf>
    <xf numFmtId="0" fontId="2" fillId="14" borderId="0" xfId="0" applyNumberFormat="1" applyFont="1" applyFill="1" applyBorder="1" applyAlignment="1" applyProtection="1">
      <alignment vertical="center"/>
    </xf>
    <xf numFmtId="0" fontId="2" fillId="3" borderId="0" xfId="0" applyNumberFormat="1" applyFont="1" applyFill="1" applyBorder="1" applyAlignment="1" applyProtection="1">
      <alignment vertical="center"/>
    </xf>
    <xf numFmtId="49" fontId="0" fillId="14" borderId="1" xfId="0" applyNumberFormat="1" applyFont="1" applyFill="1" applyBorder="1" applyAlignment="1" applyProtection="1">
      <alignment vertical="center"/>
    </xf>
    <xf numFmtId="0" fontId="0" fillId="8" borderId="0" xfId="48" applyNumberFormat="1" applyFont="1" applyFill="1" applyBorder="1" applyAlignment="1" applyProtection="1">
      <alignment vertical="center"/>
    </xf>
    <xf numFmtId="49" fontId="0" fillId="8" borderId="0" xfId="0" applyNumberFormat="1" applyFont="1" applyFill="1" applyBorder="1" applyAlignment="1" applyProtection="1">
      <alignment vertical="center"/>
    </xf>
    <xf numFmtId="0" fontId="2" fillId="13" borderId="0" xfId="48" applyNumberFormat="1" applyFont="1" applyFill="1" applyBorder="1" applyAlignment="1" applyProtection="1">
      <alignment vertical="center"/>
    </xf>
    <xf numFmtId="0" fontId="2" fillId="23" borderId="0" xfId="48" applyNumberFormat="1" applyFont="1" applyFill="1" applyBorder="1" applyAlignment="1" applyProtection="1">
      <alignment vertical="center"/>
    </xf>
    <xf numFmtId="0" fontId="21" fillId="13" borderId="0" xfId="0" applyNumberFormat="1" applyFont="1" applyFill="1" applyBorder="1" applyAlignment="1" applyProtection="1">
      <alignment vertical="center"/>
    </xf>
    <xf numFmtId="0" fontId="0" fillId="13" borderId="0" xfId="0" applyNumberFormat="1" applyFont="1" applyFill="1" applyBorder="1" applyAlignment="1" applyProtection="1">
      <alignment vertical="center" wrapText="1"/>
    </xf>
    <xf numFmtId="0" fontId="1" fillId="13" borderId="0" xfId="0" applyNumberFormat="1" applyFont="1" applyFill="1" applyBorder="1" applyAlignment="1" applyProtection="1">
      <alignment vertical="center"/>
    </xf>
    <xf numFmtId="0" fontId="1" fillId="8" borderId="0" xfId="0" applyNumberFormat="1" applyFont="1" applyFill="1" applyBorder="1" applyAlignment="1" applyProtection="1">
      <alignment vertical="center"/>
    </xf>
    <xf numFmtId="0" fontId="1" fillId="23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Alignment="1" applyProtection="1">
      <alignment vertical="center" wrapText="1"/>
    </xf>
    <xf numFmtId="0" fontId="0" fillId="23" borderId="0" xfId="0" applyNumberFormat="1" applyFont="1" applyFill="1" applyBorder="1" applyAlignment="1" applyProtection="1">
      <alignment vertical="center" wrapText="1"/>
    </xf>
    <xf numFmtId="0" fontId="0" fillId="36" borderId="0" xfId="48" applyNumberFormat="1" applyFont="1" applyFill="1" applyBorder="1" applyAlignment="1" applyProtection="1">
      <alignment vertical="center"/>
    </xf>
    <xf numFmtId="0" fontId="2" fillId="36" borderId="0" xfId="48" applyNumberFormat="1" applyFont="1" applyFill="1" applyBorder="1" applyAlignment="1" applyProtection="1">
      <alignment vertical="center"/>
    </xf>
    <xf numFmtId="49" fontId="0" fillId="36" borderId="0" xfId="0" applyNumberFormat="1" applyFont="1" applyFill="1" applyBorder="1" applyAlignment="1" applyProtection="1">
      <alignment vertical="center"/>
    </xf>
    <xf numFmtId="0" fontId="0" fillId="37" borderId="0" xfId="48" applyNumberFormat="1" applyFont="1" applyFill="1" applyBorder="1" applyAlignment="1" applyProtection="1">
      <alignment vertical="center"/>
    </xf>
    <xf numFmtId="49" fontId="0" fillId="37" borderId="0" xfId="0" applyNumberFormat="1" applyFont="1" applyFill="1" applyBorder="1" applyAlignment="1" applyProtection="1">
      <alignment vertical="center"/>
    </xf>
    <xf numFmtId="0" fontId="0" fillId="38" borderId="0" xfId="48" applyNumberFormat="1" applyFont="1" applyFill="1" applyBorder="1" applyAlignment="1" applyProtection="1">
      <alignment vertical="center"/>
    </xf>
    <xf numFmtId="49" fontId="0" fillId="38" borderId="1" xfId="38" applyNumberFormat="1" applyFont="1" applyFill="1" applyBorder="1" applyAlignment="1" applyProtection="1">
      <alignment horizontal="left" vertical="center"/>
    </xf>
    <xf numFmtId="49" fontId="0" fillId="30" borderId="0" xfId="38" applyNumberFormat="1" applyFont="1" applyFill="1" applyBorder="1" applyAlignment="1" applyProtection="1">
      <alignment horizontal="left" vertical="center"/>
    </xf>
    <xf numFmtId="0" fontId="0" fillId="43" borderId="0" xfId="0" applyNumberFormat="1" applyFont="1" applyFill="1" applyBorder="1" applyAlignment="1" applyProtection="1">
      <alignment vertical="center" wrapText="1"/>
    </xf>
    <xf numFmtId="0" fontId="0" fillId="36" borderId="0" xfId="0" applyNumberFormat="1" applyFont="1" applyFill="1" applyBorder="1" applyAlignment="1" applyProtection="1">
      <alignment vertical="center" wrapText="1"/>
    </xf>
    <xf numFmtId="0" fontId="0" fillId="37" borderId="0" xfId="8" applyNumberFormat="1" applyFont="1" applyFill="1" applyBorder="1" applyAlignment="1" applyProtection="1">
      <alignment vertical="center"/>
    </xf>
    <xf numFmtId="0" fontId="0" fillId="25" borderId="0" xfId="8" applyNumberFormat="1" applyFont="1" applyFill="1" applyBorder="1" applyAlignment="1" applyProtection="1">
      <alignment vertical="center"/>
    </xf>
    <xf numFmtId="176" fontId="0" fillId="36" borderId="0" xfId="0" applyNumberFormat="1" applyFont="1" applyFill="1" applyBorder="1" applyAlignment="1" applyProtection="1">
      <alignment vertical="center"/>
    </xf>
    <xf numFmtId="176" fontId="0" fillId="37" borderId="0" xfId="0" applyNumberFormat="1" applyFont="1" applyFill="1" applyBorder="1" applyAlignment="1" applyProtection="1">
      <alignment vertical="center"/>
    </xf>
    <xf numFmtId="176" fontId="0" fillId="38" borderId="0" xfId="0" applyNumberFormat="1" applyFont="1" applyFill="1" applyBorder="1" applyAlignment="1" applyProtection="1">
      <alignment vertical="center"/>
    </xf>
    <xf numFmtId="176" fontId="0" fillId="39" borderId="0" xfId="0" applyNumberFormat="1" applyFont="1" applyFill="1" applyBorder="1" applyAlignment="1" applyProtection="1">
      <alignment vertical="center"/>
    </xf>
    <xf numFmtId="0" fontId="0" fillId="37" borderId="0" xfId="0" applyNumberFormat="1" applyFont="1" applyFill="1" applyBorder="1" applyAlignment="1" applyProtection="1">
      <alignment horizontal="right" vertical="center"/>
    </xf>
    <xf numFmtId="0" fontId="0" fillId="38" borderId="0" xfId="0" applyNumberFormat="1" applyFont="1" applyFill="1" applyBorder="1" applyAlignment="1" applyProtection="1">
      <alignment horizontal="right" vertical="center"/>
    </xf>
    <xf numFmtId="0" fontId="0" fillId="39" borderId="0" xfId="0" applyNumberFormat="1" applyFont="1" applyFill="1" applyBorder="1" applyAlignment="1" applyProtection="1">
      <alignment horizontal="right" vertical="center"/>
    </xf>
    <xf numFmtId="0" fontId="2" fillId="39" borderId="0" xfId="0" applyNumberFormat="1" applyFont="1" applyFill="1" applyBorder="1" applyAlignment="1" applyProtection="1">
      <alignment horizontal="left" vertical="center"/>
    </xf>
    <xf numFmtId="0" fontId="2" fillId="42" borderId="0" xfId="0" applyNumberFormat="1" applyFont="1" applyFill="1" applyBorder="1" applyAlignment="1" applyProtection="1">
      <alignment vertical="center"/>
    </xf>
    <xf numFmtId="49" fontId="0" fillId="42" borderId="1" xfId="0" applyNumberFormat="1" applyFont="1" applyFill="1" applyBorder="1" applyAlignment="1" applyProtection="1">
      <alignment vertical="center"/>
    </xf>
    <xf numFmtId="0" fontId="2" fillId="41" borderId="0" xfId="0" applyNumberFormat="1" applyFont="1" applyFill="1" applyBorder="1" applyAlignment="1" applyProtection="1">
      <alignment vertical="center"/>
    </xf>
    <xf numFmtId="0" fontId="0" fillId="41" borderId="0" xfId="0" applyNumberFormat="1" applyFont="1" applyFill="1" applyBorder="1" applyAlignment="1" applyProtection="1">
      <alignment horizontal="left" vertical="center"/>
    </xf>
    <xf numFmtId="0" fontId="2" fillId="43" borderId="0" xfId="0" applyNumberFormat="1" applyFont="1" applyFill="1" applyBorder="1" applyAlignment="1" applyProtection="1">
      <alignment vertical="center"/>
    </xf>
    <xf numFmtId="49" fontId="0" fillId="65" borderId="1" xfId="0" applyNumberFormat="1" applyFont="1" applyFill="1" applyBorder="1" applyAlignment="1" applyProtection="1">
      <alignment vertical="center"/>
    </xf>
    <xf numFmtId="49" fontId="0" fillId="41" borderId="1" xfId="0" applyNumberFormat="1" applyFont="1" applyFill="1" applyBorder="1" applyAlignment="1" applyProtection="1">
      <alignment vertical="center"/>
    </xf>
    <xf numFmtId="49" fontId="0" fillId="42" borderId="0" xfId="0" applyNumberFormat="1" applyFont="1" applyFill="1" applyBorder="1" applyAlignment="1" applyProtection="1">
      <alignment vertical="center"/>
    </xf>
    <xf numFmtId="0" fontId="0" fillId="65" borderId="0" xfId="0" applyNumberFormat="1" applyFont="1" applyFill="1" applyBorder="1" applyAlignment="1" applyProtection="1">
      <alignment vertical="center"/>
    </xf>
    <xf numFmtId="176" fontId="2" fillId="40" borderId="0" xfId="0" applyNumberFormat="1" applyFont="1" applyFill="1" applyBorder="1" applyAlignment="1" applyProtection="1">
      <alignment vertical="center"/>
    </xf>
    <xf numFmtId="176" fontId="2" fillId="39" borderId="0" xfId="0" applyNumberFormat="1" applyFont="1" applyFill="1" applyBorder="1" applyAlignment="1" applyProtection="1">
      <alignment vertical="center"/>
    </xf>
    <xf numFmtId="176" fontId="0" fillId="41" borderId="0" xfId="0" applyNumberFormat="1" applyFont="1" applyFill="1" applyBorder="1" applyAlignment="1" applyProtection="1">
      <alignment vertical="center"/>
    </xf>
    <xf numFmtId="176" fontId="0" fillId="42" borderId="0" xfId="0" applyNumberFormat="1" applyFont="1" applyFill="1" applyBorder="1" applyAlignment="1" applyProtection="1">
      <alignment vertical="center"/>
    </xf>
    <xf numFmtId="176" fontId="0" fillId="43" borderId="0" xfId="0" applyNumberFormat="1" applyFont="1" applyFill="1" applyBorder="1" applyAlignment="1" applyProtection="1">
      <alignment vertical="center"/>
    </xf>
    <xf numFmtId="0" fontId="2" fillId="40" borderId="0" xfId="0" applyNumberFormat="1" applyFont="1" applyFill="1" applyBorder="1" applyAlignment="1" applyProtection="1">
      <alignment horizontal="right" vertical="center"/>
    </xf>
    <xf numFmtId="0" fontId="2" fillId="39" borderId="0" xfId="0" applyNumberFormat="1" applyFont="1" applyFill="1" applyBorder="1" applyAlignment="1" applyProtection="1">
      <alignment horizontal="right" vertical="center"/>
    </xf>
    <xf numFmtId="0" fontId="0" fillId="41" borderId="0" xfId="0" applyNumberFormat="1" applyFont="1" applyFill="1" applyBorder="1" applyAlignment="1" applyProtection="1">
      <alignment horizontal="right" vertical="center"/>
    </xf>
    <xf numFmtId="0" fontId="0" fillId="42" borderId="0" xfId="0" applyNumberFormat="1" applyFont="1" applyFill="1" applyBorder="1" applyAlignment="1" applyProtection="1">
      <alignment horizontal="right" vertical="center"/>
    </xf>
    <xf numFmtId="0" fontId="0" fillId="43" borderId="0" xfId="0" applyNumberFormat="1" applyFont="1" applyFill="1" applyBorder="1" applyAlignment="1" applyProtection="1">
      <alignment horizontal="right" vertical="center"/>
    </xf>
    <xf numFmtId="0" fontId="17" fillId="37" borderId="0" xfId="0" applyNumberFormat="1" applyFont="1" applyFill="1" applyBorder="1" applyAlignment="1" applyProtection="1">
      <alignment vertical="center"/>
    </xf>
    <xf numFmtId="49" fontId="0" fillId="17" borderId="0" xfId="0" applyNumberFormat="1" applyFont="1" applyFill="1" applyBorder="1" applyAlignment="1" applyProtection="1">
      <alignment horizontal="left"/>
    </xf>
    <xf numFmtId="49" fontId="0" fillId="44" borderId="1" xfId="0" applyNumberFormat="1" applyFont="1" applyFill="1" applyBorder="1" applyAlignment="1" applyProtection="1">
      <alignment vertical="center"/>
    </xf>
    <xf numFmtId="0" fontId="22" fillId="44" borderId="0" xfId="0" applyNumberFormat="1" applyFont="1" applyFill="1" applyBorder="1" applyAlignment="1" applyProtection="1"/>
    <xf numFmtId="0" fontId="23" fillId="44" borderId="0" xfId="0" applyNumberFormat="1" applyFont="1" applyFill="1" applyBorder="1" applyAlignment="1" applyProtection="1"/>
    <xf numFmtId="49" fontId="0" fillId="45" borderId="1" xfId="0" applyNumberFormat="1" applyFont="1" applyFill="1" applyBorder="1" applyAlignment="1" applyProtection="1">
      <alignment vertical="center"/>
    </xf>
    <xf numFmtId="0" fontId="0" fillId="33" borderId="0" xfId="0" applyNumberFormat="1" applyFont="1" applyFill="1" applyBorder="1" applyAlignment="1" applyProtection="1">
      <alignment horizontal="left" vertical="center"/>
    </xf>
    <xf numFmtId="0" fontId="0" fillId="34" borderId="0" xfId="0" applyNumberFormat="1" applyFont="1" applyFill="1" applyBorder="1" applyAlignment="1" applyProtection="1">
      <alignment horizontal="left" vertical="center"/>
    </xf>
    <xf numFmtId="0" fontId="2" fillId="6" borderId="0" xfId="0" applyNumberFormat="1" applyFont="1" applyFill="1" applyBorder="1" applyAlignment="1" applyProtection="1">
      <alignment horizontal="left" vertical="center"/>
    </xf>
    <xf numFmtId="49" fontId="0" fillId="46" borderId="1" xfId="0" applyNumberFormat="1" applyFont="1" applyFill="1" applyBorder="1" applyAlignment="1" applyProtection="1">
      <alignment vertical="center"/>
    </xf>
    <xf numFmtId="0" fontId="2" fillId="46" borderId="0" xfId="0" applyNumberFormat="1" applyFont="1" applyFill="1" applyBorder="1" applyAlignment="1" applyProtection="1">
      <alignment vertical="center"/>
    </xf>
    <xf numFmtId="176" fontId="0" fillId="44" borderId="0" xfId="0" applyNumberFormat="1" applyFont="1" applyFill="1" applyBorder="1" applyAlignment="1" applyProtection="1">
      <alignment vertical="center"/>
    </xf>
    <xf numFmtId="176" fontId="0" fillId="45" borderId="0" xfId="0" applyNumberFormat="1" applyFont="1" applyFill="1" applyBorder="1" applyAlignment="1" applyProtection="1">
      <alignment vertical="center"/>
    </xf>
    <xf numFmtId="176" fontId="0" fillId="46" borderId="0" xfId="0" applyNumberFormat="1" applyFont="1" applyFill="1" applyBorder="1" applyAlignment="1" applyProtection="1">
      <alignment vertical="center"/>
    </xf>
    <xf numFmtId="0" fontId="0" fillId="44" borderId="0" xfId="0" applyNumberFormat="1" applyFont="1" applyFill="1" applyBorder="1" applyAlignment="1" applyProtection="1">
      <alignment horizontal="right" vertical="center"/>
    </xf>
    <xf numFmtId="0" fontId="0" fillId="45" borderId="0" xfId="0" applyNumberFormat="1" applyFont="1" applyFill="1" applyBorder="1" applyAlignment="1" applyProtection="1">
      <alignment horizontal="right" vertical="center"/>
    </xf>
    <xf numFmtId="0" fontId="17" fillId="46" borderId="0" xfId="0" applyNumberFormat="1" applyFont="1" applyFill="1" applyBorder="1" applyAlignment="1" applyProtection="1">
      <alignment vertical="center"/>
    </xf>
    <xf numFmtId="0" fontId="0" fillId="46" borderId="0" xfId="0" applyNumberFormat="1" applyFont="1" applyFill="1" applyBorder="1" applyAlignment="1" applyProtection="1">
      <alignment horizontal="right" vertical="center"/>
    </xf>
    <xf numFmtId="0" fontId="0" fillId="44" borderId="0" xfId="0" applyNumberFormat="1" applyFont="1" applyFill="1" applyBorder="1" applyAlignment="1" applyProtection="1">
      <alignment horizontal="left" vertical="center"/>
    </xf>
    <xf numFmtId="49" fontId="0" fillId="47" borderId="1" xfId="0" applyNumberFormat="1" applyFont="1" applyFill="1" applyBorder="1" applyAlignment="1" applyProtection="1">
      <alignment vertical="center"/>
    </xf>
    <xf numFmtId="0" fontId="24" fillId="14" borderId="0" xfId="0" applyNumberFormat="1" applyFont="1" applyFill="1" applyBorder="1" applyAlignment="1" applyProtection="1">
      <alignment horizontal="left"/>
    </xf>
    <xf numFmtId="49" fontId="0" fillId="48" borderId="1" xfId="0" applyNumberFormat="1" applyFont="1" applyFill="1" applyBorder="1" applyAlignment="1" applyProtection="1">
      <alignment vertical="center"/>
    </xf>
    <xf numFmtId="49" fontId="0" fillId="34" borderId="1" xfId="0" applyNumberFormat="1" applyFont="1" applyFill="1" applyBorder="1" applyAlignment="1" applyProtection="1">
      <alignment vertical="center"/>
    </xf>
    <xf numFmtId="0" fontId="0" fillId="46" borderId="0" xfId="48" applyNumberFormat="1" applyFont="1" applyFill="1" applyBorder="1" applyAlignment="1" applyProtection="1">
      <alignment vertical="center"/>
    </xf>
    <xf numFmtId="0" fontId="6" fillId="46" borderId="0" xfId="48" applyNumberFormat="1" applyFont="1" applyFill="1" applyBorder="1" applyAlignment="1" applyProtection="1">
      <alignment vertical="center"/>
    </xf>
    <xf numFmtId="49" fontId="25" fillId="46" borderId="1" xfId="0" applyNumberFormat="1" applyFont="1" applyFill="1" applyBorder="1" applyAlignment="1" applyProtection="1">
      <alignment vertical="center"/>
    </xf>
    <xf numFmtId="0" fontId="26" fillId="13" borderId="0" xfId="0" applyNumberFormat="1" applyFont="1" applyFill="1" applyBorder="1" applyAlignment="1" applyProtection="1">
      <alignment vertical="center"/>
    </xf>
    <xf numFmtId="0" fontId="2" fillId="5" borderId="0" xfId="0" applyNumberFormat="1" applyFont="1" applyFill="1" applyBorder="1" applyAlignment="1" applyProtection="1">
      <alignment vertical="center"/>
    </xf>
    <xf numFmtId="0" fontId="2" fillId="62" borderId="3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0" fillId="46" borderId="0" xfId="0" applyNumberFormat="1" applyFont="1" applyFill="1" applyBorder="1" applyAlignment="1" applyProtection="1">
      <alignment horizontal="left" vertical="center" indent="1"/>
    </xf>
    <xf numFmtId="176" fontId="0" fillId="47" borderId="0" xfId="0" applyNumberFormat="1" applyFont="1" applyFill="1" applyBorder="1" applyAlignment="1" applyProtection="1">
      <alignment vertical="center"/>
    </xf>
    <xf numFmtId="176" fontId="0" fillId="5" borderId="0" xfId="0" applyNumberFormat="1" applyFont="1" applyFill="1" applyBorder="1" applyAlignment="1" applyProtection="1">
      <alignment vertical="center"/>
    </xf>
    <xf numFmtId="176" fontId="0" fillId="48" borderId="0" xfId="0" applyNumberFormat="1" applyFont="1" applyFill="1" applyBorder="1" applyAlignment="1" applyProtection="1">
      <alignment vertical="center"/>
    </xf>
    <xf numFmtId="176" fontId="6" fillId="46" borderId="0" xfId="0" applyNumberFormat="1" applyFont="1" applyFill="1" applyBorder="1" applyAlignment="1" applyProtection="1">
      <alignment vertical="center"/>
    </xf>
    <xf numFmtId="0" fontId="18" fillId="14" borderId="0" xfId="0" applyNumberFormat="1" applyFont="1" applyFill="1" applyBorder="1" applyAlignment="1" applyProtection="1">
      <alignment vertical="center" wrapText="1"/>
    </xf>
    <xf numFmtId="0" fontId="0" fillId="47" borderId="0" xfId="0" applyNumberFormat="1" applyFont="1" applyFill="1" applyBorder="1" applyAlignment="1" applyProtection="1">
      <alignment horizontal="right" vertical="center"/>
    </xf>
    <xf numFmtId="0" fontId="0" fillId="5" borderId="0" xfId="0" applyNumberFormat="1" applyFont="1" applyFill="1" applyBorder="1" applyAlignment="1" applyProtection="1">
      <alignment horizontal="right" vertical="center"/>
    </xf>
    <xf numFmtId="0" fontId="0" fillId="48" borderId="0" xfId="0" applyNumberFormat="1" applyFont="1" applyFill="1" applyBorder="1" applyAlignment="1" applyProtection="1">
      <alignment horizontal="right" vertical="center"/>
    </xf>
    <xf numFmtId="0" fontId="6" fillId="46" borderId="0" xfId="0" applyNumberFormat="1" applyFont="1" applyFill="1" applyBorder="1" applyAlignment="1" applyProtection="1">
      <alignment horizontal="right" vertical="center"/>
    </xf>
    <xf numFmtId="0" fontId="17" fillId="39" borderId="0" xfId="0" applyNumberFormat="1" applyFont="1" applyFill="1" applyBorder="1" applyAlignment="1" applyProtection="1">
      <alignment vertical="center"/>
    </xf>
    <xf numFmtId="49" fontId="0" fillId="46" borderId="0" xfId="0" applyNumberFormat="1" applyFont="1" applyFill="1" applyBorder="1" applyAlignment="1" applyProtection="1">
      <alignment vertical="center"/>
    </xf>
    <xf numFmtId="49" fontId="6" fillId="46" borderId="0" xfId="0" applyNumberFormat="1" applyFont="1" applyFill="1" applyBorder="1" applyAlignment="1" applyProtection="1">
      <alignment vertical="center"/>
    </xf>
    <xf numFmtId="0" fontId="0" fillId="42" borderId="0" xfId="48" applyNumberFormat="1" applyFont="1" applyFill="1" applyBorder="1" applyAlignment="1" applyProtection="1">
      <alignment vertical="center"/>
    </xf>
    <xf numFmtId="49" fontId="0" fillId="43" borderId="1" xfId="0" applyNumberFormat="1" applyFont="1" applyFill="1" applyBorder="1" applyAlignment="1" applyProtection="1">
      <alignment vertical="center"/>
    </xf>
    <xf numFmtId="49" fontId="0" fillId="31" borderId="1" xfId="0" applyNumberFormat="1" applyFont="1" applyFill="1" applyBorder="1" applyAlignment="1" applyProtection="1">
      <alignment vertical="center"/>
    </xf>
    <xf numFmtId="0" fontId="27" fillId="31" borderId="11" xfId="0" applyNumberFormat="1" applyFont="1" applyFill="1" applyBorder="1" applyAlignment="1" applyProtection="1">
      <alignment vertical="center" wrapText="1"/>
    </xf>
    <xf numFmtId="0" fontId="28" fillId="31" borderId="11" xfId="0" applyNumberFormat="1" applyFont="1" applyFill="1" applyBorder="1" applyAlignment="1" applyProtection="1">
      <alignment vertical="center" wrapText="1"/>
    </xf>
    <xf numFmtId="0" fontId="2" fillId="47" borderId="3" xfId="0" applyNumberFormat="1" applyFont="1" applyFill="1" applyBorder="1" applyAlignment="1" applyProtection="1">
      <alignment horizontal="left" vertical="center"/>
    </xf>
    <xf numFmtId="0" fontId="2" fillId="57" borderId="3" xfId="0" applyNumberFormat="1" applyFont="1" applyFill="1" applyBorder="1" applyAlignment="1" applyProtection="1">
      <alignment vertical="center"/>
    </xf>
    <xf numFmtId="0" fontId="5" fillId="3" borderId="0" xfId="0" applyNumberFormat="1" applyFont="1" applyFill="1" applyBorder="1" applyAlignment="1" applyProtection="1">
      <alignment vertical="center"/>
    </xf>
    <xf numFmtId="0" fontId="5" fillId="3" borderId="3" xfId="0" applyNumberFormat="1" applyFont="1" applyFill="1" applyBorder="1" applyAlignment="1" applyProtection="1">
      <alignment horizontal="left" vertical="center"/>
    </xf>
    <xf numFmtId="0" fontId="0" fillId="38" borderId="0" xfId="0" applyNumberFormat="1" applyFont="1" applyFill="1" applyBorder="1" applyAlignment="1" applyProtection="1">
      <alignment horizontal="left" vertical="center"/>
    </xf>
    <xf numFmtId="0" fontId="0" fillId="46" borderId="0" xfId="0" applyNumberFormat="1" applyFont="1" applyFill="1" applyBorder="1" applyAlignment="1" applyProtection="1">
      <alignment horizontal="left" vertical="center"/>
    </xf>
    <xf numFmtId="0" fontId="0" fillId="46" borderId="0" xfId="0" applyNumberFormat="1" applyFont="1" applyFill="1" applyBorder="1" applyAlignment="1" applyProtection="1">
      <alignment vertical="center" wrapText="1"/>
    </xf>
    <xf numFmtId="0" fontId="0" fillId="42" borderId="0" xfId="8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 indent="1"/>
    </xf>
    <xf numFmtId="0" fontId="5" fillId="57" borderId="3" xfId="0" applyNumberFormat="1" applyFont="1" applyFill="1" applyBorder="1" applyAlignment="1" applyProtection="1">
      <alignment vertical="center"/>
    </xf>
    <xf numFmtId="176" fontId="2" fillId="47" borderId="3" xfId="0" applyNumberFormat="1" applyFont="1" applyFill="1" applyBorder="1" applyAlignment="1" applyProtection="1">
      <alignment vertical="center"/>
    </xf>
    <xf numFmtId="176" fontId="5" fillId="3" borderId="3" xfId="0" applyNumberFormat="1" applyFont="1" applyFill="1" applyBorder="1" applyAlignment="1" applyProtection="1">
      <alignment vertical="center"/>
    </xf>
    <xf numFmtId="0" fontId="25" fillId="46" borderId="0" xfId="0" applyNumberFormat="1" applyFont="1" applyFill="1" applyBorder="1" applyAlignment="1" applyProtection="1">
      <alignment vertical="center"/>
    </xf>
    <xf numFmtId="0" fontId="6" fillId="42" borderId="0" xfId="0" applyNumberFormat="1" applyFont="1" applyFill="1" applyBorder="1" applyAlignment="1" applyProtection="1">
      <alignment vertical="center"/>
    </xf>
    <xf numFmtId="0" fontId="2" fillId="43" borderId="0" xfId="0" applyNumberFormat="1" applyFont="1" applyFill="1" applyBorder="1" applyAlignment="1" applyProtection="1">
      <alignment horizontal="right" vertical="center"/>
    </xf>
    <xf numFmtId="0" fontId="0" fillId="31" borderId="0" xfId="0" applyNumberFormat="1" applyFont="1" applyFill="1" applyBorder="1" applyAlignment="1" applyProtection="1">
      <alignment horizontal="right" vertical="center"/>
    </xf>
    <xf numFmtId="0" fontId="2" fillId="31" borderId="0" xfId="0" applyNumberFormat="1" applyFont="1" applyFill="1" applyBorder="1" applyAlignment="1" applyProtection="1">
      <alignment horizontal="right" vertical="center"/>
    </xf>
    <xf numFmtId="0" fontId="2" fillId="14" borderId="0" xfId="0" applyNumberFormat="1" applyFont="1" applyFill="1" applyBorder="1" applyAlignment="1" applyProtection="1">
      <alignment horizontal="right" vertical="center"/>
    </xf>
    <xf numFmtId="0" fontId="2" fillId="47" borderId="3" xfId="0" applyNumberFormat="1" applyFont="1" applyFill="1" applyBorder="1" applyAlignment="1" applyProtection="1">
      <alignment horizontal="right" vertical="center"/>
    </xf>
    <xf numFmtId="0" fontId="5" fillId="3" borderId="3" xfId="0" applyNumberFormat="1" applyFont="1" applyFill="1" applyBorder="1" applyAlignment="1" applyProtection="1">
      <alignment horizontal="right" vertical="center"/>
    </xf>
    <xf numFmtId="0" fontId="0" fillId="43" borderId="0" xfId="0" applyNumberFormat="1" applyFont="1" applyFill="1" applyBorder="1" applyAlignment="1" applyProtection="1">
      <alignment horizontal="left" vertical="center"/>
    </xf>
    <xf numFmtId="49" fontId="0" fillId="43" borderId="0" xfId="0" applyNumberFormat="1" applyFont="1" applyFill="1" applyBorder="1" applyAlignment="1" applyProtection="1">
      <alignment vertical="center"/>
    </xf>
    <xf numFmtId="0" fontId="0" fillId="49" borderId="0" xfId="0" applyNumberFormat="1" applyFont="1" applyFill="1" applyBorder="1" applyAlignment="1" applyProtection="1">
      <alignment horizontal="left" vertical="center"/>
    </xf>
    <xf numFmtId="0" fontId="0" fillId="23" borderId="0" xfId="0" applyNumberFormat="1" applyFont="1" applyFill="1" applyBorder="1" applyAlignment="1" applyProtection="1">
      <alignment horizontal="left" vertical="center"/>
    </xf>
    <xf numFmtId="0" fontId="0" fillId="2" borderId="0" xfId="0" applyNumberFormat="1" applyFont="1" applyFill="1" applyBorder="1" applyAlignment="1" applyProtection="1">
      <alignment vertical="center" wrapText="1"/>
    </xf>
    <xf numFmtId="0" fontId="0" fillId="2" borderId="0" xfId="0" applyNumberFormat="1" applyFont="1" applyFill="1" applyBorder="1" applyAlignment="1" applyProtection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6" borderId="0" xfId="0" applyFill="1" applyAlignment="1">
      <alignment vertical="center"/>
    </xf>
    <xf numFmtId="0" fontId="0" fillId="49" borderId="0" xfId="0" applyFill="1" applyAlignment="1" applyProtection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 indent="1"/>
    </xf>
    <xf numFmtId="0" fontId="28" fillId="0" borderId="0" xfId="0" applyFont="1" applyAlignment="1">
      <alignment horizontal="left" vertical="center"/>
    </xf>
    <xf numFmtId="0" fontId="0" fillId="23" borderId="0" xfId="0" applyFill="1" applyAlignment="1" applyProtection="1">
      <alignment vertical="center"/>
    </xf>
    <xf numFmtId="0" fontId="0" fillId="2" borderId="0" xfId="0" applyFill="1">
      <alignment vertical="center"/>
    </xf>
    <xf numFmtId="176" fontId="0" fillId="49" borderId="0" xfId="0" applyNumberFormat="1" applyFont="1" applyFill="1" applyBorder="1" applyAlignment="1" applyProtection="1">
      <alignment vertical="center"/>
    </xf>
    <xf numFmtId="176" fontId="0" fillId="2" borderId="0" xfId="0" applyNumberFormat="1" applyFont="1" applyFill="1" applyBorder="1" applyAlignment="1" applyProtection="1">
      <alignment vertical="center"/>
    </xf>
    <xf numFmtId="0" fontId="0" fillId="43" borderId="0" xfId="0" applyFill="1" applyAlignment="1" applyProtection="1">
      <alignment vertical="center"/>
    </xf>
    <xf numFmtId="0" fontId="0" fillId="49" borderId="0" xfId="0" applyNumberFormat="1" applyFont="1" applyFill="1" applyBorder="1" applyAlignment="1" applyProtection="1">
      <alignment horizontal="right" vertical="center"/>
    </xf>
    <xf numFmtId="0" fontId="2" fillId="35" borderId="0" xfId="0" applyNumberFormat="1" applyFont="1" applyFill="1" applyBorder="1" applyAlignment="1" applyProtection="1">
      <alignment vertical="center"/>
    </xf>
    <xf numFmtId="0" fontId="15" fillId="35" borderId="0" xfId="0" applyNumberFormat="1" applyFont="1" applyFill="1" applyBorder="1" applyAlignment="1" applyProtection="1">
      <alignment vertical="center"/>
    </xf>
    <xf numFmtId="0" fontId="0" fillId="35" borderId="0" xfId="0" applyNumberFormat="1" applyFont="1" applyFill="1" applyBorder="1" applyAlignment="1" applyProtection="1">
      <alignment horizontal="left" vertical="center"/>
    </xf>
    <xf numFmtId="0" fontId="0" fillId="50" borderId="0" xfId="0" applyNumberFormat="1" applyFont="1" applyFill="1" applyBorder="1" applyAlignment="1" applyProtection="1">
      <alignment horizontal="left" vertical="center"/>
    </xf>
    <xf numFmtId="0" fontId="0" fillId="50" borderId="0" xfId="0" applyNumberFormat="1" applyFont="1" applyFill="1" applyBorder="1" applyAlignment="1" applyProtection="1">
      <alignment horizontal="center" vertical="center" wrapText="1"/>
    </xf>
    <xf numFmtId="0" fontId="2" fillId="50" borderId="0" xfId="0" applyNumberFormat="1" applyFont="1" applyFill="1" applyBorder="1" applyAlignment="1" applyProtection="1">
      <alignment vertical="center"/>
    </xf>
    <xf numFmtId="49" fontId="0" fillId="50" borderId="1" xfId="0" applyNumberFormat="1" applyFont="1" applyFill="1" applyBorder="1" applyAlignment="1" applyProtection="1">
      <alignment horizontal="left" vertical="center"/>
    </xf>
    <xf numFmtId="0" fontId="0" fillId="50" borderId="0" xfId="0" applyNumberFormat="1" applyFont="1" applyFill="1" applyBorder="1" applyAlignment="1" applyProtection="1">
      <alignment horizontal="center" vertical="center"/>
    </xf>
    <xf numFmtId="0" fontId="0" fillId="50" borderId="0" xfId="8" applyNumberFormat="1" applyFont="1" applyFill="1" applyBorder="1" applyAlignment="1" applyProtection="1">
      <alignment vertical="center"/>
    </xf>
    <xf numFmtId="176" fontId="0" fillId="35" borderId="0" xfId="0" applyNumberFormat="1" applyFont="1" applyFill="1" applyBorder="1" applyAlignment="1" applyProtection="1">
      <alignment vertical="center"/>
    </xf>
    <xf numFmtId="176" fontId="0" fillId="50" borderId="0" xfId="0" applyNumberFormat="1" applyFont="1" applyFill="1" applyBorder="1" applyAlignment="1" applyProtection="1">
      <alignment vertical="center"/>
    </xf>
    <xf numFmtId="0" fontId="1" fillId="35" borderId="0" xfId="0" applyNumberFormat="1" applyFont="1" applyFill="1" applyBorder="1" applyAlignment="1" applyProtection="1">
      <alignment vertical="center"/>
    </xf>
    <xf numFmtId="0" fontId="0" fillId="35" borderId="0" xfId="0" applyNumberFormat="1" applyFont="1" applyFill="1" applyBorder="1" applyAlignment="1" applyProtection="1">
      <alignment horizontal="right" vertical="center"/>
    </xf>
    <xf numFmtId="0" fontId="0" fillId="50" borderId="0" xfId="0" applyNumberFormat="1" applyFont="1" applyFill="1" applyBorder="1" applyAlignment="1" applyProtection="1">
      <alignment horizontal="right" vertical="center"/>
    </xf>
    <xf numFmtId="0" fontId="11" fillId="35" borderId="0" xfId="0" applyNumberFormat="1" applyFont="1" applyFill="1" applyBorder="1" applyAlignment="1" applyProtection="1">
      <alignment vertical="center"/>
    </xf>
    <xf numFmtId="0" fontId="0" fillId="35" borderId="0" xfId="0" applyNumberFormat="1" applyFont="1" applyFill="1" applyBorder="1" applyAlignment="1" applyProtection="1">
      <alignment vertical="center" wrapText="1"/>
    </xf>
    <xf numFmtId="0" fontId="0" fillId="50" borderId="2" xfId="0" applyNumberFormat="1" applyFont="1" applyFill="1" applyBorder="1" applyAlignment="1" applyProtection="1">
      <alignment horizontal="left" vertical="center"/>
    </xf>
    <xf numFmtId="177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49" fontId="0" fillId="12" borderId="1" xfId="0" applyNumberFormat="1" applyFont="1" applyFill="1" applyBorder="1" applyAlignment="1" applyProtection="1">
      <alignment vertical="center"/>
    </xf>
    <xf numFmtId="49" fontId="0" fillId="0" borderId="1" xfId="0" applyNumberFormat="1" applyFont="1" applyFill="1" applyBorder="1" applyAlignment="1" applyProtection="1">
      <alignment horizontal="right" vertical="center"/>
    </xf>
    <xf numFmtId="0" fontId="2" fillId="66" borderId="0" xfId="0" applyNumberFormat="1" applyFont="1" applyFill="1" applyBorder="1" applyAlignment="1" applyProtection="1">
      <alignment vertical="center"/>
    </xf>
    <xf numFmtId="0" fontId="2" fillId="12" borderId="0" xfId="0" applyNumberFormat="1" applyFont="1" applyFill="1" applyBorder="1" applyAlignment="1" applyProtection="1">
      <alignment vertical="center"/>
    </xf>
    <xf numFmtId="0" fontId="2" fillId="66" borderId="0" xfId="0" applyNumberFormat="1" applyFont="1" applyFill="1" applyBorder="1" applyAlignment="1" applyProtection="1">
      <alignment horizontal="right" vertical="center"/>
    </xf>
    <xf numFmtId="177" fontId="0" fillId="13" borderId="0" xfId="0" applyNumberFormat="1" applyFont="1" applyFill="1" applyBorder="1" applyAlignment="1" applyProtection="1">
      <alignment vertical="center"/>
    </xf>
    <xf numFmtId="177" fontId="0" fillId="6" borderId="0" xfId="0" applyNumberFormat="1" applyFont="1" applyFill="1" applyBorder="1" applyAlignment="1" applyProtection="1">
      <alignment vertical="center"/>
    </xf>
    <xf numFmtId="177" fontId="2" fillId="13" borderId="0" xfId="0" applyNumberFormat="1" applyFont="1" applyFill="1" applyBorder="1" applyAlignment="1" applyProtection="1">
      <alignment vertical="center"/>
    </xf>
    <xf numFmtId="177" fontId="0" fillId="67" borderId="0" xfId="0" applyNumberFormat="1" applyFont="1" applyFill="1" applyBorder="1" applyAlignment="1" applyProtection="1">
      <alignment vertical="center"/>
    </xf>
    <xf numFmtId="0" fontId="0" fillId="14" borderId="0" xfId="0" applyNumberFormat="1" applyFont="1" applyFill="1" applyBorder="1" applyAlignment="1" applyProtection="1">
      <alignment horizontal="left"/>
    </xf>
    <xf numFmtId="177" fontId="0" fillId="14" borderId="0" xfId="0" applyNumberFormat="1" applyFont="1" applyFill="1" applyBorder="1" applyAlignment="1" applyProtection="1">
      <alignment vertical="center"/>
    </xf>
    <xf numFmtId="0" fontId="6" fillId="53" borderId="0" xfId="0" applyNumberFormat="1" applyFont="1" applyFill="1" applyBorder="1" applyAlignment="1" applyProtection="1">
      <alignment vertical="center"/>
    </xf>
    <xf numFmtId="0" fontId="0" fillId="68" borderId="0" xfId="0" applyNumberFormat="1" applyFont="1" applyFill="1" applyBorder="1" applyAlignment="1" applyProtection="1">
      <alignment vertical="center"/>
    </xf>
    <xf numFmtId="49" fontId="0" fillId="68" borderId="0" xfId="0" applyNumberFormat="1" applyFont="1" applyFill="1" applyBorder="1" applyAlignment="1" applyProtection="1">
      <alignment horizontal="left"/>
    </xf>
    <xf numFmtId="177" fontId="0" fillId="68" borderId="0" xfId="0" applyNumberFormat="1" applyFont="1" applyFill="1" applyBorder="1" applyAlignment="1" applyProtection="1">
      <alignment vertical="center"/>
    </xf>
    <xf numFmtId="49" fontId="0" fillId="9" borderId="0" xfId="0" applyNumberFormat="1" applyFont="1" applyFill="1" applyBorder="1" applyAlignment="1" applyProtection="1">
      <alignment horizontal="left"/>
    </xf>
    <xf numFmtId="49" fontId="0" fillId="35" borderId="1" xfId="0" applyNumberFormat="1" applyFont="1" applyFill="1" applyBorder="1" applyAlignment="1" applyProtection="1">
      <alignment vertical="center"/>
    </xf>
    <xf numFmtId="0" fontId="29" fillId="0" borderId="0" xfId="0" applyNumberFormat="1" applyFont="1" applyFill="1" applyBorder="1" applyAlignment="1" applyProtection="1">
      <alignment vertical="center"/>
    </xf>
    <xf numFmtId="178" fontId="0" fillId="0" borderId="0" xfId="0" applyNumberFormat="1" applyFont="1" applyFill="1" applyBorder="1" applyAlignment="1" applyProtection="1">
      <alignment vertical="center"/>
    </xf>
    <xf numFmtId="49" fontId="0" fillId="36" borderId="0" xfId="0" applyNumberFormat="1" applyFont="1" applyFill="1" applyBorder="1" applyAlignment="1" applyProtection="1">
      <alignment horizontal="left"/>
    </xf>
    <xf numFmtId="49" fontId="0" fillId="33" borderId="0" xfId="0" applyNumberFormat="1" applyFont="1" applyFill="1" applyBorder="1" applyAlignment="1" applyProtection="1">
      <alignment horizontal="left"/>
    </xf>
    <xf numFmtId="0" fontId="0" fillId="23" borderId="0" xfId="0" applyNumberFormat="1" applyFont="1" applyFill="1" applyBorder="1" applyAlignment="1" applyProtection="1">
      <alignment horizontal="left"/>
    </xf>
    <xf numFmtId="0" fontId="2" fillId="47" borderId="0" xfId="48" applyNumberFormat="1" applyFont="1" applyFill="1" applyBorder="1" applyAlignment="1" applyProtection="1">
      <alignment vertical="center"/>
    </xf>
    <xf numFmtId="49" fontId="0" fillId="36" borderId="1" xfId="0" applyNumberFormat="1" applyFont="1" applyFill="1" applyBorder="1" applyAlignment="1" applyProtection="1">
      <alignment vertical="center"/>
    </xf>
    <xf numFmtId="0" fontId="2" fillId="38" borderId="0" xfId="48" applyNumberFormat="1" applyFont="1" applyFill="1" applyBorder="1" applyAlignment="1" applyProtection="1">
      <alignment vertical="center"/>
    </xf>
    <xf numFmtId="49" fontId="0" fillId="38" borderId="1" xfId="0" applyNumberFormat="1" applyFont="1" applyFill="1" applyBorder="1" applyAlignment="1" applyProtection="1">
      <alignment vertical="center"/>
    </xf>
    <xf numFmtId="0" fontId="2" fillId="8" borderId="0" xfId="48" applyNumberFormat="1" applyFont="1" applyFill="1" applyBorder="1" applyAlignment="1" applyProtection="1">
      <alignment vertical="center"/>
    </xf>
    <xf numFmtId="49" fontId="0" fillId="8" borderId="1" xfId="0" applyNumberFormat="1" applyFont="1" applyFill="1" applyBorder="1" applyAlignment="1" applyProtection="1">
      <alignment vertical="center"/>
    </xf>
    <xf numFmtId="0" fontId="2" fillId="33" borderId="0" xfId="0" applyNumberFormat="1" applyFont="1" applyFill="1" applyBorder="1" applyAlignment="1" applyProtection="1">
      <alignment vertical="center"/>
    </xf>
    <xf numFmtId="0" fontId="2" fillId="38" borderId="0" xfId="0" applyNumberFormat="1" applyFont="1" applyFill="1" applyBorder="1" applyAlignment="1" applyProtection="1">
      <alignment vertical="center"/>
    </xf>
    <xf numFmtId="0" fontId="2" fillId="14" borderId="0" xfId="48" applyNumberFormat="1" applyFont="1" applyFill="1" applyBorder="1" applyAlignment="1" applyProtection="1">
      <alignment vertical="center" wrapText="1"/>
    </xf>
    <xf numFmtId="0" fontId="11" fillId="38" borderId="0" xfId="0" applyNumberFormat="1" applyFont="1" applyFill="1" applyBorder="1" applyAlignment="1" applyProtection="1">
      <alignment vertical="center"/>
    </xf>
    <xf numFmtId="0" fontId="11" fillId="8" borderId="0" xfId="0" applyNumberFormat="1" applyFont="1" applyFill="1" applyBorder="1" applyAlignment="1" applyProtection="1">
      <alignment vertical="center"/>
    </xf>
    <xf numFmtId="49" fontId="0" fillId="51" borderId="1" xfId="0" applyNumberFormat="1" applyFont="1" applyFill="1" applyBorder="1" applyAlignment="1" applyProtection="1">
      <alignment vertical="center"/>
    </xf>
    <xf numFmtId="0" fontId="2" fillId="48" borderId="0" xfId="48" applyNumberFormat="1" applyFont="1" applyFill="1" applyBorder="1" applyAlignment="1" applyProtection="1">
      <alignment vertical="center"/>
    </xf>
    <xf numFmtId="176" fontId="0" fillId="51" borderId="0" xfId="0" applyNumberFormat="1" applyFont="1" applyFill="1" applyBorder="1" applyAlignment="1" applyProtection="1">
      <alignment vertical="center"/>
    </xf>
    <xf numFmtId="0" fontId="0" fillId="51" borderId="0" xfId="0" applyNumberFormat="1" applyFont="1" applyFill="1" applyBorder="1" applyAlignment="1" applyProtection="1">
      <alignment horizontal="right" vertical="center"/>
    </xf>
    <xf numFmtId="0" fontId="2" fillId="2" borderId="0" xfId="48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horizontal="left"/>
    </xf>
    <xf numFmtId="0" fontId="6" fillId="37" borderId="0" xfId="0" applyNumberFormat="1" applyFont="1" applyFill="1" applyBorder="1" applyAlignment="1" applyProtection="1">
      <alignment horizontal="left" vertical="center"/>
    </xf>
    <xf numFmtId="49" fontId="0" fillId="37" borderId="0" xfId="0" applyNumberFormat="1" applyFont="1" applyFill="1" applyBorder="1" applyAlignment="1" applyProtection="1">
      <alignment horizontal="left" vertical="center"/>
    </xf>
    <xf numFmtId="0" fontId="2" fillId="42" borderId="0" xfId="48" applyNumberFormat="1" applyFont="1" applyFill="1" applyBorder="1" applyAlignment="1" applyProtection="1">
      <alignment vertical="center"/>
    </xf>
    <xf numFmtId="49" fontId="0" fillId="42" borderId="0" xfId="0" applyNumberFormat="1" applyFont="1" applyFill="1" applyBorder="1" applyAlignment="1" applyProtection="1">
      <alignment horizontal="left" vertical="center"/>
    </xf>
    <xf numFmtId="0" fontId="0" fillId="42" borderId="0" xfId="0" applyNumberFormat="1" applyFont="1" applyFill="1" applyBorder="1" applyAlignment="1" applyProtection="1">
      <alignment horizontal="left" vertical="center"/>
    </xf>
    <xf numFmtId="0" fontId="2" fillId="52" borderId="0" xfId="48" applyNumberFormat="1" applyFont="1" applyFill="1" applyBorder="1" applyAlignment="1" applyProtection="1">
      <alignment vertical="center"/>
    </xf>
    <xf numFmtId="49" fontId="0" fillId="52" borderId="0" xfId="0" applyNumberFormat="1" applyFont="1" applyFill="1" applyBorder="1" applyAlignment="1" applyProtection="1">
      <alignment horizontal="left" vertical="center"/>
    </xf>
    <xf numFmtId="0" fontId="0" fillId="52" borderId="0" xfId="0" applyNumberFormat="1" applyFont="1" applyFill="1" applyBorder="1" applyAlignment="1" applyProtection="1">
      <alignment horizontal="left" vertical="center"/>
    </xf>
    <xf numFmtId="49" fontId="2" fillId="52" borderId="0" xfId="0" applyNumberFormat="1" applyFont="1" applyFill="1" applyBorder="1" applyAlignment="1" applyProtection="1">
      <alignment horizontal="left" vertical="center"/>
    </xf>
    <xf numFmtId="49" fontId="2" fillId="52" borderId="0" xfId="0" applyNumberFormat="1" applyFont="1" applyFill="1" applyBorder="1" applyAlignment="1" applyProtection="1">
      <alignment vertical="center"/>
    </xf>
    <xf numFmtId="49" fontId="2" fillId="47" borderId="0" xfId="0" applyNumberFormat="1" applyFont="1" applyFill="1" applyBorder="1" applyAlignment="1" applyProtection="1">
      <alignment horizontal="left" vertical="center"/>
    </xf>
    <xf numFmtId="49" fontId="2" fillId="47" borderId="0" xfId="0" applyNumberFormat="1" applyFont="1" applyFill="1" applyBorder="1" applyAlignment="1" applyProtection="1">
      <alignment vertical="center"/>
    </xf>
    <xf numFmtId="49" fontId="0" fillId="46" borderId="0" xfId="0" applyNumberFormat="1" applyFont="1" applyFill="1" applyBorder="1" applyAlignment="1" applyProtection="1">
      <alignment horizontal="left" vertical="center"/>
    </xf>
    <xf numFmtId="49" fontId="0" fillId="48" borderId="0" xfId="0" applyNumberFormat="1" applyFont="1" applyFill="1" applyBorder="1" applyAlignment="1" applyProtection="1">
      <alignment horizontal="left" vertical="center"/>
    </xf>
    <xf numFmtId="0" fontId="0" fillId="48" borderId="0" xfId="0" applyNumberFormat="1" applyFont="1" applyFill="1" applyBorder="1" applyAlignment="1" applyProtection="1">
      <alignment horizontal="left" vertical="center"/>
    </xf>
    <xf numFmtId="0" fontId="2" fillId="41" borderId="0" xfId="48" applyNumberFormat="1" applyFont="1" applyFill="1" applyBorder="1" applyAlignment="1" applyProtection="1">
      <alignment vertical="center"/>
    </xf>
    <xf numFmtId="49" fontId="0" fillId="41" borderId="0" xfId="0" applyNumberFormat="1" applyFont="1" applyFill="1" applyBorder="1" applyAlignment="1" applyProtection="1">
      <alignment horizontal="left" vertical="center"/>
    </xf>
    <xf numFmtId="0" fontId="0" fillId="2" borderId="2" xfId="0" applyNumberFormat="1" applyFont="1" applyFill="1" applyBorder="1" applyAlignment="1" applyProtection="1">
      <alignment vertical="center"/>
    </xf>
    <xf numFmtId="0" fontId="0" fillId="37" borderId="2" xfId="0" applyNumberFormat="1" applyFont="1" applyFill="1" applyBorder="1" applyAlignment="1" applyProtection="1">
      <alignment vertical="center"/>
    </xf>
    <xf numFmtId="0" fontId="21" fillId="37" borderId="0" xfId="0" applyNumberFormat="1" applyFont="1" applyFill="1" applyBorder="1" applyAlignment="1" applyProtection="1">
      <alignment vertical="center"/>
    </xf>
    <xf numFmtId="0" fontId="5" fillId="37" borderId="0" xfId="0" applyNumberFormat="1" applyFont="1" applyFill="1" applyBorder="1" applyAlignment="1" applyProtection="1">
      <alignment vertical="center"/>
    </xf>
    <xf numFmtId="176" fontId="0" fillId="52" borderId="0" xfId="0" applyNumberFormat="1" applyFont="1" applyFill="1" applyBorder="1" applyAlignment="1" applyProtection="1">
      <alignment vertical="center"/>
    </xf>
    <xf numFmtId="176" fontId="2" fillId="52" borderId="0" xfId="0" applyNumberFormat="1" applyFont="1" applyFill="1" applyBorder="1" applyAlignment="1" applyProtection="1">
      <alignment vertical="center"/>
    </xf>
    <xf numFmtId="176" fontId="2" fillId="47" borderId="0" xfId="0" applyNumberFormat="1" applyFont="1" applyFill="1" applyBorder="1" applyAlignment="1" applyProtection="1">
      <alignment vertical="center"/>
    </xf>
    <xf numFmtId="0" fontId="2" fillId="37" borderId="0" xfId="0" applyNumberFormat="1" applyFont="1" applyFill="1" applyBorder="1" applyAlignment="1" applyProtection="1">
      <alignment vertical="center"/>
    </xf>
    <xf numFmtId="0" fontId="2" fillId="48" borderId="0" xfId="0" applyNumberFormat="1" applyFont="1" applyFill="1" applyBorder="1" applyAlignment="1" applyProtection="1">
      <alignment vertical="center"/>
    </xf>
    <xf numFmtId="49" fontId="0" fillId="2" borderId="0" xfId="0" applyNumberFormat="1" applyFont="1" applyFill="1" applyBorder="1" applyAlignment="1" applyProtection="1">
      <alignment vertical="center"/>
    </xf>
    <xf numFmtId="0" fontId="6" fillId="14" borderId="2" xfId="0" applyNumberFormat="1" applyFont="1" applyFill="1" applyBorder="1" applyAlignment="1" applyProtection="1">
      <alignment vertical="center"/>
    </xf>
    <xf numFmtId="0" fontId="11" fillId="37" borderId="0" xfId="0" applyNumberFormat="1" applyFont="1" applyFill="1" applyBorder="1" applyAlignment="1" applyProtection="1">
      <alignment vertical="center"/>
    </xf>
    <xf numFmtId="0" fontId="11" fillId="42" borderId="0" xfId="0" applyNumberFormat="1" applyFont="1" applyFill="1" applyBorder="1" applyAlignment="1" applyProtection="1">
      <alignment vertical="center"/>
    </xf>
    <xf numFmtId="0" fontId="11" fillId="52" borderId="0" xfId="0" applyNumberFormat="1" applyFont="1" applyFill="1" applyBorder="1" applyAlignment="1" applyProtection="1">
      <alignment vertical="center"/>
    </xf>
    <xf numFmtId="49" fontId="0" fillId="52" borderId="0" xfId="0" applyNumberFormat="1" applyFont="1" applyFill="1" applyBorder="1" applyAlignment="1" applyProtection="1">
      <alignment vertical="center"/>
    </xf>
    <xf numFmtId="0" fontId="11" fillId="47" borderId="0" xfId="0" applyNumberFormat="1" applyFont="1" applyFill="1" applyBorder="1" applyAlignment="1" applyProtection="1">
      <alignment vertical="center"/>
    </xf>
    <xf numFmtId="0" fontId="11" fillId="48" borderId="0" xfId="0" applyNumberFormat="1" applyFont="1" applyFill="1" applyBorder="1" applyAlignment="1" applyProtection="1">
      <alignment vertical="center"/>
    </xf>
    <xf numFmtId="49" fontId="0" fillId="48" borderId="0" xfId="0" applyNumberFormat="1" applyFont="1" applyFill="1" applyBorder="1" applyAlignment="1" applyProtection="1">
      <alignment vertical="center"/>
    </xf>
    <xf numFmtId="0" fontId="11" fillId="41" borderId="0" xfId="0" applyNumberFormat="1" applyFont="1" applyFill="1" applyBorder="1" applyAlignment="1" applyProtection="1">
      <alignment vertical="center"/>
    </xf>
    <xf numFmtId="49" fontId="0" fillId="41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69" borderId="0" xfId="0" applyNumberFormat="1" applyFont="1" applyFill="1" applyBorder="1" applyAlignment="1" applyProtection="1">
      <alignment vertical="center"/>
    </xf>
    <xf numFmtId="176" fontId="2" fillId="13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 quotePrefix="1">
      <alignment vertical="center"/>
    </xf>
    <xf numFmtId="0" fontId="0" fillId="0" borderId="0" xfId="0" applyNumberFormat="1" applyFont="1" applyFill="1" applyBorder="1" applyAlignment="1" applyProtection="1" quotePrefix="1">
      <alignment vertical="center"/>
    </xf>
    <xf numFmtId="0" fontId="0" fillId="20" borderId="0" xfId="0" applyNumberFormat="1" applyFont="1" applyFill="1" applyBorder="1" applyAlignment="1" applyProtection="1" quotePrefix="1">
      <alignment vertical="center"/>
    </xf>
    <xf numFmtId="0" fontId="0" fillId="22" borderId="0" xfId="0" applyNumberFormat="1" applyFont="1" applyFill="1" applyBorder="1" applyAlignment="1" applyProtection="1" quotePrefix="1">
      <alignment vertical="center"/>
    </xf>
    <xf numFmtId="0" fontId="0" fillId="23" borderId="0" xfId="0" applyNumberFormat="1" applyFont="1" applyFill="1" applyBorder="1" applyAlignment="1" applyProtection="1" quotePrefix="1">
      <alignment vertical="center"/>
    </xf>
    <xf numFmtId="0" fontId="0" fillId="24" borderId="0" xfId="0" applyNumberFormat="1" applyFont="1" applyFill="1" applyBorder="1" applyAlignment="1" applyProtection="1" quotePrefix="1">
      <alignment vertical="center"/>
    </xf>
    <xf numFmtId="0" fontId="0" fillId="25" borderId="0" xfId="0" applyNumberFormat="1" applyFont="1" applyFill="1" applyBorder="1" applyAlignment="1" applyProtection="1" quotePrefix="1">
      <alignment vertical="center"/>
    </xf>
    <xf numFmtId="0" fontId="0" fillId="26" borderId="0" xfId="0" applyNumberFormat="1" applyFont="1" applyFill="1" applyBorder="1" applyAlignment="1" applyProtection="1" quotePrefix="1">
      <alignment vertical="center"/>
    </xf>
    <xf numFmtId="0" fontId="0" fillId="30" borderId="0" xfId="0" applyNumberFormat="1" applyFont="1" applyFill="1" applyBorder="1" applyAlignment="1" applyProtection="1" quotePrefix="1">
      <alignment vertical="center"/>
    </xf>
    <xf numFmtId="0" fontId="0" fillId="10" borderId="0" xfId="0" applyNumberFormat="1" applyFont="1" applyFill="1" applyBorder="1" applyAlignment="1" applyProtection="1" quotePrefix="1">
      <alignment horizontal="left" vertical="center"/>
    </xf>
    <xf numFmtId="0" fontId="0" fillId="13" borderId="0" xfId="0" applyNumberFormat="1" applyFont="1" applyFill="1" applyBorder="1" applyAlignment="1" applyProtection="1" quotePrefix="1">
      <alignment vertical="center"/>
    </xf>
    <xf numFmtId="0" fontId="0" fillId="51" borderId="0" xfId="0" applyNumberFormat="1" applyFont="1" applyFill="1" applyBorder="1" applyAlignment="1" applyProtection="1" quotePrefix="1">
      <alignment vertical="center"/>
    </xf>
    <xf numFmtId="0" fontId="0" fillId="48" borderId="0" xfId="0" applyNumberFormat="1" applyFont="1" applyFill="1" applyBorder="1" applyAlignment="1" applyProtection="1" quotePrefix="1">
      <alignment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着色 2 2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20% - 着色 1 2" xfId="27"/>
    <cellStyle name="检查单元格" xfId="28" builtinId="23"/>
    <cellStyle name="40% - 着色 5 2" xfId="29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着色 6 2" xfId="46"/>
    <cellStyle name="强调文字颜色 5" xfId="47" builtinId="45"/>
    <cellStyle name="常规 2 2" xfId="48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20% - 着色 4 2" xfId="54"/>
    <cellStyle name="常规 2" xfId="55"/>
    <cellStyle name="常规 3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6D576"/>
      <color rgb="00FFBDFF"/>
      <color rgb="00FFD5FF"/>
      <color rgb="00FFC9FF"/>
      <color rgb="00D241DF"/>
      <color rgb="0033D8E3"/>
      <color rgb="00FFADFB"/>
      <color rgb="00FFC000"/>
      <color rgb="00F2E9CA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0</xdr:colOff>
      <xdr:row>1377</xdr:row>
      <xdr:rowOff>0</xdr:rowOff>
    </xdr:from>
    <xdr:to>
      <xdr:col>13</xdr:col>
      <xdr:colOff>304800</xdr:colOff>
      <xdr:row>1378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16880840" y="258634230"/>
          <a:ext cx="304800" cy="323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132715</xdr:colOff>
      <xdr:row>52</xdr:row>
      <xdr:rowOff>104775</xdr:rowOff>
    </xdr:from>
    <xdr:to>
      <xdr:col>1</xdr:col>
      <xdr:colOff>3943985</xdr:colOff>
      <xdr:row>59</xdr:row>
      <xdr:rowOff>28575</xdr:rowOff>
    </xdr:to>
    <xdr:pic>
      <xdr:nvPicPr>
        <xdr:cNvPr id="2" name="图片 1" descr="C:\Users\Administrator\Documents\QQEIM Files\2881937265\Image\C2C\Image1\6H)Y}0}G_){T0H~3H2EWUJK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3365" y="11531600"/>
          <a:ext cx="3811270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27</xdr:row>
      <xdr:rowOff>0</xdr:rowOff>
    </xdr:from>
    <xdr:to>
      <xdr:col>7</xdr:col>
      <xdr:colOff>304800</xdr:colOff>
      <xdr:row>28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stretch>
          <a:fillRect/>
        </a:stretch>
      </xdr:blipFill>
      <xdr:spPr>
        <a:xfrm>
          <a:off x="4800600" y="4886325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304800</xdr:colOff>
      <xdr:row>21</xdr:row>
      <xdr:rowOff>123825</xdr:rowOff>
    </xdr:to>
    <xdr:pic>
      <xdr:nvPicPr>
        <xdr:cNvPr id="7" name="图片 6"/>
        <xdr:cNvPicPr>
          <a:picLocks noChangeAspect="1"/>
        </xdr:cNvPicPr>
      </xdr:nvPicPr>
      <xdr:blipFill>
        <a:stretch>
          <a:fillRect/>
        </a:stretch>
      </xdr:blipFill>
      <xdr:spPr>
        <a:xfrm>
          <a:off x="2057400" y="3619500"/>
          <a:ext cx="304800" cy="304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2312"/>
  <sheetViews>
    <sheetView tabSelected="1" workbookViewId="0">
      <pane xSplit="3" ySplit="6" topLeftCell="K1384" activePane="bottomRight" state="frozen"/>
      <selection/>
      <selection pane="topRight"/>
      <selection pane="bottomLeft"/>
      <selection pane="bottomRight" activeCell="N1400" sqref="N1400"/>
    </sheetView>
  </sheetViews>
  <sheetFormatPr defaultColWidth="9" defaultRowHeight="14.25"/>
  <cols>
    <col min="1" max="1" width="14.625" customWidth="1"/>
    <col min="2" max="2" width="27.25" customWidth="1"/>
    <col min="3" max="3" width="25.5083333333333" customWidth="1"/>
    <col min="4" max="4" width="15.25" customWidth="1"/>
    <col min="5" max="5" width="17.25" customWidth="1"/>
    <col min="6" max="6" width="13" customWidth="1"/>
    <col min="7" max="7" width="10.825" customWidth="1"/>
    <col min="8" max="8" width="20.25" style="82" customWidth="1"/>
    <col min="9" max="9" width="9" customWidth="1"/>
    <col min="10" max="10" width="17.75" customWidth="1"/>
    <col min="11" max="11" width="13.825" customWidth="1"/>
    <col min="12" max="12" width="19.25" customWidth="1"/>
    <col min="13" max="13" width="17.75" customWidth="1"/>
    <col min="14" max="14" width="96.125" customWidth="1"/>
    <col min="15" max="15" width="16.0666666666667" customWidth="1"/>
    <col min="16" max="16" width="17.3333333333333" customWidth="1"/>
    <col min="17" max="17" width="13.3333333333333" customWidth="1"/>
    <col min="18" max="18" width="25" customWidth="1"/>
    <col min="19" max="21" width="27.3333333333333" customWidth="1"/>
    <col min="22" max="22" width="31.75" customWidth="1"/>
    <col min="23" max="23" width="21.0666666666667" customWidth="1"/>
    <col min="24" max="24" width="21.0666666666667" style="7" customWidth="1"/>
    <col min="25" max="28" width="18.3333333333333" customWidth="1"/>
    <col min="29" max="29" width="21.5833333333333" customWidth="1"/>
    <col min="30" max="30" width="18.3333333333333" customWidth="1"/>
    <col min="31" max="31" width="50" customWidth="1"/>
    <col min="32" max="32" width="23.8416666666667" customWidth="1"/>
    <col min="33" max="33" width="19.25" customWidth="1"/>
    <col min="34" max="34" width="24.3333333333333" customWidth="1"/>
    <col min="35" max="35" width="33.825" customWidth="1"/>
    <col min="36" max="36" width="27.25" customWidth="1"/>
    <col min="37" max="37" width="15.0666666666667" customWidth="1"/>
    <col min="38" max="38" width="13.75" customWidth="1"/>
    <col min="39" max="39" width="15.0666666666667" customWidth="1"/>
    <col min="40" max="40" width="15.75" style="8" customWidth="1"/>
    <col min="41" max="41" width="32.75" customWidth="1"/>
    <col min="42" max="42" width="13.5833333333333" customWidth="1"/>
    <col min="43" max="43" width="13.825" customWidth="1"/>
    <col min="44" max="44" width="15.825" customWidth="1"/>
    <col min="45" max="45" width="56.75" customWidth="1"/>
    <col min="46" max="47" width="17.3333333333333" customWidth="1"/>
    <col min="48" max="48" width="17.25" customWidth="1"/>
    <col min="49" max="49" width="27.25" customWidth="1"/>
    <col min="50" max="52" width="21.875" customWidth="1"/>
  </cols>
  <sheetData>
    <row r="1" spans="1:20">
      <c r="A1" t="s">
        <v>0</v>
      </c>
      <c r="B1">
        <v>1</v>
      </c>
      <c r="C1">
        <v>9999</v>
      </c>
      <c r="D1">
        <v>52</v>
      </c>
      <c r="S1"/>
      <c r="T1"/>
    </row>
    <row r="2" s="19" customFormat="1" ht="125.15" customHeight="1" spans="1:55">
      <c r="A2" s="83" t="s">
        <v>1</v>
      </c>
      <c r="B2" s="19" t="s">
        <v>2</v>
      </c>
      <c r="C2" s="19" t="s">
        <v>3</v>
      </c>
      <c r="D2" s="84" t="s">
        <v>4</v>
      </c>
      <c r="E2" s="84" t="s">
        <v>5</v>
      </c>
      <c r="F2" s="85" t="s">
        <v>6</v>
      </c>
      <c r="G2" s="86" t="s">
        <v>7</v>
      </c>
      <c r="H2" s="87" t="s">
        <v>8</v>
      </c>
      <c r="I2" s="19" t="s">
        <v>9</v>
      </c>
      <c r="J2" s="87" t="s">
        <v>10</v>
      </c>
      <c r="K2" s="84" t="s">
        <v>11</v>
      </c>
      <c r="L2" s="83" t="s">
        <v>12</v>
      </c>
      <c r="M2" s="19" t="s">
        <v>13</v>
      </c>
      <c r="N2" s="19" t="s">
        <v>14</v>
      </c>
      <c r="O2" s="84" t="s">
        <v>15</v>
      </c>
      <c r="P2" s="19" t="s">
        <v>16</v>
      </c>
      <c r="Q2" s="86" t="s">
        <v>17</v>
      </c>
      <c r="R2" s="86" t="s">
        <v>18</v>
      </c>
      <c r="S2" s="19" t="s">
        <v>19</v>
      </c>
      <c r="T2" s="19" t="s">
        <v>20</v>
      </c>
      <c r="U2" s="19" t="s">
        <v>21</v>
      </c>
      <c r="V2" s="113" t="s">
        <v>22</v>
      </c>
      <c r="W2" s="113" t="s">
        <v>23</v>
      </c>
      <c r="X2" s="114" t="s">
        <v>24</v>
      </c>
      <c r="Y2" s="85" t="s">
        <v>25</v>
      </c>
      <c r="Z2" s="83" t="s">
        <v>26</v>
      </c>
      <c r="AA2" s="83" t="s">
        <v>27</v>
      </c>
      <c r="AB2" s="19" t="s">
        <v>28</v>
      </c>
      <c r="AC2" s="83" t="s">
        <v>29</v>
      </c>
      <c r="AD2" s="19" t="s">
        <v>30</v>
      </c>
      <c r="AE2" s="19" t="s">
        <v>31</v>
      </c>
      <c r="AF2" s="19" t="s">
        <v>32</v>
      </c>
      <c r="AG2" s="19" t="s">
        <v>33</v>
      </c>
      <c r="AH2" s="83" t="s">
        <v>34</v>
      </c>
      <c r="AI2" s="83" t="s">
        <v>35</v>
      </c>
      <c r="AJ2" s="83" t="s">
        <v>36</v>
      </c>
      <c r="AK2" s="19" t="s">
        <v>37</v>
      </c>
      <c r="AL2" s="19" t="s">
        <v>38</v>
      </c>
      <c r="AM2" s="19" t="s">
        <v>39</v>
      </c>
      <c r="AN2" s="118" t="s">
        <v>40</v>
      </c>
      <c r="AO2" s="118" t="s">
        <v>41</v>
      </c>
      <c r="AP2" s="118" t="s">
        <v>42</v>
      </c>
      <c r="AQ2" s="118" t="s">
        <v>43</v>
      </c>
      <c r="AR2" s="19" t="s">
        <v>44</v>
      </c>
      <c r="AS2" s="19" t="s">
        <v>45</v>
      </c>
      <c r="AT2" s="122" t="s">
        <v>46</v>
      </c>
      <c r="AU2" s="122" t="s">
        <v>47</v>
      </c>
      <c r="AV2" s="83" t="s">
        <v>48</v>
      </c>
      <c r="AW2" s="19" t="s">
        <v>49</v>
      </c>
      <c r="AX2" s="19" t="s">
        <v>50</v>
      </c>
      <c r="AY2" s="19" t="s">
        <v>51</v>
      </c>
      <c r="AZ2" s="19" t="s">
        <v>52</v>
      </c>
      <c r="BA2" s="19" t="s">
        <v>53</v>
      </c>
      <c r="BB2" s="19" t="s">
        <v>54</v>
      </c>
      <c r="BC2" s="19" t="s">
        <v>55</v>
      </c>
    </row>
    <row r="3" spans="1:52">
      <c r="A3" t="s">
        <v>56</v>
      </c>
      <c r="D3" t="s">
        <v>57</v>
      </c>
      <c r="E3" t="s">
        <v>58</v>
      </c>
      <c r="F3" t="s">
        <v>59</v>
      </c>
      <c r="G3" t="s">
        <v>60</v>
      </c>
      <c r="H3" s="88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s="7" t="s">
        <v>77</v>
      </c>
      <c r="Y3" t="s">
        <v>78</v>
      </c>
      <c r="Z3" t="s">
        <v>79</v>
      </c>
      <c r="AA3" t="s">
        <v>80</v>
      </c>
      <c r="AB3" t="s">
        <v>81</v>
      </c>
      <c r="AC3" t="s">
        <v>82</v>
      </c>
      <c r="AD3" t="s">
        <v>83</v>
      </c>
      <c r="AE3" t="s">
        <v>84</v>
      </c>
      <c r="AF3" t="s">
        <v>85</v>
      </c>
      <c r="AG3" t="s">
        <v>86</v>
      </c>
      <c r="AH3" t="s">
        <v>87</v>
      </c>
      <c r="AI3" t="s">
        <v>88</v>
      </c>
      <c r="AJ3" t="s">
        <v>89</v>
      </c>
      <c r="AK3" t="s">
        <v>90</v>
      </c>
      <c r="AL3" t="s">
        <v>91</v>
      </c>
      <c r="AM3" t="s">
        <v>92</v>
      </c>
      <c r="AN3" s="8" t="s">
        <v>93</v>
      </c>
      <c r="AO3" t="s">
        <v>94</v>
      </c>
      <c r="AP3" s="8" t="s">
        <v>95</v>
      </c>
      <c r="AQ3" t="s">
        <v>96</v>
      </c>
      <c r="AR3" s="8" t="s">
        <v>97</v>
      </c>
      <c r="AS3" t="s">
        <v>98</v>
      </c>
      <c r="AT3" s="11" t="s">
        <v>99</v>
      </c>
      <c r="AU3" s="11" t="s">
        <v>100</v>
      </c>
      <c r="AW3" t="s">
        <v>101</v>
      </c>
      <c r="AX3" t="s">
        <v>102</v>
      </c>
      <c r="AY3" t="s">
        <v>103</v>
      </c>
      <c r="AZ3" t="s">
        <v>104</v>
      </c>
    </row>
    <row r="4" spans="1:52">
      <c r="A4" t="s">
        <v>105</v>
      </c>
      <c r="D4" t="s">
        <v>105</v>
      </c>
      <c r="E4" t="s">
        <v>105</v>
      </c>
      <c r="F4" t="s">
        <v>106</v>
      </c>
      <c r="G4" t="s">
        <v>105</v>
      </c>
      <c r="H4" s="88" t="s">
        <v>105</v>
      </c>
      <c r="I4" t="s">
        <v>107</v>
      </c>
      <c r="J4" t="s">
        <v>108</v>
      </c>
      <c r="K4" t="s">
        <v>107</v>
      </c>
      <c r="L4" t="s">
        <v>105</v>
      </c>
      <c r="M4" t="s">
        <v>107</v>
      </c>
      <c r="N4" t="s">
        <v>109</v>
      </c>
      <c r="O4" t="s">
        <v>105</v>
      </c>
      <c r="P4" t="s">
        <v>107</v>
      </c>
      <c r="Q4" t="s">
        <v>110</v>
      </c>
      <c r="R4" t="s">
        <v>105</v>
      </c>
      <c r="S4" t="s">
        <v>108</v>
      </c>
      <c r="T4" t="s">
        <v>107</v>
      </c>
      <c r="U4" t="s">
        <v>107</v>
      </c>
      <c r="V4" t="s">
        <v>105</v>
      </c>
      <c r="W4" t="s">
        <v>105</v>
      </c>
      <c r="X4" s="7" t="s">
        <v>105</v>
      </c>
      <c r="Y4" t="s">
        <v>107</v>
      </c>
      <c r="Z4" t="s">
        <v>105</v>
      </c>
      <c r="AA4" t="s">
        <v>110</v>
      </c>
      <c r="AB4" t="s">
        <v>111</v>
      </c>
      <c r="AC4" t="s">
        <v>106</v>
      </c>
      <c r="AD4" t="s">
        <v>105</v>
      </c>
      <c r="AE4" t="s">
        <v>109</v>
      </c>
      <c r="AF4" t="s">
        <v>107</v>
      </c>
      <c r="AG4" t="s">
        <v>112</v>
      </c>
      <c r="AH4" t="s">
        <v>110</v>
      </c>
      <c r="AI4" t="s">
        <v>105</v>
      </c>
      <c r="AJ4" t="s">
        <v>105</v>
      </c>
      <c r="AK4" t="s">
        <v>109</v>
      </c>
      <c r="AL4" t="s">
        <v>113</v>
      </c>
      <c r="AM4" t="s">
        <v>107</v>
      </c>
      <c r="AN4" s="8" t="s">
        <v>114</v>
      </c>
      <c r="AO4" t="s">
        <v>115</v>
      </c>
      <c r="AP4" s="8" t="s">
        <v>114</v>
      </c>
      <c r="AQ4" t="s">
        <v>115</v>
      </c>
      <c r="AR4" t="s">
        <v>115</v>
      </c>
      <c r="AS4" t="s">
        <v>109</v>
      </c>
      <c r="AT4" s="11" t="s">
        <v>105</v>
      </c>
      <c r="AU4" s="11" t="s">
        <v>105</v>
      </c>
      <c r="AW4" t="s">
        <v>107</v>
      </c>
      <c r="AX4" t="s">
        <v>105</v>
      </c>
      <c r="AY4" t="s">
        <v>116</v>
      </c>
      <c r="AZ4" t="s">
        <v>105</v>
      </c>
    </row>
    <row r="5" ht="15.75" customHeight="1" spans="1:52">
      <c r="A5" t="s">
        <v>117</v>
      </c>
      <c r="D5" t="s">
        <v>118</v>
      </c>
      <c r="E5" t="s">
        <v>118</v>
      </c>
      <c r="F5" t="s">
        <v>118</v>
      </c>
      <c r="G5" t="s">
        <v>118</v>
      </c>
      <c r="H5" s="82" t="s">
        <v>119</v>
      </c>
      <c r="I5" t="s">
        <v>118</v>
      </c>
      <c r="J5" t="s">
        <v>119</v>
      </c>
      <c r="K5" t="s">
        <v>118</v>
      </c>
      <c r="L5" t="s">
        <v>118</v>
      </c>
      <c r="M5" t="s">
        <v>118</v>
      </c>
      <c r="N5" t="s">
        <v>118</v>
      </c>
      <c r="O5" t="s">
        <v>118</v>
      </c>
      <c r="P5" t="s">
        <v>118</v>
      </c>
      <c r="Q5" t="s">
        <v>118</v>
      </c>
      <c r="R5" t="s">
        <v>118</v>
      </c>
      <c r="S5" t="s">
        <v>118</v>
      </c>
      <c r="T5" t="s">
        <v>118</v>
      </c>
      <c r="U5" t="s">
        <v>118</v>
      </c>
      <c r="V5" t="s">
        <v>118</v>
      </c>
      <c r="W5" t="s">
        <v>118</v>
      </c>
      <c r="X5" s="7" t="s">
        <v>118</v>
      </c>
      <c r="Y5" t="s">
        <v>118</v>
      </c>
      <c r="Z5" t="s">
        <v>118</v>
      </c>
      <c r="AA5" t="s">
        <v>119</v>
      </c>
      <c r="AB5" t="s">
        <v>118</v>
      </c>
      <c r="AC5" t="s">
        <v>118</v>
      </c>
      <c r="AD5" t="s">
        <v>118</v>
      </c>
      <c r="AE5" t="s">
        <v>118</v>
      </c>
      <c r="AF5" t="s">
        <v>118</v>
      </c>
      <c r="AG5" t="s">
        <v>119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s="8" t="s">
        <v>118</v>
      </c>
      <c r="AO5" t="s">
        <v>118</v>
      </c>
      <c r="AP5" s="8" t="s">
        <v>118</v>
      </c>
      <c r="AQ5" t="s">
        <v>118</v>
      </c>
      <c r="AR5" s="8" t="s">
        <v>118</v>
      </c>
      <c r="AS5" t="s">
        <v>118</v>
      </c>
      <c r="AT5" s="11" t="s">
        <v>118</v>
      </c>
      <c r="AU5" s="11" t="s">
        <v>118</v>
      </c>
      <c r="AW5" t="s">
        <v>118</v>
      </c>
      <c r="AX5" t="s">
        <v>118</v>
      </c>
      <c r="AY5" t="s">
        <v>118</v>
      </c>
      <c r="AZ5" t="s">
        <v>118</v>
      </c>
    </row>
    <row r="6" ht="12.75" customHeight="1" spans="1:48">
      <c r="A6" t="s">
        <v>120</v>
      </c>
      <c r="D6" t="s">
        <v>121</v>
      </c>
      <c r="E6" t="s">
        <v>122</v>
      </c>
      <c r="F6" t="s">
        <v>123</v>
      </c>
      <c r="G6" t="s">
        <v>124</v>
      </c>
      <c r="I6" s="99" t="s">
        <v>125</v>
      </c>
      <c r="K6" t="s">
        <v>126</v>
      </c>
      <c r="V6" t="s">
        <v>127</v>
      </c>
      <c r="W6" t="s">
        <v>128</v>
      </c>
      <c r="X6" s="7" t="s">
        <v>129</v>
      </c>
      <c r="Y6" t="s">
        <v>130</v>
      </c>
      <c r="AP6" s="8"/>
      <c r="AV6" t="s">
        <v>131</v>
      </c>
    </row>
    <row r="7" spans="1:54">
      <c r="A7">
        <v>1</v>
      </c>
      <c r="B7" s="52" t="s">
        <v>132</v>
      </c>
      <c r="C7" s="52" t="s">
        <v>133</v>
      </c>
      <c r="D7" s="52">
        <v>1</v>
      </c>
      <c r="E7" s="89">
        <v>0</v>
      </c>
      <c r="F7" s="89"/>
      <c r="G7" s="89">
        <v>1</v>
      </c>
      <c r="H7" s="90" t="s">
        <v>134</v>
      </c>
      <c r="I7" s="52">
        <v>2</v>
      </c>
      <c r="J7" s="52">
        <v>1.6</v>
      </c>
      <c r="K7" s="52"/>
      <c r="L7" s="52">
        <f>IF(X7&gt;4,1,0)</f>
        <v>0</v>
      </c>
      <c r="M7" s="52">
        <f t="shared" ref="M7:M38" si="0">I7-0.4</f>
        <v>1.6</v>
      </c>
      <c r="N7" s="52" t="s">
        <v>135</v>
      </c>
      <c r="O7">
        <v>1</v>
      </c>
      <c r="P7">
        <v>1.3</v>
      </c>
      <c r="Q7">
        <v>0</v>
      </c>
      <c r="S7">
        <v>0</v>
      </c>
      <c r="V7">
        <v>1</v>
      </c>
      <c r="W7">
        <v>0</v>
      </c>
      <c r="X7" s="7">
        <v>3</v>
      </c>
      <c r="Y7">
        <v>-0.1</v>
      </c>
      <c r="Z7">
        <v>0</v>
      </c>
      <c r="AD7">
        <v>0</v>
      </c>
      <c r="AF7">
        <f>IF(AD7=--1,0.5,0)</f>
        <v>0</v>
      </c>
      <c r="AN7" s="8">
        <v>1</v>
      </c>
      <c r="AO7" t="s">
        <v>136</v>
      </c>
      <c r="AV7" s="8">
        <v>1</v>
      </c>
      <c r="BB7" s="7"/>
    </row>
    <row r="8" spans="1:48">
      <c r="A8">
        <v>2</v>
      </c>
      <c r="B8" s="52" t="s">
        <v>132</v>
      </c>
      <c r="C8" s="52" t="s">
        <v>137</v>
      </c>
      <c r="D8" s="52">
        <v>1</v>
      </c>
      <c r="E8" s="89">
        <v>0</v>
      </c>
      <c r="F8" s="89"/>
      <c r="G8" s="89">
        <v>1</v>
      </c>
      <c r="H8" s="90" t="s">
        <v>138</v>
      </c>
      <c r="I8" s="52">
        <v>3.16666666666667</v>
      </c>
      <c r="J8" s="52">
        <v>3.16666666666667</v>
      </c>
      <c r="K8" s="52"/>
      <c r="L8" s="52">
        <f t="shared" ref="L8:L71" si="1">IF(X8&gt;4,1,0)</f>
        <v>1</v>
      </c>
      <c r="M8" s="52">
        <f t="shared" si="0"/>
        <v>2.76666666666667</v>
      </c>
      <c r="N8" s="100" t="s">
        <v>139</v>
      </c>
      <c r="O8">
        <v>1</v>
      </c>
      <c r="P8">
        <v>1.3</v>
      </c>
      <c r="Q8">
        <v>0</v>
      </c>
      <c r="S8">
        <v>0</v>
      </c>
      <c r="V8">
        <v>1</v>
      </c>
      <c r="W8">
        <v>0</v>
      </c>
      <c r="X8" s="7">
        <v>13</v>
      </c>
      <c r="Y8">
        <v>-0.1</v>
      </c>
      <c r="Z8">
        <v>0</v>
      </c>
      <c r="AD8">
        <v>0</v>
      </c>
      <c r="AF8">
        <f>IF(AD8=--1,0.5,0)</f>
        <v>0</v>
      </c>
      <c r="AN8" s="8">
        <v>2</v>
      </c>
      <c r="AO8" t="s">
        <v>136</v>
      </c>
      <c r="AV8" s="8"/>
    </row>
    <row r="9" spans="1:48">
      <c r="A9">
        <v>3</v>
      </c>
      <c r="B9" s="52" t="s">
        <v>132</v>
      </c>
      <c r="C9" s="52" t="s">
        <v>140</v>
      </c>
      <c r="D9" s="52">
        <v>1</v>
      </c>
      <c r="E9" s="89">
        <v>0</v>
      </c>
      <c r="F9" s="89"/>
      <c r="G9" s="89">
        <v>1</v>
      </c>
      <c r="H9" s="90" t="s">
        <v>141</v>
      </c>
      <c r="I9" s="52">
        <v>6.23333333333333</v>
      </c>
      <c r="J9" s="52">
        <v>6.23333333333333</v>
      </c>
      <c r="K9" s="52"/>
      <c r="L9" s="52">
        <v>1</v>
      </c>
      <c r="M9" s="52">
        <f t="shared" si="0"/>
        <v>5.83333333333333</v>
      </c>
      <c r="N9" s="101" t="s">
        <v>142</v>
      </c>
      <c r="O9">
        <v>1</v>
      </c>
      <c r="P9">
        <v>1.3</v>
      </c>
      <c r="Q9">
        <v>0</v>
      </c>
      <c r="S9">
        <v>0</v>
      </c>
      <c r="V9">
        <v>1</v>
      </c>
      <c r="W9">
        <v>0</v>
      </c>
      <c r="X9" s="7">
        <v>1</v>
      </c>
      <c r="Y9">
        <v>-0.1</v>
      </c>
      <c r="Z9">
        <v>1</v>
      </c>
      <c r="AD9">
        <v>1</v>
      </c>
      <c r="AE9" t="s">
        <v>143</v>
      </c>
      <c r="AF9">
        <f>IF(AD9=--1,0.5,0)</f>
        <v>0.5</v>
      </c>
      <c r="AH9">
        <v>0</v>
      </c>
      <c r="AP9">
        <v>3</v>
      </c>
      <c r="AQ9" t="s">
        <v>136</v>
      </c>
      <c r="AV9" s="8"/>
    </row>
    <row r="10" spans="1:48">
      <c r="A10">
        <v>4</v>
      </c>
      <c r="B10" s="52" t="s">
        <v>132</v>
      </c>
      <c r="C10" s="52" t="s">
        <v>144</v>
      </c>
      <c r="D10" s="52">
        <v>1</v>
      </c>
      <c r="E10" s="89">
        <v>0</v>
      </c>
      <c r="F10" s="89"/>
      <c r="G10" s="89">
        <v>1</v>
      </c>
      <c r="H10" s="90" t="s">
        <v>145</v>
      </c>
      <c r="I10" s="52">
        <v>7.66667</v>
      </c>
      <c r="J10" s="52">
        <v>7.66667</v>
      </c>
      <c r="K10" s="52"/>
      <c r="L10" s="52">
        <v>1</v>
      </c>
      <c r="M10" s="52">
        <f t="shared" si="0"/>
        <v>7.26667</v>
      </c>
      <c r="N10" s="101" t="s">
        <v>146</v>
      </c>
      <c r="O10">
        <v>1</v>
      </c>
      <c r="P10">
        <v>1.3</v>
      </c>
      <c r="Q10">
        <v>0</v>
      </c>
      <c r="S10">
        <v>0</v>
      </c>
      <c r="V10">
        <v>1</v>
      </c>
      <c r="W10">
        <v>1</v>
      </c>
      <c r="X10" s="7">
        <v>1</v>
      </c>
      <c r="Y10">
        <v>-0.1</v>
      </c>
      <c r="Z10">
        <v>0</v>
      </c>
      <c r="AD10">
        <v>1</v>
      </c>
      <c r="AE10" t="s">
        <v>147</v>
      </c>
      <c r="AF10">
        <f>IF(AD10=--1,0.5,0)</f>
        <v>0.5</v>
      </c>
      <c r="AO10" s="11"/>
      <c r="AP10" s="8">
        <v>4</v>
      </c>
      <c r="AQ10" t="s">
        <v>136</v>
      </c>
      <c r="AV10" s="8"/>
    </row>
    <row r="11" spans="1:48">
      <c r="A11">
        <v>5</v>
      </c>
      <c r="B11" s="52" t="s">
        <v>132</v>
      </c>
      <c r="C11" s="52" t="s">
        <v>148</v>
      </c>
      <c r="D11" s="52">
        <v>1</v>
      </c>
      <c r="E11" s="89">
        <v>0</v>
      </c>
      <c r="F11" s="89"/>
      <c r="G11" s="89">
        <v>1</v>
      </c>
      <c r="H11" s="90" t="s">
        <v>149</v>
      </c>
      <c r="I11" s="52">
        <v>11.3666666666667</v>
      </c>
      <c r="J11" s="52">
        <v>11.3666666666667</v>
      </c>
      <c r="K11" s="52"/>
      <c r="L11" s="52">
        <v>1</v>
      </c>
      <c r="M11" s="52">
        <f t="shared" si="0"/>
        <v>10.9666666666667</v>
      </c>
      <c r="N11" s="100" t="s">
        <v>150</v>
      </c>
      <c r="O11">
        <v>1</v>
      </c>
      <c r="P11">
        <v>1.3</v>
      </c>
      <c r="Q11">
        <v>2</v>
      </c>
      <c r="S11">
        <v>0</v>
      </c>
      <c r="V11">
        <v>1</v>
      </c>
      <c r="W11">
        <v>0</v>
      </c>
      <c r="X11" s="7">
        <v>5</v>
      </c>
      <c r="Y11">
        <v>-0.1</v>
      </c>
      <c r="Z11">
        <v>0</v>
      </c>
      <c r="AB11">
        <v>10.8</v>
      </c>
      <c r="AC11">
        <v>1</v>
      </c>
      <c r="AD11">
        <v>1</v>
      </c>
      <c r="AE11" t="s">
        <v>151</v>
      </c>
      <c r="AF11">
        <f t="shared" ref="AF11:AF74" si="2">IF(AD11=--1,0.5,0)</f>
        <v>0.5</v>
      </c>
      <c r="AH11">
        <v>0</v>
      </c>
      <c r="AN11" s="8" t="s">
        <v>152</v>
      </c>
      <c r="AO11" t="s">
        <v>153</v>
      </c>
      <c r="AV11" s="8"/>
    </row>
    <row r="12" spans="1:55">
      <c r="A12">
        <v>6</v>
      </c>
      <c r="B12" s="52" t="s">
        <v>132</v>
      </c>
      <c r="C12" s="91" t="s">
        <v>154</v>
      </c>
      <c r="D12" s="52">
        <v>1</v>
      </c>
      <c r="E12" s="89">
        <v>0</v>
      </c>
      <c r="F12" s="89"/>
      <c r="G12" s="89">
        <v>1</v>
      </c>
      <c r="H12" s="90" t="s">
        <v>155</v>
      </c>
      <c r="I12" s="52">
        <v>2.33333333333333</v>
      </c>
      <c r="J12" s="52">
        <v>2.33333333333333</v>
      </c>
      <c r="K12" s="52"/>
      <c r="L12" s="52">
        <f t="shared" si="1"/>
        <v>0</v>
      </c>
      <c r="M12" s="52">
        <f t="shared" si="0"/>
        <v>1.93333333333333</v>
      </c>
      <c r="N12" s="101" t="s">
        <v>156</v>
      </c>
      <c r="O12">
        <v>1</v>
      </c>
      <c r="P12">
        <v>1.3</v>
      </c>
      <c r="Q12">
        <v>0</v>
      </c>
      <c r="S12">
        <v>-1.5</v>
      </c>
      <c r="U12">
        <v>0.8</v>
      </c>
      <c r="V12">
        <v>1</v>
      </c>
      <c r="W12">
        <v>3</v>
      </c>
      <c r="X12" s="7">
        <v>1</v>
      </c>
      <c r="Y12">
        <v>-0.1</v>
      </c>
      <c r="Z12">
        <v>0</v>
      </c>
      <c r="AD12">
        <v>0</v>
      </c>
      <c r="AF12">
        <f t="shared" si="2"/>
        <v>0</v>
      </c>
      <c r="AN12" s="8">
        <v>24</v>
      </c>
      <c r="AO12" t="s">
        <v>157</v>
      </c>
      <c r="AV12" s="8"/>
      <c r="BC12" t="s">
        <v>158</v>
      </c>
    </row>
    <row r="13" spans="1:48">
      <c r="A13">
        <v>7</v>
      </c>
      <c r="B13" s="52" t="s">
        <v>132</v>
      </c>
      <c r="C13" s="91" t="s">
        <v>159</v>
      </c>
      <c r="D13" s="52">
        <v>1</v>
      </c>
      <c r="E13" s="89">
        <v>0</v>
      </c>
      <c r="F13" s="89"/>
      <c r="G13" s="89">
        <v>1</v>
      </c>
      <c r="H13" s="90" t="s">
        <v>160</v>
      </c>
      <c r="I13" s="52">
        <v>7.2</v>
      </c>
      <c r="J13" s="52">
        <v>7.2</v>
      </c>
      <c r="K13" s="52"/>
      <c r="L13" s="52">
        <v>1</v>
      </c>
      <c r="M13" s="52">
        <f t="shared" si="0"/>
        <v>6.8</v>
      </c>
      <c r="N13" s="101" t="s">
        <v>161</v>
      </c>
      <c r="O13">
        <v>1</v>
      </c>
      <c r="P13">
        <v>1.3</v>
      </c>
      <c r="Q13">
        <v>0</v>
      </c>
      <c r="R13">
        <v>1</v>
      </c>
      <c r="S13">
        <v>0</v>
      </c>
      <c r="V13">
        <v>1</v>
      </c>
      <c r="W13">
        <v>0</v>
      </c>
      <c r="X13" s="7">
        <v>3</v>
      </c>
      <c r="Y13">
        <v>-0.1</v>
      </c>
      <c r="Z13">
        <v>0</v>
      </c>
      <c r="AD13">
        <v>1</v>
      </c>
      <c r="AE13" t="s">
        <v>162</v>
      </c>
      <c r="AF13">
        <f t="shared" si="2"/>
        <v>0.5</v>
      </c>
      <c r="AN13" s="8" t="s">
        <v>163</v>
      </c>
      <c r="AO13" t="s">
        <v>164</v>
      </c>
      <c r="AP13" s="8">
        <v>26</v>
      </c>
      <c r="AQ13" t="s">
        <v>136</v>
      </c>
      <c r="AV13" s="8"/>
    </row>
    <row r="14" spans="1:55">
      <c r="A14">
        <v>8</v>
      </c>
      <c r="B14" s="52" t="s">
        <v>132</v>
      </c>
      <c r="C14" s="52" t="s">
        <v>165</v>
      </c>
      <c r="D14" s="52">
        <v>1</v>
      </c>
      <c r="E14" s="89">
        <v>0</v>
      </c>
      <c r="F14" s="89"/>
      <c r="G14" s="89">
        <v>1</v>
      </c>
      <c r="H14" s="90" t="s">
        <v>166</v>
      </c>
      <c r="I14" s="52">
        <v>2.33333333333333</v>
      </c>
      <c r="J14" s="52">
        <v>2.33333333333333</v>
      </c>
      <c r="K14" s="52"/>
      <c r="L14" s="52">
        <f t="shared" si="1"/>
        <v>0</v>
      </c>
      <c r="M14" s="52">
        <f t="shared" si="0"/>
        <v>1.93333333333333</v>
      </c>
      <c r="N14" s="102" t="s">
        <v>167</v>
      </c>
      <c r="O14">
        <v>1</v>
      </c>
      <c r="P14">
        <v>1.3</v>
      </c>
      <c r="Q14">
        <v>0</v>
      </c>
      <c r="R14">
        <v>1</v>
      </c>
      <c r="S14">
        <v>0</v>
      </c>
      <c r="V14">
        <v>1</v>
      </c>
      <c r="W14">
        <v>0</v>
      </c>
      <c r="X14" s="7">
        <v>1</v>
      </c>
      <c r="Y14">
        <v>-0.1</v>
      </c>
      <c r="Z14">
        <v>0</v>
      </c>
      <c r="AD14">
        <v>0</v>
      </c>
      <c r="AF14">
        <f t="shared" si="2"/>
        <v>0</v>
      </c>
      <c r="AP14" s="8">
        <v>25</v>
      </c>
      <c r="AQ14" t="s">
        <v>157</v>
      </c>
      <c r="AV14" s="8"/>
      <c r="BC14" t="s">
        <v>168</v>
      </c>
    </row>
    <row r="15" spans="1:48">
      <c r="A15" s="49">
        <v>9</v>
      </c>
      <c r="B15" s="49" t="s">
        <v>169</v>
      </c>
      <c r="C15" s="49" t="s">
        <v>170</v>
      </c>
      <c r="D15" s="49">
        <v>1</v>
      </c>
      <c r="E15" s="49">
        <v>0</v>
      </c>
      <c r="F15" s="49"/>
      <c r="G15" s="49">
        <v>1</v>
      </c>
      <c r="H15" s="92" t="s">
        <v>171</v>
      </c>
      <c r="I15" s="49">
        <v>3.33333333333333</v>
      </c>
      <c r="J15" s="49">
        <v>3.33333333333333</v>
      </c>
      <c r="K15" s="49"/>
      <c r="L15" s="49">
        <f t="shared" si="1"/>
        <v>0</v>
      </c>
      <c r="M15" s="49">
        <f t="shared" si="0"/>
        <v>2.93333333333333</v>
      </c>
      <c r="N15" s="49" t="s">
        <v>172</v>
      </c>
      <c r="O15">
        <v>1</v>
      </c>
      <c r="P15">
        <v>1.3</v>
      </c>
      <c r="Q15">
        <v>0</v>
      </c>
      <c r="S15">
        <v>0</v>
      </c>
      <c r="V15">
        <v>1</v>
      </c>
      <c r="W15">
        <v>0</v>
      </c>
      <c r="X15" s="7">
        <v>4</v>
      </c>
      <c r="Y15">
        <v>-0.1</v>
      </c>
      <c r="Z15">
        <v>0</v>
      </c>
      <c r="AD15">
        <v>0</v>
      </c>
      <c r="AF15">
        <f t="shared" si="2"/>
        <v>0</v>
      </c>
      <c r="AN15" s="8">
        <v>6</v>
      </c>
      <c r="AO15" t="s">
        <v>136</v>
      </c>
      <c r="AV15">
        <v>1</v>
      </c>
    </row>
    <row r="16" spans="1:41">
      <c r="A16" s="49">
        <v>10</v>
      </c>
      <c r="B16" s="49" t="s">
        <v>169</v>
      </c>
      <c r="C16" s="49" t="s">
        <v>173</v>
      </c>
      <c r="D16" s="49">
        <v>1</v>
      </c>
      <c r="E16" s="49">
        <v>0</v>
      </c>
      <c r="F16" s="49"/>
      <c r="G16" s="49">
        <v>1</v>
      </c>
      <c r="H16" s="92" t="s">
        <v>174</v>
      </c>
      <c r="I16" s="49">
        <v>4.8</v>
      </c>
      <c r="J16" s="49">
        <v>4.8</v>
      </c>
      <c r="K16" s="49"/>
      <c r="L16" s="49">
        <v>1</v>
      </c>
      <c r="M16" s="49">
        <f t="shared" si="0"/>
        <v>4.4</v>
      </c>
      <c r="N16" s="49" t="s">
        <v>175</v>
      </c>
      <c r="O16">
        <v>1</v>
      </c>
      <c r="P16">
        <v>1.3</v>
      </c>
      <c r="Q16">
        <v>0</v>
      </c>
      <c r="S16">
        <v>0</v>
      </c>
      <c r="V16">
        <v>1</v>
      </c>
      <c r="W16">
        <v>0</v>
      </c>
      <c r="X16" s="7">
        <v>1</v>
      </c>
      <c r="Y16">
        <v>-0.1</v>
      </c>
      <c r="Z16">
        <v>0</v>
      </c>
      <c r="AB16">
        <v>4.6</v>
      </c>
      <c r="AC16">
        <v>2</v>
      </c>
      <c r="AD16">
        <v>1</v>
      </c>
      <c r="AE16" t="s">
        <v>176</v>
      </c>
      <c r="AF16">
        <f t="shared" si="2"/>
        <v>0.5</v>
      </c>
      <c r="AN16" s="8">
        <v>7</v>
      </c>
      <c r="AO16" t="s">
        <v>136</v>
      </c>
    </row>
    <row r="17" spans="1:41">
      <c r="A17" s="49">
        <v>11</v>
      </c>
      <c r="B17" s="49" t="s">
        <v>169</v>
      </c>
      <c r="C17" s="49" t="s">
        <v>177</v>
      </c>
      <c r="D17" s="49">
        <v>1</v>
      </c>
      <c r="E17" s="49">
        <v>0</v>
      </c>
      <c r="F17" s="49"/>
      <c r="G17" s="49">
        <v>1</v>
      </c>
      <c r="H17" s="92" t="s">
        <v>178</v>
      </c>
      <c r="I17" s="49">
        <v>2</v>
      </c>
      <c r="J17" s="49">
        <v>2</v>
      </c>
      <c r="K17" s="49"/>
      <c r="L17" s="49">
        <f t="shared" si="1"/>
        <v>0</v>
      </c>
      <c r="M17" s="49">
        <f t="shared" si="0"/>
        <v>1.6</v>
      </c>
      <c r="N17" s="49" t="s">
        <v>179</v>
      </c>
      <c r="O17">
        <v>1</v>
      </c>
      <c r="P17">
        <v>1.3</v>
      </c>
      <c r="Q17">
        <v>0</v>
      </c>
      <c r="S17">
        <v>-1.5</v>
      </c>
      <c r="U17">
        <v>0.8</v>
      </c>
      <c r="V17">
        <v>1</v>
      </c>
      <c r="W17">
        <v>4</v>
      </c>
      <c r="X17" s="7">
        <v>1</v>
      </c>
      <c r="Y17">
        <v>0.4</v>
      </c>
      <c r="Z17">
        <v>0</v>
      </c>
      <c r="AD17">
        <v>0</v>
      </c>
      <c r="AF17">
        <f t="shared" si="2"/>
        <v>0</v>
      </c>
      <c r="AN17" s="8">
        <v>8</v>
      </c>
      <c r="AO17" t="s">
        <v>136</v>
      </c>
    </row>
    <row r="18" spans="1:41">
      <c r="A18" s="49">
        <v>12</v>
      </c>
      <c r="B18" s="49" t="s">
        <v>169</v>
      </c>
      <c r="C18" s="49" t="s">
        <v>180</v>
      </c>
      <c r="D18" s="49">
        <v>1</v>
      </c>
      <c r="E18" s="49">
        <v>0</v>
      </c>
      <c r="F18" s="49"/>
      <c r="G18" s="49">
        <v>1</v>
      </c>
      <c r="H18" s="92" t="s">
        <v>181</v>
      </c>
      <c r="I18" s="49">
        <v>4.4</v>
      </c>
      <c r="J18" s="49">
        <v>4.4</v>
      </c>
      <c r="K18" s="49"/>
      <c r="L18" s="49">
        <v>1</v>
      </c>
      <c r="M18" s="49">
        <f t="shared" si="0"/>
        <v>4</v>
      </c>
      <c r="N18" s="103" t="s">
        <v>182</v>
      </c>
      <c r="O18">
        <v>1</v>
      </c>
      <c r="P18">
        <v>1.3</v>
      </c>
      <c r="Q18">
        <v>0</v>
      </c>
      <c r="S18">
        <v>0</v>
      </c>
      <c r="V18">
        <v>1</v>
      </c>
      <c r="W18">
        <v>0</v>
      </c>
      <c r="X18" s="7">
        <v>1</v>
      </c>
      <c r="Y18">
        <v>-0.1</v>
      </c>
      <c r="Z18">
        <v>0</v>
      </c>
      <c r="AD18">
        <v>1</v>
      </c>
      <c r="AE18" t="s">
        <v>183</v>
      </c>
      <c r="AF18">
        <f t="shared" si="2"/>
        <v>0.5</v>
      </c>
      <c r="AN18" s="8">
        <v>9</v>
      </c>
      <c r="AO18" t="s">
        <v>136</v>
      </c>
    </row>
    <row r="19" spans="1:55">
      <c r="A19" s="49">
        <v>13</v>
      </c>
      <c r="B19" s="49" t="s">
        <v>169</v>
      </c>
      <c r="C19" s="49" t="s">
        <v>184</v>
      </c>
      <c r="D19" s="49">
        <v>1</v>
      </c>
      <c r="E19" s="49">
        <v>0</v>
      </c>
      <c r="F19" s="49"/>
      <c r="G19" s="49">
        <v>1</v>
      </c>
      <c r="H19" s="92" t="s">
        <v>185</v>
      </c>
      <c r="I19" s="49">
        <v>6.9</v>
      </c>
      <c r="J19" s="49">
        <v>6.9</v>
      </c>
      <c r="K19" s="49"/>
      <c r="L19" s="49">
        <v>1</v>
      </c>
      <c r="M19" s="49">
        <f t="shared" si="0"/>
        <v>6.5</v>
      </c>
      <c r="N19" s="49" t="s">
        <v>186</v>
      </c>
      <c r="O19">
        <v>1</v>
      </c>
      <c r="P19">
        <v>1.3</v>
      </c>
      <c r="Q19">
        <v>0</v>
      </c>
      <c r="S19">
        <v>0</v>
      </c>
      <c r="V19">
        <v>1</v>
      </c>
      <c r="W19">
        <v>0</v>
      </c>
      <c r="X19" s="7">
        <v>1</v>
      </c>
      <c r="Y19">
        <v>-0.1</v>
      </c>
      <c r="Z19">
        <v>0</v>
      </c>
      <c r="AB19">
        <v>6.7</v>
      </c>
      <c r="AC19">
        <v>2</v>
      </c>
      <c r="AD19">
        <v>1</v>
      </c>
      <c r="AE19" t="s">
        <v>187</v>
      </c>
      <c r="AF19">
        <f t="shared" si="2"/>
        <v>0.5</v>
      </c>
      <c r="AN19" s="8">
        <v>10</v>
      </c>
      <c r="AO19" t="s">
        <v>136</v>
      </c>
      <c r="BC19" t="s">
        <v>188</v>
      </c>
    </row>
    <row r="20" spans="1:41">
      <c r="A20" s="49">
        <v>14</v>
      </c>
      <c r="B20" s="49" t="s">
        <v>169</v>
      </c>
      <c r="C20" s="49" t="s">
        <v>189</v>
      </c>
      <c r="D20" s="49">
        <v>1</v>
      </c>
      <c r="E20" s="49">
        <v>0</v>
      </c>
      <c r="F20" s="49"/>
      <c r="G20" s="49">
        <v>1</v>
      </c>
      <c r="H20" s="92" t="s">
        <v>190</v>
      </c>
      <c r="I20" s="49">
        <v>1.93333333333333</v>
      </c>
      <c r="J20" s="49">
        <v>1.93333333333333</v>
      </c>
      <c r="K20" s="49"/>
      <c r="L20" s="49">
        <f t="shared" si="1"/>
        <v>0</v>
      </c>
      <c r="M20" s="49">
        <f t="shared" si="0"/>
        <v>1.53333333333333</v>
      </c>
      <c r="N20" s="103"/>
      <c r="O20">
        <v>1</v>
      </c>
      <c r="P20">
        <v>1.3</v>
      </c>
      <c r="Q20">
        <v>0</v>
      </c>
      <c r="S20">
        <v>0</v>
      </c>
      <c r="V20">
        <v>1</v>
      </c>
      <c r="W20">
        <v>0</v>
      </c>
      <c r="X20" s="7">
        <v>1</v>
      </c>
      <c r="Y20">
        <v>-0.1</v>
      </c>
      <c r="Z20">
        <v>0</v>
      </c>
      <c r="AD20">
        <v>0</v>
      </c>
      <c r="AF20">
        <f t="shared" si="2"/>
        <v>0</v>
      </c>
      <c r="AN20" s="8">
        <v>27</v>
      </c>
      <c r="AO20" t="s">
        <v>191</v>
      </c>
    </row>
    <row r="21" spans="1:55">
      <c r="A21" s="49">
        <v>15</v>
      </c>
      <c r="B21" s="49" t="s">
        <v>169</v>
      </c>
      <c r="C21" s="49" t="s">
        <v>192</v>
      </c>
      <c r="D21" s="49">
        <v>1</v>
      </c>
      <c r="E21" s="49">
        <v>0</v>
      </c>
      <c r="F21" s="49"/>
      <c r="G21" s="49">
        <v>1</v>
      </c>
      <c r="H21" s="92" t="s">
        <v>193</v>
      </c>
      <c r="I21" s="49">
        <v>2.3</v>
      </c>
      <c r="J21" s="49">
        <v>2.3</v>
      </c>
      <c r="K21" s="49"/>
      <c r="L21" s="49">
        <f t="shared" si="1"/>
        <v>0</v>
      </c>
      <c r="M21" s="49">
        <f t="shared" si="0"/>
        <v>1.9</v>
      </c>
      <c r="N21" s="49" t="s">
        <v>194</v>
      </c>
      <c r="O21">
        <v>1</v>
      </c>
      <c r="P21">
        <v>1.3</v>
      </c>
      <c r="Q21">
        <v>0</v>
      </c>
      <c r="R21">
        <v>1</v>
      </c>
      <c r="S21">
        <v>0</v>
      </c>
      <c r="V21">
        <v>1</v>
      </c>
      <c r="W21">
        <v>2</v>
      </c>
      <c r="X21" s="7">
        <v>3</v>
      </c>
      <c r="Y21">
        <v>-0.1</v>
      </c>
      <c r="Z21">
        <v>0</v>
      </c>
      <c r="AD21">
        <v>0</v>
      </c>
      <c r="AF21">
        <f t="shared" si="2"/>
        <v>0</v>
      </c>
      <c r="AN21" s="8">
        <v>28</v>
      </c>
      <c r="AO21" t="s">
        <v>191</v>
      </c>
      <c r="BC21" t="s">
        <v>195</v>
      </c>
    </row>
    <row r="22" spans="1:55">
      <c r="A22" s="49">
        <v>16</v>
      </c>
      <c r="B22" s="49" t="s">
        <v>169</v>
      </c>
      <c r="C22" s="49" t="s">
        <v>196</v>
      </c>
      <c r="D22" s="49">
        <v>1</v>
      </c>
      <c r="E22" s="49">
        <v>0</v>
      </c>
      <c r="F22" s="49"/>
      <c r="G22" s="49">
        <v>1</v>
      </c>
      <c r="H22" s="92">
        <v>208</v>
      </c>
      <c r="I22" s="49">
        <v>6.8</v>
      </c>
      <c r="J22" s="49">
        <v>6.8</v>
      </c>
      <c r="K22" s="49"/>
      <c r="L22" s="49">
        <v>1</v>
      </c>
      <c r="M22" s="49">
        <f t="shared" si="0"/>
        <v>6.4</v>
      </c>
      <c r="N22" s="49" t="s">
        <v>197</v>
      </c>
      <c r="O22">
        <v>1</v>
      </c>
      <c r="P22">
        <v>1.3</v>
      </c>
      <c r="Q22">
        <v>0</v>
      </c>
      <c r="S22">
        <v>0</v>
      </c>
      <c r="V22">
        <v>1</v>
      </c>
      <c r="W22">
        <v>0</v>
      </c>
      <c r="X22" s="7">
        <v>5</v>
      </c>
      <c r="Y22">
        <v>-0.1</v>
      </c>
      <c r="Z22">
        <v>0</v>
      </c>
      <c r="AB22">
        <v>6.6</v>
      </c>
      <c r="AC22">
        <v>2</v>
      </c>
      <c r="AD22">
        <v>1</v>
      </c>
      <c r="AE22" t="s">
        <v>198</v>
      </c>
      <c r="AF22">
        <f t="shared" si="2"/>
        <v>0.5</v>
      </c>
      <c r="AN22" s="8">
        <v>29</v>
      </c>
      <c r="AO22" t="s">
        <v>191</v>
      </c>
      <c r="BC22" t="s">
        <v>199</v>
      </c>
    </row>
    <row r="23" spans="1:48">
      <c r="A23">
        <v>17</v>
      </c>
      <c r="B23" t="s">
        <v>200</v>
      </c>
      <c r="C23" t="s">
        <v>201</v>
      </c>
      <c r="D23">
        <v>1</v>
      </c>
      <c r="E23">
        <v>0</v>
      </c>
      <c r="G23">
        <v>1</v>
      </c>
      <c r="H23" s="93" t="s">
        <v>202</v>
      </c>
      <c r="I23">
        <v>1.93333333333333</v>
      </c>
      <c r="J23">
        <v>1.93333333333333</v>
      </c>
      <c r="L23">
        <f t="shared" si="1"/>
        <v>0</v>
      </c>
      <c r="M23">
        <f t="shared" si="0"/>
        <v>1.53333333333333</v>
      </c>
      <c r="N23" t="s">
        <v>203</v>
      </c>
      <c r="O23">
        <v>1</v>
      </c>
      <c r="P23">
        <v>0.95</v>
      </c>
      <c r="Q23">
        <v>0</v>
      </c>
      <c r="R23">
        <v>1</v>
      </c>
      <c r="S23">
        <v>0</v>
      </c>
      <c r="V23">
        <v>6</v>
      </c>
      <c r="W23">
        <v>0</v>
      </c>
      <c r="X23" s="7">
        <v>3</v>
      </c>
      <c r="Y23">
        <v>-0.1</v>
      </c>
      <c r="Z23">
        <v>0</v>
      </c>
      <c r="AD23">
        <v>0</v>
      </c>
      <c r="AF23">
        <f t="shared" si="2"/>
        <v>0</v>
      </c>
      <c r="AN23" s="8">
        <v>11</v>
      </c>
      <c r="AO23" t="s">
        <v>136</v>
      </c>
      <c r="AV23">
        <v>1</v>
      </c>
    </row>
    <row r="24" spans="1:55">
      <c r="A24">
        <v>18</v>
      </c>
      <c r="B24" t="s">
        <v>200</v>
      </c>
      <c r="C24" t="s">
        <v>204</v>
      </c>
      <c r="D24">
        <v>1</v>
      </c>
      <c r="E24">
        <v>0</v>
      </c>
      <c r="G24">
        <v>1</v>
      </c>
      <c r="H24" s="93" t="s">
        <v>205</v>
      </c>
      <c r="I24">
        <v>4.06666666666667</v>
      </c>
      <c r="J24">
        <v>4.06666666666667</v>
      </c>
      <c r="L24">
        <f t="shared" si="1"/>
        <v>0</v>
      </c>
      <c r="M24">
        <f t="shared" si="0"/>
        <v>3.66666666666667</v>
      </c>
      <c r="N24" s="104" t="s">
        <v>206</v>
      </c>
      <c r="O24">
        <v>1</v>
      </c>
      <c r="P24">
        <v>0.95</v>
      </c>
      <c r="Q24">
        <v>0</v>
      </c>
      <c r="R24">
        <v>1</v>
      </c>
      <c r="S24">
        <v>0</v>
      </c>
      <c r="V24">
        <v>6</v>
      </c>
      <c r="W24">
        <v>0</v>
      </c>
      <c r="X24" s="7">
        <v>2</v>
      </c>
      <c r="Y24">
        <v>-0.1</v>
      </c>
      <c r="Z24">
        <v>0</v>
      </c>
      <c r="AD24">
        <v>0</v>
      </c>
      <c r="AF24">
        <f t="shared" si="2"/>
        <v>0</v>
      </c>
      <c r="AN24" s="8">
        <v>12</v>
      </c>
      <c r="AO24" t="s">
        <v>136</v>
      </c>
      <c r="BC24" t="s">
        <v>207</v>
      </c>
    </row>
    <row r="25" spans="1:41">
      <c r="A25">
        <v>19</v>
      </c>
      <c r="B25" t="s">
        <v>200</v>
      </c>
      <c r="C25" t="s">
        <v>208</v>
      </c>
      <c r="D25">
        <v>4</v>
      </c>
      <c r="E25">
        <v>0</v>
      </c>
      <c r="G25">
        <v>1</v>
      </c>
      <c r="H25" s="93" t="s">
        <v>209</v>
      </c>
      <c r="I25">
        <v>6.33333333333333</v>
      </c>
      <c r="J25">
        <v>6.33333333333333</v>
      </c>
      <c r="L25">
        <v>1</v>
      </c>
      <c r="M25">
        <f t="shared" si="0"/>
        <v>5.93333333333333</v>
      </c>
      <c r="N25" s="99" t="s">
        <v>210</v>
      </c>
      <c r="O25">
        <v>1</v>
      </c>
      <c r="P25">
        <v>0.95</v>
      </c>
      <c r="Q25">
        <v>0</v>
      </c>
      <c r="S25">
        <v>0</v>
      </c>
      <c r="V25">
        <v>6</v>
      </c>
      <c r="W25">
        <v>0</v>
      </c>
      <c r="X25" s="7">
        <v>9</v>
      </c>
      <c r="Y25">
        <v>-0.1</v>
      </c>
      <c r="Z25">
        <v>0</v>
      </c>
      <c r="AD25">
        <v>1</v>
      </c>
      <c r="AE25" t="s">
        <v>211</v>
      </c>
      <c r="AF25">
        <f t="shared" si="2"/>
        <v>0.5</v>
      </c>
      <c r="AN25" s="8">
        <v>13</v>
      </c>
      <c r="AO25" t="s">
        <v>136</v>
      </c>
    </row>
    <row r="26" spans="1:41">
      <c r="A26">
        <v>20</v>
      </c>
      <c r="B26" t="s">
        <v>200</v>
      </c>
      <c r="C26" t="s">
        <v>212</v>
      </c>
      <c r="D26">
        <v>1</v>
      </c>
      <c r="E26">
        <v>0</v>
      </c>
      <c r="G26">
        <v>1</v>
      </c>
      <c r="H26" s="93" t="s">
        <v>213</v>
      </c>
      <c r="I26">
        <v>3</v>
      </c>
      <c r="J26">
        <v>3</v>
      </c>
      <c r="L26">
        <f t="shared" si="1"/>
        <v>0</v>
      </c>
      <c r="M26">
        <f t="shared" si="0"/>
        <v>2.6</v>
      </c>
      <c r="N26" s="99" t="s">
        <v>214</v>
      </c>
      <c r="O26">
        <v>1</v>
      </c>
      <c r="P26">
        <v>0.95</v>
      </c>
      <c r="Q26">
        <v>0</v>
      </c>
      <c r="S26">
        <v>0</v>
      </c>
      <c r="V26">
        <v>6</v>
      </c>
      <c r="W26">
        <v>0</v>
      </c>
      <c r="X26" s="7">
        <v>1</v>
      </c>
      <c r="Y26">
        <v>-0.1</v>
      </c>
      <c r="Z26">
        <v>0</v>
      </c>
      <c r="AD26">
        <v>0</v>
      </c>
      <c r="AF26">
        <f t="shared" si="2"/>
        <v>0</v>
      </c>
      <c r="AN26" s="8">
        <v>14</v>
      </c>
      <c r="AO26" t="s">
        <v>136</v>
      </c>
    </row>
    <row r="27" spans="1:55">
      <c r="A27">
        <v>21</v>
      </c>
      <c r="B27" t="s">
        <v>200</v>
      </c>
      <c r="C27" t="s">
        <v>215</v>
      </c>
      <c r="D27">
        <v>4</v>
      </c>
      <c r="E27">
        <v>0</v>
      </c>
      <c r="G27">
        <v>1</v>
      </c>
      <c r="H27" s="93" t="s">
        <v>216</v>
      </c>
      <c r="I27">
        <v>8.633333</v>
      </c>
      <c r="J27">
        <v>8.633333</v>
      </c>
      <c r="L27">
        <v>1</v>
      </c>
      <c r="M27">
        <f t="shared" si="0"/>
        <v>8.233333</v>
      </c>
      <c r="N27" s="104" t="s">
        <v>217</v>
      </c>
      <c r="O27">
        <v>1</v>
      </c>
      <c r="P27">
        <v>2.2</v>
      </c>
      <c r="Q27">
        <v>0</v>
      </c>
      <c r="S27">
        <v>0</v>
      </c>
      <c r="V27">
        <v>6</v>
      </c>
      <c r="W27">
        <v>0</v>
      </c>
      <c r="X27" s="7">
        <v>11</v>
      </c>
      <c r="Y27">
        <v>-0.1</v>
      </c>
      <c r="Z27">
        <v>0</v>
      </c>
      <c r="AD27">
        <v>1</v>
      </c>
      <c r="AE27" t="s">
        <v>218</v>
      </c>
      <c r="AF27">
        <f t="shared" si="2"/>
        <v>0.5</v>
      </c>
      <c r="AN27" s="8">
        <v>15</v>
      </c>
      <c r="AO27" t="s">
        <v>136</v>
      </c>
      <c r="BC27" t="s">
        <v>219</v>
      </c>
    </row>
    <row r="28" spans="1:41">
      <c r="A28">
        <v>22</v>
      </c>
      <c r="B28" t="s">
        <v>200</v>
      </c>
      <c r="C28" t="s">
        <v>220</v>
      </c>
      <c r="D28">
        <v>4</v>
      </c>
      <c r="E28">
        <v>0</v>
      </c>
      <c r="G28">
        <v>1</v>
      </c>
      <c r="H28" s="93" t="s">
        <v>221</v>
      </c>
      <c r="I28">
        <v>4.66666666666667</v>
      </c>
      <c r="J28">
        <v>4.66666666666667</v>
      </c>
      <c r="L28">
        <v>1</v>
      </c>
      <c r="M28">
        <f t="shared" si="0"/>
        <v>4.26666666666667</v>
      </c>
      <c r="N28" t="s">
        <v>222</v>
      </c>
      <c r="O28">
        <v>1</v>
      </c>
      <c r="P28">
        <v>2.3</v>
      </c>
      <c r="Q28">
        <v>0</v>
      </c>
      <c r="S28">
        <v>0</v>
      </c>
      <c r="V28">
        <v>6</v>
      </c>
      <c r="W28">
        <v>0</v>
      </c>
      <c r="X28" s="7">
        <v>15</v>
      </c>
      <c r="Y28">
        <v>-0.1</v>
      </c>
      <c r="Z28">
        <v>0</v>
      </c>
      <c r="AD28">
        <v>1</v>
      </c>
      <c r="AE28" t="s">
        <v>223</v>
      </c>
      <c r="AF28">
        <f t="shared" si="2"/>
        <v>0.5</v>
      </c>
      <c r="AN28" s="8">
        <v>32</v>
      </c>
      <c r="AO28" t="s">
        <v>157</v>
      </c>
    </row>
    <row r="29" spans="1:41">
      <c r="A29">
        <v>23</v>
      </c>
      <c r="B29" t="s">
        <v>200</v>
      </c>
      <c r="C29" t="s">
        <v>224</v>
      </c>
      <c r="D29">
        <v>1</v>
      </c>
      <c r="E29">
        <v>0</v>
      </c>
      <c r="G29">
        <v>1</v>
      </c>
      <c r="H29" s="93" t="s">
        <v>225</v>
      </c>
      <c r="I29">
        <v>3.43333333333333</v>
      </c>
      <c r="J29">
        <v>3.43333333333333</v>
      </c>
      <c r="L29">
        <f t="shared" si="1"/>
        <v>1</v>
      </c>
      <c r="M29">
        <f t="shared" si="0"/>
        <v>3.03333333333333</v>
      </c>
      <c r="N29" t="s">
        <v>226</v>
      </c>
      <c r="O29">
        <v>1</v>
      </c>
      <c r="P29">
        <v>0.95</v>
      </c>
      <c r="Q29">
        <v>0</v>
      </c>
      <c r="R29">
        <v>1</v>
      </c>
      <c r="S29">
        <v>0</v>
      </c>
      <c r="V29">
        <v>6</v>
      </c>
      <c r="W29">
        <v>0</v>
      </c>
      <c r="X29" s="7">
        <v>12</v>
      </c>
      <c r="Y29">
        <v>-0.1</v>
      </c>
      <c r="Z29">
        <v>0</v>
      </c>
      <c r="AD29">
        <v>0</v>
      </c>
      <c r="AF29">
        <f t="shared" si="2"/>
        <v>0</v>
      </c>
      <c r="AN29" s="8">
        <v>31</v>
      </c>
      <c r="AO29" t="s">
        <v>157</v>
      </c>
    </row>
    <row r="30" spans="1:55">
      <c r="A30">
        <v>24</v>
      </c>
      <c r="B30" t="s">
        <v>200</v>
      </c>
      <c r="C30" t="s">
        <v>227</v>
      </c>
      <c r="D30">
        <v>1</v>
      </c>
      <c r="E30">
        <v>0</v>
      </c>
      <c r="G30">
        <v>1</v>
      </c>
      <c r="H30" s="93" t="s">
        <v>228</v>
      </c>
      <c r="I30">
        <v>3.5</v>
      </c>
      <c r="J30">
        <v>3.5</v>
      </c>
      <c r="L30">
        <f t="shared" si="1"/>
        <v>1</v>
      </c>
      <c r="M30">
        <f t="shared" si="0"/>
        <v>3.1</v>
      </c>
      <c r="N30" s="104" t="s">
        <v>229</v>
      </c>
      <c r="O30">
        <v>1</v>
      </c>
      <c r="P30">
        <v>0.95</v>
      </c>
      <c r="Q30">
        <v>0</v>
      </c>
      <c r="R30">
        <v>1</v>
      </c>
      <c r="S30">
        <v>0</v>
      </c>
      <c r="V30">
        <v>6</v>
      </c>
      <c r="W30">
        <v>0</v>
      </c>
      <c r="X30" s="7">
        <v>12</v>
      </c>
      <c r="Y30">
        <v>-0.1</v>
      </c>
      <c r="Z30">
        <v>0</v>
      </c>
      <c r="AD30">
        <v>0</v>
      </c>
      <c r="AF30">
        <f t="shared" si="2"/>
        <v>0</v>
      </c>
      <c r="AN30" s="8">
        <v>30</v>
      </c>
      <c r="AO30" t="s">
        <v>157</v>
      </c>
      <c r="BC30" t="s">
        <v>230</v>
      </c>
    </row>
    <row r="31" spans="1:48">
      <c r="A31">
        <v>25</v>
      </c>
      <c r="B31" t="s">
        <v>231</v>
      </c>
      <c r="C31" t="s">
        <v>232</v>
      </c>
      <c r="D31">
        <v>1</v>
      </c>
      <c r="E31">
        <v>0</v>
      </c>
      <c r="G31">
        <v>2</v>
      </c>
      <c r="H31" s="94" t="s">
        <v>233</v>
      </c>
      <c r="I31">
        <v>3.5</v>
      </c>
      <c r="J31">
        <v>2.8</v>
      </c>
      <c r="L31">
        <f t="shared" si="1"/>
        <v>0</v>
      </c>
      <c r="M31">
        <f t="shared" si="0"/>
        <v>3.1</v>
      </c>
      <c r="N31" t="s">
        <v>234</v>
      </c>
      <c r="O31">
        <v>0</v>
      </c>
      <c r="P31">
        <v>0</v>
      </c>
      <c r="Q31">
        <v>1</v>
      </c>
      <c r="S31">
        <v>0</v>
      </c>
      <c r="V31">
        <v>2</v>
      </c>
      <c r="W31">
        <v>0</v>
      </c>
      <c r="X31" s="7">
        <v>4</v>
      </c>
      <c r="Y31">
        <v>0.4</v>
      </c>
      <c r="Z31">
        <v>0</v>
      </c>
      <c r="AD31">
        <v>0</v>
      </c>
      <c r="AF31">
        <f t="shared" si="2"/>
        <v>0</v>
      </c>
      <c r="AN31" s="8">
        <v>33</v>
      </c>
      <c r="AO31" t="s">
        <v>136</v>
      </c>
      <c r="AV31">
        <v>0</v>
      </c>
    </row>
    <row r="32" spans="1:44">
      <c r="A32">
        <v>26</v>
      </c>
      <c r="B32" t="s">
        <v>231</v>
      </c>
      <c r="C32" t="s">
        <v>235</v>
      </c>
      <c r="D32">
        <v>1</v>
      </c>
      <c r="E32">
        <v>0</v>
      </c>
      <c r="G32">
        <v>2</v>
      </c>
      <c r="H32" s="94" t="s">
        <v>236</v>
      </c>
      <c r="I32">
        <v>6</v>
      </c>
      <c r="J32">
        <v>6</v>
      </c>
      <c r="L32">
        <v>1</v>
      </c>
      <c r="M32">
        <f t="shared" si="0"/>
        <v>5.6</v>
      </c>
      <c r="N32" t="s">
        <v>237</v>
      </c>
      <c r="O32">
        <v>2</v>
      </c>
      <c r="P32">
        <v>-9</v>
      </c>
      <c r="Q32">
        <v>0</v>
      </c>
      <c r="S32">
        <v>0</v>
      </c>
      <c r="V32">
        <v>2</v>
      </c>
      <c r="W32">
        <v>19</v>
      </c>
      <c r="X32" s="7">
        <v>1</v>
      </c>
      <c r="Y32">
        <v>0.4</v>
      </c>
      <c r="Z32">
        <v>0</v>
      </c>
      <c r="AB32">
        <v>5.7</v>
      </c>
      <c r="AC32">
        <v>1</v>
      </c>
      <c r="AD32">
        <v>1</v>
      </c>
      <c r="AE32" t="s">
        <v>238</v>
      </c>
      <c r="AF32">
        <f t="shared" si="2"/>
        <v>0.5</v>
      </c>
      <c r="AP32" s="8">
        <v>34</v>
      </c>
      <c r="AQ32" t="s">
        <v>136</v>
      </c>
      <c r="AR32" s="749" t="s">
        <v>239</v>
      </c>
    </row>
    <row r="33" spans="1:41">
      <c r="A33">
        <v>27</v>
      </c>
      <c r="B33" t="s">
        <v>231</v>
      </c>
      <c r="C33" t="s">
        <v>240</v>
      </c>
      <c r="D33">
        <v>4</v>
      </c>
      <c r="E33">
        <v>0</v>
      </c>
      <c r="G33">
        <v>2</v>
      </c>
      <c r="H33" s="94" t="s">
        <v>241</v>
      </c>
      <c r="I33">
        <v>6.666667</v>
      </c>
      <c r="J33">
        <v>6.666667</v>
      </c>
      <c r="L33">
        <v>1</v>
      </c>
      <c r="M33">
        <f t="shared" si="0"/>
        <v>6.266667</v>
      </c>
      <c r="N33" t="s">
        <v>242</v>
      </c>
      <c r="O33">
        <v>1</v>
      </c>
      <c r="P33">
        <v>1.52</v>
      </c>
      <c r="Q33">
        <v>0</v>
      </c>
      <c r="S33">
        <v>0</v>
      </c>
      <c r="V33">
        <v>2</v>
      </c>
      <c r="W33">
        <v>0</v>
      </c>
      <c r="X33" s="7">
        <v>1</v>
      </c>
      <c r="Y33">
        <v>-0.1</v>
      </c>
      <c r="Z33">
        <v>0</v>
      </c>
      <c r="AD33">
        <v>1</v>
      </c>
      <c r="AE33" t="s">
        <v>243</v>
      </c>
      <c r="AF33">
        <f t="shared" si="2"/>
        <v>0.5</v>
      </c>
      <c r="AN33" s="8" t="s">
        <v>244</v>
      </c>
      <c r="AO33" t="s">
        <v>245</v>
      </c>
    </row>
    <row r="34" spans="1:32">
      <c r="A34">
        <v>28</v>
      </c>
      <c r="B34" t="s">
        <v>231</v>
      </c>
      <c r="C34" t="s">
        <v>246</v>
      </c>
      <c r="D34">
        <v>1</v>
      </c>
      <c r="E34">
        <v>0</v>
      </c>
      <c r="G34">
        <v>2</v>
      </c>
      <c r="H34" s="94" t="s">
        <v>247</v>
      </c>
      <c r="I34">
        <v>3.5</v>
      </c>
      <c r="J34">
        <v>3.5</v>
      </c>
      <c r="L34">
        <f t="shared" si="1"/>
        <v>1</v>
      </c>
      <c r="M34">
        <f t="shared" si="0"/>
        <v>3.1</v>
      </c>
      <c r="N34" t="s">
        <v>248</v>
      </c>
      <c r="O34">
        <v>0</v>
      </c>
      <c r="P34">
        <v>0</v>
      </c>
      <c r="Q34">
        <v>1</v>
      </c>
      <c r="S34">
        <v>0</v>
      </c>
      <c r="V34">
        <v>2</v>
      </c>
      <c r="W34">
        <v>0</v>
      </c>
      <c r="X34" s="7">
        <v>10</v>
      </c>
      <c r="Y34">
        <v>0.4</v>
      </c>
      <c r="Z34">
        <v>0</v>
      </c>
      <c r="AD34">
        <v>0</v>
      </c>
      <c r="AF34">
        <f t="shared" si="2"/>
        <v>0</v>
      </c>
    </row>
    <row r="35" spans="1:55">
      <c r="A35">
        <v>29</v>
      </c>
      <c r="B35" t="s">
        <v>231</v>
      </c>
      <c r="C35" t="s">
        <v>249</v>
      </c>
      <c r="D35">
        <v>1</v>
      </c>
      <c r="E35">
        <v>0</v>
      </c>
      <c r="G35">
        <v>2</v>
      </c>
      <c r="H35" s="94" t="s">
        <v>250</v>
      </c>
      <c r="I35">
        <v>2.33333333333333</v>
      </c>
      <c r="J35">
        <v>2.33333333333333</v>
      </c>
      <c r="L35">
        <f t="shared" si="1"/>
        <v>0</v>
      </c>
      <c r="M35">
        <f t="shared" si="0"/>
        <v>1.93333333333333</v>
      </c>
      <c r="N35" s="105" t="s">
        <v>251</v>
      </c>
      <c r="O35">
        <v>0</v>
      </c>
      <c r="P35">
        <v>0</v>
      </c>
      <c r="Q35">
        <v>1</v>
      </c>
      <c r="S35">
        <v>0</v>
      </c>
      <c r="V35">
        <v>2</v>
      </c>
      <c r="W35">
        <v>0</v>
      </c>
      <c r="X35" s="7">
        <v>1</v>
      </c>
      <c r="Y35">
        <v>0.4</v>
      </c>
      <c r="Z35">
        <v>0</v>
      </c>
      <c r="AD35">
        <v>0</v>
      </c>
      <c r="AF35">
        <f t="shared" si="2"/>
        <v>0</v>
      </c>
      <c r="BC35" t="s">
        <v>252</v>
      </c>
    </row>
    <row r="36" spans="1:55">
      <c r="A36">
        <v>30</v>
      </c>
      <c r="B36" t="s">
        <v>231</v>
      </c>
      <c r="C36" t="s">
        <v>253</v>
      </c>
      <c r="D36">
        <v>4</v>
      </c>
      <c r="E36">
        <v>0</v>
      </c>
      <c r="G36">
        <v>2</v>
      </c>
      <c r="H36" s="94" t="s">
        <v>254</v>
      </c>
      <c r="I36">
        <v>4.7</v>
      </c>
      <c r="J36">
        <v>4.7</v>
      </c>
      <c r="L36">
        <f t="shared" si="1"/>
        <v>0</v>
      </c>
      <c r="M36">
        <f t="shared" si="0"/>
        <v>4.3</v>
      </c>
      <c r="N36" s="104" t="s">
        <v>255</v>
      </c>
      <c r="O36">
        <v>0</v>
      </c>
      <c r="P36">
        <v>0</v>
      </c>
      <c r="Q36">
        <v>1</v>
      </c>
      <c r="S36">
        <v>0</v>
      </c>
      <c r="V36">
        <v>2</v>
      </c>
      <c r="W36">
        <v>1</v>
      </c>
      <c r="X36" s="7">
        <v>1</v>
      </c>
      <c r="Y36">
        <v>0.4</v>
      </c>
      <c r="Z36">
        <v>0</v>
      </c>
      <c r="AD36">
        <v>0</v>
      </c>
      <c r="AF36">
        <f t="shared" si="2"/>
        <v>0</v>
      </c>
      <c r="BC36" t="s">
        <v>256</v>
      </c>
    </row>
    <row r="37" spans="1:55">
      <c r="A37">
        <v>31</v>
      </c>
      <c r="B37" t="s">
        <v>231</v>
      </c>
      <c r="C37" t="s">
        <v>257</v>
      </c>
      <c r="D37">
        <v>4</v>
      </c>
      <c r="E37">
        <v>0</v>
      </c>
      <c r="G37">
        <v>2</v>
      </c>
      <c r="H37" s="94" t="s">
        <v>258</v>
      </c>
      <c r="I37">
        <v>1.5</v>
      </c>
      <c r="J37">
        <v>1.5</v>
      </c>
      <c r="L37">
        <f t="shared" si="1"/>
        <v>0</v>
      </c>
      <c r="M37">
        <f t="shared" si="0"/>
        <v>1.1</v>
      </c>
      <c r="N37" s="104" t="s">
        <v>259</v>
      </c>
      <c r="O37">
        <v>0</v>
      </c>
      <c r="P37">
        <v>0</v>
      </c>
      <c r="Q37">
        <v>1</v>
      </c>
      <c r="S37">
        <v>0</v>
      </c>
      <c r="V37">
        <v>2</v>
      </c>
      <c r="W37">
        <v>0</v>
      </c>
      <c r="X37" s="7">
        <v>1</v>
      </c>
      <c r="Y37">
        <v>0.4</v>
      </c>
      <c r="Z37">
        <v>0</v>
      </c>
      <c r="AD37">
        <v>0</v>
      </c>
      <c r="AF37">
        <f t="shared" si="2"/>
        <v>0</v>
      </c>
      <c r="AN37" s="8">
        <v>72</v>
      </c>
      <c r="AO37" t="s">
        <v>157</v>
      </c>
      <c r="BC37" t="s">
        <v>256</v>
      </c>
    </row>
    <row r="38" spans="1:55">
      <c r="A38">
        <v>32</v>
      </c>
      <c r="B38" t="s">
        <v>231</v>
      </c>
      <c r="C38" t="s">
        <v>260</v>
      </c>
      <c r="D38">
        <v>1</v>
      </c>
      <c r="E38">
        <v>0</v>
      </c>
      <c r="G38">
        <v>2</v>
      </c>
      <c r="H38" s="94" t="s">
        <v>261</v>
      </c>
      <c r="I38" s="106">
        <v>11.1666666666667</v>
      </c>
      <c r="J38" s="106">
        <v>11.1666666666667</v>
      </c>
      <c r="K38">
        <v>1</v>
      </c>
      <c r="L38">
        <v>1</v>
      </c>
      <c r="M38">
        <f t="shared" si="0"/>
        <v>10.7666666666667</v>
      </c>
      <c r="N38" s="104" t="s">
        <v>262</v>
      </c>
      <c r="O38">
        <v>3</v>
      </c>
      <c r="P38">
        <v>-7</v>
      </c>
      <c r="Q38">
        <v>2</v>
      </c>
      <c r="S38">
        <v>0</v>
      </c>
      <c r="V38">
        <v>2</v>
      </c>
      <c r="W38">
        <v>6</v>
      </c>
      <c r="X38" s="7">
        <v>6</v>
      </c>
      <c r="Y38">
        <v>-0.1</v>
      </c>
      <c r="Z38">
        <v>0</v>
      </c>
      <c r="AB38">
        <v>10.8</v>
      </c>
      <c r="AC38">
        <v>1</v>
      </c>
      <c r="AD38">
        <v>1</v>
      </c>
      <c r="AE38" s="15" t="s">
        <v>263</v>
      </c>
      <c r="AF38">
        <f t="shared" si="2"/>
        <v>0.5</v>
      </c>
      <c r="AG38" t="s">
        <v>264</v>
      </c>
      <c r="AN38" s="8">
        <v>73</v>
      </c>
      <c r="AO38" t="s">
        <v>157</v>
      </c>
      <c r="AR38" s="749" t="s">
        <v>239</v>
      </c>
      <c r="BC38" t="s">
        <v>265</v>
      </c>
    </row>
    <row r="39" s="20" customFormat="1" spans="1:48">
      <c r="A39" s="20">
        <v>33</v>
      </c>
      <c r="B39" s="20" t="s">
        <v>266</v>
      </c>
      <c r="C39" s="20" t="s">
        <v>267</v>
      </c>
      <c r="D39" s="20">
        <v>1</v>
      </c>
      <c r="E39" s="20">
        <v>0</v>
      </c>
      <c r="G39" s="20">
        <v>2</v>
      </c>
      <c r="H39" s="93" t="s">
        <v>268</v>
      </c>
      <c r="I39" s="20">
        <v>2.83333333333333</v>
      </c>
      <c r="J39" s="20">
        <v>2.83333333333333</v>
      </c>
      <c r="L39" s="20">
        <f t="shared" si="1"/>
        <v>0</v>
      </c>
      <c r="M39" s="20">
        <f t="shared" ref="M39:M70" si="3">I39-0.4</f>
        <v>2.43333333333333</v>
      </c>
      <c r="N39" s="20" t="s">
        <v>269</v>
      </c>
      <c r="O39" s="20">
        <v>1</v>
      </c>
      <c r="P39" s="20">
        <v>4.4</v>
      </c>
      <c r="Q39" s="20">
        <v>0</v>
      </c>
      <c r="S39" s="20">
        <v>0</v>
      </c>
      <c r="V39" s="20">
        <v>1</v>
      </c>
      <c r="W39" s="20">
        <v>0</v>
      </c>
      <c r="X39" s="7">
        <v>3</v>
      </c>
      <c r="Y39" s="20">
        <v>0.4</v>
      </c>
      <c r="Z39" s="20">
        <v>0</v>
      </c>
      <c r="AD39" s="20">
        <v>0</v>
      </c>
      <c r="AF39" s="20">
        <f t="shared" si="2"/>
        <v>0</v>
      </c>
      <c r="AN39" s="119">
        <v>36</v>
      </c>
      <c r="AO39" s="20" t="s">
        <v>136</v>
      </c>
      <c r="AV39" s="20">
        <v>1</v>
      </c>
    </row>
    <row r="40" s="20" customFormat="1" spans="1:43">
      <c r="A40" s="20">
        <v>34</v>
      </c>
      <c r="B40" s="20" t="s">
        <v>266</v>
      </c>
      <c r="C40" s="20" t="s">
        <v>270</v>
      </c>
      <c r="D40" s="20">
        <v>4</v>
      </c>
      <c r="E40" s="20">
        <v>0</v>
      </c>
      <c r="G40" s="20">
        <v>2</v>
      </c>
      <c r="H40" s="93" t="s">
        <v>271</v>
      </c>
      <c r="I40" s="20">
        <v>5.66666666666667</v>
      </c>
      <c r="J40" s="20">
        <v>5.66666666666667</v>
      </c>
      <c r="L40" s="20">
        <v>1</v>
      </c>
      <c r="M40" s="20">
        <f t="shared" si="3"/>
        <v>5.26666666666667</v>
      </c>
      <c r="N40" s="20" t="s">
        <v>272</v>
      </c>
      <c r="O40" s="20">
        <v>1</v>
      </c>
      <c r="P40" s="20">
        <v>4.4</v>
      </c>
      <c r="Q40" s="20">
        <v>0</v>
      </c>
      <c r="S40" s="20">
        <v>0</v>
      </c>
      <c r="V40" s="20">
        <v>1</v>
      </c>
      <c r="W40" s="20">
        <v>0</v>
      </c>
      <c r="X40" s="7">
        <v>1</v>
      </c>
      <c r="Y40" s="20">
        <v>-0.1</v>
      </c>
      <c r="Z40" s="20">
        <v>0</v>
      </c>
      <c r="AD40" s="20">
        <v>1</v>
      </c>
      <c r="AE40" s="117" t="s">
        <v>273</v>
      </c>
      <c r="AF40" s="20">
        <f t="shared" si="2"/>
        <v>0.5</v>
      </c>
      <c r="AN40" s="119"/>
      <c r="AP40" s="119">
        <v>37</v>
      </c>
      <c r="AQ40" s="20" t="s">
        <v>136</v>
      </c>
    </row>
    <row r="41" s="20" customFormat="1" spans="1:40">
      <c r="A41" s="20">
        <v>35</v>
      </c>
      <c r="B41" s="20" t="s">
        <v>266</v>
      </c>
      <c r="C41" s="20" t="s">
        <v>274</v>
      </c>
      <c r="D41" s="20">
        <v>1</v>
      </c>
      <c r="E41" s="20">
        <v>0</v>
      </c>
      <c r="G41" s="20">
        <v>2</v>
      </c>
      <c r="H41" s="93" t="s">
        <v>275</v>
      </c>
      <c r="I41" s="20">
        <v>2.66666666666667</v>
      </c>
      <c r="J41" s="20">
        <v>2.66666666666667</v>
      </c>
      <c r="L41" s="20">
        <f t="shared" si="1"/>
        <v>0</v>
      </c>
      <c r="M41" s="20">
        <f t="shared" si="3"/>
        <v>2.26666666666667</v>
      </c>
      <c r="N41" s="20" t="s">
        <v>276</v>
      </c>
      <c r="O41" s="20">
        <v>1</v>
      </c>
      <c r="P41" s="20">
        <v>4.4</v>
      </c>
      <c r="Q41" s="20">
        <v>0</v>
      </c>
      <c r="S41" s="20">
        <v>0</v>
      </c>
      <c r="V41" s="20">
        <v>1</v>
      </c>
      <c r="W41" s="20">
        <v>0</v>
      </c>
      <c r="X41" s="7">
        <v>1</v>
      </c>
      <c r="Y41" s="20">
        <v>0.4</v>
      </c>
      <c r="Z41" s="20">
        <v>0</v>
      </c>
      <c r="AD41" s="20">
        <v>0</v>
      </c>
      <c r="AF41" s="20">
        <f t="shared" si="2"/>
        <v>0</v>
      </c>
      <c r="AN41" s="119"/>
    </row>
    <row r="42" s="20" customFormat="1" spans="1:55">
      <c r="A42" s="20">
        <v>36</v>
      </c>
      <c r="B42" s="20" t="s">
        <v>266</v>
      </c>
      <c r="C42" s="20" t="s">
        <v>277</v>
      </c>
      <c r="D42" s="20">
        <v>1</v>
      </c>
      <c r="E42" s="20">
        <v>0</v>
      </c>
      <c r="G42" s="20">
        <v>2</v>
      </c>
      <c r="H42" s="93" t="s">
        <v>278</v>
      </c>
      <c r="I42" s="20">
        <v>2.66666666666667</v>
      </c>
      <c r="J42" s="20">
        <v>2.66666666666667</v>
      </c>
      <c r="L42" s="20">
        <f t="shared" si="1"/>
        <v>0</v>
      </c>
      <c r="M42" s="20">
        <f t="shared" si="3"/>
        <v>2.26666666666667</v>
      </c>
      <c r="N42" s="105" t="s">
        <v>279</v>
      </c>
      <c r="O42" s="20">
        <v>1</v>
      </c>
      <c r="P42" s="20">
        <v>4.4</v>
      </c>
      <c r="Q42" s="20">
        <v>0</v>
      </c>
      <c r="S42" s="20">
        <v>0</v>
      </c>
      <c r="V42" s="20">
        <v>1</v>
      </c>
      <c r="W42" s="20">
        <v>0</v>
      </c>
      <c r="X42" s="7">
        <v>1</v>
      </c>
      <c r="Y42" s="20">
        <v>0.4</v>
      </c>
      <c r="Z42" s="20">
        <v>0</v>
      </c>
      <c r="AD42" s="20">
        <v>0</v>
      </c>
      <c r="AF42" s="20">
        <f t="shared" si="2"/>
        <v>0</v>
      </c>
      <c r="AN42" s="119">
        <v>678</v>
      </c>
      <c r="AO42" s="20" t="s">
        <v>280</v>
      </c>
      <c r="BC42" s="20" t="s">
        <v>281</v>
      </c>
    </row>
    <row r="43" s="20" customFormat="1" spans="1:55">
      <c r="A43" s="20">
        <v>37</v>
      </c>
      <c r="B43" s="20" t="s">
        <v>266</v>
      </c>
      <c r="C43" s="20" t="s">
        <v>282</v>
      </c>
      <c r="D43" s="20">
        <v>4</v>
      </c>
      <c r="E43" s="20">
        <v>0</v>
      </c>
      <c r="G43" s="20">
        <v>2</v>
      </c>
      <c r="H43" s="93" t="s">
        <v>283</v>
      </c>
      <c r="I43" s="20">
        <v>7.53333333333333</v>
      </c>
      <c r="J43" s="20">
        <v>7.53333333333333</v>
      </c>
      <c r="L43" s="20">
        <v>1</v>
      </c>
      <c r="M43" s="20">
        <f t="shared" si="3"/>
        <v>7.13333333333333</v>
      </c>
      <c r="N43" s="104" t="s">
        <v>284</v>
      </c>
      <c r="O43" s="20">
        <v>1</v>
      </c>
      <c r="P43" s="20">
        <v>2.6</v>
      </c>
      <c r="Q43" s="20">
        <v>0</v>
      </c>
      <c r="S43" s="20">
        <v>0</v>
      </c>
      <c r="V43" s="20">
        <v>1</v>
      </c>
      <c r="W43" s="20">
        <v>0</v>
      </c>
      <c r="X43" s="7">
        <v>1</v>
      </c>
      <c r="Y43" s="20">
        <v>-0.1</v>
      </c>
      <c r="Z43" s="20">
        <v>0</v>
      </c>
      <c r="AB43" s="20">
        <v>7.3</v>
      </c>
      <c r="AC43" s="20">
        <v>2</v>
      </c>
      <c r="AD43" s="20">
        <v>1</v>
      </c>
      <c r="AE43" s="15" t="s">
        <v>285</v>
      </c>
      <c r="AF43" s="20">
        <f t="shared" si="2"/>
        <v>0.5</v>
      </c>
      <c r="AN43" s="119" t="s">
        <v>286</v>
      </c>
      <c r="AO43" s="15" t="s">
        <v>287</v>
      </c>
      <c r="AQ43" s="15"/>
      <c r="BC43" s="20" t="s">
        <v>288</v>
      </c>
    </row>
    <row r="44" spans="1:32">
      <c r="A44">
        <v>38</v>
      </c>
      <c r="B44" t="s">
        <v>266</v>
      </c>
      <c r="C44" t="s">
        <v>289</v>
      </c>
      <c r="D44">
        <v>1</v>
      </c>
      <c r="E44">
        <v>0</v>
      </c>
      <c r="G44">
        <v>2</v>
      </c>
      <c r="H44" s="93" t="s">
        <v>290</v>
      </c>
      <c r="I44">
        <v>3.06666666666667</v>
      </c>
      <c r="J44">
        <v>3.06666666666667</v>
      </c>
      <c r="L44">
        <f t="shared" si="1"/>
        <v>1</v>
      </c>
      <c r="M44">
        <f t="shared" si="3"/>
        <v>2.66666666666667</v>
      </c>
      <c r="N44" t="s">
        <v>291</v>
      </c>
      <c r="O44" s="20">
        <v>1</v>
      </c>
      <c r="P44">
        <v>4.4</v>
      </c>
      <c r="Q44" s="20">
        <v>0</v>
      </c>
      <c r="R44" s="20"/>
      <c r="S44">
        <v>-3</v>
      </c>
      <c r="U44">
        <v>1.5</v>
      </c>
      <c r="V44" s="20">
        <v>1</v>
      </c>
      <c r="W44">
        <v>6</v>
      </c>
      <c r="X44" s="7">
        <v>7</v>
      </c>
      <c r="Y44">
        <v>0.4</v>
      </c>
      <c r="Z44" s="20">
        <v>0</v>
      </c>
      <c r="AA44" s="20"/>
      <c r="AB44" s="20"/>
      <c r="AC44" s="20"/>
      <c r="AD44" s="20">
        <v>0</v>
      </c>
      <c r="AF44">
        <f t="shared" si="2"/>
        <v>0</v>
      </c>
    </row>
    <row r="45" spans="1:55">
      <c r="A45">
        <v>39</v>
      </c>
      <c r="B45" t="s">
        <v>266</v>
      </c>
      <c r="C45" t="s">
        <v>292</v>
      </c>
      <c r="D45">
        <v>1</v>
      </c>
      <c r="E45">
        <v>0</v>
      </c>
      <c r="G45">
        <v>2</v>
      </c>
      <c r="H45" s="93" t="s">
        <v>293</v>
      </c>
      <c r="I45">
        <v>2.66666666666667</v>
      </c>
      <c r="J45">
        <v>2.66666666666667</v>
      </c>
      <c r="L45">
        <f t="shared" si="1"/>
        <v>1</v>
      </c>
      <c r="M45">
        <f t="shared" si="3"/>
        <v>2.26666666666667</v>
      </c>
      <c r="N45" s="105" t="s">
        <v>279</v>
      </c>
      <c r="O45" s="20">
        <v>1</v>
      </c>
      <c r="P45">
        <v>4.4</v>
      </c>
      <c r="Q45" s="108">
        <v>0</v>
      </c>
      <c r="R45" s="108"/>
      <c r="S45">
        <v>2</v>
      </c>
      <c r="T45">
        <v>2</v>
      </c>
      <c r="U45">
        <v>1.5</v>
      </c>
      <c r="V45" s="108">
        <v>1</v>
      </c>
      <c r="W45">
        <v>0</v>
      </c>
      <c r="X45" s="7">
        <v>5</v>
      </c>
      <c r="Y45">
        <v>0.4</v>
      </c>
      <c r="Z45" s="108">
        <v>0</v>
      </c>
      <c r="AA45" s="108"/>
      <c r="AB45" s="108"/>
      <c r="AC45" s="108"/>
      <c r="AD45" s="108">
        <v>0</v>
      </c>
      <c r="AF45">
        <f t="shared" si="2"/>
        <v>0</v>
      </c>
      <c r="AN45" s="119">
        <v>678</v>
      </c>
      <c r="AO45" s="20" t="s">
        <v>280</v>
      </c>
      <c r="BC45" t="s">
        <v>281</v>
      </c>
    </row>
    <row r="46" spans="1:55">
      <c r="A46">
        <v>40</v>
      </c>
      <c r="B46" t="s">
        <v>266</v>
      </c>
      <c r="C46" t="s">
        <v>294</v>
      </c>
      <c r="D46">
        <v>4</v>
      </c>
      <c r="E46">
        <v>0</v>
      </c>
      <c r="G46">
        <v>1</v>
      </c>
      <c r="H46" s="93" t="s">
        <v>295</v>
      </c>
      <c r="I46">
        <v>6.66666666666667</v>
      </c>
      <c r="J46">
        <v>6.66666666666667</v>
      </c>
      <c r="L46">
        <v>1</v>
      </c>
      <c r="M46">
        <f t="shared" si="3"/>
        <v>6.26666666666667</v>
      </c>
      <c r="N46" s="104" t="s">
        <v>296</v>
      </c>
      <c r="O46" s="20">
        <v>1</v>
      </c>
      <c r="P46">
        <v>4.4</v>
      </c>
      <c r="Q46" s="108">
        <v>0</v>
      </c>
      <c r="R46" s="108"/>
      <c r="S46">
        <v>0</v>
      </c>
      <c r="V46" s="108">
        <v>1</v>
      </c>
      <c r="W46">
        <v>4</v>
      </c>
      <c r="X46" s="7">
        <v>20</v>
      </c>
      <c r="Y46">
        <v>-0.1</v>
      </c>
      <c r="Z46" s="108">
        <v>0</v>
      </c>
      <c r="AA46" s="108"/>
      <c r="AB46" s="108"/>
      <c r="AC46" s="108"/>
      <c r="AD46" s="108">
        <v>1</v>
      </c>
      <c r="AE46" t="s">
        <v>297</v>
      </c>
      <c r="AF46">
        <f t="shared" si="2"/>
        <v>0.5</v>
      </c>
      <c r="AN46" s="8">
        <v>60</v>
      </c>
      <c r="AO46" t="s">
        <v>157</v>
      </c>
      <c r="BC46" t="s">
        <v>298</v>
      </c>
    </row>
    <row r="47" s="20" customFormat="1" spans="1:55">
      <c r="A47" s="20">
        <v>41</v>
      </c>
      <c r="B47" s="20" t="s">
        <v>266</v>
      </c>
      <c r="C47" s="20" t="s">
        <v>299</v>
      </c>
      <c r="D47" s="20">
        <v>2</v>
      </c>
      <c r="E47" s="20">
        <v>1</v>
      </c>
      <c r="G47" s="20">
        <v>2</v>
      </c>
      <c r="H47" s="93" t="s">
        <v>300</v>
      </c>
      <c r="I47" s="20">
        <v>3.5</v>
      </c>
      <c r="J47" s="20">
        <v>3.5</v>
      </c>
      <c r="L47" s="20">
        <f t="shared" si="1"/>
        <v>1</v>
      </c>
      <c r="M47" s="20">
        <f t="shared" si="3"/>
        <v>3.1</v>
      </c>
      <c r="N47" s="107" t="s">
        <v>301</v>
      </c>
      <c r="O47" s="20">
        <v>5</v>
      </c>
      <c r="P47" s="20">
        <v>0</v>
      </c>
      <c r="Q47" s="20">
        <v>0</v>
      </c>
      <c r="S47" s="20">
        <v>1</v>
      </c>
      <c r="T47" s="20">
        <v>0</v>
      </c>
      <c r="U47" s="20">
        <v>0</v>
      </c>
      <c r="V47" s="20">
        <v>1000</v>
      </c>
      <c r="W47" s="20">
        <v>0</v>
      </c>
      <c r="X47" s="7" t="s">
        <v>302</v>
      </c>
      <c r="Y47" s="20">
        <v>-0.1</v>
      </c>
      <c r="Z47" s="20">
        <v>0</v>
      </c>
      <c r="AD47" s="20">
        <v>0</v>
      </c>
      <c r="AF47" s="20">
        <f t="shared" si="2"/>
        <v>0</v>
      </c>
      <c r="AN47" s="119" t="s">
        <v>303</v>
      </c>
      <c r="AO47" s="20" t="s">
        <v>304</v>
      </c>
      <c r="BC47" s="20" t="s">
        <v>305</v>
      </c>
    </row>
    <row r="48" s="20" customFormat="1" spans="1:43">
      <c r="A48" s="20">
        <v>42</v>
      </c>
      <c r="B48" s="20" t="s">
        <v>266</v>
      </c>
      <c r="C48" s="20" t="s">
        <v>306</v>
      </c>
      <c r="D48" s="20">
        <v>1</v>
      </c>
      <c r="E48" s="20">
        <v>0</v>
      </c>
      <c r="G48" s="20">
        <v>2</v>
      </c>
      <c r="H48" s="93" t="s">
        <v>307</v>
      </c>
      <c r="I48" s="20">
        <v>2.33333333333333</v>
      </c>
      <c r="J48" s="20">
        <v>2.33333333333333</v>
      </c>
      <c r="L48" s="20">
        <v>1</v>
      </c>
      <c r="M48" s="20">
        <f t="shared" si="3"/>
        <v>1.93333333333333</v>
      </c>
      <c r="N48" s="20" t="s">
        <v>308</v>
      </c>
      <c r="O48" s="20">
        <v>1</v>
      </c>
      <c r="P48" s="20">
        <v>4.4</v>
      </c>
      <c r="Q48" s="20">
        <v>0</v>
      </c>
      <c r="S48" s="20">
        <v>-3</v>
      </c>
      <c r="U48" s="20">
        <v>1.5</v>
      </c>
      <c r="V48" s="20">
        <v>1</v>
      </c>
      <c r="W48" s="20">
        <v>6</v>
      </c>
      <c r="X48" s="7">
        <v>1</v>
      </c>
      <c r="Y48" s="20">
        <v>-0.1</v>
      </c>
      <c r="Z48" s="20">
        <v>0</v>
      </c>
      <c r="AD48" s="20">
        <v>0</v>
      </c>
      <c r="AF48" s="20">
        <f t="shared" si="2"/>
        <v>0</v>
      </c>
      <c r="AN48" s="119"/>
      <c r="AP48" s="20">
        <v>78</v>
      </c>
      <c r="AQ48" s="123" t="s">
        <v>136</v>
      </c>
    </row>
    <row r="49" spans="1:48">
      <c r="A49">
        <v>43</v>
      </c>
      <c r="B49" s="47" t="s">
        <v>309</v>
      </c>
      <c r="C49" s="47" t="s">
        <v>310</v>
      </c>
      <c r="D49" s="47">
        <v>1</v>
      </c>
      <c r="E49" s="47">
        <v>0</v>
      </c>
      <c r="F49" s="47"/>
      <c r="G49" s="47">
        <v>1</v>
      </c>
      <c r="H49" s="95" t="s">
        <v>311</v>
      </c>
      <c r="I49" s="47">
        <v>3.83333333333333</v>
      </c>
      <c r="J49" s="47">
        <v>3.83333333333333</v>
      </c>
      <c r="K49" s="47"/>
      <c r="L49" s="47">
        <f t="shared" si="1"/>
        <v>1</v>
      </c>
      <c r="M49" s="47">
        <f t="shared" si="3"/>
        <v>3.43333333333333</v>
      </c>
      <c r="N49" s="47" t="s">
        <v>312</v>
      </c>
      <c r="O49" s="108">
        <v>1</v>
      </c>
      <c r="P49">
        <v>3.6</v>
      </c>
      <c r="Q49" s="108">
        <v>0</v>
      </c>
      <c r="R49" s="108"/>
      <c r="S49">
        <v>0</v>
      </c>
      <c r="V49" s="108">
        <v>1</v>
      </c>
      <c r="W49">
        <v>0</v>
      </c>
      <c r="X49" s="7">
        <v>12</v>
      </c>
      <c r="Y49">
        <v>-0.1</v>
      </c>
      <c r="Z49" s="108">
        <v>0</v>
      </c>
      <c r="AA49" s="108"/>
      <c r="AB49" s="108"/>
      <c r="AC49" s="108"/>
      <c r="AD49" s="108">
        <v>0</v>
      </c>
      <c r="AF49">
        <f t="shared" si="2"/>
        <v>0</v>
      </c>
      <c r="AN49" s="8" t="s">
        <v>313</v>
      </c>
      <c r="AO49" t="s">
        <v>314</v>
      </c>
      <c r="AV49">
        <v>1</v>
      </c>
    </row>
    <row r="50" spans="1:41">
      <c r="A50">
        <v>44</v>
      </c>
      <c r="B50" s="47" t="s">
        <v>309</v>
      </c>
      <c r="C50" s="47" t="s">
        <v>315</v>
      </c>
      <c r="D50" s="47">
        <v>1</v>
      </c>
      <c r="E50" s="47">
        <v>0</v>
      </c>
      <c r="F50" s="47"/>
      <c r="G50" s="47">
        <v>1</v>
      </c>
      <c r="H50" s="95" t="s">
        <v>316</v>
      </c>
      <c r="I50" s="47">
        <v>3.8</v>
      </c>
      <c r="J50" s="47">
        <v>3.8</v>
      </c>
      <c r="K50" s="47"/>
      <c r="L50" s="47">
        <v>1</v>
      </c>
      <c r="M50" s="47">
        <f t="shared" si="3"/>
        <v>3.4</v>
      </c>
      <c r="N50" s="47" t="s">
        <v>317</v>
      </c>
      <c r="O50" s="108">
        <v>1</v>
      </c>
      <c r="P50">
        <v>3.6</v>
      </c>
      <c r="Q50" s="108">
        <v>0</v>
      </c>
      <c r="R50" s="108"/>
      <c r="S50">
        <v>-2</v>
      </c>
      <c r="T50">
        <v>-1</v>
      </c>
      <c r="U50">
        <v>0.8</v>
      </c>
      <c r="V50" s="108">
        <v>1</v>
      </c>
      <c r="W50">
        <v>1</v>
      </c>
      <c r="X50" s="7">
        <v>3</v>
      </c>
      <c r="Y50">
        <v>0.4</v>
      </c>
      <c r="Z50" s="108">
        <v>0</v>
      </c>
      <c r="AA50" s="108"/>
      <c r="AB50" s="108"/>
      <c r="AC50" s="108"/>
      <c r="AD50" s="108">
        <v>0</v>
      </c>
      <c r="AF50">
        <f t="shared" si="2"/>
        <v>0</v>
      </c>
      <c r="AN50" s="8">
        <v>64</v>
      </c>
      <c r="AO50" t="s">
        <v>136</v>
      </c>
    </row>
    <row r="51" spans="1:43">
      <c r="A51">
        <v>45</v>
      </c>
      <c r="B51" s="47" t="s">
        <v>309</v>
      </c>
      <c r="C51" s="47" t="s">
        <v>318</v>
      </c>
      <c r="D51" s="47">
        <v>1</v>
      </c>
      <c r="E51" s="47">
        <v>0</v>
      </c>
      <c r="F51" s="47"/>
      <c r="G51" s="47">
        <v>1</v>
      </c>
      <c r="H51" s="95" t="s">
        <v>319</v>
      </c>
      <c r="I51" s="47">
        <v>1.8</v>
      </c>
      <c r="J51" s="47">
        <v>1.8</v>
      </c>
      <c r="K51" s="47"/>
      <c r="L51" s="47">
        <f t="shared" si="1"/>
        <v>0</v>
      </c>
      <c r="M51" s="47">
        <f t="shared" si="3"/>
        <v>1.4</v>
      </c>
      <c r="N51" s="109" t="s">
        <v>320</v>
      </c>
      <c r="O51" s="108">
        <v>1</v>
      </c>
      <c r="P51">
        <v>3.6</v>
      </c>
      <c r="Q51" s="108">
        <v>0</v>
      </c>
      <c r="R51" s="108"/>
      <c r="S51">
        <v>0</v>
      </c>
      <c r="V51" s="108">
        <v>1</v>
      </c>
      <c r="W51">
        <v>7</v>
      </c>
      <c r="X51" s="7">
        <v>4</v>
      </c>
      <c r="Y51">
        <v>-0.1</v>
      </c>
      <c r="Z51" s="108">
        <v>0</v>
      </c>
      <c r="AA51" s="108"/>
      <c r="AB51" s="108"/>
      <c r="AC51" s="108"/>
      <c r="AD51" s="108">
        <v>0</v>
      </c>
      <c r="AF51">
        <f t="shared" si="2"/>
        <v>0</v>
      </c>
      <c r="AP51" s="8">
        <v>241</v>
      </c>
      <c r="AQ51" t="s">
        <v>136</v>
      </c>
    </row>
    <row r="52" spans="1:41">
      <c r="A52">
        <v>46</v>
      </c>
      <c r="B52" s="47" t="s">
        <v>309</v>
      </c>
      <c r="C52" s="47" t="s">
        <v>321</v>
      </c>
      <c r="D52" s="47">
        <v>1</v>
      </c>
      <c r="E52" s="47">
        <v>0</v>
      </c>
      <c r="F52" s="47"/>
      <c r="G52" s="47">
        <v>1</v>
      </c>
      <c r="H52" s="95" t="s">
        <v>322</v>
      </c>
      <c r="I52" s="47">
        <v>5</v>
      </c>
      <c r="J52" s="47">
        <v>5</v>
      </c>
      <c r="K52" s="47"/>
      <c r="L52" s="47">
        <v>1</v>
      </c>
      <c r="M52" s="47">
        <f t="shared" si="3"/>
        <v>4.6</v>
      </c>
      <c r="N52" s="47" t="s">
        <v>323</v>
      </c>
      <c r="O52" s="108">
        <v>1</v>
      </c>
      <c r="P52">
        <v>3.6</v>
      </c>
      <c r="Q52" s="108">
        <v>0</v>
      </c>
      <c r="R52" s="108"/>
      <c r="S52">
        <v>0</v>
      </c>
      <c r="V52" s="108">
        <v>1</v>
      </c>
      <c r="W52">
        <v>0</v>
      </c>
      <c r="X52" s="7">
        <v>4</v>
      </c>
      <c r="Y52">
        <v>-0.1</v>
      </c>
      <c r="Z52" s="108">
        <v>0</v>
      </c>
      <c r="AA52" s="108"/>
      <c r="AB52" s="108"/>
      <c r="AC52" s="108"/>
      <c r="AD52" s="108">
        <v>0</v>
      </c>
      <c r="AF52">
        <f t="shared" si="2"/>
        <v>0</v>
      </c>
      <c r="AN52" s="8">
        <v>65</v>
      </c>
      <c r="AO52" t="s">
        <v>136</v>
      </c>
    </row>
    <row r="53" spans="1:41">
      <c r="A53">
        <v>47</v>
      </c>
      <c r="B53" s="47" t="s">
        <v>309</v>
      </c>
      <c r="C53" s="47" t="s">
        <v>324</v>
      </c>
      <c r="D53" s="47">
        <v>4</v>
      </c>
      <c r="E53" s="47">
        <v>0</v>
      </c>
      <c r="F53" s="47"/>
      <c r="G53" s="47">
        <v>1</v>
      </c>
      <c r="H53" s="95" t="s">
        <v>325</v>
      </c>
      <c r="I53" s="47">
        <v>9.66666666666667</v>
      </c>
      <c r="J53" s="47">
        <v>9.66666666666667</v>
      </c>
      <c r="K53" s="47">
        <v>0.2</v>
      </c>
      <c r="L53" s="47">
        <v>1</v>
      </c>
      <c r="M53" s="47">
        <f t="shared" si="3"/>
        <v>9.26666666666667</v>
      </c>
      <c r="N53" s="47" t="s">
        <v>326</v>
      </c>
      <c r="O53" s="108">
        <v>1</v>
      </c>
      <c r="P53">
        <v>3.6</v>
      </c>
      <c r="Q53" s="108">
        <v>2</v>
      </c>
      <c r="R53" s="108"/>
      <c r="S53">
        <v>0</v>
      </c>
      <c r="V53" s="108">
        <v>1</v>
      </c>
      <c r="W53">
        <v>6</v>
      </c>
      <c r="X53" s="7">
        <v>1</v>
      </c>
      <c r="Y53">
        <v>-0.1</v>
      </c>
      <c r="Z53" s="108">
        <v>0</v>
      </c>
      <c r="AA53" s="108"/>
      <c r="AB53" s="108"/>
      <c r="AC53" s="108"/>
      <c r="AD53" s="108">
        <v>1</v>
      </c>
      <c r="AE53" s="15" t="s">
        <v>327</v>
      </c>
      <c r="AF53">
        <f t="shared" si="2"/>
        <v>0.5</v>
      </c>
      <c r="AN53" s="8">
        <v>74</v>
      </c>
      <c r="AO53" t="s">
        <v>136</v>
      </c>
    </row>
    <row r="54" spans="1:44">
      <c r="A54">
        <v>48</v>
      </c>
      <c r="B54" s="47" t="s">
        <v>309</v>
      </c>
      <c r="C54" s="47" t="s">
        <v>328</v>
      </c>
      <c r="D54" s="47">
        <v>3</v>
      </c>
      <c r="E54" s="47">
        <v>1</v>
      </c>
      <c r="F54" s="47"/>
      <c r="G54" s="47">
        <v>1</v>
      </c>
      <c r="H54" s="95" t="s">
        <v>329</v>
      </c>
      <c r="I54" s="47">
        <v>3</v>
      </c>
      <c r="J54" s="47">
        <v>3</v>
      </c>
      <c r="K54" s="47">
        <v>0.5</v>
      </c>
      <c r="L54" s="47">
        <f t="shared" si="1"/>
        <v>0</v>
      </c>
      <c r="M54" s="47">
        <f t="shared" si="3"/>
        <v>2.6</v>
      </c>
      <c r="N54" s="47" t="s">
        <v>330</v>
      </c>
      <c r="O54" s="108">
        <v>1</v>
      </c>
      <c r="P54">
        <v>0</v>
      </c>
      <c r="Q54" s="108">
        <v>0</v>
      </c>
      <c r="R54" s="108"/>
      <c r="S54">
        <v>0</v>
      </c>
      <c r="T54">
        <v>4</v>
      </c>
      <c r="U54">
        <v>1</v>
      </c>
      <c r="V54" s="108">
        <v>1000</v>
      </c>
      <c r="W54">
        <v>0</v>
      </c>
      <c r="X54" s="7">
        <v>0</v>
      </c>
      <c r="Y54">
        <v>-0.1</v>
      </c>
      <c r="Z54" s="108">
        <v>0</v>
      </c>
      <c r="AA54" s="108"/>
      <c r="AB54" s="108"/>
      <c r="AC54" s="108"/>
      <c r="AD54" s="108">
        <v>1</v>
      </c>
      <c r="AE54" s="15" t="s">
        <v>331</v>
      </c>
      <c r="AF54">
        <f t="shared" si="2"/>
        <v>0.5</v>
      </c>
      <c r="AN54" s="8">
        <v>66</v>
      </c>
      <c r="AO54" t="s">
        <v>136</v>
      </c>
      <c r="AR54" t="s">
        <v>239</v>
      </c>
    </row>
    <row r="55" spans="1:55">
      <c r="A55">
        <v>49</v>
      </c>
      <c r="B55" s="47" t="s">
        <v>309</v>
      </c>
      <c r="C55" s="47" t="s">
        <v>332</v>
      </c>
      <c r="D55" s="47">
        <v>2</v>
      </c>
      <c r="E55" s="47">
        <v>1</v>
      </c>
      <c r="F55" s="47"/>
      <c r="G55" s="47">
        <v>1</v>
      </c>
      <c r="H55" s="95" t="s">
        <v>333</v>
      </c>
      <c r="I55" s="47">
        <v>1.66666666666667</v>
      </c>
      <c r="J55" s="47">
        <v>1.66666666666667</v>
      </c>
      <c r="K55" s="47"/>
      <c r="L55" s="47">
        <f t="shared" si="1"/>
        <v>0</v>
      </c>
      <c r="M55" s="47">
        <f t="shared" si="3"/>
        <v>1.26666666666667</v>
      </c>
      <c r="N55" s="47" t="s">
        <v>334</v>
      </c>
      <c r="O55" s="108">
        <v>5</v>
      </c>
      <c r="P55">
        <v>0</v>
      </c>
      <c r="Q55" s="108">
        <v>0</v>
      </c>
      <c r="R55" s="108"/>
      <c r="S55">
        <v>1</v>
      </c>
      <c r="T55">
        <v>0</v>
      </c>
      <c r="U55">
        <v>0</v>
      </c>
      <c r="V55" s="108">
        <v>1000</v>
      </c>
      <c r="W55">
        <v>0</v>
      </c>
      <c r="X55" s="7">
        <v>0</v>
      </c>
      <c r="Y55">
        <v>-0.1</v>
      </c>
      <c r="Z55" s="108">
        <v>0</v>
      </c>
      <c r="AA55" s="108"/>
      <c r="AB55" s="108"/>
      <c r="AC55" s="108"/>
      <c r="AD55" s="108">
        <v>0</v>
      </c>
      <c r="AF55">
        <f t="shared" si="2"/>
        <v>0</v>
      </c>
      <c r="AN55" s="8">
        <v>67</v>
      </c>
      <c r="AO55" t="s">
        <v>136</v>
      </c>
      <c r="BC55" t="s">
        <v>335</v>
      </c>
    </row>
    <row r="56" spans="1:41">
      <c r="A56">
        <v>50</v>
      </c>
      <c r="B56" s="47" t="s">
        <v>309</v>
      </c>
      <c r="C56" s="47" t="s">
        <v>336</v>
      </c>
      <c r="D56" s="47">
        <v>1</v>
      </c>
      <c r="E56" s="47">
        <v>0</v>
      </c>
      <c r="F56" s="47"/>
      <c r="G56" s="47">
        <v>1</v>
      </c>
      <c r="H56" s="95" t="s">
        <v>337</v>
      </c>
      <c r="I56" s="47">
        <v>5</v>
      </c>
      <c r="J56" s="47">
        <v>5</v>
      </c>
      <c r="K56" s="47"/>
      <c r="L56" s="47">
        <v>1</v>
      </c>
      <c r="M56" s="47">
        <f t="shared" si="3"/>
        <v>4.6</v>
      </c>
      <c r="N56" s="47" t="s">
        <v>338</v>
      </c>
      <c r="O56" s="108">
        <v>1</v>
      </c>
      <c r="P56">
        <v>0</v>
      </c>
      <c r="Q56" s="108">
        <v>0</v>
      </c>
      <c r="R56" s="108"/>
      <c r="S56">
        <v>0</v>
      </c>
      <c r="V56" s="108">
        <v>1</v>
      </c>
      <c r="W56">
        <v>0</v>
      </c>
      <c r="X56" s="7">
        <v>10</v>
      </c>
      <c r="Y56">
        <v>-0.1</v>
      </c>
      <c r="Z56" s="108">
        <v>0</v>
      </c>
      <c r="AA56" s="108"/>
      <c r="AB56" s="108"/>
      <c r="AC56" s="108"/>
      <c r="AD56" s="108">
        <v>1</v>
      </c>
      <c r="AE56" t="s">
        <v>339</v>
      </c>
      <c r="AF56">
        <f t="shared" si="2"/>
        <v>0.5</v>
      </c>
      <c r="AN56" s="8">
        <v>68</v>
      </c>
      <c r="AO56" t="s">
        <v>136</v>
      </c>
    </row>
    <row r="57" s="21" customFormat="1" spans="1:48">
      <c r="A57" s="21">
        <v>51</v>
      </c>
      <c r="B57" s="21" t="s">
        <v>340</v>
      </c>
      <c r="C57" s="21" t="s">
        <v>341</v>
      </c>
      <c r="D57" s="21">
        <v>3</v>
      </c>
      <c r="E57" s="21">
        <v>1</v>
      </c>
      <c r="G57" s="21">
        <v>2</v>
      </c>
      <c r="H57" s="96" t="s">
        <v>342</v>
      </c>
      <c r="I57" s="21">
        <v>1.8</v>
      </c>
      <c r="J57" s="21">
        <v>1.8</v>
      </c>
      <c r="L57" s="21">
        <f t="shared" si="1"/>
        <v>0</v>
      </c>
      <c r="M57" s="21">
        <f t="shared" si="3"/>
        <v>1.4</v>
      </c>
      <c r="N57" s="21" t="s">
        <v>343</v>
      </c>
      <c r="O57" s="110">
        <v>0</v>
      </c>
      <c r="P57" s="21">
        <v>0</v>
      </c>
      <c r="Q57" s="110">
        <v>0</v>
      </c>
      <c r="R57" s="110"/>
      <c r="S57" s="21">
        <v>0</v>
      </c>
      <c r="U57" s="21">
        <v>0.5</v>
      </c>
      <c r="V57" s="110">
        <v>101</v>
      </c>
      <c r="W57" s="21">
        <v>0</v>
      </c>
      <c r="X57" s="115">
        <v>0</v>
      </c>
      <c r="Y57" s="21">
        <v>-0.1</v>
      </c>
      <c r="Z57" s="110">
        <v>0</v>
      </c>
      <c r="AA57" s="110"/>
      <c r="AB57" s="110"/>
      <c r="AC57" s="110"/>
      <c r="AD57" s="110">
        <v>0</v>
      </c>
      <c r="AF57" s="21">
        <f t="shared" si="2"/>
        <v>0</v>
      </c>
      <c r="AN57" s="120" t="s">
        <v>344</v>
      </c>
      <c r="AO57" s="21" t="s">
        <v>245</v>
      </c>
      <c r="AV57" s="21">
        <v>0</v>
      </c>
    </row>
    <row r="58" s="17" customFormat="1" spans="1:41">
      <c r="A58" s="17">
        <v>52</v>
      </c>
      <c r="B58" s="17" t="s">
        <v>340</v>
      </c>
      <c r="C58" s="17" t="s">
        <v>345</v>
      </c>
      <c r="D58" s="17">
        <v>1</v>
      </c>
      <c r="E58" s="17">
        <v>0</v>
      </c>
      <c r="G58" s="17">
        <v>1</v>
      </c>
      <c r="H58" s="97" t="s">
        <v>346</v>
      </c>
      <c r="I58" s="17">
        <v>3.56666666666667</v>
      </c>
      <c r="J58" s="17">
        <v>3.56666666666667</v>
      </c>
      <c r="L58" s="17">
        <f t="shared" si="1"/>
        <v>1</v>
      </c>
      <c r="M58" s="17">
        <f t="shared" si="3"/>
        <v>3.16666666666667</v>
      </c>
      <c r="N58" s="17" t="s">
        <v>347</v>
      </c>
      <c r="O58" s="111">
        <v>1</v>
      </c>
      <c r="P58" s="17">
        <v>1.5</v>
      </c>
      <c r="Q58" s="111">
        <v>0</v>
      </c>
      <c r="R58" s="111"/>
      <c r="S58" s="17">
        <v>0</v>
      </c>
      <c r="V58" s="111">
        <v>1</v>
      </c>
      <c r="W58" s="17">
        <v>0</v>
      </c>
      <c r="X58" s="116">
        <v>5</v>
      </c>
      <c r="Y58" s="17">
        <v>-0.1</v>
      </c>
      <c r="Z58" s="111">
        <v>0</v>
      </c>
      <c r="AA58" s="111"/>
      <c r="AB58" s="111"/>
      <c r="AC58" s="111"/>
      <c r="AD58" s="111">
        <v>0</v>
      </c>
      <c r="AF58" s="17">
        <f t="shared" si="2"/>
        <v>0</v>
      </c>
      <c r="AN58" s="121">
        <v>82</v>
      </c>
      <c r="AO58" s="17" t="s">
        <v>157</v>
      </c>
    </row>
    <row r="59" s="17" customFormat="1" spans="1:55">
      <c r="A59" s="17">
        <v>53</v>
      </c>
      <c r="B59" s="17" t="s">
        <v>340</v>
      </c>
      <c r="C59" s="17" t="s">
        <v>348</v>
      </c>
      <c r="D59" s="17">
        <v>1</v>
      </c>
      <c r="E59" s="17">
        <v>0</v>
      </c>
      <c r="G59" s="17">
        <v>1</v>
      </c>
      <c r="H59" s="97">
        <v>703</v>
      </c>
      <c r="I59" s="17">
        <v>7.63333333333333</v>
      </c>
      <c r="J59" s="17">
        <v>7.63333333333333</v>
      </c>
      <c r="K59" s="17">
        <v>0.5</v>
      </c>
      <c r="L59" s="17">
        <v>1</v>
      </c>
      <c r="M59" s="17">
        <f t="shared" si="3"/>
        <v>7.23333333333333</v>
      </c>
      <c r="N59" s="17" t="s">
        <v>349</v>
      </c>
      <c r="O59" s="111">
        <v>1</v>
      </c>
      <c r="P59" s="17">
        <v>1.5</v>
      </c>
      <c r="Q59" s="111">
        <v>2</v>
      </c>
      <c r="R59" s="111"/>
      <c r="S59" s="17">
        <v>0</v>
      </c>
      <c r="V59" s="111">
        <v>1</v>
      </c>
      <c r="W59" s="17">
        <v>0</v>
      </c>
      <c r="X59" s="116">
        <v>10</v>
      </c>
      <c r="Y59" s="17">
        <v>-0.1</v>
      </c>
      <c r="Z59" s="111">
        <v>0</v>
      </c>
      <c r="AA59" s="111"/>
      <c r="AB59" s="111">
        <v>7.4</v>
      </c>
      <c r="AC59" s="111">
        <v>2</v>
      </c>
      <c r="AD59" s="111">
        <v>1</v>
      </c>
      <c r="AE59" s="17" t="s">
        <v>350</v>
      </c>
      <c r="AF59" s="17">
        <f t="shared" si="2"/>
        <v>0.5</v>
      </c>
      <c r="AN59" s="121">
        <v>84</v>
      </c>
      <c r="AO59" s="17" t="s">
        <v>351</v>
      </c>
      <c r="AP59" s="17">
        <v>83</v>
      </c>
      <c r="AQ59" s="17" t="s">
        <v>136</v>
      </c>
      <c r="BC59" s="17" t="s">
        <v>352</v>
      </c>
    </row>
    <row r="60" s="21" customFormat="1" spans="1:43">
      <c r="A60" s="21">
        <v>54</v>
      </c>
      <c r="B60" s="21" t="s">
        <v>340</v>
      </c>
      <c r="C60" s="21" t="s">
        <v>353</v>
      </c>
      <c r="D60" s="21">
        <v>2</v>
      </c>
      <c r="E60" s="21">
        <v>1</v>
      </c>
      <c r="G60" s="21">
        <v>2</v>
      </c>
      <c r="H60" s="96" t="s">
        <v>354</v>
      </c>
      <c r="I60" s="21">
        <v>2.3</v>
      </c>
      <c r="J60" s="21">
        <v>2.3</v>
      </c>
      <c r="L60" s="21">
        <f t="shared" si="1"/>
        <v>0</v>
      </c>
      <c r="M60" s="21">
        <f t="shared" si="3"/>
        <v>1.9</v>
      </c>
      <c r="N60" s="21" t="s">
        <v>355</v>
      </c>
      <c r="O60" s="110">
        <v>0</v>
      </c>
      <c r="P60" s="21">
        <v>0</v>
      </c>
      <c r="Q60" s="110">
        <v>0</v>
      </c>
      <c r="R60" s="110"/>
      <c r="S60" s="21">
        <v>0</v>
      </c>
      <c r="V60" s="110">
        <v>1000</v>
      </c>
      <c r="W60" s="21">
        <v>0</v>
      </c>
      <c r="X60" s="115">
        <v>0</v>
      </c>
      <c r="Y60" s="21">
        <v>-0.1</v>
      </c>
      <c r="Z60" s="110">
        <v>0</v>
      </c>
      <c r="AA60" s="110"/>
      <c r="AB60" s="110"/>
      <c r="AC60" s="110"/>
      <c r="AD60" s="110">
        <v>0</v>
      </c>
      <c r="AF60" s="21">
        <f t="shared" si="2"/>
        <v>0</v>
      </c>
      <c r="AN60" s="120">
        <v>84</v>
      </c>
      <c r="AO60" s="124" t="s">
        <v>351</v>
      </c>
      <c r="AP60" s="120">
        <v>85</v>
      </c>
      <c r="AQ60" s="124" t="s">
        <v>136</v>
      </c>
    </row>
    <row r="61" s="21" customFormat="1" spans="1:44">
      <c r="A61" s="21">
        <v>55</v>
      </c>
      <c r="B61" s="21" t="s">
        <v>340</v>
      </c>
      <c r="C61" s="21" t="s">
        <v>356</v>
      </c>
      <c r="D61" s="21">
        <v>3</v>
      </c>
      <c r="E61" s="21">
        <v>1</v>
      </c>
      <c r="G61" s="21">
        <v>2</v>
      </c>
      <c r="H61" s="96">
        <v>705</v>
      </c>
      <c r="I61" s="21">
        <v>3.16666666666667</v>
      </c>
      <c r="J61" s="21">
        <v>3.16666666666667</v>
      </c>
      <c r="L61" s="21">
        <f t="shared" si="1"/>
        <v>0</v>
      </c>
      <c r="M61" s="21">
        <f t="shared" si="3"/>
        <v>2.76666666666667</v>
      </c>
      <c r="N61" s="112" t="s">
        <v>357</v>
      </c>
      <c r="O61" s="110">
        <v>0</v>
      </c>
      <c r="P61" s="21">
        <v>0</v>
      </c>
      <c r="Q61" s="110">
        <v>0</v>
      </c>
      <c r="R61" s="110"/>
      <c r="S61" s="21">
        <v>0</v>
      </c>
      <c r="T61" s="21">
        <v>5</v>
      </c>
      <c r="V61" s="110">
        <v>101</v>
      </c>
      <c r="W61" s="21">
        <v>6</v>
      </c>
      <c r="X61" s="115">
        <v>0</v>
      </c>
      <c r="Y61" s="21">
        <v>-0.1</v>
      </c>
      <c r="Z61" s="110">
        <v>0</v>
      </c>
      <c r="AA61" s="110"/>
      <c r="AC61" s="110"/>
      <c r="AD61" s="110">
        <v>1</v>
      </c>
      <c r="AE61" s="21" t="s">
        <v>358</v>
      </c>
      <c r="AF61" s="21">
        <f t="shared" si="2"/>
        <v>0.5</v>
      </c>
      <c r="AN61" s="120" t="s">
        <v>359</v>
      </c>
      <c r="AO61" s="21" t="s">
        <v>360</v>
      </c>
      <c r="AR61" s="21" t="s">
        <v>239</v>
      </c>
    </row>
    <row r="62" s="21" customFormat="1" spans="1:41">
      <c r="A62" s="21">
        <v>56</v>
      </c>
      <c r="B62" s="21" t="s">
        <v>340</v>
      </c>
      <c r="C62" s="21" t="s">
        <v>361</v>
      </c>
      <c r="D62" s="21">
        <v>3</v>
      </c>
      <c r="E62" s="21">
        <v>1</v>
      </c>
      <c r="F62" s="21">
        <v>0</v>
      </c>
      <c r="G62" s="21">
        <v>2</v>
      </c>
      <c r="H62" s="96">
        <v>706</v>
      </c>
      <c r="I62" s="21">
        <v>2.66666666666667</v>
      </c>
      <c r="J62" s="21">
        <v>2.66666666666667</v>
      </c>
      <c r="L62" s="21">
        <f t="shared" si="1"/>
        <v>0</v>
      </c>
      <c r="M62" s="21">
        <f t="shared" si="3"/>
        <v>2.26666666666667</v>
      </c>
      <c r="N62" s="112" t="s">
        <v>362</v>
      </c>
      <c r="O62" s="110">
        <v>0</v>
      </c>
      <c r="P62" s="21">
        <v>0</v>
      </c>
      <c r="Q62" s="110">
        <v>0</v>
      </c>
      <c r="R62" s="110"/>
      <c r="S62" s="21">
        <v>0</v>
      </c>
      <c r="U62" s="21">
        <v>0.5</v>
      </c>
      <c r="V62" s="110">
        <v>101</v>
      </c>
      <c r="W62" s="21">
        <v>0</v>
      </c>
      <c r="X62" s="115">
        <v>0</v>
      </c>
      <c r="Y62" s="21">
        <v>-0.1</v>
      </c>
      <c r="Z62" s="110">
        <v>0</v>
      </c>
      <c r="AA62" s="110"/>
      <c r="AB62" s="110"/>
      <c r="AC62" s="110"/>
      <c r="AD62" s="110">
        <v>0</v>
      </c>
      <c r="AF62" s="21">
        <f t="shared" si="2"/>
        <v>0</v>
      </c>
      <c r="AN62" s="120" t="s">
        <v>363</v>
      </c>
      <c r="AO62" s="125" t="s">
        <v>245</v>
      </c>
    </row>
    <row r="63" s="17" customFormat="1" spans="1:43">
      <c r="A63" s="17">
        <v>57</v>
      </c>
      <c r="B63" s="17" t="s">
        <v>340</v>
      </c>
      <c r="C63" s="17" t="s">
        <v>364</v>
      </c>
      <c r="D63" s="17">
        <v>1</v>
      </c>
      <c r="E63" s="17">
        <v>0</v>
      </c>
      <c r="G63" s="17">
        <v>1</v>
      </c>
      <c r="H63" s="97" t="s">
        <v>365</v>
      </c>
      <c r="I63" s="17">
        <v>5.1</v>
      </c>
      <c r="J63" s="17">
        <v>5.1</v>
      </c>
      <c r="K63" s="17">
        <v>1</v>
      </c>
      <c r="L63" s="17">
        <v>1</v>
      </c>
      <c r="M63" s="17">
        <f t="shared" si="3"/>
        <v>4.7</v>
      </c>
      <c r="N63" s="17" t="s">
        <v>366</v>
      </c>
      <c r="O63" s="111">
        <v>1</v>
      </c>
      <c r="P63" s="17">
        <v>7</v>
      </c>
      <c r="Q63" s="111">
        <v>0</v>
      </c>
      <c r="R63" s="111"/>
      <c r="S63" s="17">
        <v>0</v>
      </c>
      <c r="V63" s="111">
        <v>1</v>
      </c>
      <c r="W63" s="17">
        <v>1</v>
      </c>
      <c r="X63" s="116">
        <v>1</v>
      </c>
      <c r="Y63" s="17">
        <v>-0.1</v>
      </c>
      <c r="Z63" s="111">
        <v>0</v>
      </c>
      <c r="AA63" s="111"/>
      <c r="AB63" s="111">
        <v>4.8</v>
      </c>
      <c r="AC63" s="111">
        <v>2</v>
      </c>
      <c r="AD63" s="111">
        <v>1</v>
      </c>
      <c r="AE63" s="17" t="s">
        <v>367</v>
      </c>
      <c r="AF63" s="17">
        <f t="shared" si="2"/>
        <v>0.5</v>
      </c>
      <c r="AN63" s="121" t="s">
        <v>368</v>
      </c>
      <c r="AO63" s="126" t="s">
        <v>369</v>
      </c>
      <c r="AP63" s="17">
        <v>91</v>
      </c>
      <c r="AQ63" s="17" t="s">
        <v>136</v>
      </c>
    </row>
    <row r="64" s="17" customFormat="1" spans="1:40">
      <c r="A64" s="17">
        <v>58</v>
      </c>
      <c r="B64" s="98"/>
      <c r="H64" s="97"/>
      <c r="L64" s="17">
        <f t="shared" si="1"/>
        <v>0</v>
      </c>
      <c r="M64" s="17">
        <f t="shared" si="3"/>
        <v>-0.4</v>
      </c>
      <c r="X64" s="116">
        <v>1</v>
      </c>
      <c r="Y64" s="17">
        <v>-0.1</v>
      </c>
      <c r="AF64" s="17">
        <f t="shared" si="2"/>
        <v>0</v>
      </c>
      <c r="AN64" s="121"/>
    </row>
    <row r="65" s="22" customFormat="1" spans="1:41">
      <c r="A65" s="21">
        <v>59</v>
      </c>
      <c r="B65" s="21" t="s">
        <v>340</v>
      </c>
      <c r="C65" s="22" t="s">
        <v>370</v>
      </c>
      <c r="D65" s="22">
        <v>3</v>
      </c>
      <c r="E65" s="22">
        <v>1</v>
      </c>
      <c r="G65" s="22">
        <v>2</v>
      </c>
      <c r="H65" s="127">
        <v>709</v>
      </c>
      <c r="I65" s="22">
        <v>2</v>
      </c>
      <c r="J65" s="22">
        <v>2</v>
      </c>
      <c r="L65" s="22">
        <f t="shared" si="1"/>
        <v>0</v>
      </c>
      <c r="M65" s="22">
        <f t="shared" si="3"/>
        <v>1.6</v>
      </c>
      <c r="N65" s="104" t="s">
        <v>371</v>
      </c>
      <c r="O65" s="143">
        <v>0</v>
      </c>
      <c r="P65" s="22">
        <v>0</v>
      </c>
      <c r="Q65" s="143">
        <v>0</v>
      </c>
      <c r="R65" s="143"/>
      <c r="S65" s="22">
        <v>0</v>
      </c>
      <c r="V65" s="143">
        <v>101</v>
      </c>
      <c r="W65" s="22">
        <v>27</v>
      </c>
      <c r="X65" s="148">
        <v>0</v>
      </c>
      <c r="Y65" s="22">
        <v>-0.1</v>
      </c>
      <c r="Z65" s="143">
        <v>0</v>
      </c>
      <c r="AA65" s="143"/>
      <c r="AB65" s="143"/>
      <c r="AC65" s="143"/>
      <c r="AD65" s="143">
        <v>0</v>
      </c>
      <c r="AF65" s="22">
        <f t="shared" si="2"/>
        <v>0</v>
      </c>
      <c r="AN65" s="153">
        <v>561</v>
      </c>
      <c r="AO65" s="22" t="s">
        <v>136</v>
      </c>
    </row>
    <row r="66" s="22" customFormat="1" spans="1:41">
      <c r="A66" s="21">
        <v>60</v>
      </c>
      <c r="B66" s="21" t="s">
        <v>340</v>
      </c>
      <c r="C66" s="22" t="s">
        <v>372</v>
      </c>
      <c r="D66" s="22">
        <v>3</v>
      </c>
      <c r="E66" s="22">
        <v>1</v>
      </c>
      <c r="G66" s="22">
        <v>2</v>
      </c>
      <c r="H66" s="127">
        <v>710</v>
      </c>
      <c r="I66" s="22">
        <v>2.53333333333333</v>
      </c>
      <c r="J66" s="22">
        <v>2.53333333333333</v>
      </c>
      <c r="L66" s="22">
        <f t="shared" si="1"/>
        <v>0</v>
      </c>
      <c r="M66" s="22">
        <f t="shared" si="3"/>
        <v>2.13333333333333</v>
      </c>
      <c r="N66" s="104" t="s">
        <v>373</v>
      </c>
      <c r="O66" s="143">
        <v>0</v>
      </c>
      <c r="P66" s="22">
        <v>0</v>
      </c>
      <c r="Q66" s="143">
        <v>0</v>
      </c>
      <c r="R66" s="143"/>
      <c r="S66" s="22">
        <v>0</v>
      </c>
      <c r="V66" s="143">
        <v>101</v>
      </c>
      <c r="W66" s="22">
        <v>0</v>
      </c>
      <c r="X66" s="148">
        <v>0</v>
      </c>
      <c r="Y66" s="22">
        <v>-0.1</v>
      </c>
      <c r="Z66" s="143">
        <v>0</v>
      </c>
      <c r="AA66" s="143"/>
      <c r="AB66" s="143"/>
      <c r="AC66" s="143"/>
      <c r="AD66" s="143">
        <v>0</v>
      </c>
      <c r="AF66" s="22">
        <f t="shared" si="2"/>
        <v>0</v>
      </c>
      <c r="AN66" s="153">
        <v>562</v>
      </c>
      <c r="AO66" s="22" t="s">
        <v>136</v>
      </c>
    </row>
    <row r="67" spans="1:48">
      <c r="A67">
        <v>61</v>
      </c>
      <c r="B67" t="s">
        <v>374</v>
      </c>
      <c r="C67" t="s">
        <v>375</v>
      </c>
      <c r="D67">
        <v>1</v>
      </c>
      <c r="E67">
        <v>0</v>
      </c>
      <c r="G67">
        <v>2</v>
      </c>
      <c r="H67" s="94" t="s">
        <v>376</v>
      </c>
      <c r="I67">
        <v>1.5</v>
      </c>
      <c r="J67">
        <v>1.5</v>
      </c>
      <c r="L67">
        <f t="shared" si="1"/>
        <v>0</v>
      </c>
      <c r="M67">
        <f t="shared" si="3"/>
        <v>1.1</v>
      </c>
      <c r="N67" t="s">
        <v>377</v>
      </c>
      <c r="O67">
        <v>0</v>
      </c>
      <c r="P67">
        <v>0</v>
      </c>
      <c r="Q67" s="108">
        <v>0</v>
      </c>
      <c r="R67" s="108"/>
      <c r="S67">
        <v>0</v>
      </c>
      <c r="V67" s="108">
        <v>1</v>
      </c>
      <c r="W67">
        <v>0</v>
      </c>
      <c r="X67" s="7">
        <v>4</v>
      </c>
      <c r="Y67">
        <v>0.4</v>
      </c>
      <c r="Z67" s="108">
        <v>0</v>
      </c>
      <c r="AA67" s="108"/>
      <c r="AB67" s="108"/>
      <c r="AC67" s="108"/>
      <c r="AD67" s="108">
        <v>0</v>
      </c>
      <c r="AF67">
        <f t="shared" si="2"/>
        <v>0</v>
      </c>
      <c r="AN67" s="8">
        <v>104</v>
      </c>
      <c r="AO67" t="s">
        <v>136</v>
      </c>
      <c r="AV67">
        <v>1</v>
      </c>
    </row>
    <row r="68" spans="1:41">
      <c r="A68">
        <v>62</v>
      </c>
      <c r="B68" t="s">
        <v>374</v>
      </c>
      <c r="C68" t="s">
        <v>378</v>
      </c>
      <c r="D68">
        <v>4</v>
      </c>
      <c r="E68">
        <v>0</v>
      </c>
      <c r="G68">
        <v>2</v>
      </c>
      <c r="H68" s="94" t="s">
        <v>379</v>
      </c>
      <c r="I68">
        <v>2.9</v>
      </c>
      <c r="J68">
        <v>2.9</v>
      </c>
      <c r="L68">
        <f t="shared" si="1"/>
        <v>0</v>
      </c>
      <c r="M68">
        <f t="shared" si="3"/>
        <v>2.5</v>
      </c>
      <c r="N68" t="s">
        <v>380</v>
      </c>
      <c r="O68">
        <v>0</v>
      </c>
      <c r="P68">
        <v>0</v>
      </c>
      <c r="Q68" s="108">
        <v>0</v>
      </c>
      <c r="R68" s="108"/>
      <c r="S68">
        <v>0</v>
      </c>
      <c r="V68" s="108">
        <v>1</v>
      </c>
      <c r="W68">
        <v>16</v>
      </c>
      <c r="X68" s="7">
        <v>1</v>
      </c>
      <c r="Y68">
        <v>-0.1</v>
      </c>
      <c r="Z68" s="108">
        <v>0</v>
      </c>
      <c r="AA68" s="108"/>
      <c r="AB68" s="108"/>
      <c r="AC68" s="108"/>
      <c r="AD68" s="108">
        <v>0</v>
      </c>
      <c r="AF68">
        <f t="shared" si="2"/>
        <v>0</v>
      </c>
      <c r="AN68" s="8">
        <v>105</v>
      </c>
      <c r="AO68" t="s">
        <v>136</v>
      </c>
    </row>
    <row r="69" spans="1:41">
      <c r="A69">
        <v>63</v>
      </c>
      <c r="B69" t="s">
        <v>374</v>
      </c>
      <c r="C69" t="s">
        <v>381</v>
      </c>
      <c r="D69">
        <v>1</v>
      </c>
      <c r="E69">
        <v>0</v>
      </c>
      <c r="G69">
        <v>2</v>
      </c>
      <c r="H69" s="94" t="s">
        <v>382</v>
      </c>
      <c r="I69">
        <v>3.5</v>
      </c>
      <c r="J69">
        <v>3.5</v>
      </c>
      <c r="L69">
        <f t="shared" si="1"/>
        <v>0</v>
      </c>
      <c r="M69">
        <f t="shared" si="3"/>
        <v>3.1</v>
      </c>
      <c r="N69" t="s">
        <v>383</v>
      </c>
      <c r="O69" s="108">
        <v>0</v>
      </c>
      <c r="P69">
        <v>0</v>
      </c>
      <c r="Q69" s="108">
        <v>0</v>
      </c>
      <c r="R69" s="108"/>
      <c r="S69">
        <v>0</v>
      </c>
      <c r="V69" s="108">
        <v>1</v>
      </c>
      <c r="W69">
        <v>0</v>
      </c>
      <c r="X69" s="7">
        <v>1</v>
      </c>
      <c r="Y69">
        <v>0.4</v>
      </c>
      <c r="Z69" s="108">
        <v>0</v>
      </c>
      <c r="AA69" s="108"/>
      <c r="AB69" s="108"/>
      <c r="AC69" s="108"/>
      <c r="AD69" s="108">
        <v>0</v>
      </c>
      <c r="AF69">
        <f t="shared" si="2"/>
        <v>0</v>
      </c>
      <c r="AN69" s="8">
        <v>106</v>
      </c>
      <c r="AO69" t="s">
        <v>136</v>
      </c>
    </row>
    <row r="70" s="22" customFormat="1" spans="1:40">
      <c r="A70" s="22">
        <v>64</v>
      </c>
      <c r="B70" s="22" t="s">
        <v>340</v>
      </c>
      <c r="C70" s="22" t="s">
        <v>384</v>
      </c>
      <c r="D70" s="22">
        <v>3</v>
      </c>
      <c r="E70" s="22">
        <v>1</v>
      </c>
      <c r="G70" s="22">
        <v>2</v>
      </c>
      <c r="H70" s="127">
        <v>711</v>
      </c>
      <c r="I70" s="22">
        <v>1.93333333333333</v>
      </c>
      <c r="J70" s="22">
        <v>1.93333333333333</v>
      </c>
      <c r="L70" s="22">
        <f t="shared" si="1"/>
        <v>0</v>
      </c>
      <c r="M70" s="22">
        <f t="shared" si="3"/>
        <v>1.53333333333333</v>
      </c>
      <c r="N70" s="104" t="s">
        <v>385</v>
      </c>
      <c r="O70" s="143">
        <v>0</v>
      </c>
      <c r="P70" s="22">
        <v>0</v>
      </c>
      <c r="Q70" s="143">
        <v>0</v>
      </c>
      <c r="R70" s="143"/>
      <c r="S70" s="22">
        <v>0</v>
      </c>
      <c r="V70" s="143">
        <v>101</v>
      </c>
      <c r="W70" s="22">
        <v>21</v>
      </c>
      <c r="X70" s="148">
        <v>0</v>
      </c>
      <c r="Y70" s="22">
        <v>-0.1</v>
      </c>
      <c r="Z70" s="143">
        <v>0</v>
      </c>
      <c r="AA70" s="143"/>
      <c r="AB70" s="143"/>
      <c r="AC70" s="143"/>
      <c r="AD70" s="143">
        <v>0</v>
      </c>
      <c r="AF70" s="22">
        <f t="shared" si="2"/>
        <v>0</v>
      </c>
      <c r="AN70" s="153"/>
    </row>
    <row r="71" spans="1:48">
      <c r="A71">
        <v>65</v>
      </c>
      <c r="B71" t="s">
        <v>386</v>
      </c>
      <c r="C71" t="s">
        <v>387</v>
      </c>
      <c r="D71">
        <v>1</v>
      </c>
      <c r="E71">
        <v>0</v>
      </c>
      <c r="G71">
        <v>2</v>
      </c>
      <c r="H71" s="82">
        <v>1709</v>
      </c>
      <c r="I71" s="106">
        <v>2.73333333333333</v>
      </c>
      <c r="J71" s="118">
        <v>2.73333333333333</v>
      </c>
      <c r="L71">
        <f t="shared" si="1"/>
        <v>0</v>
      </c>
      <c r="M71">
        <f t="shared" ref="M71:M79" si="4">I71-0.4</f>
        <v>2.33333333333333</v>
      </c>
      <c r="N71" t="s">
        <v>388</v>
      </c>
      <c r="O71" s="108">
        <v>1</v>
      </c>
      <c r="P71">
        <v>2.5</v>
      </c>
      <c r="Q71" s="108">
        <v>0</v>
      </c>
      <c r="R71" s="108"/>
      <c r="S71" s="108">
        <v>1</v>
      </c>
      <c r="T71" s="108">
        <v>1</v>
      </c>
      <c r="U71">
        <v>0.5</v>
      </c>
      <c r="V71" s="108">
        <v>6</v>
      </c>
      <c r="W71">
        <v>0</v>
      </c>
      <c r="X71" s="7">
        <v>3</v>
      </c>
      <c r="Y71">
        <v>-0.1</v>
      </c>
      <c r="Z71" s="108">
        <v>0</v>
      </c>
      <c r="AA71" s="108"/>
      <c r="AB71" s="108"/>
      <c r="AC71" s="108"/>
      <c r="AD71" s="108">
        <v>0</v>
      </c>
      <c r="AF71">
        <f t="shared" si="2"/>
        <v>0</v>
      </c>
      <c r="AP71">
        <v>862</v>
      </c>
      <c r="AQ71" t="s">
        <v>136</v>
      </c>
      <c r="AV71">
        <v>1</v>
      </c>
    </row>
    <row r="72" spans="1:48">
      <c r="A72">
        <v>66</v>
      </c>
      <c r="B72" t="s">
        <v>389</v>
      </c>
      <c r="C72" t="s">
        <v>390</v>
      </c>
      <c r="D72">
        <v>1</v>
      </c>
      <c r="E72">
        <v>0</v>
      </c>
      <c r="G72">
        <v>2</v>
      </c>
      <c r="H72" s="94" t="s">
        <v>391</v>
      </c>
      <c r="I72">
        <v>1.36666666666667</v>
      </c>
      <c r="J72">
        <v>1.36666666666667</v>
      </c>
      <c r="L72">
        <f t="shared" ref="L72:L134" si="5">IF(X72&gt;4,1,0)</f>
        <v>0</v>
      </c>
      <c r="M72">
        <f t="shared" si="4"/>
        <v>0.96666666666667</v>
      </c>
      <c r="N72" t="s">
        <v>392</v>
      </c>
      <c r="O72" s="108">
        <v>1</v>
      </c>
      <c r="P72">
        <v>4</v>
      </c>
      <c r="Q72" s="108">
        <v>0</v>
      </c>
      <c r="R72" s="108"/>
      <c r="S72">
        <v>0</v>
      </c>
      <c r="V72" s="108">
        <v>1</v>
      </c>
      <c r="W72">
        <v>0</v>
      </c>
      <c r="X72" s="7">
        <v>2</v>
      </c>
      <c r="Y72">
        <v>0.4</v>
      </c>
      <c r="Z72" s="108">
        <v>0</v>
      </c>
      <c r="AA72" s="108"/>
      <c r="AB72" s="108"/>
      <c r="AC72" s="108"/>
      <c r="AD72" s="108">
        <v>0</v>
      </c>
      <c r="AF72">
        <f t="shared" si="2"/>
        <v>0</v>
      </c>
      <c r="AV72">
        <v>1</v>
      </c>
    </row>
    <row r="73" spans="1:55">
      <c r="A73">
        <v>67</v>
      </c>
      <c r="B73" t="s">
        <v>389</v>
      </c>
      <c r="C73" t="s">
        <v>393</v>
      </c>
      <c r="D73">
        <v>1</v>
      </c>
      <c r="E73">
        <v>0</v>
      </c>
      <c r="G73">
        <v>2</v>
      </c>
      <c r="H73" s="93" t="s">
        <v>394</v>
      </c>
      <c r="I73">
        <v>1.13333333333333</v>
      </c>
      <c r="J73">
        <v>1.13333333333333</v>
      </c>
      <c r="L73">
        <f t="shared" si="5"/>
        <v>0</v>
      </c>
      <c r="M73">
        <f t="shared" si="4"/>
        <v>0.73333333333333</v>
      </c>
      <c r="N73" s="104" t="s">
        <v>395</v>
      </c>
      <c r="O73" s="108">
        <v>1</v>
      </c>
      <c r="P73">
        <v>4</v>
      </c>
      <c r="Q73" s="108">
        <v>0</v>
      </c>
      <c r="R73" s="108"/>
      <c r="S73">
        <v>0</v>
      </c>
      <c r="V73" s="108">
        <v>1</v>
      </c>
      <c r="W73">
        <v>0</v>
      </c>
      <c r="X73" s="7">
        <v>1</v>
      </c>
      <c r="Y73">
        <v>0.4</v>
      </c>
      <c r="Z73" s="108">
        <v>0</v>
      </c>
      <c r="AA73" s="108"/>
      <c r="AB73" s="108"/>
      <c r="AC73" s="108"/>
      <c r="AD73" s="108">
        <v>0</v>
      </c>
      <c r="AF73">
        <f t="shared" si="2"/>
        <v>0</v>
      </c>
      <c r="AN73" s="8">
        <v>122</v>
      </c>
      <c r="AO73" t="s">
        <v>136</v>
      </c>
      <c r="BC73" t="s">
        <v>396</v>
      </c>
    </row>
    <row r="74" spans="1:55">
      <c r="A74">
        <v>68</v>
      </c>
      <c r="B74" t="s">
        <v>389</v>
      </c>
      <c r="C74" t="s">
        <v>397</v>
      </c>
      <c r="D74">
        <v>1</v>
      </c>
      <c r="E74">
        <v>0</v>
      </c>
      <c r="G74">
        <v>2</v>
      </c>
      <c r="H74" s="94" t="s">
        <v>398</v>
      </c>
      <c r="I74">
        <v>1.8</v>
      </c>
      <c r="J74">
        <v>1.8</v>
      </c>
      <c r="L74">
        <f t="shared" si="5"/>
        <v>1</v>
      </c>
      <c r="M74">
        <f t="shared" si="4"/>
        <v>1.4</v>
      </c>
      <c r="N74" s="104" t="s">
        <v>399</v>
      </c>
      <c r="O74" s="108">
        <v>1</v>
      </c>
      <c r="P74">
        <v>4</v>
      </c>
      <c r="Q74" s="108">
        <v>0</v>
      </c>
      <c r="R74" s="108"/>
      <c r="S74">
        <v>0</v>
      </c>
      <c r="V74" s="108">
        <v>1</v>
      </c>
      <c r="W74">
        <v>0</v>
      </c>
      <c r="X74" s="7">
        <v>8</v>
      </c>
      <c r="Y74">
        <v>-0.1</v>
      </c>
      <c r="Z74" s="108">
        <v>0</v>
      </c>
      <c r="AA74" s="108"/>
      <c r="AB74" s="108"/>
      <c r="AC74" s="108"/>
      <c r="AD74" s="108">
        <v>0</v>
      </c>
      <c r="AF74">
        <f t="shared" si="2"/>
        <v>0</v>
      </c>
      <c r="AN74" s="8">
        <v>332</v>
      </c>
      <c r="AO74" t="s">
        <v>400</v>
      </c>
      <c r="AP74" s="8">
        <v>123</v>
      </c>
      <c r="AQ74" t="s">
        <v>136</v>
      </c>
      <c r="BC74" t="s">
        <v>401</v>
      </c>
    </row>
    <row r="75" spans="1:55">
      <c r="A75">
        <v>69</v>
      </c>
      <c r="B75" t="s">
        <v>389</v>
      </c>
      <c r="C75" t="s">
        <v>402</v>
      </c>
      <c r="D75">
        <v>4</v>
      </c>
      <c r="E75">
        <v>0</v>
      </c>
      <c r="G75">
        <v>2</v>
      </c>
      <c r="H75" s="93" t="s">
        <v>403</v>
      </c>
      <c r="I75">
        <v>2.5</v>
      </c>
      <c r="J75">
        <v>2.5</v>
      </c>
      <c r="L75">
        <f t="shared" si="5"/>
        <v>1</v>
      </c>
      <c r="M75">
        <f t="shared" si="4"/>
        <v>2.1</v>
      </c>
      <c r="N75" s="104" t="s">
        <v>404</v>
      </c>
      <c r="O75" s="108">
        <v>1</v>
      </c>
      <c r="P75">
        <v>4</v>
      </c>
      <c r="Q75" s="108">
        <v>0</v>
      </c>
      <c r="R75" s="108"/>
      <c r="S75">
        <v>0</v>
      </c>
      <c r="V75" s="108">
        <v>1</v>
      </c>
      <c r="W75">
        <v>0</v>
      </c>
      <c r="X75" s="7">
        <v>11</v>
      </c>
      <c r="Y75">
        <v>-0.1</v>
      </c>
      <c r="Z75" s="108">
        <v>0</v>
      </c>
      <c r="AA75" s="108"/>
      <c r="AB75" s="108"/>
      <c r="AC75" s="108"/>
      <c r="AD75" s="108">
        <v>0</v>
      </c>
      <c r="AF75">
        <f t="shared" ref="AF75:AF138" si="6">IF(AD75=--1,0.5,0)</f>
        <v>0</v>
      </c>
      <c r="AN75" s="8">
        <v>124</v>
      </c>
      <c r="AO75" t="s">
        <v>136</v>
      </c>
      <c r="BC75" t="s">
        <v>405</v>
      </c>
    </row>
    <row r="76" spans="1:55">
      <c r="A76">
        <v>70</v>
      </c>
      <c r="B76" t="s">
        <v>389</v>
      </c>
      <c r="C76" t="s">
        <v>406</v>
      </c>
      <c r="D76">
        <v>4</v>
      </c>
      <c r="E76">
        <v>0</v>
      </c>
      <c r="G76">
        <v>2</v>
      </c>
      <c r="H76" s="94" t="s">
        <v>407</v>
      </c>
      <c r="I76">
        <v>4</v>
      </c>
      <c r="J76">
        <v>4</v>
      </c>
      <c r="K76">
        <v>0.3</v>
      </c>
      <c r="L76">
        <v>1</v>
      </c>
      <c r="M76">
        <f t="shared" si="4"/>
        <v>3.6</v>
      </c>
      <c r="N76" s="104" t="s">
        <v>408</v>
      </c>
      <c r="O76" s="108">
        <v>1</v>
      </c>
      <c r="P76">
        <v>5.4</v>
      </c>
      <c r="Q76" s="108">
        <v>0</v>
      </c>
      <c r="R76" s="108"/>
      <c r="S76">
        <v>0</v>
      </c>
      <c r="V76" s="108">
        <v>1</v>
      </c>
      <c r="W76">
        <v>0</v>
      </c>
      <c r="X76" s="7">
        <v>21</v>
      </c>
      <c r="Y76">
        <v>-0.1</v>
      </c>
      <c r="Z76" s="108">
        <v>0</v>
      </c>
      <c r="AA76" s="108"/>
      <c r="AB76" s="108"/>
      <c r="AC76" s="108"/>
      <c r="AD76" s="108">
        <v>1</v>
      </c>
      <c r="AE76" t="s">
        <v>409</v>
      </c>
      <c r="AF76">
        <f t="shared" si="6"/>
        <v>0.5</v>
      </c>
      <c r="AP76" s="8">
        <v>126</v>
      </c>
      <c r="AQ76" t="s">
        <v>136</v>
      </c>
      <c r="BC76" t="s">
        <v>410</v>
      </c>
    </row>
    <row r="77" spans="1:41">
      <c r="A77">
        <v>71</v>
      </c>
      <c r="B77" t="s">
        <v>389</v>
      </c>
      <c r="C77" t="s">
        <v>411</v>
      </c>
      <c r="D77">
        <v>2</v>
      </c>
      <c r="E77">
        <v>1</v>
      </c>
      <c r="G77">
        <v>2</v>
      </c>
      <c r="H77" s="93" t="s">
        <v>412</v>
      </c>
      <c r="I77">
        <v>1.16666666666667</v>
      </c>
      <c r="J77">
        <v>1.16666666666667</v>
      </c>
      <c r="L77">
        <f t="shared" si="5"/>
        <v>0</v>
      </c>
      <c r="M77">
        <f t="shared" si="4"/>
        <v>0.76666666666667</v>
      </c>
      <c r="N77" s="104" t="s">
        <v>413</v>
      </c>
      <c r="O77" s="108">
        <v>5</v>
      </c>
      <c r="P77">
        <v>0</v>
      </c>
      <c r="Q77" s="108">
        <v>2</v>
      </c>
      <c r="R77" s="108"/>
      <c r="S77">
        <v>2.5</v>
      </c>
      <c r="T77">
        <v>0</v>
      </c>
      <c r="U77">
        <v>0</v>
      </c>
      <c r="V77" s="108">
        <v>101</v>
      </c>
      <c r="W77">
        <v>0</v>
      </c>
      <c r="X77" s="7">
        <v>1</v>
      </c>
      <c r="Y77">
        <v>-0.1</v>
      </c>
      <c r="Z77" s="108">
        <v>0</v>
      </c>
      <c r="AA77" s="108"/>
      <c r="AB77" s="108"/>
      <c r="AC77" s="108"/>
      <c r="AD77" s="108">
        <v>0</v>
      </c>
      <c r="AF77">
        <f t="shared" si="6"/>
        <v>0</v>
      </c>
      <c r="AN77" s="8">
        <v>127</v>
      </c>
      <c r="AO77" t="s">
        <v>136</v>
      </c>
    </row>
    <row r="78" spans="1:55">
      <c r="A78">
        <v>72</v>
      </c>
      <c r="B78" t="s">
        <v>389</v>
      </c>
      <c r="C78" t="s">
        <v>414</v>
      </c>
      <c r="D78">
        <v>1</v>
      </c>
      <c r="E78">
        <v>0</v>
      </c>
      <c r="G78">
        <v>2</v>
      </c>
      <c r="H78" s="94" t="s">
        <v>415</v>
      </c>
      <c r="I78">
        <v>1.6</v>
      </c>
      <c r="J78">
        <v>1.6</v>
      </c>
      <c r="L78">
        <f t="shared" si="5"/>
        <v>0</v>
      </c>
      <c r="M78">
        <f t="shared" si="4"/>
        <v>1.2</v>
      </c>
      <c r="N78" s="104" t="s">
        <v>416</v>
      </c>
      <c r="O78" s="108">
        <v>1</v>
      </c>
      <c r="P78">
        <v>4</v>
      </c>
      <c r="Q78" s="108">
        <v>0</v>
      </c>
      <c r="R78" s="108"/>
      <c r="S78">
        <v>0</v>
      </c>
      <c r="V78" s="108">
        <v>1</v>
      </c>
      <c r="W78">
        <v>1</v>
      </c>
      <c r="X78" s="7">
        <v>1</v>
      </c>
      <c r="Y78">
        <v>-0.1</v>
      </c>
      <c r="Z78" s="108">
        <v>0</v>
      </c>
      <c r="AA78" s="108"/>
      <c r="AB78" s="108"/>
      <c r="AC78" s="108"/>
      <c r="AD78" s="108">
        <v>0</v>
      </c>
      <c r="AF78">
        <f t="shared" si="6"/>
        <v>0</v>
      </c>
      <c r="BC78" t="s">
        <v>417</v>
      </c>
    </row>
    <row r="79" spans="1:55">
      <c r="A79">
        <v>73</v>
      </c>
      <c r="B79" t="s">
        <v>389</v>
      </c>
      <c r="C79" t="s">
        <v>418</v>
      </c>
      <c r="D79">
        <v>1</v>
      </c>
      <c r="E79">
        <v>0</v>
      </c>
      <c r="G79">
        <v>2</v>
      </c>
      <c r="H79" s="93" t="s">
        <v>419</v>
      </c>
      <c r="I79">
        <v>4.633333</v>
      </c>
      <c r="J79">
        <v>4.633333</v>
      </c>
      <c r="K79">
        <v>1</v>
      </c>
      <c r="L79">
        <v>1</v>
      </c>
      <c r="M79">
        <f t="shared" si="4"/>
        <v>4.233333</v>
      </c>
      <c r="N79" s="104" t="s">
        <v>420</v>
      </c>
      <c r="O79" s="108">
        <v>1</v>
      </c>
      <c r="P79">
        <v>20.5</v>
      </c>
      <c r="Q79" s="108">
        <v>2</v>
      </c>
      <c r="R79" s="108"/>
      <c r="S79">
        <v>-0.5</v>
      </c>
      <c r="V79" s="108">
        <v>1</v>
      </c>
      <c r="W79">
        <v>6</v>
      </c>
      <c r="X79" s="7">
        <v>6</v>
      </c>
      <c r="Y79">
        <v>-0.1</v>
      </c>
      <c r="Z79" s="108">
        <v>0</v>
      </c>
      <c r="AA79" s="108"/>
      <c r="AB79" s="108"/>
      <c r="AC79" s="108"/>
      <c r="AD79" s="108">
        <v>1</v>
      </c>
      <c r="AE79" t="s">
        <v>421</v>
      </c>
      <c r="AF79">
        <f t="shared" si="6"/>
        <v>0.5</v>
      </c>
      <c r="AP79" s="8">
        <v>128</v>
      </c>
      <c r="AQ79" t="s">
        <v>136</v>
      </c>
      <c r="BC79" t="s">
        <v>422</v>
      </c>
    </row>
    <row r="80" spans="1:48">
      <c r="A80">
        <v>74</v>
      </c>
      <c r="B80" t="s">
        <v>423</v>
      </c>
      <c r="C80" t="s">
        <v>424</v>
      </c>
      <c r="D80">
        <v>1</v>
      </c>
      <c r="E80">
        <v>0</v>
      </c>
      <c r="G80">
        <v>1</v>
      </c>
      <c r="H80" s="94" t="s">
        <v>425</v>
      </c>
      <c r="I80">
        <v>1.6</v>
      </c>
      <c r="J80">
        <v>1.4</v>
      </c>
      <c r="L80">
        <f t="shared" si="5"/>
        <v>0</v>
      </c>
      <c r="M80">
        <v>1.2</v>
      </c>
      <c r="N80" t="s">
        <v>426</v>
      </c>
      <c r="O80" s="108">
        <v>1</v>
      </c>
      <c r="P80">
        <v>2</v>
      </c>
      <c r="Q80" s="108">
        <v>0</v>
      </c>
      <c r="R80" s="108"/>
      <c r="S80">
        <v>0</v>
      </c>
      <c r="V80" s="108">
        <v>6</v>
      </c>
      <c r="W80">
        <v>0</v>
      </c>
      <c r="X80" s="7">
        <v>3</v>
      </c>
      <c r="Y80">
        <v>-0.1</v>
      </c>
      <c r="Z80" s="108">
        <v>0</v>
      </c>
      <c r="AA80" s="108"/>
      <c r="AB80" s="108"/>
      <c r="AC80" s="108"/>
      <c r="AD80" s="108">
        <v>0</v>
      </c>
      <c r="AF80">
        <f t="shared" si="6"/>
        <v>0</v>
      </c>
      <c r="AN80" s="154">
        <v>112</v>
      </c>
      <c r="AO80" t="s">
        <v>136</v>
      </c>
      <c r="AV80">
        <v>1</v>
      </c>
    </row>
    <row r="81" spans="1:43">
      <c r="A81">
        <v>75</v>
      </c>
      <c r="B81" t="s">
        <v>423</v>
      </c>
      <c r="C81" t="s">
        <v>427</v>
      </c>
      <c r="D81">
        <v>1</v>
      </c>
      <c r="E81">
        <v>0</v>
      </c>
      <c r="G81">
        <v>1</v>
      </c>
      <c r="H81" s="93" t="s">
        <v>428</v>
      </c>
      <c r="I81">
        <v>1.66666666666667</v>
      </c>
      <c r="J81">
        <v>1.66666666666667</v>
      </c>
      <c r="L81">
        <v>1</v>
      </c>
      <c r="M81">
        <v>1.26666666666667</v>
      </c>
      <c r="N81" t="s">
        <v>429</v>
      </c>
      <c r="O81" s="108">
        <v>1</v>
      </c>
      <c r="P81">
        <v>2.5</v>
      </c>
      <c r="Q81" s="108">
        <v>0</v>
      </c>
      <c r="R81" s="108"/>
      <c r="S81">
        <v>0</v>
      </c>
      <c r="V81" s="108">
        <v>6</v>
      </c>
      <c r="W81">
        <v>0</v>
      </c>
      <c r="X81" s="7">
        <v>1</v>
      </c>
      <c r="Y81">
        <v>-0.1</v>
      </c>
      <c r="Z81" s="108">
        <v>0</v>
      </c>
      <c r="AA81" s="108"/>
      <c r="AB81" s="108"/>
      <c r="AC81" s="108"/>
      <c r="AD81" s="108">
        <v>1</v>
      </c>
      <c r="AE81" t="s">
        <v>430</v>
      </c>
      <c r="AF81">
        <f t="shared" si="6"/>
        <v>0.5</v>
      </c>
      <c r="AN81" s="154"/>
      <c r="AP81" s="154">
        <v>113</v>
      </c>
      <c r="AQ81" t="s">
        <v>136</v>
      </c>
    </row>
    <row r="82" spans="1:41">
      <c r="A82">
        <v>76</v>
      </c>
      <c r="B82" t="s">
        <v>423</v>
      </c>
      <c r="C82" t="s">
        <v>431</v>
      </c>
      <c r="D82">
        <v>2</v>
      </c>
      <c r="E82">
        <v>1</v>
      </c>
      <c r="G82">
        <v>1</v>
      </c>
      <c r="H82" s="94" t="s">
        <v>432</v>
      </c>
      <c r="I82">
        <v>1.23333333333333</v>
      </c>
      <c r="J82">
        <v>1.23333333333333</v>
      </c>
      <c r="L82">
        <f t="shared" si="5"/>
        <v>0</v>
      </c>
      <c r="M82">
        <v>0.83333333333333</v>
      </c>
      <c r="N82" t="s">
        <v>433</v>
      </c>
      <c r="O82" s="108">
        <v>5</v>
      </c>
      <c r="P82">
        <v>0</v>
      </c>
      <c r="Q82" s="108">
        <v>0</v>
      </c>
      <c r="R82" s="108"/>
      <c r="S82">
        <v>1</v>
      </c>
      <c r="T82">
        <v>0</v>
      </c>
      <c r="U82">
        <v>0</v>
      </c>
      <c r="V82" s="108">
        <v>101</v>
      </c>
      <c r="W82">
        <v>0</v>
      </c>
      <c r="X82" s="7">
        <v>0</v>
      </c>
      <c r="Y82">
        <v>-0.1</v>
      </c>
      <c r="Z82" s="108">
        <v>0</v>
      </c>
      <c r="AA82" s="108"/>
      <c r="AB82" s="108"/>
      <c r="AC82" s="108"/>
      <c r="AD82" s="108">
        <v>0</v>
      </c>
      <c r="AF82">
        <f t="shared" si="6"/>
        <v>0</v>
      </c>
      <c r="AN82" s="154">
        <v>114</v>
      </c>
      <c r="AO82" t="s">
        <v>136</v>
      </c>
    </row>
    <row r="83" spans="1:41">
      <c r="A83">
        <v>77</v>
      </c>
      <c r="B83" t="s">
        <v>423</v>
      </c>
      <c r="C83" t="s">
        <v>434</v>
      </c>
      <c r="D83">
        <v>1</v>
      </c>
      <c r="E83">
        <v>0</v>
      </c>
      <c r="G83">
        <v>1</v>
      </c>
      <c r="H83" s="93" t="s">
        <v>435</v>
      </c>
      <c r="I83">
        <v>1.7</v>
      </c>
      <c r="J83">
        <v>1.7</v>
      </c>
      <c r="L83">
        <f t="shared" si="5"/>
        <v>0</v>
      </c>
      <c r="M83">
        <v>1.3</v>
      </c>
      <c r="N83" t="s">
        <v>436</v>
      </c>
      <c r="O83" s="108">
        <v>1</v>
      </c>
      <c r="P83">
        <v>2</v>
      </c>
      <c r="Q83" s="108">
        <v>0</v>
      </c>
      <c r="R83" s="108"/>
      <c r="S83">
        <v>0</v>
      </c>
      <c r="V83" s="108">
        <v>6</v>
      </c>
      <c r="W83">
        <v>0</v>
      </c>
      <c r="X83" s="7">
        <v>1</v>
      </c>
      <c r="Y83">
        <v>-0.1</v>
      </c>
      <c r="Z83" s="108">
        <v>0</v>
      </c>
      <c r="AA83" s="108"/>
      <c r="AB83" s="108"/>
      <c r="AC83" s="108"/>
      <c r="AD83" s="108">
        <v>0</v>
      </c>
      <c r="AF83">
        <f t="shared" si="6"/>
        <v>0</v>
      </c>
      <c r="AN83" s="154">
        <v>115</v>
      </c>
      <c r="AO83" t="s">
        <v>136</v>
      </c>
    </row>
    <row r="84" spans="1:43">
      <c r="A84">
        <v>78</v>
      </c>
      <c r="B84" t="s">
        <v>423</v>
      </c>
      <c r="C84" t="s">
        <v>437</v>
      </c>
      <c r="D84">
        <v>4</v>
      </c>
      <c r="E84">
        <v>0</v>
      </c>
      <c r="G84">
        <v>1</v>
      </c>
      <c r="H84" s="94" t="s">
        <v>438</v>
      </c>
      <c r="I84">
        <v>5.73333333333333</v>
      </c>
      <c r="J84">
        <v>5.03333333333333</v>
      </c>
      <c r="L84">
        <v>1</v>
      </c>
      <c r="M84">
        <v>5.33333333333333</v>
      </c>
      <c r="N84" t="s">
        <v>439</v>
      </c>
      <c r="O84" s="108">
        <v>1</v>
      </c>
      <c r="P84">
        <v>2</v>
      </c>
      <c r="Q84" s="108">
        <v>2</v>
      </c>
      <c r="R84" s="108"/>
      <c r="S84">
        <v>0</v>
      </c>
      <c r="V84" s="108">
        <v>6</v>
      </c>
      <c r="W84">
        <v>6</v>
      </c>
      <c r="X84" s="7">
        <v>1</v>
      </c>
      <c r="Y84">
        <v>-0.1</v>
      </c>
      <c r="Z84" s="108">
        <v>0</v>
      </c>
      <c r="AA84" s="108">
        <v>1</v>
      </c>
      <c r="AB84" s="108"/>
      <c r="AC84" s="108"/>
      <c r="AD84" s="108">
        <v>1</v>
      </c>
      <c r="AE84" s="15" t="s">
        <v>440</v>
      </c>
      <c r="AF84">
        <f t="shared" si="6"/>
        <v>0.5</v>
      </c>
      <c r="AP84" s="154">
        <v>116</v>
      </c>
      <c r="AQ84" t="s">
        <v>136</v>
      </c>
    </row>
    <row r="85" spans="1:41">
      <c r="A85">
        <v>79</v>
      </c>
      <c r="B85" t="s">
        <v>423</v>
      </c>
      <c r="C85" t="s">
        <v>441</v>
      </c>
      <c r="D85">
        <v>1</v>
      </c>
      <c r="E85">
        <v>0</v>
      </c>
      <c r="G85">
        <v>1</v>
      </c>
      <c r="H85" s="93" t="s">
        <v>442</v>
      </c>
      <c r="I85">
        <v>1.23333333333333</v>
      </c>
      <c r="J85">
        <v>1.1</v>
      </c>
      <c r="L85">
        <f t="shared" si="5"/>
        <v>1</v>
      </c>
      <c r="M85">
        <v>0.83333333333333</v>
      </c>
      <c r="N85" t="s">
        <v>443</v>
      </c>
      <c r="O85" s="108">
        <v>1</v>
      </c>
      <c r="P85">
        <v>2</v>
      </c>
      <c r="Q85" s="108">
        <v>0</v>
      </c>
      <c r="R85" s="108"/>
      <c r="S85">
        <v>0</v>
      </c>
      <c r="T85">
        <v>0.5</v>
      </c>
      <c r="V85" s="108">
        <v>6</v>
      </c>
      <c r="W85">
        <v>0</v>
      </c>
      <c r="X85" s="7">
        <v>6</v>
      </c>
      <c r="Y85">
        <v>-0.1</v>
      </c>
      <c r="Z85" s="108">
        <v>0</v>
      </c>
      <c r="AA85" s="108"/>
      <c r="AB85" s="108"/>
      <c r="AC85" s="108"/>
      <c r="AD85" s="108">
        <v>0</v>
      </c>
      <c r="AF85">
        <f t="shared" si="6"/>
        <v>0</v>
      </c>
      <c r="AN85" s="154">
        <v>117</v>
      </c>
      <c r="AO85" t="s">
        <v>136</v>
      </c>
    </row>
    <row r="86" spans="1:41">
      <c r="A86">
        <v>80</v>
      </c>
      <c r="B86" t="s">
        <v>423</v>
      </c>
      <c r="C86" t="s">
        <v>444</v>
      </c>
      <c r="D86">
        <v>1</v>
      </c>
      <c r="E86">
        <v>0</v>
      </c>
      <c r="G86">
        <v>1</v>
      </c>
      <c r="H86" s="94" t="s">
        <v>445</v>
      </c>
      <c r="I86">
        <v>1.53333333333333</v>
      </c>
      <c r="J86">
        <v>1.4</v>
      </c>
      <c r="L86">
        <f t="shared" si="5"/>
        <v>0</v>
      </c>
      <c r="M86">
        <v>1.13333333333333</v>
      </c>
      <c r="N86" t="s">
        <v>446</v>
      </c>
      <c r="O86" s="108">
        <v>1</v>
      </c>
      <c r="P86">
        <v>2</v>
      </c>
      <c r="Q86" s="108">
        <v>0</v>
      </c>
      <c r="R86" s="108"/>
      <c r="S86">
        <v>-1</v>
      </c>
      <c r="U86">
        <v>1.2</v>
      </c>
      <c r="V86" s="108">
        <v>6</v>
      </c>
      <c r="W86">
        <v>19</v>
      </c>
      <c r="X86" s="7">
        <v>3</v>
      </c>
      <c r="Y86">
        <v>-0.1</v>
      </c>
      <c r="Z86" s="108">
        <v>0</v>
      </c>
      <c r="AA86" s="108"/>
      <c r="AB86" s="108"/>
      <c r="AC86" s="108"/>
      <c r="AD86" s="108">
        <v>0</v>
      </c>
      <c r="AF86">
        <f t="shared" si="6"/>
        <v>0</v>
      </c>
      <c r="AN86" s="154">
        <v>118</v>
      </c>
      <c r="AO86" t="s">
        <v>136</v>
      </c>
    </row>
    <row r="87" spans="1:41">
      <c r="A87">
        <v>81</v>
      </c>
      <c r="B87" t="s">
        <v>423</v>
      </c>
      <c r="C87" t="s">
        <v>447</v>
      </c>
      <c r="D87">
        <v>1</v>
      </c>
      <c r="E87">
        <v>0</v>
      </c>
      <c r="G87">
        <v>1</v>
      </c>
      <c r="H87" s="93" t="s">
        <v>448</v>
      </c>
      <c r="I87">
        <f>255/30</f>
        <v>8.5</v>
      </c>
      <c r="J87">
        <f>255/30</f>
        <v>8.5</v>
      </c>
      <c r="L87">
        <v>1</v>
      </c>
      <c r="M87">
        <f>J87-0.4</f>
        <v>8.1</v>
      </c>
      <c r="N87" t="s">
        <v>449</v>
      </c>
      <c r="O87" s="108">
        <v>3</v>
      </c>
      <c r="P87">
        <v>-2</v>
      </c>
      <c r="Q87" s="108">
        <v>0</v>
      </c>
      <c r="R87" s="108"/>
      <c r="S87">
        <v>0</v>
      </c>
      <c r="V87" s="108">
        <v>6</v>
      </c>
      <c r="W87">
        <v>6</v>
      </c>
      <c r="X87" s="7">
        <v>1</v>
      </c>
      <c r="Y87">
        <v>-0.1</v>
      </c>
      <c r="Z87" s="108">
        <v>0</v>
      </c>
      <c r="AA87" s="108"/>
      <c r="AB87" s="108">
        <v>8</v>
      </c>
      <c r="AC87" s="108">
        <v>2</v>
      </c>
      <c r="AD87" s="108">
        <v>1</v>
      </c>
      <c r="AE87" t="s">
        <v>450</v>
      </c>
      <c r="AF87">
        <f t="shared" si="6"/>
        <v>0.5</v>
      </c>
      <c r="AN87" s="154">
        <v>119</v>
      </c>
      <c r="AO87" t="s">
        <v>136</v>
      </c>
    </row>
    <row r="88" spans="1:48">
      <c r="A88">
        <v>82</v>
      </c>
      <c r="B88" t="s">
        <v>451</v>
      </c>
      <c r="C88" t="s">
        <v>452</v>
      </c>
      <c r="D88">
        <v>1</v>
      </c>
      <c r="E88">
        <v>0</v>
      </c>
      <c r="G88">
        <v>1</v>
      </c>
      <c r="H88" s="94" t="s">
        <v>453</v>
      </c>
      <c r="I88">
        <v>2</v>
      </c>
      <c r="J88">
        <v>2</v>
      </c>
      <c r="L88">
        <f t="shared" si="5"/>
        <v>0</v>
      </c>
      <c r="M88">
        <f t="shared" ref="M88:M151" si="7">I88-0.4</f>
        <v>1.6</v>
      </c>
      <c r="N88" t="s">
        <v>454</v>
      </c>
      <c r="O88" s="108">
        <v>1</v>
      </c>
      <c r="P88">
        <v>1.4</v>
      </c>
      <c r="Q88" s="108">
        <v>0</v>
      </c>
      <c r="R88" s="108"/>
      <c r="S88">
        <v>0</v>
      </c>
      <c r="V88" s="108">
        <v>1</v>
      </c>
      <c r="W88">
        <v>0</v>
      </c>
      <c r="X88" s="7">
        <v>3</v>
      </c>
      <c r="Y88">
        <v>-0.1</v>
      </c>
      <c r="Z88" s="108">
        <v>0</v>
      </c>
      <c r="AA88" s="108"/>
      <c r="AB88" s="108"/>
      <c r="AC88" s="108"/>
      <c r="AD88" s="108">
        <v>0</v>
      </c>
      <c r="AF88">
        <f t="shared" si="6"/>
        <v>0</v>
      </c>
      <c r="AN88" s="154">
        <v>133</v>
      </c>
      <c r="AO88" t="s">
        <v>136</v>
      </c>
      <c r="AV88">
        <v>1</v>
      </c>
    </row>
    <row r="89" spans="1:41">
      <c r="A89">
        <v>83</v>
      </c>
      <c r="B89" t="s">
        <v>451</v>
      </c>
      <c r="C89" t="s">
        <v>455</v>
      </c>
      <c r="D89">
        <v>1</v>
      </c>
      <c r="E89">
        <v>0</v>
      </c>
      <c r="G89">
        <v>1</v>
      </c>
      <c r="H89" s="93" t="s">
        <v>456</v>
      </c>
      <c r="I89">
        <v>1.53333333333333</v>
      </c>
      <c r="J89">
        <v>1.53333333333333</v>
      </c>
      <c r="L89">
        <f t="shared" si="5"/>
        <v>0</v>
      </c>
      <c r="M89">
        <f t="shared" si="7"/>
        <v>1.13333333333333</v>
      </c>
      <c r="N89" s="104" t="s">
        <v>457</v>
      </c>
      <c r="O89" s="108">
        <v>1</v>
      </c>
      <c r="P89">
        <v>1.4</v>
      </c>
      <c r="Q89" s="108">
        <v>0</v>
      </c>
      <c r="R89" s="108"/>
      <c r="S89">
        <v>0</v>
      </c>
      <c r="V89" s="108">
        <v>1</v>
      </c>
      <c r="W89">
        <v>0</v>
      </c>
      <c r="X89" s="7">
        <v>1</v>
      </c>
      <c r="Y89">
        <v>-0.1</v>
      </c>
      <c r="Z89" s="108">
        <v>0</v>
      </c>
      <c r="AA89" s="108"/>
      <c r="AB89" s="108"/>
      <c r="AC89" s="108"/>
      <c r="AD89" s="108">
        <v>0</v>
      </c>
      <c r="AF89">
        <f t="shared" si="6"/>
        <v>0</v>
      </c>
      <c r="AN89" s="154">
        <v>134</v>
      </c>
      <c r="AO89" t="s">
        <v>136</v>
      </c>
    </row>
    <row r="90" spans="1:55">
      <c r="A90">
        <v>84</v>
      </c>
      <c r="B90" t="s">
        <v>451</v>
      </c>
      <c r="C90" t="s">
        <v>458</v>
      </c>
      <c r="D90">
        <v>1</v>
      </c>
      <c r="E90">
        <v>0</v>
      </c>
      <c r="G90">
        <v>1</v>
      </c>
      <c r="H90" s="94" t="s">
        <v>459</v>
      </c>
      <c r="I90">
        <v>1.83333333333333</v>
      </c>
      <c r="J90">
        <v>1.83333333333333</v>
      </c>
      <c r="L90">
        <f t="shared" si="5"/>
        <v>0</v>
      </c>
      <c r="M90">
        <f t="shared" si="7"/>
        <v>1.43333333333333</v>
      </c>
      <c r="N90" s="104" t="s">
        <v>460</v>
      </c>
      <c r="O90" s="108">
        <v>1</v>
      </c>
      <c r="P90">
        <v>1.4</v>
      </c>
      <c r="Q90" s="108">
        <v>0</v>
      </c>
      <c r="R90" s="108"/>
      <c r="S90">
        <v>2</v>
      </c>
      <c r="U90">
        <v>0.5</v>
      </c>
      <c r="V90" s="108">
        <v>1</v>
      </c>
      <c r="W90">
        <v>0</v>
      </c>
      <c r="X90" s="7">
        <v>3</v>
      </c>
      <c r="Y90">
        <v>-0.1</v>
      </c>
      <c r="Z90" s="108">
        <v>0</v>
      </c>
      <c r="AA90" s="108"/>
      <c r="AB90" s="108"/>
      <c r="AC90" s="108"/>
      <c r="AD90" s="108">
        <v>0</v>
      </c>
      <c r="AF90">
        <f t="shared" si="6"/>
        <v>0</v>
      </c>
      <c r="AI90">
        <v>1</v>
      </c>
      <c r="AK90" t="s">
        <v>461</v>
      </c>
      <c r="AL90">
        <v>0.6</v>
      </c>
      <c r="AM90">
        <v>0.7</v>
      </c>
      <c r="AN90" s="8" t="s">
        <v>462</v>
      </c>
      <c r="AO90" t="s">
        <v>463</v>
      </c>
      <c r="AP90" s="8">
        <v>135</v>
      </c>
      <c r="AQ90" t="s">
        <v>157</v>
      </c>
      <c r="BC90" t="s">
        <v>464</v>
      </c>
    </row>
    <row r="91" spans="1:41">
      <c r="A91">
        <v>85</v>
      </c>
      <c r="B91" t="s">
        <v>451</v>
      </c>
      <c r="C91" t="s">
        <v>465</v>
      </c>
      <c r="D91">
        <v>4</v>
      </c>
      <c r="E91">
        <v>0</v>
      </c>
      <c r="G91">
        <v>1</v>
      </c>
      <c r="H91" s="93" t="s">
        <v>466</v>
      </c>
      <c r="I91">
        <v>3.2</v>
      </c>
      <c r="J91">
        <v>3.2</v>
      </c>
      <c r="L91">
        <f t="shared" si="5"/>
        <v>1</v>
      </c>
      <c r="M91">
        <f t="shared" si="7"/>
        <v>2.8</v>
      </c>
      <c r="N91" s="104" t="s">
        <v>467</v>
      </c>
      <c r="O91" s="108">
        <v>1</v>
      </c>
      <c r="P91">
        <v>1.4</v>
      </c>
      <c r="Q91" s="108">
        <v>0</v>
      </c>
      <c r="R91" s="108"/>
      <c r="S91">
        <v>0</v>
      </c>
      <c r="V91" s="108">
        <v>1</v>
      </c>
      <c r="W91">
        <v>0</v>
      </c>
      <c r="X91" s="7">
        <v>8</v>
      </c>
      <c r="Y91">
        <v>-0.1</v>
      </c>
      <c r="Z91" s="108">
        <v>0</v>
      </c>
      <c r="AA91" s="108"/>
      <c r="AB91" s="108"/>
      <c r="AC91" s="108"/>
      <c r="AD91" s="108">
        <v>0</v>
      </c>
      <c r="AF91">
        <f t="shared" si="6"/>
        <v>0</v>
      </c>
      <c r="AN91" s="154">
        <v>137</v>
      </c>
      <c r="AO91" t="s">
        <v>136</v>
      </c>
    </row>
    <row r="92" spans="1:41">
      <c r="A92">
        <v>86</v>
      </c>
      <c r="B92" t="s">
        <v>451</v>
      </c>
      <c r="C92" t="s">
        <v>468</v>
      </c>
      <c r="D92">
        <v>4</v>
      </c>
      <c r="E92">
        <v>0</v>
      </c>
      <c r="G92">
        <v>1</v>
      </c>
      <c r="H92" s="94" t="s">
        <v>469</v>
      </c>
      <c r="I92">
        <v>2.66666666666667</v>
      </c>
      <c r="J92">
        <v>2.66666666666667</v>
      </c>
      <c r="L92">
        <f t="shared" si="5"/>
        <v>0</v>
      </c>
      <c r="M92">
        <f t="shared" si="7"/>
        <v>2.26666666666667</v>
      </c>
      <c r="N92" s="104" t="s">
        <v>470</v>
      </c>
      <c r="O92" s="108">
        <v>1</v>
      </c>
      <c r="P92">
        <v>1.4</v>
      </c>
      <c r="Q92" s="108">
        <v>0</v>
      </c>
      <c r="R92" s="108"/>
      <c r="S92">
        <v>-0.3</v>
      </c>
      <c r="U92">
        <v>1.2</v>
      </c>
      <c r="V92" s="108">
        <v>1</v>
      </c>
      <c r="W92">
        <v>4</v>
      </c>
      <c r="X92" s="7">
        <v>4</v>
      </c>
      <c r="Y92">
        <v>-0.1</v>
      </c>
      <c r="Z92" s="108">
        <v>0</v>
      </c>
      <c r="AA92" s="108"/>
      <c r="AB92" s="108"/>
      <c r="AC92" s="108"/>
      <c r="AD92" s="108">
        <v>0</v>
      </c>
      <c r="AF92">
        <f t="shared" si="6"/>
        <v>0</v>
      </c>
      <c r="AN92" s="8" t="s">
        <v>471</v>
      </c>
      <c r="AO92" t="s">
        <v>472</v>
      </c>
    </row>
    <row r="93" s="23" customFormat="1" spans="1:40">
      <c r="A93" s="23">
        <v>87</v>
      </c>
      <c r="B93" s="23" t="s">
        <v>451</v>
      </c>
      <c r="C93" s="23" t="s">
        <v>473</v>
      </c>
      <c r="D93" s="23">
        <v>1</v>
      </c>
      <c r="G93" s="23">
        <v>1</v>
      </c>
      <c r="H93" s="128" t="s">
        <v>474</v>
      </c>
      <c r="I93" s="23">
        <v>2.23333333333333</v>
      </c>
      <c r="J93" s="23">
        <v>2.23333333333333</v>
      </c>
      <c r="L93" s="23">
        <f t="shared" si="5"/>
        <v>0</v>
      </c>
      <c r="M93" s="23">
        <f t="shared" si="7"/>
        <v>1.83333333333333</v>
      </c>
      <c r="O93" s="144">
        <v>1</v>
      </c>
      <c r="P93" s="23">
        <v>1.4</v>
      </c>
      <c r="Q93" s="144">
        <v>0</v>
      </c>
      <c r="R93" s="144"/>
      <c r="S93" s="23">
        <v>0</v>
      </c>
      <c r="V93" s="144">
        <v>0</v>
      </c>
      <c r="W93" s="23">
        <v>0</v>
      </c>
      <c r="X93" s="149">
        <v>1</v>
      </c>
      <c r="Y93" s="23">
        <v>-0.1</v>
      </c>
      <c r="Z93" s="144">
        <v>0</v>
      </c>
      <c r="AA93" s="144"/>
      <c r="AB93" s="144"/>
      <c r="AC93" s="144"/>
      <c r="AD93" s="144">
        <v>0</v>
      </c>
      <c r="AF93" s="23">
        <f t="shared" si="6"/>
        <v>0</v>
      </c>
      <c r="AN93" s="155"/>
    </row>
    <row r="94" spans="1:55">
      <c r="A94">
        <v>88</v>
      </c>
      <c r="B94" t="s">
        <v>451</v>
      </c>
      <c r="C94" t="s">
        <v>475</v>
      </c>
      <c r="D94">
        <v>1</v>
      </c>
      <c r="E94">
        <v>0</v>
      </c>
      <c r="G94">
        <v>1</v>
      </c>
      <c r="H94" s="94" t="s">
        <v>476</v>
      </c>
      <c r="I94">
        <v>4.83333333333333</v>
      </c>
      <c r="J94">
        <v>4.83333333333333</v>
      </c>
      <c r="L94">
        <v>1</v>
      </c>
      <c r="M94">
        <f t="shared" si="7"/>
        <v>4.43333333333333</v>
      </c>
      <c r="N94" s="104" t="s">
        <v>477</v>
      </c>
      <c r="O94" s="108">
        <v>1</v>
      </c>
      <c r="P94">
        <v>8.5</v>
      </c>
      <c r="Q94" s="108">
        <v>2</v>
      </c>
      <c r="R94" s="108"/>
      <c r="S94">
        <v>0</v>
      </c>
      <c r="V94" s="108">
        <v>1</v>
      </c>
      <c r="W94">
        <v>0</v>
      </c>
      <c r="X94" s="7">
        <v>1</v>
      </c>
      <c r="Y94">
        <v>-0.1</v>
      </c>
      <c r="Z94" s="108">
        <v>0</v>
      </c>
      <c r="AA94" s="108"/>
      <c r="AB94" s="108">
        <v>4.4</v>
      </c>
      <c r="AC94" s="108">
        <v>2</v>
      </c>
      <c r="AD94" s="108">
        <v>1</v>
      </c>
      <c r="AE94" t="s">
        <v>478</v>
      </c>
      <c r="AF94">
        <f t="shared" si="6"/>
        <v>0.5</v>
      </c>
      <c r="AP94" s="8">
        <v>141</v>
      </c>
      <c r="AQ94" t="s">
        <v>136</v>
      </c>
      <c r="BC94" t="s">
        <v>479</v>
      </c>
    </row>
    <row r="95" spans="1:55">
      <c r="A95">
        <v>89</v>
      </c>
      <c r="B95" t="s">
        <v>451</v>
      </c>
      <c r="C95" t="s">
        <v>480</v>
      </c>
      <c r="D95">
        <v>1</v>
      </c>
      <c r="E95">
        <v>0</v>
      </c>
      <c r="G95">
        <v>1</v>
      </c>
      <c r="H95" s="93" t="s">
        <v>481</v>
      </c>
      <c r="I95">
        <v>3</v>
      </c>
      <c r="J95">
        <v>3</v>
      </c>
      <c r="L95">
        <f t="shared" si="5"/>
        <v>1</v>
      </c>
      <c r="M95">
        <f t="shared" si="7"/>
        <v>2.6</v>
      </c>
      <c r="N95" s="104" t="s">
        <v>482</v>
      </c>
      <c r="O95" s="108">
        <v>1</v>
      </c>
      <c r="P95">
        <v>1.4</v>
      </c>
      <c r="Q95" s="108">
        <v>0</v>
      </c>
      <c r="R95" s="108"/>
      <c r="S95">
        <v>-1</v>
      </c>
      <c r="U95">
        <v>1.2</v>
      </c>
      <c r="V95" s="108">
        <v>1</v>
      </c>
      <c r="W95">
        <v>6</v>
      </c>
      <c r="X95" s="7">
        <v>6</v>
      </c>
      <c r="Y95">
        <v>-0.1</v>
      </c>
      <c r="Z95" s="108">
        <v>0</v>
      </c>
      <c r="AB95" s="108"/>
      <c r="AC95" s="108"/>
      <c r="AD95" s="108">
        <v>0</v>
      </c>
      <c r="AF95">
        <f t="shared" si="6"/>
        <v>0</v>
      </c>
      <c r="AN95" s="8">
        <v>143</v>
      </c>
      <c r="AO95" t="s">
        <v>483</v>
      </c>
      <c r="AP95" s="8">
        <v>142</v>
      </c>
      <c r="AQ95" t="s">
        <v>136</v>
      </c>
      <c r="BC95" t="s">
        <v>484</v>
      </c>
    </row>
    <row r="96" spans="1:55">
      <c r="A96">
        <v>90</v>
      </c>
      <c r="B96" t="s">
        <v>451</v>
      </c>
      <c r="C96" t="s">
        <v>485</v>
      </c>
      <c r="D96">
        <v>4</v>
      </c>
      <c r="E96">
        <v>0</v>
      </c>
      <c r="G96">
        <v>1</v>
      </c>
      <c r="H96" s="94" t="s">
        <v>486</v>
      </c>
      <c r="I96">
        <v>11.3</v>
      </c>
      <c r="J96">
        <v>11.3</v>
      </c>
      <c r="K96">
        <v>0.3</v>
      </c>
      <c r="L96">
        <v>1</v>
      </c>
      <c r="M96">
        <f t="shared" si="7"/>
        <v>10.9</v>
      </c>
      <c r="N96" s="104" t="s">
        <v>487</v>
      </c>
      <c r="O96" s="108">
        <v>1</v>
      </c>
      <c r="P96">
        <v>3.5</v>
      </c>
      <c r="Q96" s="108">
        <v>0</v>
      </c>
      <c r="R96" s="108"/>
      <c r="S96">
        <v>0</v>
      </c>
      <c r="V96" s="108">
        <v>1</v>
      </c>
      <c r="W96">
        <v>0</v>
      </c>
      <c r="X96" s="7">
        <v>3</v>
      </c>
      <c r="Y96">
        <v>-0.1</v>
      </c>
      <c r="Z96" s="108">
        <v>0</v>
      </c>
      <c r="AA96" s="108"/>
      <c r="AB96" s="108">
        <v>11.15</v>
      </c>
      <c r="AC96" s="108">
        <v>2</v>
      </c>
      <c r="AD96" s="108">
        <v>1</v>
      </c>
      <c r="AE96" t="s">
        <v>488</v>
      </c>
      <c r="AF96">
        <f t="shared" si="6"/>
        <v>0.5</v>
      </c>
      <c r="AN96" s="8">
        <v>145</v>
      </c>
      <c r="AO96" t="s">
        <v>489</v>
      </c>
      <c r="AP96" s="8">
        <v>144</v>
      </c>
      <c r="AQ96" t="s">
        <v>136</v>
      </c>
      <c r="BC96" t="s">
        <v>490</v>
      </c>
    </row>
    <row r="97" spans="1:48">
      <c r="A97">
        <v>91</v>
      </c>
      <c r="B97" t="s">
        <v>491</v>
      </c>
      <c r="C97" t="s">
        <v>492</v>
      </c>
      <c r="D97">
        <v>1</v>
      </c>
      <c r="E97">
        <v>0</v>
      </c>
      <c r="G97">
        <v>1</v>
      </c>
      <c r="H97" s="93" t="s">
        <v>493</v>
      </c>
      <c r="I97">
        <v>2.5</v>
      </c>
      <c r="J97">
        <v>1.9333333333</v>
      </c>
      <c r="L97">
        <f t="shared" si="5"/>
        <v>0</v>
      </c>
      <c r="M97">
        <f t="shared" si="7"/>
        <v>2.1</v>
      </c>
      <c r="N97" t="s">
        <v>494</v>
      </c>
      <c r="O97" s="108">
        <v>1</v>
      </c>
      <c r="P97">
        <v>1.5</v>
      </c>
      <c r="Q97" s="108">
        <v>0</v>
      </c>
      <c r="R97" s="108"/>
      <c r="S97">
        <v>0</v>
      </c>
      <c r="V97" s="108">
        <v>1</v>
      </c>
      <c r="W97">
        <v>0</v>
      </c>
      <c r="X97" s="7">
        <v>3</v>
      </c>
      <c r="Y97">
        <v>-0.1</v>
      </c>
      <c r="Z97" s="108">
        <v>0</v>
      </c>
      <c r="AA97" s="108"/>
      <c r="AB97" s="108"/>
      <c r="AC97" s="108"/>
      <c r="AD97" s="108">
        <v>0</v>
      </c>
      <c r="AF97">
        <f t="shared" si="6"/>
        <v>0</v>
      </c>
      <c r="AN97" s="8">
        <v>172</v>
      </c>
      <c r="AO97" t="s">
        <v>136</v>
      </c>
      <c r="AV97">
        <v>1</v>
      </c>
    </row>
    <row r="98" spans="1:41">
      <c r="A98">
        <v>92</v>
      </c>
      <c r="B98" t="s">
        <v>491</v>
      </c>
      <c r="C98" t="s">
        <v>495</v>
      </c>
      <c r="D98">
        <v>2</v>
      </c>
      <c r="E98">
        <v>1</v>
      </c>
      <c r="G98">
        <v>1</v>
      </c>
      <c r="H98" s="94" t="s">
        <v>496</v>
      </c>
      <c r="I98">
        <v>2.3</v>
      </c>
      <c r="J98">
        <v>1.733333333333</v>
      </c>
      <c r="L98">
        <f t="shared" si="5"/>
        <v>0</v>
      </c>
      <c r="M98">
        <f t="shared" si="7"/>
        <v>1.9</v>
      </c>
      <c r="N98" s="104" t="s">
        <v>497</v>
      </c>
      <c r="O98" s="108">
        <v>5</v>
      </c>
      <c r="P98">
        <v>0</v>
      </c>
      <c r="Q98" s="108">
        <v>2</v>
      </c>
      <c r="R98" s="108"/>
      <c r="S98">
        <v>1</v>
      </c>
      <c r="T98">
        <v>0</v>
      </c>
      <c r="U98">
        <v>0</v>
      </c>
      <c r="V98" s="108">
        <v>1000</v>
      </c>
      <c r="W98">
        <v>0</v>
      </c>
      <c r="X98" s="7">
        <v>1</v>
      </c>
      <c r="Y98">
        <v>-0.1</v>
      </c>
      <c r="Z98" s="108">
        <v>0</v>
      </c>
      <c r="AA98" s="108"/>
      <c r="AB98" s="108"/>
      <c r="AC98" s="108"/>
      <c r="AD98" s="108">
        <v>0</v>
      </c>
      <c r="AF98">
        <f t="shared" si="6"/>
        <v>0</v>
      </c>
      <c r="AN98" s="8">
        <v>173</v>
      </c>
      <c r="AO98" t="s">
        <v>136</v>
      </c>
    </row>
    <row r="99" spans="1:55">
      <c r="A99">
        <v>93</v>
      </c>
      <c r="B99" t="s">
        <v>491</v>
      </c>
      <c r="C99" t="s">
        <v>498</v>
      </c>
      <c r="D99">
        <v>1</v>
      </c>
      <c r="E99">
        <v>0</v>
      </c>
      <c r="G99">
        <v>1</v>
      </c>
      <c r="H99" s="93" t="s">
        <v>499</v>
      </c>
      <c r="I99">
        <v>2.53333333333333</v>
      </c>
      <c r="J99">
        <v>2</v>
      </c>
      <c r="L99">
        <f t="shared" si="5"/>
        <v>0</v>
      </c>
      <c r="M99">
        <f t="shared" si="7"/>
        <v>2.13333333333333</v>
      </c>
      <c r="N99" s="104" t="s">
        <v>500</v>
      </c>
      <c r="O99" s="108">
        <v>1</v>
      </c>
      <c r="P99">
        <v>1.5</v>
      </c>
      <c r="Q99" s="108">
        <v>0</v>
      </c>
      <c r="R99" s="108"/>
      <c r="S99">
        <v>-0.5</v>
      </c>
      <c r="U99">
        <v>1.2</v>
      </c>
      <c r="V99" s="108">
        <v>1</v>
      </c>
      <c r="W99">
        <v>6</v>
      </c>
      <c r="X99" s="7">
        <v>3</v>
      </c>
      <c r="Y99">
        <v>-0.1</v>
      </c>
      <c r="Z99" s="108">
        <v>0</v>
      </c>
      <c r="AA99" s="108"/>
      <c r="AB99" s="108"/>
      <c r="AC99" s="108"/>
      <c r="AD99" s="108">
        <v>0</v>
      </c>
      <c r="AF99">
        <f t="shared" si="6"/>
        <v>0</v>
      </c>
      <c r="AN99" s="8">
        <v>174</v>
      </c>
      <c r="AO99" t="s">
        <v>136</v>
      </c>
      <c r="BC99" t="s">
        <v>501</v>
      </c>
    </row>
    <row r="100" spans="1:55">
      <c r="A100">
        <v>94</v>
      </c>
      <c r="B100" t="s">
        <v>491</v>
      </c>
      <c r="C100" t="s">
        <v>502</v>
      </c>
      <c r="D100">
        <v>1</v>
      </c>
      <c r="E100">
        <v>0</v>
      </c>
      <c r="G100">
        <v>1</v>
      </c>
      <c r="H100" s="94" t="s">
        <v>503</v>
      </c>
      <c r="I100">
        <v>1.93333333333333</v>
      </c>
      <c r="J100">
        <v>1.533333333</v>
      </c>
      <c r="L100">
        <f t="shared" si="5"/>
        <v>0</v>
      </c>
      <c r="M100">
        <f t="shared" si="7"/>
        <v>1.53333333333333</v>
      </c>
      <c r="N100" s="104" t="s">
        <v>504</v>
      </c>
      <c r="O100" s="108">
        <v>1</v>
      </c>
      <c r="P100">
        <v>1.5</v>
      </c>
      <c r="Q100" s="108">
        <v>2</v>
      </c>
      <c r="R100" s="108"/>
      <c r="V100" s="108">
        <v>1</v>
      </c>
      <c r="W100">
        <v>7</v>
      </c>
      <c r="X100" s="7">
        <v>2</v>
      </c>
      <c r="Y100">
        <v>-0.1</v>
      </c>
      <c r="Z100" s="108">
        <v>0</v>
      </c>
      <c r="AA100" s="108"/>
      <c r="AB100" s="108"/>
      <c r="AC100" s="108"/>
      <c r="AD100" s="108">
        <v>0</v>
      </c>
      <c r="AF100">
        <f t="shared" si="6"/>
        <v>0</v>
      </c>
      <c r="BC100" t="s">
        <v>505</v>
      </c>
    </row>
    <row r="101" spans="1:41">
      <c r="A101">
        <v>95</v>
      </c>
      <c r="B101" t="s">
        <v>491</v>
      </c>
      <c r="C101" t="s">
        <v>506</v>
      </c>
      <c r="D101">
        <v>1</v>
      </c>
      <c r="E101">
        <v>0</v>
      </c>
      <c r="G101">
        <v>1</v>
      </c>
      <c r="H101" s="93" t="s">
        <v>507</v>
      </c>
      <c r="I101">
        <v>2.16666666666667</v>
      </c>
      <c r="J101">
        <v>2</v>
      </c>
      <c r="L101">
        <f t="shared" si="5"/>
        <v>1</v>
      </c>
      <c r="M101">
        <f t="shared" si="7"/>
        <v>1.76666666666667</v>
      </c>
      <c r="N101" s="104" t="s">
        <v>508</v>
      </c>
      <c r="O101" s="108">
        <v>1</v>
      </c>
      <c r="P101">
        <v>1.5</v>
      </c>
      <c r="Q101" s="108">
        <v>0</v>
      </c>
      <c r="R101" s="108"/>
      <c r="S101">
        <v>0</v>
      </c>
      <c r="V101" s="108">
        <v>1</v>
      </c>
      <c r="W101">
        <v>0</v>
      </c>
      <c r="X101" s="7">
        <v>7</v>
      </c>
      <c r="Y101">
        <v>-0.1</v>
      </c>
      <c r="Z101" s="108">
        <v>0</v>
      </c>
      <c r="AA101" s="108"/>
      <c r="AB101" s="108"/>
      <c r="AC101" s="108"/>
      <c r="AD101" s="108">
        <v>0</v>
      </c>
      <c r="AF101">
        <f t="shared" si="6"/>
        <v>0</v>
      </c>
      <c r="AN101" s="8">
        <v>175</v>
      </c>
      <c r="AO101" t="s">
        <v>136</v>
      </c>
    </row>
    <row r="102" spans="1:41">
      <c r="A102">
        <v>96</v>
      </c>
      <c r="B102" t="s">
        <v>491</v>
      </c>
      <c r="C102" t="s">
        <v>509</v>
      </c>
      <c r="D102">
        <v>1</v>
      </c>
      <c r="E102">
        <v>0</v>
      </c>
      <c r="G102">
        <v>1</v>
      </c>
      <c r="H102" s="94" t="s">
        <v>510</v>
      </c>
      <c r="I102">
        <v>1.86666666666667</v>
      </c>
      <c r="J102">
        <v>1.733333333333</v>
      </c>
      <c r="L102">
        <f t="shared" si="5"/>
        <v>0</v>
      </c>
      <c r="M102">
        <f t="shared" si="7"/>
        <v>1.46666666666667</v>
      </c>
      <c r="N102" s="104" t="s">
        <v>511</v>
      </c>
      <c r="O102" s="108">
        <v>1</v>
      </c>
      <c r="P102">
        <v>1.5</v>
      </c>
      <c r="Q102" s="108">
        <v>0</v>
      </c>
      <c r="R102" s="108"/>
      <c r="S102">
        <v>-0.5</v>
      </c>
      <c r="U102">
        <v>1.2</v>
      </c>
      <c r="V102" s="108">
        <v>1</v>
      </c>
      <c r="W102">
        <v>2</v>
      </c>
      <c r="X102" s="7">
        <v>1</v>
      </c>
      <c r="Y102">
        <v>-0.1</v>
      </c>
      <c r="Z102" s="108">
        <v>0</v>
      </c>
      <c r="AA102" s="108"/>
      <c r="AB102" s="108"/>
      <c r="AC102" s="108"/>
      <c r="AD102" s="108">
        <v>0</v>
      </c>
      <c r="AF102">
        <f t="shared" si="6"/>
        <v>0</v>
      </c>
      <c r="AN102" s="8">
        <v>176</v>
      </c>
      <c r="AO102" t="s">
        <v>136</v>
      </c>
    </row>
    <row r="103" spans="1:55">
      <c r="A103">
        <v>97</v>
      </c>
      <c r="B103" t="s">
        <v>491</v>
      </c>
      <c r="C103" t="s">
        <v>512</v>
      </c>
      <c r="D103">
        <v>1</v>
      </c>
      <c r="E103">
        <v>0</v>
      </c>
      <c r="G103">
        <v>1</v>
      </c>
      <c r="H103" s="93" t="s">
        <v>513</v>
      </c>
      <c r="I103" s="145">
        <v>7.66666666666667</v>
      </c>
      <c r="J103" s="145">
        <v>7.66666666666667</v>
      </c>
      <c r="K103">
        <v>0.3</v>
      </c>
      <c r="L103">
        <v>1</v>
      </c>
      <c r="M103">
        <f t="shared" si="7"/>
        <v>7.26666666666667</v>
      </c>
      <c r="N103" s="104" t="s">
        <v>514</v>
      </c>
      <c r="O103" s="108">
        <v>1</v>
      </c>
      <c r="P103">
        <v>12</v>
      </c>
      <c r="Q103" s="108">
        <v>2</v>
      </c>
      <c r="R103" s="108"/>
      <c r="S103">
        <v>0</v>
      </c>
      <c r="V103" s="108">
        <v>1</v>
      </c>
      <c r="W103">
        <v>0</v>
      </c>
      <c r="X103" s="7">
        <v>10</v>
      </c>
      <c r="Y103">
        <v>-0.1</v>
      </c>
      <c r="Z103" s="108">
        <v>0</v>
      </c>
      <c r="AA103" s="108"/>
      <c r="AB103" s="145">
        <v>7.47</v>
      </c>
      <c r="AC103" s="108">
        <v>2</v>
      </c>
      <c r="AD103" s="108">
        <v>1</v>
      </c>
      <c r="AE103" s="15" t="s">
        <v>515</v>
      </c>
      <c r="AF103">
        <f t="shared" si="6"/>
        <v>0.5</v>
      </c>
      <c r="AN103" s="8" t="s">
        <v>516</v>
      </c>
      <c r="AO103" t="s">
        <v>517</v>
      </c>
      <c r="BC103" t="s">
        <v>518</v>
      </c>
    </row>
    <row r="104" spans="1:43">
      <c r="A104">
        <v>98</v>
      </c>
      <c r="B104" t="s">
        <v>491</v>
      </c>
      <c r="C104" t="s">
        <v>519</v>
      </c>
      <c r="D104">
        <v>1</v>
      </c>
      <c r="E104">
        <v>0</v>
      </c>
      <c r="G104">
        <v>1</v>
      </c>
      <c r="H104" s="94" t="s">
        <v>520</v>
      </c>
      <c r="I104">
        <v>5.6</v>
      </c>
      <c r="J104">
        <v>5.6</v>
      </c>
      <c r="L104">
        <v>1</v>
      </c>
      <c r="M104">
        <f t="shared" si="7"/>
        <v>5.2</v>
      </c>
      <c r="N104" s="104" t="s">
        <v>521</v>
      </c>
      <c r="O104" s="108">
        <v>1</v>
      </c>
      <c r="P104">
        <v>3.5</v>
      </c>
      <c r="Q104" s="108">
        <v>2</v>
      </c>
      <c r="R104" s="108"/>
      <c r="S104">
        <v>0</v>
      </c>
      <c r="V104" s="108">
        <v>1</v>
      </c>
      <c r="W104">
        <v>4</v>
      </c>
      <c r="X104" s="7">
        <v>4</v>
      </c>
      <c r="Y104">
        <v>-0.1</v>
      </c>
      <c r="Z104" s="108">
        <v>0</v>
      </c>
      <c r="AA104" s="108"/>
      <c r="AB104" s="108">
        <v>5.4</v>
      </c>
      <c r="AC104" s="108">
        <v>2</v>
      </c>
      <c r="AD104" s="108">
        <v>1</v>
      </c>
      <c r="AE104" s="15" t="s">
        <v>522</v>
      </c>
      <c r="AF104">
        <f t="shared" si="6"/>
        <v>0.5</v>
      </c>
      <c r="AN104" s="8" t="s">
        <v>523</v>
      </c>
      <c r="AO104" t="s">
        <v>524</v>
      </c>
      <c r="AP104">
        <v>180</v>
      </c>
      <c r="AQ104" t="s">
        <v>136</v>
      </c>
    </row>
    <row r="105" spans="1:48">
      <c r="A105">
        <v>99</v>
      </c>
      <c r="B105" t="s">
        <v>525</v>
      </c>
      <c r="C105" t="s">
        <v>526</v>
      </c>
      <c r="D105">
        <v>1</v>
      </c>
      <c r="E105">
        <v>0</v>
      </c>
      <c r="G105">
        <v>1</v>
      </c>
      <c r="H105" s="93" t="s">
        <v>527</v>
      </c>
      <c r="I105">
        <v>1.66666666666667</v>
      </c>
      <c r="J105">
        <v>1.2</v>
      </c>
      <c r="L105">
        <f t="shared" si="5"/>
        <v>0</v>
      </c>
      <c r="M105">
        <f t="shared" si="7"/>
        <v>1.26666666666667</v>
      </c>
      <c r="N105" t="s">
        <v>528</v>
      </c>
      <c r="O105" s="108">
        <v>1</v>
      </c>
      <c r="P105">
        <v>1.5</v>
      </c>
      <c r="Q105" s="108">
        <v>0</v>
      </c>
      <c r="R105" s="108"/>
      <c r="S105">
        <v>0</v>
      </c>
      <c r="V105" s="108">
        <v>1</v>
      </c>
      <c r="W105">
        <v>0</v>
      </c>
      <c r="X105" s="7">
        <v>3</v>
      </c>
      <c r="Y105">
        <v>-0.1</v>
      </c>
      <c r="Z105" s="108">
        <v>0</v>
      </c>
      <c r="AA105" s="108"/>
      <c r="AB105" s="108"/>
      <c r="AC105" s="108"/>
      <c r="AD105" s="108">
        <v>0</v>
      </c>
      <c r="AF105">
        <f t="shared" si="6"/>
        <v>0</v>
      </c>
      <c r="AN105" s="8">
        <v>164</v>
      </c>
      <c r="AO105" t="s">
        <v>136</v>
      </c>
      <c r="AV105">
        <v>1</v>
      </c>
    </row>
    <row r="106" spans="1:41">
      <c r="A106">
        <v>100</v>
      </c>
      <c r="B106" t="s">
        <v>525</v>
      </c>
      <c r="C106" t="s">
        <v>529</v>
      </c>
      <c r="D106">
        <v>1</v>
      </c>
      <c r="E106">
        <v>0</v>
      </c>
      <c r="F106">
        <v>1</v>
      </c>
      <c r="G106">
        <v>1</v>
      </c>
      <c r="H106" s="94" t="s">
        <v>530</v>
      </c>
      <c r="I106">
        <v>2.5</v>
      </c>
      <c r="J106">
        <v>2.5</v>
      </c>
      <c r="L106">
        <f t="shared" si="5"/>
        <v>0</v>
      </c>
      <c r="M106">
        <f t="shared" si="7"/>
        <v>2.1</v>
      </c>
      <c r="N106" t="s">
        <v>531</v>
      </c>
      <c r="O106" s="108">
        <v>1</v>
      </c>
      <c r="P106">
        <v>1.5</v>
      </c>
      <c r="Q106" s="108">
        <v>0</v>
      </c>
      <c r="R106" s="108">
        <v>1</v>
      </c>
      <c r="S106">
        <v>3</v>
      </c>
      <c r="V106" s="108">
        <v>1</v>
      </c>
      <c r="W106">
        <v>7</v>
      </c>
      <c r="X106" s="7">
        <v>1</v>
      </c>
      <c r="Y106">
        <v>-0.1</v>
      </c>
      <c r="Z106" s="108">
        <v>0</v>
      </c>
      <c r="AA106" s="108"/>
      <c r="AB106" s="108"/>
      <c r="AC106" s="108"/>
      <c r="AD106" s="108">
        <v>0</v>
      </c>
      <c r="AF106">
        <f t="shared" si="6"/>
        <v>0</v>
      </c>
      <c r="AN106" s="8">
        <v>165</v>
      </c>
      <c r="AO106" t="s">
        <v>136</v>
      </c>
    </row>
    <row r="107" s="4" customFormat="1" spans="1:41">
      <c r="A107" s="4">
        <v>101</v>
      </c>
      <c r="B107" s="4" t="s">
        <v>525</v>
      </c>
      <c r="C107" s="4" t="s">
        <v>532</v>
      </c>
      <c r="D107" s="4">
        <v>1</v>
      </c>
      <c r="E107" s="4">
        <v>0</v>
      </c>
      <c r="F107" s="4">
        <v>2</v>
      </c>
      <c r="G107" s="4">
        <v>1</v>
      </c>
      <c r="H107" s="129" t="s">
        <v>533</v>
      </c>
      <c r="I107" s="4">
        <v>3.23333333333333</v>
      </c>
      <c r="J107" s="4">
        <v>3.03333333333333</v>
      </c>
      <c r="L107" s="4">
        <f t="shared" si="5"/>
        <v>1</v>
      </c>
      <c r="M107" s="4">
        <f t="shared" si="7"/>
        <v>2.83333333333333</v>
      </c>
      <c r="N107" s="4" t="s">
        <v>534</v>
      </c>
      <c r="O107" s="146">
        <v>1</v>
      </c>
      <c r="P107" s="4">
        <v>1.5</v>
      </c>
      <c r="Q107" s="146">
        <v>0</v>
      </c>
      <c r="R107" s="146">
        <v>1</v>
      </c>
      <c r="S107" s="4">
        <v>0.5</v>
      </c>
      <c r="U107" s="4">
        <v>1</v>
      </c>
      <c r="V107" s="146">
        <v>1</v>
      </c>
      <c r="W107" s="4">
        <v>0</v>
      </c>
      <c r="X107" s="150">
        <v>6</v>
      </c>
      <c r="Y107" s="4">
        <v>-0.1</v>
      </c>
      <c r="Z107" s="146">
        <v>0</v>
      </c>
      <c r="AA107" s="146"/>
      <c r="AB107" s="146"/>
      <c r="AC107" s="146"/>
      <c r="AD107" s="146">
        <v>0</v>
      </c>
      <c r="AF107" s="4">
        <f t="shared" si="6"/>
        <v>0</v>
      </c>
      <c r="AN107" s="156">
        <v>166</v>
      </c>
      <c r="AO107" s="4" t="s">
        <v>136</v>
      </c>
    </row>
    <row r="108" spans="1:41">
      <c r="A108">
        <v>102</v>
      </c>
      <c r="B108" t="s">
        <v>525</v>
      </c>
      <c r="C108" t="s">
        <v>535</v>
      </c>
      <c r="D108">
        <v>1</v>
      </c>
      <c r="E108">
        <v>0</v>
      </c>
      <c r="F108">
        <v>1</v>
      </c>
      <c r="G108">
        <v>1</v>
      </c>
      <c r="H108" s="94" t="s">
        <v>536</v>
      </c>
      <c r="I108">
        <v>2.13333333333333</v>
      </c>
      <c r="J108">
        <v>1.3666666666667</v>
      </c>
      <c r="L108">
        <f t="shared" si="5"/>
        <v>0</v>
      </c>
      <c r="M108">
        <f t="shared" si="7"/>
        <v>1.73333333333333</v>
      </c>
      <c r="N108" t="s">
        <v>537</v>
      </c>
      <c r="O108" s="108">
        <v>1</v>
      </c>
      <c r="P108">
        <v>1.5</v>
      </c>
      <c r="Q108" s="108">
        <v>0</v>
      </c>
      <c r="R108" s="108"/>
      <c r="S108">
        <v>-0.3</v>
      </c>
      <c r="U108">
        <v>1.2</v>
      </c>
      <c r="V108" s="108">
        <v>1</v>
      </c>
      <c r="W108">
        <v>4</v>
      </c>
      <c r="X108" s="7">
        <v>2</v>
      </c>
      <c r="Y108">
        <v>0.4</v>
      </c>
      <c r="Z108" s="108">
        <v>0</v>
      </c>
      <c r="AA108" s="108"/>
      <c r="AB108" s="108"/>
      <c r="AC108" s="108"/>
      <c r="AD108" s="108">
        <v>0</v>
      </c>
      <c r="AF108">
        <f t="shared" si="6"/>
        <v>0</v>
      </c>
      <c r="AN108" s="8">
        <v>167</v>
      </c>
      <c r="AO108" t="s">
        <v>136</v>
      </c>
    </row>
    <row r="109" spans="1:41">
      <c r="A109">
        <v>103</v>
      </c>
      <c r="B109" t="s">
        <v>525</v>
      </c>
      <c r="C109" t="s">
        <v>538</v>
      </c>
      <c r="D109">
        <v>1</v>
      </c>
      <c r="E109">
        <v>0</v>
      </c>
      <c r="F109">
        <v>1</v>
      </c>
      <c r="G109">
        <v>1</v>
      </c>
      <c r="H109" s="93" t="s">
        <v>539</v>
      </c>
      <c r="I109">
        <v>3.6</v>
      </c>
      <c r="J109">
        <v>3.1666666666667</v>
      </c>
      <c r="L109">
        <f t="shared" si="5"/>
        <v>1</v>
      </c>
      <c r="M109">
        <f t="shared" si="7"/>
        <v>3.2</v>
      </c>
      <c r="N109" t="s">
        <v>540</v>
      </c>
      <c r="O109" s="108">
        <v>1</v>
      </c>
      <c r="P109">
        <v>1.5</v>
      </c>
      <c r="Q109" s="108">
        <v>0</v>
      </c>
      <c r="R109" s="108"/>
      <c r="S109">
        <v>-0.3</v>
      </c>
      <c r="U109">
        <v>1.2</v>
      </c>
      <c r="V109" s="108">
        <v>1</v>
      </c>
      <c r="W109">
        <v>6</v>
      </c>
      <c r="X109" s="7">
        <v>8</v>
      </c>
      <c r="Y109">
        <v>-0.1</v>
      </c>
      <c r="Z109" s="108">
        <v>0</v>
      </c>
      <c r="AA109" s="108"/>
      <c r="AB109" s="108"/>
      <c r="AC109" s="108"/>
      <c r="AD109" s="108">
        <v>0</v>
      </c>
      <c r="AF109">
        <f t="shared" si="6"/>
        <v>0</v>
      </c>
      <c r="AN109" s="8">
        <v>168</v>
      </c>
      <c r="AO109" t="s">
        <v>136</v>
      </c>
    </row>
    <row r="110" spans="1:43">
      <c r="A110">
        <v>104</v>
      </c>
      <c r="B110" t="s">
        <v>525</v>
      </c>
      <c r="C110" t="s">
        <v>541</v>
      </c>
      <c r="D110">
        <v>1</v>
      </c>
      <c r="E110">
        <v>0</v>
      </c>
      <c r="F110">
        <v>2</v>
      </c>
      <c r="G110">
        <v>1</v>
      </c>
      <c r="H110" s="94" t="s">
        <v>542</v>
      </c>
      <c r="I110">
        <v>3.43333333333333</v>
      </c>
      <c r="J110">
        <v>3.43333333333333</v>
      </c>
      <c r="L110">
        <f t="shared" si="5"/>
        <v>0</v>
      </c>
      <c r="M110">
        <f t="shared" si="7"/>
        <v>3.03333333333333</v>
      </c>
      <c r="N110" t="s">
        <v>543</v>
      </c>
      <c r="O110" s="108">
        <v>1</v>
      </c>
      <c r="P110">
        <v>1.5</v>
      </c>
      <c r="Q110" s="108">
        <v>0</v>
      </c>
      <c r="R110" s="108"/>
      <c r="S110">
        <v>0.5</v>
      </c>
      <c r="U110">
        <v>0.5</v>
      </c>
      <c r="V110" s="108">
        <v>1</v>
      </c>
      <c r="W110">
        <v>0</v>
      </c>
      <c r="X110" s="7">
        <v>3</v>
      </c>
      <c r="Y110">
        <v>-0.1</v>
      </c>
      <c r="Z110" s="108">
        <v>0</v>
      </c>
      <c r="AA110" s="108"/>
      <c r="AB110" s="108"/>
      <c r="AC110" s="108"/>
      <c r="AD110" s="108">
        <v>0</v>
      </c>
      <c r="AF110">
        <f t="shared" si="6"/>
        <v>0</v>
      </c>
      <c r="AP110" s="8">
        <v>169</v>
      </c>
      <c r="AQ110" t="s">
        <v>136</v>
      </c>
    </row>
    <row r="111" spans="1:55">
      <c r="A111">
        <v>105</v>
      </c>
      <c r="B111" t="s">
        <v>525</v>
      </c>
      <c r="C111" t="s">
        <v>544</v>
      </c>
      <c r="D111">
        <v>1</v>
      </c>
      <c r="E111">
        <v>0</v>
      </c>
      <c r="F111">
        <v>2</v>
      </c>
      <c r="G111">
        <v>1</v>
      </c>
      <c r="H111" s="93" t="s">
        <v>545</v>
      </c>
      <c r="I111">
        <v>4.4</v>
      </c>
      <c r="J111">
        <v>4.4</v>
      </c>
      <c r="K111">
        <v>0.3</v>
      </c>
      <c r="L111">
        <v>1</v>
      </c>
      <c r="M111">
        <f t="shared" si="7"/>
        <v>4</v>
      </c>
      <c r="N111" s="104" t="s">
        <v>546</v>
      </c>
      <c r="O111" s="108">
        <v>1</v>
      </c>
      <c r="P111">
        <v>2.1</v>
      </c>
      <c r="Q111" s="108">
        <v>0</v>
      </c>
      <c r="R111" s="108"/>
      <c r="S111">
        <v>0</v>
      </c>
      <c r="V111" s="108">
        <v>1</v>
      </c>
      <c r="W111">
        <v>0</v>
      </c>
      <c r="X111" s="7">
        <v>1</v>
      </c>
      <c r="Y111">
        <v>-0.1</v>
      </c>
      <c r="Z111" s="108">
        <v>0</v>
      </c>
      <c r="AA111" s="108"/>
      <c r="AB111" s="108">
        <v>4.2</v>
      </c>
      <c r="AC111" s="108">
        <v>2</v>
      </c>
      <c r="AD111" s="108">
        <v>1</v>
      </c>
      <c r="AE111" s="15" t="s">
        <v>547</v>
      </c>
      <c r="AF111">
        <f t="shared" si="6"/>
        <v>0.5</v>
      </c>
      <c r="AN111" s="8">
        <v>170</v>
      </c>
      <c r="AO111" t="s">
        <v>136</v>
      </c>
      <c r="BC111" t="s">
        <v>548</v>
      </c>
    </row>
    <row r="112" spans="1:55">
      <c r="A112">
        <v>106</v>
      </c>
      <c r="B112" t="s">
        <v>525</v>
      </c>
      <c r="C112" t="s">
        <v>549</v>
      </c>
      <c r="D112">
        <v>1</v>
      </c>
      <c r="E112">
        <v>0</v>
      </c>
      <c r="F112">
        <v>1</v>
      </c>
      <c r="G112">
        <v>1</v>
      </c>
      <c r="H112" s="94" t="s">
        <v>550</v>
      </c>
      <c r="I112">
        <v>5.5333333</v>
      </c>
      <c r="J112">
        <v>5.5333333</v>
      </c>
      <c r="L112">
        <v>1</v>
      </c>
      <c r="M112">
        <f t="shared" si="7"/>
        <v>5.1333333</v>
      </c>
      <c r="N112" s="104" t="s">
        <v>551</v>
      </c>
      <c r="O112" s="108">
        <v>1</v>
      </c>
      <c r="P112">
        <v>3.5</v>
      </c>
      <c r="Q112" s="108">
        <v>0</v>
      </c>
      <c r="R112" s="108"/>
      <c r="S112">
        <v>0</v>
      </c>
      <c r="V112" s="108">
        <v>1</v>
      </c>
      <c r="W112">
        <v>0</v>
      </c>
      <c r="X112" s="7">
        <v>1</v>
      </c>
      <c r="Y112">
        <v>-0.1</v>
      </c>
      <c r="Z112" s="108">
        <v>0</v>
      </c>
      <c r="AA112" s="108"/>
      <c r="AB112" s="108"/>
      <c r="AC112" s="108"/>
      <c r="AD112" s="108">
        <v>1</v>
      </c>
      <c r="AE112" s="15" t="s">
        <v>552</v>
      </c>
      <c r="AF112">
        <f t="shared" si="6"/>
        <v>0.5</v>
      </c>
      <c r="AN112" s="8">
        <v>171</v>
      </c>
      <c r="AO112" t="s">
        <v>136</v>
      </c>
      <c r="BC112" t="s">
        <v>553</v>
      </c>
    </row>
    <row r="113" s="24" customFormat="1" spans="1:48">
      <c r="A113" s="24">
        <v>107</v>
      </c>
      <c r="B113" s="24" t="s">
        <v>554</v>
      </c>
      <c r="C113" s="130" t="s">
        <v>555</v>
      </c>
      <c r="D113" s="24">
        <v>1</v>
      </c>
      <c r="E113" s="131">
        <v>0</v>
      </c>
      <c r="F113" s="131"/>
      <c r="G113" s="131">
        <v>2</v>
      </c>
      <c r="H113" s="132" t="s">
        <v>556</v>
      </c>
      <c r="I113" s="24">
        <v>1.3</v>
      </c>
      <c r="J113" s="24">
        <v>1.3</v>
      </c>
      <c r="L113" s="24">
        <f t="shared" si="5"/>
        <v>0</v>
      </c>
      <c r="M113" s="24">
        <f t="shared" si="7"/>
        <v>0.9</v>
      </c>
      <c r="N113" s="24" t="s">
        <v>557</v>
      </c>
      <c r="O113" s="147">
        <v>0</v>
      </c>
      <c r="P113" s="24">
        <v>0.9</v>
      </c>
      <c r="Q113" s="147">
        <v>1</v>
      </c>
      <c r="R113" s="147"/>
      <c r="S113" s="24">
        <v>0</v>
      </c>
      <c r="V113" s="147">
        <v>2</v>
      </c>
      <c r="W113" s="24">
        <v>0</v>
      </c>
      <c r="X113" s="151">
        <v>4</v>
      </c>
      <c r="Y113" s="24">
        <v>0.4</v>
      </c>
      <c r="Z113" s="147">
        <v>0</v>
      </c>
      <c r="AA113" s="147"/>
      <c r="AB113" s="147"/>
      <c r="AC113" s="147"/>
      <c r="AD113" s="147">
        <v>0</v>
      </c>
      <c r="AF113" s="24">
        <f t="shared" si="6"/>
        <v>0</v>
      </c>
      <c r="AN113" s="157" t="s">
        <v>558</v>
      </c>
      <c r="AO113" s="24" t="s">
        <v>559</v>
      </c>
      <c r="AV113" s="131">
        <v>1</v>
      </c>
    </row>
    <row r="114" s="24" customFormat="1" spans="1:48">
      <c r="A114" s="24">
        <v>108</v>
      </c>
      <c r="B114" s="24" t="s">
        <v>554</v>
      </c>
      <c r="C114" s="133" t="s">
        <v>560</v>
      </c>
      <c r="D114" s="24">
        <v>1</v>
      </c>
      <c r="E114" s="134">
        <v>0</v>
      </c>
      <c r="F114" s="134"/>
      <c r="G114" s="134">
        <v>2</v>
      </c>
      <c r="H114" s="135" t="s">
        <v>561</v>
      </c>
      <c r="I114" s="24">
        <v>1.4</v>
      </c>
      <c r="J114" s="24">
        <v>1.4</v>
      </c>
      <c r="L114" s="24">
        <f t="shared" si="5"/>
        <v>0</v>
      </c>
      <c r="M114" s="24">
        <f t="shared" si="7"/>
        <v>1</v>
      </c>
      <c r="N114" s="104" t="s">
        <v>562</v>
      </c>
      <c r="O114" s="147">
        <v>0</v>
      </c>
      <c r="P114" s="24">
        <v>0.9</v>
      </c>
      <c r="Q114" s="147">
        <v>1</v>
      </c>
      <c r="R114" s="147"/>
      <c r="S114" s="24">
        <v>0</v>
      </c>
      <c r="V114" s="147">
        <v>2</v>
      </c>
      <c r="W114" s="24">
        <v>0</v>
      </c>
      <c r="X114" s="151">
        <v>1</v>
      </c>
      <c r="Y114" s="24">
        <v>0.4</v>
      </c>
      <c r="Z114" s="147">
        <v>0</v>
      </c>
      <c r="AA114" s="147"/>
      <c r="AB114" s="147"/>
      <c r="AC114" s="147"/>
      <c r="AD114" s="147">
        <v>0</v>
      </c>
      <c r="AF114" s="24">
        <f t="shared" si="6"/>
        <v>0</v>
      </c>
      <c r="AN114" s="157" t="s">
        <v>563</v>
      </c>
      <c r="AO114" s="24" t="s">
        <v>564</v>
      </c>
      <c r="AV114" s="134"/>
    </row>
    <row r="115" s="24" customFormat="1" spans="1:48">
      <c r="A115" s="24">
        <v>109</v>
      </c>
      <c r="B115" s="24" t="s">
        <v>554</v>
      </c>
      <c r="C115" s="136" t="s">
        <v>565</v>
      </c>
      <c r="D115" s="24">
        <v>1</v>
      </c>
      <c r="E115" s="134">
        <v>0</v>
      </c>
      <c r="F115" s="134"/>
      <c r="G115" s="134">
        <v>2</v>
      </c>
      <c r="H115" s="132" t="s">
        <v>566</v>
      </c>
      <c r="I115" s="24">
        <v>1.4</v>
      </c>
      <c r="J115" s="24">
        <v>1.4</v>
      </c>
      <c r="L115" s="24">
        <f t="shared" si="5"/>
        <v>0</v>
      </c>
      <c r="M115" s="24">
        <f t="shared" si="7"/>
        <v>1</v>
      </c>
      <c r="N115" s="104" t="s">
        <v>567</v>
      </c>
      <c r="O115" s="147">
        <v>0</v>
      </c>
      <c r="P115" s="24">
        <v>0.9</v>
      </c>
      <c r="Q115" s="147">
        <v>1</v>
      </c>
      <c r="R115" s="147"/>
      <c r="S115" s="24">
        <v>0</v>
      </c>
      <c r="V115" s="147">
        <v>2</v>
      </c>
      <c r="W115" s="24">
        <v>0</v>
      </c>
      <c r="X115" s="151">
        <v>1</v>
      </c>
      <c r="Y115" s="24">
        <v>0.4</v>
      </c>
      <c r="Z115" s="147">
        <v>0</v>
      </c>
      <c r="AA115" s="147"/>
      <c r="AB115" s="147"/>
      <c r="AC115" s="147"/>
      <c r="AD115" s="147">
        <v>0</v>
      </c>
      <c r="AF115" s="24">
        <f t="shared" si="6"/>
        <v>0</v>
      </c>
      <c r="AN115" s="157" t="s">
        <v>568</v>
      </c>
      <c r="AO115" s="24" t="s">
        <v>569</v>
      </c>
      <c r="AV115" s="134"/>
    </row>
    <row r="116" s="24" customFormat="1" spans="1:48">
      <c r="A116" s="24">
        <v>110</v>
      </c>
      <c r="B116" s="24" t="s">
        <v>554</v>
      </c>
      <c r="C116" s="137" t="s">
        <v>570</v>
      </c>
      <c r="D116" s="24">
        <v>4</v>
      </c>
      <c r="E116" s="134">
        <v>0</v>
      </c>
      <c r="F116" s="134"/>
      <c r="G116" s="134">
        <v>2</v>
      </c>
      <c r="H116" s="135" t="s">
        <v>571</v>
      </c>
      <c r="I116" s="24">
        <v>2.16666666666667</v>
      </c>
      <c r="J116" s="24">
        <v>2.16666666666667</v>
      </c>
      <c r="K116" s="24">
        <v>1</v>
      </c>
      <c r="L116" s="24">
        <v>1</v>
      </c>
      <c r="M116" s="24">
        <f t="shared" si="7"/>
        <v>1.76666666666667</v>
      </c>
      <c r="N116" s="104" t="s">
        <v>572</v>
      </c>
      <c r="O116" s="147">
        <v>1</v>
      </c>
      <c r="P116" s="24">
        <v>10.5</v>
      </c>
      <c r="Q116" s="147">
        <v>0</v>
      </c>
      <c r="R116" s="147"/>
      <c r="S116" s="24">
        <v>0</v>
      </c>
      <c r="V116" s="147">
        <v>2</v>
      </c>
      <c r="W116" s="24">
        <v>0</v>
      </c>
      <c r="X116" s="151">
        <v>1</v>
      </c>
      <c r="Y116" s="24">
        <v>-0.1</v>
      </c>
      <c r="Z116" s="147">
        <v>0</v>
      </c>
      <c r="AA116" s="147"/>
      <c r="AB116" s="147"/>
      <c r="AC116" s="147"/>
      <c r="AD116" s="147">
        <v>1</v>
      </c>
      <c r="AE116" s="152" t="s">
        <v>573</v>
      </c>
      <c r="AF116" s="24">
        <f t="shared" si="6"/>
        <v>0.5</v>
      </c>
      <c r="AN116" s="157">
        <v>487</v>
      </c>
      <c r="AO116" s="24" t="s">
        <v>574</v>
      </c>
      <c r="AP116" s="157">
        <v>186</v>
      </c>
      <c r="AQ116" s="24" t="s">
        <v>136</v>
      </c>
      <c r="AR116" s="24" t="s">
        <v>239</v>
      </c>
      <c r="AV116" s="134"/>
    </row>
    <row r="117" s="24" customFormat="1" spans="1:48">
      <c r="A117" s="24">
        <v>111</v>
      </c>
      <c r="B117" s="24" t="s">
        <v>554</v>
      </c>
      <c r="C117" s="138" t="s">
        <v>575</v>
      </c>
      <c r="D117" s="24">
        <v>1</v>
      </c>
      <c r="E117" s="134">
        <v>0</v>
      </c>
      <c r="F117" s="134"/>
      <c r="G117" s="134">
        <v>2</v>
      </c>
      <c r="H117" s="132" t="s">
        <v>576</v>
      </c>
      <c r="I117" s="24">
        <v>2.3</v>
      </c>
      <c r="J117" s="24">
        <v>2.3</v>
      </c>
      <c r="L117" s="24">
        <f t="shared" si="5"/>
        <v>0</v>
      </c>
      <c r="M117" s="24">
        <f t="shared" si="7"/>
        <v>1.9</v>
      </c>
      <c r="N117" s="104" t="s">
        <v>577</v>
      </c>
      <c r="O117" s="147">
        <v>0</v>
      </c>
      <c r="P117" s="24">
        <v>0.9</v>
      </c>
      <c r="Q117" s="147">
        <v>1</v>
      </c>
      <c r="R117" s="147"/>
      <c r="S117" s="24">
        <v>0</v>
      </c>
      <c r="V117" s="147">
        <v>2</v>
      </c>
      <c r="W117" s="24">
        <v>6</v>
      </c>
      <c r="X117" s="151">
        <v>4</v>
      </c>
      <c r="Y117" s="24">
        <v>-0.1</v>
      </c>
      <c r="Z117" s="147">
        <v>0</v>
      </c>
      <c r="AA117" s="147"/>
      <c r="AB117" s="147"/>
      <c r="AC117" s="147"/>
      <c r="AD117" s="147">
        <v>0</v>
      </c>
      <c r="AE117" s="152"/>
      <c r="AF117" s="24">
        <f t="shared" si="6"/>
        <v>0</v>
      </c>
      <c r="AN117" s="157">
        <v>487</v>
      </c>
      <c r="AO117" s="24" t="s">
        <v>574</v>
      </c>
      <c r="AP117" s="157">
        <v>187</v>
      </c>
      <c r="AQ117" s="24" t="s">
        <v>136</v>
      </c>
      <c r="AV117" s="134"/>
    </row>
    <row r="118" s="24" customFormat="1" spans="1:48">
      <c r="A118" s="24">
        <v>112</v>
      </c>
      <c r="B118" s="24" t="s">
        <v>554</v>
      </c>
      <c r="C118" s="139" t="s">
        <v>578</v>
      </c>
      <c r="D118" s="24">
        <v>2</v>
      </c>
      <c r="E118" s="140">
        <v>1</v>
      </c>
      <c r="F118" s="140"/>
      <c r="G118" s="140">
        <v>2</v>
      </c>
      <c r="H118" s="135" t="s">
        <v>579</v>
      </c>
      <c r="I118" s="24">
        <v>9.33333333333333</v>
      </c>
      <c r="J118" s="24">
        <v>9.33333333333333</v>
      </c>
      <c r="L118" s="24">
        <f t="shared" si="5"/>
        <v>0</v>
      </c>
      <c r="M118" s="24">
        <f t="shared" si="7"/>
        <v>8.93333333333333</v>
      </c>
      <c r="N118" s="104" t="s">
        <v>580</v>
      </c>
      <c r="O118" s="147">
        <v>1</v>
      </c>
      <c r="P118" s="24">
        <v>4</v>
      </c>
      <c r="Q118" s="147">
        <v>1</v>
      </c>
      <c r="R118" s="147"/>
      <c r="S118" s="24">
        <v>0</v>
      </c>
      <c r="V118" s="147">
        <v>1000</v>
      </c>
      <c r="W118" s="24">
        <v>0</v>
      </c>
      <c r="X118" s="151">
        <v>0</v>
      </c>
      <c r="Y118" s="24">
        <v>-0.1</v>
      </c>
      <c r="Z118" s="147">
        <v>0</v>
      </c>
      <c r="AA118" s="147"/>
      <c r="AB118" s="147">
        <v>9</v>
      </c>
      <c r="AC118" s="147">
        <v>2</v>
      </c>
      <c r="AD118" s="147">
        <v>1</v>
      </c>
      <c r="AE118" s="152" t="s">
        <v>581</v>
      </c>
      <c r="AF118" s="24">
        <f t="shared" si="6"/>
        <v>0.5</v>
      </c>
      <c r="AN118" s="157" t="s">
        <v>582</v>
      </c>
      <c r="AO118" s="158" t="s">
        <v>583</v>
      </c>
      <c r="AP118" s="157">
        <v>188</v>
      </c>
      <c r="AQ118" s="24" t="s">
        <v>136</v>
      </c>
      <c r="AV118" s="140"/>
    </row>
    <row r="119" s="24" customFormat="1" spans="1:48">
      <c r="A119" s="24">
        <v>113</v>
      </c>
      <c r="B119" s="24" t="s">
        <v>554</v>
      </c>
      <c r="C119" s="141" t="s">
        <v>584</v>
      </c>
      <c r="D119" s="24">
        <v>1</v>
      </c>
      <c r="E119" s="142">
        <v>0</v>
      </c>
      <c r="F119" s="142"/>
      <c r="G119" s="142">
        <v>1</v>
      </c>
      <c r="H119" s="132" t="s">
        <v>585</v>
      </c>
      <c r="I119" s="24">
        <v>2.16666666666667</v>
      </c>
      <c r="J119" s="24">
        <v>2.16666666666667</v>
      </c>
      <c r="L119" s="24">
        <f t="shared" si="5"/>
        <v>1</v>
      </c>
      <c r="M119" s="24">
        <f t="shared" si="7"/>
        <v>1.76666666666667</v>
      </c>
      <c r="N119" s="104" t="s">
        <v>586</v>
      </c>
      <c r="O119" s="147">
        <v>1</v>
      </c>
      <c r="P119" s="24">
        <v>1</v>
      </c>
      <c r="Q119" s="147">
        <v>0</v>
      </c>
      <c r="R119" s="147"/>
      <c r="S119" s="24">
        <v>0</v>
      </c>
      <c r="V119" s="147">
        <v>1</v>
      </c>
      <c r="W119" s="24">
        <v>0</v>
      </c>
      <c r="X119" s="151">
        <v>7</v>
      </c>
      <c r="Y119" s="24">
        <v>-0.1</v>
      </c>
      <c r="Z119" s="147">
        <v>0</v>
      </c>
      <c r="AA119" s="147"/>
      <c r="AB119" s="147"/>
      <c r="AC119" s="147"/>
      <c r="AD119" s="147">
        <v>0</v>
      </c>
      <c r="AE119" s="152"/>
      <c r="AF119" s="24">
        <f t="shared" si="6"/>
        <v>0</v>
      </c>
      <c r="AN119" s="24">
        <v>487</v>
      </c>
      <c r="AO119" s="24" t="s">
        <v>574</v>
      </c>
      <c r="AP119" s="157">
        <v>189</v>
      </c>
      <c r="AQ119" s="24" t="s">
        <v>136</v>
      </c>
      <c r="AV119" s="142">
        <v>1</v>
      </c>
    </row>
    <row r="120" s="24" customFormat="1" spans="1:48">
      <c r="A120" s="24">
        <v>114</v>
      </c>
      <c r="B120" s="24" t="s">
        <v>554</v>
      </c>
      <c r="C120" s="141" t="s">
        <v>587</v>
      </c>
      <c r="D120" s="24">
        <v>1</v>
      </c>
      <c r="E120" s="142">
        <v>0</v>
      </c>
      <c r="F120" s="142"/>
      <c r="G120" s="142">
        <v>1</v>
      </c>
      <c r="H120" s="135" t="s">
        <v>588</v>
      </c>
      <c r="I120" s="24">
        <v>3.66666666666667</v>
      </c>
      <c r="J120" s="24">
        <v>3.66666666666667</v>
      </c>
      <c r="L120" s="24">
        <f t="shared" si="5"/>
        <v>0</v>
      </c>
      <c r="M120" s="24">
        <f t="shared" si="7"/>
        <v>3.26666666666667</v>
      </c>
      <c r="N120" s="104" t="s">
        <v>589</v>
      </c>
      <c r="O120" s="147">
        <v>1</v>
      </c>
      <c r="P120" s="24">
        <v>2</v>
      </c>
      <c r="Q120" s="147">
        <v>0</v>
      </c>
      <c r="R120" s="147">
        <v>1</v>
      </c>
      <c r="S120" s="24">
        <v>0</v>
      </c>
      <c r="V120" s="147">
        <v>1</v>
      </c>
      <c r="W120" s="24">
        <v>4</v>
      </c>
      <c r="X120" s="151">
        <v>1</v>
      </c>
      <c r="Y120" s="24">
        <v>0.4</v>
      </c>
      <c r="Z120" s="147">
        <v>0</v>
      </c>
      <c r="AA120" s="147"/>
      <c r="AB120" s="147"/>
      <c r="AC120" s="147"/>
      <c r="AD120" s="147">
        <v>0</v>
      </c>
      <c r="AE120" s="152"/>
      <c r="AF120" s="24">
        <f t="shared" si="6"/>
        <v>0</v>
      </c>
      <c r="AN120" s="157" t="s">
        <v>590</v>
      </c>
      <c r="AO120" s="24" t="s">
        <v>559</v>
      </c>
      <c r="AP120" s="157"/>
      <c r="AV120" s="142"/>
    </row>
    <row r="121" spans="1:48">
      <c r="A121">
        <v>115</v>
      </c>
      <c r="B121" t="s">
        <v>591</v>
      </c>
      <c r="C121" t="s">
        <v>526</v>
      </c>
      <c r="D121">
        <v>1</v>
      </c>
      <c r="E121">
        <v>0</v>
      </c>
      <c r="G121">
        <v>1</v>
      </c>
      <c r="H121" s="93" t="s">
        <v>592</v>
      </c>
      <c r="I121" s="15">
        <v>2.2</v>
      </c>
      <c r="J121" s="15">
        <v>2.2</v>
      </c>
      <c r="K121" s="15"/>
      <c r="L121">
        <f t="shared" si="5"/>
        <v>0</v>
      </c>
      <c r="M121">
        <f t="shared" si="7"/>
        <v>1.8</v>
      </c>
      <c r="N121" t="s">
        <v>593</v>
      </c>
      <c r="O121" s="108">
        <v>1</v>
      </c>
      <c r="P121">
        <v>1.2</v>
      </c>
      <c r="Q121" s="108">
        <v>0</v>
      </c>
      <c r="R121" s="108"/>
      <c r="S121">
        <v>0</v>
      </c>
      <c r="V121" s="108">
        <v>6</v>
      </c>
      <c r="W121">
        <v>0</v>
      </c>
      <c r="X121" s="7">
        <v>3</v>
      </c>
      <c r="Y121">
        <v>-0.1</v>
      </c>
      <c r="Z121" s="108">
        <v>0</v>
      </c>
      <c r="AA121" s="108"/>
      <c r="AB121" s="108"/>
      <c r="AC121" s="108"/>
      <c r="AD121" s="108">
        <v>0</v>
      </c>
      <c r="AE121" s="15"/>
      <c r="AF121">
        <f t="shared" si="6"/>
        <v>0</v>
      </c>
      <c r="AN121" s="8">
        <v>156</v>
      </c>
      <c r="AO121" t="s">
        <v>136</v>
      </c>
      <c r="AV121">
        <v>1</v>
      </c>
    </row>
    <row r="122" spans="1:44">
      <c r="A122">
        <v>116</v>
      </c>
      <c r="B122" t="s">
        <v>591</v>
      </c>
      <c r="C122" t="s">
        <v>594</v>
      </c>
      <c r="D122">
        <v>2</v>
      </c>
      <c r="E122">
        <v>1</v>
      </c>
      <c r="G122">
        <v>1</v>
      </c>
      <c r="H122" s="94" t="s">
        <v>595</v>
      </c>
      <c r="I122" s="15">
        <v>5</v>
      </c>
      <c r="J122" s="15">
        <v>5</v>
      </c>
      <c r="K122" s="15">
        <v>0.5</v>
      </c>
      <c r="L122">
        <f t="shared" si="5"/>
        <v>0</v>
      </c>
      <c r="M122">
        <f t="shared" si="7"/>
        <v>4.6</v>
      </c>
      <c r="N122" t="s">
        <v>596</v>
      </c>
      <c r="O122" s="108">
        <v>1</v>
      </c>
      <c r="P122">
        <v>1.2</v>
      </c>
      <c r="Q122" s="108">
        <v>2</v>
      </c>
      <c r="R122" s="108"/>
      <c r="S122">
        <v>0</v>
      </c>
      <c r="V122" s="108">
        <v>1000</v>
      </c>
      <c r="W122">
        <v>6</v>
      </c>
      <c r="X122" s="7">
        <v>0</v>
      </c>
      <c r="Y122">
        <v>-0.1</v>
      </c>
      <c r="Z122" s="108">
        <v>0</v>
      </c>
      <c r="AA122" s="108"/>
      <c r="AB122" s="108">
        <v>4.7</v>
      </c>
      <c r="AC122" s="108">
        <v>2</v>
      </c>
      <c r="AD122" s="108">
        <v>1</v>
      </c>
      <c r="AE122" s="15" t="s">
        <v>597</v>
      </c>
      <c r="AF122">
        <f t="shared" si="6"/>
        <v>0.5</v>
      </c>
      <c r="AP122" s="8">
        <v>157</v>
      </c>
      <c r="AQ122" t="s">
        <v>136</v>
      </c>
      <c r="AR122" t="s">
        <v>239</v>
      </c>
    </row>
    <row r="123" spans="1:41">
      <c r="A123">
        <v>117</v>
      </c>
      <c r="B123" t="s">
        <v>591</v>
      </c>
      <c r="C123" t="s">
        <v>598</v>
      </c>
      <c r="D123">
        <v>1</v>
      </c>
      <c r="E123">
        <v>0</v>
      </c>
      <c r="G123">
        <v>1</v>
      </c>
      <c r="H123" s="93" t="s">
        <v>599</v>
      </c>
      <c r="I123" s="15">
        <v>3.23</v>
      </c>
      <c r="J123" s="15">
        <v>3.23</v>
      </c>
      <c r="K123" s="15"/>
      <c r="L123">
        <f t="shared" si="5"/>
        <v>1</v>
      </c>
      <c r="M123">
        <f t="shared" si="7"/>
        <v>2.83</v>
      </c>
      <c r="N123" s="104" t="s">
        <v>600</v>
      </c>
      <c r="O123" s="108">
        <v>1</v>
      </c>
      <c r="P123">
        <v>1.2</v>
      </c>
      <c r="Q123" s="108">
        <v>0</v>
      </c>
      <c r="R123" s="108"/>
      <c r="S123" s="15">
        <v>2</v>
      </c>
      <c r="T123" s="15">
        <v>0.5</v>
      </c>
      <c r="V123" s="108">
        <v>6</v>
      </c>
      <c r="W123">
        <v>0</v>
      </c>
      <c r="X123" s="7">
        <v>5</v>
      </c>
      <c r="Y123">
        <v>-0.1</v>
      </c>
      <c r="Z123" s="108">
        <v>0</v>
      </c>
      <c r="AA123" s="108"/>
      <c r="AB123" s="108"/>
      <c r="AC123" s="108"/>
      <c r="AD123" s="108">
        <v>0</v>
      </c>
      <c r="AF123">
        <f t="shared" si="6"/>
        <v>0</v>
      </c>
      <c r="AN123" s="8">
        <v>158</v>
      </c>
      <c r="AO123" t="s">
        <v>136</v>
      </c>
    </row>
    <row r="124" spans="1:55">
      <c r="A124">
        <v>118</v>
      </c>
      <c r="B124" t="s">
        <v>591</v>
      </c>
      <c r="C124" t="s">
        <v>601</v>
      </c>
      <c r="D124">
        <v>1</v>
      </c>
      <c r="E124">
        <v>0</v>
      </c>
      <c r="G124">
        <v>1</v>
      </c>
      <c r="H124" s="94" t="s">
        <v>602</v>
      </c>
      <c r="I124" s="15">
        <v>2.26666666666667</v>
      </c>
      <c r="J124" s="15">
        <v>2.26666666666667</v>
      </c>
      <c r="K124" s="15"/>
      <c r="L124">
        <f t="shared" si="5"/>
        <v>1</v>
      </c>
      <c r="M124">
        <f t="shared" si="7"/>
        <v>1.86666666666667</v>
      </c>
      <c r="N124" s="104" t="s">
        <v>603</v>
      </c>
      <c r="O124" s="108">
        <v>1</v>
      </c>
      <c r="P124">
        <v>1.2</v>
      </c>
      <c r="Q124" s="108">
        <v>0</v>
      </c>
      <c r="R124" s="108"/>
      <c r="S124" s="15">
        <v>0.7</v>
      </c>
      <c r="T124" s="15"/>
      <c r="U124">
        <v>0.5</v>
      </c>
      <c r="V124" s="108">
        <v>6</v>
      </c>
      <c r="W124">
        <v>0</v>
      </c>
      <c r="X124" s="7">
        <v>7</v>
      </c>
      <c r="Y124">
        <v>-0.1</v>
      </c>
      <c r="Z124" s="108">
        <v>0</v>
      </c>
      <c r="AA124" s="108"/>
      <c r="AB124" s="108"/>
      <c r="AC124" s="108"/>
      <c r="AD124" s="108">
        <v>0</v>
      </c>
      <c r="AE124" s="15"/>
      <c r="AF124">
        <f t="shared" si="6"/>
        <v>0</v>
      </c>
      <c r="AN124" s="8">
        <v>159</v>
      </c>
      <c r="AO124" t="s">
        <v>136</v>
      </c>
      <c r="BC124" t="s">
        <v>604</v>
      </c>
    </row>
    <row r="125" spans="1:55">
      <c r="A125">
        <v>119</v>
      </c>
      <c r="B125" t="s">
        <v>591</v>
      </c>
      <c r="C125" t="s">
        <v>605</v>
      </c>
      <c r="D125">
        <v>1</v>
      </c>
      <c r="E125">
        <v>0</v>
      </c>
      <c r="G125">
        <v>1</v>
      </c>
      <c r="H125" s="93" t="s">
        <v>606</v>
      </c>
      <c r="I125" s="15">
        <v>2.5</v>
      </c>
      <c r="J125" s="15">
        <v>2.5</v>
      </c>
      <c r="K125" s="15"/>
      <c r="L125">
        <f t="shared" si="5"/>
        <v>1</v>
      </c>
      <c r="M125">
        <f t="shared" si="7"/>
        <v>2.1</v>
      </c>
      <c r="N125" s="104" t="s">
        <v>607</v>
      </c>
      <c r="O125" s="108">
        <v>1</v>
      </c>
      <c r="P125">
        <v>1.2</v>
      </c>
      <c r="Q125" s="108">
        <v>0</v>
      </c>
      <c r="R125" s="108"/>
      <c r="S125">
        <v>0</v>
      </c>
      <c r="V125" s="108">
        <v>6</v>
      </c>
      <c r="W125">
        <v>0</v>
      </c>
      <c r="X125" s="7">
        <v>7</v>
      </c>
      <c r="Y125">
        <v>-0.1</v>
      </c>
      <c r="Z125" s="108">
        <v>0</v>
      </c>
      <c r="AA125" s="108"/>
      <c r="AB125" s="108"/>
      <c r="AC125" s="108"/>
      <c r="AD125" s="108">
        <v>0</v>
      </c>
      <c r="AE125" s="15"/>
      <c r="AF125">
        <f t="shared" si="6"/>
        <v>0</v>
      </c>
      <c r="AN125" s="8">
        <v>160</v>
      </c>
      <c r="AO125" t="s">
        <v>136</v>
      </c>
      <c r="BC125" t="s">
        <v>608</v>
      </c>
    </row>
    <row r="126" spans="1:41">
      <c r="A126">
        <v>120</v>
      </c>
      <c r="B126" t="s">
        <v>591</v>
      </c>
      <c r="C126" s="27" t="s">
        <v>609</v>
      </c>
      <c r="D126">
        <v>1</v>
      </c>
      <c r="E126">
        <v>0</v>
      </c>
      <c r="G126">
        <v>1</v>
      </c>
      <c r="H126" s="94" t="s">
        <v>610</v>
      </c>
      <c r="I126" s="15">
        <v>9</v>
      </c>
      <c r="J126" s="15">
        <v>9</v>
      </c>
      <c r="K126" s="15">
        <v>0.3</v>
      </c>
      <c r="L126">
        <v>1</v>
      </c>
      <c r="M126">
        <f t="shared" si="7"/>
        <v>8.6</v>
      </c>
      <c r="N126" t="s">
        <v>611</v>
      </c>
      <c r="O126" s="108">
        <v>1</v>
      </c>
      <c r="P126">
        <v>1.2</v>
      </c>
      <c r="Q126" s="108">
        <v>0</v>
      </c>
      <c r="R126" s="108"/>
      <c r="S126">
        <v>0</v>
      </c>
      <c r="V126" s="108">
        <v>6</v>
      </c>
      <c r="W126">
        <v>0</v>
      </c>
      <c r="X126" s="7">
        <v>1</v>
      </c>
      <c r="Y126">
        <v>-0.1</v>
      </c>
      <c r="Z126" s="108">
        <v>0</v>
      </c>
      <c r="AA126" s="108"/>
      <c r="AB126" s="108"/>
      <c r="AC126" s="108"/>
      <c r="AD126" s="108">
        <v>1</v>
      </c>
      <c r="AE126" s="15" t="s">
        <v>612</v>
      </c>
      <c r="AF126">
        <f t="shared" si="6"/>
        <v>0.5</v>
      </c>
      <c r="AN126" s="8">
        <v>161</v>
      </c>
      <c r="AO126" t="s">
        <v>136</v>
      </c>
    </row>
    <row r="127" spans="1:41">
      <c r="A127">
        <v>121</v>
      </c>
      <c r="B127" t="s">
        <v>591</v>
      </c>
      <c r="C127" s="27" t="s">
        <v>613</v>
      </c>
      <c r="D127">
        <v>1</v>
      </c>
      <c r="E127">
        <v>0</v>
      </c>
      <c r="G127">
        <v>1</v>
      </c>
      <c r="H127" s="93" t="s">
        <v>614</v>
      </c>
      <c r="I127" s="15">
        <v>1.66666666666667</v>
      </c>
      <c r="J127" s="15">
        <v>1.66666666666667</v>
      </c>
      <c r="K127" s="15"/>
      <c r="L127">
        <f t="shared" si="5"/>
        <v>1</v>
      </c>
      <c r="M127">
        <f t="shared" si="7"/>
        <v>1.26666666666667</v>
      </c>
      <c r="N127" t="s">
        <v>615</v>
      </c>
      <c r="O127" s="108">
        <v>1</v>
      </c>
      <c r="P127">
        <v>1.2</v>
      </c>
      <c r="Q127" s="108">
        <v>0</v>
      </c>
      <c r="R127" s="108"/>
      <c r="S127">
        <v>0.7</v>
      </c>
      <c r="U127">
        <v>0.5</v>
      </c>
      <c r="V127" s="108">
        <v>6</v>
      </c>
      <c r="W127">
        <v>0</v>
      </c>
      <c r="X127" s="7">
        <v>5</v>
      </c>
      <c r="Y127">
        <v>-0.1</v>
      </c>
      <c r="Z127" s="108">
        <v>0</v>
      </c>
      <c r="AA127" s="108"/>
      <c r="AB127" s="108"/>
      <c r="AC127" s="108"/>
      <c r="AD127" s="108">
        <v>0</v>
      </c>
      <c r="AE127" s="15"/>
      <c r="AF127">
        <f t="shared" si="6"/>
        <v>0</v>
      </c>
      <c r="AN127" s="8">
        <v>162</v>
      </c>
      <c r="AO127" t="s">
        <v>136</v>
      </c>
    </row>
    <row r="128" spans="1:55">
      <c r="A128">
        <v>122</v>
      </c>
      <c r="B128" t="s">
        <v>591</v>
      </c>
      <c r="C128" s="27" t="s">
        <v>616</v>
      </c>
      <c r="D128">
        <v>1</v>
      </c>
      <c r="E128">
        <v>0</v>
      </c>
      <c r="G128">
        <v>1</v>
      </c>
      <c r="H128" s="94" t="s">
        <v>617</v>
      </c>
      <c r="I128" s="15">
        <v>3.4</v>
      </c>
      <c r="J128" s="15">
        <v>3.4</v>
      </c>
      <c r="K128" s="15">
        <v>0.8</v>
      </c>
      <c r="L128">
        <v>1</v>
      </c>
      <c r="M128">
        <f t="shared" si="7"/>
        <v>3</v>
      </c>
      <c r="N128" s="104" t="s">
        <v>618</v>
      </c>
      <c r="O128" s="108">
        <v>1</v>
      </c>
      <c r="P128">
        <v>1.2</v>
      </c>
      <c r="Q128" s="108">
        <v>0</v>
      </c>
      <c r="R128" s="108"/>
      <c r="S128">
        <v>0</v>
      </c>
      <c r="V128" s="108">
        <v>6</v>
      </c>
      <c r="W128">
        <v>0</v>
      </c>
      <c r="X128" s="7">
        <v>16</v>
      </c>
      <c r="Y128">
        <v>-0.1</v>
      </c>
      <c r="Z128" s="108">
        <v>0</v>
      </c>
      <c r="AA128" s="108"/>
      <c r="AB128" s="108">
        <v>3</v>
      </c>
      <c r="AC128" s="108">
        <v>2</v>
      </c>
      <c r="AD128" s="108">
        <v>1</v>
      </c>
      <c r="AE128" s="15" t="s">
        <v>619</v>
      </c>
      <c r="AF128">
        <f t="shared" si="6"/>
        <v>0.5</v>
      </c>
      <c r="AN128" s="8">
        <v>163</v>
      </c>
      <c r="AO128" t="s">
        <v>136</v>
      </c>
      <c r="BC128" t="s">
        <v>620</v>
      </c>
    </row>
    <row r="129" spans="1:48">
      <c r="A129" s="28">
        <v>123</v>
      </c>
      <c r="B129" t="s">
        <v>621</v>
      </c>
      <c r="C129" t="s">
        <v>622</v>
      </c>
      <c r="D129">
        <v>1</v>
      </c>
      <c r="E129">
        <v>0</v>
      </c>
      <c r="G129">
        <v>2</v>
      </c>
      <c r="H129" s="93" t="s">
        <v>623</v>
      </c>
      <c r="I129">
        <v>1.6</v>
      </c>
      <c r="J129">
        <v>1.6</v>
      </c>
      <c r="L129">
        <f t="shared" si="5"/>
        <v>1</v>
      </c>
      <c r="M129">
        <f t="shared" si="7"/>
        <v>1.2</v>
      </c>
      <c r="N129" s="66" t="s">
        <v>624</v>
      </c>
      <c r="O129" s="108">
        <v>1</v>
      </c>
      <c r="P129">
        <v>5</v>
      </c>
      <c r="Q129" s="108">
        <v>0</v>
      </c>
      <c r="R129" s="108"/>
      <c r="S129">
        <v>0</v>
      </c>
      <c r="U129">
        <v>0.8</v>
      </c>
      <c r="V129" s="108">
        <v>1</v>
      </c>
      <c r="W129">
        <v>0</v>
      </c>
      <c r="X129" s="7">
        <v>8</v>
      </c>
      <c r="Y129">
        <v>-0.1</v>
      </c>
      <c r="Z129" s="108">
        <v>0</v>
      </c>
      <c r="AA129" s="108"/>
      <c r="AB129" s="108"/>
      <c r="AC129" s="108"/>
      <c r="AD129" s="108">
        <v>0</v>
      </c>
      <c r="AE129" s="15"/>
      <c r="AF129">
        <f t="shared" si="6"/>
        <v>0</v>
      </c>
      <c r="AN129" s="10">
        <v>146</v>
      </c>
      <c r="AO129" t="s">
        <v>136</v>
      </c>
      <c r="AV129">
        <v>1</v>
      </c>
    </row>
    <row r="130" spans="1:55">
      <c r="A130" s="28">
        <v>124</v>
      </c>
      <c r="B130" t="s">
        <v>621</v>
      </c>
      <c r="C130" t="s">
        <v>625</v>
      </c>
      <c r="D130">
        <v>4</v>
      </c>
      <c r="E130">
        <v>0</v>
      </c>
      <c r="G130">
        <v>2</v>
      </c>
      <c r="H130" s="94" t="s">
        <v>626</v>
      </c>
      <c r="I130">
        <v>1.73333333333333</v>
      </c>
      <c r="J130">
        <v>1.73333333333333</v>
      </c>
      <c r="L130">
        <f t="shared" si="5"/>
        <v>0</v>
      </c>
      <c r="M130">
        <f t="shared" si="7"/>
        <v>1.33333333333333</v>
      </c>
      <c r="N130" s="66" t="s">
        <v>627</v>
      </c>
      <c r="O130" s="108">
        <v>1</v>
      </c>
      <c r="P130">
        <v>5</v>
      </c>
      <c r="Q130" s="108">
        <v>0</v>
      </c>
      <c r="R130" s="108"/>
      <c r="V130" s="108">
        <v>1</v>
      </c>
      <c r="W130">
        <v>0</v>
      </c>
      <c r="X130" s="7">
        <v>1</v>
      </c>
      <c r="Y130">
        <v>-0.1</v>
      </c>
      <c r="Z130" s="108">
        <v>0</v>
      </c>
      <c r="AA130" s="108"/>
      <c r="AB130" s="108"/>
      <c r="AC130" s="108"/>
      <c r="AD130" s="108">
        <v>0</v>
      </c>
      <c r="AE130" s="15"/>
      <c r="AF130">
        <f t="shared" si="6"/>
        <v>0</v>
      </c>
      <c r="AN130" s="10">
        <v>147</v>
      </c>
      <c r="AO130" t="s">
        <v>136</v>
      </c>
      <c r="BC130" t="s">
        <v>628</v>
      </c>
    </row>
    <row r="131" spans="1:43">
      <c r="A131">
        <v>125</v>
      </c>
      <c r="B131" t="s">
        <v>621</v>
      </c>
      <c r="C131" t="s">
        <v>629</v>
      </c>
      <c r="D131">
        <v>4</v>
      </c>
      <c r="E131">
        <v>0</v>
      </c>
      <c r="G131">
        <v>2</v>
      </c>
      <c r="H131" s="93" t="s">
        <v>630</v>
      </c>
      <c r="I131">
        <v>1.66666666666667</v>
      </c>
      <c r="J131">
        <v>1.66666666666667</v>
      </c>
      <c r="L131">
        <f t="shared" si="5"/>
        <v>1</v>
      </c>
      <c r="M131">
        <f t="shared" si="7"/>
        <v>1.26666666666667</v>
      </c>
      <c r="N131" s="17" t="s">
        <v>631</v>
      </c>
      <c r="O131" s="108">
        <v>1</v>
      </c>
      <c r="P131">
        <v>5</v>
      </c>
      <c r="Q131" s="108">
        <v>0</v>
      </c>
      <c r="R131" s="108"/>
      <c r="S131">
        <v>-0.3</v>
      </c>
      <c r="U131">
        <v>0.8</v>
      </c>
      <c r="V131" s="108">
        <v>1</v>
      </c>
      <c r="W131">
        <v>6</v>
      </c>
      <c r="X131" s="7">
        <v>10</v>
      </c>
      <c r="Y131">
        <v>-0.1</v>
      </c>
      <c r="Z131" s="108">
        <v>0</v>
      </c>
      <c r="AA131" s="108"/>
      <c r="AB131" s="108"/>
      <c r="AC131" s="108"/>
      <c r="AD131" s="108">
        <v>0</v>
      </c>
      <c r="AF131">
        <f t="shared" si="6"/>
        <v>0</v>
      </c>
      <c r="AP131" s="10">
        <v>148</v>
      </c>
      <c r="AQ131" t="s">
        <v>136</v>
      </c>
    </row>
    <row r="132" spans="1:55">
      <c r="A132">
        <v>126</v>
      </c>
      <c r="B132" t="s">
        <v>621</v>
      </c>
      <c r="C132" t="s">
        <v>632</v>
      </c>
      <c r="D132">
        <v>1</v>
      </c>
      <c r="E132">
        <v>0</v>
      </c>
      <c r="G132">
        <v>2</v>
      </c>
      <c r="H132" s="94" t="s">
        <v>633</v>
      </c>
      <c r="I132" s="118">
        <v>4.33333333333333</v>
      </c>
      <c r="J132" s="118">
        <v>4.33333333333333</v>
      </c>
      <c r="K132">
        <v>0.3</v>
      </c>
      <c r="L132">
        <v>1</v>
      </c>
      <c r="M132">
        <f t="shared" si="7"/>
        <v>3.93333333333333</v>
      </c>
      <c r="N132" s="66" t="s">
        <v>634</v>
      </c>
      <c r="O132" s="108">
        <v>1</v>
      </c>
      <c r="P132">
        <v>5</v>
      </c>
      <c r="Q132" s="108">
        <v>0</v>
      </c>
      <c r="R132" s="108"/>
      <c r="S132">
        <v>0</v>
      </c>
      <c r="V132" s="108">
        <v>1</v>
      </c>
      <c r="W132">
        <v>0</v>
      </c>
      <c r="X132" s="7">
        <v>3</v>
      </c>
      <c r="Y132">
        <v>-0.1</v>
      </c>
      <c r="Z132" s="108">
        <v>0</v>
      </c>
      <c r="AA132" s="108"/>
      <c r="AB132" s="108">
        <v>4</v>
      </c>
      <c r="AC132" s="108">
        <v>2</v>
      </c>
      <c r="AD132" s="108">
        <v>1</v>
      </c>
      <c r="AE132" s="15" t="s">
        <v>635</v>
      </c>
      <c r="AF132">
        <f t="shared" si="6"/>
        <v>0.5</v>
      </c>
      <c r="AN132" s="10"/>
      <c r="AP132" s="10">
        <v>149</v>
      </c>
      <c r="AQ132" t="s">
        <v>136</v>
      </c>
      <c r="AR132" s="749" t="s">
        <v>239</v>
      </c>
      <c r="BC132" t="s">
        <v>636</v>
      </c>
    </row>
    <row r="133" spans="1:55">
      <c r="A133">
        <v>127</v>
      </c>
      <c r="B133" t="s">
        <v>621</v>
      </c>
      <c r="C133" t="s">
        <v>637</v>
      </c>
      <c r="D133">
        <v>1</v>
      </c>
      <c r="E133">
        <v>0</v>
      </c>
      <c r="G133">
        <v>2</v>
      </c>
      <c r="H133" s="93" t="s">
        <v>638</v>
      </c>
      <c r="I133">
        <v>4.66666666666667</v>
      </c>
      <c r="J133">
        <v>4.66666666666667</v>
      </c>
      <c r="L133">
        <v>1</v>
      </c>
      <c r="M133">
        <f t="shared" si="7"/>
        <v>4.26666666666667</v>
      </c>
      <c r="N133" s="66" t="s">
        <v>639</v>
      </c>
      <c r="O133" s="108">
        <v>1</v>
      </c>
      <c r="P133">
        <v>8</v>
      </c>
      <c r="Q133" s="108">
        <v>0</v>
      </c>
      <c r="R133" s="108"/>
      <c r="S133">
        <v>0</v>
      </c>
      <c r="V133" s="108">
        <v>1</v>
      </c>
      <c r="W133">
        <v>6</v>
      </c>
      <c r="X133" s="7">
        <v>1</v>
      </c>
      <c r="Y133">
        <v>-0.1</v>
      </c>
      <c r="Z133" s="108">
        <v>0</v>
      </c>
      <c r="AA133" s="108"/>
      <c r="AB133" s="108"/>
      <c r="AC133" s="108"/>
      <c r="AD133" s="108">
        <v>1</v>
      </c>
      <c r="AE133" s="15" t="s">
        <v>640</v>
      </c>
      <c r="AF133">
        <f t="shared" si="6"/>
        <v>0.5</v>
      </c>
      <c r="AP133" s="10">
        <v>150</v>
      </c>
      <c r="AQ133" t="s">
        <v>136</v>
      </c>
      <c r="AR133" s="749" t="s">
        <v>239</v>
      </c>
      <c r="BC133" t="s">
        <v>641</v>
      </c>
    </row>
    <row r="134" spans="1:43">
      <c r="A134">
        <v>128</v>
      </c>
      <c r="B134" t="s">
        <v>621</v>
      </c>
      <c r="C134" t="s">
        <v>642</v>
      </c>
      <c r="D134">
        <v>1</v>
      </c>
      <c r="E134">
        <v>0</v>
      </c>
      <c r="G134">
        <v>2</v>
      </c>
      <c r="H134" s="94" t="s">
        <v>643</v>
      </c>
      <c r="I134">
        <v>3.16666666666667</v>
      </c>
      <c r="J134">
        <v>3.16666666666667</v>
      </c>
      <c r="L134">
        <f t="shared" si="5"/>
        <v>0</v>
      </c>
      <c r="M134">
        <f t="shared" si="7"/>
        <v>2.76666666666667</v>
      </c>
      <c r="N134" s="66" t="s">
        <v>644</v>
      </c>
      <c r="O134" s="108">
        <v>1</v>
      </c>
      <c r="P134">
        <v>5</v>
      </c>
      <c r="Q134" s="108">
        <v>0</v>
      </c>
      <c r="R134" s="108"/>
      <c r="S134">
        <v>-0.3</v>
      </c>
      <c r="U134">
        <v>1.2</v>
      </c>
      <c r="V134" s="108">
        <v>1</v>
      </c>
      <c r="W134">
        <v>6</v>
      </c>
      <c r="X134" s="7">
        <v>3</v>
      </c>
      <c r="Y134">
        <v>-0.1</v>
      </c>
      <c r="Z134" s="108">
        <v>0</v>
      </c>
      <c r="AA134" s="108"/>
      <c r="AB134" s="108"/>
      <c r="AC134" s="108"/>
      <c r="AD134" s="108">
        <v>0</v>
      </c>
      <c r="AE134" s="15"/>
      <c r="AF134">
        <f t="shared" si="6"/>
        <v>0</v>
      </c>
      <c r="AP134" s="10">
        <v>151</v>
      </c>
      <c r="AQ134" t="s">
        <v>136</v>
      </c>
    </row>
    <row r="135" spans="1:55">
      <c r="A135" s="28">
        <v>129</v>
      </c>
      <c r="B135" t="s">
        <v>621</v>
      </c>
      <c r="C135" t="s">
        <v>645</v>
      </c>
      <c r="D135">
        <v>4</v>
      </c>
      <c r="E135">
        <v>0</v>
      </c>
      <c r="G135">
        <v>2</v>
      </c>
      <c r="H135" s="93" t="s">
        <v>646</v>
      </c>
      <c r="I135">
        <v>6</v>
      </c>
      <c r="J135">
        <v>6</v>
      </c>
      <c r="K135">
        <v>0.5</v>
      </c>
      <c r="L135">
        <v>1</v>
      </c>
      <c r="M135">
        <f t="shared" si="7"/>
        <v>5.6</v>
      </c>
      <c r="N135" s="66" t="s">
        <v>647</v>
      </c>
      <c r="O135" s="108">
        <v>1</v>
      </c>
      <c r="P135">
        <v>5</v>
      </c>
      <c r="Q135" s="108">
        <v>0</v>
      </c>
      <c r="R135" s="108"/>
      <c r="S135">
        <v>0</v>
      </c>
      <c r="V135" s="108">
        <v>1</v>
      </c>
      <c r="W135">
        <v>0</v>
      </c>
      <c r="X135" s="7">
        <v>3</v>
      </c>
      <c r="Y135">
        <v>-0.1</v>
      </c>
      <c r="Z135" s="108">
        <v>0</v>
      </c>
      <c r="AA135" s="108"/>
      <c r="AB135" s="108">
        <v>5.8</v>
      </c>
      <c r="AC135" s="108">
        <v>2</v>
      </c>
      <c r="AD135" s="108">
        <v>1</v>
      </c>
      <c r="AE135" s="15" t="s">
        <v>648</v>
      </c>
      <c r="AF135">
        <f t="shared" si="6"/>
        <v>0.5</v>
      </c>
      <c r="AH135">
        <v>1</v>
      </c>
      <c r="AP135" s="10">
        <v>152</v>
      </c>
      <c r="AQ135" t="s">
        <v>136</v>
      </c>
      <c r="AR135" s="749" t="s">
        <v>239</v>
      </c>
      <c r="BC135" t="s">
        <v>649</v>
      </c>
    </row>
    <row r="136" spans="1:43">
      <c r="A136">
        <v>130</v>
      </c>
      <c r="B136" t="s">
        <v>621</v>
      </c>
      <c r="C136" t="s">
        <v>650</v>
      </c>
      <c r="D136">
        <v>1</v>
      </c>
      <c r="E136">
        <v>0</v>
      </c>
      <c r="G136">
        <v>2</v>
      </c>
      <c r="H136" s="94" t="s">
        <v>651</v>
      </c>
      <c r="I136">
        <v>12</v>
      </c>
      <c r="J136">
        <v>12</v>
      </c>
      <c r="L136">
        <v>1</v>
      </c>
      <c r="M136">
        <f t="shared" si="7"/>
        <v>11.6</v>
      </c>
      <c r="N136" s="66" t="s">
        <v>652</v>
      </c>
      <c r="O136" s="108">
        <v>1</v>
      </c>
      <c r="P136">
        <v>5</v>
      </c>
      <c r="Q136" s="108">
        <v>0</v>
      </c>
      <c r="R136" s="108"/>
      <c r="S136">
        <v>0</v>
      </c>
      <c r="V136" s="108">
        <v>1</v>
      </c>
      <c r="W136">
        <v>0</v>
      </c>
      <c r="X136" s="7">
        <v>6</v>
      </c>
      <c r="Y136">
        <v>-0.1</v>
      </c>
      <c r="Z136" s="108">
        <v>0</v>
      </c>
      <c r="AA136" s="108">
        <v>1</v>
      </c>
      <c r="AB136" s="108"/>
      <c r="AC136" s="108"/>
      <c r="AD136" s="108">
        <v>1</v>
      </c>
      <c r="AE136" s="15" t="s">
        <v>653</v>
      </c>
      <c r="AF136">
        <f t="shared" si="6"/>
        <v>0.5</v>
      </c>
      <c r="AH136">
        <v>1</v>
      </c>
      <c r="AP136" s="8">
        <v>251</v>
      </c>
      <c r="AQ136" t="s">
        <v>136</v>
      </c>
    </row>
    <row r="137" spans="1:48">
      <c r="A137">
        <v>131</v>
      </c>
      <c r="B137" t="s">
        <v>386</v>
      </c>
      <c r="C137" t="s">
        <v>526</v>
      </c>
      <c r="D137">
        <v>1</v>
      </c>
      <c r="E137">
        <v>0</v>
      </c>
      <c r="G137">
        <v>1</v>
      </c>
      <c r="H137" s="93" t="s">
        <v>654</v>
      </c>
      <c r="I137">
        <v>3.2</v>
      </c>
      <c r="J137" s="118">
        <v>3.2</v>
      </c>
      <c r="L137">
        <f t="shared" ref="L137:L197" si="8">IF(X137&gt;4,1,0)</f>
        <v>0</v>
      </c>
      <c r="M137">
        <f t="shared" si="7"/>
        <v>2.8</v>
      </c>
      <c r="N137" s="54" t="s">
        <v>655</v>
      </c>
      <c r="O137" s="108">
        <v>1</v>
      </c>
      <c r="P137">
        <v>1.6</v>
      </c>
      <c r="Q137" s="108">
        <v>0</v>
      </c>
      <c r="R137" s="108"/>
      <c r="S137">
        <v>1</v>
      </c>
      <c r="T137">
        <v>1</v>
      </c>
      <c r="V137" s="108">
        <v>6</v>
      </c>
      <c r="W137">
        <v>0</v>
      </c>
      <c r="X137" s="7">
        <v>4</v>
      </c>
      <c r="Y137">
        <v>-0.1</v>
      </c>
      <c r="Z137" s="108">
        <v>0</v>
      </c>
      <c r="AA137" s="108"/>
      <c r="AB137" s="108"/>
      <c r="AC137" s="108"/>
      <c r="AD137" s="108">
        <v>0</v>
      </c>
      <c r="AF137">
        <f t="shared" si="6"/>
        <v>0</v>
      </c>
      <c r="AN137" s="10">
        <v>333</v>
      </c>
      <c r="AO137" s="177" t="s">
        <v>136</v>
      </c>
      <c r="AV137">
        <v>1</v>
      </c>
    </row>
    <row r="138" spans="1:43">
      <c r="A138">
        <v>132</v>
      </c>
      <c r="B138" t="s">
        <v>386</v>
      </c>
      <c r="C138" t="s">
        <v>656</v>
      </c>
      <c r="D138">
        <v>1</v>
      </c>
      <c r="E138">
        <v>0</v>
      </c>
      <c r="G138">
        <v>1</v>
      </c>
      <c r="H138" s="94" t="s">
        <v>657</v>
      </c>
      <c r="I138">
        <v>1.33333333333333</v>
      </c>
      <c r="J138" s="118">
        <v>1.33333333333333</v>
      </c>
      <c r="L138">
        <f t="shared" si="8"/>
        <v>0</v>
      </c>
      <c r="M138">
        <f t="shared" si="7"/>
        <v>0.93333333333333</v>
      </c>
      <c r="N138" s="54" t="s">
        <v>658</v>
      </c>
      <c r="O138" s="108">
        <v>1</v>
      </c>
      <c r="P138">
        <v>1.6</v>
      </c>
      <c r="Q138" s="108">
        <v>0</v>
      </c>
      <c r="R138" s="108"/>
      <c r="S138">
        <v>-1.5</v>
      </c>
      <c r="U138">
        <v>0.8</v>
      </c>
      <c r="V138" s="108">
        <v>6</v>
      </c>
      <c r="W138">
        <v>4</v>
      </c>
      <c r="X138" s="7">
        <v>1</v>
      </c>
      <c r="Y138">
        <v>0.4</v>
      </c>
      <c r="Z138" s="108">
        <v>0</v>
      </c>
      <c r="AA138" s="108"/>
      <c r="AB138" s="108"/>
      <c r="AC138" s="108"/>
      <c r="AD138" s="108">
        <v>0</v>
      </c>
      <c r="AF138">
        <f t="shared" si="6"/>
        <v>0</v>
      </c>
      <c r="AP138" s="10">
        <v>334</v>
      </c>
      <c r="AQ138" s="177" t="s">
        <v>136</v>
      </c>
    </row>
    <row r="139" spans="1:41">
      <c r="A139">
        <v>133</v>
      </c>
      <c r="B139" t="s">
        <v>386</v>
      </c>
      <c r="C139" t="s">
        <v>659</v>
      </c>
      <c r="D139">
        <v>1</v>
      </c>
      <c r="E139">
        <v>0</v>
      </c>
      <c r="G139">
        <v>1</v>
      </c>
      <c r="H139" s="93" t="s">
        <v>660</v>
      </c>
      <c r="I139">
        <v>2.83333333333333</v>
      </c>
      <c r="J139" s="118">
        <v>2.83333333333333</v>
      </c>
      <c r="L139">
        <f t="shared" si="8"/>
        <v>1</v>
      </c>
      <c r="M139">
        <f t="shared" si="7"/>
        <v>2.43333333333333</v>
      </c>
      <c r="N139" s="54" t="s">
        <v>661</v>
      </c>
      <c r="O139" s="108">
        <v>1</v>
      </c>
      <c r="P139">
        <v>1.6</v>
      </c>
      <c r="Q139" s="108">
        <v>0</v>
      </c>
      <c r="R139" s="108"/>
      <c r="S139">
        <v>0.5</v>
      </c>
      <c r="T139">
        <v>1</v>
      </c>
      <c r="V139" s="108">
        <v>6</v>
      </c>
      <c r="W139">
        <v>0</v>
      </c>
      <c r="X139" s="7">
        <v>11</v>
      </c>
      <c r="Y139">
        <v>-0.1</v>
      </c>
      <c r="Z139" s="108">
        <v>0</v>
      </c>
      <c r="AA139" s="108"/>
      <c r="AB139" s="108"/>
      <c r="AC139" s="108"/>
      <c r="AD139" s="108">
        <v>0</v>
      </c>
      <c r="AF139">
        <f t="shared" ref="AF139:AF202" si="9">IF(AD139=--1,0.5,0)</f>
        <v>0</v>
      </c>
      <c r="AN139" s="10">
        <v>335</v>
      </c>
      <c r="AO139" s="177" t="s">
        <v>136</v>
      </c>
    </row>
    <row r="140" spans="1:41">
      <c r="A140" s="28">
        <v>134</v>
      </c>
      <c r="B140" t="s">
        <v>386</v>
      </c>
      <c r="C140" t="s">
        <v>662</v>
      </c>
      <c r="D140">
        <v>1</v>
      </c>
      <c r="E140">
        <v>0</v>
      </c>
      <c r="G140">
        <v>1</v>
      </c>
      <c r="H140" s="94" t="s">
        <v>663</v>
      </c>
      <c r="I140">
        <v>3.93333333333333</v>
      </c>
      <c r="J140" s="118">
        <v>3.93333333333333</v>
      </c>
      <c r="L140">
        <v>1</v>
      </c>
      <c r="M140">
        <v>3.53333333333333</v>
      </c>
      <c r="N140" s="54" t="s">
        <v>664</v>
      </c>
      <c r="O140" s="108">
        <v>1</v>
      </c>
      <c r="P140">
        <v>1.6</v>
      </c>
      <c r="Q140" s="108">
        <v>0</v>
      </c>
      <c r="R140" s="108"/>
      <c r="S140" s="108">
        <v>2.5</v>
      </c>
      <c r="T140" s="108"/>
      <c r="U140">
        <v>1</v>
      </c>
      <c r="V140" s="108">
        <v>6</v>
      </c>
      <c r="W140">
        <v>0</v>
      </c>
      <c r="X140" s="172">
        <v>9</v>
      </c>
      <c r="Y140">
        <v>-0.1</v>
      </c>
      <c r="Z140" s="108">
        <v>0</v>
      </c>
      <c r="AA140" s="108"/>
      <c r="AB140" s="108"/>
      <c r="AC140" s="108"/>
      <c r="AD140" s="108">
        <v>0</v>
      </c>
      <c r="AF140">
        <v>0</v>
      </c>
      <c r="AN140" s="10" t="s">
        <v>665</v>
      </c>
      <c r="AO140" s="177" t="s">
        <v>666</v>
      </c>
    </row>
    <row r="141" spans="1:43">
      <c r="A141">
        <v>135</v>
      </c>
      <c r="B141" t="s">
        <v>386</v>
      </c>
      <c r="C141" t="s">
        <v>667</v>
      </c>
      <c r="D141">
        <v>1</v>
      </c>
      <c r="E141">
        <v>0</v>
      </c>
      <c r="G141">
        <v>1</v>
      </c>
      <c r="H141" s="93" t="s">
        <v>668</v>
      </c>
      <c r="I141">
        <v>2.06666666666667</v>
      </c>
      <c r="J141" s="118">
        <v>2.06666666666667</v>
      </c>
      <c r="L141">
        <f t="shared" si="8"/>
        <v>0</v>
      </c>
      <c r="M141">
        <f t="shared" si="7"/>
        <v>1.66666666666667</v>
      </c>
      <c r="N141" s="54" t="s">
        <v>669</v>
      </c>
      <c r="O141" s="108">
        <v>1</v>
      </c>
      <c r="P141">
        <v>1.6</v>
      </c>
      <c r="Q141" s="108">
        <v>0</v>
      </c>
      <c r="R141" s="108"/>
      <c r="S141">
        <v>0</v>
      </c>
      <c r="T141">
        <v>2</v>
      </c>
      <c r="V141" s="108">
        <v>6</v>
      </c>
      <c r="W141">
        <v>0</v>
      </c>
      <c r="X141" s="7">
        <v>1</v>
      </c>
      <c r="Y141">
        <v>-0.1</v>
      </c>
      <c r="Z141" s="108">
        <v>0</v>
      </c>
      <c r="AA141" s="108"/>
      <c r="AB141" s="108"/>
      <c r="AC141" s="108"/>
      <c r="AD141" s="108">
        <v>0</v>
      </c>
      <c r="AF141">
        <f t="shared" si="9"/>
        <v>0</v>
      </c>
      <c r="AN141" s="10"/>
      <c r="AO141" s="177"/>
      <c r="AP141">
        <v>863</v>
      </c>
      <c r="AQ141" t="s">
        <v>136</v>
      </c>
    </row>
    <row r="142" spans="1:45">
      <c r="A142">
        <v>136</v>
      </c>
      <c r="B142" t="s">
        <v>386</v>
      </c>
      <c r="C142" t="s">
        <v>670</v>
      </c>
      <c r="D142">
        <v>1</v>
      </c>
      <c r="E142">
        <v>0</v>
      </c>
      <c r="F142">
        <v>1</v>
      </c>
      <c r="G142">
        <v>1</v>
      </c>
      <c r="H142" s="94" t="s">
        <v>671</v>
      </c>
      <c r="I142" s="118">
        <v>10.6666666666667</v>
      </c>
      <c r="J142" s="118">
        <v>10.6666666666667</v>
      </c>
      <c r="L142">
        <v>1</v>
      </c>
      <c r="M142">
        <f t="shared" si="7"/>
        <v>10.2666666666667</v>
      </c>
      <c r="N142" s="54" t="s">
        <v>672</v>
      </c>
      <c r="O142" s="108">
        <v>1</v>
      </c>
      <c r="P142">
        <v>10</v>
      </c>
      <c r="Q142" s="108">
        <v>0</v>
      </c>
      <c r="R142" s="108"/>
      <c r="S142">
        <v>0</v>
      </c>
      <c r="V142" s="108">
        <v>6</v>
      </c>
      <c r="W142">
        <v>0</v>
      </c>
      <c r="X142" s="7">
        <v>9</v>
      </c>
      <c r="Y142">
        <v>-0.1</v>
      </c>
      <c r="Z142" s="108">
        <v>0</v>
      </c>
      <c r="AA142" s="108"/>
      <c r="AB142" s="108">
        <v>10.3</v>
      </c>
      <c r="AC142" s="108">
        <v>2</v>
      </c>
      <c r="AD142" s="108">
        <v>1</v>
      </c>
      <c r="AE142" t="s">
        <v>673</v>
      </c>
      <c r="AF142">
        <f t="shared" si="9"/>
        <v>0.5</v>
      </c>
      <c r="AN142" s="10">
        <v>971</v>
      </c>
      <c r="AO142" t="s">
        <v>674</v>
      </c>
      <c r="AP142">
        <v>338</v>
      </c>
      <c r="AQ142" t="s">
        <v>136</v>
      </c>
      <c r="AS142" t="s">
        <v>675</v>
      </c>
    </row>
    <row r="143" spans="1:41">
      <c r="A143" s="28">
        <v>137</v>
      </c>
      <c r="B143" t="s">
        <v>386</v>
      </c>
      <c r="C143" t="s">
        <v>676</v>
      </c>
      <c r="D143">
        <v>4</v>
      </c>
      <c r="E143">
        <v>0</v>
      </c>
      <c r="G143">
        <v>1</v>
      </c>
      <c r="H143" s="93" t="s">
        <v>677</v>
      </c>
      <c r="I143" s="106">
        <f>110/30</f>
        <v>3.66666666666667</v>
      </c>
      <c r="J143" s="106">
        <v>3.66666666666667</v>
      </c>
      <c r="L143">
        <v>1</v>
      </c>
      <c r="M143">
        <f t="shared" si="7"/>
        <v>3.26666666666667</v>
      </c>
      <c r="N143" s="54" t="s">
        <v>678</v>
      </c>
      <c r="O143" s="108">
        <v>1</v>
      </c>
      <c r="P143">
        <v>18</v>
      </c>
      <c r="Q143" s="108">
        <v>0</v>
      </c>
      <c r="R143" s="108"/>
      <c r="S143">
        <v>0</v>
      </c>
      <c r="V143" s="108">
        <v>6</v>
      </c>
      <c r="W143">
        <v>0</v>
      </c>
      <c r="X143" s="7">
        <v>1</v>
      </c>
      <c r="Y143">
        <v>-0.1</v>
      </c>
      <c r="Z143" s="108">
        <v>0</v>
      </c>
      <c r="AA143" s="108"/>
      <c r="AB143" s="108">
        <v>3.3333</v>
      </c>
      <c r="AC143" s="108">
        <v>1</v>
      </c>
      <c r="AD143" s="108">
        <v>1</v>
      </c>
      <c r="AE143" t="s">
        <v>679</v>
      </c>
      <c r="AF143">
        <f t="shared" si="9"/>
        <v>0.5</v>
      </c>
      <c r="AN143" s="10">
        <v>339</v>
      </c>
      <c r="AO143" s="177" t="s">
        <v>136</v>
      </c>
    </row>
    <row r="144" spans="1:41">
      <c r="A144">
        <v>138</v>
      </c>
      <c r="B144" t="s">
        <v>386</v>
      </c>
      <c r="C144" t="s">
        <v>680</v>
      </c>
      <c r="D144">
        <v>1</v>
      </c>
      <c r="E144">
        <v>0</v>
      </c>
      <c r="G144">
        <v>1</v>
      </c>
      <c r="H144" s="94" t="s">
        <v>681</v>
      </c>
      <c r="I144" s="118">
        <v>1.33333333333333</v>
      </c>
      <c r="J144" s="118">
        <v>1.33333333333333</v>
      </c>
      <c r="L144">
        <v>0</v>
      </c>
      <c r="M144">
        <f t="shared" si="7"/>
        <v>0.93333333333333</v>
      </c>
      <c r="N144" s="54" t="s">
        <v>682</v>
      </c>
      <c r="O144" s="108">
        <v>1</v>
      </c>
      <c r="P144">
        <v>2.5</v>
      </c>
      <c r="Q144" s="108">
        <v>0</v>
      </c>
      <c r="R144" s="108"/>
      <c r="S144">
        <v>0</v>
      </c>
      <c r="T144">
        <v>1</v>
      </c>
      <c r="U144">
        <v>1</v>
      </c>
      <c r="V144" s="108">
        <v>6</v>
      </c>
      <c r="W144">
        <v>4</v>
      </c>
      <c r="X144" s="7">
        <v>1</v>
      </c>
      <c r="Y144">
        <v>-0.1</v>
      </c>
      <c r="Z144" s="108">
        <v>0</v>
      </c>
      <c r="AA144" s="108"/>
      <c r="AB144" s="108"/>
      <c r="AC144" s="108"/>
      <c r="AD144" s="108">
        <v>0</v>
      </c>
      <c r="AF144">
        <f t="shared" si="9"/>
        <v>0</v>
      </c>
      <c r="AN144" s="10">
        <v>340</v>
      </c>
      <c r="AO144" s="177" t="s">
        <v>136</v>
      </c>
    </row>
    <row r="145" spans="1:48">
      <c r="A145">
        <v>139</v>
      </c>
      <c r="B145" t="s">
        <v>683</v>
      </c>
      <c r="C145" t="s">
        <v>684</v>
      </c>
      <c r="D145">
        <v>1</v>
      </c>
      <c r="E145">
        <v>0</v>
      </c>
      <c r="G145">
        <v>1</v>
      </c>
      <c r="H145" s="159">
        <v>1801</v>
      </c>
      <c r="I145">
        <v>2.66666666666667</v>
      </c>
      <c r="J145">
        <v>2.66666666666667</v>
      </c>
      <c r="L145">
        <f t="shared" si="8"/>
        <v>0</v>
      </c>
      <c r="M145">
        <f t="shared" si="7"/>
        <v>2.26666666666667</v>
      </c>
      <c r="N145" t="s">
        <v>685</v>
      </c>
      <c r="O145" s="108">
        <v>1</v>
      </c>
      <c r="P145">
        <v>1.2</v>
      </c>
      <c r="Q145" s="108">
        <v>0</v>
      </c>
      <c r="R145" s="108"/>
      <c r="S145">
        <v>0</v>
      </c>
      <c r="V145" s="108">
        <v>1</v>
      </c>
      <c r="W145">
        <v>0</v>
      </c>
      <c r="X145" s="7">
        <v>3</v>
      </c>
      <c r="Y145">
        <v>-0.1</v>
      </c>
      <c r="Z145" s="108">
        <v>0</v>
      </c>
      <c r="AA145" s="108"/>
      <c r="AB145" s="108"/>
      <c r="AC145" s="108"/>
      <c r="AD145" s="108">
        <v>0</v>
      </c>
      <c r="AF145">
        <f t="shared" si="9"/>
        <v>0</v>
      </c>
      <c r="AN145" s="10">
        <v>213</v>
      </c>
      <c r="AO145" t="s">
        <v>136</v>
      </c>
      <c r="AV145">
        <v>1</v>
      </c>
    </row>
    <row r="146" spans="1:43">
      <c r="A146">
        <v>140</v>
      </c>
      <c r="B146" t="s">
        <v>683</v>
      </c>
      <c r="C146" t="s">
        <v>686</v>
      </c>
      <c r="D146">
        <v>1</v>
      </c>
      <c r="E146">
        <v>0</v>
      </c>
      <c r="G146">
        <v>1</v>
      </c>
      <c r="H146" s="160">
        <v>1803</v>
      </c>
      <c r="I146">
        <v>2.33333333333333</v>
      </c>
      <c r="J146">
        <v>2.33333333333333</v>
      </c>
      <c r="L146">
        <f t="shared" si="8"/>
        <v>0</v>
      </c>
      <c r="M146">
        <f t="shared" si="7"/>
        <v>1.93333333333333</v>
      </c>
      <c r="N146" t="s">
        <v>687</v>
      </c>
      <c r="O146" s="108">
        <v>1</v>
      </c>
      <c r="P146">
        <v>1.2</v>
      </c>
      <c r="Q146" s="108">
        <v>0</v>
      </c>
      <c r="R146" s="108"/>
      <c r="S146">
        <v>0</v>
      </c>
      <c r="V146" s="108">
        <v>1</v>
      </c>
      <c r="W146">
        <v>0</v>
      </c>
      <c r="X146" s="7">
        <v>1</v>
      </c>
      <c r="Y146">
        <v>-0.1</v>
      </c>
      <c r="Z146" s="108">
        <v>0</v>
      </c>
      <c r="AA146" s="108"/>
      <c r="AB146" s="108"/>
      <c r="AC146" s="108"/>
      <c r="AD146" s="108">
        <v>0</v>
      </c>
      <c r="AF146">
        <f t="shared" si="9"/>
        <v>0</v>
      </c>
      <c r="AN146" s="10"/>
      <c r="AP146" s="10">
        <v>215</v>
      </c>
      <c r="AQ146" t="s">
        <v>136</v>
      </c>
    </row>
    <row r="147" spans="1:43">
      <c r="A147">
        <v>141</v>
      </c>
      <c r="B147" t="s">
        <v>683</v>
      </c>
      <c r="C147" t="s">
        <v>688</v>
      </c>
      <c r="D147">
        <v>1</v>
      </c>
      <c r="E147">
        <v>0</v>
      </c>
      <c r="G147">
        <v>1</v>
      </c>
      <c r="H147" s="159">
        <v>1802</v>
      </c>
      <c r="I147">
        <v>2.33333333333333</v>
      </c>
      <c r="J147">
        <v>2.33333333333333</v>
      </c>
      <c r="L147">
        <f t="shared" si="8"/>
        <v>0</v>
      </c>
      <c r="M147">
        <f t="shared" si="7"/>
        <v>1.93333333333333</v>
      </c>
      <c r="N147" t="s">
        <v>689</v>
      </c>
      <c r="O147" s="108">
        <v>1</v>
      </c>
      <c r="P147">
        <v>1.2</v>
      </c>
      <c r="Q147" s="108">
        <v>0</v>
      </c>
      <c r="R147" s="108"/>
      <c r="S147">
        <v>0</v>
      </c>
      <c r="V147" s="108">
        <v>1</v>
      </c>
      <c r="W147">
        <v>2</v>
      </c>
      <c r="X147" s="7">
        <v>1</v>
      </c>
      <c r="Y147">
        <v>-0.1</v>
      </c>
      <c r="Z147" s="108">
        <v>0</v>
      </c>
      <c r="AA147" s="108"/>
      <c r="AB147" s="108"/>
      <c r="AC147" s="108"/>
      <c r="AD147" s="108">
        <v>0</v>
      </c>
      <c r="AF147">
        <f t="shared" si="9"/>
        <v>0</v>
      </c>
      <c r="AN147" s="10">
        <v>672</v>
      </c>
      <c r="AO147" t="s">
        <v>690</v>
      </c>
      <c r="AP147" s="10">
        <v>214</v>
      </c>
      <c r="AQ147" t="s">
        <v>136</v>
      </c>
    </row>
    <row r="148" spans="1:48">
      <c r="A148">
        <v>142</v>
      </c>
      <c r="B148" t="s">
        <v>691</v>
      </c>
      <c r="C148" t="s">
        <v>692</v>
      </c>
      <c r="D148">
        <v>1</v>
      </c>
      <c r="E148">
        <v>0</v>
      </c>
      <c r="G148">
        <v>1</v>
      </c>
      <c r="H148" s="160">
        <v>1901</v>
      </c>
      <c r="I148">
        <v>1.2</v>
      </c>
      <c r="J148">
        <v>1.2</v>
      </c>
      <c r="L148">
        <f t="shared" si="8"/>
        <v>0</v>
      </c>
      <c r="M148">
        <f t="shared" si="7"/>
        <v>0.8</v>
      </c>
      <c r="N148" t="s">
        <v>693</v>
      </c>
      <c r="O148" s="108">
        <v>1</v>
      </c>
      <c r="P148">
        <v>1.5</v>
      </c>
      <c r="Q148" s="108">
        <v>0</v>
      </c>
      <c r="R148" s="108"/>
      <c r="S148">
        <v>0</v>
      </c>
      <c r="T148" s="108"/>
      <c r="V148">
        <v>1</v>
      </c>
      <c r="W148" s="108">
        <v>0</v>
      </c>
      <c r="X148" s="173">
        <v>2</v>
      </c>
      <c r="Y148">
        <v>-0.1</v>
      </c>
      <c r="Z148" s="108">
        <v>0</v>
      </c>
      <c r="AA148" s="108"/>
      <c r="AB148" s="108"/>
      <c r="AD148">
        <v>0</v>
      </c>
      <c r="AF148">
        <f t="shared" si="9"/>
        <v>0</v>
      </c>
      <c r="AL148" s="10"/>
      <c r="AN148" s="10">
        <v>216</v>
      </c>
      <c r="AO148" t="s">
        <v>136</v>
      </c>
      <c r="AV148">
        <v>1</v>
      </c>
    </row>
    <row r="149" spans="1:41">
      <c r="A149">
        <v>143</v>
      </c>
      <c r="B149" t="s">
        <v>691</v>
      </c>
      <c r="C149" t="s">
        <v>694</v>
      </c>
      <c r="D149">
        <v>1</v>
      </c>
      <c r="E149">
        <v>0</v>
      </c>
      <c r="G149">
        <v>1</v>
      </c>
      <c r="H149" s="159">
        <v>1902</v>
      </c>
      <c r="I149">
        <v>2</v>
      </c>
      <c r="J149">
        <v>2</v>
      </c>
      <c r="L149">
        <f t="shared" si="8"/>
        <v>0</v>
      </c>
      <c r="M149">
        <f t="shared" si="7"/>
        <v>1.6</v>
      </c>
      <c r="N149" t="s">
        <v>695</v>
      </c>
      <c r="O149" s="108">
        <v>1</v>
      </c>
      <c r="P149">
        <v>1.5</v>
      </c>
      <c r="Q149" s="108">
        <v>0</v>
      </c>
      <c r="R149" s="108"/>
      <c r="S149">
        <v>0</v>
      </c>
      <c r="T149" s="108"/>
      <c r="V149">
        <v>1</v>
      </c>
      <c r="W149" s="108">
        <v>0</v>
      </c>
      <c r="X149" s="173">
        <v>2</v>
      </c>
      <c r="Y149">
        <v>-0.1</v>
      </c>
      <c r="Z149" s="108">
        <v>0</v>
      </c>
      <c r="AA149" s="108"/>
      <c r="AB149" s="108"/>
      <c r="AD149">
        <v>0</v>
      </c>
      <c r="AF149">
        <f t="shared" si="9"/>
        <v>0</v>
      </c>
      <c r="AL149" s="10"/>
      <c r="AN149" s="10">
        <v>217</v>
      </c>
      <c r="AO149" t="s">
        <v>136</v>
      </c>
    </row>
    <row r="150" spans="1:41">
      <c r="A150">
        <v>144</v>
      </c>
      <c r="B150" t="s">
        <v>691</v>
      </c>
      <c r="C150" t="s">
        <v>696</v>
      </c>
      <c r="D150">
        <v>1</v>
      </c>
      <c r="E150">
        <v>0</v>
      </c>
      <c r="G150">
        <v>1</v>
      </c>
      <c r="H150" s="160">
        <v>1903</v>
      </c>
      <c r="I150">
        <v>4.833333333</v>
      </c>
      <c r="J150">
        <v>4.833333333</v>
      </c>
      <c r="L150">
        <v>1</v>
      </c>
      <c r="M150">
        <f t="shared" si="7"/>
        <v>4.433333333</v>
      </c>
      <c r="N150" t="s">
        <v>697</v>
      </c>
      <c r="O150" s="108">
        <v>1</v>
      </c>
      <c r="P150">
        <v>3</v>
      </c>
      <c r="Q150" s="108">
        <v>0</v>
      </c>
      <c r="R150" s="108"/>
      <c r="S150">
        <v>0</v>
      </c>
      <c r="T150" s="108"/>
      <c r="V150">
        <v>1</v>
      </c>
      <c r="W150" s="108">
        <v>0</v>
      </c>
      <c r="X150" s="173">
        <v>3</v>
      </c>
      <c r="Y150">
        <v>-0.1</v>
      </c>
      <c r="Z150" s="108">
        <v>0</v>
      </c>
      <c r="AA150" s="108"/>
      <c r="AB150" s="108">
        <v>4.2</v>
      </c>
      <c r="AC150">
        <v>2</v>
      </c>
      <c r="AD150">
        <v>1</v>
      </c>
      <c r="AE150" t="s">
        <v>698</v>
      </c>
      <c r="AF150">
        <f t="shared" si="9"/>
        <v>0.5</v>
      </c>
      <c r="AL150" s="10"/>
      <c r="AN150" s="10">
        <v>218</v>
      </c>
      <c r="AO150" t="s">
        <v>136</v>
      </c>
    </row>
    <row r="151" spans="1:41">
      <c r="A151">
        <v>145</v>
      </c>
      <c r="B151" t="s">
        <v>691</v>
      </c>
      <c r="C151" t="s">
        <v>699</v>
      </c>
      <c r="D151">
        <v>1</v>
      </c>
      <c r="E151">
        <v>0</v>
      </c>
      <c r="G151">
        <v>1</v>
      </c>
      <c r="H151" s="159">
        <v>1904</v>
      </c>
      <c r="I151">
        <v>7.833333333</v>
      </c>
      <c r="J151">
        <v>7.833333333</v>
      </c>
      <c r="K151">
        <v>0.5</v>
      </c>
      <c r="L151">
        <v>1</v>
      </c>
      <c r="M151">
        <f t="shared" si="7"/>
        <v>7.433333333</v>
      </c>
      <c r="N151" s="104" t="s">
        <v>700</v>
      </c>
      <c r="O151" s="108">
        <v>1</v>
      </c>
      <c r="P151">
        <v>1.5</v>
      </c>
      <c r="Q151" s="108">
        <v>0</v>
      </c>
      <c r="R151" s="108"/>
      <c r="S151">
        <v>0</v>
      </c>
      <c r="T151" s="108"/>
      <c r="V151">
        <v>1</v>
      </c>
      <c r="W151" s="108">
        <v>0</v>
      </c>
      <c r="X151" s="173">
        <v>10</v>
      </c>
      <c r="Y151">
        <v>-0.1</v>
      </c>
      <c r="Z151" s="108">
        <v>0</v>
      </c>
      <c r="AA151" s="108"/>
      <c r="AB151">
        <v>7.6</v>
      </c>
      <c r="AC151">
        <v>2</v>
      </c>
      <c r="AD151">
        <v>1</v>
      </c>
      <c r="AE151" t="s">
        <v>701</v>
      </c>
      <c r="AF151">
        <f t="shared" si="9"/>
        <v>0.5</v>
      </c>
      <c r="AL151" s="10"/>
      <c r="AN151" s="10">
        <v>219</v>
      </c>
      <c r="AO151" t="s">
        <v>136</v>
      </c>
    </row>
    <row r="152" spans="1:48">
      <c r="A152">
        <v>146</v>
      </c>
      <c r="B152" t="s">
        <v>702</v>
      </c>
      <c r="C152" t="s">
        <v>703</v>
      </c>
      <c r="D152">
        <v>1</v>
      </c>
      <c r="E152">
        <v>0</v>
      </c>
      <c r="G152">
        <v>1</v>
      </c>
      <c r="H152" s="160">
        <v>2001</v>
      </c>
      <c r="I152" s="15">
        <v>3.233333333</v>
      </c>
      <c r="J152" s="15">
        <v>3.233333333</v>
      </c>
      <c r="L152">
        <f t="shared" si="8"/>
        <v>0</v>
      </c>
      <c r="M152">
        <f t="shared" ref="M152:M215" si="10">I152-0.4</f>
        <v>2.833333333</v>
      </c>
      <c r="N152" t="s">
        <v>704</v>
      </c>
      <c r="O152" s="108">
        <v>1</v>
      </c>
      <c r="P152" s="15">
        <v>1.8</v>
      </c>
      <c r="Q152" s="108">
        <v>0</v>
      </c>
      <c r="R152" s="108"/>
      <c r="S152">
        <v>0</v>
      </c>
      <c r="V152" s="108">
        <v>1</v>
      </c>
      <c r="W152">
        <v>0</v>
      </c>
      <c r="X152" s="7">
        <v>3</v>
      </c>
      <c r="Y152">
        <v>-0.1</v>
      </c>
      <c r="Z152" s="108">
        <v>0</v>
      </c>
      <c r="AA152" s="108"/>
      <c r="AB152" s="108"/>
      <c r="AC152" s="108"/>
      <c r="AD152" s="108">
        <v>0</v>
      </c>
      <c r="AF152">
        <f t="shared" si="9"/>
        <v>0</v>
      </c>
      <c r="AN152" s="10">
        <v>209</v>
      </c>
      <c r="AO152" t="s">
        <v>136</v>
      </c>
      <c r="AV152">
        <v>1</v>
      </c>
    </row>
    <row r="153" spans="1:48">
      <c r="A153">
        <v>147</v>
      </c>
      <c r="B153" t="s">
        <v>702</v>
      </c>
      <c r="C153" s="161" t="s">
        <v>705</v>
      </c>
      <c r="D153">
        <v>1</v>
      </c>
      <c r="E153" s="162">
        <v>0</v>
      </c>
      <c r="F153" s="162"/>
      <c r="G153" s="162">
        <v>1</v>
      </c>
      <c r="H153" s="159">
        <v>2002</v>
      </c>
      <c r="I153" s="15">
        <v>6.66666666666667</v>
      </c>
      <c r="J153" s="15">
        <v>6.66666666666667</v>
      </c>
      <c r="L153">
        <v>1</v>
      </c>
      <c r="M153">
        <f t="shared" si="10"/>
        <v>6.26666666666667</v>
      </c>
      <c r="N153" t="s">
        <v>706</v>
      </c>
      <c r="O153" s="108">
        <v>1</v>
      </c>
      <c r="P153" s="15">
        <v>5</v>
      </c>
      <c r="Q153" s="108">
        <v>0</v>
      </c>
      <c r="R153" s="108"/>
      <c r="S153">
        <v>0</v>
      </c>
      <c r="V153" s="108">
        <v>1</v>
      </c>
      <c r="W153">
        <v>0</v>
      </c>
      <c r="X153" s="7">
        <v>1</v>
      </c>
      <c r="Y153">
        <v>-0.1</v>
      </c>
      <c r="Z153" s="108">
        <v>0</v>
      </c>
      <c r="AA153" s="108"/>
      <c r="AB153" s="108">
        <v>6.3</v>
      </c>
      <c r="AC153" s="108">
        <v>2</v>
      </c>
      <c r="AD153" s="108">
        <v>1</v>
      </c>
      <c r="AE153" t="s">
        <v>707</v>
      </c>
      <c r="AF153">
        <f t="shared" si="9"/>
        <v>0.5</v>
      </c>
      <c r="AN153" s="10">
        <v>210</v>
      </c>
      <c r="AO153" t="s">
        <v>136</v>
      </c>
      <c r="AV153" s="162"/>
    </row>
    <row r="154" spans="1:48">
      <c r="A154">
        <v>148</v>
      </c>
      <c r="B154" t="s">
        <v>702</v>
      </c>
      <c r="C154" s="161" t="s">
        <v>708</v>
      </c>
      <c r="D154">
        <v>1</v>
      </c>
      <c r="E154" s="162">
        <v>0</v>
      </c>
      <c r="F154" s="162"/>
      <c r="G154" s="162">
        <v>1</v>
      </c>
      <c r="H154" s="160">
        <v>2003</v>
      </c>
      <c r="I154">
        <v>3.06666666666667</v>
      </c>
      <c r="J154">
        <v>3.06666666666667</v>
      </c>
      <c r="L154">
        <f t="shared" si="8"/>
        <v>1</v>
      </c>
      <c r="M154">
        <f t="shared" si="10"/>
        <v>2.66666666666667</v>
      </c>
      <c r="N154" s="104" t="s">
        <v>709</v>
      </c>
      <c r="O154" s="108">
        <v>1</v>
      </c>
      <c r="P154" s="15">
        <v>1.8</v>
      </c>
      <c r="Q154" s="108">
        <v>0</v>
      </c>
      <c r="R154" s="108"/>
      <c r="S154">
        <v>-1</v>
      </c>
      <c r="U154">
        <v>1.5</v>
      </c>
      <c r="V154" s="108">
        <v>1</v>
      </c>
      <c r="W154">
        <v>3</v>
      </c>
      <c r="X154" s="7">
        <v>6</v>
      </c>
      <c r="Y154">
        <v>-0.1</v>
      </c>
      <c r="Z154" s="108">
        <v>0</v>
      </c>
      <c r="AA154" s="108"/>
      <c r="AB154" s="108"/>
      <c r="AC154" s="108"/>
      <c r="AD154" s="108">
        <v>0</v>
      </c>
      <c r="AF154">
        <f t="shared" si="9"/>
        <v>0</v>
      </c>
      <c r="AN154" s="10">
        <v>211</v>
      </c>
      <c r="AO154" t="s">
        <v>136</v>
      </c>
      <c r="AV154" s="162"/>
    </row>
    <row r="155" spans="1:41">
      <c r="A155">
        <v>149</v>
      </c>
      <c r="B155" t="s">
        <v>702</v>
      </c>
      <c r="C155" t="s">
        <v>710</v>
      </c>
      <c r="D155">
        <v>1</v>
      </c>
      <c r="E155">
        <v>0</v>
      </c>
      <c r="G155">
        <v>1</v>
      </c>
      <c r="H155" s="159">
        <v>2004</v>
      </c>
      <c r="I155" s="15">
        <v>5.333333333</v>
      </c>
      <c r="J155" s="15">
        <v>5.333333333</v>
      </c>
      <c r="L155">
        <v>1</v>
      </c>
      <c r="M155">
        <f t="shared" si="10"/>
        <v>4.933333333</v>
      </c>
      <c r="N155" s="104" t="s">
        <v>711</v>
      </c>
      <c r="O155" s="108">
        <v>1</v>
      </c>
      <c r="P155" s="15">
        <v>13.2</v>
      </c>
      <c r="Q155" s="108">
        <v>0</v>
      </c>
      <c r="R155" s="108"/>
      <c r="S155">
        <v>0</v>
      </c>
      <c r="V155" s="108">
        <v>1</v>
      </c>
      <c r="W155">
        <v>6</v>
      </c>
      <c r="X155" s="7">
        <v>1</v>
      </c>
      <c r="Y155">
        <v>-0.1</v>
      </c>
      <c r="Z155" s="108">
        <v>0</v>
      </c>
      <c r="AA155" s="108"/>
      <c r="AB155" s="108">
        <v>5</v>
      </c>
      <c r="AC155" s="108">
        <v>2</v>
      </c>
      <c r="AD155" s="108">
        <v>1</v>
      </c>
      <c r="AE155" t="s">
        <v>712</v>
      </c>
      <c r="AF155">
        <f t="shared" si="9"/>
        <v>0.5</v>
      </c>
      <c r="AN155" s="10">
        <v>212</v>
      </c>
      <c r="AO155" t="s">
        <v>136</v>
      </c>
    </row>
    <row r="156" spans="1:48">
      <c r="A156">
        <v>150</v>
      </c>
      <c r="B156" t="s">
        <v>713</v>
      </c>
      <c r="C156" s="161" t="s">
        <v>714</v>
      </c>
      <c r="D156">
        <v>1</v>
      </c>
      <c r="E156" s="162">
        <v>0</v>
      </c>
      <c r="F156" s="162"/>
      <c r="G156" s="162"/>
      <c r="H156" s="160">
        <v>100501</v>
      </c>
      <c r="I156">
        <v>1.8</v>
      </c>
      <c r="J156">
        <v>1.8</v>
      </c>
      <c r="L156">
        <f t="shared" si="8"/>
        <v>1</v>
      </c>
      <c r="M156">
        <f t="shared" si="10"/>
        <v>1.4</v>
      </c>
      <c r="N156" t="s">
        <v>715</v>
      </c>
      <c r="O156" s="108">
        <v>1</v>
      </c>
      <c r="P156">
        <v>2.4</v>
      </c>
      <c r="Q156" s="108">
        <v>0</v>
      </c>
      <c r="R156" s="108"/>
      <c r="S156">
        <v>0</v>
      </c>
      <c r="V156" s="108">
        <v>0</v>
      </c>
      <c r="W156">
        <v>0</v>
      </c>
      <c r="X156" s="7">
        <v>12</v>
      </c>
      <c r="Y156">
        <v>-0.1</v>
      </c>
      <c r="Z156" s="108">
        <v>0</v>
      </c>
      <c r="AA156" s="108"/>
      <c r="AB156" s="108"/>
      <c r="AC156" s="108"/>
      <c r="AD156" s="108">
        <v>0</v>
      </c>
      <c r="AF156">
        <f t="shared" si="9"/>
        <v>0</v>
      </c>
      <c r="AN156" s="8">
        <v>868</v>
      </c>
      <c r="AO156" t="s">
        <v>136</v>
      </c>
      <c r="AV156" s="162">
        <v>1</v>
      </c>
    </row>
    <row r="157" spans="1:48">
      <c r="A157">
        <v>151</v>
      </c>
      <c r="B157" t="s">
        <v>716</v>
      </c>
      <c r="C157" s="161" t="s">
        <v>717</v>
      </c>
      <c r="D157">
        <v>1</v>
      </c>
      <c r="E157" s="162">
        <v>0</v>
      </c>
      <c r="F157" s="162"/>
      <c r="G157" s="162"/>
      <c r="H157" s="159">
        <v>100601</v>
      </c>
      <c r="I157">
        <v>1.86666666666667</v>
      </c>
      <c r="J157">
        <v>1.86666666666667</v>
      </c>
      <c r="L157">
        <f t="shared" si="8"/>
        <v>0</v>
      </c>
      <c r="M157">
        <f t="shared" si="10"/>
        <v>1.46666666666667</v>
      </c>
      <c r="N157" t="s">
        <v>718</v>
      </c>
      <c r="O157" s="108">
        <v>1</v>
      </c>
      <c r="P157">
        <v>1.2</v>
      </c>
      <c r="Q157" s="108">
        <v>0</v>
      </c>
      <c r="R157" s="108"/>
      <c r="S157">
        <v>0</v>
      </c>
      <c r="V157" s="108">
        <v>0</v>
      </c>
      <c r="W157">
        <v>0</v>
      </c>
      <c r="X157" s="7">
        <v>4</v>
      </c>
      <c r="Y157">
        <v>-0.1</v>
      </c>
      <c r="Z157" s="108">
        <v>0</v>
      </c>
      <c r="AA157" s="108"/>
      <c r="AB157" s="108"/>
      <c r="AC157" s="108"/>
      <c r="AD157" s="108">
        <v>0</v>
      </c>
      <c r="AF157">
        <f t="shared" si="9"/>
        <v>0</v>
      </c>
      <c r="AN157" s="8">
        <v>228</v>
      </c>
      <c r="AO157" t="s">
        <v>136</v>
      </c>
      <c r="AV157" s="162">
        <v>1</v>
      </c>
    </row>
    <row r="158" spans="1:48">
      <c r="A158">
        <v>152</v>
      </c>
      <c r="B158" t="s">
        <v>716</v>
      </c>
      <c r="C158" s="163" t="s">
        <v>719</v>
      </c>
      <c r="D158">
        <v>1</v>
      </c>
      <c r="E158" s="164">
        <v>0</v>
      </c>
      <c r="F158" s="164"/>
      <c r="G158" s="164"/>
      <c r="H158" s="160">
        <v>100602</v>
      </c>
      <c r="I158">
        <v>1.66666666666667</v>
      </c>
      <c r="J158">
        <v>1.66666666666667</v>
      </c>
      <c r="L158">
        <f t="shared" si="8"/>
        <v>0</v>
      </c>
      <c r="M158">
        <f t="shared" si="10"/>
        <v>1.26666666666667</v>
      </c>
      <c r="N158" t="s">
        <v>720</v>
      </c>
      <c r="O158" s="108">
        <v>1</v>
      </c>
      <c r="P158">
        <v>1.2</v>
      </c>
      <c r="Q158" s="108">
        <v>0</v>
      </c>
      <c r="R158" s="108"/>
      <c r="S158">
        <v>0</v>
      </c>
      <c r="V158" s="108">
        <v>0</v>
      </c>
      <c r="W158">
        <v>0</v>
      </c>
      <c r="X158" s="7">
        <v>1</v>
      </c>
      <c r="Y158">
        <v>0.4</v>
      </c>
      <c r="Z158" s="108">
        <v>0</v>
      </c>
      <c r="AA158" s="108"/>
      <c r="AB158" s="108"/>
      <c r="AC158" s="108"/>
      <c r="AD158" s="108">
        <v>0</v>
      </c>
      <c r="AF158">
        <f t="shared" si="9"/>
        <v>0</v>
      </c>
      <c r="AV158" s="164"/>
    </row>
    <row r="159" s="4" customFormat="1" spans="1:48">
      <c r="A159" s="4">
        <v>153</v>
      </c>
      <c r="B159" s="4" t="s">
        <v>721</v>
      </c>
      <c r="C159" s="4" t="s">
        <v>722</v>
      </c>
      <c r="D159" s="4">
        <v>1</v>
      </c>
      <c r="E159" s="4">
        <v>0</v>
      </c>
      <c r="G159" s="4">
        <v>1</v>
      </c>
      <c r="H159" s="165">
        <v>2105</v>
      </c>
      <c r="I159" s="4">
        <v>0.8</v>
      </c>
      <c r="J159" s="4">
        <v>0.8</v>
      </c>
      <c r="L159" s="4">
        <f t="shared" si="8"/>
        <v>0</v>
      </c>
      <c r="M159" s="4">
        <f t="shared" si="10"/>
        <v>0.4</v>
      </c>
      <c r="N159" s="4" t="s">
        <v>723</v>
      </c>
      <c r="O159" s="146">
        <v>1</v>
      </c>
      <c r="P159" s="4">
        <v>3.3</v>
      </c>
      <c r="Q159" s="146">
        <v>0</v>
      </c>
      <c r="R159" s="146"/>
      <c r="S159" s="4">
        <v>0</v>
      </c>
      <c r="V159" s="146">
        <v>1</v>
      </c>
      <c r="W159" s="4">
        <v>0</v>
      </c>
      <c r="X159" s="150">
        <v>2</v>
      </c>
      <c r="Y159" s="4">
        <v>-0.1</v>
      </c>
      <c r="Z159" s="146">
        <v>0</v>
      </c>
      <c r="AA159" s="146"/>
      <c r="AB159" s="146"/>
      <c r="AC159" s="146"/>
      <c r="AD159" s="146">
        <v>0</v>
      </c>
      <c r="AF159" s="4">
        <f t="shared" si="9"/>
        <v>0</v>
      </c>
      <c r="AN159" s="4">
        <v>326</v>
      </c>
      <c r="AO159" s="4" t="s">
        <v>136</v>
      </c>
      <c r="AV159" s="4">
        <v>1</v>
      </c>
    </row>
    <row r="160" s="4" customFormat="1" spans="1:41">
      <c r="A160" s="4">
        <v>154</v>
      </c>
      <c r="B160" s="4" t="s">
        <v>721</v>
      </c>
      <c r="C160" s="4" t="s">
        <v>724</v>
      </c>
      <c r="D160" s="4">
        <v>1</v>
      </c>
      <c r="E160" s="4">
        <v>0</v>
      </c>
      <c r="G160" s="4">
        <v>1</v>
      </c>
      <c r="H160" s="166">
        <v>2101</v>
      </c>
      <c r="I160" s="4">
        <v>3.333333333</v>
      </c>
      <c r="J160" s="4">
        <v>3.333333333</v>
      </c>
      <c r="L160" s="4">
        <f t="shared" si="8"/>
        <v>1</v>
      </c>
      <c r="M160" s="4">
        <f t="shared" si="10"/>
        <v>2.933333333</v>
      </c>
      <c r="N160" s="4" t="s">
        <v>725</v>
      </c>
      <c r="O160" s="146">
        <v>1</v>
      </c>
      <c r="P160" s="4">
        <v>3.3</v>
      </c>
      <c r="Q160" s="146">
        <v>0</v>
      </c>
      <c r="R160" s="146"/>
      <c r="S160" s="4">
        <v>0.5</v>
      </c>
      <c r="V160" s="146">
        <v>1</v>
      </c>
      <c r="W160" s="4">
        <v>0</v>
      </c>
      <c r="X160" s="150">
        <v>12</v>
      </c>
      <c r="Y160" s="4">
        <v>-0.1</v>
      </c>
      <c r="Z160" s="146">
        <v>0</v>
      </c>
      <c r="AA160" s="146"/>
      <c r="AB160" s="146"/>
      <c r="AC160" s="146"/>
      <c r="AD160" s="146">
        <v>0</v>
      </c>
      <c r="AF160" s="4">
        <f t="shared" si="9"/>
        <v>0</v>
      </c>
      <c r="AN160" s="175">
        <v>323</v>
      </c>
      <c r="AO160" s="4" t="s">
        <v>136</v>
      </c>
    </row>
    <row r="161" s="4" customFormat="1" spans="1:43">
      <c r="A161" s="4">
        <v>155</v>
      </c>
      <c r="B161" s="4" t="s">
        <v>721</v>
      </c>
      <c r="C161" s="4" t="s">
        <v>726</v>
      </c>
      <c r="D161" s="4">
        <v>1</v>
      </c>
      <c r="E161" s="4">
        <v>0</v>
      </c>
      <c r="G161" s="4">
        <v>1</v>
      </c>
      <c r="H161" s="166">
        <v>2103</v>
      </c>
      <c r="I161" s="4">
        <v>4</v>
      </c>
      <c r="J161" s="4">
        <v>4</v>
      </c>
      <c r="L161" s="4">
        <f t="shared" si="8"/>
        <v>0</v>
      </c>
      <c r="M161" s="4">
        <f t="shared" si="10"/>
        <v>3.6</v>
      </c>
      <c r="N161" s="104" t="s">
        <v>727</v>
      </c>
      <c r="O161" s="146">
        <v>1</v>
      </c>
      <c r="P161" s="4">
        <v>3.3</v>
      </c>
      <c r="Q161" s="146">
        <v>0</v>
      </c>
      <c r="R161" s="146"/>
      <c r="S161" s="4">
        <v>0.5</v>
      </c>
      <c r="U161" s="4">
        <v>1.5</v>
      </c>
      <c r="V161" s="146">
        <v>1</v>
      </c>
      <c r="W161" s="4">
        <v>1</v>
      </c>
      <c r="X161" s="150">
        <v>1</v>
      </c>
      <c r="Y161" s="4">
        <v>-0.1</v>
      </c>
      <c r="Z161" s="146">
        <v>0</v>
      </c>
      <c r="AA161" s="146"/>
      <c r="AB161" s="146"/>
      <c r="AC161" s="146"/>
      <c r="AD161" s="146">
        <v>0</v>
      </c>
      <c r="AF161" s="4">
        <f t="shared" si="9"/>
        <v>0</v>
      </c>
      <c r="AP161" s="175">
        <v>324</v>
      </c>
      <c r="AQ161" s="4" t="s">
        <v>136</v>
      </c>
    </row>
    <row r="162" s="4" customFormat="1" spans="1:43">
      <c r="A162" s="4">
        <v>156</v>
      </c>
      <c r="B162" s="4" t="s">
        <v>721</v>
      </c>
      <c r="C162" s="4" t="s">
        <v>728</v>
      </c>
      <c r="D162" s="4">
        <v>1</v>
      </c>
      <c r="E162" s="4">
        <v>0</v>
      </c>
      <c r="G162" s="4">
        <v>1</v>
      </c>
      <c r="H162" s="165">
        <v>2104</v>
      </c>
      <c r="I162" s="4">
        <v>3.166666667</v>
      </c>
      <c r="J162" s="4">
        <v>3.166666667</v>
      </c>
      <c r="L162" s="4">
        <v>1</v>
      </c>
      <c r="M162" s="4">
        <f t="shared" si="10"/>
        <v>2.766666667</v>
      </c>
      <c r="N162" s="105" t="s">
        <v>729</v>
      </c>
      <c r="O162" s="146">
        <v>1</v>
      </c>
      <c r="P162" s="4">
        <v>8</v>
      </c>
      <c r="Q162" s="146">
        <v>2</v>
      </c>
      <c r="R162" s="146"/>
      <c r="S162" s="4">
        <v>0</v>
      </c>
      <c r="V162" s="146">
        <v>1</v>
      </c>
      <c r="W162" s="4">
        <v>6</v>
      </c>
      <c r="X162" s="150">
        <v>1</v>
      </c>
      <c r="Y162" s="4">
        <v>-0.1</v>
      </c>
      <c r="Z162" s="146">
        <v>0</v>
      </c>
      <c r="AA162" s="146"/>
      <c r="AB162" s="146"/>
      <c r="AC162" s="146"/>
      <c r="AD162" s="146">
        <v>1</v>
      </c>
      <c r="AE162" s="4" t="s">
        <v>730</v>
      </c>
      <c r="AF162" s="4">
        <f t="shared" si="9"/>
        <v>0.5</v>
      </c>
      <c r="AN162" s="4">
        <v>347</v>
      </c>
      <c r="AO162" s="4" t="s">
        <v>731</v>
      </c>
      <c r="AP162" s="175">
        <v>325</v>
      </c>
      <c r="AQ162" s="4" t="s">
        <v>136</v>
      </c>
    </row>
    <row r="163" spans="1:48">
      <c r="A163">
        <v>157</v>
      </c>
      <c r="C163" t="s">
        <v>732</v>
      </c>
      <c r="D163">
        <v>1</v>
      </c>
      <c r="E163">
        <v>0</v>
      </c>
      <c r="H163" s="159">
        <v>100701</v>
      </c>
      <c r="I163">
        <v>1.16666666666667</v>
      </c>
      <c r="J163">
        <v>1.16666666666667</v>
      </c>
      <c r="L163">
        <f t="shared" si="8"/>
        <v>0</v>
      </c>
      <c r="M163">
        <f t="shared" si="10"/>
        <v>0.76666666666667</v>
      </c>
      <c r="N163" t="s">
        <v>733</v>
      </c>
      <c r="O163" s="108">
        <v>1</v>
      </c>
      <c r="P163">
        <v>2</v>
      </c>
      <c r="Q163" s="108">
        <v>0</v>
      </c>
      <c r="R163" s="108"/>
      <c r="S163">
        <v>0</v>
      </c>
      <c r="V163" s="108">
        <v>0</v>
      </c>
      <c r="W163">
        <v>0</v>
      </c>
      <c r="X163" s="7">
        <v>1</v>
      </c>
      <c r="Y163">
        <v>-0.1</v>
      </c>
      <c r="Z163" s="108">
        <v>0</v>
      </c>
      <c r="AA163" s="108"/>
      <c r="AB163" s="108"/>
      <c r="AC163" s="108"/>
      <c r="AD163" s="108">
        <v>0</v>
      </c>
      <c r="AF163">
        <f t="shared" si="9"/>
        <v>0</v>
      </c>
      <c r="AV163">
        <v>1</v>
      </c>
    </row>
    <row r="164" s="4" customFormat="1" spans="1:48">
      <c r="A164" s="4">
        <v>158</v>
      </c>
      <c r="B164" s="4" t="s">
        <v>734</v>
      </c>
      <c r="C164" s="4" t="s">
        <v>735</v>
      </c>
      <c r="D164" s="4">
        <v>1</v>
      </c>
      <c r="E164" s="4">
        <v>0</v>
      </c>
      <c r="G164" s="4">
        <v>1</v>
      </c>
      <c r="H164" s="165">
        <v>2201</v>
      </c>
      <c r="I164" s="4">
        <v>1.833333333</v>
      </c>
      <c r="J164" s="4">
        <v>1.733333333</v>
      </c>
      <c r="L164" s="4">
        <f t="shared" si="8"/>
        <v>0</v>
      </c>
      <c r="M164" s="4">
        <f t="shared" si="10"/>
        <v>1.433333333</v>
      </c>
      <c r="N164" s="4" t="s">
        <v>736</v>
      </c>
      <c r="O164" s="146">
        <v>1</v>
      </c>
      <c r="P164" s="4">
        <v>1.4</v>
      </c>
      <c r="Q164" s="146">
        <v>0</v>
      </c>
      <c r="R164" s="146"/>
      <c r="S164" s="4">
        <v>0</v>
      </c>
      <c r="V164" s="146">
        <v>1</v>
      </c>
      <c r="W164" s="4">
        <v>0</v>
      </c>
      <c r="X164" s="150">
        <v>2</v>
      </c>
      <c r="Y164" s="4">
        <v>-0.1</v>
      </c>
      <c r="Z164" s="146">
        <v>0</v>
      </c>
      <c r="AA164" s="146"/>
      <c r="AB164" s="146"/>
      <c r="AC164" s="146"/>
      <c r="AD164" s="146">
        <v>0</v>
      </c>
      <c r="AF164" s="4">
        <f t="shared" si="9"/>
        <v>0</v>
      </c>
      <c r="AN164" s="156" t="s">
        <v>737</v>
      </c>
      <c r="AO164" s="178" t="s">
        <v>738</v>
      </c>
      <c r="AP164" s="156"/>
      <c r="AQ164" s="178"/>
      <c r="AV164" s="4">
        <v>1</v>
      </c>
    </row>
    <row r="165" s="4" customFormat="1" spans="1:43">
      <c r="A165" s="4">
        <v>159</v>
      </c>
      <c r="B165" s="4" t="s">
        <v>734</v>
      </c>
      <c r="C165" s="4" t="s">
        <v>739</v>
      </c>
      <c r="D165" s="4">
        <v>1</v>
      </c>
      <c r="E165" s="4">
        <v>0</v>
      </c>
      <c r="G165" s="4">
        <v>1</v>
      </c>
      <c r="H165" s="166">
        <v>2202</v>
      </c>
      <c r="I165" s="4">
        <v>2.333333333</v>
      </c>
      <c r="J165" s="4">
        <v>2.233333333</v>
      </c>
      <c r="L165" s="4">
        <f t="shared" si="8"/>
        <v>1</v>
      </c>
      <c r="M165" s="4">
        <f t="shared" si="10"/>
        <v>1.933333333</v>
      </c>
      <c r="N165" s="4" t="s">
        <v>740</v>
      </c>
      <c r="O165" s="146">
        <v>1</v>
      </c>
      <c r="P165" s="4">
        <v>1.4</v>
      </c>
      <c r="Q165" s="146">
        <v>0</v>
      </c>
      <c r="R165" s="146"/>
      <c r="S165" s="4">
        <v>0</v>
      </c>
      <c r="V165" s="146">
        <v>1</v>
      </c>
      <c r="W165" s="4">
        <v>0</v>
      </c>
      <c r="X165" s="150">
        <v>6</v>
      </c>
      <c r="Y165" s="4">
        <v>-0.1</v>
      </c>
      <c r="Z165" s="146">
        <v>0</v>
      </c>
      <c r="AA165" s="146"/>
      <c r="AB165" s="146"/>
      <c r="AC165" s="146"/>
      <c r="AD165" s="146">
        <v>0</v>
      </c>
      <c r="AF165" s="4">
        <f t="shared" si="9"/>
        <v>0</v>
      </c>
      <c r="AN165" s="156" t="s">
        <v>741</v>
      </c>
      <c r="AO165" s="178" t="s">
        <v>738</v>
      </c>
      <c r="AP165" s="156"/>
      <c r="AQ165" s="178"/>
    </row>
    <row r="166" s="4" customFormat="1" spans="1:43">
      <c r="A166" s="4">
        <v>160</v>
      </c>
      <c r="B166" s="4" t="s">
        <v>734</v>
      </c>
      <c r="C166" s="4" t="s">
        <v>742</v>
      </c>
      <c r="D166" s="4">
        <v>1</v>
      </c>
      <c r="E166" s="4">
        <v>0</v>
      </c>
      <c r="G166" s="4">
        <v>1</v>
      </c>
      <c r="H166" s="165">
        <v>2203</v>
      </c>
      <c r="I166" s="4">
        <v>2.9</v>
      </c>
      <c r="J166" s="4">
        <v>2.9</v>
      </c>
      <c r="L166" s="4">
        <v>0</v>
      </c>
      <c r="M166" s="4">
        <v>2.5</v>
      </c>
      <c r="N166" s="4" t="s">
        <v>743</v>
      </c>
      <c r="O166" s="146">
        <v>1</v>
      </c>
      <c r="P166" s="4">
        <v>1.4</v>
      </c>
      <c r="Q166" s="146">
        <v>0</v>
      </c>
      <c r="R166" s="146"/>
      <c r="S166" s="4">
        <v>0</v>
      </c>
      <c r="V166" s="146">
        <v>1</v>
      </c>
      <c r="W166" s="4">
        <v>0</v>
      </c>
      <c r="X166" s="150">
        <v>2</v>
      </c>
      <c r="Y166" s="4">
        <v>-0.1</v>
      </c>
      <c r="Z166" s="146">
        <v>0</v>
      </c>
      <c r="AA166" s="146"/>
      <c r="AB166" s="146"/>
      <c r="AC166" s="146"/>
      <c r="AD166" s="146">
        <v>0</v>
      </c>
      <c r="AF166" s="4">
        <v>0</v>
      </c>
      <c r="AN166" s="156">
        <v>345</v>
      </c>
      <c r="AO166" s="178" t="s">
        <v>136</v>
      </c>
      <c r="AP166" s="156"/>
      <c r="AQ166" s="178"/>
    </row>
    <row r="167" spans="1:48">
      <c r="A167">
        <v>161</v>
      </c>
      <c r="B167" t="s">
        <v>744</v>
      </c>
      <c r="C167" t="s">
        <v>745</v>
      </c>
      <c r="D167">
        <v>1</v>
      </c>
      <c r="E167">
        <v>0</v>
      </c>
      <c r="G167">
        <v>1</v>
      </c>
      <c r="H167" s="159">
        <v>3000301</v>
      </c>
      <c r="I167">
        <v>2.63333333333333</v>
      </c>
      <c r="J167">
        <v>1.83333333333333</v>
      </c>
      <c r="L167">
        <f t="shared" si="8"/>
        <v>0</v>
      </c>
      <c r="M167">
        <f t="shared" si="10"/>
        <v>2.23333333333333</v>
      </c>
      <c r="N167" t="s">
        <v>746</v>
      </c>
      <c r="O167" s="108">
        <v>1</v>
      </c>
      <c r="P167">
        <v>1.3</v>
      </c>
      <c r="Q167" s="108">
        <v>0</v>
      </c>
      <c r="R167" s="108"/>
      <c r="S167">
        <v>0</v>
      </c>
      <c r="V167" s="108">
        <v>1</v>
      </c>
      <c r="W167">
        <v>0</v>
      </c>
      <c r="X167" s="7">
        <v>3</v>
      </c>
      <c r="Y167">
        <v>-0.1</v>
      </c>
      <c r="Z167" s="108">
        <v>0</v>
      </c>
      <c r="AA167" s="108"/>
      <c r="AB167" s="108"/>
      <c r="AC167" s="108"/>
      <c r="AD167" s="108">
        <v>0</v>
      </c>
      <c r="AF167">
        <f t="shared" si="9"/>
        <v>0</v>
      </c>
      <c r="AO167" s="177"/>
      <c r="AP167">
        <v>864</v>
      </c>
      <c r="AQ167" t="s">
        <v>136</v>
      </c>
      <c r="AV167">
        <v>1</v>
      </c>
    </row>
    <row r="168" spans="1:48">
      <c r="A168">
        <v>162</v>
      </c>
      <c r="B168" s="47" t="s">
        <v>747</v>
      </c>
      <c r="C168" s="47" t="s">
        <v>748</v>
      </c>
      <c r="D168" s="47">
        <v>1</v>
      </c>
      <c r="E168" s="47">
        <v>0</v>
      </c>
      <c r="F168" s="47"/>
      <c r="G168" s="47">
        <v>1</v>
      </c>
      <c r="H168" s="167">
        <v>2301</v>
      </c>
      <c r="I168" s="47">
        <v>1</v>
      </c>
      <c r="J168" s="47">
        <v>1</v>
      </c>
      <c r="K168" s="47"/>
      <c r="L168" s="47">
        <f t="shared" si="8"/>
        <v>0</v>
      </c>
      <c r="M168" s="47">
        <f t="shared" si="10"/>
        <v>0.6</v>
      </c>
      <c r="N168" s="47" t="s">
        <v>749</v>
      </c>
      <c r="O168" s="108">
        <v>1</v>
      </c>
      <c r="P168">
        <v>1.4</v>
      </c>
      <c r="Q168" s="108">
        <v>0</v>
      </c>
      <c r="R168" s="108"/>
      <c r="S168">
        <v>0</v>
      </c>
      <c r="V168" s="108">
        <v>1</v>
      </c>
      <c r="W168">
        <v>0</v>
      </c>
      <c r="X168" s="7">
        <v>1</v>
      </c>
      <c r="Y168">
        <v>-0.1</v>
      </c>
      <c r="Z168" s="108">
        <v>0</v>
      </c>
      <c r="AA168" s="108"/>
      <c r="AB168" s="108"/>
      <c r="AC168" s="108"/>
      <c r="AD168" s="108">
        <v>0</v>
      </c>
      <c r="AF168">
        <f t="shared" si="9"/>
        <v>0</v>
      </c>
      <c r="AN168" s="10">
        <v>243</v>
      </c>
      <c r="AO168" t="s">
        <v>136</v>
      </c>
      <c r="AV168">
        <v>1</v>
      </c>
    </row>
    <row r="169" spans="1:41">
      <c r="A169">
        <v>163</v>
      </c>
      <c r="B169" s="47" t="s">
        <v>747</v>
      </c>
      <c r="C169" s="47" t="s">
        <v>750</v>
      </c>
      <c r="D169" s="47">
        <v>3</v>
      </c>
      <c r="E169" s="47">
        <v>1</v>
      </c>
      <c r="F169" s="47"/>
      <c r="G169" s="47">
        <v>1</v>
      </c>
      <c r="H169" s="167">
        <v>2302</v>
      </c>
      <c r="I169" s="47">
        <v>1.93333333333333</v>
      </c>
      <c r="J169" s="47">
        <v>1.93333333333333</v>
      </c>
      <c r="K169" s="47"/>
      <c r="L169" s="47">
        <f t="shared" si="8"/>
        <v>0</v>
      </c>
      <c r="M169" s="47">
        <f t="shared" si="10"/>
        <v>1.53333333333333</v>
      </c>
      <c r="N169" s="47" t="s">
        <v>751</v>
      </c>
      <c r="O169" s="108">
        <v>5</v>
      </c>
      <c r="P169">
        <v>0</v>
      </c>
      <c r="Q169" s="108">
        <v>0</v>
      </c>
      <c r="R169" s="108"/>
      <c r="S169">
        <v>1</v>
      </c>
      <c r="T169">
        <v>0</v>
      </c>
      <c r="U169">
        <v>0</v>
      </c>
      <c r="V169" s="108">
        <v>1000</v>
      </c>
      <c r="W169">
        <v>0</v>
      </c>
      <c r="X169" s="7">
        <v>0</v>
      </c>
      <c r="Y169">
        <v>-0.1</v>
      </c>
      <c r="Z169" s="108">
        <v>0</v>
      </c>
      <c r="AA169" s="108"/>
      <c r="AB169" s="108"/>
      <c r="AC169" s="108"/>
      <c r="AD169" s="108">
        <v>0</v>
      </c>
      <c r="AF169">
        <f t="shared" si="9"/>
        <v>0</v>
      </c>
      <c r="AN169" s="10">
        <v>244</v>
      </c>
      <c r="AO169" t="s">
        <v>136</v>
      </c>
    </row>
    <row r="170" spans="1:41">
      <c r="A170">
        <v>164</v>
      </c>
      <c r="B170" s="47" t="s">
        <v>747</v>
      </c>
      <c r="C170" s="47" t="s">
        <v>752</v>
      </c>
      <c r="D170" s="47">
        <v>1</v>
      </c>
      <c r="E170" s="47">
        <v>0</v>
      </c>
      <c r="F170" s="47"/>
      <c r="G170" s="47">
        <v>1</v>
      </c>
      <c r="H170" s="167">
        <v>2303</v>
      </c>
      <c r="I170" s="47">
        <v>1.34</v>
      </c>
      <c r="J170" s="47">
        <v>1.34</v>
      </c>
      <c r="K170" s="47"/>
      <c r="L170" s="47">
        <f t="shared" si="8"/>
        <v>1</v>
      </c>
      <c r="M170" s="47">
        <f t="shared" si="10"/>
        <v>0.94</v>
      </c>
      <c r="N170" s="48" t="s">
        <v>753</v>
      </c>
      <c r="O170" s="108">
        <v>1</v>
      </c>
      <c r="P170">
        <v>1.4</v>
      </c>
      <c r="Q170" s="108">
        <v>0</v>
      </c>
      <c r="R170" s="108"/>
      <c r="S170">
        <v>0</v>
      </c>
      <c r="V170" s="108">
        <v>1</v>
      </c>
      <c r="W170">
        <v>0</v>
      </c>
      <c r="X170" s="7">
        <v>5</v>
      </c>
      <c r="Y170">
        <v>-0.1</v>
      </c>
      <c r="Z170" s="108">
        <v>0</v>
      </c>
      <c r="AA170" s="108"/>
      <c r="AB170" s="108"/>
      <c r="AC170" s="108"/>
      <c r="AD170" s="108">
        <v>0</v>
      </c>
      <c r="AF170">
        <f t="shared" si="9"/>
        <v>0</v>
      </c>
      <c r="AN170" s="10">
        <v>245</v>
      </c>
      <c r="AO170" t="s">
        <v>136</v>
      </c>
    </row>
    <row r="171" spans="1:48">
      <c r="A171">
        <v>165</v>
      </c>
      <c r="B171" t="s">
        <v>754</v>
      </c>
      <c r="C171" s="82" t="s">
        <v>755</v>
      </c>
      <c r="D171">
        <v>1</v>
      </c>
      <c r="E171" s="82">
        <v>0</v>
      </c>
      <c r="F171" s="82"/>
      <c r="G171" s="82">
        <v>1</v>
      </c>
      <c r="H171" s="159">
        <v>2401</v>
      </c>
      <c r="I171">
        <v>1.4</v>
      </c>
      <c r="J171">
        <v>1.4</v>
      </c>
      <c r="K171" s="8"/>
      <c r="L171">
        <f t="shared" si="8"/>
        <v>0</v>
      </c>
      <c r="M171">
        <f t="shared" si="10"/>
        <v>1</v>
      </c>
      <c r="N171" t="s">
        <v>756</v>
      </c>
      <c r="O171" s="108">
        <v>1</v>
      </c>
      <c r="P171">
        <v>1.2</v>
      </c>
      <c r="Q171" s="108">
        <v>0</v>
      </c>
      <c r="R171" s="108"/>
      <c r="S171">
        <v>0</v>
      </c>
      <c r="V171" s="108">
        <v>1</v>
      </c>
      <c r="W171">
        <v>0</v>
      </c>
      <c r="X171" s="7">
        <v>2</v>
      </c>
      <c r="Y171">
        <v>-0.1</v>
      </c>
      <c r="Z171" s="108">
        <v>0</v>
      </c>
      <c r="AA171" s="108"/>
      <c r="AB171" s="108"/>
      <c r="AC171" s="108"/>
      <c r="AD171" s="108">
        <v>0</v>
      </c>
      <c r="AF171">
        <f t="shared" si="9"/>
        <v>0</v>
      </c>
      <c r="AN171" s="10">
        <v>225</v>
      </c>
      <c r="AO171" t="s">
        <v>136</v>
      </c>
      <c r="AV171" s="82">
        <v>1</v>
      </c>
    </row>
    <row r="172" spans="1:48">
      <c r="A172">
        <v>166</v>
      </c>
      <c r="B172" t="s">
        <v>754</v>
      </c>
      <c r="C172" s="82" t="s">
        <v>757</v>
      </c>
      <c r="D172">
        <v>1</v>
      </c>
      <c r="E172" s="82">
        <v>0</v>
      </c>
      <c r="F172" s="82"/>
      <c r="G172" s="82">
        <v>1</v>
      </c>
      <c r="H172" s="159">
        <v>2402</v>
      </c>
      <c r="I172">
        <v>1.33333333333333</v>
      </c>
      <c r="J172">
        <v>1.33333333333333</v>
      </c>
      <c r="K172" s="8"/>
      <c r="L172">
        <f t="shared" si="8"/>
        <v>0</v>
      </c>
      <c r="M172">
        <f t="shared" si="10"/>
        <v>0.93333333333333</v>
      </c>
      <c r="N172" s="104" t="s">
        <v>758</v>
      </c>
      <c r="O172" s="108">
        <v>1</v>
      </c>
      <c r="P172">
        <v>1.2</v>
      </c>
      <c r="Q172" s="108">
        <v>0</v>
      </c>
      <c r="R172" s="108"/>
      <c r="S172">
        <v>0</v>
      </c>
      <c r="V172" s="108">
        <v>1</v>
      </c>
      <c r="W172">
        <v>0</v>
      </c>
      <c r="X172" s="7">
        <v>4</v>
      </c>
      <c r="Y172">
        <v>-0.1</v>
      </c>
      <c r="Z172" s="108">
        <v>0</v>
      </c>
      <c r="AA172" s="108"/>
      <c r="AB172" s="108"/>
      <c r="AC172" s="108"/>
      <c r="AD172" s="108">
        <v>0</v>
      </c>
      <c r="AF172">
        <f t="shared" si="9"/>
        <v>0</v>
      </c>
      <c r="AN172" s="10">
        <v>226</v>
      </c>
      <c r="AO172" t="s">
        <v>136</v>
      </c>
      <c r="AV172" s="82"/>
    </row>
    <row r="173" spans="1:48">
      <c r="A173">
        <v>167</v>
      </c>
      <c r="B173" t="s">
        <v>754</v>
      </c>
      <c r="C173" s="82" t="s">
        <v>759</v>
      </c>
      <c r="D173">
        <v>1</v>
      </c>
      <c r="E173" s="82">
        <v>0</v>
      </c>
      <c r="F173" s="82"/>
      <c r="G173" s="82">
        <v>1</v>
      </c>
      <c r="H173" s="159">
        <v>2403</v>
      </c>
      <c r="I173">
        <v>1.4</v>
      </c>
      <c r="J173">
        <v>1.4</v>
      </c>
      <c r="K173" s="8"/>
      <c r="L173">
        <f t="shared" si="8"/>
        <v>0</v>
      </c>
      <c r="M173">
        <f t="shared" si="10"/>
        <v>1</v>
      </c>
      <c r="N173" s="104" t="s">
        <v>760</v>
      </c>
      <c r="O173" s="108">
        <v>1</v>
      </c>
      <c r="P173">
        <v>1.2</v>
      </c>
      <c r="Q173" s="108">
        <v>0</v>
      </c>
      <c r="R173" s="108">
        <v>1</v>
      </c>
      <c r="S173">
        <v>0</v>
      </c>
      <c r="V173" s="108">
        <v>1</v>
      </c>
      <c r="W173">
        <v>0</v>
      </c>
      <c r="X173" s="7">
        <v>1</v>
      </c>
      <c r="Y173">
        <v>-0.1</v>
      </c>
      <c r="Z173" s="108">
        <v>0</v>
      </c>
      <c r="AA173" s="108"/>
      <c r="AB173" s="108"/>
      <c r="AC173" s="108"/>
      <c r="AD173" s="108">
        <v>0</v>
      </c>
      <c r="AF173">
        <f t="shared" si="9"/>
        <v>0</v>
      </c>
      <c r="AP173" s="10">
        <v>227</v>
      </c>
      <c r="AQ173" t="s">
        <v>136</v>
      </c>
      <c r="AV173" s="82"/>
    </row>
    <row r="174" spans="1:48">
      <c r="A174">
        <v>168</v>
      </c>
      <c r="B174" t="s">
        <v>761</v>
      </c>
      <c r="C174" s="82" t="s">
        <v>526</v>
      </c>
      <c r="D174">
        <v>1</v>
      </c>
      <c r="E174" s="82">
        <v>0</v>
      </c>
      <c r="F174" s="82"/>
      <c r="G174" s="82">
        <v>1</v>
      </c>
      <c r="H174" s="168" t="s">
        <v>762</v>
      </c>
      <c r="I174">
        <v>1</v>
      </c>
      <c r="J174">
        <v>1</v>
      </c>
      <c r="L174">
        <f t="shared" si="8"/>
        <v>0</v>
      </c>
      <c r="M174">
        <f t="shared" si="10"/>
        <v>0.6</v>
      </c>
      <c r="N174" t="s">
        <v>763</v>
      </c>
      <c r="O174" s="108">
        <v>1</v>
      </c>
      <c r="P174">
        <v>1.5</v>
      </c>
      <c r="Q174" s="108">
        <v>0</v>
      </c>
      <c r="R174" s="108"/>
      <c r="S174">
        <v>0</v>
      </c>
      <c r="V174" s="108">
        <v>1</v>
      </c>
      <c r="W174">
        <v>0</v>
      </c>
      <c r="X174" s="7">
        <v>2</v>
      </c>
      <c r="Y174">
        <v>-0.1</v>
      </c>
      <c r="Z174" s="108">
        <v>0</v>
      </c>
      <c r="AA174" s="108"/>
      <c r="AB174" s="108"/>
      <c r="AC174" s="108"/>
      <c r="AD174" s="108">
        <v>0</v>
      </c>
      <c r="AF174">
        <f t="shared" si="9"/>
        <v>0</v>
      </c>
      <c r="AN174" s="8">
        <v>248</v>
      </c>
      <c r="AO174" t="s">
        <v>136</v>
      </c>
      <c r="AV174" s="82">
        <v>1</v>
      </c>
    </row>
    <row r="175" spans="1:48">
      <c r="A175">
        <v>169</v>
      </c>
      <c r="B175" t="s">
        <v>764</v>
      </c>
      <c r="C175" s="82" t="s">
        <v>526</v>
      </c>
      <c r="D175">
        <v>1</v>
      </c>
      <c r="E175" s="82">
        <v>0</v>
      </c>
      <c r="F175" s="82"/>
      <c r="G175" s="82">
        <v>1</v>
      </c>
      <c r="H175" s="168" t="s">
        <v>765</v>
      </c>
      <c r="I175">
        <v>1.06666666666667</v>
      </c>
      <c r="J175">
        <v>1.06666666666667</v>
      </c>
      <c r="K175" s="8"/>
      <c r="L175">
        <f t="shared" si="8"/>
        <v>0</v>
      </c>
      <c r="M175">
        <f t="shared" si="10"/>
        <v>0.66666666666667</v>
      </c>
      <c r="N175" t="s">
        <v>766</v>
      </c>
      <c r="O175" s="108">
        <v>1</v>
      </c>
      <c r="P175">
        <v>1.7</v>
      </c>
      <c r="Q175" s="108">
        <v>0</v>
      </c>
      <c r="R175" s="108"/>
      <c r="S175">
        <v>0</v>
      </c>
      <c r="V175" s="108">
        <v>1</v>
      </c>
      <c r="W175">
        <v>0</v>
      </c>
      <c r="X175" s="7">
        <v>1</v>
      </c>
      <c r="Y175">
        <v>-0.1</v>
      </c>
      <c r="Z175" s="108">
        <v>0</v>
      </c>
      <c r="AA175" s="108"/>
      <c r="AB175" s="108"/>
      <c r="AC175" s="108"/>
      <c r="AD175" s="108">
        <v>0</v>
      </c>
      <c r="AF175">
        <f t="shared" si="9"/>
        <v>0</v>
      </c>
      <c r="AP175" s="8">
        <v>249</v>
      </c>
      <c r="AQ175" t="s">
        <v>136</v>
      </c>
      <c r="AV175" s="82">
        <v>1</v>
      </c>
    </row>
    <row r="176" s="25" customFormat="1" spans="1:48">
      <c r="A176" s="25">
        <v>170</v>
      </c>
      <c r="B176" s="25" t="s">
        <v>767</v>
      </c>
      <c r="C176" s="169" t="s">
        <v>526</v>
      </c>
      <c r="D176" s="25">
        <v>1</v>
      </c>
      <c r="E176" s="25">
        <v>0</v>
      </c>
      <c r="G176" s="25">
        <v>1</v>
      </c>
      <c r="H176" s="170">
        <v>101301</v>
      </c>
      <c r="I176" s="25">
        <v>1.5</v>
      </c>
      <c r="J176" s="171">
        <v>1.5</v>
      </c>
      <c r="L176" s="25">
        <f t="shared" si="8"/>
        <v>0</v>
      </c>
      <c r="M176" s="25">
        <f t="shared" si="10"/>
        <v>1.1</v>
      </c>
      <c r="N176" s="25" t="s">
        <v>768</v>
      </c>
      <c r="O176" s="25">
        <v>1</v>
      </c>
      <c r="P176" s="25">
        <v>1</v>
      </c>
      <c r="Q176" s="25">
        <v>0</v>
      </c>
      <c r="S176" s="25">
        <v>0</v>
      </c>
      <c r="V176" s="25">
        <v>1</v>
      </c>
      <c r="W176" s="25">
        <v>0</v>
      </c>
      <c r="X176" s="174">
        <v>4</v>
      </c>
      <c r="Y176" s="25">
        <v>-0.1</v>
      </c>
      <c r="Z176" s="25">
        <v>0</v>
      </c>
      <c r="AF176" s="25">
        <f t="shared" si="9"/>
        <v>0</v>
      </c>
      <c r="AN176" s="176">
        <v>250</v>
      </c>
      <c r="AO176" s="25" t="s">
        <v>136</v>
      </c>
      <c r="AV176" s="25">
        <v>1</v>
      </c>
    </row>
    <row r="177" spans="1:48">
      <c r="A177">
        <v>171</v>
      </c>
      <c r="B177" t="s">
        <v>769</v>
      </c>
      <c r="C177" s="82" t="s">
        <v>526</v>
      </c>
      <c r="D177">
        <v>1</v>
      </c>
      <c r="E177" s="82">
        <v>0</v>
      </c>
      <c r="F177" s="82"/>
      <c r="G177" s="82">
        <v>2</v>
      </c>
      <c r="H177" s="168" t="s">
        <v>770</v>
      </c>
      <c r="I177">
        <v>1.6</v>
      </c>
      <c r="J177">
        <v>1.6</v>
      </c>
      <c r="L177">
        <f t="shared" si="8"/>
        <v>0</v>
      </c>
      <c r="M177">
        <f t="shared" si="10"/>
        <v>1.2</v>
      </c>
      <c r="N177" t="s">
        <v>771</v>
      </c>
      <c r="O177" s="108">
        <v>1</v>
      </c>
      <c r="P177">
        <v>5</v>
      </c>
      <c r="Q177" s="108">
        <v>0</v>
      </c>
      <c r="R177" s="108"/>
      <c r="S177">
        <v>0</v>
      </c>
      <c r="V177" s="108">
        <v>1</v>
      </c>
      <c r="W177">
        <v>0</v>
      </c>
      <c r="X177" s="7">
        <v>1</v>
      </c>
      <c r="Y177">
        <v>-0.1</v>
      </c>
      <c r="Z177" s="108">
        <v>0</v>
      </c>
      <c r="AA177" s="108"/>
      <c r="AB177" s="108"/>
      <c r="AC177" s="108"/>
      <c r="AD177" s="108">
        <v>0</v>
      </c>
      <c r="AF177">
        <f t="shared" si="9"/>
        <v>0</v>
      </c>
      <c r="AN177" s="8">
        <v>247</v>
      </c>
      <c r="AO177" t="s">
        <v>136</v>
      </c>
      <c r="AV177" s="82">
        <v>1</v>
      </c>
    </row>
    <row r="178" spans="1:48">
      <c r="A178">
        <v>172</v>
      </c>
      <c r="B178" t="s">
        <v>772</v>
      </c>
      <c r="C178" s="82" t="s">
        <v>773</v>
      </c>
      <c r="D178">
        <v>1</v>
      </c>
      <c r="E178" s="82">
        <v>0</v>
      </c>
      <c r="F178" s="82"/>
      <c r="G178" s="82">
        <v>2</v>
      </c>
      <c r="H178" s="82">
        <v>2501</v>
      </c>
      <c r="I178">
        <v>1.93333333333333</v>
      </c>
      <c r="J178">
        <v>1.93333333333333</v>
      </c>
      <c r="L178">
        <f t="shared" si="8"/>
        <v>0</v>
      </c>
      <c r="M178">
        <f t="shared" si="10"/>
        <v>1.53333333333333</v>
      </c>
      <c r="N178" t="s">
        <v>774</v>
      </c>
      <c r="O178" s="108">
        <v>2</v>
      </c>
      <c r="P178" s="108">
        <v>-2</v>
      </c>
      <c r="Q178" s="108">
        <v>0</v>
      </c>
      <c r="R178" s="108"/>
      <c r="S178">
        <v>0</v>
      </c>
      <c r="V178" s="108">
        <v>2</v>
      </c>
      <c r="W178">
        <v>0</v>
      </c>
      <c r="X178" s="7">
        <v>3</v>
      </c>
      <c r="Y178">
        <v>0.8</v>
      </c>
      <c r="Z178" s="108">
        <v>0</v>
      </c>
      <c r="AA178" s="108"/>
      <c r="AB178" s="108"/>
      <c r="AC178" s="108"/>
      <c r="AD178" s="108">
        <v>0</v>
      </c>
      <c r="AF178">
        <f t="shared" si="9"/>
        <v>0</v>
      </c>
      <c r="AV178" s="82">
        <v>1</v>
      </c>
    </row>
    <row r="179" spans="1:48">
      <c r="A179">
        <v>173</v>
      </c>
      <c r="B179" t="s">
        <v>772</v>
      </c>
      <c r="C179" s="82" t="s">
        <v>775</v>
      </c>
      <c r="D179">
        <v>4</v>
      </c>
      <c r="E179" s="82">
        <v>0</v>
      </c>
      <c r="F179" s="82"/>
      <c r="G179" s="82">
        <v>2</v>
      </c>
      <c r="H179" s="82">
        <v>2502</v>
      </c>
      <c r="I179">
        <v>1.06666666666667</v>
      </c>
      <c r="J179">
        <v>1.06666666666667</v>
      </c>
      <c r="L179">
        <f t="shared" si="8"/>
        <v>0</v>
      </c>
      <c r="M179">
        <f t="shared" si="10"/>
        <v>0.66666666666667</v>
      </c>
      <c r="N179" t="s">
        <v>776</v>
      </c>
      <c r="O179" s="108">
        <v>2</v>
      </c>
      <c r="P179" s="108">
        <v>-2</v>
      </c>
      <c r="Q179" s="108">
        <v>0</v>
      </c>
      <c r="R179" s="108"/>
      <c r="S179">
        <v>0</v>
      </c>
      <c r="V179" s="108">
        <v>2</v>
      </c>
      <c r="W179">
        <v>0</v>
      </c>
      <c r="X179" s="7">
        <v>1</v>
      </c>
      <c r="Y179">
        <v>0.4</v>
      </c>
      <c r="Z179" s="108">
        <v>0</v>
      </c>
      <c r="AA179" s="108"/>
      <c r="AB179" s="108"/>
      <c r="AC179" s="108"/>
      <c r="AD179" s="108">
        <v>0</v>
      </c>
      <c r="AF179">
        <f t="shared" si="9"/>
        <v>0</v>
      </c>
      <c r="AV179" s="82"/>
    </row>
    <row r="180" spans="1:48">
      <c r="A180">
        <v>174</v>
      </c>
      <c r="B180" t="s">
        <v>772</v>
      </c>
      <c r="C180" s="82" t="s">
        <v>777</v>
      </c>
      <c r="D180">
        <v>1</v>
      </c>
      <c r="E180" s="82">
        <v>0</v>
      </c>
      <c r="F180" s="82"/>
      <c r="G180" s="82">
        <v>2</v>
      </c>
      <c r="H180" s="82">
        <v>2503</v>
      </c>
      <c r="I180">
        <v>3.16666666666667</v>
      </c>
      <c r="J180">
        <v>3.16666666666667</v>
      </c>
      <c r="K180">
        <v>0.3</v>
      </c>
      <c r="L180">
        <v>1</v>
      </c>
      <c r="M180">
        <f t="shared" si="10"/>
        <v>2.76666666666667</v>
      </c>
      <c r="N180" t="s">
        <v>778</v>
      </c>
      <c r="O180" s="108">
        <v>1</v>
      </c>
      <c r="P180" s="108">
        <v>9.3</v>
      </c>
      <c r="Q180" s="108">
        <v>0</v>
      </c>
      <c r="R180" s="108"/>
      <c r="S180">
        <v>0</v>
      </c>
      <c r="V180" s="108">
        <v>2</v>
      </c>
      <c r="W180">
        <v>5</v>
      </c>
      <c r="X180" s="7">
        <v>2</v>
      </c>
      <c r="Y180">
        <v>-0.1</v>
      </c>
      <c r="Z180" s="108">
        <v>0</v>
      </c>
      <c r="AA180" s="108"/>
      <c r="AB180" s="108"/>
      <c r="AC180" s="108"/>
      <c r="AD180" s="108">
        <v>1</v>
      </c>
      <c r="AE180" t="s">
        <v>779</v>
      </c>
      <c r="AF180">
        <f t="shared" si="9"/>
        <v>0.5</v>
      </c>
      <c r="AP180" s="10">
        <v>252</v>
      </c>
      <c r="AQ180" t="s">
        <v>136</v>
      </c>
      <c r="AV180" s="82"/>
    </row>
    <row r="181" spans="1:48">
      <c r="A181">
        <v>175</v>
      </c>
      <c r="B181" t="s">
        <v>772</v>
      </c>
      <c r="C181" s="82" t="s">
        <v>780</v>
      </c>
      <c r="D181">
        <v>1</v>
      </c>
      <c r="E181" s="82">
        <v>0</v>
      </c>
      <c r="F181" s="82"/>
      <c r="G181" s="82">
        <v>2</v>
      </c>
      <c r="H181" s="82">
        <v>2504</v>
      </c>
      <c r="I181">
        <v>5</v>
      </c>
      <c r="J181">
        <v>2.5</v>
      </c>
      <c r="L181">
        <v>1</v>
      </c>
      <c r="M181">
        <f t="shared" si="10"/>
        <v>4.6</v>
      </c>
      <c r="N181" t="s">
        <v>781</v>
      </c>
      <c r="O181" s="108">
        <v>2</v>
      </c>
      <c r="P181" s="108">
        <v>-2</v>
      </c>
      <c r="Q181" s="108">
        <v>0</v>
      </c>
      <c r="R181" s="108"/>
      <c r="S181">
        <v>1</v>
      </c>
      <c r="U181">
        <v>1</v>
      </c>
      <c r="V181" s="108">
        <v>2</v>
      </c>
      <c r="W181">
        <v>19</v>
      </c>
      <c r="X181" s="7">
        <v>1</v>
      </c>
      <c r="Y181">
        <v>0.4</v>
      </c>
      <c r="Z181" s="108">
        <v>0</v>
      </c>
      <c r="AA181" s="108"/>
      <c r="AB181" s="108"/>
      <c r="AC181" s="108"/>
      <c r="AD181" s="108">
        <v>0</v>
      </c>
      <c r="AF181">
        <f t="shared" si="9"/>
        <v>0</v>
      </c>
      <c r="AN181" s="10"/>
      <c r="AP181" s="10">
        <v>253</v>
      </c>
      <c r="AQ181" t="s">
        <v>136</v>
      </c>
      <c r="AV181" s="82"/>
    </row>
    <row r="182" spans="1:48">
      <c r="A182">
        <v>176</v>
      </c>
      <c r="B182" t="s">
        <v>772</v>
      </c>
      <c r="C182" s="82" t="s">
        <v>782</v>
      </c>
      <c r="D182">
        <v>4</v>
      </c>
      <c r="E182" s="82">
        <v>0</v>
      </c>
      <c r="F182" s="82"/>
      <c r="G182" s="82">
        <v>2</v>
      </c>
      <c r="H182" s="82">
        <v>2505</v>
      </c>
      <c r="I182">
        <v>5.66666666666667</v>
      </c>
      <c r="J182">
        <v>5.66666666666667</v>
      </c>
      <c r="L182">
        <v>1</v>
      </c>
      <c r="M182">
        <f t="shared" si="10"/>
        <v>5.26666666666667</v>
      </c>
      <c r="N182" t="s">
        <v>783</v>
      </c>
      <c r="O182" s="108">
        <v>2</v>
      </c>
      <c r="P182" s="108">
        <v>2</v>
      </c>
      <c r="Q182" s="108">
        <v>0</v>
      </c>
      <c r="R182" s="108"/>
      <c r="S182">
        <v>0</v>
      </c>
      <c r="V182" s="108">
        <v>2</v>
      </c>
      <c r="W182">
        <v>19</v>
      </c>
      <c r="X182" s="7">
        <v>1</v>
      </c>
      <c r="Y182">
        <v>-0.1</v>
      </c>
      <c r="Z182" s="108">
        <v>0</v>
      </c>
      <c r="AA182" s="108"/>
      <c r="AB182" s="108"/>
      <c r="AC182" s="108"/>
      <c r="AD182" s="108">
        <v>1</v>
      </c>
      <c r="AE182" s="15" t="s">
        <v>784</v>
      </c>
      <c r="AF182">
        <f t="shared" si="9"/>
        <v>0.5</v>
      </c>
      <c r="AP182" s="8">
        <v>254</v>
      </c>
      <c r="AQ182" t="s">
        <v>136</v>
      </c>
      <c r="AV182" s="82"/>
    </row>
    <row r="183" spans="1:48">
      <c r="A183">
        <v>177</v>
      </c>
      <c r="B183" t="s">
        <v>772</v>
      </c>
      <c r="C183" s="82" t="s">
        <v>785</v>
      </c>
      <c r="D183">
        <v>4</v>
      </c>
      <c r="E183" s="82">
        <v>0</v>
      </c>
      <c r="F183" s="82"/>
      <c r="G183" s="82">
        <v>2</v>
      </c>
      <c r="H183" s="82">
        <v>2506</v>
      </c>
      <c r="I183">
        <f>36/30</f>
        <v>1.2</v>
      </c>
      <c r="J183">
        <f>36/30</f>
        <v>1.2</v>
      </c>
      <c r="L183">
        <f t="shared" si="8"/>
        <v>0</v>
      </c>
      <c r="M183">
        <f t="shared" si="10"/>
        <v>0.8</v>
      </c>
      <c r="N183" t="s">
        <v>786</v>
      </c>
      <c r="O183" s="108">
        <v>2</v>
      </c>
      <c r="P183" s="108">
        <v>-2</v>
      </c>
      <c r="Q183" s="108">
        <v>0</v>
      </c>
      <c r="R183" s="108"/>
      <c r="S183">
        <v>-2.5</v>
      </c>
      <c r="U183">
        <v>0.8</v>
      </c>
      <c r="V183" s="108">
        <v>2</v>
      </c>
      <c r="W183">
        <v>19</v>
      </c>
      <c r="X183" s="7">
        <v>1</v>
      </c>
      <c r="Y183">
        <v>-0.1</v>
      </c>
      <c r="Z183" s="108">
        <v>0</v>
      </c>
      <c r="AA183" s="108"/>
      <c r="AB183" s="108"/>
      <c r="AC183" s="108"/>
      <c r="AD183" s="108">
        <v>0</v>
      </c>
      <c r="AF183">
        <f t="shared" si="9"/>
        <v>0</v>
      </c>
      <c r="AP183">
        <v>279</v>
      </c>
      <c r="AQ183" t="s">
        <v>136</v>
      </c>
      <c r="AV183" s="82"/>
    </row>
    <row r="184" spans="1:48">
      <c r="A184">
        <v>178</v>
      </c>
      <c r="B184" t="s">
        <v>772</v>
      </c>
      <c r="C184" s="82" t="s">
        <v>787</v>
      </c>
      <c r="D184">
        <v>4</v>
      </c>
      <c r="E184" s="82">
        <v>0</v>
      </c>
      <c r="F184" s="82"/>
      <c r="G184" s="82">
        <v>2</v>
      </c>
      <c r="H184" s="82">
        <v>2507</v>
      </c>
      <c r="I184">
        <v>3.33333333333333</v>
      </c>
      <c r="J184">
        <v>3.33333333333333</v>
      </c>
      <c r="K184">
        <v>0.5</v>
      </c>
      <c r="L184">
        <v>1</v>
      </c>
      <c r="M184">
        <f t="shared" si="10"/>
        <v>2.93333333333333</v>
      </c>
      <c r="N184" t="s">
        <v>788</v>
      </c>
      <c r="O184" s="108">
        <v>1</v>
      </c>
      <c r="P184" s="108">
        <v>5</v>
      </c>
      <c r="Q184" s="108">
        <v>0</v>
      </c>
      <c r="R184" s="108"/>
      <c r="S184">
        <v>0</v>
      </c>
      <c r="V184" s="108">
        <v>2</v>
      </c>
      <c r="W184">
        <v>0</v>
      </c>
      <c r="X184" s="7">
        <v>1</v>
      </c>
      <c r="Y184">
        <v>-0.1</v>
      </c>
      <c r="Z184" s="108">
        <v>0</v>
      </c>
      <c r="AA184" s="108"/>
      <c r="AB184" s="108"/>
      <c r="AC184" s="108"/>
      <c r="AD184" s="108">
        <v>1</v>
      </c>
      <c r="AE184" s="15" t="s">
        <v>789</v>
      </c>
      <c r="AF184">
        <f t="shared" si="9"/>
        <v>0.5</v>
      </c>
      <c r="AP184" s="8">
        <v>255</v>
      </c>
      <c r="AQ184" t="s">
        <v>136</v>
      </c>
      <c r="AV184" s="82"/>
    </row>
    <row r="185" spans="1:48">
      <c r="A185">
        <v>179</v>
      </c>
      <c r="B185" t="s">
        <v>772</v>
      </c>
      <c r="C185" s="82" t="s">
        <v>790</v>
      </c>
      <c r="D185">
        <v>1</v>
      </c>
      <c r="E185" s="82">
        <v>0</v>
      </c>
      <c r="F185" s="82"/>
      <c r="G185" s="82">
        <v>2</v>
      </c>
      <c r="H185" s="82">
        <v>2508</v>
      </c>
      <c r="I185">
        <v>12.9333333333333</v>
      </c>
      <c r="J185">
        <v>12.9333333333333</v>
      </c>
      <c r="K185">
        <v>0.5</v>
      </c>
      <c r="L185">
        <v>1</v>
      </c>
      <c r="M185">
        <f t="shared" si="10"/>
        <v>12.5333333333333</v>
      </c>
      <c r="N185" t="s">
        <v>791</v>
      </c>
      <c r="O185" s="108">
        <v>3</v>
      </c>
      <c r="P185" s="108">
        <v>-6</v>
      </c>
      <c r="Q185" s="108">
        <v>2</v>
      </c>
      <c r="R185" s="108"/>
      <c r="S185">
        <v>0</v>
      </c>
      <c r="V185" s="108">
        <v>2</v>
      </c>
      <c r="W185">
        <v>6</v>
      </c>
      <c r="X185" s="7">
        <v>2</v>
      </c>
      <c r="Y185">
        <v>-0.1</v>
      </c>
      <c r="Z185" s="108">
        <v>0</v>
      </c>
      <c r="AA185" s="108"/>
      <c r="AB185" s="108">
        <v>12.2</v>
      </c>
      <c r="AC185" s="108">
        <v>1</v>
      </c>
      <c r="AD185" s="108">
        <v>1</v>
      </c>
      <c r="AE185" s="15" t="s">
        <v>792</v>
      </c>
      <c r="AF185">
        <f t="shared" si="9"/>
        <v>0.5</v>
      </c>
      <c r="AP185" s="8">
        <v>256</v>
      </c>
      <c r="AQ185" t="s">
        <v>136</v>
      </c>
      <c r="AV185" s="82"/>
    </row>
    <row r="186" spans="1:48">
      <c r="A186">
        <v>180</v>
      </c>
      <c r="B186" t="s">
        <v>793</v>
      </c>
      <c r="C186" s="82" t="s">
        <v>526</v>
      </c>
      <c r="D186">
        <v>1</v>
      </c>
      <c r="E186" s="82">
        <v>0</v>
      </c>
      <c r="F186" s="82"/>
      <c r="G186" s="82">
        <v>1</v>
      </c>
      <c r="H186" s="82">
        <v>2601</v>
      </c>
      <c r="I186">
        <v>1.43333333333333</v>
      </c>
      <c r="J186">
        <v>1.43333333333333</v>
      </c>
      <c r="L186">
        <f t="shared" si="8"/>
        <v>0</v>
      </c>
      <c r="M186">
        <f t="shared" si="10"/>
        <v>1.03333333333333</v>
      </c>
      <c r="N186" t="s">
        <v>794</v>
      </c>
      <c r="O186" s="108">
        <v>1</v>
      </c>
      <c r="P186" s="108">
        <v>2.1</v>
      </c>
      <c r="Q186" s="108">
        <v>0</v>
      </c>
      <c r="R186" s="108"/>
      <c r="S186">
        <v>0</v>
      </c>
      <c r="V186" s="108">
        <v>6</v>
      </c>
      <c r="W186">
        <v>0</v>
      </c>
      <c r="X186" s="7">
        <v>2</v>
      </c>
      <c r="Y186">
        <v>-0.1</v>
      </c>
      <c r="Z186" s="108">
        <v>0</v>
      </c>
      <c r="AA186" s="108"/>
      <c r="AB186" s="108"/>
      <c r="AC186" s="108"/>
      <c r="AD186" s="108">
        <v>0</v>
      </c>
      <c r="AF186">
        <f t="shared" si="9"/>
        <v>0</v>
      </c>
      <c r="AN186" s="10">
        <v>261</v>
      </c>
      <c r="AO186" t="s">
        <v>136</v>
      </c>
      <c r="AV186" s="82">
        <v>1</v>
      </c>
    </row>
    <row r="187" spans="1:48">
      <c r="A187">
        <v>181</v>
      </c>
      <c r="B187" t="s">
        <v>793</v>
      </c>
      <c r="C187" s="82" t="s">
        <v>795</v>
      </c>
      <c r="D187">
        <v>1</v>
      </c>
      <c r="E187" s="82">
        <v>0</v>
      </c>
      <c r="F187" s="82"/>
      <c r="G187" s="82">
        <v>1</v>
      </c>
      <c r="H187" s="82">
        <v>2602</v>
      </c>
      <c r="I187">
        <v>1.73333333333333</v>
      </c>
      <c r="J187">
        <v>1.73333333333333</v>
      </c>
      <c r="K187" s="82"/>
      <c r="L187">
        <f t="shared" si="8"/>
        <v>1</v>
      </c>
      <c r="M187">
        <f t="shared" si="10"/>
        <v>1.33333333333333</v>
      </c>
      <c r="N187" t="s">
        <v>796</v>
      </c>
      <c r="O187" s="108">
        <v>1</v>
      </c>
      <c r="P187" s="108">
        <v>2.1</v>
      </c>
      <c r="Q187" s="108">
        <v>0</v>
      </c>
      <c r="R187" s="108"/>
      <c r="S187">
        <v>0</v>
      </c>
      <c r="V187" s="108">
        <v>6</v>
      </c>
      <c r="W187">
        <v>0</v>
      </c>
      <c r="X187" s="7">
        <v>8</v>
      </c>
      <c r="Y187">
        <v>-0.1</v>
      </c>
      <c r="Z187" s="108">
        <v>0</v>
      </c>
      <c r="AA187" s="108"/>
      <c r="AD187" s="108">
        <v>0</v>
      </c>
      <c r="AF187">
        <f t="shared" si="9"/>
        <v>0</v>
      </c>
      <c r="AN187" s="10">
        <v>262</v>
      </c>
      <c r="AO187" t="s">
        <v>136</v>
      </c>
      <c r="AV187" s="82"/>
    </row>
    <row r="188" spans="1:48">
      <c r="A188">
        <v>182</v>
      </c>
      <c r="B188" t="s">
        <v>793</v>
      </c>
      <c r="C188" s="82" t="s">
        <v>447</v>
      </c>
      <c r="D188">
        <v>1</v>
      </c>
      <c r="E188" s="82">
        <v>0</v>
      </c>
      <c r="F188" s="82"/>
      <c r="G188" s="82">
        <v>1</v>
      </c>
      <c r="H188" s="82">
        <v>2603</v>
      </c>
      <c r="I188">
        <v>7.33333333333333</v>
      </c>
      <c r="J188">
        <v>7.33333333333333</v>
      </c>
      <c r="K188">
        <v>0.3</v>
      </c>
      <c r="L188">
        <v>1</v>
      </c>
      <c r="M188">
        <f t="shared" si="10"/>
        <v>6.93333333333333</v>
      </c>
      <c r="N188" t="s">
        <v>797</v>
      </c>
      <c r="O188" s="108">
        <v>1</v>
      </c>
      <c r="P188" s="108">
        <v>2.6</v>
      </c>
      <c r="Q188" s="108">
        <v>2</v>
      </c>
      <c r="R188" s="108"/>
      <c r="S188">
        <v>0</v>
      </c>
      <c r="V188" s="108">
        <v>6</v>
      </c>
      <c r="W188">
        <v>0</v>
      </c>
      <c r="X188" s="7">
        <v>1</v>
      </c>
      <c r="Y188">
        <v>-0.1</v>
      </c>
      <c r="Z188" s="108">
        <v>0</v>
      </c>
      <c r="AA188" s="108"/>
      <c r="AB188" s="108">
        <v>7.1</v>
      </c>
      <c r="AC188" s="108">
        <v>2</v>
      </c>
      <c r="AD188" s="108">
        <v>1</v>
      </c>
      <c r="AE188" t="s">
        <v>798</v>
      </c>
      <c r="AF188">
        <f t="shared" si="9"/>
        <v>0.5</v>
      </c>
      <c r="AN188" s="10">
        <v>263</v>
      </c>
      <c r="AO188" t="s">
        <v>136</v>
      </c>
      <c r="AV188" s="82"/>
    </row>
    <row r="189" spans="1:48">
      <c r="A189">
        <v>183</v>
      </c>
      <c r="B189" t="s">
        <v>793</v>
      </c>
      <c r="C189" s="82" t="s">
        <v>799</v>
      </c>
      <c r="D189">
        <v>2</v>
      </c>
      <c r="E189" s="82">
        <v>1</v>
      </c>
      <c r="F189" s="82"/>
      <c r="G189" s="82">
        <v>1</v>
      </c>
      <c r="H189" s="82">
        <v>2604</v>
      </c>
      <c r="I189">
        <v>2.5</v>
      </c>
      <c r="J189">
        <v>2.5</v>
      </c>
      <c r="K189">
        <v>0.3</v>
      </c>
      <c r="L189">
        <f t="shared" si="8"/>
        <v>0</v>
      </c>
      <c r="M189">
        <f t="shared" si="10"/>
        <v>2.1</v>
      </c>
      <c r="N189" t="s">
        <v>800</v>
      </c>
      <c r="O189" s="108">
        <v>5</v>
      </c>
      <c r="P189" s="108">
        <v>0</v>
      </c>
      <c r="Q189" s="108">
        <v>2</v>
      </c>
      <c r="R189" s="108"/>
      <c r="S189">
        <v>1</v>
      </c>
      <c r="T189">
        <v>0</v>
      </c>
      <c r="U189">
        <v>0</v>
      </c>
      <c r="V189" s="108">
        <v>1000</v>
      </c>
      <c r="W189">
        <v>0</v>
      </c>
      <c r="X189" s="7">
        <v>0</v>
      </c>
      <c r="Y189">
        <v>-0.1</v>
      </c>
      <c r="Z189" s="108">
        <v>0</v>
      </c>
      <c r="AA189" s="108"/>
      <c r="AB189" s="108">
        <v>2.2</v>
      </c>
      <c r="AC189" s="108">
        <v>2</v>
      </c>
      <c r="AD189" s="108">
        <v>1</v>
      </c>
      <c r="AE189" s="15" t="s">
        <v>801</v>
      </c>
      <c r="AF189">
        <f t="shared" si="9"/>
        <v>0.5</v>
      </c>
      <c r="AN189" s="10">
        <v>264</v>
      </c>
      <c r="AO189" t="s">
        <v>136</v>
      </c>
      <c r="AV189" s="82"/>
    </row>
    <row r="190" spans="1:48">
      <c r="A190">
        <v>184</v>
      </c>
      <c r="B190" t="s">
        <v>793</v>
      </c>
      <c r="C190" s="82" t="s">
        <v>441</v>
      </c>
      <c r="D190">
        <v>1</v>
      </c>
      <c r="E190" s="82">
        <v>0</v>
      </c>
      <c r="F190" s="82"/>
      <c r="G190" s="82">
        <v>1</v>
      </c>
      <c r="H190" s="82">
        <v>2605</v>
      </c>
      <c r="I190">
        <v>1.43333333333333</v>
      </c>
      <c r="J190">
        <v>1.43333333333333</v>
      </c>
      <c r="L190">
        <f t="shared" si="8"/>
        <v>1</v>
      </c>
      <c r="M190">
        <f t="shared" si="10"/>
        <v>1.03333333333333</v>
      </c>
      <c r="N190" t="s">
        <v>802</v>
      </c>
      <c r="O190" s="108">
        <v>1</v>
      </c>
      <c r="P190" s="108">
        <v>2.1</v>
      </c>
      <c r="Q190" s="108">
        <v>0</v>
      </c>
      <c r="R190" s="108"/>
      <c r="S190">
        <v>-0.3</v>
      </c>
      <c r="U190">
        <v>1.2</v>
      </c>
      <c r="V190" s="108">
        <v>6</v>
      </c>
      <c r="W190">
        <v>3</v>
      </c>
      <c r="X190" s="7">
        <v>10</v>
      </c>
      <c r="Y190">
        <v>-0.1</v>
      </c>
      <c r="Z190" s="108">
        <v>0</v>
      </c>
      <c r="AA190" s="108"/>
      <c r="AB190" s="108"/>
      <c r="AC190" s="108"/>
      <c r="AD190" s="108">
        <v>0</v>
      </c>
      <c r="AF190">
        <f t="shared" si="9"/>
        <v>0</v>
      </c>
      <c r="AN190" s="10">
        <v>265</v>
      </c>
      <c r="AO190" t="s">
        <v>136</v>
      </c>
      <c r="AV190" s="82"/>
    </row>
    <row r="191" spans="1:48">
      <c r="A191">
        <v>185</v>
      </c>
      <c r="B191" t="s">
        <v>793</v>
      </c>
      <c r="C191" s="82" t="s">
        <v>427</v>
      </c>
      <c r="D191">
        <v>1</v>
      </c>
      <c r="E191" s="82">
        <v>0</v>
      </c>
      <c r="F191" s="82"/>
      <c r="G191" s="82">
        <v>1</v>
      </c>
      <c r="H191" s="82">
        <v>2606</v>
      </c>
      <c r="I191">
        <v>1.53333333333333</v>
      </c>
      <c r="J191">
        <v>1.53333333333333</v>
      </c>
      <c r="L191">
        <v>1</v>
      </c>
      <c r="M191">
        <f t="shared" si="10"/>
        <v>1.13333333333333</v>
      </c>
      <c r="N191" t="s">
        <v>803</v>
      </c>
      <c r="O191" s="108">
        <v>1</v>
      </c>
      <c r="P191" s="108">
        <v>2.1</v>
      </c>
      <c r="Q191" s="108">
        <v>0</v>
      </c>
      <c r="R191" s="108"/>
      <c r="S191">
        <v>-0.3</v>
      </c>
      <c r="U191">
        <v>1.2</v>
      </c>
      <c r="V191" s="108">
        <v>6</v>
      </c>
      <c r="W191">
        <v>4</v>
      </c>
      <c r="X191" s="7">
        <v>1</v>
      </c>
      <c r="Y191">
        <v>0.4</v>
      </c>
      <c r="Z191" s="108">
        <v>0</v>
      </c>
      <c r="AA191" s="108"/>
      <c r="AB191" s="108"/>
      <c r="AC191" s="108"/>
      <c r="AD191" s="108">
        <v>0</v>
      </c>
      <c r="AF191">
        <f t="shared" si="9"/>
        <v>0</v>
      </c>
      <c r="AN191" s="154" t="s">
        <v>804</v>
      </c>
      <c r="AO191" t="s">
        <v>245</v>
      </c>
      <c r="AV191" s="82"/>
    </row>
    <row r="192" spans="1:48">
      <c r="A192">
        <v>186</v>
      </c>
      <c r="B192" t="s">
        <v>793</v>
      </c>
      <c r="C192" s="82" t="s">
        <v>444</v>
      </c>
      <c r="D192">
        <v>1</v>
      </c>
      <c r="E192" s="82">
        <v>0</v>
      </c>
      <c r="F192" s="82"/>
      <c r="G192" s="82">
        <v>1</v>
      </c>
      <c r="H192" s="82">
        <v>2607</v>
      </c>
      <c r="I192">
        <v>4.33333333333333</v>
      </c>
      <c r="J192">
        <v>4.33333333333333</v>
      </c>
      <c r="K192">
        <v>0.3</v>
      </c>
      <c r="L192">
        <v>1</v>
      </c>
      <c r="M192">
        <f t="shared" si="10"/>
        <v>3.93333333333333</v>
      </c>
      <c r="N192" t="s">
        <v>805</v>
      </c>
      <c r="O192" s="108">
        <v>1</v>
      </c>
      <c r="P192" s="108">
        <v>13</v>
      </c>
      <c r="Q192" s="108">
        <v>2</v>
      </c>
      <c r="R192" s="108"/>
      <c r="S192">
        <v>0</v>
      </c>
      <c r="V192" s="108">
        <v>6</v>
      </c>
      <c r="W192">
        <v>0</v>
      </c>
      <c r="X192" s="7">
        <v>1</v>
      </c>
      <c r="Y192">
        <v>-0.1</v>
      </c>
      <c r="Z192" s="108">
        <v>0</v>
      </c>
      <c r="AB192">
        <v>4</v>
      </c>
      <c r="AC192" s="108">
        <v>2</v>
      </c>
      <c r="AD192" s="108">
        <v>1</v>
      </c>
      <c r="AE192" s="15" t="s">
        <v>806</v>
      </c>
      <c r="AF192">
        <f t="shared" si="9"/>
        <v>0.5</v>
      </c>
      <c r="AN192" s="154">
        <v>269</v>
      </c>
      <c r="AO192" t="s">
        <v>574</v>
      </c>
      <c r="AP192" s="154">
        <v>268</v>
      </c>
      <c r="AQ192" t="s">
        <v>136</v>
      </c>
      <c r="AR192" s="749" t="s">
        <v>239</v>
      </c>
      <c r="AV192" s="82"/>
    </row>
    <row r="193" spans="1:48">
      <c r="A193">
        <v>187</v>
      </c>
      <c r="B193" t="s">
        <v>793</v>
      </c>
      <c r="C193" s="82" t="s">
        <v>807</v>
      </c>
      <c r="D193">
        <v>1</v>
      </c>
      <c r="E193" s="82">
        <v>0</v>
      </c>
      <c r="F193" s="82"/>
      <c r="G193" s="82">
        <v>1</v>
      </c>
      <c r="H193" s="82">
        <v>2608</v>
      </c>
      <c r="I193">
        <v>7.76666666666667</v>
      </c>
      <c r="J193">
        <v>7.76666666666667</v>
      </c>
      <c r="K193">
        <v>0.5</v>
      </c>
      <c r="L193">
        <v>1</v>
      </c>
      <c r="M193">
        <f t="shared" si="10"/>
        <v>7.36666666666667</v>
      </c>
      <c r="N193" t="s">
        <v>808</v>
      </c>
      <c r="O193" s="108">
        <v>1</v>
      </c>
      <c r="P193" s="108">
        <v>2.1</v>
      </c>
      <c r="Q193" s="108">
        <v>2</v>
      </c>
      <c r="R193" s="108"/>
      <c r="S193" s="108">
        <v>0</v>
      </c>
      <c r="V193" s="108">
        <v>6</v>
      </c>
      <c r="W193">
        <v>4</v>
      </c>
      <c r="X193" s="7">
        <v>3</v>
      </c>
      <c r="Y193">
        <v>-0.1</v>
      </c>
      <c r="Z193" s="108">
        <v>0</v>
      </c>
      <c r="AA193" s="108"/>
      <c r="AB193">
        <v>7.25</v>
      </c>
      <c r="AC193" s="108">
        <v>1</v>
      </c>
      <c r="AD193" s="108">
        <v>1</v>
      </c>
      <c r="AE193" s="15" t="s">
        <v>809</v>
      </c>
      <c r="AF193">
        <f t="shared" si="9"/>
        <v>0.5</v>
      </c>
      <c r="AN193" s="154"/>
      <c r="AP193" s="154">
        <v>270</v>
      </c>
      <c r="AQ193" t="s">
        <v>136</v>
      </c>
      <c r="AR193" s="749" t="s">
        <v>239</v>
      </c>
      <c r="AV193" s="82"/>
    </row>
    <row r="194" s="26" customFormat="1" spans="1:48">
      <c r="A194" s="26">
        <v>188</v>
      </c>
      <c r="B194" s="26" t="s">
        <v>810</v>
      </c>
      <c r="C194" s="179" t="s">
        <v>526</v>
      </c>
      <c r="D194" s="26">
        <v>1</v>
      </c>
      <c r="E194" s="179">
        <v>0</v>
      </c>
      <c r="F194" s="179"/>
      <c r="G194" s="179">
        <v>1</v>
      </c>
      <c r="H194" s="179">
        <v>2701</v>
      </c>
      <c r="I194" s="26">
        <v>1.06666666666667</v>
      </c>
      <c r="J194" s="26">
        <v>1.06666666666667</v>
      </c>
      <c r="K194" s="189"/>
      <c r="L194" s="26">
        <f t="shared" si="8"/>
        <v>0</v>
      </c>
      <c r="M194" s="26">
        <f t="shared" si="10"/>
        <v>0.66666666666667</v>
      </c>
      <c r="N194" s="26" t="s">
        <v>811</v>
      </c>
      <c r="O194" s="190">
        <v>1</v>
      </c>
      <c r="P194" s="190">
        <v>4.5</v>
      </c>
      <c r="Q194" s="190">
        <v>0</v>
      </c>
      <c r="R194" s="190"/>
      <c r="S194" s="26">
        <v>0</v>
      </c>
      <c r="V194" s="190">
        <v>1</v>
      </c>
      <c r="W194" s="26">
        <v>0</v>
      </c>
      <c r="X194" s="193">
        <v>1</v>
      </c>
      <c r="Y194" s="26">
        <v>-0.1</v>
      </c>
      <c r="Z194" s="190">
        <v>0</v>
      </c>
      <c r="AA194" s="190"/>
      <c r="AB194" s="190"/>
      <c r="AC194" s="190"/>
      <c r="AD194" s="190">
        <v>0</v>
      </c>
      <c r="AF194" s="26">
        <f t="shared" si="9"/>
        <v>0</v>
      </c>
      <c r="AN194" s="196">
        <v>272</v>
      </c>
      <c r="AO194" s="26" t="s">
        <v>136</v>
      </c>
      <c r="AV194" s="179">
        <v>1</v>
      </c>
    </row>
    <row r="195" s="26" customFormat="1" spans="1:48">
      <c r="A195" s="26">
        <v>189</v>
      </c>
      <c r="B195" s="26" t="s">
        <v>810</v>
      </c>
      <c r="C195" s="179" t="s">
        <v>812</v>
      </c>
      <c r="D195" s="26">
        <v>1</v>
      </c>
      <c r="E195" s="179">
        <v>0</v>
      </c>
      <c r="F195" s="179"/>
      <c r="G195" s="179">
        <v>1</v>
      </c>
      <c r="H195" s="179">
        <v>2702</v>
      </c>
      <c r="I195" s="26">
        <v>2.2</v>
      </c>
      <c r="J195" s="26">
        <v>2.2</v>
      </c>
      <c r="K195" s="189"/>
      <c r="L195" s="26">
        <v>0</v>
      </c>
      <c r="M195" s="26">
        <f t="shared" si="10"/>
        <v>1.8</v>
      </c>
      <c r="N195" s="26" t="s">
        <v>813</v>
      </c>
      <c r="O195" s="190">
        <v>1</v>
      </c>
      <c r="P195" s="190">
        <v>4.5</v>
      </c>
      <c r="Q195" s="190">
        <v>0</v>
      </c>
      <c r="R195" s="190"/>
      <c r="S195" s="26">
        <v>0</v>
      </c>
      <c r="V195" s="190">
        <v>1</v>
      </c>
      <c r="W195" s="26">
        <v>0</v>
      </c>
      <c r="X195" s="193">
        <v>1</v>
      </c>
      <c r="Y195" s="26">
        <v>-0.1</v>
      </c>
      <c r="Z195" s="190">
        <v>0</v>
      </c>
      <c r="AA195" s="190"/>
      <c r="AB195" s="190"/>
      <c r="AC195" s="190"/>
      <c r="AD195" s="190">
        <v>0</v>
      </c>
      <c r="AF195" s="26">
        <f t="shared" si="9"/>
        <v>0</v>
      </c>
      <c r="AN195" s="196">
        <v>273</v>
      </c>
      <c r="AO195" s="26" t="s">
        <v>136</v>
      </c>
      <c r="AV195" s="179"/>
    </row>
    <row r="196" s="26" customFormat="1" spans="1:48">
      <c r="A196" s="26">
        <v>190</v>
      </c>
      <c r="B196" s="26" t="s">
        <v>810</v>
      </c>
      <c r="C196" s="179" t="s">
        <v>814</v>
      </c>
      <c r="D196" s="26">
        <v>2</v>
      </c>
      <c r="E196" s="179">
        <v>1</v>
      </c>
      <c r="F196" s="179"/>
      <c r="G196" s="179">
        <v>1</v>
      </c>
      <c r="H196" s="179">
        <v>2703</v>
      </c>
      <c r="I196" s="26">
        <v>1.66666666666667</v>
      </c>
      <c r="J196" s="26">
        <v>1.66666666666667</v>
      </c>
      <c r="K196" s="189"/>
      <c r="L196" s="26">
        <f t="shared" si="8"/>
        <v>0</v>
      </c>
      <c r="M196" s="26">
        <f t="shared" si="10"/>
        <v>1.26666666666667</v>
      </c>
      <c r="N196" s="26" t="s">
        <v>815</v>
      </c>
      <c r="O196" s="190">
        <v>5</v>
      </c>
      <c r="P196" s="190">
        <v>0</v>
      </c>
      <c r="Q196" s="190">
        <v>0</v>
      </c>
      <c r="R196" s="190"/>
      <c r="S196" s="26">
        <v>1</v>
      </c>
      <c r="U196" s="26">
        <v>0.7</v>
      </c>
      <c r="V196" s="190">
        <v>1000</v>
      </c>
      <c r="W196" s="26">
        <v>0</v>
      </c>
      <c r="X196" s="193">
        <v>0</v>
      </c>
      <c r="Y196" s="26">
        <v>-0.1</v>
      </c>
      <c r="Z196" s="190">
        <v>0</v>
      </c>
      <c r="AA196" s="190"/>
      <c r="AB196" s="190"/>
      <c r="AC196" s="190"/>
      <c r="AD196" s="190">
        <v>0</v>
      </c>
      <c r="AF196" s="26">
        <f t="shared" si="9"/>
        <v>0</v>
      </c>
      <c r="AN196" s="196">
        <v>274</v>
      </c>
      <c r="AO196" s="26" t="s">
        <v>136</v>
      </c>
      <c r="AV196" s="179"/>
    </row>
    <row r="197" s="26" customFormat="1" spans="1:48">
      <c r="A197" s="26">
        <v>191</v>
      </c>
      <c r="B197" s="26" t="s">
        <v>810</v>
      </c>
      <c r="C197" s="179" t="s">
        <v>816</v>
      </c>
      <c r="D197" s="26">
        <v>1</v>
      </c>
      <c r="E197" s="179">
        <v>0</v>
      </c>
      <c r="F197" s="179"/>
      <c r="G197" s="179">
        <v>1</v>
      </c>
      <c r="H197" s="179">
        <v>2704</v>
      </c>
      <c r="I197" s="26">
        <v>1.66666666666667</v>
      </c>
      <c r="J197" s="26">
        <v>1.66666666666667</v>
      </c>
      <c r="K197" s="189"/>
      <c r="L197" s="26">
        <f t="shared" si="8"/>
        <v>0</v>
      </c>
      <c r="M197" s="26">
        <f t="shared" si="10"/>
        <v>1.26666666666667</v>
      </c>
      <c r="N197" s="26" t="s">
        <v>817</v>
      </c>
      <c r="O197" s="190">
        <v>1</v>
      </c>
      <c r="P197" s="190">
        <v>4.5</v>
      </c>
      <c r="Q197" s="190">
        <v>0</v>
      </c>
      <c r="R197" s="190"/>
      <c r="S197" s="26">
        <v>0</v>
      </c>
      <c r="V197" s="190">
        <v>1</v>
      </c>
      <c r="W197" s="26">
        <v>0</v>
      </c>
      <c r="X197" s="193">
        <v>2</v>
      </c>
      <c r="Y197" s="26">
        <v>-0.1</v>
      </c>
      <c r="Z197" s="190">
        <v>0</v>
      </c>
      <c r="AA197" s="190"/>
      <c r="AB197" s="190"/>
      <c r="AC197" s="190"/>
      <c r="AD197" s="190">
        <v>0</v>
      </c>
      <c r="AF197" s="26">
        <f t="shared" si="9"/>
        <v>0</v>
      </c>
      <c r="AN197" s="196">
        <v>275</v>
      </c>
      <c r="AO197" s="26" t="s">
        <v>136</v>
      </c>
      <c r="AV197" s="179"/>
    </row>
    <row r="198" s="26" customFormat="1" spans="1:48">
      <c r="A198" s="26">
        <v>192</v>
      </c>
      <c r="B198" s="26" t="s">
        <v>810</v>
      </c>
      <c r="C198" s="179" t="s">
        <v>818</v>
      </c>
      <c r="D198" s="26">
        <v>1</v>
      </c>
      <c r="E198" s="179">
        <v>0</v>
      </c>
      <c r="F198" s="179"/>
      <c r="G198" s="179">
        <v>1</v>
      </c>
      <c r="H198" s="179">
        <v>2705</v>
      </c>
      <c r="I198" s="26">
        <v>5.33333333333333</v>
      </c>
      <c r="J198" s="26">
        <v>5.33333333333333</v>
      </c>
      <c r="K198" s="189"/>
      <c r="L198" s="26">
        <v>1</v>
      </c>
      <c r="M198" s="26">
        <f t="shared" si="10"/>
        <v>4.93333333333333</v>
      </c>
      <c r="N198" s="26" t="s">
        <v>819</v>
      </c>
      <c r="O198" s="190">
        <v>1</v>
      </c>
      <c r="P198" s="190">
        <v>4.5</v>
      </c>
      <c r="Q198" s="190">
        <v>0</v>
      </c>
      <c r="R198" s="190"/>
      <c r="S198" s="26">
        <v>0</v>
      </c>
      <c r="V198" s="190">
        <v>1</v>
      </c>
      <c r="W198" s="26">
        <v>0</v>
      </c>
      <c r="X198" s="193">
        <v>1</v>
      </c>
      <c r="Y198" s="26">
        <v>-0.1</v>
      </c>
      <c r="Z198" s="190">
        <v>0</v>
      </c>
      <c r="AA198" s="190"/>
      <c r="AB198" s="190"/>
      <c r="AC198" s="190"/>
      <c r="AD198" s="190">
        <v>1</v>
      </c>
      <c r="AE198" s="26" t="s">
        <v>820</v>
      </c>
      <c r="AF198" s="26">
        <f t="shared" si="9"/>
        <v>0.5</v>
      </c>
      <c r="AN198" s="196">
        <v>276</v>
      </c>
      <c r="AO198" s="26" t="s">
        <v>136</v>
      </c>
      <c r="AV198" s="179"/>
    </row>
    <row r="199" s="26" customFormat="1" spans="1:48">
      <c r="A199" s="26">
        <v>193</v>
      </c>
      <c r="B199" s="26" t="s">
        <v>810</v>
      </c>
      <c r="C199" s="179" t="s">
        <v>821</v>
      </c>
      <c r="D199" s="26">
        <v>1</v>
      </c>
      <c r="E199" s="179">
        <v>0</v>
      </c>
      <c r="F199" s="179"/>
      <c r="G199" s="179">
        <v>1</v>
      </c>
      <c r="H199" s="179">
        <v>2706</v>
      </c>
      <c r="I199" s="26">
        <v>3.8666667</v>
      </c>
      <c r="J199" s="26">
        <v>3.8666667</v>
      </c>
      <c r="K199" s="189"/>
      <c r="L199" s="26">
        <v>1</v>
      </c>
      <c r="M199" s="26">
        <v>2.5</v>
      </c>
      <c r="N199" s="26" t="s">
        <v>822</v>
      </c>
      <c r="O199" s="190">
        <v>1</v>
      </c>
      <c r="P199" s="190">
        <v>4.5</v>
      </c>
      <c r="Q199" s="190">
        <v>0</v>
      </c>
      <c r="R199" s="190"/>
      <c r="S199" s="26">
        <v>0</v>
      </c>
      <c r="V199" s="190">
        <v>1</v>
      </c>
      <c r="W199" s="26">
        <v>16</v>
      </c>
      <c r="X199" s="193">
        <v>1</v>
      </c>
      <c r="Y199" s="26">
        <v>-0.1</v>
      </c>
      <c r="Z199" s="190">
        <v>0</v>
      </c>
      <c r="AA199" s="190"/>
      <c r="AB199" s="190">
        <v>3.6</v>
      </c>
      <c r="AC199" s="190">
        <v>2</v>
      </c>
      <c r="AD199" s="190">
        <v>1</v>
      </c>
      <c r="AE199" s="195" t="s">
        <v>823</v>
      </c>
      <c r="AF199" s="26">
        <f t="shared" si="9"/>
        <v>0.5</v>
      </c>
      <c r="AN199" s="196" t="s">
        <v>824</v>
      </c>
      <c r="AO199" s="26" t="s">
        <v>825</v>
      </c>
      <c r="AV199" s="179"/>
    </row>
    <row r="200" s="26" customFormat="1" spans="1:48">
      <c r="A200" s="26">
        <v>194</v>
      </c>
      <c r="B200" s="26" t="s">
        <v>810</v>
      </c>
      <c r="C200" s="179" t="s">
        <v>826</v>
      </c>
      <c r="D200" s="26">
        <v>2</v>
      </c>
      <c r="E200" s="179">
        <v>1</v>
      </c>
      <c r="F200" s="179"/>
      <c r="G200" s="179">
        <v>1</v>
      </c>
      <c r="H200" s="179">
        <v>2707</v>
      </c>
      <c r="I200" s="26">
        <v>1.83333333333333</v>
      </c>
      <c r="J200" s="26">
        <v>1.83333333333333</v>
      </c>
      <c r="K200" s="189"/>
      <c r="L200" s="26">
        <f t="shared" ref="L200:L263" si="11">IF(X200&gt;4,1,0)</f>
        <v>0</v>
      </c>
      <c r="M200" s="26">
        <f t="shared" si="10"/>
        <v>1.43333333333333</v>
      </c>
      <c r="N200" s="26" t="s">
        <v>827</v>
      </c>
      <c r="O200" s="190">
        <v>5</v>
      </c>
      <c r="P200" s="190">
        <v>0</v>
      </c>
      <c r="Q200" s="190">
        <v>0</v>
      </c>
      <c r="R200" s="190"/>
      <c r="S200" s="26">
        <v>1</v>
      </c>
      <c r="T200" s="26">
        <v>0</v>
      </c>
      <c r="U200" s="26">
        <v>0</v>
      </c>
      <c r="V200" s="190">
        <v>1000</v>
      </c>
      <c r="W200" s="26">
        <v>0</v>
      </c>
      <c r="X200" s="193">
        <v>0</v>
      </c>
      <c r="Y200" s="26">
        <v>-0.1</v>
      </c>
      <c r="Z200" s="190">
        <v>0</v>
      </c>
      <c r="AA200" s="190"/>
      <c r="AB200" s="190"/>
      <c r="AC200" s="190"/>
      <c r="AD200" s="190">
        <v>0</v>
      </c>
      <c r="AF200" s="26">
        <f t="shared" si="9"/>
        <v>0</v>
      </c>
      <c r="AN200" s="196"/>
      <c r="AV200" s="179"/>
    </row>
    <row r="201" s="26" customFormat="1" spans="1:48">
      <c r="A201" s="26">
        <v>195</v>
      </c>
      <c r="B201" s="26" t="s">
        <v>810</v>
      </c>
      <c r="C201" s="179" t="s">
        <v>828</v>
      </c>
      <c r="D201" s="26">
        <v>1</v>
      </c>
      <c r="E201" s="179">
        <v>0</v>
      </c>
      <c r="F201" s="179"/>
      <c r="G201" s="179">
        <v>1</v>
      </c>
      <c r="H201" s="179">
        <v>2708</v>
      </c>
      <c r="I201" s="26">
        <v>6.3</v>
      </c>
      <c r="J201" s="26">
        <v>6.3</v>
      </c>
      <c r="L201" s="26">
        <f t="shared" si="11"/>
        <v>1</v>
      </c>
      <c r="M201" s="26">
        <v>5.6</v>
      </c>
      <c r="N201" s="26" t="s">
        <v>829</v>
      </c>
      <c r="O201" s="190">
        <v>1</v>
      </c>
      <c r="P201" s="190">
        <v>2</v>
      </c>
      <c r="Q201" s="190">
        <v>0</v>
      </c>
      <c r="R201" s="190"/>
      <c r="S201" s="26">
        <v>1.5</v>
      </c>
      <c r="T201" s="26">
        <v>-1</v>
      </c>
      <c r="V201" s="190">
        <v>1</v>
      </c>
      <c r="W201" s="26">
        <v>0</v>
      </c>
      <c r="X201" s="193">
        <v>9</v>
      </c>
      <c r="Y201" s="26">
        <v>-0.1</v>
      </c>
      <c r="Z201" s="190">
        <v>0</v>
      </c>
      <c r="AA201" s="190"/>
      <c r="AB201" s="190"/>
      <c r="AC201" s="190"/>
      <c r="AD201" s="190">
        <v>1</v>
      </c>
      <c r="AE201" s="195" t="s">
        <v>830</v>
      </c>
      <c r="AF201" s="26">
        <v>0.5</v>
      </c>
      <c r="AN201" s="196">
        <v>280</v>
      </c>
      <c r="AO201" s="26" t="s">
        <v>136</v>
      </c>
      <c r="AV201" s="179"/>
    </row>
    <row r="202" spans="1:48">
      <c r="A202">
        <v>196</v>
      </c>
      <c r="B202" t="s">
        <v>831</v>
      </c>
      <c r="C202" s="82" t="s">
        <v>526</v>
      </c>
      <c r="D202">
        <v>1</v>
      </c>
      <c r="E202" s="82">
        <v>0</v>
      </c>
      <c r="F202" s="82"/>
      <c r="G202" s="82">
        <v>1</v>
      </c>
      <c r="H202" s="82">
        <v>2801</v>
      </c>
      <c r="I202">
        <v>1.4</v>
      </c>
      <c r="J202">
        <v>1.4</v>
      </c>
      <c r="K202" s="118"/>
      <c r="L202">
        <f t="shared" si="11"/>
        <v>0</v>
      </c>
      <c r="M202">
        <f t="shared" si="10"/>
        <v>1</v>
      </c>
      <c r="N202" t="s">
        <v>832</v>
      </c>
      <c r="O202" s="108">
        <v>1</v>
      </c>
      <c r="P202" s="108">
        <v>1.2</v>
      </c>
      <c r="Q202" s="108">
        <v>0</v>
      </c>
      <c r="R202" s="108"/>
      <c r="S202">
        <v>0</v>
      </c>
      <c r="V202" s="108">
        <v>6</v>
      </c>
      <c r="W202">
        <v>0</v>
      </c>
      <c r="X202" s="7">
        <v>3</v>
      </c>
      <c r="Y202">
        <v>-0.1</v>
      </c>
      <c r="Z202" s="108">
        <v>0</v>
      </c>
      <c r="AA202" s="108"/>
      <c r="AB202" s="108"/>
      <c r="AC202" s="108"/>
      <c r="AD202" s="108">
        <v>0</v>
      </c>
      <c r="AF202">
        <f t="shared" si="9"/>
        <v>0</v>
      </c>
      <c r="AN202" s="154">
        <v>282</v>
      </c>
      <c r="AO202" t="s">
        <v>136</v>
      </c>
      <c r="AV202" s="82">
        <v>1</v>
      </c>
    </row>
    <row r="203" spans="1:48">
      <c r="A203">
        <v>197</v>
      </c>
      <c r="B203" t="s">
        <v>831</v>
      </c>
      <c r="C203" s="82" t="s">
        <v>833</v>
      </c>
      <c r="D203">
        <v>1</v>
      </c>
      <c r="E203" s="82">
        <v>0</v>
      </c>
      <c r="F203" s="82"/>
      <c r="G203" s="82">
        <v>1</v>
      </c>
      <c r="H203" s="82">
        <v>2802</v>
      </c>
      <c r="I203">
        <v>1.666666667</v>
      </c>
      <c r="J203">
        <v>1.666666667</v>
      </c>
      <c r="K203" s="118"/>
      <c r="L203">
        <f t="shared" si="11"/>
        <v>0</v>
      </c>
      <c r="M203">
        <f t="shared" si="10"/>
        <v>1.266666667</v>
      </c>
      <c r="N203" s="104" t="s">
        <v>834</v>
      </c>
      <c r="O203" s="108">
        <v>1</v>
      </c>
      <c r="P203" s="108">
        <v>1.2</v>
      </c>
      <c r="Q203" s="108">
        <v>0</v>
      </c>
      <c r="R203" s="108">
        <v>1</v>
      </c>
      <c r="S203">
        <v>1</v>
      </c>
      <c r="U203">
        <v>1.2</v>
      </c>
      <c r="V203" s="108">
        <v>6</v>
      </c>
      <c r="W203">
        <v>4</v>
      </c>
      <c r="X203" s="7">
        <v>2</v>
      </c>
      <c r="Y203">
        <v>-0.1</v>
      </c>
      <c r="Z203" s="108">
        <v>0</v>
      </c>
      <c r="AA203" s="108"/>
      <c r="AB203" s="108"/>
      <c r="AC203" s="108"/>
      <c r="AD203" s="108">
        <v>0</v>
      </c>
      <c r="AF203">
        <f t="shared" ref="AF203:AF266" si="12">IF(AD203=--1,0.5,0)</f>
        <v>0</v>
      </c>
      <c r="AN203" s="154">
        <v>283</v>
      </c>
      <c r="AO203" t="s">
        <v>136</v>
      </c>
      <c r="AV203" s="82"/>
    </row>
    <row r="204" spans="1:48">
      <c r="A204">
        <v>198</v>
      </c>
      <c r="B204" t="s">
        <v>831</v>
      </c>
      <c r="C204" s="82" t="s">
        <v>835</v>
      </c>
      <c r="D204">
        <v>1</v>
      </c>
      <c r="E204" s="82">
        <v>0</v>
      </c>
      <c r="F204" s="82"/>
      <c r="G204" s="82">
        <v>1</v>
      </c>
      <c r="H204" s="82">
        <v>2803</v>
      </c>
      <c r="I204">
        <v>1.5</v>
      </c>
      <c r="J204">
        <v>1.5</v>
      </c>
      <c r="K204" s="118"/>
      <c r="L204">
        <f t="shared" si="11"/>
        <v>0</v>
      </c>
      <c r="M204">
        <f t="shared" si="10"/>
        <v>1.1</v>
      </c>
      <c r="N204" s="104" t="s">
        <v>836</v>
      </c>
      <c r="O204" s="108">
        <v>1</v>
      </c>
      <c r="P204" s="108">
        <v>1.2</v>
      </c>
      <c r="Q204" s="108">
        <v>0</v>
      </c>
      <c r="R204" s="108"/>
      <c r="S204">
        <v>0</v>
      </c>
      <c r="V204" s="108">
        <v>6</v>
      </c>
      <c r="W204">
        <v>4</v>
      </c>
      <c r="X204" s="7">
        <v>1</v>
      </c>
      <c r="Y204">
        <v>-0.1</v>
      </c>
      <c r="Z204" s="108">
        <v>0</v>
      </c>
      <c r="AA204" s="108"/>
      <c r="AB204" s="108"/>
      <c r="AC204" s="108"/>
      <c r="AD204" s="108">
        <v>0</v>
      </c>
      <c r="AF204">
        <f t="shared" si="12"/>
        <v>0</v>
      </c>
      <c r="AN204" s="154">
        <v>284</v>
      </c>
      <c r="AO204" t="s">
        <v>136</v>
      </c>
      <c r="AV204" s="82"/>
    </row>
    <row r="205" spans="1:48">
      <c r="A205">
        <v>199</v>
      </c>
      <c r="B205" t="s">
        <v>831</v>
      </c>
      <c r="C205" s="82" t="s">
        <v>837</v>
      </c>
      <c r="D205">
        <v>2</v>
      </c>
      <c r="E205" s="82">
        <v>1</v>
      </c>
      <c r="F205" s="82"/>
      <c r="G205" s="82">
        <v>1</v>
      </c>
      <c r="H205" s="82">
        <v>2804</v>
      </c>
      <c r="I205">
        <v>2.16666666666667</v>
      </c>
      <c r="J205">
        <v>2.16666666666667</v>
      </c>
      <c r="K205" s="118"/>
      <c r="L205">
        <f t="shared" si="11"/>
        <v>0</v>
      </c>
      <c r="M205">
        <f t="shared" si="10"/>
        <v>1.76666666666667</v>
      </c>
      <c r="N205" s="104" t="s">
        <v>838</v>
      </c>
      <c r="O205" s="108">
        <v>5</v>
      </c>
      <c r="P205" s="108">
        <v>0</v>
      </c>
      <c r="Q205" s="108">
        <v>2</v>
      </c>
      <c r="R205" s="108"/>
      <c r="S205">
        <v>1</v>
      </c>
      <c r="V205" s="108">
        <v>1000</v>
      </c>
      <c r="W205">
        <v>0</v>
      </c>
      <c r="X205" s="7">
        <v>0</v>
      </c>
      <c r="Y205">
        <v>-0.1</v>
      </c>
      <c r="Z205" s="108">
        <v>0</v>
      </c>
      <c r="AA205" s="108"/>
      <c r="AB205" s="108"/>
      <c r="AC205" s="108"/>
      <c r="AD205" s="108">
        <v>0</v>
      </c>
      <c r="AF205">
        <f t="shared" si="12"/>
        <v>0</v>
      </c>
      <c r="AN205" s="154">
        <v>285</v>
      </c>
      <c r="AO205" t="s">
        <v>136</v>
      </c>
      <c r="AV205" s="82"/>
    </row>
    <row r="206" spans="1:48">
      <c r="A206">
        <v>200</v>
      </c>
      <c r="B206" t="s">
        <v>831</v>
      </c>
      <c r="C206" s="82" t="s">
        <v>839</v>
      </c>
      <c r="D206">
        <v>1</v>
      </c>
      <c r="E206" s="82">
        <v>0</v>
      </c>
      <c r="F206" s="82"/>
      <c r="G206" s="82">
        <v>1</v>
      </c>
      <c r="H206" s="82">
        <v>2805</v>
      </c>
      <c r="I206">
        <v>3.833333333</v>
      </c>
      <c r="J206">
        <v>3.833333333</v>
      </c>
      <c r="K206">
        <v>0.5</v>
      </c>
      <c r="L206">
        <v>1</v>
      </c>
      <c r="M206">
        <f t="shared" si="10"/>
        <v>3.433333333</v>
      </c>
      <c r="N206" s="104" t="s">
        <v>840</v>
      </c>
      <c r="O206" s="108">
        <v>1</v>
      </c>
      <c r="P206" s="108">
        <v>6.5</v>
      </c>
      <c r="Q206" s="108">
        <v>2</v>
      </c>
      <c r="R206" s="108"/>
      <c r="S206">
        <v>0</v>
      </c>
      <c r="V206" s="108">
        <v>6</v>
      </c>
      <c r="W206">
        <v>1</v>
      </c>
      <c r="X206" s="7">
        <v>1</v>
      </c>
      <c r="Y206">
        <v>-0.1</v>
      </c>
      <c r="Z206" s="108">
        <v>0</v>
      </c>
      <c r="AA206" s="108"/>
      <c r="AB206" s="108"/>
      <c r="AC206" s="108"/>
      <c r="AD206" s="108">
        <v>1</v>
      </c>
      <c r="AE206" t="s">
        <v>841</v>
      </c>
      <c r="AF206">
        <f t="shared" si="12"/>
        <v>0.5</v>
      </c>
      <c r="AN206" s="154"/>
      <c r="AP206" s="154">
        <v>286</v>
      </c>
      <c r="AQ206" t="s">
        <v>136</v>
      </c>
      <c r="AV206" s="82"/>
    </row>
    <row r="207" spans="1:48">
      <c r="A207">
        <v>201</v>
      </c>
      <c r="B207" t="s">
        <v>831</v>
      </c>
      <c r="C207" s="82" t="s">
        <v>842</v>
      </c>
      <c r="D207">
        <v>1</v>
      </c>
      <c r="E207" s="82">
        <v>0</v>
      </c>
      <c r="F207" s="82"/>
      <c r="G207" s="82">
        <v>1</v>
      </c>
      <c r="H207" s="82">
        <v>2806</v>
      </c>
      <c r="I207">
        <v>3.5</v>
      </c>
      <c r="J207">
        <v>3.3</v>
      </c>
      <c r="K207">
        <v>0.5</v>
      </c>
      <c r="L207">
        <v>1</v>
      </c>
      <c r="M207">
        <f t="shared" si="10"/>
        <v>3.1</v>
      </c>
      <c r="N207" s="104" t="s">
        <v>843</v>
      </c>
      <c r="O207" s="108">
        <v>1</v>
      </c>
      <c r="P207" s="108">
        <v>2</v>
      </c>
      <c r="Q207" s="108">
        <v>2</v>
      </c>
      <c r="R207" s="108"/>
      <c r="S207">
        <v>0</v>
      </c>
      <c r="V207" s="108">
        <v>6</v>
      </c>
      <c r="W207">
        <v>0</v>
      </c>
      <c r="X207" s="7">
        <v>3</v>
      </c>
      <c r="Y207">
        <v>-0.1</v>
      </c>
      <c r="Z207" s="108">
        <v>0</v>
      </c>
      <c r="AA207" s="108"/>
      <c r="AB207" s="108">
        <v>3.1</v>
      </c>
      <c r="AC207" s="108">
        <v>2</v>
      </c>
      <c r="AD207" s="108">
        <v>1</v>
      </c>
      <c r="AE207" t="s">
        <v>844</v>
      </c>
      <c r="AF207">
        <f t="shared" si="12"/>
        <v>0.5</v>
      </c>
      <c r="AN207" s="154"/>
      <c r="AP207" s="154">
        <v>287</v>
      </c>
      <c r="AQ207" t="s">
        <v>136</v>
      </c>
      <c r="AV207" s="82"/>
    </row>
    <row r="208" spans="1:48">
      <c r="A208">
        <v>202</v>
      </c>
      <c r="B208" t="s">
        <v>831</v>
      </c>
      <c r="C208" s="82" t="s">
        <v>845</v>
      </c>
      <c r="D208">
        <v>1</v>
      </c>
      <c r="E208" s="82">
        <v>0</v>
      </c>
      <c r="F208" s="82"/>
      <c r="G208" s="82">
        <v>1</v>
      </c>
      <c r="H208" s="82">
        <v>2807</v>
      </c>
      <c r="I208">
        <v>1.66666666666667</v>
      </c>
      <c r="J208">
        <v>1.66666666666667</v>
      </c>
      <c r="K208" s="118">
        <v>0</v>
      </c>
      <c r="L208">
        <f t="shared" si="11"/>
        <v>0</v>
      </c>
      <c r="M208">
        <f t="shared" si="10"/>
        <v>1.26666666666667</v>
      </c>
      <c r="N208" s="104" t="s">
        <v>846</v>
      </c>
      <c r="O208" s="108">
        <v>1</v>
      </c>
      <c r="P208" s="108">
        <v>1.2</v>
      </c>
      <c r="Q208" s="108">
        <v>0</v>
      </c>
      <c r="R208" s="108">
        <v>1</v>
      </c>
      <c r="S208">
        <v>0</v>
      </c>
      <c r="V208" s="108">
        <v>6</v>
      </c>
      <c r="W208">
        <v>0</v>
      </c>
      <c r="X208" s="7">
        <v>3</v>
      </c>
      <c r="Y208">
        <v>-0.1</v>
      </c>
      <c r="Z208" s="108">
        <v>0</v>
      </c>
      <c r="AA208" s="108"/>
      <c r="AB208" s="108"/>
      <c r="AC208" s="108"/>
      <c r="AD208" s="108">
        <v>0</v>
      </c>
      <c r="AF208">
        <f t="shared" si="12"/>
        <v>0</v>
      </c>
      <c r="AN208" s="154">
        <v>288</v>
      </c>
      <c r="AO208" t="s">
        <v>136</v>
      </c>
      <c r="AV208" s="82"/>
    </row>
    <row r="209" spans="1:48">
      <c r="A209">
        <v>203</v>
      </c>
      <c r="B209" t="s">
        <v>831</v>
      </c>
      <c r="C209" s="82" t="s">
        <v>847</v>
      </c>
      <c r="D209">
        <v>1</v>
      </c>
      <c r="E209" s="82">
        <v>0</v>
      </c>
      <c r="F209" s="82"/>
      <c r="G209" s="82">
        <v>1</v>
      </c>
      <c r="H209" s="82">
        <v>2808</v>
      </c>
      <c r="I209">
        <v>3.9</v>
      </c>
      <c r="J209">
        <v>3.9</v>
      </c>
      <c r="K209">
        <v>0.5</v>
      </c>
      <c r="L209">
        <v>1</v>
      </c>
      <c r="M209">
        <v>3.5</v>
      </c>
      <c r="N209" s="24" t="s">
        <v>848</v>
      </c>
      <c r="O209" s="191">
        <v>3</v>
      </c>
      <c r="P209" s="191">
        <v>-15</v>
      </c>
      <c r="Q209" s="108">
        <v>2</v>
      </c>
      <c r="R209" s="108"/>
      <c r="S209">
        <v>0</v>
      </c>
      <c r="V209" s="108">
        <v>6</v>
      </c>
      <c r="W209">
        <v>0</v>
      </c>
      <c r="X209" s="7">
        <v>1</v>
      </c>
      <c r="Y209">
        <v>-0.1</v>
      </c>
      <c r="Z209" s="108">
        <v>0</v>
      </c>
      <c r="AA209" s="108"/>
      <c r="AB209" s="108">
        <v>3.55</v>
      </c>
      <c r="AC209" s="108">
        <v>2</v>
      </c>
      <c r="AD209" s="108">
        <v>1</v>
      </c>
      <c r="AE209" t="s">
        <v>849</v>
      </c>
      <c r="AF209">
        <v>0.5</v>
      </c>
      <c r="AN209" s="154"/>
      <c r="AP209" s="154" t="s">
        <v>850</v>
      </c>
      <c r="AQ209" t="s">
        <v>666</v>
      </c>
      <c r="AV209" s="82"/>
    </row>
    <row r="210" spans="1:48">
      <c r="A210">
        <v>204</v>
      </c>
      <c r="B210" t="s">
        <v>851</v>
      </c>
      <c r="C210" s="180" t="s">
        <v>852</v>
      </c>
      <c r="D210">
        <v>1</v>
      </c>
      <c r="E210" s="82">
        <v>0</v>
      </c>
      <c r="F210" s="82"/>
      <c r="G210" s="82">
        <v>1</v>
      </c>
      <c r="H210" s="82">
        <v>2901</v>
      </c>
      <c r="I210">
        <v>3.16666666666667</v>
      </c>
      <c r="J210">
        <v>3.16666666666667</v>
      </c>
      <c r="L210">
        <f t="shared" si="11"/>
        <v>1</v>
      </c>
      <c r="M210">
        <f t="shared" si="10"/>
        <v>2.76666666666667</v>
      </c>
      <c r="N210" t="s">
        <v>853</v>
      </c>
      <c r="O210" s="108">
        <v>1</v>
      </c>
      <c r="P210" s="108">
        <v>1.5</v>
      </c>
      <c r="Q210" s="108">
        <v>0</v>
      </c>
      <c r="R210" s="108"/>
      <c r="S210">
        <v>0</v>
      </c>
      <c r="V210" s="108">
        <v>1</v>
      </c>
      <c r="W210">
        <v>0</v>
      </c>
      <c r="X210" s="7">
        <v>7</v>
      </c>
      <c r="Y210">
        <v>-0.1</v>
      </c>
      <c r="Z210" s="108">
        <v>0</v>
      </c>
      <c r="AA210" s="108"/>
      <c r="AB210" s="108"/>
      <c r="AC210" s="108"/>
      <c r="AD210" s="108">
        <v>0</v>
      </c>
      <c r="AF210">
        <f t="shared" si="12"/>
        <v>0</v>
      </c>
      <c r="AN210" s="8">
        <v>292</v>
      </c>
      <c r="AO210" t="s">
        <v>136</v>
      </c>
      <c r="AV210" s="82">
        <v>1</v>
      </c>
    </row>
    <row r="211" spans="1:48">
      <c r="A211">
        <v>205</v>
      </c>
      <c r="B211" t="s">
        <v>851</v>
      </c>
      <c r="C211" s="180" t="s">
        <v>854</v>
      </c>
      <c r="D211">
        <v>1</v>
      </c>
      <c r="E211" s="82">
        <v>0</v>
      </c>
      <c r="F211" s="82"/>
      <c r="G211" s="82">
        <v>1</v>
      </c>
      <c r="H211" s="82">
        <v>2902</v>
      </c>
      <c r="I211">
        <v>3</v>
      </c>
      <c r="J211">
        <v>3</v>
      </c>
      <c r="L211">
        <f t="shared" si="11"/>
        <v>0</v>
      </c>
      <c r="M211">
        <f t="shared" si="10"/>
        <v>2.6</v>
      </c>
      <c r="N211" t="s">
        <v>855</v>
      </c>
      <c r="O211" s="108">
        <v>1</v>
      </c>
      <c r="P211" s="108">
        <v>1.5</v>
      </c>
      <c r="Q211" s="108">
        <v>0</v>
      </c>
      <c r="R211" s="108"/>
      <c r="S211">
        <v>0</v>
      </c>
      <c r="V211" s="108">
        <v>1</v>
      </c>
      <c r="W211">
        <v>0</v>
      </c>
      <c r="X211" s="7">
        <v>1</v>
      </c>
      <c r="Y211">
        <v>-0.1</v>
      </c>
      <c r="Z211" s="108">
        <v>0</v>
      </c>
      <c r="AA211" s="108"/>
      <c r="AB211" s="108"/>
      <c r="AC211" s="108"/>
      <c r="AD211" s="108">
        <v>0</v>
      </c>
      <c r="AF211">
        <f t="shared" si="12"/>
        <v>0</v>
      </c>
      <c r="AN211" s="8">
        <v>293</v>
      </c>
      <c r="AO211" t="s">
        <v>136</v>
      </c>
      <c r="AV211" s="82"/>
    </row>
    <row r="212" spans="1:48">
      <c r="A212">
        <v>206</v>
      </c>
      <c r="B212" t="s">
        <v>851</v>
      </c>
      <c r="C212" s="180" t="s">
        <v>856</v>
      </c>
      <c r="D212">
        <v>1</v>
      </c>
      <c r="E212" s="82">
        <v>0</v>
      </c>
      <c r="F212" s="82"/>
      <c r="G212" s="82">
        <v>1</v>
      </c>
      <c r="H212" s="82">
        <v>2903</v>
      </c>
      <c r="I212">
        <v>5.66666666666667</v>
      </c>
      <c r="J212">
        <v>5.66666666666667</v>
      </c>
      <c r="L212">
        <v>1</v>
      </c>
      <c r="M212">
        <f t="shared" si="10"/>
        <v>5.26666666666667</v>
      </c>
      <c r="N212" t="s">
        <v>857</v>
      </c>
      <c r="O212" s="108">
        <v>1</v>
      </c>
      <c r="P212" s="108">
        <v>13</v>
      </c>
      <c r="Q212" s="108">
        <v>0</v>
      </c>
      <c r="R212" s="108"/>
      <c r="S212">
        <v>0</v>
      </c>
      <c r="V212" s="108">
        <v>1</v>
      </c>
      <c r="W212">
        <v>0</v>
      </c>
      <c r="X212" s="7">
        <v>4</v>
      </c>
      <c r="Y212">
        <v>-0.1</v>
      </c>
      <c r="Z212" s="108">
        <v>0</v>
      </c>
      <c r="AA212" s="108"/>
      <c r="AB212" s="108"/>
      <c r="AC212" s="108"/>
      <c r="AD212" s="108">
        <v>1</v>
      </c>
      <c r="AE212" t="s">
        <v>858</v>
      </c>
      <c r="AF212">
        <f t="shared" si="12"/>
        <v>0.5</v>
      </c>
      <c r="AN212" s="8">
        <v>294</v>
      </c>
      <c r="AO212" t="s">
        <v>136</v>
      </c>
      <c r="AV212" s="82"/>
    </row>
    <row r="213" s="21" customFormat="1" spans="1:48">
      <c r="A213" s="21">
        <v>207</v>
      </c>
      <c r="B213" s="21" t="s">
        <v>859</v>
      </c>
      <c r="C213" s="181" t="s">
        <v>860</v>
      </c>
      <c r="D213" s="21">
        <v>1</v>
      </c>
      <c r="E213" s="181">
        <v>0</v>
      </c>
      <c r="F213" s="181"/>
      <c r="G213" s="181">
        <v>2</v>
      </c>
      <c r="H213" s="182" t="s">
        <v>861</v>
      </c>
      <c r="I213" s="21">
        <v>1.66666666666667</v>
      </c>
      <c r="J213" s="21">
        <v>1.66666666666667</v>
      </c>
      <c r="L213" s="21">
        <f t="shared" si="11"/>
        <v>0</v>
      </c>
      <c r="M213" s="21">
        <f t="shared" si="10"/>
        <v>1.26666666666667</v>
      </c>
      <c r="N213" s="21" t="s">
        <v>862</v>
      </c>
      <c r="O213" s="110">
        <v>1</v>
      </c>
      <c r="P213" s="110">
        <v>5</v>
      </c>
      <c r="Q213" s="110">
        <v>0</v>
      </c>
      <c r="R213" s="110"/>
      <c r="S213" s="21">
        <v>0</v>
      </c>
      <c r="V213" s="110">
        <v>0</v>
      </c>
      <c r="W213" s="21">
        <v>0</v>
      </c>
      <c r="X213" s="115">
        <v>1</v>
      </c>
      <c r="Y213" s="21">
        <v>0.4</v>
      </c>
      <c r="Z213" s="110">
        <v>0</v>
      </c>
      <c r="AA213" s="110"/>
      <c r="AB213" s="110"/>
      <c r="AC213" s="110"/>
      <c r="AD213" s="110">
        <v>0</v>
      </c>
      <c r="AF213" s="21">
        <f t="shared" si="12"/>
        <v>0</v>
      </c>
      <c r="AN213" s="21">
        <v>297</v>
      </c>
      <c r="AO213" s="197" t="s">
        <v>136</v>
      </c>
      <c r="AV213" s="181">
        <v>1</v>
      </c>
    </row>
    <row r="214" s="21" customFormat="1" spans="1:48">
      <c r="A214" s="21">
        <v>208</v>
      </c>
      <c r="B214" s="21" t="s">
        <v>859</v>
      </c>
      <c r="C214" s="181" t="s">
        <v>863</v>
      </c>
      <c r="D214" s="21">
        <v>1</v>
      </c>
      <c r="E214" s="181">
        <v>0</v>
      </c>
      <c r="F214" s="181"/>
      <c r="G214" s="181">
        <v>2</v>
      </c>
      <c r="H214" s="182" t="s">
        <v>864</v>
      </c>
      <c r="I214" s="21">
        <v>4.33333333333333</v>
      </c>
      <c r="J214" s="21">
        <v>4.33333333333333</v>
      </c>
      <c r="L214" s="21">
        <v>0</v>
      </c>
      <c r="M214" s="21">
        <v>3.93333333333333</v>
      </c>
      <c r="N214" s="21" t="s">
        <v>865</v>
      </c>
      <c r="O214" s="110">
        <v>1</v>
      </c>
      <c r="P214" s="110">
        <v>5</v>
      </c>
      <c r="Q214" s="110">
        <v>0</v>
      </c>
      <c r="R214" s="110"/>
      <c r="S214" s="21">
        <v>0</v>
      </c>
      <c r="U214" s="21">
        <v>1</v>
      </c>
      <c r="V214" s="110">
        <v>0</v>
      </c>
      <c r="W214" s="21">
        <v>0</v>
      </c>
      <c r="X214" s="115">
        <v>4</v>
      </c>
      <c r="Y214" s="21">
        <v>0.4</v>
      </c>
      <c r="Z214" s="110">
        <v>0</v>
      </c>
      <c r="AA214" s="110"/>
      <c r="AB214" s="110"/>
      <c r="AC214" s="110"/>
      <c r="AD214" s="110">
        <v>0</v>
      </c>
      <c r="AF214" s="21">
        <v>0</v>
      </c>
      <c r="AN214" s="21">
        <v>298</v>
      </c>
      <c r="AO214" s="197" t="s">
        <v>136</v>
      </c>
      <c r="AV214" s="181"/>
    </row>
    <row r="215" s="21" customFormat="1" spans="1:48">
      <c r="A215" s="21">
        <v>209</v>
      </c>
      <c r="B215" s="21" t="s">
        <v>859</v>
      </c>
      <c r="C215" s="181" t="s">
        <v>866</v>
      </c>
      <c r="D215" s="21">
        <v>1</v>
      </c>
      <c r="E215" s="181">
        <v>0</v>
      </c>
      <c r="F215" s="181"/>
      <c r="G215" s="181">
        <v>2</v>
      </c>
      <c r="H215" s="182" t="s">
        <v>867</v>
      </c>
      <c r="I215" s="21">
        <v>2.33333333333333</v>
      </c>
      <c r="J215" s="21">
        <v>2.33333333333333</v>
      </c>
      <c r="L215" s="21">
        <v>1</v>
      </c>
      <c r="M215" s="21">
        <f t="shared" si="10"/>
        <v>1.93333333333333</v>
      </c>
      <c r="N215" s="21" t="s">
        <v>868</v>
      </c>
      <c r="O215" s="110">
        <v>1</v>
      </c>
      <c r="P215" s="110">
        <v>5</v>
      </c>
      <c r="Q215" s="110">
        <v>0</v>
      </c>
      <c r="R215" s="110"/>
      <c r="S215" s="21">
        <v>0</v>
      </c>
      <c r="V215" s="110">
        <v>0</v>
      </c>
      <c r="W215" s="21">
        <v>0</v>
      </c>
      <c r="X215" s="115">
        <v>1</v>
      </c>
      <c r="Y215" s="21">
        <v>-0.1</v>
      </c>
      <c r="Z215" s="110">
        <v>0</v>
      </c>
      <c r="AA215" s="110"/>
      <c r="AB215" s="21">
        <v>2.2</v>
      </c>
      <c r="AC215" s="110">
        <v>2</v>
      </c>
      <c r="AD215" s="110">
        <v>1</v>
      </c>
      <c r="AE215" s="125" t="s">
        <v>869</v>
      </c>
      <c r="AF215" s="21">
        <f t="shared" si="12"/>
        <v>0.5</v>
      </c>
      <c r="AH215" s="21">
        <v>2</v>
      </c>
      <c r="AN215" s="21">
        <v>299</v>
      </c>
      <c r="AO215" s="197" t="s">
        <v>136</v>
      </c>
      <c r="AV215" s="181"/>
    </row>
    <row r="216" s="10" customFormat="1" spans="1:48">
      <c r="A216" s="10">
        <v>210</v>
      </c>
      <c r="B216" s="10" t="s">
        <v>870</v>
      </c>
      <c r="C216" s="183" t="s">
        <v>871</v>
      </c>
      <c r="D216" s="10">
        <v>1</v>
      </c>
      <c r="E216" s="183">
        <v>0</v>
      </c>
      <c r="F216" s="183"/>
      <c r="G216" s="183">
        <v>2</v>
      </c>
      <c r="H216" s="184" t="s">
        <v>872</v>
      </c>
      <c r="I216" s="10">
        <v>1.56666666666667</v>
      </c>
      <c r="J216" s="10">
        <v>1.56666666666667</v>
      </c>
      <c r="L216" s="10">
        <f t="shared" si="11"/>
        <v>0</v>
      </c>
      <c r="M216" s="10">
        <f t="shared" ref="M216:M279" si="13">I216-0.4</f>
        <v>1.16666666666667</v>
      </c>
      <c r="N216" s="10" t="s">
        <v>873</v>
      </c>
      <c r="O216" s="192">
        <v>0</v>
      </c>
      <c r="P216" s="192">
        <v>0</v>
      </c>
      <c r="Q216" s="192">
        <v>1</v>
      </c>
      <c r="R216" s="192"/>
      <c r="S216" s="10">
        <v>0</v>
      </c>
      <c r="V216" s="192">
        <v>0</v>
      </c>
      <c r="W216" s="10">
        <v>0</v>
      </c>
      <c r="X216" s="194">
        <v>1</v>
      </c>
      <c r="Y216" s="10">
        <v>-0.1</v>
      </c>
      <c r="Z216" s="192">
        <v>0</v>
      </c>
      <c r="AA216" s="192"/>
      <c r="AB216" s="192"/>
      <c r="AC216" s="192"/>
      <c r="AD216" s="192">
        <v>0</v>
      </c>
      <c r="AF216" s="10">
        <f t="shared" si="12"/>
        <v>0</v>
      </c>
      <c r="AO216" s="198"/>
      <c r="AP216" s="10">
        <v>301</v>
      </c>
      <c r="AQ216" s="10" t="s">
        <v>136</v>
      </c>
      <c r="AV216" s="183">
        <v>1</v>
      </c>
    </row>
    <row r="217" s="10" customFormat="1" spans="1:48">
      <c r="A217" s="10">
        <v>211</v>
      </c>
      <c r="B217" s="10" t="s">
        <v>870</v>
      </c>
      <c r="C217" s="183" t="s">
        <v>874</v>
      </c>
      <c r="D217" s="10">
        <v>1</v>
      </c>
      <c r="E217" s="183">
        <v>0</v>
      </c>
      <c r="F217" s="183"/>
      <c r="G217" s="183">
        <v>2</v>
      </c>
      <c r="H217" s="184" t="s">
        <v>875</v>
      </c>
      <c r="I217" s="10">
        <v>1.43333333333333</v>
      </c>
      <c r="J217" s="10">
        <v>1.43333333333333</v>
      </c>
      <c r="L217" s="10">
        <f t="shared" si="11"/>
        <v>0</v>
      </c>
      <c r="M217" s="10">
        <f t="shared" si="13"/>
        <v>1.03333333333333</v>
      </c>
      <c r="N217" s="112" t="s">
        <v>876</v>
      </c>
      <c r="O217" s="192">
        <v>0</v>
      </c>
      <c r="P217" s="192">
        <v>0</v>
      </c>
      <c r="Q217" s="192">
        <v>1</v>
      </c>
      <c r="R217" s="192"/>
      <c r="S217" s="10">
        <v>0</v>
      </c>
      <c r="V217" s="192">
        <v>0</v>
      </c>
      <c r="W217" s="10">
        <v>0</v>
      </c>
      <c r="X217" s="194">
        <v>2</v>
      </c>
      <c r="Y217" s="10">
        <v>-0.1</v>
      </c>
      <c r="Z217" s="192">
        <v>0</v>
      </c>
      <c r="AA217" s="192"/>
      <c r="AB217" s="192"/>
      <c r="AC217" s="192"/>
      <c r="AD217" s="192">
        <v>0</v>
      </c>
      <c r="AF217" s="10">
        <f t="shared" si="12"/>
        <v>0</v>
      </c>
      <c r="AO217" s="198"/>
      <c r="AP217" s="10">
        <v>302</v>
      </c>
      <c r="AQ217" s="10" t="s">
        <v>136</v>
      </c>
      <c r="AV217" s="183"/>
    </row>
    <row r="218" s="10" customFormat="1" spans="1:48">
      <c r="A218" s="10">
        <v>212</v>
      </c>
      <c r="B218" s="10" t="s">
        <v>870</v>
      </c>
      <c r="C218" s="183" t="s">
        <v>877</v>
      </c>
      <c r="D218" s="10">
        <v>2</v>
      </c>
      <c r="E218" s="183">
        <v>1</v>
      </c>
      <c r="F218" s="183"/>
      <c r="G218" s="183">
        <v>2</v>
      </c>
      <c r="H218" s="184" t="s">
        <v>878</v>
      </c>
      <c r="I218" s="10">
        <v>1.73333333333333</v>
      </c>
      <c r="J218" s="10">
        <v>1.73333333333333</v>
      </c>
      <c r="L218" s="10">
        <f t="shared" si="11"/>
        <v>0</v>
      </c>
      <c r="M218" s="10">
        <f t="shared" si="13"/>
        <v>1.33333333333333</v>
      </c>
      <c r="N218" s="10" t="s">
        <v>879</v>
      </c>
      <c r="O218" s="192">
        <v>0</v>
      </c>
      <c r="P218" s="192">
        <v>0</v>
      </c>
      <c r="Q218" s="192">
        <v>1</v>
      </c>
      <c r="R218" s="192"/>
      <c r="S218" s="10">
        <v>0</v>
      </c>
      <c r="V218" s="192">
        <v>1000</v>
      </c>
      <c r="W218" s="10">
        <v>0</v>
      </c>
      <c r="X218" s="194">
        <v>1</v>
      </c>
      <c r="Y218" s="10">
        <v>-0.1</v>
      </c>
      <c r="Z218" s="192">
        <v>0</v>
      </c>
      <c r="AA218" s="192"/>
      <c r="AB218" s="192"/>
      <c r="AC218" s="192"/>
      <c r="AD218" s="192">
        <v>0</v>
      </c>
      <c r="AF218" s="10">
        <f t="shared" si="12"/>
        <v>0</v>
      </c>
      <c r="AO218" s="198"/>
      <c r="AP218" s="10">
        <v>303</v>
      </c>
      <c r="AQ218" s="10" t="s">
        <v>136</v>
      </c>
      <c r="AV218" s="183"/>
    </row>
    <row r="219" s="10" customFormat="1" spans="1:48">
      <c r="A219" s="10">
        <v>213</v>
      </c>
      <c r="B219" s="10" t="s">
        <v>870</v>
      </c>
      <c r="C219" s="183" t="s">
        <v>880</v>
      </c>
      <c r="D219" s="10">
        <v>1</v>
      </c>
      <c r="E219" s="183">
        <v>0</v>
      </c>
      <c r="F219" s="183"/>
      <c r="G219" s="183">
        <v>2</v>
      </c>
      <c r="H219" s="184" t="s">
        <v>881</v>
      </c>
      <c r="I219" s="10">
        <v>6.2</v>
      </c>
      <c r="J219" s="10">
        <v>5.33333333333333</v>
      </c>
      <c r="L219" s="10">
        <v>1</v>
      </c>
      <c r="M219" s="10">
        <f t="shared" si="13"/>
        <v>5.8</v>
      </c>
      <c r="N219" s="112" t="s">
        <v>882</v>
      </c>
      <c r="O219" s="192">
        <v>1</v>
      </c>
      <c r="P219" s="192">
        <v>10.5</v>
      </c>
      <c r="Q219" s="192">
        <v>0</v>
      </c>
      <c r="R219" s="192"/>
      <c r="S219" s="10">
        <v>0</v>
      </c>
      <c r="V219" s="192">
        <v>0</v>
      </c>
      <c r="W219" s="10">
        <v>0</v>
      </c>
      <c r="X219" s="194">
        <v>1</v>
      </c>
      <c r="Y219" s="10">
        <v>-0.1</v>
      </c>
      <c r="Z219" s="192">
        <v>0</v>
      </c>
      <c r="AA219" s="192">
        <v>1</v>
      </c>
      <c r="AC219" s="192"/>
      <c r="AD219" s="192">
        <v>1</v>
      </c>
      <c r="AE219" s="10" t="s">
        <v>883</v>
      </c>
      <c r="AF219" s="10">
        <f t="shared" si="12"/>
        <v>0.5</v>
      </c>
      <c r="AO219" s="198"/>
      <c r="AP219" s="10">
        <v>304</v>
      </c>
      <c r="AQ219" s="10" t="s">
        <v>136</v>
      </c>
      <c r="AV219" s="183"/>
    </row>
    <row r="220" spans="1:48">
      <c r="A220" s="185">
        <v>214</v>
      </c>
      <c r="B220" s="185" t="s">
        <v>884</v>
      </c>
      <c r="C220" s="186" t="s">
        <v>885</v>
      </c>
      <c r="D220">
        <v>1</v>
      </c>
      <c r="E220">
        <v>0</v>
      </c>
      <c r="G220">
        <v>1</v>
      </c>
      <c r="H220" s="82" t="s">
        <v>886</v>
      </c>
      <c r="I220" s="20">
        <v>1.83333333333333</v>
      </c>
      <c r="J220" s="20">
        <v>1.83333333333333</v>
      </c>
      <c r="K220" s="20"/>
      <c r="L220">
        <f t="shared" si="11"/>
        <v>0</v>
      </c>
      <c r="M220">
        <f t="shared" si="13"/>
        <v>1.43333333333333</v>
      </c>
      <c r="N220" s="20" t="s">
        <v>887</v>
      </c>
      <c r="O220" s="20">
        <v>1</v>
      </c>
      <c r="P220">
        <v>5</v>
      </c>
      <c r="Q220" s="20">
        <v>0</v>
      </c>
      <c r="R220" s="20"/>
      <c r="V220" s="20">
        <v>1</v>
      </c>
      <c r="W220">
        <v>0</v>
      </c>
      <c r="X220" s="7">
        <v>2</v>
      </c>
      <c r="Y220">
        <v>-0.1</v>
      </c>
      <c r="Z220" s="20">
        <v>0</v>
      </c>
      <c r="AA220" s="20"/>
      <c r="AB220" s="20"/>
      <c r="AC220" s="20"/>
      <c r="AD220" s="20">
        <v>0</v>
      </c>
      <c r="AE220" s="20"/>
      <c r="AF220">
        <f t="shared" si="12"/>
        <v>0</v>
      </c>
      <c r="AG220" s="20"/>
      <c r="AH220" s="20"/>
      <c r="AI220" s="20"/>
      <c r="AJ220" s="20"/>
      <c r="AK220" s="20"/>
      <c r="AL220" s="20"/>
      <c r="AM220" s="20"/>
      <c r="AN220" s="119">
        <v>307</v>
      </c>
      <c r="AO220" s="20" t="s">
        <v>136</v>
      </c>
      <c r="AP220" s="20"/>
      <c r="AQ220" s="20"/>
      <c r="AV220">
        <v>1</v>
      </c>
    </row>
    <row r="221" spans="1:43">
      <c r="A221" s="185">
        <v>215</v>
      </c>
      <c r="B221" s="185" t="s">
        <v>884</v>
      </c>
      <c r="C221" s="186" t="s">
        <v>888</v>
      </c>
      <c r="D221">
        <v>4</v>
      </c>
      <c r="E221">
        <v>0</v>
      </c>
      <c r="G221">
        <v>1</v>
      </c>
      <c r="H221" s="82" t="s">
        <v>889</v>
      </c>
      <c r="I221" s="20">
        <v>4.5</v>
      </c>
      <c r="J221" s="20">
        <v>4.5</v>
      </c>
      <c r="K221" s="20"/>
      <c r="L221">
        <v>1</v>
      </c>
      <c r="M221">
        <f t="shared" si="13"/>
        <v>4.1</v>
      </c>
      <c r="N221" s="20" t="s">
        <v>890</v>
      </c>
      <c r="O221" s="20">
        <v>1</v>
      </c>
      <c r="P221">
        <v>1.2</v>
      </c>
      <c r="Q221" s="20">
        <v>0</v>
      </c>
      <c r="R221" s="20"/>
      <c r="V221" s="20">
        <v>1</v>
      </c>
      <c r="W221">
        <v>0</v>
      </c>
      <c r="X221" s="7">
        <v>2</v>
      </c>
      <c r="Y221">
        <v>-0.1</v>
      </c>
      <c r="Z221" s="20">
        <v>0</v>
      </c>
      <c r="AA221" s="20"/>
      <c r="AB221" s="20">
        <v>4.3</v>
      </c>
      <c r="AC221" s="20">
        <v>2</v>
      </c>
      <c r="AD221" s="20">
        <v>1</v>
      </c>
      <c r="AE221" s="15" t="s">
        <v>891</v>
      </c>
      <c r="AF221">
        <f t="shared" si="12"/>
        <v>0.5</v>
      </c>
      <c r="AG221" s="20"/>
      <c r="AH221" s="20">
        <v>1</v>
      </c>
      <c r="AI221" s="20"/>
      <c r="AJ221" s="20"/>
      <c r="AK221" s="20"/>
      <c r="AL221" s="20"/>
      <c r="AM221" s="20"/>
      <c r="AN221" s="119">
        <v>308</v>
      </c>
      <c r="AO221" s="20" t="s">
        <v>136</v>
      </c>
      <c r="AP221" s="20"/>
      <c r="AQ221" s="20"/>
    </row>
    <row r="222" spans="1:43">
      <c r="A222" s="185">
        <v>216</v>
      </c>
      <c r="B222" s="185" t="s">
        <v>884</v>
      </c>
      <c r="C222" s="186" t="s">
        <v>892</v>
      </c>
      <c r="D222">
        <v>3</v>
      </c>
      <c r="E222">
        <v>1</v>
      </c>
      <c r="G222">
        <v>1</v>
      </c>
      <c r="H222" s="82" t="s">
        <v>893</v>
      </c>
      <c r="I222" s="20">
        <v>3.5</v>
      </c>
      <c r="J222" s="20">
        <v>3.5</v>
      </c>
      <c r="K222" s="20"/>
      <c r="L222">
        <f t="shared" si="11"/>
        <v>0</v>
      </c>
      <c r="M222">
        <f t="shared" si="13"/>
        <v>3.1</v>
      </c>
      <c r="N222" s="20" t="s">
        <v>894</v>
      </c>
      <c r="O222" s="20">
        <v>5</v>
      </c>
      <c r="P222">
        <v>0</v>
      </c>
      <c r="Q222" s="20">
        <v>2</v>
      </c>
      <c r="R222" s="20"/>
      <c r="S222" s="10">
        <v>1</v>
      </c>
      <c r="T222" s="20">
        <v>0</v>
      </c>
      <c r="U222" s="20">
        <v>0</v>
      </c>
      <c r="V222" s="20">
        <v>1000</v>
      </c>
      <c r="W222">
        <v>0</v>
      </c>
      <c r="X222" s="7">
        <v>0</v>
      </c>
      <c r="Y222">
        <v>-0.1</v>
      </c>
      <c r="Z222" s="20">
        <v>0</v>
      </c>
      <c r="AA222" s="20"/>
      <c r="AB222" s="20"/>
      <c r="AC222" s="20"/>
      <c r="AD222" s="20">
        <v>0</v>
      </c>
      <c r="AF222">
        <f t="shared" si="12"/>
        <v>0</v>
      </c>
      <c r="AG222" s="20"/>
      <c r="AH222" s="20"/>
      <c r="AI222" s="20"/>
      <c r="AJ222" s="20"/>
      <c r="AK222" s="20"/>
      <c r="AL222" s="20"/>
      <c r="AM222" s="20"/>
      <c r="AN222" s="119" t="s">
        <v>895</v>
      </c>
      <c r="AO222" s="20" t="s">
        <v>896</v>
      </c>
      <c r="AP222" s="20"/>
      <c r="AQ222" s="20"/>
    </row>
    <row r="223" spans="1:43">
      <c r="A223" s="185">
        <v>217</v>
      </c>
      <c r="B223" s="185" t="s">
        <v>884</v>
      </c>
      <c r="C223" s="186" t="s">
        <v>897</v>
      </c>
      <c r="D223">
        <v>1</v>
      </c>
      <c r="E223">
        <v>0</v>
      </c>
      <c r="G223">
        <v>1</v>
      </c>
      <c r="H223" s="82" t="s">
        <v>898</v>
      </c>
      <c r="I223" s="20">
        <v>2.16666666666667</v>
      </c>
      <c r="J223" s="20">
        <v>2.16666666666667</v>
      </c>
      <c r="K223" s="20"/>
      <c r="L223">
        <f t="shared" si="11"/>
        <v>0</v>
      </c>
      <c r="M223">
        <f t="shared" si="13"/>
        <v>1.76666666666667</v>
      </c>
      <c r="N223" s="107" t="s">
        <v>899</v>
      </c>
      <c r="O223" s="20">
        <v>1</v>
      </c>
      <c r="P223">
        <v>5</v>
      </c>
      <c r="Q223" s="20">
        <v>0</v>
      </c>
      <c r="R223" s="20"/>
      <c r="V223" s="20">
        <v>1</v>
      </c>
      <c r="W223">
        <v>0</v>
      </c>
      <c r="X223" s="7">
        <v>1</v>
      </c>
      <c r="Y223">
        <v>-0.1</v>
      </c>
      <c r="Z223" s="20">
        <v>0</v>
      </c>
      <c r="AA223" s="20"/>
      <c r="AB223" s="20"/>
      <c r="AC223" s="20"/>
      <c r="AD223" s="20">
        <v>0</v>
      </c>
      <c r="AE223" s="20"/>
      <c r="AF223">
        <f t="shared" si="12"/>
        <v>0</v>
      </c>
      <c r="AG223" s="20"/>
      <c r="AH223" s="20"/>
      <c r="AI223" s="20"/>
      <c r="AJ223" s="20"/>
      <c r="AK223" s="20"/>
      <c r="AL223" s="20"/>
      <c r="AM223" s="20"/>
      <c r="AN223" s="119">
        <v>311</v>
      </c>
      <c r="AO223" s="20" t="s">
        <v>136</v>
      </c>
      <c r="AP223" s="20"/>
      <c r="AQ223" s="20"/>
    </row>
    <row r="224" spans="1:48">
      <c r="A224">
        <v>218</v>
      </c>
      <c r="B224" t="s">
        <v>900</v>
      </c>
      <c r="C224" s="82" t="s">
        <v>901</v>
      </c>
      <c r="D224">
        <v>3</v>
      </c>
      <c r="E224" s="82">
        <v>1</v>
      </c>
      <c r="F224" s="82"/>
      <c r="G224" s="82">
        <v>2</v>
      </c>
      <c r="H224" s="168" t="s">
        <v>902</v>
      </c>
      <c r="I224">
        <v>1.86666666666667</v>
      </c>
      <c r="J224">
        <v>1.86666666666667</v>
      </c>
      <c r="L224">
        <f t="shared" si="11"/>
        <v>0</v>
      </c>
      <c r="M224">
        <f t="shared" si="13"/>
        <v>1.46666666666667</v>
      </c>
      <c r="N224" t="s">
        <v>903</v>
      </c>
      <c r="O224" s="108">
        <v>0</v>
      </c>
      <c r="P224" s="108">
        <v>0</v>
      </c>
      <c r="Q224" s="108">
        <v>0</v>
      </c>
      <c r="R224" s="108"/>
      <c r="S224">
        <v>0</v>
      </c>
      <c r="V224" s="108">
        <v>101</v>
      </c>
      <c r="W224">
        <v>0</v>
      </c>
      <c r="X224" s="7">
        <v>0</v>
      </c>
      <c r="Y224">
        <v>-0.1</v>
      </c>
      <c r="Z224" s="108">
        <v>0</v>
      </c>
      <c r="AA224" s="108"/>
      <c r="AB224" s="108"/>
      <c r="AC224" s="108"/>
      <c r="AD224" s="108">
        <v>0</v>
      </c>
      <c r="AF224">
        <f t="shared" si="12"/>
        <v>0</v>
      </c>
      <c r="AN224" s="10">
        <v>220</v>
      </c>
      <c r="AO224" s="180" t="s">
        <v>136</v>
      </c>
      <c r="AV224" s="82">
        <v>0</v>
      </c>
    </row>
    <row r="225" spans="1:48">
      <c r="A225">
        <v>219</v>
      </c>
      <c r="B225" t="s">
        <v>900</v>
      </c>
      <c r="C225" s="82" t="s">
        <v>904</v>
      </c>
      <c r="D225">
        <v>1</v>
      </c>
      <c r="E225" s="82">
        <v>0</v>
      </c>
      <c r="F225" s="82"/>
      <c r="G225" s="82">
        <v>2</v>
      </c>
      <c r="H225" s="168" t="s">
        <v>905</v>
      </c>
      <c r="I225">
        <v>1.16666666666667</v>
      </c>
      <c r="J225">
        <v>1.16666666666667</v>
      </c>
      <c r="L225">
        <f t="shared" si="11"/>
        <v>0</v>
      </c>
      <c r="M225">
        <f t="shared" si="13"/>
        <v>0.76666666666667</v>
      </c>
      <c r="N225" s="104" t="s">
        <v>906</v>
      </c>
      <c r="O225" s="108">
        <v>0</v>
      </c>
      <c r="P225" s="108">
        <v>0</v>
      </c>
      <c r="Q225" s="108">
        <v>0</v>
      </c>
      <c r="R225" s="108"/>
      <c r="S225">
        <v>0</v>
      </c>
      <c r="V225" s="108">
        <v>1</v>
      </c>
      <c r="W225">
        <v>0</v>
      </c>
      <c r="X225" s="7">
        <v>1</v>
      </c>
      <c r="Y225">
        <v>-0.1</v>
      </c>
      <c r="Z225" s="108">
        <v>0</v>
      </c>
      <c r="AA225" s="108"/>
      <c r="AB225" s="108"/>
      <c r="AC225" s="108"/>
      <c r="AD225" s="108">
        <v>0</v>
      </c>
      <c r="AF225">
        <f t="shared" si="12"/>
        <v>0</v>
      </c>
      <c r="AN225" s="10">
        <v>221</v>
      </c>
      <c r="AO225" s="180" t="s">
        <v>136</v>
      </c>
      <c r="AV225" s="82"/>
    </row>
    <row r="226" spans="1:48">
      <c r="A226">
        <v>220</v>
      </c>
      <c r="B226" t="s">
        <v>900</v>
      </c>
      <c r="C226" s="82" t="s">
        <v>907</v>
      </c>
      <c r="D226">
        <v>1</v>
      </c>
      <c r="E226" s="82">
        <v>0</v>
      </c>
      <c r="F226" s="82"/>
      <c r="G226" s="82">
        <v>2</v>
      </c>
      <c r="H226" s="168" t="s">
        <v>908</v>
      </c>
      <c r="I226">
        <v>1.76666666666667</v>
      </c>
      <c r="J226">
        <v>1.76666666666667</v>
      </c>
      <c r="L226">
        <f t="shared" si="11"/>
        <v>0</v>
      </c>
      <c r="M226">
        <f t="shared" si="13"/>
        <v>1.36666666666667</v>
      </c>
      <c r="N226" s="104" t="s">
        <v>909</v>
      </c>
      <c r="O226" s="108">
        <v>0</v>
      </c>
      <c r="P226" s="108">
        <v>0</v>
      </c>
      <c r="Q226" s="108">
        <v>0</v>
      </c>
      <c r="R226" s="108"/>
      <c r="S226">
        <v>0</v>
      </c>
      <c r="V226" s="108">
        <v>1</v>
      </c>
      <c r="W226">
        <v>0</v>
      </c>
      <c r="X226" s="7">
        <v>1</v>
      </c>
      <c r="Y226">
        <v>-0.1</v>
      </c>
      <c r="Z226" s="108">
        <v>0</v>
      </c>
      <c r="AA226" s="108"/>
      <c r="AB226" s="108"/>
      <c r="AC226" s="108"/>
      <c r="AD226" s="108">
        <v>0</v>
      </c>
      <c r="AF226">
        <f t="shared" si="12"/>
        <v>0</v>
      </c>
      <c r="AN226" s="10">
        <v>222</v>
      </c>
      <c r="AO226" s="180" t="s">
        <v>136</v>
      </c>
      <c r="AV226" s="82"/>
    </row>
    <row r="227" spans="1:48">
      <c r="A227">
        <v>221</v>
      </c>
      <c r="B227" t="s">
        <v>900</v>
      </c>
      <c r="C227" s="82" t="s">
        <v>910</v>
      </c>
      <c r="D227">
        <v>1</v>
      </c>
      <c r="E227" s="82">
        <v>0</v>
      </c>
      <c r="F227" s="82"/>
      <c r="G227" s="82">
        <v>2</v>
      </c>
      <c r="H227" s="168" t="s">
        <v>911</v>
      </c>
      <c r="I227">
        <v>2.83333333333333</v>
      </c>
      <c r="J227">
        <v>2.83333333333333</v>
      </c>
      <c r="L227">
        <v>1</v>
      </c>
      <c r="M227">
        <f t="shared" si="13"/>
        <v>2.43333333333333</v>
      </c>
      <c r="N227" t="s">
        <v>912</v>
      </c>
      <c r="O227" s="108">
        <v>0</v>
      </c>
      <c r="P227" s="108">
        <v>0</v>
      </c>
      <c r="Q227" s="108">
        <v>0</v>
      </c>
      <c r="R227" s="108"/>
      <c r="S227">
        <v>0</v>
      </c>
      <c r="V227" s="108">
        <v>1</v>
      </c>
      <c r="W227">
        <v>0</v>
      </c>
      <c r="X227" s="7">
        <v>1</v>
      </c>
      <c r="Y227">
        <v>-0.1</v>
      </c>
      <c r="Z227" s="108">
        <v>0</v>
      </c>
      <c r="AA227" s="108"/>
      <c r="AB227" s="108"/>
      <c r="AC227" s="108"/>
      <c r="AD227" s="108">
        <v>1</v>
      </c>
      <c r="AE227" s="15" t="s">
        <v>913</v>
      </c>
      <c r="AF227">
        <f t="shared" si="12"/>
        <v>0.5</v>
      </c>
      <c r="AN227" s="154" t="s">
        <v>914</v>
      </c>
      <c r="AO227" s="180" t="s">
        <v>915</v>
      </c>
      <c r="AV227" s="82"/>
    </row>
    <row r="228" spans="1:48">
      <c r="A228">
        <v>222</v>
      </c>
      <c r="B228" t="s">
        <v>916</v>
      </c>
      <c r="C228" s="4" t="s">
        <v>917</v>
      </c>
      <c r="D228" s="4">
        <v>1</v>
      </c>
      <c r="E228" s="4">
        <v>0</v>
      </c>
      <c r="F228" s="4"/>
      <c r="G228" s="4"/>
      <c r="H228" s="4" t="s">
        <v>918</v>
      </c>
      <c r="I228" s="4">
        <v>1.66666666666667</v>
      </c>
      <c r="J228" s="4">
        <v>1.66666666666667</v>
      </c>
      <c r="K228" s="4"/>
      <c r="L228">
        <f t="shared" si="11"/>
        <v>0</v>
      </c>
      <c r="M228" s="4">
        <f t="shared" si="13"/>
        <v>1.26666666666667</v>
      </c>
      <c r="N228" s="4" t="s">
        <v>919</v>
      </c>
      <c r="O228" s="4">
        <v>1</v>
      </c>
      <c r="P228" s="4">
        <v>3</v>
      </c>
      <c r="Q228" s="4">
        <v>0</v>
      </c>
      <c r="R228" s="4">
        <v>1</v>
      </c>
      <c r="S228" s="4">
        <v>0</v>
      </c>
      <c r="T228" s="4"/>
      <c r="U228" s="4">
        <v>0.8</v>
      </c>
      <c r="V228" s="4">
        <v>1</v>
      </c>
      <c r="W228" s="4">
        <v>6</v>
      </c>
      <c r="X228" s="150">
        <v>2</v>
      </c>
      <c r="Y228" s="4">
        <v>0.3</v>
      </c>
      <c r="Z228" s="4">
        <v>0</v>
      </c>
      <c r="AA228" s="4"/>
      <c r="AB228" s="4"/>
      <c r="AC228" s="4"/>
      <c r="AD228" s="4"/>
      <c r="AE228" s="4"/>
      <c r="AF228">
        <f t="shared" si="12"/>
        <v>0</v>
      </c>
      <c r="AG228" s="4"/>
      <c r="AH228" s="4"/>
      <c r="AI228" s="4"/>
      <c r="AJ228" s="4"/>
      <c r="AK228" s="4"/>
      <c r="AL228" s="4"/>
      <c r="AM228" s="4"/>
      <c r="AN228" s="156">
        <v>740</v>
      </c>
      <c r="AO228" s="4" t="s">
        <v>136</v>
      </c>
      <c r="AP228" s="4"/>
      <c r="AQ228" s="4"/>
      <c r="AV228" s="4"/>
    </row>
    <row r="229" spans="1:48">
      <c r="A229">
        <v>223</v>
      </c>
      <c r="B229" t="s">
        <v>920</v>
      </c>
      <c r="C229" s="82" t="s">
        <v>526</v>
      </c>
      <c r="D229">
        <v>1</v>
      </c>
      <c r="E229" s="82">
        <v>0</v>
      </c>
      <c r="F229" s="82"/>
      <c r="G229" s="82"/>
      <c r="H229" s="168" t="s">
        <v>921</v>
      </c>
      <c r="I229">
        <v>1.83333333333333</v>
      </c>
      <c r="J229">
        <v>1.7</v>
      </c>
      <c r="L229">
        <f t="shared" si="11"/>
        <v>0</v>
      </c>
      <c r="M229">
        <f t="shared" si="13"/>
        <v>1.43333333333333</v>
      </c>
      <c r="N229" t="s">
        <v>697</v>
      </c>
      <c r="O229" s="108">
        <v>1</v>
      </c>
      <c r="P229" s="108">
        <v>0</v>
      </c>
      <c r="Q229" s="108">
        <v>0</v>
      </c>
      <c r="R229" s="108"/>
      <c r="S229" s="108">
        <v>0</v>
      </c>
      <c r="T229" s="108"/>
      <c r="U229" s="108"/>
      <c r="V229" s="108">
        <v>0</v>
      </c>
      <c r="W229">
        <v>0</v>
      </c>
      <c r="X229" s="7">
        <v>1</v>
      </c>
      <c r="Y229">
        <v>-0.1</v>
      </c>
      <c r="Z229" s="108">
        <v>0</v>
      </c>
      <c r="AA229" s="108"/>
      <c r="AB229" s="108"/>
      <c r="AC229" s="108"/>
      <c r="AD229" s="108">
        <v>0</v>
      </c>
      <c r="AF229">
        <f t="shared" si="12"/>
        <v>0</v>
      </c>
      <c r="AN229" s="10">
        <v>315</v>
      </c>
      <c r="AO229" s="180" t="s">
        <v>136</v>
      </c>
      <c r="AV229" s="82">
        <v>1</v>
      </c>
    </row>
    <row r="230" spans="1:48">
      <c r="A230">
        <v>224</v>
      </c>
      <c r="B230" t="s">
        <v>920</v>
      </c>
      <c r="C230" s="82" t="s">
        <v>922</v>
      </c>
      <c r="D230">
        <v>1</v>
      </c>
      <c r="E230" s="82">
        <v>0</v>
      </c>
      <c r="F230" s="82"/>
      <c r="G230" s="82"/>
      <c r="H230" s="168" t="s">
        <v>923</v>
      </c>
      <c r="I230">
        <v>2.16666666666667</v>
      </c>
      <c r="J230">
        <v>1.83333333333333</v>
      </c>
      <c r="L230">
        <f t="shared" si="11"/>
        <v>0</v>
      </c>
      <c r="M230">
        <f t="shared" si="13"/>
        <v>1.76666666666667</v>
      </c>
      <c r="N230" s="104" t="s">
        <v>700</v>
      </c>
      <c r="O230" s="108">
        <v>0</v>
      </c>
      <c r="P230" s="108">
        <v>0</v>
      </c>
      <c r="Q230" s="108">
        <v>0</v>
      </c>
      <c r="R230" s="108"/>
      <c r="S230" s="108">
        <v>0</v>
      </c>
      <c r="T230" s="108"/>
      <c r="U230" s="108"/>
      <c r="V230" s="108">
        <v>0</v>
      </c>
      <c r="W230">
        <v>0</v>
      </c>
      <c r="X230" s="7">
        <v>3</v>
      </c>
      <c r="Y230">
        <v>0.4</v>
      </c>
      <c r="Z230" s="108">
        <v>0</v>
      </c>
      <c r="AA230" s="108"/>
      <c r="AB230" s="108"/>
      <c r="AC230" s="108"/>
      <c r="AD230" s="108">
        <v>0</v>
      </c>
      <c r="AF230">
        <f t="shared" si="12"/>
        <v>0</v>
      </c>
      <c r="AN230" s="10">
        <v>316</v>
      </c>
      <c r="AO230" s="180" t="s">
        <v>136</v>
      </c>
      <c r="AV230" s="82"/>
    </row>
    <row r="231" spans="1:48">
      <c r="A231">
        <v>225</v>
      </c>
      <c r="B231" t="s">
        <v>924</v>
      </c>
      <c r="C231" t="s">
        <v>925</v>
      </c>
      <c r="D231">
        <v>1</v>
      </c>
      <c r="E231">
        <v>0</v>
      </c>
      <c r="G231">
        <v>2</v>
      </c>
      <c r="H231" s="82" t="s">
        <v>926</v>
      </c>
      <c r="I231">
        <v>1.9</v>
      </c>
      <c r="J231">
        <v>1.9</v>
      </c>
      <c r="L231">
        <f t="shared" si="11"/>
        <v>0</v>
      </c>
      <c r="M231">
        <f t="shared" si="13"/>
        <v>1.5</v>
      </c>
      <c r="N231" s="1" t="s">
        <v>927</v>
      </c>
      <c r="O231">
        <v>1</v>
      </c>
      <c r="P231">
        <v>5</v>
      </c>
      <c r="Q231">
        <v>0</v>
      </c>
      <c r="S231" s="108">
        <v>0</v>
      </c>
      <c r="V231">
        <v>1</v>
      </c>
      <c r="W231">
        <v>0</v>
      </c>
      <c r="X231" s="7">
        <v>3</v>
      </c>
      <c r="Y231">
        <v>-0.1</v>
      </c>
      <c r="Z231">
        <v>0</v>
      </c>
      <c r="AD231">
        <v>0</v>
      </c>
      <c r="AF231">
        <f t="shared" si="12"/>
        <v>0</v>
      </c>
      <c r="AN231" s="8">
        <v>349</v>
      </c>
      <c r="AO231" t="s">
        <v>136</v>
      </c>
      <c r="AV231">
        <v>1</v>
      </c>
    </row>
    <row r="232" spans="1:41">
      <c r="A232">
        <v>226</v>
      </c>
      <c r="B232" t="s">
        <v>924</v>
      </c>
      <c r="C232" t="s">
        <v>928</v>
      </c>
      <c r="D232">
        <v>2</v>
      </c>
      <c r="E232">
        <v>1</v>
      </c>
      <c r="G232">
        <v>2</v>
      </c>
      <c r="H232" s="82" t="s">
        <v>929</v>
      </c>
      <c r="I232">
        <v>1.63333333333333</v>
      </c>
      <c r="J232">
        <v>1.63333333333333</v>
      </c>
      <c r="L232">
        <f t="shared" si="11"/>
        <v>0</v>
      </c>
      <c r="M232">
        <f t="shared" si="13"/>
        <v>1.23333333333333</v>
      </c>
      <c r="N232" s="1" t="s">
        <v>930</v>
      </c>
      <c r="O232">
        <v>5</v>
      </c>
      <c r="P232">
        <v>0</v>
      </c>
      <c r="Q232">
        <v>0</v>
      </c>
      <c r="S232">
        <v>1</v>
      </c>
      <c r="T232">
        <v>0</v>
      </c>
      <c r="V232">
        <v>1000</v>
      </c>
      <c r="W232">
        <v>0</v>
      </c>
      <c r="X232" s="7">
        <v>0</v>
      </c>
      <c r="Y232">
        <v>-0.1</v>
      </c>
      <c r="Z232">
        <v>0</v>
      </c>
      <c r="AD232">
        <v>0</v>
      </c>
      <c r="AF232">
        <f t="shared" si="12"/>
        <v>0</v>
      </c>
      <c r="AN232" s="8">
        <v>350</v>
      </c>
      <c r="AO232" t="s">
        <v>136</v>
      </c>
    </row>
    <row r="233" spans="1:55">
      <c r="A233">
        <v>227</v>
      </c>
      <c r="B233" t="s">
        <v>924</v>
      </c>
      <c r="C233" t="s">
        <v>931</v>
      </c>
      <c r="D233">
        <v>1</v>
      </c>
      <c r="E233">
        <v>0</v>
      </c>
      <c r="G233">
        <v>2</v>
      </c>
      <c r="H233" s="82" t="s">
        <v>932</v>
      </c>
      <c r="I233">
        <v>3.8</v>
      </c>
      <c r="J233">
        <v>3.8</v>
      </c>
      <c r="L233">
        <f t="shared" si="11"/>
        <v>1</v>
      </c>
      <c r="M233">
        <f t="shared" si="13"/>
        <v>3.4</v>
      </c>
      <c r="N233" s="1" t="s">
        <v>933</v>
      </c>
      <c r="O233">
        <v>1</v>
      </c>
      <c r="P233">
        <v>5</v>
      </c>
      <c r="Q233">
        <v>0</v>
      </c>
      <c r="S233">
        <v>2</v>
      </c>
      <c r="V233">
        <v>1</v>
      </c>
      <c r="W233">
        <v>0</v>
      </c>
      <c r="X233" s="7">
        <v>6</v>
      </c>
      <c r="Y233">
        <v>-0.1</v>
      </c>
      <c r="Z233">
        <v>0</v>
      </c>
      <c r="AD233">
        <v>0</v>
      </c>
      <c r="AF233">
        <f t="shared" si="12"/>
        <v>0</v>
      </c>
      <c r="AI233">
        <v>1</v>
      </c>
      <c r="AJ233">
        <v>2</v>
      </c>
      <c r="AK233" t="s">
        <v>934</v>
      </c>
      <c r="AL233">
        <v>0</v>
      </c>
      <c r="AM233">
        <v>2.5</v>
      </c>
      <c r="AP233" s="8">
        <v>351</v>
      </c>
      <c r="AQ233" t="s">
        <v>136</v>
      </c>
      <c r="BC233" t="s">
        <v>935</v>
      </c>
    </row>
    <row r="234" spans="1:55">
      <c r="A234">
        <v>228</v>
      </c>
      <c r="B234" t="s">
        <v>924</v>
      </c>
      <c r="C234" t="s">
        <v>936</v>
      </c>
      <c r="D234">
        <v>1</v>
      </c>
      <c r="E234">
        <v>0</v>
      </c>
      <c r="G234">
        <v>2</v>
      </c>
      <c r="H234" s="82" t="s">
        <v>937</v>
      </c>
      <c r="I234">
        <v>2.13333333333333</v>
      </c>
      <c r="J234">
        <v>2.13333333333333</v>
      </c>
      <c r="K234">
        <v>1.5</v>
      </c>
      <c r="L234">
        <f t="shared" si="11"/>
        <v>1</v>
      </c>
      <c r="M234">
        <f t="shared" si="13"/>
        <v>1.73333333333333</v>
      </c>
      <c r="N234" s="1" t="s">
        <v>938</v>
      </c>
      <c r="O234">
        <v>1</v>
      </c>
      <c r="P234">
        <v>5</v>
      </c>
      <c r="Q234">
        <v>0</v>
      </c>
      <c r="S234">
        <v>-1.5</v>
      </c>
      <c r="U234">
        <v>0.8</v>
      </c>
      <c r="V234">
        <v>1</v>
      </c>
      <c r="W234">
        <v>4</v>
      </c>
      <c r="X234" s="7">
        <v>9</v>
      </c>
      <c r="Y234">
        <v>-0.1</v>
      </c>
      <c r="Z234">
        <v>0</v>
      </c>
      <c r="AD234">
        <v>0</v>
      </c>
      <c r="AF234">
        <f t="shared" si="12"/>
        <v>0</v>
      </c>
      <c r="AP234" s="8">
        <v>352</v>
      </c>
      <c r="AQ234" t="s">
        <v>136</v>
      </c>
      <c r="BC234" t="s">
        <v>939</v>
      </c>
    </row>
    <row r="235" spans="1:55">
      <c r="A235" s="28">
        <v>229</v>
      </c>
      <c r="B235" t="s">
        <v>924</v>
      </c>
      <c r="C235" t="s">
        <v>940</v>
      </c>
      <c r="D235">
        <v>2</v>
      </c>
      <c r="E235">
        <v>0</v>
      </c>
      <c r="G235">
        <v>2</v>
      </c>
      <c r="H235" s="82" t="s">
        <v>941</v>
      </c>
      <c r="I235">
        <v>3.83333333333333</v>
      </c>
      <c r="J235">
        <v>3.83333333333333</v>
      </c>
      <c r="K235">
        <v>0.3</v>
      </c>
      <c r="L235">
        <v>1</v>
      </c>
      <c r="M235">
        <f t="shared" si="13"/>
        <v>3.43333333333333</v>
      </c>
      <c r="N235" s="1" t="s">
        <v>942</v>
      </c>
      <c r="O235">
        <v>1</v>
      </c>
      <c r="P235">
        <v>2</v>
      </c>
      <c r="Q235">
        <v>2</v>
      </c>
      <c r="S235">
        <v>0</v>
      </c>
      <c r="V235">
        <v>1</v>
      </c>
      <c r="W235">
        <v>0</v>
      </c>
      <c r="X235" s="7">
        <v>3</v>
      </c>
      <c r="Y235">
        <v>-0.1</v>
      </c>
      <c r="Z235">
        <v>0</v>
      </c>
      <c r="AB235">
        <v>3.55</v>
      </c>
      <c r="AC235">
        <v>2</v>
      </c>
      <c r="AD235">
        <v>1</v>
      </c>
      <c r="AE235" s="15" t="s">
        <v>943</v>
      </c>
      <c r="AF235">
        <f t="shared" si="12"/>
        <v>0.5</v>
      </c>
      <c r="AN235" s="8">
        <v>353</v>
      </c>
      <c r="AO235" t="s">
        <v>136</v>
      </c>
      <c r="AS235"/>
      <c r="BC235" t="s">
        <v>944</v>
      </c>
    </row>
    <row r="236" spans="1:55">
      <c r="A236">
        <v>230</v>
      </c>
      <c r="B236" t="s">
        <v>924</v>
      </c>
      <c r="C236" t="s">
        <v>945</v>
      </c>
      <c r="D236">
        <v>1</v>
      </c>
      <c r="E236">
        <v>0</v>
      </c>
      <c r="G236">
        <v>2</v>
      </c>
      <c r="H236" s="82" t="s">
        <v>946</v>
      </c>
      <c r="I236">
        <v>2</v>
      </c>
      <c r="J236">
        <v>2</v>
      </c>
      <c r="L236">
        <f t="shared" si="11"/>
        <v>0</v>
      </c>
      <c r="M236">
        <f t="shared" si="13"/>
        <v>1.6</v>
      </c>
      <c r="N236" s="1" t="s">
        <v>947</v>
      </c>
      <c r="O236">
        <v>1</v>
      </c>
      <c r="P236">
        <v>5</v>
      </c>
      <c r="Q236">
        <v>0</v>
      </c>
      <c r="S236">
        <v>-1.5</v>
      </c>
      <c r="U236">
        <v>0.8</v>
      </c>
      <c r="V236">
        <v>1</v>
      </c>
      <c r="W236">
        <v>6</v>
      </c>
      <c r="X236" s="7">
        <v>3</v>
      </c>
      <c r="Y236">
        <v>-0.1</v>
      </c>
      <c r="Z236">
        <v>0</v>
      </c>
      <c r="AD236">
        <v>0</v>
      </c>
      <c r="AF236">
        <f t="shared" si="12"/>
        <v>0</v>
      </c>
      <c r="AN236" s="8">
        <v>354</v>
      </c>
      <c r="AO236" t="s">
        <v>136</v>
      </c>
      <c r="BC236" t="s">
        <v>948</v>
      </c>
    </row>
    <row r="237" spans="1:55">
      <c r="A237">
        <v>231</v>
      </c>
      <c r="B237" t="s">
        <v>924</v>
      </c>
      <c r="C237" t="s">
        <v>949</v>
      </c>
      <c r="D237">
        <v>1</v>
      </c>
      <c r="E237">
        <v>0</v>
      </c>
      <c r="G237">
        <v>2</v>
      </c>
      <c r="H237" s="82" t="s">
        <v>950</v>
      </c>
      <c r="I237">
        <v>4.33333</v>
      </c>
      <c r="J237">
        <v>4.33333</v>
      </c>
      <c r="L237">
        <v>1</v>
      </c>
      <c r="M237">
        <f t="shared" si="13"/>
        <v>3.93333</v>
      </c>
      <c r="N237" s="1" t="s">
        <v>951</v>
      </c>
      <c r="O237">
        <v>1</v>
      </c>
      <c r="P237">
        <v>5</v>
      </c>
      <c r="Q237">
        <v>2</v>
      </c>
      <c r="S237">
        <v>0</v>
      </c>
      <c r="V237">
        <v>1</v>
      </c>
      <c r="W237">
        <v>1</v>
      </c>
      <c r="X237" s="7">
        <v>8</v>
      </c>
      <c r="Y237">
        <v>-0.1</v>
      </c>
      <c r="Z237">
        <v>0</v>
      </c>
      <c r="AD237">
        <v>1</v>
      </c>
      <c r="AE237" s="15" t="s">
        <v>952</v>
      </c>
      <c r="AF237">
        <f t="shared" si="12"/>
        <v>0.5</v>
      </c>
      <c r="AN237" s="8">
        <v>355</v>
      </c>
      <c r="AO237" t="s">
        <v>136</v>
      </c>
      <c r="BC237" t="s">
        <v>953</v>
      </c>
    </row>
    <row r="238" spans="1:55">
      <c r="A238">
        <v>232</v>
      </c>
      <c r="B238" t="s">
        <v>924</v>
      </c>
      <c r="C238" t="s">
        <v>954</v>
      </c>
      <c r="D238">
        <v>1</v>
      </c>
      <c r="E238">
        <v>0</v>
      </c>
      <c r="G238">
        <v>2</v>
      </c>
      <c r="H238" s="82" t="s">
        <v>955</v>
      </c>
      <c r="I238">
        <v>6.83333333333333</v>
      </c>
      <c r="J238">
        <v>6.83333333333333</v>
      </c>
      <c r="K238">
        <v>1</v>
      </c>
      <c r="L238">
        <v>1</v>
      </c>
      <c r="M238">
        <f t="shared" si="13"/>
        <v>6.43333333333333</v>
      </c>
      <c r="N238" s="1" t="s">
        <v>956</v>
      </c>
      <c r="O238">
        <v>1</v>
      </c>
      <c r="P238">
        <v>5</v>
      </c>
      <c r="Q238">
        <v>2</v>
      </c>
      <c r="S238">
        <v>0</v>
      </c>
      <c r="V238">
        <v>1</v>
      </c>
      <c r="W238">
        <v>6</v>
      </c>
      <c r="X238" s="7">
        <v>8</v>
      </c>
      <c r="Y238">
        <v>-0.1</v>
      </c>
      <c r="Z238">
        <v>0</v>
      </c>
      <c r="AD238">
        <v>1</v>
      </c>
      <c r="AE238" s="15" t="s">
        <v>957</v>
      </c>
      <c r="AF238">
        <f t="shared" si="12"/>
        <v>0.5</v>
      </c>
      <c r="AN238" s="8">
        <v>356</v>
      </c>
      <c r="AO238" t="s">
        <v>136</v>
      </c>
      <c r="BC238" t="s">
        <v>958</v>
      </c>
    </row>
    <row r="239" s="24" customFormat="1" spans="1:48">
      <c r="A239" s="24">
        <v>233</v>
      </c>
      <c r="B239" s="24" t="s">
        <v>959</v>
      </c>
      <c r="C239" s="24" t="s">
        <v>960</v>
      </c>
      <c r="D239" s="24">
        <v>1</v>
      </c>
      <c r="E239" s="24">
        <v>0</v>
      </c>
      <c r="G239" s="24">
        <v>2</v>
      </c>
      <c r="H239" s="187" t="s">
        <v>961</v>
      </c>
      <c r="I239" s="24">
        <v>1.66666666666667</v>
      </c>
      <c r="J239" s="24">
        <v>1.66666666666667</v>
      </c>
      <c r="L239" s="24">
        <f t="shared" si="11"/>
        <v>0</v>
      </c>
      <c r="M239" s="24">
        <f t="shared" si="13"/>
        <v>1.26666666666667</v>
      </c>
      <c r="N239" s="24" t="s">
        <v>962</v>
      </c>
      <c r="O239" s="24">
        <v>2</v>
      </c>
      <c r="P239" s="24">
        <v>5</v>
      </c>
      <c r="Q239" s="24">
        <v>0</v>
      </c>
      <c r="S239" s="24">
        <v>0</v>
      </c>
      <c r="V239" s="24">
        <v>2</v>
      </c>
      <c r="W239" s="24">
        <v>0</v>
      </c>
      <c r="X239" s="151">
        <v>3</v>
      </c>
      <c r="Y239" s="24">
        <v>-0.1</v>
      </c>
      <c r="Z239" s="24">
        <v>0</v>
      </c>
      <c r="AD239" s="24">
        <v>0</v>
      </c>
      <c r="AF239" s="24">
        <f t="shared" si="12"/>
        <v>0</v>
      </c>
      <c r="AN239" s="157"/>
      <c r="AP239" s="157">
        <v>360</v>
      </c>
      <c r="AQ239" s="24" t="s">
        <v>136</v>
      </c>
      <c r="AV239" s="24">
        <v>1</v>
      </c>
    </row>
    <row r="240" s="24" customFormat="1" spans="1:43">
      <c r="A240" s="24">
        <v>234</v>
      </c>
      <c r="B240" s="24" t="s">
        <v>959</v>
      </c>
      <c r="C240" s="24" t="s">
        <v>963</v>
      </c>
      <c r="D240" s="24">
        <v>1</v>
      </c>
      <c r="E240" s="24">
        <v>0</v>
      </c>
      <c r="G240" s="24">
        <v>2</v>
      </c>
      <c r="H240" s="187" t="s">
        <v>964</v>
      </c>
      <c r="I240" s="24">
        <v>2.66666666666667</v>
      </c>
      <c r="J240" s="24">
        <v>2.66666666666667</v>
      </c>
      <c r="L240" s="24">
        <f t="shared" si="11"/>
        <v>0</v>
      </c>
      <c r="M240" s="24">
        <f t="shared" si="13"/>
        <v>2.26666666666667</v>
      </c>
      <c r="N240" s="24" t="s">
        <v>965</v>
      </c>
      <c r="O240" s="24">
        <v>2</v>
      </c>
      <c r="P240" s="24">
        <v>0</v>
      </c>
      <c r="Q240" s="24">
        <v>0</v>
      </c>
      <c r="S240" s="24">
        <v>2</v>
      </c>
      <c r="U240" s="24">
        <v>0.8</v>
      </c>
      <c r="V240" s="24">
        <v>2</v>
      </c>
      <c r="W240" s="24">
        <v>19</v>
      </c>
      <c r="X240" s="151">
        <v>1</v>
      </c>
      <c r="Y240" s="24">
        <v>-0.1</v>
      </c>
      <c r="Z240" s="24">
        <v>0</v>
      </c>
      <c r="AD240" s="24">
        <v>0</v>
      </c>
      <c r="AF240" s="24">
        <f t="shared" si="12"/>
        <v>0</v>
      </c>
      <c r="AN240" s="157">
        <v>362</v>
      </c>
      <c r="AO240" s="24" t="s">
        <v>966</v>
      </c>
      <c r="AP240" s="24">
        <v>361</v>
      </c>
      <c r="AQ240" s="24" t="s">
        <v>136</v>
      </c>
    </row>
    <row r="241" s="24" customFormat="1" spans="1:41">
      <c r="A241" s="24">
        <v>235</v>
      </c>
      <c r="B241" s="24" t="s">
        <v>959</v>
      </c>
      <c r="C241" s="24" t="s">
        <v>967</v>
      </c>
      <c r="D241" s="24">
        <v>1</v>
      </c>
      <c r="E241" s="24">
        <v>0</v>
      </c>
      <c r="G241" s="24">
        <v>2</v>
      </c>
      <c r="H241" s="187" t="s">
        <v>968</v>
      </c>
      <c r="I241" s="24">
        <v>4.56666666666667</v>
      </c>
      <c r="J241" s="24">
        <v>4.56666666666667</v>
      </c>
      <c r="L241" s="24">
        <v>1</v>
      </c>
      <c r="M241" s="24">
        <f t="shared" si="13"/>
        <v>4.16666666666667</v>
      </c>
      <c r="N241" s="24" t="s">
        <v>969</v>
      </c>
      <c r="O241" s="24">
        <v>1</v>
      </c>
      <c r="P241" s="24">
        <v>5</v>
      </c>
      <c r="Q241" s="24">
        <v>2</v>
      </c>
      <c r="S241" s="24">
        <v>0</v>
      </c>
      <c r="V241" s="24">
        <v>2</v>
      </c>
      <c r="W241" s="24">
        <v>24</v>
      </c>
      <c r="X241" s="151">
        <v>2</v>
      </c>
      <c r="Y241" s="24">
        <v>-0.1</v>
      </c>
      <c r="Z241" s="24">
        <v>0</v>
      </c>
      <c r="AD241" s="24">
        <v>1</v>
      </c>
      <c r="AE241" s="24" t="s">
        <v>970</v>
      </c>
      <c r="AF241" s="24">
        <f t="shared" si="12"/>
        <v>0.5</v>
      </c>
      <c r="AN241" s="157" t="s">
        <v>971</v>
      </c>
      <c r="AO241" s="24" t="s">
        <v>972</v>
      </c>
    </row>
    <row r="242" s="24" customFormat="1" spans="1:41">
      <c r="A242" s="24">
        <v>236</v>
      </c>
      <c r="B242" s="24" t="s">
        <v>959</v>
      </c>
      <c r="C242" s="24" t="s">
        <v>973</v>
      </c>
      <c r="D242" s="24">
        <v>1</v>
      </c>
      <c r="E242" s="24">
        <v>0</v>
      </c>
      <c r="G242" s="24">
        <v>2</v>
      </c>
      <c r="H242" s="187">
        <v>3604</v>
      </c>
      <c r="I242" s="24">
        <f>225/30</f>
        <v>7.5</v>
      </c>
      <c r="J242" s="24">
        <f>225/30</f>
        <v>7.5</v>
      </c>
      <c r="L242" s="24">
        <v>1</v>
      </c>
      <c r="M242" s="24">
        <f t="shared" si="13"/>
        <v>7.1</v>
      </c>
      <c r="N242" s="24" t="s">
        <v>974</v>
      </c>
      <c r="O242" s="24">
        <v>3</v>
      </c>
      <c r="P242" s="24">
        <v>0</v>
      </c>
      <c r="Q242" s="24">
        <v>2</v>
      </c>
      <c r="S242" s="24">
        <v>0</v>
      </c>
      <c r="V242" s="24">
        <v>2</v>
      </c>
      <c r="W242" s="24">
        <v>6</v>
      </c>
      <c r="X242" s="151">
        <v>12</v>
      </c>
      <c r="Y242" s="24">
        <v>-0.1</v>
      </c>
      <c r="Z242" s="24">
        <v>0</v>
      </c>
      <c r="AB242" s="24">
        <v>6.2</v>
      </c>
      <c r="AC242" s="24">
        <v>1</v>
      </c>
      <c r="AD242" s="24">
        <v>1</v>
      </c>
      <c r="AE242" s="24" t="s">
        <v>975</v>
      </c>
      <c r="AF242" s="24">
        <f t="shared" si="12"/>
        <v>0.5</v>
      </c>
      <c r="AH242" s="24">
        <v>1</v>
      </c>
      <c r="AN242" s="157" t="s">
        <v>976</v>
      </c>
      <c r="AO242" s="24" t="s">
        <v>977</v>
      </c>
    </row>
    <row r="243" s="24" customFormat="1" spans="1:41">
      <c r="A243" s="28">
        <v>237</v>
      </c>
      <c r="B243" s="24" t="s">
        <v>959</v>
      </c>
      <c r="C243" s="24" t="s">
        <v>978</v>
      </c>
      <c r="D243" s="24">
        <v>4</v>
      </c>
      <c r="E243" s="24">
        <v>0</v>
      </c>
      <c r="G243" s="24">
        <v>2</v>
      </c>
      <c r="H243" s="187">
        <v>300804</v>
      </c>
      <c r="I243" s="24">
        <v>14.5</v>
      </c>
      <c r="J243" s="24">
        <v>14.5</v>
      </c>
      <c r="L243" s="24">
        <v>1</v>
      </c>
      <c r="M243" s="24">
        <f t="shared" si="13"/>
        <v>14.1</v>
      </c>
      <c r="N243" s="24" t="s">
        <v>979</v>
      </c>
      <c r="O243" s="24">
        <v>3</v>
      </c>
      <c r="P243" s="24">
        <v>-12</v>
      </c>
      <c r="Q243" s="24">
        <v>0</v>
      </c>
      <c r="S243" s="24">
        <v>0</v>
      </c>
      <c r="V243" s="24">
        <v>2</v>
      </c>
      <c r="W243" s="24">
        <v>6</v>
      </c>
      <c r="X243" s="151">
        <v>13</v>
      </c>
      <c r="Y243" s="24">
        <v>-0.1</v>
      </c>
      <c r="Z243" s="24">
        <v>0</v>
      </c>
      <c r="AD243" s="24">
        <v>1</v>
      </c>
      <c r="AE243" s="24" t="s">
        <v>980</v>
      </c>
      <c r="AF243" s="24">
        <f t="shared" si="12"/>
        <v>0.5</v>
      </c>
      <c r="AH243" s="24">
        <v>0</v>
      </c>
      <c r="AN243" s="157" t="s">
        <v>981</v>
      </c>
      <c r="AO243" s="24" t="s">
        <v>982</v>
      </c>
    </row>
    <row r="244" s="24" customFormat="1" spans="1:43">
      <c r="A244" s="24">
        <v>238</v>
      </c>
      <c r="B244" s="24" t="s">
        <v>959</v>
      </c>
      <c r="C244" s="24" t="s">
        <v>983</v>
      </c>
      <c r="D244" s="24">
        <v>1</v>
      </c>
      <c r="E244" s="24">
        <v>0</v>
      </c>
      <c r="G244" s="24">
        <v>2</v>
      </c>
      <c r="H244" s="187" t="s">
        <v>984</v>
      </c>
      <c r="I244" s="24">
        <v>9.33333333333333</v>
      </c>
      <c r="J244" s="24">
        <v>9.33333333333333</v>
      </c>
      <c r="L244" s="24">
        <v>1</v>
      </c>
      <c r="M244" s="24">
        <f t="shared" si="13"/>
        <v>8.93333333333333</v>
      </c>
      <c r="N244" s="24" t="s">
        <v>985</v>
      </c>
      <c r="O244" s="24">
        <v>1</v>
      </c>
      <c r="P244" s="24">
        <v>15</v>
      </c>
      <c r="Q244" s="24">
        <v>2</v>
      </c>
      <c r="S244" s="24">
        <v>0</v>
      </c>
      <c r="V244" s="24">
        <v>2</v>
      </c>
      <c r="W244" s="24">
        <v>6</v>
      </c>
      <c r="X244" s="151">
        <v>13</v>
      </c>
      <c r="Y244" s="24">
        <v>-0.1</v>
      </c>
      <c r="Z244" s="24">
        <v>0</v>
      </c>
      <c r="AB244" s="24">
        <v>8.8</v>
      </c>
      <c r="AC244" s="24">
        <v>1</v>
      </c>
      <c r="AD244" s="24">
        <v>1</v>
      </c>
      <c r="AE244" s="24" t="s">
        <v>986</v>
      </c>
      <c r="AF244" s="24">
        <f t="shared" si="12"/>
        <v>0.5</v>
      </c>
      <c r="AP244" s="24">
        <v>368</v>
      </c>
      <c r="AQ244" s="24" t="s">
        <v>136</v>
      </c>
    </row>
    <row r="245" s="24" customFormat="1" spans="1:48">
      <c r="A245" s="24">
        <v>239</v>
      </c>
      <c r="B245" s="24" t="s">
        <v>959</v>
      </c>
      <c r="C245" s="24" t="s">
        <v>987</v>
      </c>
      <c r="D245" s="24">
        <v>1</v>
      </c>
      <c r="E245" s="24">
        <v>0</v>
      </c>
      <c r="G245" s="24">
        <v>2</v>
      </c>
      <c r="H245" s="187" t="s">
        <v>988</v>
      </c>
      <c r="I245" s="24">
        <v>2.16666666666667</v>
      </c>
      <c r="J245" s="24">
        <v>2.16666666666667</v>
      </c>
      <c r="L245" s="24">
        <v>0</v>
      </c>
      <c r="M245" s="24">
        <v>1.76666666666667</v>
      </c>
      <c r="N245" s="24" t="s">
        <v>989</v>
      </c>
      <c r="O245" s="24">
        <v>2</v>
      </c>
      <c r="P245" s="24">
        <v>0</v>
      </c>
      <c r="Q245" s="24">
        <v>0</v>
      </c>
      <c r="S245" s="24">
        <v>-2</v>
      </c>
      <c r="T245" s="24">
        <v>-0.6</v>
      </c>
      <c r="U245" s="24">
        <v>1.5</v>
      </c>
      <c r="V245" s="24">
        <v>2</v>
      </c>
      <c r="W245" s="24">
        <v>19</v>
      </c>
      <c r="X245" s="151">
        <v>4</v>
      </c>
      <c r="Y245" s="24">
        <v>-0.1</v>
      </c>
      <c r="Z245" s="24">
        <v>0</v>
      </c>
      <c r="AD245" s="24">
        <v>0</v>
      </c>
      <c r="AF245" s="24">
        <v>0</v>
      </c>
      <c r="AN245" s="157">
        <v>372</v>
      </c>
      <c r="AO245" s="24" t="s">
        <v>136</v>
      </c>
      <c r="AV245" s="24">
        <v>1</v>
      </c>
    </row>
    <row r="246" s="24" customFormat="1" spans="1:41">
      <c r="A246" s="24">
        <v>240</v>
      </c>
      <c r="B246" s="24" t="s">
        <v>959</v>
      </c>
      <c r="C246" s="24" t="s">
        <v>990</v>
      </c>
      <c r="D246" s="24">
        <v>1</v>
      </c>
      <c r="E246" s="24">
        <v>0</v>
      </c>
      <c r="G246" s="24">
        <v>2</v>
      </c>
      <c r="H246" s="187" t="s">
        <v>991</v>
      </c>
      <c r="I246" s="24">
        <v>2.83333333333333</v>
      </c>
      <c r="J246" s="24">
        <v>2.83333333333333</v>
      </c>
      <c r="L246" s="24">
        <v>0</v>
      </c>
      <c r="M246" s="24">
        <v>2.43333333333333</v>
      </c>
      <c r="N246" s="24" t="s">
        <v>992</v>
      </c>
      <c r="O246" s="24">
        <v>2</v>
      </c>
      <c r="P246" s="24">
        <v>0</v>
      </c>
      <c r="Q246" s="24">
        <v>0</v>
      </c>
      <c r="S246" s="24">
        <v>0</v>
      </c>
      <c r="U246" s="24">
        <v>1.1</v>
      </c>
      <c r="V246" s="24">
        <v>2</v>
      </c>
      <c r="W246" s="24">
        <v>0</v>
      </c>
      <c r="X246" s="151">
        <v>1</v>
      </c>
      <c r="Y246" s="24">
        <v>-0.1</v>
      </c>
      <c r="Z246" s="24">
        <v>0</v>
      </c>
      <c r="AD246" s="24">
        <v>0</v>
      </c>
      <c r="AF246" s="24">
        <v>0</v>
      </c>
      <c r="AN246" s="157" t="s">
        <v>993</v>
      </c>
      <c r="AO246" s="24" t="s">
        <v>994</v>
      </c>
    </row>
    <row r="247" s="4" customFormat="1" spans="1:48">
      <c r="A247" s="4">
        <v>241</v>
      </c>
      <c r="B247" s="4" t="s">
        <v>744</v>
      </c>
      <c r="C247" s="4" t="s">
        <v>995</v>
      </c>
      <c r="D247" s="4">
        <v>1</v>
      </c>
      <c r="E247" s="4">
        <v>0</v>
      </c>
      <c r="G247" s="4">
        <v>1</v>
      </c>
      <c r="H247" s="188" t="s">
        <v>996</v>
      </c>
      <c r="I247" s="4">
        <v>1.13333333333333</v>
      </c>
      <c r="J247" s="4">
        <v>1.13333333333333</v>
      </c>
      <c r="L247" s="4">
        <f t="shared" si="11"/>
        <v>0</v>
      </c>
      <c r="M247" s="4">
        <f t="shared" si="13"/>
        <v>0.73333333333333</v>
      </c>
      <c r="N247" s="4" t="s">
        <v>997</v>
      </c>
      <c r="O247" s="4">
        <v>1</v>
      </c>
      <c r="P247" s="4">
        <v>1.5</v>
      </c>
      <c r="Q247" s="4">
        <v>0</v>
      </c>
      <c r="S247" s="4">
        <v>2</v>
      </c>
      <c r="V247" s="4">
        <v>1</v>
      </c>
      <c r="W247" s="4">
        <v>0</v>
      </c>
      <c r="X247" s="150">
        <v>2</v>
      </c>
      <c r="Y247" s="4">
        <v>-0.1</v>
      </c>
      <c r="Z247" s="4">
        <v>0</v>
      </c>
      <c r="AD247" s="4">
        <v>0</v>
      </c>
      <c r="AF247" s="4">
        <f t="shared" si="12"/>
        <v>0</v>
      </c>
      <c r="AN247" s="156">
        <v>383</v>
      </c>
      <c r="AO247" s="4" t="s">
        <v>136</v>
      </c>
      <c r="AV247" s="4">
        <v>1</v>
      </c>
    </row>
    <row r="248" s="4" customFormat="1" spans="1:41">
      <c r="A248" s="4">
        <v>242</v>
      </c>
      <c r="B248" s="4" t="s">
        <v>744</v>
      </c>
      <c r="C248" s="4" t="s">
        <v>998</v>
      </c>
      <c r="D248" s="4">
        <v>1</v>
      </c>
      <c r="E248" s="4">
        <v>0</v>
      </c>
      <c r="G248" s="4">
        <v>1</v>
      </c>
      <c r="H248" s="188" t="s">
        <v>999</v>
      </c>
      <c r="I248" s="4">
        <v>1.13333333333333</v>
      </c>
      <c r="J248" s="4">
        <v>1.13333333333333</v>
      </c>
      <c r="L248" s="4">
        <f t="shared" si="11"/>
        <v>0</v>
      </c>
      <c r="M248" s="4">
        <f t="shared" si="13"/>
        <v>0.73333333333333</v>
      </c>
      <c r="N248" s="4" t="s">
        <v>1000</v>
      </c>
      <c r="O248" s="4">
        <v>1</v>
      </c>
      <c r="P248" s="4">
        <v>1.5</v>
      </c>
      <c r="Q248" s="4">
        <v>0</v>
      </c>
      <c r="S248" s="4">
        <v>2</v>
      </c>
      <c r="V248" s="4">
        <v>1</v>
      </c>
      <c r="W248" s="4">
        <v>0</v>
      </c>
      <c r="X248" s="150">
        <v>3</v>
      </c>
      <c r="Y248" s="4">
        <v>-0.1</v>
      </c>
      <c r="Z248" s="4">
        <v>0</v>
      </c>
      <c r="AD248" s="4">
        <v>0</v>
      </c>
      <c r="AF248" s="4">
        <f t="shared" si="12"/>
        <v>0</v>
      </c>
      <c r="AN248" s="156">
        <v>384</v>
      </c>
      <c r="AO248" s="4" t="s">
        <v>136</v>
      </c>
    </row>
    <row r="249" s="4" customFormat="1" spans="1:41">
      <c r="A249" s="4">
        <v>243</v>
      </c>
      <c r="B249" s="4" t="s">
        <v>744</v>
      </c>
      <c r="C249" s="4" t="s">
        <v>1001</v>
      </c>
      <c r="D249" s="4">
        <v>1</v>
      </c>
      <c r="E249" s="4">
        <v>0</v>
      </c>
      <c r="G249" s="4">
        <v>1</v>
      </c>
      <c r="H249" s="188" t="s">
        <v>1002</v>
      </c>
      <c r="I249" s="4">
        <v>4.5</v>
      </c>
      <c r="J249" s="4">
        <v>4.5</v>
      </c>
      <c r="K249" s="4">
        <v>1</v>
      </c>
      <c r="L249" s="4">
        <v>1</v>
      </c>
      <c r="M249" s="4">
        <f t="shared" si="13"/>
        <v>4.1</v>
      </c>
      <c r="N249" s="4" t="s">
        <v>1003</v>
      </c>
      <c r="O249" s="4">
        <v>1</v>
      </c>
      <c r="P249" s="4">
        <v>1.4</v>
      </c>
      <c r="Q249" s="4">
        <v>0</v>
      </c>
      <c r="S249" s="4">
        <v>0</v>
      </c>
      <c r="V249" s="4">
        <v>1</v>
      </c>
      <c r="W249" s="4">
        <v>0</v>
      </c>
      <c r="X249" s="150">
        <v>2</v>
      </c>
      <c r="Y249" s="4">
        <v>-0.1</v>
      </c>
      <c r="Z249" s="4">
        <v>0</v>
      </c>
      <c r="AB249" s="4">
        <v>4.25</v>
      </c>
      <c r="AC249" s="4">
        <v>2</v>
      </c>
      <c r="AD249" s="4">
        <v>1</v>
      </c>
      <c r="AE249" s="4" t="s">
        <v>1004</v>
      </c>
      <c r="AF249" s="4">
        <f t="shared" si="12"/>
        <v>0.5</v>
      </c>
      <c r="AH249" s="4">
        <v>0</v>
      </c>
      <c r="AN249" s="156">
        <v>385</v>
      </c>
      <c r="AO249" s="4" t="s">
        <v>136</v>
      </c>
    </row>
    <row r="250" s="4" customFormat="1" spans="1:43">
      <c r="A250" s="4">
        <v>244</v>
      </c>
      <c r="B250" s="4" t="s">
        <v>744</v>
      </c>
      <c r="C250" s="4" t="s">
        <v>1005</v>
      </c>
      <c r="D250" s="4">
        <v>1</v>
      </c>
      <c r="E250" s="4">
        <v>0</v>
      </c>
      <c r="G250" s="4">
        <v>1</v>
      </c>
      <c r="H250" s="188" t="s">
        <v>1006</v>
      </c>
      <c r="I250" s="4">
        <v>2.13333333333333</v>
      </c>
      <c r="J250" s="4">
        <v>2.13333333333333</v>
      </c>
      <c r="L250" s="4">
        <f t="shared" si="11"/>
        <v>0</v>
      </c>
      <c r="M250" s="4">
        <f t="shared" si="13"/>
        <v>1.73333333333333</v>
      </c>
      <c r="N250" s="4" t="s">
        <v>1007</v>
      </c>
      <c r="O250" s="4">
        <v>1</v>
      </c>
      <c r="P250" s="4">
        <v>1.5</v>
      </c>
      <c r="Q250" s="4">
        <v>0</v>
      </c>
      <c r="S250" s="4">
        <v>-1.5</v>
      </c>
      <c r="U250" s="4">
        <v>0.8</v>
      </c>
      <c r="V250" s="4">
        <v>1</v>
      </c>
      <c r="W250" s="4">
        <v>4</v>
      </c>
      <c r="X250" s="150">
        <v>1</v>
      </c>
      <c r="Y250" s="4">
        <v>0.4</v>
      </c>
      <c r="Z250" s="4">
        <v>0</v>
      </c>
      <c r="AD250" s="4">
        <v>0</v>
      </c>
      <c r="AF250" s="4">
        <f t="shared" si="12"/>
        <v>0</v>
      </c>
      <c r="AN250" s="156"/>
      <c r="AP250" s="4">
        <v>386</v>
      </c>
      <c r="AQ250" s="4" t="s">
        <v>136</v>
      </c>
    </row>
    <row r="251" s="4" customFormat="1" spans="1:43">
      <c r="A251" s="4">
        <v>245</v>
      </c>
      <c r="B251" s="4" t="s">
        <v>744</v>
      </c>
      <c r="C251" s="4" t="s">
        <v>1008</v>
      </c>
      <c r="D251" s="4">
        <v>1</v>
      </c>
      <c r="E251" s="4">
        <v>0</v>
      </c>
      <c r="G251" s="4">
        <v>1</v>
      </c>
      <c r="H251" s="188" t="s">
        <v>1009</v>
      </c>
      <c r="I251" s="4">
        <v>2.33333333333333</v>
      </c>
      <c r="J251" s="4">
        <v>2.33333333333333</v>
      </c>
      <c r="L251" s="4">
        <f t="shared" si="11"/>
        <v>0</v>
      </c>
      <c r="M251" s="4">
        <f t="shared" si="13"/>
        <v>1.93333333333333</v>
      </c>
      <c r="N251" s="4" t="s">
        <v>1010</v>
      </c>
      <c r="O251" s="4">
        <v>1</v>
      </c>
      <c r="P251" s="4">
        <v>1.5</v>
      </c>
      <c r="Q251" s="4">
        <v>0</v>
      </c>
      <c r="S251" s="4">
        <v>5</v>
      </c>
      <c r="T251" s="4">
        <v>0.8</v>
      </c>
      <c r="U251" s="4">
        <v>0.8</v>
      </c>
      <c r="V251" s="4">
        <v>1</v>
      </c>
      <c r="W251" s="4">
        <v>6</v>
      </c>
      <c r="X251" s="150">
        <v>3</v>
      </c>
      <c r="Y251" s="4">
        <v>-0.1</v>
      </c>
      <c r="Z251" s="4">
        <v>0</v>
      </c>
      <c r="AD251" s="4">
        <v>0</v>
      </c>
      <c r="AF251" s="4">
        <f t="shared" si="12"/>
        <v>0</v>
      </c>
      <c r="AN251" s="156"/>
      <c r="AP251" s="4">
        <v>387</v>
      </c>
      <c r="AQ251" s="4" t="s">
        <v>136</v>
      </c>
    </row>
    <row r="252" s="4" customFormat="1" spans="1:41">
      <c r="A252" s="4">
        <v>246</v>
      </c>
      <c r="B252" s="4" t="s">
        <v>744</v>
      </c>
      <c r="C252" s="4" t="s">
        <v>1011</v>
      </c>
      <c r="D252" s="4">
        <v>1</v>
      </c>
      <c r="E252" s="4">
        <v>0</v>
      </c>
      <c r="G252" s="4">
        <v>1</v>
      </c>
      <c r="H252" s="188">
        <v>3806</v>
      </c>
      <c r="I252" s="4">
        <v>3.833333333</v>
      </c>
      <c r="J252" s="4">
        <v>3.833333333</v>
      </c>
      <c r="L252" s="4">
        <v>1</v>
      </c>
      <c r="M252" s="4">
        <f t="shared" si="13"/>
        <v>3.433333333</v>
      </c>
      <c r="N252" s="4" t="s">
        <v>1012</v>
      </c>
      <c r="O252" s="4">
        <v>1</v>
      </c>
      <c r="P252" s="4">
        <v>4</v>
      </c>
      <c r="Q252" s="4">
        <v>0</v>
      </c>
      <c r="S252" s="4">
        <v>0</v>
      </c>
      <c r="V252" s="4">
        <v>1</v>
      </c>
      <c r="W252" s="4">
        <v>0</v>
      </c>
      <c r="X252" s="150">
        <v>1</v>
      </c>
      <c r="Y252" s="4">
        <v>-0.1</v>
      </c>
      <c r="Z252" s="4">
        <v>0</v>
      </c>
      <c r="AD252" s="4">
        <v>1</v>
      </c>
      <c r="AE252" s="4" t="s">
        <v>1013</v>
      </c>
      <c r="AF252" s="4">
        <f t="shared" si="12"/>
        <v>0.5</v>
      </c>
      <c r="AH252" s="4">
        <v>0</v>
      </c>
      <c r="AN252" s="156" t="s">
        <v>1014</v>
      </c>
      <c r="AO252" s="4" t="s">
        <v>1015</v>
      </c>
    </row>
    <row r="253" s="4" customFormat="1" spans="1:43">
      <c r="A253" s="4">
        <v>247</v>
      </c>
      <c r="B253" s="4" t="s">
        <v>744</v>
      </c>
      <c r="C253" s="4" t="s">
        <v>1016</v>
      </c>
      <c r="D253" s="4">
        <v>1</v>
      </c>
      <c r="E253" s="4">
        <v>0</v>
      </c>
      <c r="G253" s="4">
        <v>1</v>
      </c>
      <c r="H253" s="188" t="s">
        <v>1017</v>
      </c>
      <c r="I253" s="4">
        <v>9.86666666666667</v>
      </c>
      <c r="J253" s="4">
        <v>9.86666666666667</v>
      </c>
      <c r="K253" s="4">
        <v>0.8</v>
      </c>
      <c r="L253" s="4">
        <v>1</v>
      </c>
      <c r="M253" s="4">
        <f t="shared" si="13"/>
        <v>9.46666666666667</v>
      </c>
      <c r="N253" s="4" t="s">
        <v>1018</v>
      </c>
      <c r="O253" s="4">
        <v>1</v>
      </c>
      <c r="P253" s="4">
        <v>13.5</v>
      </c>
      <c r="Q253" s="4">
        <v>2</v>
      </c>
      <c r="S253" s="4">
        <v>0</v>
      </c>
      <c r="V253" s="4">
        <v>1</v>
      </c>
      <c r="W253" s="4">
        <v>0</v>
      </c>
      <c r="X253" s="150">
        <v>8</v>
      </c>
      <c r="Y253" s="4">
        <v>-0.1</v>
      </c>
      <c r="Z253" s="4">
        <v>0</v>
      </c>
      <c r="AB253" s="4">
        <v>9.6</v>
      </c>
      <c r="AC253" s="4">
        <v>1</v>
      </c>
      <c r="AD253" s="4">
        <v>1</v>
      </c>
      <c r="AE253" s="4" t="s">
        <v>1019</v>
      </c>
      <c r="AF253" s="4">
        <f t="shared" si="12"/>
        <v>0.5</v>
      </c>
      <c r="AH253" s="4">
        <v>0</v>
      </c>
      <c r="AP253" s="156">
        <v>389</v>
      </c>
      <c r="AQ253" s="4" t="s">
        <v>136</v>
      </c>
    </row>
    <row r="254" s="4" customFormat="1" spans="1:41">
      <c r="A254" s="4">
        <v>248</v>
      </c>
      <c r="B254" s="4" t="s">
        <v>744</v>
      </c>
      <c r="C254" s="4" t="s">
        <v>1020</v>
      </c>
      <c r="D254" s="4">
        <v>2</v>
      </c>
      <c r="E254" s="4">
        <v>1</v>
      </c>
      <c r="G254" s="4">
        <v>1</v>
      </c>
      <c r="H254" s="188" t="s">
        <v>1021</v>
      </c>
      <c r="I254" s="4">
        <v>2.3</v>
      </c>
      <c r="J254" s="4">
        <v>2.3</v>
      </c>
      <c r="L254" s="4">
        <f t="shared" si="11"/>
        <v>0</v>
      </c>
      <c r="M254" s="4">
        <f t="shared" si="13"/>
        <v>1.9</v>
      </c>
      <c r="N254" s="4" t="s">
        <v>1022</v>
      </c>
      <c r="O254" s="4">
        <v>1</v>
      </c>
      <c r="P254" s="4">
        <v>1.5</v>
      </c>
      <c r="Q254" s="4">
        <v>0</v>
      </c>
      <c r="S254" s="4">
        <v>2</v>
      </c>
      <c r="V254" s="4">
        <v>1</v>
      </c>
      <c r="W254" s="4">
        <v>0</v>
      </c>
      <c r="X254" s="150">
        <v>0</v>
      </c>
      <c r="Y254" s="4">
        <v>-0.1</v>
      </c>
      <c r="Z254" s="4">
        <v>0</v>
      </c>
      <c r="AD254" s="4">
        <v>0</v>
      </c>
      <c r="AF254" s="4">
        <f t="shared" si="12"/>
        <v>0</v>
      </c>
      <c r="AN254" s="156">
        <v>388</v>
      </c>
      <c r="AO254" s="4" t="s">
        <v>136</v>
      </c>
    </row>
    <row r="255" spans="1:41">
      <c r="A255">
        <v>249</v>
      </c>
      <c r="B255" t="s">
        <v>1023</v>
      </c>
      <c r="C255" t="s">
        <v>1024</v>
      </c>
      <c r="D255">
        <v>1</v>
      </c>
      <c r="E255">
        <v>0</v>
      </c>
      <c r="G255">
        <v>1</v>
      </c>
      <c r="H255" s="168" t="s">
        <v>1025</v>
      </c>
      <c r="I255">
        <f>50/30</f>
        <v>1.66666666666667</v>
      </c>
      <c r="J255">
        <f>50/30</f>
        <v>1.66666666666667</v>
      </c>
      <c r="L255">
        <f t="shared" si="11"/>
        <v>0</v>
      </c>
      <c r="M255">
        <f t="shared" si="13"/>
        <v>1.26666666666667</v>
      </c>
      <c r="N255" t="s">
        <v>1026</v>
      </c>
      <c r="O255">
        <v>1</v>
      </c>
      <c r="P255">
        <v>5</v>
      </c>
      <c r="Q255">
        <v>0</v>
      </c>
      <c r="S255">
        <v>-1.5</v>
      </c>
      <c r="U255">
        <v>0.8</v>
      </c>
      <c r="V255">
        <v>1</v>
      </c>
      <c r="W255">
        <v>4</v>
      </c>
      <c r="X255" s="7">
        <v>3</v>
      </c>
      <c r="Y255">
        <v>-0.1</v>
      </c>
      <c r="Z255">
        <v>0</v>
      </c>
      <c r="AD255">
        <v>0</v>
      </c>
      <c r="AF255">
        <f t="shared" si="12"/>
        <v>0</v>
      </c>
      <c r="AN255" s="8" t="s">
        <v>1027</v>
      </c>
      <c r="AO255" t="s">
        <v>517</v>
      </c>
    </row>
    <row r="256" spans="1:48">
      <c r="A256">
        <v>250</v>
      </c>
      <c r="B256" t="s">
        <v>1023</v>
      </c>
      <c r="C256" t="s">
        <v>1028</v>
      </c>
      <c r="D256">
        <v>1</v>
      </c>
      <c r="E256">
        <v>0</v>
      </c>
      <c r="G256">
        <v>1</v>
      </c>
      <c r="H256" s="168" t="s">
        <v>1029</v>
      </c>
      <c r="I256">
        <v>1.63333333333333</v>
      </c>
      <c r="J256">
        <v>1.63333333333333</v>
      </c>
      <c r="L256">
        <f t="shared" si="11"/>
        <v>0</v>
      </c>
      <c r="M256">
        <f t="shared" si="13"/>
        <v>1.23333333333333</v>
      </c>
      <c r="N256" s="77" t="s">
        <v>1030</v>
      </c>
      <c r="O256">
        <v>1</v>
      </c>
      <c r="P256">
        <v>5</v>
      </c>
      <c r="Q256">
        <v>0</v>
      </c>
      <c r="S256">
        <v>0</v>
      </c>
      <c r="V256">
        <v>1</v>
      </c>
      <c r="W256">
        <v>0</v>
      </c>
      <c r="X256" s="7">
        <v>1</v>
      </c>
      <c r="Y256">
        <v>-0.1</v>
      </c>
      <c r="Z256">
        <v>0</v>
      </c>
      <c r="AD256">
        <v>0</v>
      </c>
      <c r="AF256">
        <f t="shared" si="12"/>
        <v>0</v>
      </c>
      <c r="AN256" s="8" t="s">
        <v>1031</v>
      </c>
      <c r="AO256" t="s">
        <v>1032</v>
      </c>
      <c r="AV256">
        <v>1</v>
      </c>
    </row>
    <row r="257" spans="1:55">
      <c r="A257">
        <v>251</v>
      </c>
      <c r="B257" t="s">
        <v>1023</v>
      </c>
      <c r="C257" t="s">
        <v>1033</v>
      </c>
      <c r="D257">
        <v>1</v>
      </c>
      <c r="E257">
        <v>0</v>
      </c>
      <c r="G257">
        <v>1</v>
      </c>
      <c r="H257" s="168" t="s">
        <v>1034</v>
      </c>
      <c r="I257">
        <v>1.96666666666667</v>
      </c>
      <c r="J257">
        <v>1.96666666666667</v>
      </c>
      <c r="L257">
        <f t="shared" si="11"/>
        <v>0</v>
      </c>
      <c r="M257">
        <f t="shared" si="13"/>
        <v>1.56666666666667</v>
      </c>
      <c r="N257" s="212" t="s">
        <v>1035</v>
      </c>
      <c r="O257">
        <v>1</v>
      </c>
      <c r="P257">
        <v>5</v>
      </c>
      <c r="Q257">
        <v>0</v>
      </c>
      <c r="S257">
        <v>-1.5</v>
      </c>
      <c r="U257">
        <v>0.8</v>
      </c>
      <c r="V257">
        <v>1</v>
      </c>
      <c r="W257">
        <v>4</v>
      </c>
      <c r="X257" s="7">
        <v>1</v>
      </c>
      <c r="Y257">
        <v>-0.1</v>
      </c>
      <c r="Z257">
        <v>0</v>
      </c>
      <c r="AD257">
        <v>0</v>
      </c>
      <c r="AF257">
        <f t="shared" si="12"/>
        <v>0</v>
      </c>
      <c r="AN257" s="8">
        <v>397</v>
      </c>
      <c r="AO257" t="s">
        <v>136</v>
      </c>
      <c r="BC257" t="s">
        <v>1036</v>
      </c>
    </row>
    <row r="258" spans="1:41">
      <c r="A258">
        <v>252</v>
      </c>
      <c r="B258" t="s">
        <v>1023</v>
      </c>
      <c r="C258" t="s">
        <v>1037</v>
      </c>
      <c r="D258">
        <v>3</v>
      </c>
      <c r="E258">
        <v>1</v>
      </c>
      <c r="G258">
        <v>1</v>
      </c>
      <c r="H258" s="168" t="s">
        <v>1038</v>
      </c>
      <c r="I258">
        <f>110/30</f>
        <v>3.66666666666667</v>
      </c>
      <c r="J258">
        <f>110/30</f>
        <v>3.66666666666667</v>
      </c>
      <c r="L258">
        <f t="shared" si="11"/>
        <v>0</v>
      </c>
      <c r="M258">
        <f t="shared" si="13"/>
        <v>3.26666666666667</v>
      </c>
      <c r="N258" s="77" t="s">
        <v>1039</v>
      </c>
      <c r="O258">
        <v>1</v>
      </c>
      <c r="P258">
        <v>-2.5</v>
      </c>
      <c r="Q258">
        <v>0</v>
      </c>
      <c r="S258">
        <v>0</v>
      </c>
      <c r="V258">
        <v>1000</v>
      </c>
      <c r="W258">
        <v>25</v>
      </c>
      <c r="X258" s="7">
        <v>0</v>
      </c>
      <c r="Y258">
        <v>-0.1</v>
      </c>
      <c r="Z258">
        <v>0</v>
      </c>
      <c r="AB258">
        <v>3.4</v>
      </c>
      <c r="AC258">
        <v>2</v>
      </c>
      <c r="AD258">
        <v>0</v>
      </c>
      <c r="AE258" t="s">
        <v>1040</v>
      </c>
      <c r="AF258">
        <f t="shared" si="12"/>
        <v>0</v>
      </c>
      <c r="AH258">
        <v>1</v>
      </c>
      <c r="AN258" s="8">
        <v>398</v>
      </c>
      <c r="AO258" t="s">
        <v>136</v>
      </c>
    </row>
    <row r="259" spans="1:55">
      <c r="A259">
        <v>253</v>
      </c>
      <c r="B259" t="s">
        <v>1023</v>
      </c>
      <c r="C259" t="s">
        <v>1041</v>
      </c>
      <c r="D259">
        <v>4</v>
      </c>
      <c r="E259">
        <v>0</v>
      </c>
      <c r="G259">
        <v>1</v>
      </c>
      <c r="H259" s="168" t="s">
        <v>1042</v>
      </c>
      <c r="I259">
        <v>3</v>
      </c>
      <c r="J259">
        <v>3</v>
      </c>
      <c r="K259">
        <v>0.8</v>
      </c>
      <c r="L259">
        <v>1</v>
      </c>
      <c r="M259">
        <f t="shared" si="13"/>
        <v>2.6</v>
      </c>
      <c r="N259" s="212" t="s">
        <v>1043</v>
      </c>
      <c r="O259">
        <v>1</v>
      </c>
      <c r="P259">
        <v>2</v>
      </c>
      <c r="Q259">
        <v>2</v>
      </c>
      <c r="S259">
        <v>0</v>
      </c>
      <c r="V259">
        <v>1</v>
      </c>
      <c r="W259">
        <v>0</v>
      </c>
      <c r="X259" s="7">
        <v>1</v>
      </c>
      <c r="Y259">
        <v>-0.1</v>
      </c>
      <c r="Z259">
        <v>0</v>
      </c>
      <c r="AB259">
        <v>2.8</v>
      </c>
      <c r="AC259">
        <v>2</v>
      </c>
      <c r="AD259">
        <v>1</v>
      </c>
      <c r="AE259" t="s">
        <v>1044</v>
      </c>
      <c r="AF259">
        <f t="shared" si="12"/>
        <v>0.5</v>
      </c>
      <c r="AH259">
        <v>1</v>
      </c>
      <c r="AN259" s="8">
        <v>399</v>
      </c>
      <c r="AO259" t="s">
        <v>136</v>
      </c>
      <c r="BC259" t="s">
        <v>1045</v>
      </c>
    </row>
    <row r="260" spans="1:55">
      <c r="A260">
        <v>254</v>
      </c>
      <c r="B260" t="s">
        <v>1023</v>
      </c>
      <c r="C260" t="s">
        <v>1046</v>
      </c>
      <c r="D260">
        <v>1</v>
      </c>
      <c r="E260">
        <v>0</v>
      </c>
      <c r="G260">
        <v>1</v>
      </c>
      <c r="H260" s="168" t="s">
        <v>1047</v>
      </c>
      <c r="I260">
        <v>4.33333333333333</v>
      </c>
      <c r="J260">
        <v>4.33333333333333</v>
      </c>
      <c r="K260">
        <v>0.8</v>
      </c>
      <c r="L260">
        <v>1</v>
      </c>
      <c r="M260">
        <f t="shared" si="13"/>
        <v>3.93333333333333</v>
      </c>
      <c r="N260" s="212" t="s">
        <v>1048</v>
      </c>
      <c r="O260">
        <v>1</v>
      </c>
      <c r="P260">
        <v>5</v>
      </c>
      <c r="Q260">
        <v>0</v>
      </c>
      <c r="S260">
        <v>0</v>
      </c>
      <c r="V260">
        <v>1</v>
      </c>
      <c r="W260">
        <v>6</v>
      </c>
      <c r="X260" s="7">
        <v>1</v>
      </c>
      <c r="Y260">
        <v>-0.1</v>
      </c>
      <c r="Z260">
        <v>0</v>
      </c>
      <c r="AD260">
        <v>1</v>
      </c>
      <c r="AE260" t="s">
        <v>1049</v>
      </c>
      <c r="AF260">
        <f t="shared" si="12"/>
        <v>0.5</v>
      </c>
      <c r="AN260" s="8">
        <v>400</v>
      </c>
      <c r="AO260" t="s">
        <v>136</v>
      </c>
      <c r="AR260" t="s">
        <v>239</v>
      </c>
      <c r="BC260" t="s">
        <v>1050</v>
      </c>
    </row>
    <row r="261" spans="1:55">
      <c r="A261">
        <v>255</v>
      </c>
      <c r="B261" t="s">
        <v>1023</v>
      </c>
      <c r="C261" t="s">
        <v>1051</v>
      </c>
      <c r="D261">
        <v>1</v>
      </c>
      <c r="E261">
        <v>0</v>
      </c>
      <c r="G261">
        <v>1</v>
      </c>
      <c r="H261" s="168" t="s">
        <v>1052</v>
      </c>
      <c r="I261">
        <v>4.33333333333333</v>
      </c>
      <c r="J261">
        <v>4.33333333333333</v>
      </c>
      <c r="K261">
        <v>0.8</v>
      </c>
      <c r="L261">
        <f t="shared" si="11"/>
        <v>1</v>
      </c>
      <c r="M261">
        <f t="shared" si="13"/>
        <v>3.93333333333333</v>
      </c>
      <c r="N261" s="212" t="s">
        <v>1053</v>
      </c>
      <c r="O261">
        <v>1</v>
      </c>
      <c r="P261">
        <v>5</v>
      </c>
      <c r="Q261">
        <v>0</v>
      </c>
      <c r="S261">
        <v>-1.5</v>
      </c>
      <c r="U261">
        <v>0.8</v>
      </c>
      <c r="V261">
        <v>1</v>
      </c>
      <c r="W261">
        <v>4</v>
      </c>
      <c r="X261" s="7">
        <v>11</v>
      </c>
      <c r="Y261">
        <v>-0.1</v>
      </c>
      <c r="Z261">
        <v>0</v>
      </c>
      <c r="AD261">
        <v>0</v>
      </c>
      <c r="AF261">
        <f t="shared" si="12"/>
        <v>0</v>
      </c>
      <c r="AN261" s="8">
        <v>486</v>
      </c>
      <c r="AO261" t="s">
        <v>136</v>
      </c>
      <c r="BC261" t="s">
        <v>1054</v>
      </c>
    </row>
    <row r="262" spans="1:55">
      <c r="A262">
        <v>256</v>
      </c>
      <c r="B262" t="s">
        <v>1023</v>
      </c>
      <c r="C262" t="s">
        <v>1055</v>
      </c>
      <c r="D262">
        <v>1</v>
      </c>
      <c r="E262">
        <v>0</v>
      </c>
      <c r="G262">
        <v>1</v>
      </c>
      <c r="H262" s="168" t="s">
        <v>1056</v>
      </c>
      <c r="I262">
        <v>8.16666666666667</v>
      </c>
      <c r="J262">
        <v>8.16666666666667</v>
      </c>
      <c r="K262">
        <v>0.8</v>
      </c>
      <c r="L262">
        <v>1</v>
      </c>
      <c r="M262">
        <f t="shared" si="13"/>
        <v>7.76666666666667</v>
      </c>
      <c r="N262" s="212" t="s">
        <v>1057</v>
      </c>
      <c r="O262">
        <v>1</v>
      </c>
      <c r="P262">
        <v>5</v>
      </c>
      <c r="Q262">
        <v>2</v>
      </c>
      <c r="S262">
        <v>0</v>
      </c>
      <c r="V262">
        <v>1</v>
      </c>
      <c r="W262">
        <v>6</v>
      </c>
      <c r="X262" s="7">
        <v>2</v>
      </c>
      <c r="Y262">
        <v>-0.1</v>
      </c>
      <c r="Z262">
        <v>0</v>
      </c>
      <c r="AD262">
        <v>1</v>
      </c>
      <c r="AE262" t="s">
        <v>1058</v>
      </c>
      <c r="AF262">
        <f t="shared" si="12"/>
        <v>0.5</v>
      </c>
      <c r="AH262">
        <v>2</v>
      </c>
      <c r="AN262" s="8">
        <v>401</v>
      </c>
      <c r="AO262" t="s">
        <v>136</v>
      </c>
      <c r="BC262" t="s">
        <v>1059</v>
      </c>
    </row>
    <row r="263" s="18" customFormat="1" spans="1:48">
      <c r="A263" s="18">
        <v>257</v>
      </c>
      <c r="B263" s="18" t="s">
        <v>1060</v>
      </c>
      <c r="C263" s="18" t="s">
        <v>1061</v>
      </c>
      <c r="D263" s="18">
        <v>1</v>
      </c>
      <c r="E263" s="18">
        <v>0</v>
      </c>
      <c r="H263" s="199">
        <v>4001</v>
      </c>
      <c r="I263" s="18">
        <v>3</v>
      </c>
      <c r="J263" s="18">
        <v>3</v>
      </c>
      <c r="L263" s="18">
        <f t="shared" si="11"/>
        <v>1</v>
      </c>
      <c r="M263" s="18">
        <f t="shared" si="13"/>
        <v>2.6</v>
      </c>
      <c r="N263" s="31" t="s">
        <v>1062</v>
      </c>
      <c r="O263" s="18">
        <v>1</v>
      </c>
      <c r="P263" s="18">
        <v>1.2</v>
      </c>
      <c r="Q263" s="18">
        <v>0</v>
      </c>
      <c r="S263" s="18">
        <v>0</v>
      </c>
      <c r="V263" s="18">
        <v>1</v>
      </c>
      <c r="W263" s="18">
        <v>0</v>
      </c>
      <c r="X263" s="7">
        <v>5</v>
      </c>
      <c r="Y263" s="18">
        <v>-0.1</v>
      </c>
      <c r="Z263" s="18">
        <v>0</v>
      </c>
      <c r="AF263" s="18">
        <f t="shared" si="12"/>
        <v>0</v>
      </c>
      <c r="AP263" s="18">
        <v>408</v>
      </c>
      <c r="AQ263" s="18" t="s">
        <v>136</v>
      </c>
      <c r="AV263" s="18">
        <v>1</v>
      </c>
    </row>
    <row r="264" spans="1:43">
      <c r="A264">
        <v>258</v>
      </c>
      <c r="B264" t="s">
        <v>1060</v>
      </c>
      <c r="C264" t="s">
        <v>1063</v>
      </c>
      <c r="D264">
        <v>1</v>
      </c>
      <c r="E264">
        <v>0</v>
      </c>
      <c r="H264" s="82">
        <v>4003</v>
      </c>
      <c r="I264">
        <v>2.5</v>
      </c>
      <c r="J264">
        <v>2.5</v>
      </c>
      <c r="L264">
        <f t="shared" ref="L264:L324" si="14">IF(X264&gt;4,1,0)</f>
        <v>0</v>
      </c>
      <c r="M264">
        <f t="shared" si="13"/>
        <v>2.1</v>
      </c>
      <c r="N264" s="31" t="s">
        <v>1064</v>
      </c>
      <c r="O264">
        <v>1</v>
      </c>
      <c r="P264">
        <v>1.2</v>
      </c>
      <c r="Q264">
        <v>0</v>
      </c>
      <c r="S264">
        <v>0</v>
      </c>
      <c r="V264">
        <v>1</v>
      </c>
      <c r="W264">
        <v>0</v>
      </c>
      <c r="X264" s="7">
        <v>1</v>
      </c>
      <c r="Y264">
        <v>-0.1</v>
      </c>
      <c r="Z264">
        <v>0</v>
      </c>
      <c r="AF264">
        <f t="shared" si="12"/>
        <v>0</v>
      </c>
      <c r="AN264" s="8" t="s">
        <v>1065</v>
      </c>
      <c r="AO264" t="s">
        <v>524</v>
      </c>
      <c r="AP264">
        <v>409</v>
      </c>
      <c r="AQ264" t="s">
        <v>136</v>
      </c>
    </row>
    <row r="265" spans="1:44">
      <c r="A265">
        <v>259</v>
      </c>
      <c r="B265" t="s">
        <v>1060</v>
      </c>
      <c r="C265" t="s">
        <v>1066</v>
      </c>
      <c r="D265">
        <v>1</v>
      </c>
      <c r="E265">
        <v>0</v>
      </c>
      <c r="H265" s="82">
        <v>4004</v>
      </c>
      <c r="I265">
        <v>6.66666666666667</v>
      </c>
      <c r="J265">
        <v>6.66666666666667</v>
      </c>
      <c r="K265">
        <v>0.5</v>
      </c>
      <c r="L265">
        <v>1</v>
      </c>
      <c r="M265">
        <f t="shared" si="13"/>
        <v>6.26666666666667</v>
      </c>
      <c r="N265" s="17" t="s">
        <v>1067</v>
      </c>
      <c r="O265">
        <v>1</v>
      </c>
      <c r="P265">
        <v>12.8</v>
      </c>
      <c r="Q265">
        <v>2</v>
      </c>
      <c r="S265">
        <v>0</v>
      </c>
      <c r="V265">
        <v>1</v>
      </c>
      <c r="W265">
        <v>0</v>
      </c>
      <c r="X265" s="7">
        <v>5</v>
      </c>
      <c r="Y265">
        <v>-0.1</v>
      </c>
      <c r="Z265">
        <v>0</v>
      </c>
      <c r="AB265">
        <v>6.5</v>
      </c>
      <c r="AC265">
        <v>2</v>
      </c>
      <c r="AD265">
        <v>1</v>
      </c>
      <c r="AE265" t="s">
        <v>1068</v>
      </c>
      <c r="AF265">
        <f t="shared" si="12"/>
        <v>0.5</v>
      </c>
      <c r="AH265">
        <v>2</v>
      </c>
      <c r="AP265">
        <v>410</v>
      </c>
      <c r="AQ265" t="s">
        <v>136</v>
      </c>
      <c r="AR265" t="s">
        <v>239</v>
      </c>
    </row>
    <row r="266" spans="1:43">
      <c r="A266">
        <v>260</v>
      </c>
      <c r="B266" t="s">
        <v>1060</v>
      </c>
      <c r="C266" t="s">
        <v>1069</v>
      </c>
      <c r="D266">
        <v>1</v>
      </c>
      <c r="E266">
        <v>0</v>
      </c>
      <c r="H266" s="82">
        <v>4005</v>
      </c>
      <c r="I266">
        <v>1.93333333333333</v>
      </c>
      <c r="J266">
        <v>1.93333333333333</v>
      </c>
      <c r="L266">
        <v>1</v>
      </c>
      <c r="M266">
        <f t="shared" si="13"/>
        <v>1.53333333333333</v>
      </c>
      <c r="N266" s="31" t="s">
        <v>1070</v>
      </c>
      <c r="O266">
        <v>1</v>
      </c>
      <c r="P266">
        <v>1.2</v>
      </c>
      <c r="Q266">
        <v>0</v>
      </c>
      <c r="S266">
        <v>-1.5</v>
      </c>
      <c r="T266">
        <v>0.5</v>
      </c>
      <c r="U266">
        <v>0.8</v>
      </c>
      <c r="V266">
        <v>1</v>
      </c>
      <c r="W266">
        <v>4</v>
      </c>
      <c r="X266" s="7">
        <v>2</v>
      </c>
      <c r="Y266">
        <v>-0.1</v>
      </c>
      <c r="Z266">
        <v>0</v>
      </c>
      <c r="AF266">
        <f t="shared" si="12"/>
        <v>0</v>
      </c>
      <c r="AN266" s="8">
        <v>412</v>
      </c>
      <c r="AO266" t="s">
        <v>690</v>
      </c>
      <c r="AP266">
        <v>411</v>
      </c>
      <c r="AQ266" t="s">
        <v>136</v>
      </c>
    </row>
    <row r="267" spans="1:43">
      <c r="A267">
        <v>261</v>
      </c>
      <c r="B267" t="s">
        <v>1060</v>
      </c>
      <c r="C267" t="s">
        <v>1071</v>
      </c>
      <c r="D267">
        <v>1</v>
      </c>
      <c r="E267">
        <v>0</v>
      </c>
      <c r="H267" s="82">
        <v>4006</v>
      </c>
      <c r="I267">
        <v>2.83333333333333</v>
      </c>
      <c r="J267">
        <v>2.83333333333333</v>
      </c>
      <c r="L267">
        <v>1</v>
      </c>
      <c r="M267">
        <f t="shared" si="13"/>
        <v>2.43333333333333</v>
      </c>
      <c r="N267" s="31" t="s">
        <v>1072</v>
      </c>
      <c r="O267">
        <v>1</v>
      </c>
      <c r="P267">
        <v>1.2</v>
      </c>
      <c r="Q267">
        <v>0</v>
      </c>
      <c r="S267">
        <v>0</v>
      </c>
      <c r="U267">
        <v>1</v>
      </c>
      <c r="V267">
        <v>1</v>
      </c>
      <c r="W267">
        <v>6</v>
      </c>
      <c r="X267" s="7">
        <v>7</v>
      </c>
      <c r="Y267">
        <v>-0.1</v>
      </c>
      <c r="Z267">
        <v>0</v>
      </c>
      <c r="AF267">
        <f t="shared" ref="AF267:AF326" si="15">IF(AD267=--1,0.5,0)</f>
        <v>0</v>
      </c>
      <c r="AP267">
        <v>413</v>
      </c>
      <c r="AQ267" t="s">
        <v>136</v>
      </c>
    </row>
    <row r="268" spans="1:44">
      <c r="A268">
        <v>262</v>
      </c>
      <c r="B268" t="s">
        <v>1060</v>
      </c>
      <c r="C268" t="s">
        <v>1073</v>
      </c>
      <c r="D268">
        <v>1</v>
      </c>
      <c r="E268">
        <v>0</v>
      </c>
      <c r="H268" s="82">
        <v>4007</v>
      </c>
      <c r="I268">
        <v>6.83333333333333</v>
      </c>
      <c r="J268">
        <v>6.83333333333333</v>
      </c>
      <c r="K268">
        <v>0.3</v>
      </c>
      <c r="L268">
        <v>1</v>
      </c>
      <c r="M268">
        <f t="shared" si="13"/>
        <v>6.43333333333333</v>
      </c>
      <c r="N268" s="31" t="s">
        <v>1074</v>
      </c>
      <c r="O268">
        <v>1</v>
      </c>
      <c r="P268">
        <v>12.2</v>
      </c>
      <c r="Q268">
        <v>2</v>
      </c>
      <c r="S268">
        <v>0</v>
      </c>
      <c r="V268">
        <v>1</v>
      </c>
      <c r="W268">
        <v>0</v>
      </c>
      <c r="X268" s="7">
        <v>7</v>
      </c>
      <c r="Y268">
        <v>-0.1</v>
      </c>
      <c r="Z268">
        <v>0</v>
      </c>
      <c r="AB268">
        <v>6.5</v>
      </c>
      <c r="AC268">
        <v>2</v>
      </c>
      <c r="AD268">
        <v>1</v>
      </c>
      <c r="AE268" t="s">
        <v>1075</v>
      </c>
      <c r="AF268">
        <f t="shared" si="15"/>
        <v>0.5</v>
      </c>
      <c r="AN268" s="8" t="s">
        <v>1076</v>
      </c>
      <c r="AO268" t="s">
        <v>1077</v>
      </c>
      <c r="AP268" s="8">
        <v>414</v>
      </c>
      <c r="AQ268" t="s">
        <v>136</v>
      </c>
      <c r="AR268" s="749" t="s">
        <v>239</v>
      </c>
    </row>
    <row r="269" spans="1:43">
      <c r="A269">
        <v>263</v>
      </c>
      <c r="B269" t="s">
        <v>1060</v>
      </c>
      <c r="C269" t="s">
        <v>1078</v>
      </c>
      <c r="D269">
        <v>1</v>
      </c>
      <c r="E269">
        <v>0</v>
      </c>
      <c r="H269" s="82">
        <v>4008</v>
      </c>
      <c r="I269">
        <v>11</v>
      </c>
      <c r="J269">
        <v>11</v>
      </c>
      <c r="K269">
        <v>0.5</v>
      </c>
      <c r="L269">
        <v>1</v>
      </c>
      <c r="M269">
        <v>10.6</v>
      </c>
      <c r="N269" s="31" t="s">
        <v>1079</v>
      </c>
      <c r="O269">
        <v>1</v>
      </c>
      <c r="P269">
        <v>5</v>
      </c>
      <c r="Q269">
        <v>0</v>
      </c>
      <c r="S269">
        <v>-5</v>
      </c>
      <c r="T269">
        <v>-1</v>
      </c>
      <c r="U269">
        <v>1</v>
      </c>
      <c r="V269">
        <v>1</v>
      </c>
      <c r="W269">
        <v>6</v>
      </c>
      <c r="X269" s="172">
        <v>9</v>
      </c>
      <c r="Y269">
        <v>-0.1</v>
      </c>
      <c r="Z269">
        <v>0</v>
      </c>
      <c r="AB269">
        <v>10.7</v>
      </c>
      <c r="AC269">
        <v>2</v>
      </c>
      <c r="AD269">
        <v>1</v>
      </c>
      <c r="AE269" t="s">
        <v>1080</v>
      </c>
      <c r="AF269">
        <v>0.5</v>
      </c>
      <c r="AN269" s="8" t="s">
        <v>1081</v>
      </c>
      <c r="AO269" t="s">
        <v>1082</v>
      </c>
      <c r="AP269">
        <v>416</v>
      </c>
      <c r="AQ269" t="s">
        <v>136</v>
      </c>
    </row>
    <row r="270" s="27" customFormat="1" spans="1:48">
      <c r="A270" s="27">
        <v>264</v>
      </c>
      <c r="B270" s="27" t="s">
        <v>1083</v>
      </c>
      <c r="C270" s="200" t="s">
        <v>1084</v>
      </c>
      <c r="D270" s="27">
        <v>1</v>
      </c>
      <c r="E270" s="27">
        <v>0</v>
      </c>
      <c r="G270" s="27">
        <v>2</v>
      </c>
      <c r="H270" s="200">
        <v>4101</v>
      </c>
      <c r="I270" s="213">
        <v>2.06666666666667</v>
      </c>
      <c r="J270" s="213">
        <v>2.06666666666667</v>
      </c>
      <c r="L270" s="27">
        <v>0</v>
      </c>
      <c r="M270" s="27">
        <v>1.66666666666667</v>
      </c>
      <c r="N270" s="27" t="s">
        <v>1085</v>
      </c>
      <c r="O270" s="27">
        <v>1</v>
      </c>
      <c r="P270" s="27">
        <v>4</v>
      </c>
      <c r="Q270" s="27">
        <v>0</v>
      </c>
      <c r="S270" s="27">
        <v>0</v>
      </c>
      <c r="V270" s="27">
        <v>1</v>
      </c>
      <c r="W270" s="27">
        <v>0</v>
      </c>
      <c r="X270" s="217">
        <v>2</v>
      </c>
      <c r="Y270" s="27">
        <v>0.4</v>
      </c>
      <c r="Z270" s="27">
        <v>0</v>
      </c>
      <c r="AF270" s="27">
        <v>0</v>
      </c>
      <c r="AN270" s="27">
        <v>972</v>
      </c>
      <c r="AO270" s="27" t="s">
        <v>136</v>
      </c>
      <c r="AV270" s="27">
        <v>1</v>
      </c>
    </row>
    <row r="271" s="27" customFormat="1" spans="1:43">
      <c r="A271" s="27">
        <v>265</v>
      </c>
      <c r="B271" s="27" t="s">
        <v>1083</v>
      </c>
      <c r="C271" s="200" t="s">
        <v>1086</v>
      </c>
      <c r="D271" s="27">
        <v>4</v>
      </c>
      <c r="E271" s="27">
        <v>0</v>
      </c>
      <c r="G271" s="27">
        <v>1</v>
      </c>
      <c r="H271" s="200">
        <v>4102</v>
      </c>
      <c r="I271" s="213">
        <v>3.33333333333333</v>
      </c>
      <c r="J271" s="213">
        <v>3.33333333333333</v>
      </c>
      <c r="L271" s="27">
        <v>1</v>
      </c>
      <c r="M271" s="27">
        <f t="shared" si="13"/>
        <v>2.93333333333333</v>
      </c>
      <c r="N271" s="27" t="s">
        <v>1087</v>
      </c>
      <c r="O271" s="27">
        <v>1</v>
      </c>
      <c r="P271" s="27">
        <v>16</v>
      </c>
      <c r="Q271" s="27">
        <v>2</v>
      </c>
      <c r="S271" s="27">
        <v>0</v>
      </c>
      <c r="V271" s="27">
        <v>1</v>
      </c>
      <c r="W271" s="27">
        <v>0</v>
      </c>
      <c r="X271" s="217">
        <v>1</v>
      </c>
      <c r="Y271" s="27">
        <v>-0.1</v>
      </c>
      <c r="Z271" s="27">
        <v>0</v>
      </c>
      <c r="AB271" s="27">
        <v>3.3</v>
      </c>
      <c r="AC271" s="27">
        <v>2</v>
      </c>
      <c r="AD271" s="27">
        <v>1</v>
      </c>
      <c r="AE271" s="27" t="s">
        <v>1088</v>
      </c>
      <c r="AF271" s="27">
        <f t="shared" si="15"/>
        <v>0.5</v>
      </c>
      <c r="AN271" s="213"/>
      <c r="AP271" s="81">
        <v>419</v>
      </c>
      <c r="AQ271" s="27" t="s">
        <v>136</v>
      </c>
    </row>
    <row r="272" s="27" customFormat="1" spans="1:41">
      <c r="A272" s="27">
        <v>266</v>
      </c>
      <c r="B272" s="27" t="s">
        <v>1083</v>
      </c>
      <c r="C272" s="200" t="s">
        <v>1089</v>
      </c>
      <c r="D272" s="27">
        <v>4</v>
      </c>
      <c r="E272" s="27">
        <v>0</v>
      </c>
      <c r="G272" s="27">
        <v>2</v>
      </c>
      <c r="H272" s="200">
        <v>4103</v>
      </c>
      <c r="I272" s="213">
        <v>1.83333333333333</v>
      </c>
      <c r="J272" s="213">
        <v>1.83333333333333</v>
      </c>
      <c r="L272" s="27">
        <f t="shared" si="14"/>
        <v>1</v>
      </c>
      <c r="M272" s="27">
        <f t="shared" si="13"/>
        <v>1.43333333333333</v>
      </c>
      <c r="N272" s="27" t="s">
        <v>1090</v>
      </c>
      <c r="O272" s="27">
        <v>1</v>
      </c>
      <c r="P272" s="27">
        <v>4</v>
      </c>
      <c r="Q272" s="27">
        <v>0</v>
      </c>
      <c r="S272" s="27">
        <v>0</v>
      </c>
      <c r="V272" s="27">
        <v>1</v>
      </c>
      <c r="W272" s="27">
        <v>0</v>
      </c>
      <c r="X272" s="217">
        <v>7</v>
      </c>
      <c r="Y272" s="27">
        <v>0.4</v>
      </c>
      <c r="Z272" s="27">
        <v>0</v>
      </c>
      <c r="AF272" s="27">
        <f t="shared" si="15"/>
        <v>0</v>
      </c>
      <c r="AN272" s="27">
        <v>420</v>
      </c>
      <c r="AO272" s="27" t="s">
        <v>136</v>
      </c>
    </row>
    <row r="273" s="27" customFormat="1" spans="1:41">
      <c r="A273" s="27">
        <v>267</v>
      </c>
      <c r="B273" s="27" t="s">
        <v>1083</v>
      </c>
      <c r="C273" s="200" t="s">
        <v>1091</v>
      </c>
      <c r="D273" s="27">
        <v>1</v>
      </c>
      <c r="E273" s="27">
        <v>0</v>
      </c>
      <c r="G273" s="27">
        <v>2</v>
      </c>
      <c r="H273" s="200">
        <v>4104</v>
      </c>
      <c r="I273" s="213">
        <v>6.63333333333333</v>
      </c>
      <c r="J273" s="213">
        <v>6.63333333333333</v>
      </c>
      <c r="L273" s="27">
        <v>1</v>
      </c>
      <c r="M273" s="27">
        <f t="shared" si="13"/>
        <v>6.23333333333333</v>
      </c>
      <c r="N273" s="27" t="s">
        <v>1092</v>
      </c>
      <c r="O273" s="27">
        <v>1</v>
      </c>
      <c r="P273" s="27">
        <v>4</v>
      </c>
      <c r="Q273" s="27">
        <v>0</v>
      </c>
      <c r="S273" s="27">
        <v>0</v>
      </c>
      <c r="V273" s="27">
        <v>1</v>
      </c>
      <c r="W273" s="27">
        <v>0</v>
      </c>
      <c r="X273" s="217">
        <v>8</v>
      </c>
      <c r="Y273" s="27">
        <v>-0.1</v>
      </c>
      <c r="Z273" s="27">
        <v>0</v>
      </c>
      <c r="AB273" s="27">
        <v>6.5</v>
      </c>
      <c r="AC273" s="27">
        <v>2</v>
      </c>
      <c r="AD273" s="27">
        <v>1</v>
      </c>
      <c r="AE273" s="27" t="s">
        <v>1093</v>
      </c>
      <c r="AF273" s="27">
        <f t="shared" si="15"/>
        <v>0.5</v>
      </c>
      <c r="AN273" s="81">
        <v>421</v>
      </c>
      <c r="AO273" s="27" t="s">
        <v>136</v>
      </c>
    </row>
    <row r="274" s="27" customFormat="1" spans="1:41">
      <c r="A274" s="27">
        <v>268</v>
      </c>
      <c r="B274" s="27" t="s">
        <v>1083</v>
      </c>
      <c r="C274" s="200" t="s">
        <v>1094</v>
      </c>
      <c r="D274" s="27">
        <v>3</v>
      </c>
      <c r="E274" s="27">
        <v>1</v>
      </c>
      <c r="G274" s="27">
        <v>2</v>
      </c>
      <c r="H274" s="200">
        <v>4105</v>
      </c>
      <c r="I274" s="213">
        <v>4</v>
      </c>
      <c r="J274" s="213">
        <v>4</v>
      </c>
      <c r="L274" s="27">
        <f t="shared" si="14"/>
        <v>0</v>
      </c>
      <c r="M274" s="27">
        <f t="shared" si="13"/>
        <v>3.6</v>
      </c>
      <c r="N274" s="27" t="s">
        <v>1095</v>
      </c>
      <c r="O274" s="27">
        <v>5</v>
      </c>
      <c r="P274" s="27">
        <v>4</v>
      </c>
      <c r="Q274" s="27">
        <v>2</v>
      </c>
      <c r="S274" s="27">
        <v>1</v>
      </c>
      <c r="V274" s="27">
        <v>101</v>
      </c>
      <c r="W274" s="27">
        <v>6</v>
      </c>
      <c r="X274" s="217">
        <v>0</v>
      </c>
      <c r="Y274" s="27">
        <v>-0.1</v>
      </c>
      <c r="Z274" s="27">
        <v>0</v>
      </c>
      <c r="AF274" s="27">
        <f t="shared" si="15"/>
        <v>0</v>
      </c>
      <c r="AN274" s="27">
        <v>422</v>
      </c>
      <c r="AO274" s="27" t="s">
        <v>136</v>
      </c>
    </row>
    <row r="275" s="27" customFormat="1" spans="1:41">
      <c r="A275" s="27">
        <v>269</v>
      </c>
      <c r="B275" s="27" t="s">
        <v>1083</v>
      </c>
      <c r="C275" s="200" t="s">
        <v>1096</v>
      </c>
      <c r="D275" s="27">
        <v>2</v>
      </c>
      <c r="E275" s="27">
        <v>1</v>
      </c>
      <c r="G275" s="27">
        <v>2</v>
      </c>
      <c r="H275" s="200">
        <v>4106</v>
      </c>
      <c r="I275" s="213">
        <v>3.33333333333333</v>
      </c>
      <c r="J275" s="213">
        <v>3.33333333333333</v>
      </c>
      <c r="L275" s="27">
        <f t="shared" si="14"/>
        <v>0</v>
      </c>
      <c r="M275" s="27">
        <f t="shared" si="13"/>
        <v>2.93333333333333</v>
      </c>
      <c r="N275" s="27" t="s">
        <v>1097</v>
      </c>
      <c r="O275" s="27">
        <v>5</v>
      </c>
      <c r="P275" s="27">
        <v>4</v>
      </c>
      <c r="Q275" s="27">
        <v>2</v>
      </c>
      <c r="S275" s="27">
        <v>1</v>
      </c>
      <c r="V275" s="27">
        <v>1000</v>
      </c>
      <c r="W275" s="27">
        <v>0</v>
      </c>
      <c r="X275" s="217">
        <v>0</v>
      </c>
      <c r="Y275" s="27">
        <v>-0.1</v>
      </c>
      <c r="Z275" s="27">
        <v>0</v>
      </c>
      <c r="AF275" s="27">
        <f t="shared" si="15"/>
        <v>0</v>
      </c>
      <c r="AN275" s="81">
        <v>423</v>
      </c>
      <c r="AO275" s="27" t="s">
        <v>136</v>
      </c>
    </row>
    <row r="276" s="27" customFormat="1" spans="1:41">
      <c r="A276" s="27">
        <v>270</v>
      </c>
      <c r="B276" s="27" t="s">
        <v>1083</v>
      </c>
      <c r="C276" s="200" t="s">
        <v>1098</v>
      </c>
      <c r="D276" s="27">
        <v>4</v>
      </c>
      <c r="E276" s="27">
        <v>0</v>
      </c>
      <c r="G276" s="27">
        <v>2</v>
      </c>
      <c r="H276" s="200">
        <v>4107</v>
      </c>
      <c r="I276" s="213">
        <v>1.66666666666667</v>
      </c>
      <c r="J276" s="213">
        <v>1.66666666666667</v>
      </c>
      <c r="L276" s="27">
        <f t="shared" si="14"/>
        <v>0</v>
      </c>
      <c r="M276" s="27">
        <f t="shared" si="13"/>
        <v>1.26666666666667</v>
      </c>
      <c r="N276" s="27" t="s">
        <v>1099</v>
      </c>
      <c r="O276" s="27">
        <v>1</v>
      </c>
      <c r="P276" s="27">
        <v>4</v>
      </c>
      <c r="Q276" s="27">
        <v>0</v>
      </c>
      <c r="S276" s="27">
        <v>0</v>
      </c>
      <c r="V276" s="27">
        <v>1</v>
      </c>
      <c r="W276" s="27">
        <v>0</v>
      </c>
      <c r="X276" s="217">
        <v>1</v>
      </c>
      <c r="Y276" s="27">
        <v>-0.1</v>
      </c>
      <c r="Z276" s="27">
        <v>0</v>
      </c>
      <c r="AF276" s="27">
        <f t="shared" si="15"/>
        <v>0</v>
      </c>
      <c r="AN276" s="27">
        <v>424</v>
      </c>
      <c r="AO276" s="27" t="s">
        <v>136</v>
      </c>
    </row>
    <row r="277" s="27" customFormat="1" spans="1:44">
      <c r="A277" s="27">
        <v>271</v>
      </c>
      <c r="B277" s="27" t="s">
        <v>1083</v>
      </c>
      <c r="C277" s="200" t="s">
        <v>1100</v>
      </c>
      <c r="D277" s="27">
        <v>4</v>
      </c>
      <c r="E277" s="27">
        <v>0</v>
      </c>
      <c r="G277" s="27">
        <v>2</v>
      </c>
      <c r="H277" s="200">
        <v>4108</v>
      </c>
      <c r="I277" s="213">
        <v>9.83333333333333</v>
      </c>
      <c r="J277" s="213">
        <v>9.83333333333333</v>
      </c>
      <c r="L277" s="27">
        <v>1</v>
      </c>
      <c r="M277" s="27">
        <f t="shared" si="13"/>
        <v>9.43333333333333</v>
      </c>
      <c r="N277" s="27" t="s">
        <v>1101</v>
      </c>
      <c r="O277" s="27">
        <v>1</v>
      </c>
      <c r="P277" s="27">
        <v>10</v>
      </c>
      <c r="Q277" s="27">
        <v>2</v>
      </c>
      <c r="S277" s="27">
        <v>0</v>
      </c>
      <c r="V277" s="27">
        <v>1</v>
      </c>
      <c r="W277" s="27">
        <v>6</v>
      </c>
      <c r="X277" s="217">
        <v>8</v>
      </c>
      <c r="Y277" s="27">
        <v>-0.1</v>
      </c>
      <c r="Z277" s="27">
        <v>0</v>
      </c>
      <c r="AB277" s="27">
        <v>9.5</v>
      </c>
      <c r="AC277" s="27">
        <v>1</v>
      </c>
      <c r="AD277" s="27">
        <v>1</v>
      </c>
      <c r="AE277" s="27" t="s">
        <v>1102</v>
      </c>
      <c r="AF277" s="27">
        <f t="shared" si="15"/>
        <v>0.5</v>
      </c>
      <c r="AN277" s="220">
        <v>426</v>
      </c>
      <c r="AO277" s="27" t="s">
        <v>1103</v>
      </c>
      <c r="AP277" s="27">
        <v>425</v>
      </c>
      <c r="AQ277" s="27" t="s">
        <v>136</v>
      </c>
      <c r="AR277" s="27" t="s">
        <v>239</v>
      </c>
    </row>
    <row r="278" spans="1:48">
      <c r="A278">
        <v>272</v>
      </c>
      <c r="B278" t="s">
        <v>1104</v>
      </c>
      <c r="C278" t="s">
        <v>526</v>
      </c>
      <c r="D278">
        <v>1</v>
      </c>
      <c r="E278">
        <v>0</v>
      </c>
      <c r="G278">
        <v>1</v>
      </c>
      <c r="H278" s="82" t="s">
        <v>1105</v>
      </c>
      <c r="I278" s="118">
        <v>2.16666666666667</v>
      </c>
      <c r="J278" s="118">
        <v>2.16666666666667</v>
      </c>
      <c r="L278">
        <f t="shared" si="14"/>
        <v>0</v>
      </c>
      <c r="M278">
        <f t="shared" si="13"/>
        <v>1.76666666666667</v>
      </c>
      <c r="N278" s="214" t="s">
        <v>1106</v>
      </c>
      <c r="O278">
        <v>1</v>
      </c>
      <c r="P278">
        <v>1.2</v>
      </c>
      <c r="Q278">
        <v>0</v>
      </c>
      <c r="S278">
        <v>0</v>
      </c>
      <c r="V278">
        <v>1</v>
      </c>
      <c r="W278">
        <v>0</v>
      </c>
      <c r="X278" s="7">
        <v>3</v>
      </c>
      <c r="Y278">
        <v>-0.1</v>
      </c>
      <c r="Z278">
        <v>0</v>
      </c>
      <c r="AF278">
        <f t="shared" si="15"/>
        <v>0</v>
      </c>
      <c r="AN278" s="8">
        <v>443</v>
      </c>
      <c r="AO278" t="s">
        <v>136</v>
      </c>
      <c r="AV278">
        <v>1</v>
      </c>
    </row>
    <row r="279" spans="1:48">
      <c r="A279">
        <v>273</v>
      </c>
      <c r="B279" t="s">
        <v>1104</v>
      </c>
      <c r="C279" t="s">
        <v>1107</v>
      </c>
      <c r="D279">
        <v>4</v>
      </c>
      <c r="E279" s="201">
        <v>0</v>
      </c>
      <c r="G279">
        <v>1</v>
      </c>
      <c r="H279" s="82" t="s">
        <v>1108</v>
      </c>
      <c r="I279" s="118">
        <v>3.83333333333333</v>
      </c>
      <c r="J279" s="118">
        <v>3.83333333333333</v>
      </c>
      <c r="K279">
        <v>0.5</v>
      </c>
      <c r="L279">
        <v>1</v>
      </c>
      <c r="M279">
        <f t="shared" si="13"/>
        <v>3.43333333333333</v>
      </c>
      <c r="N279" s="214" t="s">
        <v>1109</v>
      </c>
      <c r="O279">
        <v>1</v>
      </c>
      <c r="P279">
        <v>4</v>
      </c>
      <c r="Q279">
        <v>2</v>
      </c>
      <c r="S279">
        <v>0</v>
      </c>
      <c r="V279">
        <v>1</v>
      </c>
      <c r="W279">
        <v>0</v>
      </c>
      <c r="X279" s="7">
        <v>1</v>
      </c>
      <c r="Y279">
        <v>-0.1</v>
      </c>
      <c r="Z279">
        <v>0</v>
      </c>
      <c r="AB279">
        <v>3.6</v>
      </c>
      <c r="AC279">
        <v>2</v>
      </c>
      <c r="AD279">
        <v>1</v>
      </c>
      <c r="AE279" t="s">
        <v>1110</v>
      </c>
      <c r="AF279">
        <f t="shared" si="15"/>
        <v>0.5</v>
      </c>
      <c r="AP279" s="8">
        <v>444</v>
      </c>
      <c r="AQ279" t="s">
        <v>136</v>
      </c>
      <c r="AV279" s="201"/>
    </row>
    <row r="280" spans="1:44">
      <c r="A280">
        <v>274</v>
      </c>
      <c r="B280" t="s">
        <v>1104</v>
      </c>
      <c r="C280" t="s">
        <v>1111</v>
      </c>
      <c r="D280">
        <v>1</v>
      </c>
      <c r="E280">
        <v>0</v>
      </c>
      <c r="G280">
        <v>1</v>
      </c>
      <c r="H280" s="82" t="s">
        <v>1112</v>
      </c>
      <c r="I280" s="118">
        <v>6.6</v>
      </c>
      <c r="J280" s="118">
        <v>6.6</v>
      </c>
      <c r="K280">
        <v>1</v>
      </c>
      <c r="L280">
        <v>1</v>
      </c>
      <c r="M280">
        <f t="shared" ref="M280:M314" si="16">I280-0.4</f>
        <v>6.2</v>
      </c>
      <c r="N280" s="214" t="s">
        <v>1113</v>
      </c>
      <c r="O280">
        <v>1</v>
      </c>
      <c r="P280">
        <v>10</v>
      </c>
      <c r="Q280">
        <v>2</v>
      </c>
      <c r="S280">
        <v>0</v>
      </c>
      <c r="V280">
        <v>1</v>
      </c>
      <c r="W280">
        <v>6</v>
      </c>
      <c r="X280" s="7">
        <v>8</v>
      </c>
      <c r="Y280">
        <v>-0.1</v>
      </c>
      <c r="Z280">
        <v>0</v>
      </c>
      <c r="AD280">
        <v>1</v>
      </c>
      <c r="AE280" t="s">
        <v>1114</v>
      </c>
      <c r="AF280">
        <f t="shared" si="15"/>
        <v>0.5</v>
      </c>
      <c r="AN280" s="8" t="s">
        <v>1115</v>
      </c>
      <c r="AO280" t="s">
        <v>1116</v>
      </c>
      <c r="AP280" s="8">
        <v>445</v>
      </c>
      <c r="AQ280" t="s">
        <v>136</v>
      </c>
      <c r="AR280" t="s">
        <v>239</v>
      </c>
    </row>
    <row r="281" s="28" customFormat="1" spans="1:44">
      <c r="A281" s="28">
        <v>275</v>
      </c>
      <c r="B281" s="28" t="s">
        <v>1104</v>
      </c>
      <c r="C281" s="28" t="s">
        <v>1117</v>
      </c>
      <c r="D281" s="28">
        <v>1</v>
      </c>
      <c r="E281" s="28">
        <v>0</v>
      </c>
      <c r="G281" s="28">
        <v>1</v>
      </c>
      <c r="H281" s="202" t="s">
        <v>1118</v>
      </c>
      <c r="I281" s="215">
        <v>5.73333333333333</v>
      </c>
      <c r="J281" s="215">
        <v>5.73333333333333</v>
      </c>
      <c r="L281" s="28">
        <v>1</v>
      </c>
      <c r="M281" s="28">
        <v>5.33333333333333</v>
      </c>
      <c r="N281" s="214" t="s">
        <v>1119</v>
      </c>
      <c r="O281" s="28">
        <v>1</v>
      </c>
      <c r="P281" s="28">
        <v>15</v>
      </c>
      <c r="Q281" s="28">
        <v>0</v>
      </c>
      <c r="V281" s="28">
        <v>1</v>
      </c>
      <c r="W281" s="28">
        <v>6</v>
      </c>
      <c r="X281" s="218">
        <v>1</v>
      </c>
      <c r="Y281" s="28">
        <v>-0.1</v>
      </c>
      <c r="Z281" s="28">
        <v>0</v>
      </c>
      <c r="AB281" s="28">
        <v>5.4</v>
      </c>
      <c r="AC281" s="28">
        <v>2</v>
      </c>
      <c r="AD281" s="28">
        <v>1</v>
      </c>
      <c r="AE281" s="28" t="s">
        <v>1120</v>
      </c>
      <c r="AF281" s="28">
        <v>0.5</v>
      </c>
      <c r="AN281" s="221"/>
      <c r="AP281" s="28">
        <v>446</v>
      </c>
      <c r="AQ281" s="28" t="s">
        <v>136</v>
      </c>
      <c r="AR281" s="28" t="s">
        <v>239</v>
      </c>
    </row>
    <row r="282" spans="1:41">
      <c r="A282">
        <v>276</v>
      </c>
      <c r="B282" t="s">
        <v>1104</v>
      </c>
      <c r="C282" t="s">
        <v>1121</v>
      </c>
      <c r="D282">
        <v>1</v>
      </c>
      <c r="E282">
        <v>0</v>
      </c>
      <c r="G282">
        <v>1</v>
      </c>
      <c r="H282" s="82" t="s">
        <v>1122</v>
      </c>
      <c r="I282" s="118">
        <v>3.33333333333333</v>
      </c>
      <c r="J282" s="118">
        <v>3.33333333333333</v>
      </c>
      <c r="L282">
        <f t="shared" si="14"/>
        <v>0</v>
      </c>
      <c r="M282">
        <f t="shared" si="16"/>
        <v>2.93333333333333</v>
      </c>
      <c r="N282" s="214" t="s">
        <v>1123</v>
      </c>
      <c r="O282">
        <v>1</v>
      </c>
      <c r="P282">
        <v>1.2</v>
      </c>
      <c r="Q282">
        <v>0</v>
      </c>
      <c r="R282">
        <v>1</v>
      </c>
      <c r="S282">
        <v>2</v>
      </c>
      <c r="U282">
        <v>0.8</v>
      </c>
      <c r="V282">
        <v>1</v>
      </c>
      <c r="W282">
        <v>0</v>
      </c>
      <c r="X282" s="7">
        <v>4</v>
      </c>
      <c r="Y282">
        <v>-0.1</v>
      </c>
      <c r="Z282">
        <v>0</v>
      </c>
      <c r="AF282">
        <f t="shared" si="15"/>
        <v>0</v>
      </c>
      <c r="AN282" s="8">
        <v>447</v>
      </c>
      <c r="AO282" t="s">
        <v>136</v>
      </c>
    </row>
    <row r="283" spans="1:41">
      <c r="A283">
        <v>277</v>
      </c>
      <c r="B283" t="s">
        <v>1104</v>
      </c>
      <c r="C283" t="s">
        <v>1124</v>
      </c>
      <c r="D283">
        <v>4</v>
      </c>
      <c r="E283">
        <v>0</v>
      </c>
      <c r="G283">
        <v>1</v>
      </c>
      <c r="H283" s="82" t="s">
        <v>1125</v>
      </c>
      <c r="I283" s="118">
        <v>2.83333333333333</v>
      </c>
      <c r="J283" s="118">
        <v>2.83333333333333</v>
      </c>
      <c r="L283">
        <f t="shared" si="14"/>
        <v>1</v>
      </c>
      <c r="M283">
        <f t="shared" si="16"/>
        <v>2.43333333333333</v>
      </c>
      <c r="N283" s="214" t="s">
        <v>1126</v>
      </c>
      <c r="O283">
        <v>1</v>
      </c>
      <c r="P283">
        <v>1.2</v>
      </c>
      <c r="Q283">
        <v>0</v>
      </c>
      <c r="S283">
        <v>-0.3</v>
      </c>
      <c r="T283">
        <v>1</v>
      </c>
      <c r="U283">
        <v>0.5</v>
      </c>
      <c r="V283">
        <v>1</v>
      </c>
      <c r="W283">
        <v>0</v>
      </c>
      <c r="X283" s="7">
        <v>16</v>
      </c>
      <c r="Y283">
        <v>-0.1</v>
      </c>
      <c r="Z283">
        <v>0</v>
      </c>
      <c r="AF283">
        <f t="shared" si="15"/>
        <v>0</v>
      </c>
      <c r="AN283" s="8">
        <v>448</v>
      </c>
      <c r="AO283" t="s">
        <v>136</v>
      </c>
    </row>
    <row r="284" spans="1:43">
      <c r="A284">
        <v>278</v>
      </c>
      <c r="B284" t="s">
        <v>1104</v>
      </c>
      <c r="C284" t="s">
        <v>1127</v>
      </c>
      <c r="D284">
        <v>1</v>
      </c>
      <c r="E284">
        <v>0</v>
      </c>
      <c r="G284">
        <v>1</v>
      </c>
      <c r="H284" s="82">
        <v>4208</v>
      </c>
      <c r="I284" s="118">
        <v>6.3</v>
      </c>
      <c r="J284" s="118">
        <v>6.3</v>
      </c>
      <c r="K284">
        <v>1</v>
      </c>
      <c r="L284">
        <v>1</v>
      </c>
      <c r="M284">
        <f t="shared" si="16"/>
        <v>5.9</v>
      </c>
      <c r="N284" s="214" t="s">
        <v>1128</v>
      </c>
      <c r="O284">
        <v>1</v>
      </c>
      <c r="P284">
        <v>1.2</v>
      </c>
      <c r="Q284">
        <v>0</v>
      </c>
      <c r="S284">
        <v>0</v>
      </c>
      <c r="V284">
        <v>1</v>
      </c>
      <c r="W284">
        <v>6</v>
      </c>
      <c r="X284" s="7">
        <v>3</v>
      </c>
      <c r="Y284">
        <v>-0.1</v>
      </c>
      <c r="Z284">
        <v>0</v>
      </c>
      <c r="AB284">
        <v>6</v>
      </c>
      <c r="AC284">
        <v>1</v>
      </c>
      <c r="AD284">
        <v>1</v>
      </c>
      <c r="AE284" t="s">
        <v>1129</v>
      </c>
      <c r="AF284">
        <f t="shared" si="15"/>
        <v>0.5</v>
      </c>
      <c r="AP284">
        <v>449</v>
      </c>
      <c r="AQ284" t="s">
        <v>136</v>
      </c>
    </row>
    <row r="285" spans="1:41">
      <c r="A285">
        <v>279</v>
      </c>
      <c r="B285" t="s">
        <v>1104</v>
      </c>
      <c r="C285" t="s">
        <v>1130</v>
      </c>
      <c r="D285">
        <v>3</v>
      </c>
      <c r="E285">
        <v>1</v>
      </c>
      <c r="G285">
        <v>1</v>
      </c>
      <c r="H285" s="82">
        <v>4209</v>
      </c>
      <c r="I285">
        <v>3.66666666666667</v>
      </c>
      <c r="J285" s="118">
        <v>3.66666666666667</v>
      </c>
      <c r="L285">
        <f t="shared" si="14"/>
        <v>0</v>
      </c>
      <c r="M285">
        <f t="shared" si="16"/>
        <v>3.26666666666667</v>
      </c>
      <c r="N285" s="214" t="s">
        <v>1131</v>
      </c>
      <c r="O285">
        <v>5</v>
      </c>
      <c r="P285">
        <v>1.2</v>
      </c>
      <c r="Q285">
        <v>2</v>
      </c>
      <c r="S285">
        <v>1</v>
      </c>
      <c r="V285">
        <v>1000</v>
      </c>
      <c r="W285">
        <v>0</v>
      </c>
      <c r="X285" s="7">
        <v>0</v>
      </c>
      <c r="Y285">
        <v>-0.1</v>
      </c>
      <c r="Z285">
        <v>0</v>
      </c>
      <c r="AF285">
        <f t="shared" si="15"/>
        <v>0</v>
      </c>
      <c r="AN285" s="8" t="s">
        <v>1132</v>
      </c>
      <c r="AO285" t="s">
        <v>1133</v>
      </c>
    </row>
    <row r="286" spans="1:41">
      <c r="A286">
        <v>280</v>
      </c>
      <c r="B286" s="52" t="s">
        <v>1134</v>
      </c>
      <c r="C286" s="52" t="s">
        <v>1135</v>
      </c>
      <c r="D286" s="52">
        <v>1</v>
      </c>
      <c r="E286" s="52">
        <v>0</v>
      </c>
      <c r="F286" s="52"/>
      <c r="G286" s="52">
        <v>1</v>
      </c>
      <c r="H286" s="91">
        <v>102</v>
      </c>
      <c r="I286" s="52">
        <v>3.16666666666667</v>
      </c>
      <c r="J286" s="52">
        <v>3.16666666666667</v>
      </c>
      <c r="K286" s="52"/>
      <c r="L286" s="52">
        <f t="shared" si="14"/>
        <v>1</v>
      </c>
      <c r="M286" s="52">
        <f t="shared" si="16"/>
        <v>2.76666666666667</v>
      </c>
      <c r="N286" s="100" t="s">
        <v>1136</v>
      </c>
      <c r="O286">
        <v>1</v>
      </c>
      <c r="P286">
        <v>1.3</v>
      </c>
      <c r="Q286">
        <v>0</v>
      </c>
      <c r="S286">
        <v>0</v>
      </c>
      <c r="V286">
        <v>1</v>
      </c>
      <c r="W286">
        <v>0</v>
      </c>
      <c r="X286" s="7">
        <v>14</v>
      </c>
      <c r="Y286">
        <v>-0.1</v>
      </c>
      <c r="Z286">
        <v>0</v>
      </c>
      <c r="AF286">
        <f t="shared" si="15"/>
        <v>0</v>
      </c>
      <c r="AN286" s="8">
        <v>71</v>
      </c>
      <c r="AO286" t="s">
        <v>136</v>
      </c>
    </row>
    <row r="287" s="4" customFormat="1" spans="1:48">
      <c r="A287" s="4">
        <v>281</v>
      </c>
      <c r="B287" s="4" t="s">
        <v>916</v>
      </c>
      <c r="C287" s="203" t="s">
        <v>526</v>
      </c>
      <c r="D287" s="4">
        <v>1</v>
      </c>
      <c r="E287" s="4">
        <v>0</v>
      </c>
      <c r="H287" s="204" t="s">
        <v>1137</v>
      </c>
      <c r="I287" s="4">
        <v>1.26666666666667</v>
      </c>
      <c r="J287" s="4">
        <v>1.26666666666667</v>
      </c>
      <c r="L287" s="4">
        <f t="shared" si="14"/>
        <v>0</v>
      </c>
      <c r="M287" s="4">
        <f t="shared" si="16"/>
        <v>0.86666666666667</v>
      </c>
      <c r="N287" s="4" t="s">
        <v>1138</v>
      </c>
      <c r="O287" s="4">
        <v>1</v>
      </c>
      <c r="P287" s="4">
        <v>1.2</v>
      </c>
      <c r="Q287" s="4">
        <v>0</v>
      </c>
      <c r="S287" s="4">
        <v>0</v>
      </c>
      <c r="V287" s="4">
        <v>1</v>
      </c>
      <c r="W287" s="4">
        <v>0</v>
      </c>
      <c r="X287" s="150">
        <v>2</v>
      </c>
      <c r="Y287" s="4">
        <v>-0.1</v>
      </c>
      <c r="Z287" s="4">
        <v>0</v>
      </c>
      <c r="AF287" s="4">
        <f t="shared" si="15"/>
        <v>0</v>
      </c>
      <c r="AN287" s="156"/>
      <c r="AP287" s="156">
        <v>459</v>
      </c>
      <c r="AQ287" s="4" t="s">
        <v>136</v>
      </c>
      <c r="AV287" s="4">
        <v>1</v>
      </c>
    </row>
    <row r="288" s="4" customFormat="1" spans="1:41">
      <c r="A288" s="4">
        <v>282</v>
      </c>
      <c r="B288" s="4" t="s">
        <v>916</v>
      </c>
      <c r="C288" s="203" t="s">
        <v>1139</v>
      </c>
      <c r="D288" s="4">
        <v>1</v>
      </c>
      <c r="E288" s="4">
        <v>0</v>
      </c>
      <c r="H288" s="204" t="s">
        <v>1140</v>
      </c>
      <c r="I288" s="4">
        <v>1.4</v>
      </c>
      <c r="J288" s="4">
        <v>1.4</v>
      </c>
      <c r="L288" s="4">
        <f t="shared" si="14"/>
        <v>0</v>
      </c>
      <c r="M288" s="4">
        <f t="shared" si="16"/>
        <v>1</v>
      </c>
      <c r="N288" s="4" t="s">
        <v>1141</v>
      </c>
      <c r="O288" s="4">
        <v>1</v>
      </c>
      <c r="P288" s="4">
        <v>1.2</v>
      </c>
      <c r="Q288" s="4">
        <v>0</v>
      </c>
      <c r="S288" s="4">
        <v>-1</v>
      </c>
      <c r="U288" s="4">
        <v>0.8</v>
      </c>
      <c r="V288" s="4">
        <v>1</v>
      </c>
      <c r="W288" s="4">
        <v>4</v>
      </c>
      <c r="X288" s="150">
        <v>1</v>
      </c>
      <c r="Y288" s="4">
        <v>0.3</v>
      </c>
      <c r="Z288" s="4">
        <v>0</v>
      </c>
      <c r="AF288" s="4">
        <f t="shared" si="15"/>
        <v>0</v>
      </c>
      <c r="AN288" s="156">
        <v>460</v>
      </c>
      <c r="AO288" s="4" t="s">
        <v>136</v>
      </c>
    </row>
    <row r="289" s="4" customFormat="1" spans="1:43">
      <c r="A289" s="4">
        <v>283</v>
      </c>
      <c r="B289" s="4" t="s">
        <v>916</v>
      </c>
      <c r="C289" s="203" t="s">
        <v>1142</v>
      </c>
      <c r="D289" s="4">
        <v>1</v>
      </c>
      <c r="E289" s="4">
        <v>0</v>
      </c>
      <c r="H289" s="204" t="s">
        <v>1143</v>
      </c>
      <c r="I289" s="4">
        <v>1.93333333333333</v>
      </c>
      <c r="J289" s="4">
        <v>1.93333333333333</v>
      </c>
      <c r="L289" s="4">
        <f t="shared" si="14"/>
        <v>0</v>
      </c>
      <c r="M289" s="4">
        <f t="shared" si="16"/>
        <v>1.53333333333333</v>
      </c>
      <c r="N289" s="4" t="s">
        <v>1144</v>
      </c>
      <c r="O289" s="4">
        <v>1</v>
      </c>
      <c r="P289" s="4">
        <v>1.2</v>
      </c>
      <c r="Q289" s="4">
        <v>0</v>
      </c>
      <c r="R289" s="4">
        <v>1</v>
      </c>
      <c r="S289" s="4">
        <v>0</v>
      </c>
      <c r="U289" s="4">
        <v>0.8</v>
      </c>
      <c r="V289" s="4">
        <v>1</v>
      </c>
      <c r="W289" s="4">
        <v>2</v>
      </c>
      <c r="X289" s="150">
        <v>3</v>
      </c>
      <c r="Y289" s="4">
        <v>-0.1</v>
      </c>
      <c r="Z289" s="4">
        <v>0</v>
      </c>
      <c r="AF289" s="4">
        <f t="shared" si="15"/>
        <v>0</v>
      </c>
      <c r="AN289" s="156"/>
      <c r="AP289" s="156">
        <v>461</v>
      </c>
      <c r="AQ289" s="4" t="s">
        <v>136</v>
      </c>
    </row>
    <row r="290" s="4" customFormat="1" spans="1:44">
      <c r="A290" s="4">
        <v>284</v>
      </c>
      <c r="B290" s="4" t="s">
        <v>916</v>
      </c>
      <c r="C290" s="203" t="s">
        <v>1145</v>
      </c>
      <c r="D290" s="4">
        <v>1</v>
      </c>
      <c r="E290" s="4">
        <v>0</v>
      </c>
      <c r="H290" s="204" t="s">
        <v>1146</v>
      </c>
      <c r="I290" s="4">
        <v>3.33333333333333</v>
      </c>
      <c r="J290" s="4">
        <v>3.33333333333333</v>
      </c>
      <c r="L290" s="4">
        <v>1</v>
      </c>
      <c r="M290" s="4">
        <f t="shared" si="16"/>
        <v>2.93333333333333</v>
      </c>
      <c r="N290" s="4" t="s">
        <v>1147</v>
      </c>
      <c r="O290" s="4">
        <v>1</v>
      </c>
      <c r="P290" s="4">
        <v>7.5</v>
      </c>
      <c r="Q290" s="4">
        <v>0</v>
      </c>
      <c r="S290" s="4">
        <v>0</v>
      </c>
      <c r="V290" s="4">
        <v>1</v>
      </c>
      <c r="W290" s="4">
        <v>0</v>
      </c>
      <c r="X290" s="150">
        <v>6</v>
      </c>
      <c r="Y290" s="4">
        <v>-0.1</v>
      </c>
      <c r="Z290" s="4">
        <v>0</v>
      </c>
      <c r="AB290" s="4">
        <v>3</v>
      </c>
      <c r="AC290" s="4">
        <v>2</v>
      </c>
      <c r="AD290" s="4">
        <v>1</v>
      </c>
      <c r="AE290" s="4" t="s">
        <v>1148</v>
      </c>
      <c r="AF290" s="4">
        <f t="shared" si="15"/>
        <v>0.5</v>
      </c>
      <c r="AN290" s="156">
        <v>462</v>
      </c>
      <c r="AO290" s="4" t="s">
        <v>136</v>
      </c>
      <c r="AR290" s="4" t="s">
        <v>239</v>
      </c>
    </row>
    <row r="291" s="4" customFormat="1" spans="1:41">
      <c r="A291" s="4">
        <v>285</v>
      </c>
      <c r="B291" s="4" t="s">
        <v>916</v>
      </c>
      <c r="C291" s="203" t="s">
        <v>1149</v>
      </c>
      <c r="D291" s="4">
        <v>1</v>
      </c>
      <c r="E291" s="4">
        <v>0</v>
      </c>
      <c r="H291" s="204" t="s">
        <v>1150</v>
      </c>
      <c r="I291" s="4">
        <v>1.83333333333333</v>
      </c>
      <c r="J291" s="4">
        <v>1.83333333333333</v>
      </c>
      <c r="L291" s="4">
        <f t="shared" si="14"/>
        <v>1</v>
      </c>
      <c r="M291" s="4">
        <f t="shared" si="16"/>
        <v>1.43333333333333</v>
      </c>
      <c r="N291" s="4" t="s">
        <v>1151</v>
      </c>
      <c r="O291" s="4">
        <v>1</v>
      </c>
      <c r="P291" s="4">
        <v>1.2</v>
      </c>
      <c r="Q291" s="4">
        <v>0</v>
      </c>
      <c r="R291" s="4">
        <v>1</v>
      </c>
      <c r="S291" s="4">
        <v>0</v>
      </c>
      <c r="U291" s="4">
        <v>0.8</v>
      </c>
      <c r="V291" s="4">
        <v>1</v>
      </c>
      <c r="W291" s="4">
        <v>1</v>
      </c>
      <c r="X291" s="150">
        <v>10</v>
      </c>
      <c r="Y291" s="4">
        <v>-0.1</v>
      </c>
      <c r="Z291" s="4">
        <v>0</v>
      </c>
      <c r="AF291" s="4">
        <f t="shared" si="15"/>
        <v>0</v>
      </c>
      <c r="AN291" s="156">
        <v>463</v>
      </c>
      <c r="AO291" s="4" t="s">
        <v>136</v>
      </c>
    </row>
    <row r="292" s="4" customFormat="1" spans="1:44">
      <c r="A292" s="4">
        <v>286</v>
      </c>
      <c r="B292" s="4" t="s">
        <v>916</v>
      </c>
      <c r="C292" s="203" t="s">
        <v>1152</v>
      </c>
      <c r="D292" s="4">
        <v>1</v>
      </c>
      <c r="E292" s="4">
        <v>0</v>
      </c>
      <c r="H292" s="205" t="s">
        <v>1153</v>
      </c>
      <c r="I292" s="4">
        <v>6</v>
      </c>
      <c r="J292" s="4">
        <v>6</v>
      </c>
      <c r="K292" s="4">
        <v>1</v>
      </c>
      <c r="L292" s="4">
        <v>1</v>
      </c>
      <c r="M292" s="4">
        <f t="shared" si="16"/>
        <v>5.6</v>
      </c>
      <c r="N292" s="4" t="s">
        <v>1154</v>
      </c>
      <c r="O292" s="4">
        <v>1</v>
      </c>
      <c r="P292" s="4">
        <v>10</v>
      </c>
      <c r="Q292" s="4">
        <v>0</v>
      </c>
      <c r="S292" s="4">
        <v>-12</v>
      </c>
      <c r="T292" s="4">
        <v>-1</v>
      </c>
      <c r="U292" s="4">
        <v>1</v>
      </c>
      <c r="V292" s="4">
        <v>1</v>
      </c>
      <c r="W292" s="4">
        <v>6</v>
      </c>
      <c r="X292" s="150">
        <v>1</v>
      </c>
      <c r="Y292" s="4">
        <v>-0.1</v>
      </c>
      <c r="Z292" s="4">
        <v>0</v>
      </c>
      <c r="AD292" s="4">
        <v>1</v>
      </c>
      <c r="AE292" s="4" t="s">
        <v>1155</v>
      </c>
      <c r="AF292" s="4">
        <f t="shared" si="15"/>
        <v>0.5</v>
      </c>
      <c r="AN292" s="156">
        <v>464</v>
      </c>
      <c r="AO292" s="4" t="s">
        <v>136</v>
      </c>
      <c r="AR292" s="4" t="s">
        <v>239</v>
      </c>
    </row>
    <row r="293" s="4" customFormat="1" spans="1:48">
      <c r="A293" s="4">
        <v>287</v>
      </c>
      <c r="B293" s="4" t="s">
        <v>916</v>
      </c>
      <c r="C293" s="203" t="s">
        <v>1156</v>
      </c>
      <c r="D293" s="4">
        <v>4</v>
      </c>
      <c r="E293" s="4">
        <v>0</v>
      </c>
      <c r="H293" s="204" t="s">
        <v>1157</v>
      </c>
      <c r="I293" s="4">
        <v>2.4</v>
      </c>
      <c r="J293" s="4">
        <v>2.4</v>
      </c>
      <c r="L293" s="4">
        <f t="shared" si="14"/>
        <v>1</v>
      </c>
      <c r="M293" s="4">
        <f t="shared" si="16"/>
        <v>2</v>
      </c>
      <c r="N293" s="4" t="s">
        <v>1158</v>
      </c>
      <c r="O293" s="4">
        <v>1</v>
      </c>
      <c r="P293" s="4">
        <v>3</v>
      </c>
      <c r="Q293" s="4">
        <v>0</v>
      </c>
      <c r="S293" s="4">
        <v>0</v>
      </c>
      <c r="U293" s="4">
        <v>0.8</v>
      </c>
      <c r="V293" s="4">
        <v>1</v>
      </c>
      <c r="W293" s="4">
        <v>1</v>
      </c>
      <c r="X293" s="150">
        <v>5</v>
      </c>
      <c r="Y293" s="4">
        <v>-0.1</v>
      </c>
      <c r="Z293" s="4">
        <v>0</v>
      </c>
      <c r="AF293" s="4">
        <f t="shared" si="15"/>
        <v>0</v>
      </c>
      <c r="AN293" s="156">
        <v>465</v>
      </c>
      <c r="AO293" s="4" t="s">
        <v>136</v>
      </c>
      <c r="AV293" s="4">
        <v>1</v>
      </c>
    </row>
    <row r="294" s="4" customFormat="1" spans="1:41">
      <c r="A294" s="4">
        <v>288</v>
      </c>
      <c r="B294" s="4" t="s">
        <v>916</v>
      </c>
      <c r="C294" s="203" t="s">
        <v>1159</v>
      </c>
      <c r="D294" s="4">
        <v>4</v>
      </c>
      <c r="E294" s="4">
        <v>0</v>
      </c>
      <c r="H294" s="204" t="s">
        <v>1160</v>
      </c>
      <c r="I294" s="4">
        <v>3.03333333333333</v>
      </c>
      <c r="J294" s="4">
        <v>3.03333333333333</v>
      </c>
      <c r="L294" s="4">
        <v>1</v>
      </c>
      <c r="M294" s="4">
        <f t="shared" si="16"/>
        <v>2.63333333333333</v>
      </c>
      <c r="N294" s="4" t="s">
        <v>1161</v>
      </c>
      <c r="O294" s="4">
        <v>1</v>
      </c>
      <c r="P294" s="4">
        <v>1.2</v>
      </c>
      <c r="Q294" s="4">
        <v>0</v>
      </c>
      <c r="S294" s="4">
        <v>0</v>
      </c>
      <c r="V294" s="4">
        <v>1</v>
      </c>
      <c r="W294" s="4">
        <v>0</v>
      </c>
      <c r="X294" s="150">
        <v>1</v>
      </c>
      <c r="Y294" s="4">
        <v>-0.1</v>
      </c>
      <c r="Z294" s="4">
        <v>0</v>
      </c>
      <c r="AD294" s="4">
        <v>1</v>
      </c>
      <c r="AE294" s="4" t="s">
        <v>1162</v>
      </c>
      <c r="AF294" s="4">
        <f t="shared" si="15"/>
        <v>0.5</v>
      </c>
      <c r="AN294" s="156">
        <v>1005</v>
      </c>
      <c r="AO294" s="4" t="s">
        <v>136</v>
      </c>
    </row>
    <row r="295" spans="1:48">
      <c r="A295">
        <v>289</v>
      </c>
      <c r="B295" t="s">
        <v>1163</v>
      </c>
      <c r="C295" t="s">
        <v>526</v>
      </c>
      <c r="D295">
        <v>1</v>
      </c>
      <c r="E295">
        <v>0</v>
      </c>
      <c r="H295" s="5" t="s">
        <v>1164</v>
      </c>
      <c r="I295" s="118">
        <v>2</v>
      </c>
      <c r="J295" s="118">
        <v>2</v>
      </c>
      <c r="L295">
        <f t="shared" si="14"/>
        <v>0</v>
      </c>
      <c r="M295">
        <f t="shared" si="16"/>
        <v>1.6</v>
      </c>
      <c r="N295" t="s">
        <v>1165</v>
      </c>
      <c r="O295">
        <v>1</v>
      </c>
      <c r="P295">
        <v>5</v>
      </c>
      <c r="Q295">
        <v>0</v>
      </c>
      <c r="S295">
        <v>0</v>
      </c>
      <c r="V295">
        <v>1</v>
      </c>
      <c r="W295">
        <v>0</v>
      </c>
      <c r="X295" s="7">
        <v>1</v>
      </c>
      <c r="Y295">
        <v>0.4</v>
      </c>
      <c r="Z295">
        <v>0</v>
      </c>
      <c r="AD295">
        <v>0</v>
      </c>
      <c r="AF295">
        <f t="shared" si="15"/>
        <v>0</v>
      </c>
      <c r="AN295" s="8">
        <v>468</v>
      </c>
      <c r="AO295" t="s">
        <v>136</v>
      </c>
      <c r="AV295">
        <v>1</v>
      </c>
    </row>
    <row r="296" spans="1:41">
      <c r="A296">
        <v>290</v>
      </c>
      <c r="B296" t="s">
        <v>1163</v>
      </c>
      <c r="C296" t="s">
        <v>1166</v>
      </c>
      <c r="D296">
        <v>1</v>
      </c>
      <c r="E296">
        <v>0</v>
      </c>
      <c r="H296" s="5" t="s">
        <v>1167</v>
      </c>
      <c r="I296" s="118">
        <v>3.33333333333333</v>
      </c>
      <c r="J296" s="118">
        <v>3.33333333333333</v>
      </c>
      <c r="L296">
        <f t="shared" si="14"/>
        <v>1</v>
      </c>
      <c r="M296">
        <f t="shared" si="16"/>
        <v>2.93333333333333</v>
      </c>
      <c r="N296" t="s">
        <v>1168</v>
      </c>
      <c r="O296">
        <v>1</v>
      </c>
      <c r="P296">
        <v>5</v>
      </c>
      <c r="Q296">
        <v>0</v>
      </c>
      <c r="S296">
        <v>0</v>
      </c>
      <c r="V296">
        <v>1</v>
      </c>
      <c r="W296">
        <v>4</v>
      </c>
      <c r="X296" s="7">
        <v>5</v>
      </c>
      <c r="Y296">
        <v>0.4</v>
      </c>
      <c r="Z296">
        <v>0</v>
      </c>
      <c r="AD296">
        <v>0</v>
      </c>
      <c r="AF296">
        <f t="shared" si="15"/>
        <v>0</v>
      </c>
      <c r="AN296" s="8">
        <v>469</v>
      </c>
      <c r="AO296" t="s">
        <v>136</v>
      </c>
    </row>
    <row r="297" spans="1:41">
      <c r="A297">
        <v>291</v>
      </c>
      <c r="B297" t="s">
        <v>1163</v>
      </c>
      <c r="C297" t="s">
        <v>1169</v>
      </c>
      <c r="D297">
        <v>1</v>
      </c>
      <c r="E297">
        <v>0</v>
      </c>
      <c r="H297" s="5" t="s">
        <v>1170</v>
      </c>
      <c r="I297">
        <v>7</v>
      </c>
      <c r="J297">
        <v>7</v>
      </c>
      <c r="L297">
        <v>1</v>
      </c>
      <c r="M297">
        <f t="shared" si="16"/>
        <v>6.6</v>
      </c>
      <c r="N297" t="s">
        <v>1171</v>
      </c>
      <c r="O297">
        <v>1</v>
      </c>
      <c r="P297">
        <v>3</v>
      </c>
      <c r="Q297">
        <v>0</v>
      </c>
      <c r="S297">
        <v>0</v>
      </c>
      <c r="V297">
        <v>1</v>
      </c>
      <c r="W297">
        <v>0</v>
      </c>
      <c r="X297" s="7">
        <v>1</v>
      </c>
      <c r="Y297">
        <v>-0.1</v>
      </c>
      <c r="Z297">
        <v>0</v>
      </c>
      <c r="AA297">
        <v>0</v>
      </c>
      <c r="AD297">
        <v>1</v>
      </c>
      <c r="AE297" t="s">
        <v>1172</v>
      </c>
      <c r="AF297">
        <f t="shared" si="15"/>
        <v>0.5</v>
      </c>
      <c r="AN297" s="8" t="s">
        <v>1173</v>
      </c>
      <c r="AO297" t="s">
        <v>1174</v>
      </c>
    </row>
    <row r="298" spans="1:43">
      <c r="A298">
        <v>292</v>
      </c>
      <c r="B298" t="s">
        <v>1163</v>
      </c>
      <c r="C298" t="s">
        <v>1175</v>
      </c>
      <c r="D298">
        <v>1</v>
      </c>
      <c r="E298">
        <v>0</v>
      </c>
      <c r="H298" s="5" t="s">
        <v>1176</v>
      </c>
      <c r="I298" s="118">
        <v>3.83333333333333</v>
      </c>
      <c r="J298" s="118">
        <v>3.83333333333333</v>
      </c>
      <c r="L298">
        <v>1</v>
      </c>
      <c r="M298">
        <f t="shared" si="16"/>
        <v>3.43333333333333</v>
      </c>
      <c r="N298" t="s">
        <v>1177</v>
      </c>
      <c r="O298">
        <v>1</v>
      </c>
      <c r="P298">
        <v>5</v>
      </c>
      <c r="Q298">
        <v>0</v>
      </c>
      <c r="S298">
        <v>0</v>
      </c>
      <c r="V298">
        <v>1</v>
      </c>
      <c r="W298">
        <v>0</v>
      </c>
      <c r="X298" s="7">
        <v>2</v>
      </c>
      <c r="Y298">
        <v>-0.1</v>
      </c>
      <c r="Z298">
        <v>0</v>
      </c>
      <c r="AB298" s="118"/>
      <c r="AD298">
        <v>1</v>
      </c>
      <c r="AE298" t="s">
        <v>1178</v>
      </c>
      <c r="AF298">
        <f t="shared" si="15"/>
        <v>0.5</v>
      </c>
      <c r="AN298" s="8">
        <v>474</v>
      </c>
      <c r="AO298" t="s">
        <v>489</v>
      </c>
      <c r="AP298">
        <v>473</v>
      </c>
      <c r="AQ298" t="s">
        <v>136</v>
      </c>
    </row>
    <row r="299" spans="1:41">
      <c r="A299">
        <v>293</v>
      </c>
      <c r="B299" t="s">
        <v>1163</v>
      </c>
      <c r="C299" t="s">
        <v>1179</v>
      </c>
      <c r="D299">
        <v>1</v>
      </c>
      <c r="E299">
        <v>0</v>
      </c>
      <c r="H299" s="5" t="s">
        <v>1180</v>
      </c>
      <c r="I299" s="118">
        <v>7.33333333333333</v>
      </c>
      <c r="J299" s="118">
        <v>7.33333333333333</v>
      </c>
      <c r="L299">
        <v>1</v>
      </c>
      <c r="M299">
        <f t="shared" si="16"/>
        <v>6.93333333333333</v>
      </c>
      <c r="N299" t="s">
        <v>1181</v>
      </c>
      <c r="O299">
        <v>1</v>
      </c>
      <c r="P299">
        <v>12.6</v>
      </c>
      <c r="Q299">
        <v>0</v>
      </c>
      <c r="S299">
        <v>0</v>
      </c>
      <c r="V299">
        <v>1</v>
      </c>
      <c r="W299">
        <v>1</v>
      </c>
      <c r="X299" s="7">
        <v>1</v>
      </c>
      <c r="Y299">
        <v>-0.1</v>
      </c>
      <c r="Z299">
        <v>0</v>
      </c>
      <c r="AB299" s="118">
        <v>7.1</v>
      </c>
      <c r="AC299">
        <v>2</v>
      </c>
      <c r="AD299">
        <v>1</v>
      </c>
      <c r="AE299" t="s">
        <v>1182</v>
      </c>
      <c r="AF299">
        <f t="shared" si="15"/>
        <v>0.5</v>
      </c>
      <c r="AN299" s="8" t="s">
        <v>1183</v>
      </c>
      <c r="AO299" t="s">
        <v>1174</v>
      </c>
    </row>
    <row r="300" s="24" customFormat="1" spans="1:43">
      <c r="A300" s="24">
        <v>294</v>
      </c>
      <c r="B300" s="24" t="s">
        <v>1184</v>
      </c>
      <c r="C300" s="206" t="s">
        <v>1185</v>
      </c>
      <c r="D300" s="24">
        <v>1</v>
      </c>
      <c r="E300" s="24">
        <v>0</v>
      </c>
      <c r="H300" s="135" t="s">
        <v>1186</v>
      </c>
      <c r="I300" s="24">
        <v>3.33333333333333</v>
      </c>
      <c r="J300" s="24">
        <v>3.33333333333333</v>
      </c>
      <c r="L300" s="24">
        <v>1</v>
      </c>
      <c r="M300" s="24">
        <f t="shared" si="16"/>
        <v>2.93333333333333</v>
      </c>
      <c r="N300" s="104" t="s">
        <v>1187</v>
      </c>
      <c r="O300" s="24">
        <v>1</v>
      </c>
      <c r="P300" s="24">
        <v>3</v>
      </c>
      <c r="Q300" s="24">
        <v>0</v>
      </c>
      <c r="S300" s="24">
        <v>0</v>
      </c>
      <c r="V300" s="24">
        <v>1</v>
      </c>
      <c r="W300" s="24">
        <v>0</v>
      </c>
      <c r="X300" s="151">
        <v>1</v>
      </c>
      <c r="Y300" s="24">
        <v>-0.1</v>
      </c>
      <c r="Z300" s="24">
        <v>0</v>
      </c>
      <c r="AD300" s="24">
        <v>1</v>
      </c>
      <c r="AE300" s="152" t="s">
        <v>1188</v>
      </c>
      <c r="AF300" s="24">
        <f t="shared" si="15"/>
        <v>0.5</v>
      </c>
      <c r="AP300" s="157">
        <v>483</v>
      </c>
      <c r="AQ300" s="24" t="s">
        <v>136</v>
      </c>
    </row>
    <row r="301" s="28" customFormat="1" spans="1:41">
      <c r="A301" s="52">
        <v>295</v>
      </c>
      <c r="B301" s="52" t="s">
        <v>132</v>
      </c>
      <c r="C301" s="207" t="s">
        <v>1189</v>
      </c>
      <c r="D301" s="52">
        <v>1</v>
      </c>
      <c r="E301" s="52">
        <v>0</v>
      </c>
      <c r="F301" s="52"/>
      <c r="G301" s="52">
        <v>1</v>
      </c>
      <c r="H301" s="91">
        <v>109</v>
      </c>
      <c r="I301" s="52">
        <v>6</v>
      </c>
      <c r="J301" s="52">
        <v>6</v>
      </c>
      <c r="K301" s="52"/>
      <c r="L301" s="52">
        <v>1</v>
      </c>
      <c r="M301" s="52">
        <v>5.6</v>
      </c>
      <c r="N301" s="100" t="s">
        <v>1190</v>
      </c>
      <c r="O301" s="28">
        <v>1</v>
      </c>
      <c r="P301" s="28">
        <v>1.3</v>
      </c>
      <c r="Q301" s="28">
        <v>2</v>
      </c>
      <c r="S301" s="28">
        <v>0</v>
      </c>
      <c r="V301" s="28">
        <v>1</v>
      </c>
      <c r="W301" s="28">
        <v>0</v>
      </c>
      <c r="X301" s="172">
        <v>1</v>
      </c>
      <c r="Y301" s="28">
        <v>-0.1</v>
      </c>
      <c r="Z301" s="28">
        <v>0</v>
      </c>
      <c r="AD301" s="28">
        <v>1</v>
      </c>
      <c r="AE301" s="28" t="s">
        <v>1191</v>
      </c>
      <c r="AF301" s="28">
        <v>0.5</v>
      </c>
      <c r="AH301" s="28">
        <v>0</v>
      </c>
      <c r="AN301" s="221">
        <v>485</v>
      </c>
      <c r="AO301" s="28" t="s">
        <v>136</v>
      </c>
    </row>
    <row r="302" spans="1:48">
      <c r="A302">
        <v>296</v>
      </c>
      <c r="B302" t="s">
        <v>1192</v>
      </c>
      <c r="C302" t="s">
        <v>526</v>
      </c>
      <c r="D302">
        <v>1</v>
      </c>
      <c r="E302">
        <v>0</v>
      </c>
      <c r="G302">
        <v>1</v>
      </c>
      <c r="H302" s="82">
        <v>3201</v>
      </c>
      <c r="I302">
        <v>2.5</v>
      </c>
      <c r="J302">
        <v>2.5</v>
      </c>
      <c r="L302">
        <f t="shared" si="14"/>
        <v>0</v>
      </c>
      <c r="M302">
        <f t="shared" si="16"/>
        <v>2.1</v>
      </c>
      <c r="N302" t="s">
        <v>1193</v>
      </c>
      <c r="O302" s="108">
        <v>1</v>
      </c>
      <c r="P302" s="108">
        <v>1.2</v>
      </c>
      <c r="Q302" s="108">
        <v>0</v>
      </c>
      <c r="S302">
        <v>0</v>
      </c>
      <c r="V302">
        <v>1</v>
      </c>
      <c r="W302">
        <v>0</v>
      </c>
      <c r="X302" s="7">
        <v>1</v>
      </c>
      <c r="Y302">
        <v>-0.1</v>
      </c>
      <c r="Z302" s="108">
        <v>0</v>
      </c>
      <c r="AF302">
        <f t="shared" si="15"/>
        <v>0</v>
      </c>
      <c r="AN302" s="8">
        <v>489</v>
      </c>
      <c r="AO302" t="s">
        <v>191</v>
      </c>
      <c r="AV302">
        <v>1</v>
      </c>
    </row>
    <row r="303" spans="1:41">
      <c r="A303">
        <v>297</v>
      </c>
      <c r="B303" t="s">
        <v>1192</v>
      </c>
      <c r="C303" t="s">
        <v>1194</v>
      </c>
      <c r="D303">
        <v>1</v>
      </c>
      <c r="E303">
        <v>0</v>
      </c>
      <c r="G303">
        <v>1</v>
      </c>
      <c r="H303" s="82">
        <v>3202</v>
      </c>
      <c r="I303">
        <v>2.33333333333333</v>
      </c>
      <c r="J303">
        <v>2.33333333333333</v>
      </c>
      <c r="L303">
        <f t="shared" si="14"/>
        <v>0</v>
      </c>
      <c r="M303">
        <f t="shared" si="16"/>
        <v>1.93333333333333</v>
      </c>
      <c r="N303" s="104" t="s">
        <v>1195</v>
      </c>
      <c r="O303" s="108">
        <v>1</v>
      </c>
      <c r="P303" s="108">
        <v>1.2</v>
      </c>
      <c r="Q303" s="108">
        <v>0</v>
      </c>
      <c r="S303">
        <v>0</v>
      </c>
      <c r="V303">
        <v>1</v>
      </c>
      <c r="W303">
        <v>0</v>
      </c>
      <c r="X303" s="7">
        <v>1</v>
      </c>
      <c r="Y303">
        <v>-0.1</v>
      </c>
      <c r="Z303" s="108">
        <v>0</v>
      </c>
      <c r="AF303">
        <f t="shared" si="15"/>
        <v>0</v>
      </c>
      <c r="AN303" s="8">
        <v>490</v>
      </c>
      <c r="AO303" t="s">
        <v>191</v>
      </c>
    </row>
    <row r="304" spans="1:41">
      <c r="A304">
        <v>298</v>
      </c>
      <c r="B304" t="s">
        <v>1192</v>
      </c>
      <c r="C304" t="s">
        <v>1196</v>
      </c>
      <c r="D304">
        <v>1</v>
      </c>
      <c r="E304">
        <v>0</v>
      </c>
      <c r="G304">
        <v>1</v>
      </c>
      <c r="H304" s="82">
        <v>3203</v>
      </c>
      <c r="I304">
        <v>3.33333333333333</v>
      </c>
      <c r="J304">
        <v>3.33333333333333</v>
      </c>
      <c r="L304">
        <f t="shared" si="14"/>
        <v>0</v>
      </c>
      <c r="M304">
        <f t="shared" si="16"/>
        <v>2.93333333333333</v>
      </c>
      <c r="N304" s="104" t="s">
        <v>1197</v>
      </c>
      <c r="O304" s="108">
        <v>1</v>
      </c>
      <c r="P304" s="108">
        <v>2.5</v>
      </c>
      <c r="Q304" s="108">
        <v>0</v>
      </c>
      <c r="S304">
        <v>0</v>
      </c>
      <c r="V304">
        <v>1</v>
      </c>
      <c r="W304">
        <v>0</v>
      </c>
      <c r="X304" s="7">
        <v>2</v>
      </c>
      <c r="Y304">
        <v>-0.1</v>
      </c>
      <c r="Z304" s="108">
        <v>0</v>
      </c>
      <c r="AF304">
        <f t="shared" si="15"/>
        <v>0</v>
      </c>
      <c r="AN304" s="8" t="s">
        <v>1198</v>
      </c>
      <c r="AO304" s="99" t="s">
        <v>1199</v>
      </c>
    </row>
    <row r="305" spans="1:48">
      <c r="A305">
        <v>299</v>
      </c>
      <c r="B305" t="s">
        <v>1200</v>
      </c>
      <c r="C305" s="208" t="s">
        <v>526</v>
      </c>
      <c r="D305">
        <v>1</v>
      </c>
      <c r="E305">
        <v>0</v>
      </c>
      <c r="G305">
        <v>1</v>
      </c>
      <c r="H305" s="5" t="s">
        <v>1201</v>
      </c>
      <c r="I305" s="118">
        <v>3.33333333333333</v>
      </c>
      <c r="J305" s="118">
        <v>3.33333333333333</v>
      </c>
      <c r="L305">
        <f t="shared" si="14"/>
        <v>0</v>
      </c>
      <c r="M305">
        <f t="shared" si="16"/>
        <v>2.93333333333333</v>
      </c>
      <c r="N305" s="49" t="s">
        <v>1202</v>
      </c>
      <c r="O305">
        <v>1</v>
      </c>
      <c r="P305">
        <v>2</v>
      </c>
      <c r="Q305">
        <v>0</v>
      </c>
      <c r="S305">
        <v>0</v>
      </c>
      <c r="V305">
        <v>1</v>
      </c>
      <c r="W305">
        <v>0</v>
      </c>
      <c r="X305" s="7">
        <v>3</v>
      </c>
      <c r="Y305">
        <v>-0.1</v>
      </c>
      <c r="Z305" s="108">
        <v>0</v>
      </c>
      <c r="AF305">
        <f t="shared" si="15"/>
        <v>0</v>
      </c>
      <c r="AN305" s="8">
        <v>497</v>
      </c>
      <c r="AO305" t="s">
        <v>136</v>
      </c>
      <c r="AV305">
        <v>1</v>
      </c>
    </row>
    <row r="306" spans="1:43">
      <c r="A306">
        <v>300</v>
      </c>
      <c r="B306" t="s">
        <v>1200</v>
      </c>
      <c r="C306" s="208" t="s">
        <v>1203</v>
      </c>
      <c r="D306">
        <v>1</v>
      </c>
      <c r="E306">
        <v>0</v>
      </c>
      <c r="G306">
        <v>1</v>
      </c>
      <c r="H306" s="5" t="s">
        <v>1204</v>
      </c>
      <c r="I306" s="118">
        <v>3</v>
      </c>
      <c r="J306" s="118">
        <v>3</v>
      </c>
      <c r="L306">
        <f t="shared" si="14"/>
        <v>1</v>
      </c>
      <c r="M306">
        <f t="shared" si="16"/>
        <v>2.6</v>
      </c>
      <c r="N306" s="49" t="s">
        <v>1205</v>
      </c>
      <c r="O306">
        <v>1</v>
      </c>
      <c r="P306">
        <v>2</v>
      </c>
      <c r="Q306">
        <v>0</v>
      </c>
      <c r="S306">
        <v>-1.5</v>
      </c>
      <c r="U306">
        <v>0.8</v>
      </c>
      <c r="V306">
        <v>1</v>
      </c>
      <c r="W306">
        <v>4</v>
      </c>
      <c r="X306" s="7">
        <v>5</v>
      </c>
      <c r="Y306">
        <v>-0.1</v>
      </c>
      <c r="Z306" s="108">
        <v>0</v>
      </c>
      <c r="AF306">
        <f t="shared" si="15"/>
        <v>0</v>
      </c>
      <c r="AN306" s="8">
        <v>499</v>
      </c>
      <c r="AO306" t="s">
        <v>1206</v>
      </c>
      <c r="AP306">
        <v>498</v>
      </c>
      <c r="AQ306" t="s">
        <v>136</v>
      </c>
    </row>
    <row r="307" spans="1:41">
      <c r="A307">
        <v>301</v>
      </c>
      <c r="B307" t="s">
        <v>1200</v>
      </c>
      <c r="C307" s="208" t="s">
        <v>1207</v>
      </c>
      <c r="D307">
        <v>1</v>
      </c>
      <c r="E307">
        <v>0</v>
      </c>
      <c r="G307">
        <v>1</v>
      </c>
      <c r="H307" s="5" t="s">
        <v>1208</v>
      </c>
      <c r="I307" s="118">
        <v>3.33333333333333</v>
      </c>
      <c r="J307" s="118">
        <v>3.33333333333333</v>
      </c>
      <c r="L307">
        <f t="shared" si="14"/>
        <v>1</v>
      </c>
      <c r="M307">
        <f t="shared" si="16"/>
        <v>2.93333333333333</v>
      </c>
      <c r="N307" s="49" t="s">
        <v>1209</v>
      </c>
      <c r="O307">
        <v>1</v>
      </c>
      <c r="P307">
        <v>2</v>
      </c>
      <c r="Q307">
        <v>0</v>
      </c>
      <c r="S307">
        <v>-0.8</v>
      </c>
      <c r="T307">
        <v>0.8</v>
      </c>
      <c r="U307">
        <v>1.5</v>
      </c>
      <c r="V307">
        <v>1</v>
      </c>
      <c r="W307">
        <v>6</v>
      </c>
      <c r="X307" s="7">
        <v>6</v>
      </c>
      <c r="Y307">
        <v>-0.1</v>
      </c>
      <c r="Z307" s="108">
        <v>0</v>
      </c>
      <c r="AF307">
        <f t="shared" si="15"/>
        <v>0</v>
      </c>
      <c r="AN307" s="8">
        <v>500</v>
      </c>
      <c r="AO307" t="s">
        <v>136</v>
      </c>
    </row>
    <row r="308" spans="1:41">
      <c r="A308">
        <v>302</v>
      </c>
      <c r="B308" t="s">
        <v>1200</v>
      </c>
      <c r="C308" s="209" t="s">
        <v>1210</v>
      </c>
      <c r="D308">
        <v>1</v>
      </c>
      <c r="E308">
        <v>0</v>
      </c>
      <c r="G308">
        <v>1</v>
      </c>
      <c r="H308" s="5" t="s">
        <v>1211</v>
      </c>
      <c r="I308" s="118">
        <v>5.5</v>
      </c>
      <c r="J308" s="118">
        <v>5.5</v>
      </c>
      <c r="L308">
        <f t="shared" si="14"/>
        <v>1</v>
      </c>
      <c r="M308">
        <f t="shared" si="16"/>
        <v>5.1</v>
      </c>
      <c r="N308" s="49" t="s">
        <v>1212</v>
      </c>
      <c r="O308">
        <v>1</v>
      </c>
      <c r="P308">
        <v>2</v>
      </c>
      <c r="Q308">
        <v>0</v>
      </c>
      <c r="R308">
        <v>1</v>
      </c>
      <c r="S308">
        <v>0.8</v>
      </c>
      <c r="U308">
        <v>0.8</v>
      </c>
      <c r="V308">
        <v>1</v>
      </c>
      <c r="W308">
        <v>0</v>
      </c>
      <c r="X308" s="7">
        <v>9</v>
      </c>
      <c r="Y308">
        <v>-0.1</v>
      </c>
      <c r="Z308" s="108">
        <v>0</v>
      </c>
      <c r="AF308">
        <f t="shared" si="15"/>
        <v>0</v>
      </c>
      <c r="AN308" s="8">
        <v>501</v>
      </c>
      <c r="AO308" t="s">
        <v>136</v>
      </c>
    </row>
    <row r="309" spans="1:41">
      <c r="A309" s="28">
        <v>303</v>
      </c>
      <c r="B309" t="s">
        <v>1200</v>
      </c>
      <c r="C309" s="208" t="s">
        <v>1213</v>
      </c>
      <c r="D309">
        <v>4</v>
      </c>
      <c r="E309">
        <v>0</v>
      </c>
      <c r="G309">
        <v>1</v>
      </c>
      <c r="H309" s="5" t="s">
        <v>1214</v>
      </c>
      <c r="I309" s="118">
        <v>10.1666666666667</v>
      </c>
      <c r="J309" s="118">
        <v>10.1666666666667</v>
      </c>
      <c r="K309">
        <v>1</v>
      </c>
      <c r="L309">
        <v>1</v>
      </c>
      <c r="M309">
        <f t="shared" si="16"/>
        <v>9.7666666666667</v>
      </c>
      <c r="N309" s="49" t="s">
        <v>1215</v>
      </c>
      <c r="O309">
        <v>1</v>
      </c>
      <c r="P309">
        <v>11.5</v>
      </c>
      <c r="Q309">
        <v>2</v>
      </c>
      <c r="S309">
        <v>0</v>
      </c>
      <c r="V309">
        <v>1</v>
      </c>
      <c r="W309">
        <v>6</v>
      </c>
      <c r="X309" s="7">
        <v>3</v>
      </c>
      <c r="Y309">
        <v>-0.1</v>
      </c>
      <c r="Z309" s="108">
        <v>0</v>
      </c>
      <c r="AD309">
        <v>1</v>
      </c>
      <c r="AE309" t="s">
        <v>1216</v>
      </c>
      <c r="AF309">
        <f t="shared" si="15"/>
        <v>0.5</v>
      </c>
      <c r="AN309" s="8" t="s">
        <v>1217</v>
      </c>
      <c r="AO309" t="s">
        <v>1218</v>
      </c>
    </row>
    <row r="310" spans="1:41">
      <c r="A310">
        <v>304</v>
      </c>
      <c r="B310" t="s">
        <v>1200</v>
      </c>
      <c r="C310" s="208" t="s">
        <v>1219</v>
      </c>
      <c r="D310">
        <v>1</v>
      </c>
      <c r="E310">
        <v>0</v>
      </c>
      <c r="G310">
        <v>1</v>
      </c>
      <c r="H310" s="5" t="s">
        <v>1220</v>
      </c>
      <c r="I310" s="118">
        <v>3</v>
      </c>
      <c r="J310" s="118">
        <v>3</v>
      </c>
      <c r="L310">
        <f t="shared" si="14"/>
        <v>0</v>
      </c>
      <c r="M310">
        <f t="shared" si="16"/>
        <v>2.6</v>
      </c>
      <c r="N310" s="49" t="s">
        <v>1221</v>
      </c>
      <c r="O310">
        <v>1</v>
      </c>
      <c r="P310">
        <v>2</v>
      </c>
      <c r="Q310">
        <v>0</v>
      </c>
      <c r="S310">
        <v>-1.5</v>
      </c>
      <c r="U310">
        <v>0.8</v>
      </c>
      <c r="V310">
        <v>1</v>
      </c>
      <c r="W310">
        <v>4</v>
      </c>
      <c r="X310" s="7">
        <v>2</v>
      </c>
      <c r="Y310">
        <v>-0.1</v>
      </c>
      <c r="Z310" s="108">
        <v>0</v>
      </c>
      <c r="AF310">
        <f t="shared" si="15"/>
        <v>0</v>
      </c>
      <c r="AN310" s="8">
        <v>504</v>
      </c>
      <c r="AO310" t="s">
        <v>136</v>
      </c>
    </row>
    <row r="311" spans="1:44">
      <c r="A311">
        <v>305</v>
      </c>
      <c r="B311" t="s">
        <v>1200</v>
      </c>
      <c r="C311" s="209" t="s">
        <v>1222</v>
      </c>
      <c r="D311">
        <v>2</v>
      </c>
      <c r="E311">
        <v>1</v>
      </c>
      <c r="G311">
        <v>1</v>
      </c>
      <c r="H311" s="5" t="s">
        <v>1223</v>
      </c>
      <c r="I311" s="118">
        <v>6.66666666666667</v>
      </c>
      <c r="J311" s="118">
        <v>6.66666666666667</v>
      </c>
      <c r="L311">
        <f t="shared" si="14"/>
        <v>0</v>
      </c>
      <c r="M311">
        <f t="shared" si="16"/>
        <v>6.26666666666667</v>
      </c>
      <c r="N311" s="103" t="s">
        <v>1224</v>
      </c>
      <c r="O311">
        <v>1</v>
      </c>
      <c r="P311">
        <v>2</v>
      </c>
      <c r="Q311">
        <v>0</v>
      </c>
      <c r="S311">
        <v>0</v>
      </c>
      <c r="U311">
        <v>1</v>
      </c>
      <c r="V311">
        <v>1000</v>
      </c>
      <c r="W311">
        <v>0</v>
      </c>
      <c r="X311" s="7">
        <v>0</v>
      </c>
      <c r="Y311">
        <v>-0.1</v>
      </c>
      <c r="Z311" s="108">
        <v>0</v>
      </c>
      <c r="AD311">
        <v>1</v>
      </c>
      <c r="AE311" t="s">
        <v>1225</v>
      </c>
      <c r="AF311">
        <f t="shared" si="15"/>
        <v>0.5</v>
      </c>
      <c r="AN311" s="8" t="s">
        <v>1226</v>
      </c>
      <c r="AO311" t="s">
        <v>1218</v>
      </c>
      <c r="AR311" t="s">
        <v>239</v>
      </c>
    </row>
    <row r="312" spans="1:43">
      <c r="A312">
        <v>306</v>
      </c>
      <c r="B312" t="s">
        <v>1200</v>
      </c>
      <c r="C312" s="208" t="s">
        <v>1227</v>
      </c>
      <c r="D312">
        <v>1</v>
      </c>
      <c r="E312">
        <v>0</v>
      </c>
      <c r="G312">
        <v>1</v>
      </c>
      <c r="H312" s="5" t="s">
        <v>1228</v>
      </c>
      <c r="I312" s="118">
        <v>9</v>
      </c>
      <c r="J312" s="118">
        <v>9</v>
      </c>
      <c r="K312">
        <v>0.5</v>
      </c>
      <c r="L312">
        <v>1</v>
      </c>
      <c r="M312">
        <f t="shared" si="16"/>
        <v>8.6</v>
      </c>
      <c r="N312" s="103" t="s">
        <v>1229</v>
      </c>
      <c r="O312">
        <v>1</v>
      </c>
      <c r="P312">
        <v>4.5</v>
      </c>
      <c r="Q312">
        <v>0</v>
      </c>
      <c r="S312">
        <v>-3</v>
      </c>
      <c r="T312">
        <v>0.8</v>
      </c>
      <c r="U312">
        <v>1.2</v>
      </c>
      <c r="V312">
        <v>1</v>
      </c>
      <c r="W312">
        <v>4</v>
      </c>
      <c r="X312" s="7">
        <v>9</v>
      </c>
      <c r="Y312">
        <v>-0.1</v>
      </c>
      <c r="Z312" s="108">
        <v>0</v>
      </c>
      <c r="AD312">
        <v>1</v>
      </c>
      <c r="AE312" t="s">
        <v>1230</v>
      </c>
      <c r="AF312">
        <f t="shared" si="15"/>
        <v>0.5</v>
      </c>
      <c r="AN312" s="8">
        <v>538</v>
      </c>
      <c r="AO312" t="s">
        <v>1206</v>
      </c>
      <c r="AP312">
        <v>537</v>
      </c>
      <c r="AQ312" t="s">
        <v>136</v>
      </c>
    </row>
    <row r="313" s="17" customFormat="1" spans="1:48">
      <c r="A313" s="17">
        <v>307</v>
      </c>
      <c r="B313" s="98" t="s">
        <v>340</v>
      </c>
      <c r="C313" s="98" t="s">
        <v>1231</v>
      </c>
      <c r="D313" s="17">
        <v>1</v>
      </c>
      <c r="E313" s="17">
        <v>0</v>
      </c>
      <c r="G313" s="17">
        <v>1</v>
      </c>
      <c r="H313" s="210">
        <v>300508</v>
      </c>
      <c r="I313" s="17">
        <v>2</v>
      </c>
      <c r="J313" s="98">
        <v>2</v>
      </c>
      <c r="L313" s="17">
        <f t="shared" si="14"/>
        <v>0</v>
      </c>
      <c r="M313" s="17">
        <f t="shared" si="16"/>
        <v>1.6</v>
      </c>
      <c r="N313" s="17" t="s">
        <v>1232</v>
      </c>
      <c r="O313" s="216">
        <v>1</v>
      </c>
      <c r="P313" s="98">
        <v>1.5</v>
      </c>
      <c r="Q313" s="216">
        <v>0</v>
      </c>
      <c r="S313" s="98">
        <v>0</v>
      </c>
      <c r="V313" s="216">
        <v>1</v>
      </c>
      <c r="W313" s="98">
        <v>0</v>
      </c>
      <c r="X313" s="219">
        <v>2</v>
      </c>
      <c r="Y313" s="98">
        <v>-0.1</v>
      </c>
      <c r="Z313" s="216">
        <v>0</v>
      </c>
      <c r="AD313" s="216">
        <v>0</v>
      </c>
      <c r="AF313" s="17">
        <f t="shared" si="15"/>
        <v>0</v>
      </c>
      <c r="AN313" s="121">
        <v>567</v>
      </c>
      <c r="AO313" s="98" t="s">
        <v>136</v>
      </c>
      <c r="AV313" s="17">
        <v>1</v>
      </c>
    </row>
    <row r="314" spans="1:43">
      <c r="A314">
        <v>308</v>
      </c>
      <c r="B314" t="s">
        <v>266</v>
      </c>
      <c r="C314" t="s">
        <v>1233</v>
      </c>
      <c r="D314">
        <v>1</v>
      </c>
      <c r="E314">
        <v>0</v>
      </c>
      <c r="G314">
        <v>2</v>
      </c>
      <c r="H314" s="82">
        <v>510</v>
      </c>
      <c r="I314" s="20">
        <v>2.33333333333333</v>
      </c>
      <c r="J314" s="20">
        <v>2.33333333333333</v>
      </c>
      <c r="K314" s="20"/>
      <c r="L314">
        <v>1</v>
      </c>
      <c r="M314">
        <v>1.93333333333333</v>
      </c>
      <c r="N314" s="20" t="s">
        <v>1234</v>
      </c>
      <c r="O314" s="20">
        <v>1</v>
      </c>
      <c r="P314">
        <v>4.4</v>
      </c>
      <c r="Q314" s="20">
        <v>0</v>
      </c>
      <c r="R314" s="20"/>
      <c r="S314">
        <v>-0.3</v>
      </c>
      <c r="U314">
        <v>1.2</v>
      </c>
      <c r="V314" s="20">
        <v>1</v>
      </c>
      <c r="W314">
        <v>4</v>
      </c>
      <c r="X314" s="7">
        <v>5</v>
      </c>
      <c r="Y314">
        <v>-0.1</v>
      </c>
      <c r="Z314" s="20">
        <v>0</v>
      </c>
      <c r="AA314" s="20"/>
      <c r="AB314" s="20"/>
      <c r="AC314" s="20"/>
      <c r="AD314" s="20">
        <v>0</v>
      </c>
      <c r="AE314" s="20"/>
      <c r="AF314">
        <v>0</v>
      </c>
      <c r="AG314" s="20"/>
      <c r="AH314" s="20"/>
      <c r="AI314" s="20"/>
      <c r="AJ314" s="20"/>
      <c r="AK314" s="20"/>
      <c r="AL314" s="20"/>
      <c r="AM314" s="20"/>
      <c r="AN314" s="119"/>
      <c r="AO314" s="20"/>
      <c r="AP314" s="20">
        <v>540</v>
      </c>
      <c r="AQ314" s="123" t="s">
        <v>136</v>
      </c>
    </row>
    <row r="315" spans="1:48">
      <c r="A315">
        <v>309</v>
      </c>
      <c r="B315" t="s">
        <v>1235</v>
      </c>
      <c r="C315" s="211" t="s">
        <v>526</v>
      </c>
      <c r="D315">
        <v>1</v>
      </c>
      <c r="E315">
        <v>0</v>
      </c>
      <c r="G315">
        <v>1</v>
      </c>
      <c r="H315" s="82" t="s">
        <v>1236</v>
      </c>
      <c r="I315" s="20">
        <v>1.93333333333333</v>
      </c>
      <c r="J315" s="20">
        <v>1.93333333333333</v>
      </c>
      <c r="K315" s="20"/>
      <c r="L315">
        <f t="shared" si="14"/>
        <v>1</v>
      </c>
      <c r="M315">
        <v>1.53333333333333</v>
      </c>
      <c r="N315" t="s">
        <v>1237</v>
      </c>
      <c r="O315" s="20">
        <v>1</v>
      </c>
      <c r="P315">
        <v>1.2</v>
      </c>
      <c r="Q315" s="20">
        <v>0</v>
      </c>
      <c r="R315" s="20"/>
      <c r="V315" s="20">
        <v>1</v>
      </c>
      <c r="W315">
        <v>0</v>
      </c>
      <c r="X315" s="7">
        <v>12</v>
      </c>
      <c r="Y315">
        <v>-0.1</v>
      </c>
      <c r="Z315" s="20">
        <v>0</v>
      </c>
      <c r="AA315" s="20"/>
      <c r="AB315" s="20"/>
      <c r="AC315" s="20"/>
      <c r="AD315" s="20">
        <v>0</v>
      </c>
      <c r="AE315" s="20"/>
      <c r="AF315">
        <f t="shared" si="15"/>
        <v>0</v>
      </c>
      <c r="AG315" s="20"/>
      <c r="AH315" s="20"/>
      <c r="AI315" s="20"/>
      <c r="AJ315" s="20"/>
      <c r="AK315" s="20"/>
      <c r="AL315" s="20"/>
      <c r="AM315" s="20"/>
      <c r="AN315" s="119">
        <v>552</v>
      </c>
      <c r="AO315" s="20" t="s">
        <v>136</v>
      </c>
      <c r="AP315" s="20"/>
      <c r="AQ315" s="20"/>
      <c r="AV315">
        <v>1</v>
      </c>
    </row>
    <row r="316" spans="1:43">
      <c r="A316">
        <v>310</v>
      </c>
      <c r="B316" t="s">
        <v>1235</v>
      </c>
      <c r="C316" s="211" t="s">
        <v>1238</v>
      </c>
      <c r="D316">
        <v>1</v>
      </c>
      <c r="E316">
        <v>0</v>
      </c>
      <c r="G316">
        <v>1</v>
      </c>
      <c r="H316" s="82" t="s">
        <v>1239</v>
      </c>
      <c r="I316" s="20">
        <v>7</v>
      </c>
      <c r="J316" s="20">
        <v>7</v>
      </c>
      <c r="K316" s="20"/>
      <c r="L316">
        <v>1</v>
      </c>
      <c r="M316">
        <v>6.6</v>
      </c>
      <c r="N316" s="107" t="s">
        <v>1240</v>
      </c>
      <c r="O316" s="20">
        <v>1</v>
      </c>
      <c r="P316">
        <v>1.2</v>
      </c>
      <c r="Q316" s="20">
        <v>0</v>
      </c>
      <c r="R316" s="20"/>
      <c r="V316" s="20">
        <v>1</v>
      </c>
      <c r="W316">
        <v>0</v>
      </c>
      <c r="X316" s="7">
        <v>8</v>
      </c>
      <c r="Y316">
        <v>-0.1</v>
      </c>
      <c r="Z316" s="20">
        <v>0</v>
      </c>
      <c r="AA316" s="20"/>
      <c r="AB316" s="20"/>
      <c r="AC316" s="20"/>
      <c r="AD316" s="20">
        <v>1</v>
      </c>
      <c r="AE316" s="20" t="s">
        <v>1241</v>
      </c>
      <c r="AF316">
        <f t="shared" si="15"/>
        <v>0.5</v>
      </c>
      <c r="AG316" s="20"/>
      <c r="AH316" s="20"/>
      <c r="AI316" s="20"/>
      <c r="AJ316" s="20"/>
      <c r="AK316" s="20"/>
      <c r="AL316" s="20"/>
      <c r="AM316" s="20"/>
      <c r="AN316" s="119">
        <v>553</v>
      </c>
      <c r="AO316" s="20" t="s">
        <v>136</v>
      </c>
      <c r="AP316" s="20"/>
      <c r="AQ316" s="20"/>
    </row>
    <row r="317" spans="1:43">
      <c r="A317">
        <v>311</v>
      </c>
      <c r="B317" t="s">
        <v>1235</v>
      </c>
      <c r="C317" s="211" t="s">
        <v>1242</v>
      </c>
      <c r="D317">
        <v>1</v>
      </c>
      <c r="E317">
        <v>0</v>
      </c>
      <c r="G317">
        <v>1</v>
      </c>
      <c r="H317" s="82" t="s">
        <v>1243</v>
      </c>
      <c r="I317" s="20">
        <v>2.5</v>
      </c>
      <c r="J317" s="20">
        <v>2.5</v>
      </c>
      <c r="K317" s="20"/>
      <c r="L317">
        <f t="shared" si="14"/>
        <v>0</v>
      </c>
      <c r="M317">
        <v>2.1</v>
      </c>
      <c r="N317" s="107" t="s">
        <v>1244</v>
      </c>
      <c r="O317" s="20">
        <v>1</v>
      </c>
      <c r="P317">
        <v>1.2</v>
      </c>
      <c r="Q317" s="20">
        <v>0</v>
      </c>
      <c r="R317" s="20"/>
      <c r="V317" s="20">
        <v>1</v>
      </c>
      <c r="W317">
        <v>0</v>
      </c>
      <c r="X317" s="7">
        <v>2</v>
      </c>
      <c r="Y317">
        <v>-0.1</v>
      </c>
      <c r="Z317" s="20">
        <v>0</v>
      </c>
      <c r="AA317" s="20"/>
      <c r="AB317" s="20"/>
      <c r="AC317" s="20"/>
      <c r="AD317" s="20">
        <v>0</v>
      </c>
      <c r="AE317" s="20"/>
      <c r="AF317">
        <f t="shared" si="15"/>
        <v>0</v>
      </c>
      <c r="AG317" s="20"/>
      <c r="AH317" s="20"/>
      <c r="AI317" s="20"/>
      <c r="AJ317" s="20"/>
      <c r="AK317" s="20"/>
      <c r="AL317" s="20"/>
      <c r="AM317" s="20"/>
      <c r="AN317" s="119">
        <v>554</v>
      </c>
      <c r="AO317" s="20" t="s">
        <v>136</v>
      </c>
      <c r="AP317" s="20"/>
      <c r="AQ317" s="20"/>
    </row>
    <row r="318" spans="1:43">
      <c r="A318">
        <v>312</v>
      </c>
      <c r="B318" t="s">
        <v>1235</v>
      </c>
      <c r="C318" s="211" t="s">
        <v>1245</v>
      </c>
      <c r="D318">
        <v>2</v>
      </c>
      <c r="E318">
        <v>1</v>
      </c>
      <c r="G318">
        <v>1</v>
      </c>
      <c r="H318" s="82" t="s">
        <v>1246</v>
      </c>
      <c r="I318" s="20">
        <v>2</v>
      </c>
      <c r="J318" s="20">
        <v>2</v>
      </c>
      <c r="K318" s="20"/>
      <c r="L318">
        <f t="shared" si="14"/>
        <v>0</v>
      </c>
      <c r="M318">
        <v>1.6</v>
      </c>
      <c r="N318" s="107" t="s">
        <v>1247</v>
      </c>
      <c r="O318" s="20">
        <v>5</v>
      </c>
      <c r="P318">
        <v>1.2</v>
      </c>
      <c r="Q318" s="20">
        <v>2</v>
      </c>
      <c r="R318" s="20"/>
      <c r="S318">
        <v>1</v>
      </c>
      <c r="V318" s="20">
        <v>1000</v>
      </c>
      <c r="W318">
        <v>0</v>
      </c>
      <c r="X318" s="7">
        <v>0</v>
      </c>
      <c r="Y318">
        <v>-0.1</v>
      </c>
      <c r="Z318" s="20">
        <v>0</v>
      </c>
      <c r="AA318" s="20"/>
      <c r="AB318" s="20"/>
      <c r="AC318" s="20"/>
      <c r="AD318" s="20">
        <v>0</v>
      </c>
      <c r="AE318" s="20"/>
      <c r="AF318">
        <f t="shared" si="15"/>
        <v>0</v>
      </c>
      <c r="AG318" s="20"/>
      <c r="AH318" s="20"/>
      <c r="AI318" s="20"/>
      <c r="AJ318" s="20"/>
      <c r="AK318" s="20"/>
      <c r="AL318" s="20"/>
      <c r="AM318" s="20"/>
      <c r="AN318" s="119" t="s">
        <v>1248</v>
      </c>
      <c r="AO318" s="20" t="s">
        <v>972</v>
      </c>
      <c r="AP318" s="20"/>
      <c r="AQ318" s="20"/>
    </row>
    <row r="319" spans="1:43">
      <c r="A319">
        <v>313</v>
      </c>
      <c r="B319" t="s">
        <v>1235</v>
      </c>
      <c r="C319" s="211" t="s">
        <v>1249</v>
      </c>
      <c r="D319">
        <v>3</v>
      </c>
      <c r="E319">
        <v>1</v>
      </c>
      <c r="G319">
        <v>1</v>
      </c>
      <c r="H319" s="82" t="s">
        <v>1250</v>
      </c>
      <c r="I319" s="20">
        <v>2.5</v>
      </c>
      <c r="J319" s="20">
        <v>2.5</v>
      </c>
      <c r="K319" s="20"/>
      <c r="L319">
        <f t="shared" si="14"/>
        <v>0</v>
      </c>
      <c r="M319">
        <v>2.1</v>
      </c>
      <c r="N319" s="107" t="s">
        <v>1251</v>
      </c>
      <c r="O319" s="20">
        <v>5</v>
      </c>
      <c r="P319">
        <v>1.2</v>
      </c>
      <c r="Q319" s="20">
        <v>2</v>
      </c>
      <c r="R319" s="20"/>
      <c r="S319">
        <v>1</v>
      </c>
      <c r="V319" s="20">
        <v>1000</v>
      </c>
      <c r="W319">
        <v>0</v>
      </c>
      <c r="X319" s="7">
        <v>0</v>
      </c>
      <c r="Y319">
        <v>-0.1</v>
      </c>
      <c r="Z319" s="20">
        <v>0</v>
      </c>
      <c r="AA319" s="20"/>
      <c r="AB319" s="20"/>
      <c r="AC319" s="20"/>
      <c r="AD319" s="20">
        <v>0</v>
      </c>
      <c r="AE319" s="20"/>
      <c r="AF319">
        <f t="shared" si="15"/>
        <v>0</v>
      </c>
      <c r="AG319" s="20"/>
      <c r="AH319" s="20"/>
      <c r="AI319" s="20"/>
      <c r="AJ319" s="20"/>
      <c r="AK319" s="20"/>
      <c r="AL319" s="20"/>
      <c r="AM319" s="20"/>
      <c r="AN319" s="119">
        <v>557</v>
      </c>
      <c r="AO319" s="20" t="s">
        <v>136</v>
      </c>
      <c r="AP319" s="20"/>
      <c r="AQ319" s="20"/>
    </row>
    <row r="320" spans="1:43">
      <c r="A320">
        <v>314</v>
      </c>
      <c r="B320" t="s">
        <v>1235</v>
      </c>
      <c r="C320" s="211" t="s">
        <v>1252</v>
      </c>
      <c r="D320">
        <v>1</v>
      </c>
      <c r="E320">
        <v>0</v>
      </c>
      <c r="G320">
        <v>1</v>
      </c>
      <c r="H320" s="82" t="s">
        <v>1253</v>
      </c>
      <c r="I320" s="20">
        <v>5</v>
      </c>
      <c r="J320" s="20">
        <v>5</v>
      </c>
      <c r="K320" s="20"/>
      <c r="L320">
        <v>1</v>
      </c>
      <c r="M320">
        <v>4.6</v>
      </c>
      <c r="N320" s="107" t="s">
        <v>1254</v>
      </c>
      <c r="O320" s="20">
        <v>1</v>
      </c>
      <c r="P320">
        <v>1.2</v>
      </c>
      <c r="Q320" s="20">
        <v>0</v>
      </c>
      <c r="R320" s="20"/>
      <c r="V320" s="20">
        <v>1</v>
      </c>
      <c r="W320">
        <v>0</v>
      </c>
      <c r="X320" s="7">
        <v>1</v>
      </c>
      <c r="Y320">
        <v>-0.1</v>
      </c>
      <c r="Z320" s="20">
        <v>0</v>
      </c>
      <c r="AA320" s="20"/>
      <c r="AB320" s="20"/>
      <c r="AC320" s="20"/>
      <c r="AD320" s="20">
        <v>1</v>
      </c>
      <c r="AE320" s="20" t="s">
        <v>1255</v>
      </c>
      <c r="AF320">
        <f t="shared" si="15"/>
        <v>0.5</v>
      </c>
      <c r="AG320" s="20"/>
      <c r="AH320" s="20"/>
      <c r="AI320" s="20"/>
      <c r="AJ320" s="20"/>
      <c r="AK320" s="20"/>
      <c r="AL320" s="20"/>
      <c r="AM320" s="20"/>
      <c r="AN320" s="119"/>
      <c r="AO320" s="20"/>
      <c r="AP320" s="119">
        <v>558</v>
      </c>
      <c r="AQ320" s="20" t="s">
        <v>136</v>
      </c>
    </row>
    <row r="321" spans="1:43">
      <c r="A321">
        <v>315</v>
      </c>
      <c r="B321" t="s">
        <v>1235</v>
      </c>
      <c r="C321" s="211" t="s">
        <v>1256</v>
      </c>
      <c r="D321">
        <v>1</v>
      </c>
      <c r="E321">
        <v>0</v>
      </c>
      <c r="G321">
        <v>1</v>
      </c>
      <c r="H321" s="82" t="s">
        <v>1257</v>
      </c>
      <c r="I321" s="20">
        <v>3.5</v>
      </c>
      <c r="J321" s="20">
        <v>3.5</v>
      </c>
      <c r="K321" s="20"/>
      <c r="L321">
        <f t="shared" si="14"/>
        <v>0</v>
      </c>
      <c r="M321">
        <v>3.1</v>
      </c>
      <c r="N321" s="107" t="s">
        <v>1258</v>
      </c>
      <c r="O321" s="20">
        <v>1</v>
      </c>
      <c r="P321">
        <v>1.2</v>
      </c>
      <c r="Q321" s="20">
        <v>0</v>
      </c>
      <c r="R321" s="20"/>
      <c r="V321" s="20">
        <v>1</v>
      </c>
      <c r="W321">
        <v>0</v>
      </c>
      <c r="X321" s="7">
        <v>1</v>
      </c>
      <c r="Y321">
        <v>-0.1</v>
      </c>
      <c r="Z321" s="20">
        <v>0</v>
      </c>
      <c r="AA321" s="20"/>
      <c r="AB321" s="20"/>
      <c r="AC321" s="20"/>
      <c r="AD321" s="20">
        <v>0</v>
      </c>
      <c r="AE321" s="20"/>
      <c r="AF321">
        <f t="shared" si="15"/>
        <v>0</v>
      </c>
      <c r="AG321" s="20"/>
      <c r="AH321" s="20"/>
      <c r="AI321" s="20"/>
      <c r="AJ321" s="20"/>
      <c r="AK321" s="20"/>
      <c r="AL321" s="20"/>
      <c r="AM321" s="20"/>
      <c r="AP321" s="119">
        <v>559</v>
      </c>
      <c r="AQ321" s="20" t="s">
        <v>136</v>
      </c>
    </row>
    <row r="322" spans="1:43">
      <c r="A322">
        <v>316</v>
      </c>
      <c r="B322" t="s">
        <v>1235</v>
      </c>
      <c r="C322" s="211" t="s">
        <v>1259</v>
      </c>
      <c r="D322">
        <v>4</v>
      </c>
      <c r="E322">
        <v>0</v>
      </c>
      <c r="G322">
        <v>1</v>
      </c>
      <c r="H322" s="82" t="s">
        <v>1260</v>
      </c>
      <c r="I322" s="20">
        <v>9</v>
      </c>
      <c r="J322" s="20">
        <v>9</v>
      </c>
      <c r="K322" s="20"/>
      <c r="L322">
        <v>1</v>
      </c>
      <c r="M322">
        <v>8.6</v>
      </c>
      <c r="N322" s="107" t="s">
        <v>1261</v>
      </c>
      <c r="O322" s="20">
        <v>1</v>
      </c>
      <c r="P322">
        <v>1.2</v>
      </c>
      <c r="Q322" s="20">
        <v>0</v>
      </c>
      <c r="R322" s="20"/>
      <c r="V322" s="20">
        <v>1</v>
      </c>
      <c r="W322">
        <v>0</v>
      </c>
      <c r="X322" s="7">
        <v>15</v>
      </c>
      <c r="Y322">
        <v>-0.1</v>
      </c>
      <c r="Z322" s="20">
        <v>0</v>
      </c>
      <c r="AA322" s="20"/>
      <c r="AB322" s="20">
        <v>8.6</v>
      </c>
      <c r="AC322" s="20">
        <v>2</v>
      </c>
      <c r="AD322" s="20">
        <v>1</v>
      </c>
      <c r="AE322" s="20" t="s">
        <v>1262</v>
      </c>
      <c r="AF322">
        <f t="shared" si="15"/>
        <v>0.5</v>
      </c>
      <c r="AG322" s="20"/>
      <c r="AH322" s="20"/>
      <c r="AI322" s="20"/>
      <c r="AJ322" s="20"/>
      <c r="AK322" s="20"/>
      <c r="AL322" s="20"/>
      <c r="AM322" s="20"/>
      <c r="AN322" s="119">
        <v>560</v>
      </c>
      <c r="AO322" s="20" t="s">
        <v>136</v>
      </c>
      <c r="AP322" s="20"/>
      <c r="AQ322" s="20"/>
    </row>
    <row r="323" spans="1:48">
      <c r="A323" s="3">
        <v>317</v>
      </c>
      <c r="B323" s="3" t="s">
        <v>1263</v>
      </c>
      <c r="C323" s="222" t="s">
        <v>526</v>
      </c>
      <c r="D323" s="3">
        <v>1</v>
      </c>
      <c r="E323" s="3">
        <v>0</v>
      </c>
      <c r="F323" s="3"/>
      <c r="G323" s="3">
        <v>1</v>
      </c>
      <c r="H323" s="223" t="s">
        <v>1264</v>
      </c>
      <c r="I323" s="20">
        <v>2.83333333333333</v>
      </c>
      <c r="J323" s="20">
        <v>2.83333333333333</v>
      </c>
      <c r="K323" s="20"/>
      <c r="L323">
        <f t="shared" si="14"/>
        <v>1</v>
      </c>
      <c r="M323" s="3">
        <v>2.43333333333333</v>
      </c>
      <c r="N323" s="20" t="s">
        <v>1265</v>
      </c>
      <c r="O323" s="20">
        <v>1</v>
      </c>
      <c r="P323" s="3">
        <v>1.2</v>
      </c>
      <c r="Q323" s="20">
        <v>0</v>
      </c>
      <c r="R323" s="20"/>
      <c r="S323" s="3"/>
      <c r="T323" s="3"/>
      <c r="U323" s="3"/>
      <c r="V323" s="20">
        <v>1</v>
      </c>
      <c r="W323" s="3">
        <v>0</v>
      </c>
      <c r="X323" s="238">
        <v>6</v>
      </c>
      <c r="Y323" s="3">
        <v>-0.1</v>
      </c>
      <c r="Z323" s="20">
        <v>0</v>
      </c>
      <c r="AA323" s="20"/>
      <c r="AB323" s="20"/>
      <c r="AC323" s="20"/>
      <c r="AD323" s="20">
        <v>0</v>
      </c>
      <c r="AE323" s="20"/>
      <c r="AF323">
        <f t="shared" si="15"/>
        <v>0</v>
      </c>
      <c r="AG323" s="20"/>
      <c r="AH323" s="20"/>
      <c r="AI323" s="20"/>
      <c r="AJ323" s="20"/>
      <c r="AK323" s="20"/>
      <c r="AL323" s="20"/>
      <c r="AM323" s="20"/>
      <c r="AN323" s="119" t="s">
        <v>1266</v>
      </c>
      <c r="AO323" s="20" t="s">
        <v>1267</v>
      </c>
      <c r="AP323" s="20">
        <v>771</v>
      </c>
      <c r="AQ323" s="20" t="s">
        <v>136</v>
      </c>
      <c r="AV323" s="3">
        <v>1</v>
      </c>
    </row>
    <row r="324" spans="1:48">
      <c r="A324" s="3">
        <v>318</v>
      </c>
      <c r="B324" s="3" t="s">
        <v>1263</v>
      </c>
      <c r="C324" s="222" t="s">
        <v>1268</v>
      </c>
      <c r="D324" s="3">
        <v>1</v>
      </c>
      <c r="E324" s="3">
        <v>0</v>
      </c>
      <c r="F324" s="3"/>
      <c r="G324" s="3">
        <v>1</v>
      </c>
      <c r="H324" s="223" t="s">
        <v>1269</v>
      </c>
      <c r="I324" s="20">
        <v>3</v>
      </c>
      <c r="J324" s="20">
        <v>3</v>
      </c>
      <c r="K324" s="20"/>
      <c r="L324">
        <f t="shared" si="14"/>
        <v>1</v>
      </c>
      <c r="M324" s="3">
        <v>2.6</v>
      </c>
      <c r="N324" s="107" t="s">
        <v>1270</v>
      </c>
      <c r="O324" s="20">
        <v>1</v>
      </c>
      <c r="P324" s="3">
        <v>1.2</v>
      </c>
      <c r="Q324" s="20">
        <v>0</v>
      </c>
      <c r="R324" s="20"/>
      <c r="S324" s="3"/>
      <c r="T324" s="3"/>
      <c r="U324" s="3"/>
      <c r="V324" s="20">
        <v>1</v>
      </c>
      <c r="W324" s="3">
        <v>2</v>
      </c>
      <c r="X324" s="238">
        <v>5</v>
      </c>
      <c r="Y324" s="3">
        <v>-0.1</v>
      </c>
      <c r="Z324" s="20">
        <v>0</v>
      </c>
      <c r="AA324" s="20"/>
      <c r="AB324" s="20"/>
      <c r="AC324" s="20"/>
      <c r="AD324" s="20">
        <v>0</v>
      </c>
      <c r="AE324" s="20"/>
      <c r="AF324">
        <f t="shared" si="15"/>
        <v>0</v>
      </c>
      <c r="AG324" s="20"/>
      <c r="AH324" s="20"/>
      <c r="AI324" s="20"/>
      <c r="AJ324" s="20"/>
      <c r="AK324" s="20"/>
      <c r="AL324" s="20"/>
      <c r="AM324" s="20"/>
      <c r="AN324" s="119" t="s">
        <v>1271</v>
      </c>
      <c r="AO324" s="20" t="s">
        <v>1272</v>
      </c>
      <c r="AP324" s="20"/>
      <c r="AQ324" s="20"/>
      <c r="AV324" s="3"/>
    </row>
    <row r="325" spans="1:48">
      <c r="A325" s="3">
        <v>319</v>
      </c>
      <c r="B325" s="3" t="s">
        <v>1263</v>
      </c>
      <c r="C325" s="222" t="s">
        <v>1273</v>
      </c>
      <c r="D325" s="3">
        <v>4</v>
      </c>
      <c r="E325" s="3">
        <v>0</v>
      </c>
      <c r="F325" s="3"/>
      <c r="G325" s="3">
        <v>1</v>
      </c>
      <c r="H325" s="223" t="s">
        <v>1274</v>
      </c>
      <c r="I325" s="20">
        <v>8.33333333333333</v>
      </c>
      <c r="J325" s="20">
        <v>8.33333333333333</v>
      </c>
      <c r="K325" s="20"/>
      <c r="L325">
        <v>1</v>
      </c>
      <c r="M325" s="3">
        <v>7.93333333333333</v>
      </c>
      <c r="N325" s="107" t="s">
        <v>1275</v>
      </c>
      <c r="O325" s="20">
        <v>1</v>
      </c>
      <c r="P325" s="3">
        <v>5</v>
      </c>
      <c r="Q325" s="20">
        <v>0</v>
      </c>
      <c r="R325" s="20"/>
      <c r="S325" s="3"/>
      <c r="T325" s="3"/>
      <c r="U325" s="3"/>
      <c r="V325" s="20">
        <v>1</v>
      </c>
      <c r="W325" s="3">
        <v>4</v>
      </c>
      <c r="X325" s="238">
        <v>1</v>
      </c>
      <c r="Y325" s="3">
        <v>0.4</v>
      </c>
      <c r="Z325" s="20">
        <v>0</v>
      </c>
      <c r="AA325" s="20"/>
      <c r="AB325" s="20">
        <v>8</v>
      </c>
      <c r="AC325" s="20">
        <v>2</v>
      </c>
      <c r="AD325" s="20">
        <v>1</v>
      </c>
      <c r="AE325" s="20" t="s">
        <v>1276</v>
      </c>
      <c r="AF325">
        <f t="shared" si="15"/>
        <v>0.5</v>
      </c>
      <c r="AG325" s="20" t="s">
        <v>1277</v>
      </c>
      <c r="AH325" s="20"/>
      <c r="AI325" s="20"/>
      <c r="AJ325" s="20"/>
      <c r="AK325" s="20"/>
      <c r="AL325" s="20"/>
      <c r="AM325" s="20"/>
      <c r="AN325" s="119">
        <v>613</v>
      </c>
      <c r="AO325" s="20" t="s">
        <v>136</v>
      </c>
      <c r="AP325" s="20"/>
      <c r="AQ325" s="20"/>
      <c r="AR325" t="s">
        <v>239</v>
      </c>
      <c r="AV325" s="3"/>
    </row>
    <row r="326" spans="1:48">
      <c r="A326" s="3">
        <v>320</v>
      </c>
      <c r="B326" s="3" t="s">
        <v>1263</v>
      </c>
      <c r="C326" s="222" t="s">
        <v>1278</v>
      </c>
      <c r="D326" s="3">
        <v>4</v>
      </c>
      <c r="E326" s="3">
        <v>0</v>
      </c>
      <c r="F326" s="3"/>
      <c r="G326" s="3">
        <v>1</v>
      </c>
      <c r="H326" s="223" t="s">
        <v>1279</v>
      </c>
      <c r="I326" s="20">
        <v>7.66666666666667</v>
      </c>
      <c r="J326" s="20">
        <v>7.66666666666667</v>
      </c>
      <c r="K326" s="20"/>
      <c r="L326">
        <v>1</v>
      </c>
      <c r="M326" s="3">
        <v>7.26666666666667</v>
      </c>
      <c r="N326" s="107" t="s">
        <v>1280</v>
      </c>
      <c r="O326" s="20">
        <v>1</v>
      </c>
      <c r="P326" s="3">
        <v>3</v>
      </c>
      <c r="Q326" s="20">
        <v>0</v>
      </c>
      <c r="R326" s="20"/>
      <c r="S326" s="3"/>
      <c r="T326" s="3"/>
      <c r="U326" s="3"/>
      <c r="V326" s="20">
        <v>1</v>
      </c>
      <c r="W326" s="3">
        <v>6</v>
      </c>
      <c r="X326" s="238">
        <v>1</v>
      </c>
      <c r="Y326" s="3">
        <v>-0.1</v>
      </c>
      <c r="Z326" s="20">
        <v>0</v>
      </c>
      <c r="AA326" s="20"/>
      <c r="AB326" s="20"/>
      <c r="AC326" s="20"/>
      <c r="AD326" s="20">
        <v>1</v>
      </c>
      <c r="AE326" s="20" t="s">
        <v>1281</v>
      </c>
      <c r="AF326">
        <f t="shared" si="15"/>
        <v>0.5</v>
      </c>
      <c r="AG326" s="20"/>
      <c r="AH326" s="20"/>
      <c r="AI326" s="20"/>
      <c r="AJ326" s="20"/>
      <c r="AK326" s="20"/>
      <c r="AL326" s="20"/>
      <c r="AM326" s="20"/>
      <c r="AN326" s="119">
        <v>609</v>
      </c>
      <c r="AO326" s="20" t="s">
        <v>136</v>
      </c>
      <c r="AP326" s="20"/>
      <c r="AQ326" s="20"/>
      <c r="AR326" t="s">
        <v>239</v>
      </c>
      <c r="AV326" s="3"/>
    </row>
    <row r="327" spans="1:48">
      <c r="A327">
        <v>321</v>
      </c>
      <c r="B327" t="s">
        <v>1282</v>
      </c>
      <c r="C327" s="211" t="s">
        <v>526</v>
      </c>
      <c r="D327">
        <v>1</v>
      </c>
      <c r="E327">
        <v>0</v>
      </c>
      <c r="G327">
        <v>2</v>
      </c>
      <c r="H327" s="82" t="s">
        <v>1283</v>
      </c>
      <c r="I327" s="20">
        <v>2.6</v>
      </c>
      <c r="J327" s="20">
        <v>2.6</v>
      </c>
      <c r="K327" s="20"/>
      <c r="L327">
        <v>0</v>
      </c>
      <c r="M327">
        <v>2.2</v>
      </c>
      <c r="N327" s="20" t="s">
        <v>1284</v>
      </c>
      <c r="O327" s="20">
        <v>2</v>
      </c>
      <c r="P327">
        <v>0</v>
      </c>
      <c r="Q327" s="20">
        <v>0</v>
      </c>
      <c r="R327" s="20"/>
      <c r="V327" s="20">
        <v>2</v>
      </c>
      <c r="W327">
        <v>0</v>
      </c>
      <c r="X327" s="7">
        <v>2</v>
      </c>
      <c r="Y327">
        <v>-0.1</v>
      </c>
      <c r="Z327" s="20">
        <v>0</v>
      </c>
      <c r="AA327" s="20"/>
      <c r="AB327" s="20"/>
      <c r="AC327" s="20"/>
      <c r="AD327" s="20">
        <v>0</v>
      </c>
      <c r="AE327" s="20"/>
      <c r="AF327">
        <v>0</v>
      </c>
      <c r="AG327" s="20"/>
      <c r="AH327" s="20"/>
      <c r="AI327" s="20"/>
      <c r="AJ327" s="20"/>
      <c r="AK327" s="20"/>
      <c r="AL327" s="20"/>
      <c r="AM327" s="20"/>
      <c r="AN327" s="119" t="s">
        <v>1285</v>
      </c>
      <c r="AO327" s="20" t="s">
        <v>1286</v>
      </c>
      <c r="AP327" s="20"/>
      <c r="AQ327" s="20"/>
      <c r="AV327">
        <v>1</v>
      </c>
    </row>
    <row r="328" spans="1:43">
      <c r="A328">
        <v>322</v>
      </c>
      <c r="B328" t="s">
        <v>1282</v>
      </c>
      <c r="C328" s="211" t="s">
        <v>1287</v>
      </c>
      <c r="D328">
        <v>4</v>
      </c>
      <c r="E328">
        <v>0</v>
      </c>
      <c r="G328">
        <v>2</v>
      </c>
      <c r="H328" s="82" t="s">
        <v>1288</v>
      </c>
      <c r="I328" s="20">
        <v>2.33333333333333</v>
      </c>
      <c r="J328" s="20">
        <v>2.33333333333333</v>
      </c>
      <c r="K328" s="20"/>
      <c r="L328">
        <v>0</v>
      </c>
      <c r="M328">
        <v>1.93333333333333</v>
      </c>
      <c r="N328" s="20" t="s">
        <v>1289</v>
      </c>
      <c r="O328" s="20">
        <v>2</v>
      </c>
      <c r="P328">
        <v>0</v>
      </c>
      <c r="Q328" s="20">
        <v>0</v>
      </c>
      <c r="R328" s="20"/>
      <c r="S328" s="20">
        <v>-0.8</v>
      </c>
      <c r="T328" s="20">
        <v>1.5</v>
      </c>
      <c r="U328" s="20">
        <v>1</v>
      </c>
      <c r="V328" s="20">
        <v>2</v>
      </c>
      <c r="W328">
        <v>6</v>
      </c>
      <c r="X328" s="7">
        <v>1</v>
      </c>
      <c r="Y328">
        <v>-0.1</v>
      </c>
      <c r="Z328" s="20">
        <v>0</v>
      </c>
      <c r="AA328" s="20"/>
      <c r="AB328" s="20"/>
      <c r="AC328" s="20"/>
      <c r="AD328" s="20">
        <v>0</v>
      </c>
      <c r="AE328" s="20"/>
      <c r="AF328">
        <v>0</v>
      </c>
      <c r="AG328" s="20"/>
      <c r="AH328" s="20"/>
      <c r="AI328" s="20"/>
      <c r="AJ328" s="20"/>
      <c r="AK328" s="20"/>
      <c r="AL328" s="20"/>
      <c r="AM328" s="20"/>
      <c r="AN328" s="119" t="s">
        <v>1290</v>
      </c>
      <c r="AO328" s="20" t="s">
        <v>1291</v>
      </c>
      <c r="AP328" s="20"/>
      <c r="AQ328" s="20"/>
    </row>
    <row r="329" spans="1:43">
      <c r="A329">
        <v>323</v>
      </c>
      <c r="B329" t="s">
        <v>1282</v>
      </c>
      <c r="C329" s="211" t="s">
        <v>1292</v>
      </c>
      <c r="D329">
        <v>4</v>
      </c>
      <c r="E329">
        <v>0</v>
      </c>
      <c r="G329">
        <v>2</v>
      </c>
      <c r="H329" s="82" t="s">
        <v>1293</v>
      </c>
      <c r="I329" s="20">
        <v>5</v>
      </c>
      <c r="J329" s="20">
        <v>5</v>
      </c>
      <c r="K329" s="20"/>
      <c r="L329">
        <v>0</v>
      </c>
      <c r="M329">
        <v>4.6</v>
      </c>
      <c r="N329" s="20" t="s">
        <v>1294</v>
      </c>
      <c r="O329" s="20">
        <v>2</v>
      </c>
      <c r="P329">
        <v>0</v>
      </c>
      <c r="Q329" s="20">
        <v>0</v>
      </c>
      <c r="R329" s="20"/>
      <c r="S329" s="20">
        <v>-0.8</v>
      </c>
      <c r="T329" s="20">
        <v>1</v>
      </c>
      <c r="U329" s="20">
        <v>1</v>
      </c>
      <c r="V329" s="20">
        <v>2</v>
      </c>
      <c r="W329">
        <v>6</v>
      </c>
      <c r="X329" s="7">
        <v>4</v>
      </c>
      <c r="Y329">
        <v>-0.1</v>
      </c>
      <c r="Z329" s="20">
        <v>0</v>
      </c>
      <c r="AA329" s="20"/>
      <c r="AB329" s="20"/>
      <c r="AC329" s="20"/>
      <c r="AD329" s="20">
        <v>0</v>
      </c>
      <c r="AE329" s="20"/>
      <c r="AF329">
        <v>0</v>
      </c>
      <c r="AG329" s="20"/>
      <c r="AH329" s="20"/>
      <c r="AI329" s="20"/>
      <c r="AJ329" s="20"/>
      <c r="AK329" s="20"/>
      <c r="AL329" s="20"/>
      <c r="AM329" s="20"/>
      <c r="AN329" s="119" t="s">
        <v>1295</v>
      </c>
      <c r="AO329" s="20" t="s">
        <v>1296</v>
      </c>
      <c r="AP329" s="20"/>
      <c r="AQ329" s="20"/>
    </row>
    <row r="330" spans="1:43">
      <c r="A330">
        <v>324</v>
      </c>
      <c r="B330" t="s">
        <v>1282</v>
      </c>
      <c r="C330" s="211" t="s">
        <v>1297</v>
      </c>
      <c r="D330">
        <v>1</v>
      </c>
      <c r="E330">
        <v>0</v>
      </c>
      <c r="G330">
        <v>2</v>
      </c>
      <c r="H330" s="82" t="s">
        <v>1298</v>
      </c>
      <c r="I330" s="20">
        <v>5.76666666666667</v>
      </c>
      <c r="J330" s="20">
        <v>5.76666666666667</v>
      </c>
      <c r="K330" s="20"/>
      <c r="L330">
        <v>1</v>
      </c>
      <c r="M330">
        <v>6.26666666666667</v>
      </c>
      <c r="N330" s="20" t="s">
        <v>1299</v>
      </c>
      <c r="O330" s="20">
        <v>1</v>
      </c>
      <c r="P330">
        <v>5</v>
      </c>
      <c r="Q330" s="20">
        <v>0</v>
      </c>
      <c r="R330" s="20"/>
      <c r="V330" s="20">
        <v>2</v>
      </c>
      <c r="W330">
        <v>0</v>
      </c>
      <c r="X330" s="7">
        <v>2</v>
      </c>
      <c r="Y330">
        <v>-0.1</v>
      </c>
      <c r="Z330" s="20">
        <v>0</v>
      </c>
      <c r="AA330" s="20"/>
      <c r="AB330" s="20"/>
      <c r="AC330" s="20"/>
      <c r="AD330" s="20">
        <v>1</v>
      </c>
      <c r="AE330" s="20" t="s">
        <v>1300</v>
      </c>
      <c r="AF330">
        <v>0.5</v>
      </c>
      <c r="AG330" s="20"/>
      <c r="AH330" s="20"/>
      <c r="AI330" s="20"/>
      <c r="AJ330" s="20"/>
      <c r="AK330" s="20"/>
      <c r="AL330" s="20"/>
      <c r="AM330" s="20"/>
      <c r="AN330" s="119">
        <v>582</v>
      </c>
      <c r="AO330" s="20" t="s">
        <v>136</v>
      </c>
      <c r="AP330" s="20"/>
      <c r="AQ330" s="20"/>
    </row>
    <row r="331" spans="1:43">
      <c r="A331">
        <v>325</v>
      </c>
      <c r="B331" t="s">
        <v>1282</v>
      </c>
      <c r="C331" s="211" t="s">
        <v>1301</v>
      </c>
      <c r="D331">
        <v>1</v>
      </c>
      <c r="E331">
        <v>0</v>
      </c>
      <c r="G331">
        <v>2</v>
      </c>
      <c r="H331" s="82">
        <v>4705</v>
      </c>
      <c r="I331" s="20">
        <v>3.76666666666667</v>
      </c>
      <c r="J331" s="20">
        <v>3.76666666666667</v>
      </c>
      <c r="K331" s="20"/>
      <c r="L331">
        <v>0</v>
      </c>
      <c r="M331">
        <v>3.36666666666667</v>
      </c>
      <c r="N331" s="20" t="s">
        <v>1302</v>
      </c>
      <c r="O331" s="20">
        <v>2</v>
      </c>
      <c r="P331">
        <v>0</v>
      </c>
      <c r="Q331" s="20">
        <v>0</v>
      </c>
      <c r="R331" s="20"/>
      <c r="T331" s="20">
        <v>1</v>
      </c>
      <c r="U331">
        <v>1</v>
      </c>
      <c r="V331" s="20">
        <v>2</v>
      </c>
      <c r="W331">
        <v>24</v>
      </c>
      <c r="X331" s="7">
        <v>3</v>
      </c>
      <c r="Y331">
        <v>-0.1</v>
      </c>
      <c r="Z331" s="20">
        <v>0</v>
      </c>
      <c r="AA331" s="20"/>
      <c r="AB331" s="20"/>
      <c r="AC331" s="20"/>
      <c r="AD331" s="20">
        <v>0</v>
      </c>
      <c r="AE331" s="20"/>
      <c r="AF331">
        <v>0</v>
      </c>
      <c r="AG331" s="20"/>
      <c r="AH331" s="20"/>
      <c r="AI331" s="20">
        <v>1</v>
      </c>
      <c r="AJ331" s="20">
        <v>2</v>
      </c>
      <c r="AK331" s="20" t="s">
        <v>1303</v>
      </c>
      <c r="AL331" s="20">
        <v>1.5</v>
      </c>
      <c r="AM331" s="20">
        <v>2</v>
      </c>
      <c r="AN331" s="119" t="s">
        <v>1304</v>
      </c>
      <c r="AO331" s="20" t="s">
        <v>1296</v>
      </c>
      <c r="AP331" s="20"/>
      <c r="AQ331" s="20"/>
    </row>
    <row r="332" spans="1:43">
      <c r="A332">
        <v>326</v>
      </c>
      <c r="B332" t="s">
        <v>1282</v>
      </c>
      <c r="C332" s="211" t="s">
        <v>1305</v>
      </c>
      <c r="D332">
        <v>4</v>
      </c>
      <c r="E332">
        <v>0</v>
      </c>
      <c r="G332">
        <v>2</v>
      </c>
      <c r="H332" s="82" t="s">
        <v>1306</v>
      </c>
      <c r="I332" s="20">
        <v>2.16666666666667</v>
      </c>
      <c r="J332" s="20">
        <v>2.16666666666667</v>
      </c>
      <c r="K332" s="20"/>
      <c r="L332">
        <v>0</v>
      </c>
      <c r="M332">
        <v>1.76666666666667</v>
      </c>
      <c r="N332" s="20" t="s">
        <v>1307</v>
      </c>
      <c r="O332" s="20">
        <v>2</v>
      </c>
      <c r="P332">
        <v>0</v>
      </c>
      <c r="Q332" s="20">
        <v>0</v>
      </c>
      <c r="R332" s="20"/>
      <c r="V332" s="20">
        <v>2</v>
      </c>
      <c r="W332">
        <v>0</v>
      </c>
      <c r="X332" s="7">
        <v>1</v>
      </c>
      <c r="Y332">
        <v>-0.1</v>
      </c>
      <c r="Z332" s="20">
        <v>0</v>
      </c>
      <c r="AA332" s="20"/>
      <c r="AB332" s="20"/>
      <c r="AC332" s="20"/>
      <c r="AD332" s="20">
        <v>0</v>
      </c>
      <c r="AE332" s="20"/>
      <c r="AF332">
        <v>0</v>
      </c>
      <c r="AG332" s="20"/>
      <c r="AH332" s="20"/>
      <c r="AI332" s="20"/>
      <c r="AJ332" s="20"/>
      <c r="AK332" s="20"/>
      <c r="AL332" s="20"/>
      <c r="AM332" s="20"/>
      <c r="AN332" s="119">
        <v>986</v>
      </c>
      <c r="AO332" s="20" t="s">
        <v>136</v>
      </c>
      <c r="AP332" s="20"/>
      <c r="AQ332" s="20"/>
    </row>
    <row r="333" spans="1:43">
      <c r="A333">
        <v>327</v>
      </c>
      <c r="B333" t="s">
        <v>1282</v>
      </c>
      <c r="C333" s="211" t="s">
        <v>1308</v>
      </c>
      <c r="D333">
        <v>1</v>
      </c>
      <c r="E333">
        <v>0</v>
      </c>
      <c r="G333">
        <v>2</v>
      </c>
      <c r="H333" s="82" t="s">
        <v>1309</v>
      </c>
      <c r="I333" s="20">
        <v>4.66666666666667</v>
      </c>
      <c r="J333" s="20">
        <v>4.66666666666667</v>
      </c>
      <c r="K333" s="20"/>
      <c r="L333">
        <v>1</v>
      </c>
      <c r="M333">
        <v>4.26666666666667</v>
      </c>
      <c r="N333" s="20" t="s">
        <v>1310</v>
      </c>
      <c r="O333" s="20">
        <v>2</v>
      </c>
      <c r="P333">
        <v>0</v>
      </c>
      <c r="Q333" s="20">
        <v>0</v>
      </c>
      <c r="R333" s="20"/>
      <c r="V333" s="20">
        <v>2</v>
      </c>
      <c r="W333">
        <v>19</v>
      </c>
      <c r="X333" s="7">
        <v>2</v>
      </c>
      <c r="Y333">
        <v>0.4</v>
      </c>
      <c r="Z333" s="20">
        <v>0</v>
      </c>
      <c r="AA333" s="20"/>
      <c r="AB333" s="20">
        <v>4.4</v>
      </c>
      <c r="AC333" s="20">
        <v>2</v>
      </c>
      <c r="AD333" s="20">
        <v>1</v>
      </c>
      <c r="AE333" s="20" t="s">
        <v>1311</v>
      </c>
      <c r="AF333">
        <v>0.5</v>
      </c>
      <c r="AG333" s="20"/>
      <c r="AH333" s="20"/>
      <c r="AI333" s="20"/>
      <c r="AJ333" s="20"/>
      <c r="AK333" s="20"/>
      <c r="AL333" s="20"/>
      <c r="AM333" s="20"/>
      <c r="AP333" s="119">
        <v>584</v>
      </c>
      <c r="AQ333" s="20" t="s">
        <v>136</v>
      </c>
    </row>
    <row r="334" spans="1:43">
      <c r="A334">
        <v>328</v>
      </c>
      <c r="B334" t="s">
        <v>1282</v>
      </c>
      <c r="C334" s="211" t="s">
        <v>1312</v>
      </c>
      <c r="D334">
        <v>4</v>
      </c>
      <c r="E334">
        <v>0</v>
      </c>
      <c r="G334">
        <v>2</v>
      </c>
      <c r="H334" s="82" t="s">
        <v>1313</v>
      </c>
      <c r="I334" s="20">
        <v>7.33333333333333</v>
      </c>
      <c r="J334" s="20">
        <v>7.33333333333333</v>
      </c>
      <c r="K334" s="20"/>
      <c r="L334">
        <v>1</v>
      </c>
      <c r="M334">
        <v>4.26666666666667</v>
      </c>
      <c r="N334" s="20" t="s">
        <v>1314</v>
      </c>
      <c r="O334" s="20">
        <v>3</v>
      </c>
      <c r="P334">
        <v>0</v>
      </c>
      <c r="Q334" s="20">
        <v>0</v>
      </c>
      <c r="R334" s="20"/>
      <c r="V334" s="20">
        <v>2</v>
      </c>
      <c r="W334">
        <v>6</v>
      </c>
      <c r="X334" s="7">
        <v>3</v>
      </c>
      <c r="Y334">
        <v>-0.1</v>
      </c>
      <c r="Z334" s="20">
        <v>0</v>
      </c>
      <c r="AA334" s="20"/>
      <c r="AB334" s="20">
        <v>7</v>
      </c>
      <c r="AC334" s="20">
        <v>2</v>
      </c>
      <c r="AD334" s="20">
        <v>1</v>
      </c>
      <c r="AE334" s="20" t="s">
        <v>1315</v>
      </c>
      <c r="AF334">
        <v>0.5</v>
      </c>
      <c r="AG334" s="20"/>
      <c r="AH334" s="20"/>
      <c r="AI334" s="20"/>
      <c r="AJ334" s="20"/>
      <c r="AK334" s="20"/>
      <c r="AL334" s="20"/>
      <c r="AM334" s="20"/>
      <c r="AN334" s="8" t="s">
        <v>1316</v>
      </c>
      <c r="AO334" s="10" t="s">
        <v>1317</v>
      </c>
      <c r="AP334" s="119">
        <v>585</v>
      </c>
      <c r="AQ334" s="20" t="s">
        <v>136</v>
      </c>
    </row>
    <row r="335" spans="1:43">
      <c r="A335">
        <v>329</v>
      </c>
      <c r="B335" s="27" t="s">
        <v>169</v>
      </c>
      <c r="C335" s="224" t="s">
        <v>1318</v>
      </c>
      <c r="D335" s="27">
        <v>1</v>
      </c>
      <c r="E335" s="27">
        <v>0</v>
      </c>
      <c r="F335" s="27"/>
      <c r="G335" s="27">
        <v>1</v>
      </c>
      <c r="H335" s="200">
        <v>210</v>
      </c>
      <c r="I335" s="230">
        <v>2.93333333333333</v>
      </c>
      <c r="J335" s="230">
        <v>2.93333333333333</v>
      </c>
      <c r="K335" s="230"/>
      <c r="L335" s="27">
        <f t="shared" ref="L335:L371" si="17">IF(X335&gt;4,1,0)</f>
        <v>1</v>
      </c>
      <c r="M335" s="27">
        <f t="shared" ref="M335:M346" si="18">I335-0.4</f>
        <v>2.53333333333333</v>
      </c>
      <c r="N335" s="231" t="s">
        <v>1319</v>
      </c>
      <c r="O335" s="20">
        <v>1</v>
      </c>
      <c r="P335">
        <v>1.3</v>
      </c>
      <c r="Q335" s="20">
        <v>0</v>
      </c>
      <c r="R335" s="20"/>
      <c r="V335" s="20">
        <v>1</v>
      </c>
      <c r="W335">
        <v>2</v>
      </c>
      <c r="X335" s="7">
        <v>5</v>
      </c>
      <c r="Y335">
        <v>-0.1</v>
      </c>
      <c r="Z335" s="20">
        <v>0</v>
      </c>
      <c r="AA335" s="20"/>
      <c r="AB335" s="20"/>
      <c r="AC335" s="20"/>
      <c r="AD335" s="20">
        <v>0</v>
      </c>
      <c r="AE335" s="20"/>
      <c r="AF335">
        <f t="shared" ref="AF335:AF382" si="19">IF(AD335=--1,0.5,0)</f>
        <v>0</v>
      </c>
      <c r="AG335" s="20"/>
      <c r="AH335" s="20"/>
      <c r="AI335" s="20"/>
      <c r="AJ335" s="20"/>
      <c r="AK335" s="20"/>
      <c r="AL335" s="20"/>
      <c r="AM335" s="20"/>
      <c r="AN335" s="8">
        <v>599</v>
      </c>
      <c r="AO335" t="s">
        <v>136</v>
      </c>
      <c r="AP335" s="119"/>
      <c r="AQ335" s="20"/>
    </row>
    <row r="336" spans="1:43">
      <c r="A336">
        <v>330</v>
      </c>
      <c r="B336" t="s">
        <v>200</v>
      </c>
      <c r="C336" s="211" t="s">
        <v>1320</v>
      </c>
      <c r="D336">
        <v>1</v>
      </c>
      <c r="E336">
        <v>0</v>
      </c>
      <c r="G336">
        <v>1</v>
      </c>
      <c r="H336" s="82">
        <v>309</v>
      </c>
      <c r="I336" s="20">
        <v>3.333333</v>
      </c>
      <c r="J336" s="20">
        <v>3.333333</v>
      </c>
      <c r="K336" s="20"/>
      <c r="L336">
        <f t="shared" si="17"/>
        <v>1</v>
      </c>
      <c r="M336">
        <f t="shared" si="18"/>
        <v>2.933333</v>
      </c>
      <c r="N336" s="232" t="s">
        <v>1321</v>
      </c>
      <c r="O336" s="20">
        <v>1</v>
      </c>
      <c r="P336">
        <v>0.95</v>
      </c>
      <c r="Q336" s="20">
        <v>0</v>
      </c>
      <c r="R336" s="20"/>
      <c r="S336" s="20">
        <v>1.2</v>
      </c>
      <c r="T336" s="20"/>
      <c r="U336" s="20">
        <v>0.5</v>
      </c>
      <c r="V336" s="20">
        <v>6</v>
      </c>
      <c r="W336">
        <v>0</v>
      </c>
      <c r="X336" s="7">
        <v>5</v>
      </c>
      <c r="Y336">
        <v>-0.1</v>
      </c>
      <c r="Z336" s="20">
        <v>0</v>
      </c>
      <c r="AA336" s="20"/>
      <c r="AB336" s="20"/>
      <c r="AC336" s="20"/>
      <c r="AD336" s="20">
        <v>0</v>
      </c>
      <c r="AE336" s="20"/>
      <c r="AF336">
        <f t="shared" si="19"/>
        <v>0</v>
      </c>
      <c r="AG336" s="20"/>
      <c r="AH336" s="20"/>
      <c r="AI336" s="20"/>
      <c r="AJ336" s="20"/>
      <c r="AK336" s="20"/>
      <c r="AL336" s="20"/>
      <c r="AM336" s="20"/>
      <c r="AN336" s="8">
        <v>603</v>
      </c>
      <c r="AO336" t="s">
        <v>136</v>
      </c>
      <c r="AP336" s="119"/>
      <c r="AQ336" s="20"/>
    </row>
    <row r="337" spans="1:48">
      <c r="A337">
        <v>331</v>
      </c>
      <c r="B337" t="s">
        <v>1322</v>
      </c>
      <c r="C337" s="211" t="s">
        <v>526</v>
      </c>
      <c r="D337">
        <v>1</v>
      </c>
      <c r="E337">
        <v>0</v>
      </c>
      <c r="G337">
        <v>1</v>
      </c>
      <c r="H337" s="82" t="s">
        <v>1323</v>
      </c>
      <c r="I337" s="20">
        <v>1.83333333333333</v>
      </c>
      <c r="J337" s="20">
        <v>1.83333333333333</v>
      </c>
      <c r="K337" s="20"/>
      <c r="L337">
        <f t="shared" si="17"/>
        <v>0</v>
      </c>
      <c r="M337">
        <f t="shared" si="18"/>
        <v>1.43333333333333</v>
      </c>
      <c r="N337" s="20" t="s">
        <v>1324</v>
      </c>
      <c r="O337" s="20">
        <v>1</v>
      </c>
      <c r="P337">
        <v>1.2</v>
      </c>
      <c r="Q337" s="20">
        <v>0</v>
      </c>
      <c r="R337" s="20"/>
      <c r="S337" s="20"/>
      <c r="T337" s="20"/>
      <c r="U337" s="20"/>
      <c r="V337" s="20">
        <v>1</v>
      </c>
      <c r="W337">
        <v>0</v>
      </c>
      <c r="X337" s="7">
        <v>2</v>
      </c>
      <c r="Y337">
        <v>-0.1</v>
      </c>
      <c r="Z337" s="20">
        <v>0</v>
      </c>
      <c r="AA337" s="20"/>
      <c r="AB337" s="20"/>
      <c r="AC337" s="20"/>
      <c r="AD337" s="20">
        <v>0</v>
      </c>
      <c r="AE337" s="20"/>
      <c r="AF337">
        <f t="shared" si="19"/>
        <v>0</v>
      </c>
      <c r="AG337" s="20"/>
      <c r="AH337" s="20"/>
      <c r="AI337" s="20"/>
      <c r="AJ337" s="20"/>
      <c r="AK337" s="20"/>
      <c r="AL337" s="20"/>
      <c r="AM337" s="20"/>
      <c r="AN337" s="8">
        <v>615</v>
      </c>
      <c r="AO337" t="s">
        <v>136</v>
      </c>
      <c r="AP337" s="119"/>
      <c r="AQ337" s="20"/>
      <c r="AV337">
        <v>1</v>
      </c>
    </row>
    <row r="338" spans="1:43">
      <c r="A338">
        <v>332</v>
      </c>
      <c r="B338" t="s">
        <v>1322</v>
      </c>
      <c r="C338" s="211" t="s">
        <v>1325</v>
      </c>
      <c r="D338">
        <v>1</v>
      </c>
      <c r="E338">
        <v>0</v>
      </c>
      <c r="G338">
        <v>1</v>
      </c>
      <c r="H338" s="82" t="s">
        <v>1326</v>
      </c>
      <c r="I338" s="20">
        <v>2</v>
      </c>
      <c r="J338" s="20">
        <v>2</v>
      </c>
      <c r="K338" s="20"/>
      <c r="L338">
        <f t="shared" si="17"/>
        <v>1</v>
      </c>
      <c r="M338">
        <f t="shared" si="18"/>
        <v>1.6</v>
      </c>
      <c r="N338" s="20" t="s">
        <v>1327</v>
      </c>
      <c r="O338" s="20">
        <v>1</v>
      </c>
      <c r="P338">
        <v>1.2</v>
      </c>
      <c r="Q338" s="20">
        <v>0</v>
      </c>
      <c r="R338" s="20"/>
      <c r="S338" s="20"/>
      <c r="T338" s="20"/>
      <c r="U338" s="20"/>
      <c r="V338" s="20">
        <v>1</v>
      </c>
      <c r="W338">
        <v>0</v>
      </c>
      <c r="X338" s="7">
        <v>6</v>
      </c>
      <c r="Y338">
        <v>-0.1</v>
      </c>
      <c r="Z338" s="20">
        <v>0</v>
      </c>
      <c r="AA338" s="20"/>
      <c r="AB338" s="20"/>
      <c r="AC338" s="20"/>
      <c r="AD338" s="20">
        <v>0</v>
      </c>
      <c r="AE338" s="20"/>
      <c r="AF338">
        <f t="shared" si="19"/>
        <v>0</v>
      </c>
      <c r="AG338" s="20"/>
      <c r="AH338" s="20"/>
      <c r="AI338" s="20"/>
      <c r="AJ338" s="20"/>
      <c r="AK338" s="20"/>
      <c r="AL338" s="20"/>
      <c r="AM338" s="20"/>
      <c r="AN338" s="8">
        <v>616</v>
      </c>
      <c r="AO338" t="s">
        <v>136</v>
      </c>
      <c r="AP338" s="119"/>
      <c r="AQ338" s="20"/>
    </row>
    <row r="339" spans="1:43">
      <c r="A339">
        <v>333</v>
      </c>
      <c r="B339" t="s">
        <v>1322</v>
      </c>
      <c r="C339" s="211" t="s">
        <v>1328</v>
      </c>
      <c r="D339">
        <v>1</v>
      </c>
      <c r="E339">
        <v>0</v>
      </c>
      <c r="G339">
        <v>1</v>
      </c>
      <c r="H339" s="82" t="s">
        <v>1329</v>
      </c>
      <c r="I339" s="20">
        <v>2</v>
      </c>
      <c r="J339" s="20">
        <v>2</v>
      </c>
      <c r="K339" s="20"/>
      <c r="L339">
        <f t="shared" si="17"/>
        <v>1</v>
      </c>
      <c r="M339">
        <f t="shared" si="18"/>
        <v>1.6</v>
      </c>
      <c r="N339" s="20" t="s">
        <v>1330</v>
      </c>
      <c r="O339" s="20">
        <v>1</v>
      </c>
      <c r="P339">
        <v>1.2</v>
      </c>
      <c r="Q339" s="20">
        <v>0</v>
      </c>
      <c r="R339" s="20"/>
      <c r="S339" s="20"/>
      <c r="T339" s="20"/>
      <c r="U339" s="20"/>
      <c r="V339" s="20">
        <v>1</v>
      </c>
      <c r="W339">
        <v>0</v>
      </c>
      <c r="X339" s="7">
        <v>8</v>
      </c>
      <c r="Y339">
        <v>-0.1</v>
      </c>
      <c r="Z339" s="20">
        <v>0</v>
      </c>
      <c r="AA339" s="20"/>
      <c r="AB339" s="20"/>
      <c r="AC339" s="20"/>
      <c r="AD339" s="20">
        <v>0</v>
      </c>
      <c r="AE339" s="20"/>
      <c r="AF339">
        <f t="shared" si="19"/>
        <v>0</v>
      </c>
      <c r="AG339" s="20"/>
      <c r="AH339" s="20"/>
      <c r="AI339" s="20"/>
      <c r="AJ339" s="20"/>
      <c r="AK339" s="20"/>
      <c r="AL339" s="20"/>
      <c r="AM339" s="20"/>
      <c r="AN339" s="8">
        <v>617</v>
      </c>
      <c r="AO339" t="s">
        <v>136</v>
      </c>
      <c r="AP339" s="119"/>
      <c r="AQ339" s="20"/>
    </row>
    <row r="340" spans="1:43">
      <c r="A340">
        <v>334</v>
      </c>
      <c r="B340" t="s">
        <v>1322</v>
      </c>
      <c r="C340" s="211" t="s">
        <v>1331</v>
      </c>
      <c r="D340">
        <v>1</v>
      </c>
      <c r="E340">
        <v>0</v>
      </c>
      <c r="G340">
        <v>1</v>
      </c>
      <c r="H340" s="82" t="s">
        <v>1332</v>
      </c>
      <c r="I340" s="20">
        <v>1.5</v>
      </c>
      <c r="J340" s="20">
        <v>1.5</v>
      </c>
      <c r="K340" s="20"/>
      <c r="L340">
        <f t="shared" si="17"/>
        <v>0</v>
      </c>
      <c r="M340">
        <f t="shared" si="18"/>
        <v>1.1</v>
      </c>
      <c r="N340" s="20" t="s">
        <v>1333</v>
      </c>
      <c r="O340" s="20">
        <v>1</v>
      </c>
      <c r="P340">
        <v>1.2</v>
      </c>
      <c r="Q340" s="20">
        <v>0</v>
      </c>
      <c r="R340" s="20"/>
      <c r="S340" s="20">
        <v>-0.8</v>
      </c>
      <c r="T340" s="20">
        <v>1.5</v>
      </c>
      <c r="U340" s="20">
        <v>1</v>
      </c>
      <c r="V340" s="20">
        <v>1</v>
      </c>
      <c r="W340">
        <v>4</v>
      </c>
      <c r="X340" s="7">
        <v>1</v>
      </c>
      <c r="Y340">
        <v>0.4</v>
      </c>
      <c r="Z340" s="20">
        <v>0</v>
      </c>
      <c r="AA340" s="20"/>
      <c r="AB340" s="20"/>
      <c r="AC340" s="20"/>
      <c r="AD340" s="20">
        <v>0</v>
      </c>
      <c r="AE340" s="20"/>
      <c r="AF340">
        <f t="shared" si="19"/>
        <v>0</v>
      </c>
      <c r="AG340" s="20"/>
      <c r="AH340" s="20"/>
      <c r="AI340" s="20"/>
      <c r="AJ340" s="20"/>
      <c r="AK340" s="20"/>
      <c r="AL340" s="20"/>
      <c r="AM340" s="20"/>
      <c r="AN340" s="8">
        <v>618</v>
      </c>
      <c r="AO340" t="s">
        <v>136</v>
      </c>
      <c r="AP340" s="119"/>
      <c r="AQ340" s="20"/>
    </row>
    <row r="341" spans="1:48">
      <c r="A341">
        <v>335</v>
      </c>
      <c r="B341" t="s">
        <v>1334</v>
      </c>
      <c r="C341" s="211" t="s">
        <v>526</v>
      </c>
      <c r="D341">
        <v>1</v>
      </c>
      <c r="E341">
        <v>0</v>
      </c>
      <c r="G341">
        <v>2</v>
      </c>
      <c r="H341" s="82" t="s">
        <v>1335</v>
      </c>
      <c r="I341" s="20">
        <v>1.5</v>
      </c>
      <c r="J341" s="20">
        <v>2.25</v>
      </c>
      <c r="K341" s="20"/>
      <c r="L341">
        <f t="shared" si="17"/>
        <v>1</v>
      </c>
      <c r="M341">
        <f t="shared" si="18"/>
        <v>1.1</v>
      </c>
      <c r="N341" s="233" t="s">
        <v>1336</v>
      </c>
      <c r="O341" s="20">
        <v>1</v>
      </c>
      <c r="P341">
        <v>5</v>
      </c>
      <c r="Q341" s="20">
        <v>0</v>
      </c>
      <c r="R341" s="20"/>
      <c r="S341" s="20"/>
      <c r="T341" s="20"/>
      <c r="U341" s="20"/>
      <c r="V341" s="20">
        <v>1</v>
      </c>
      <c r="W341">
        <v>0</v>
      </c>
      <c r="X341" s="7">
        <v>11</v>
      </c>
      <c r="Y341">
        <v>0.4</v>
      </c>
      <c r="Z341" s="20">
        <v>0</v>
      </c>
      <c r="AA341" s="20"/>
      <c r="AB341" s="20"/>
      <c r="AC341" s="20"/>
      <c r="AD341" s="20">
        <v>0</v>
      </c>
      <c r="AE341" s="20"/>
      <c r="AF341">
        <f t="shared" si="19"/>
        <v>0</v>
      </c>
      <c r="AG341" s="20"/>
      <c r="AH341" s="20"/>
      <c r="AI341" s="20"/>
      <c r="AJ341" s="20"/>
      <c r="AK341" s="20"/>
      <c r="AL341" s="20"/>
      <c r="AM341" s="20"/>
      <c r="AN341" s="8">
        <v>620</v>
      </c>
      <c r="AO341" t="s">
        <v>136</v>
      </c>
      <c r="AP341" s="119"/>
      <c r="AQ341" s="20"/>
      <c r="AV341">
        <v>1</v>
      </c>
    </row>
    <row r="342" spans="1:55">
      <c r="A342">
        <v>336</v>
      </c>
      <c r="B342" t="s">
        <v>1334</v>
      </c>
      <c r="C342" s="211" t="s">
        <v>1337</v>
      </c>
      <c r="D342">
        <v>1</v>
      </c>
      <c r="E342">
        <v>0</v>
      </c>
      <c r="G342">
        <v>2</v>
      </c>
      <c r="H342" s="82" t="s">
        <v>1338</v>
      </c>
      <c r="I342" s="20">
        <v>1.83333333333333</v>
      </c>
      <c r="J342" s="20">
        <v>2.5</v>
      </c>
      <c r="K342" s="20"/>
      <c r="L342">
        <v>0</v>
      </c>
      <c r="M342">
        <v>1.43333333333333</v>
      </c>
      <c r="N342" s="233" t="s">
        <v>1339</v>
      </c>
      <c r="O342" s="20">
        <v>1</v>
      </c>
      <c r="P342">
        <v>5</v>
      </c>
      <c r="Q342" s="20">
        <v>0</v>
      </c>
      <c r="R342" s="20"/>
      <c r="S342" s="20">
        <v>-2.92</v>
      </c>
      <c r="T342" s="20">
        <v>-1</v>
      </c>
      <c r="U342" s="20">
        <v>1</v>
      </c>
      <c r="V342" s="20">
        <v>1</v>
      </c>
      <c r="W342">
        <v>4</v>
      </c>
      <c r="X342" s="7">
        <v>1</v>
      </c>
      <c r="Y342">
        <v>0.8</v>
      </c>
      <c r="Z342" s="20">
        <v>0</v>
      </c>
      <c r="AA342" s="20"/>
      <c r="AB342" s="20"/>
      <c r="AC342" s="20"/>
      <c r="AD342" s="20">
        <v>0</v>
      </c>
      <c r="AE342" s="20"/>
      <c r="AF342">
        <v>0</v>
      </c>
      <c r="AG342" s="20"/>
      <c r="AH342" s="20"/>
      <c r="AI342" s="20"/>
      <c r="AJ342" s="20"/>
      <c r="AK342" s="20"/>
      <c r="AL342" s="20"/>
      <c r="AM342" s="20"/>
      <c r="AN342" s="8">
        <v>624</v>
      </c>
      <c r="AO342" t="s">
        <v>690</v>
      </c>
      <c r="AP342" s="119">
        <v>623</v>
      </c>
      <c r="AQ342" s="20" t="s">
        <v>136</v>
      </c>
      <c r="BC342" t="s">
        <v>1340</v>
      </c>
    </row>
    <row r="343" spans="1:55">
      <c r="A343">
        <v>337</v>
      </c>
      <c r="B343" t="s">
        <v>1334</v>
      </c>
      <c r="C343" s="211" t="s">
        <v>1341</v>
      </c>
      <c r="D343">
        <v>1</v>
      </c>
      <c r="E343">
        <v>0</v>
      </c>
      <c r="G343">
        <v>2</v>
      </c>
      <c r="H343" s="82" t="s">
        <v>1342</v>
      </c>
      <c r="I343" s="20">
        <v>9.16666666666667</v>
      </c>
      <c r="J343" s="20">
        <v>9.16666666666667</v>
      </c>
      <c r="K343" s="20">
        <v>1</v>
      </c>
      <c r="L343">
        <v>1</v>
      </c>
      <c r="M343">
        <v>8.76666666666667</v>
      </c>
      <c r="N343" s="233" t="s">
        <v>1343</v>
      </c>
      <c r="O343" s="20">
        <v>1</v>
      </c>
      <c r="P343">
        <v>5</v>
      </c>
      <c r="Q343" s="20">
        <v>2</v>
      </c>
      <c r="R343" s="20"/>
      <c r="S343" s="20"/>
      <c r="T343" s="20"/>
      <c r="U343" s="20"/>
      <c r="V343" s="20">
        <v>1</v>
      </c>
      <c r="W343">
        <v>6</v>
      </c>
      <c r="X343" s="7">
        <v>5</v>
      </c>
      <c r="Y343">
        <v>-0.1</v>
      </c>
      <c r="Z343" s="20">
        <v>0</v>
      </c>
      <c r="AA343" s="20"/>
      <c r="AB343" s="20">
        <v>9</v>
      </c>
      <c r="AC343" s="20">
        <v>1</v>
      </c>
      <c r="AD343" s="20">
        <v>1</v>
      </c>
      <c r="AE343" s="20" t="s">
        <v>1344</v>
      </c>
      <c r="AF343">
        <v>0.5</v>
      </c>
      <c r="AG343" s="20"/>
      <c r="AH343" s="20"/>
      <c r="AI343" s="20"/>
      <c r="AJ343" s="20"/>
      <c r="AK343" s="20"/>
      <c r="AL343" s="20"/>
      <c r="AM343" s="20"/>
      <c r="AN343" s="8" t="s">
        <v>1345</v>
      </c>
      <c r="AO343" t="s">
        <v>1346</v>
      </c>
      <c r="AP343" s="119">
        <v>625</v>
      </c>
      <c r="AQ343" s="20" t="s">
        <v>136</v>
      </c>
      <c r="AR343" t="s">
        <v>239</v>
      </c>
      <c r="BC343" t="s">
        <v>1347</v>
      </c>
    </row>
    <row r="344" s="28" customFormat="1" spans="1:55">
      <c r="A344" s="28">
        <v>338</v>
      </c>
      <c r="B344" s="28" t="s">
        <v>1334</v>
      </c>
      <c r="C344" s="225" t="s">
        <v>1348</v>
      </c>
      <c r="D344" s="28">
        <v>1</v>
      </c>
      <c r="E344" s="28">
        <v>0</v>
      </c>
      <c r="G344" s="28">
        <v>2</v>
      </c>
      <c r="H344" s="202" t="s">
        <v>1349</v>
      </c>
      <c r="I344" s="234">
        <v>6</v>
      </c>
      <c r="J344" s="234">
        <v>6</v>
      </c>
      <c r="K344" s="234"/>
      <c r="L344" s="28">
        <v>1</v>
      </c>
      <c r="M344" s="28">
        <v>5.6</v>
      </c>
      <c r="N344" s="235" t="s">
        <v>1350</v>
      </c>
      <c r="O344" s="234">
        <v>1</v>
      </c>
      <c r="P344" s="28">
        <v>5</v>
      </c>
      <c r="Q344" s="234">
        <v>0</v>
      </c>
      <c r="R344" s="234"/>
      <c r="S344" s="234"/>
      <c r="T344" s="234"/>
      <c r="U344" s="234"/>
      <c r="V344" s="234">
        <v>1</v>
      </c>
      <c r="W344" s="28">
        <v>22</v>
      </c>
      <c r="X344" s="218">
        <v>1</v>
      </c>
      <c r="Y344" s="28">
        <v>0.4</v>
      </c>
      <c r="Z344" s="234">
        <v>0</v>
      </c>
      <c r="AA344" s="234"/>
      <c r="AB344" s="234"/>
      <c r="AC344" s="234"/>
      <c r="AD344" s="234">
        <v>1</v>
      </c>
      <c r="AE344" s="234" t="s">
        <v>1351</v>
      </c>
      <c r="AF344" s="28">
        <v>0.5</v>
      </c>
      <c r="AG344" s="234"/>
      <c r="AH344" s="234"/>
      <c r="AI344" s="234"/>
      <c r="AJ344" s="234"/>
      <c r="AK344" s="234"/>
      <c r="AL344" s="234"/>
      <c r="AM344" s="234"/>
      <c r="AN344" s="242" t="s">
        <v>1352</v>
      </c>
      <c r="AO344" s="243" t="s">
        <v>1353</v>
      </c>
      <c r="AP344" s="244">
        <v>629</v>
      </c>
      <c r="AQ344" s="234" t="s">
        <v>136</v>
      </c>
      <c r="AR344" s="28" t="s">
        <v>239</v>
      </c>
      <c r="BC344" s="28" t="s">
        <v>1354</v>
      </c>
    </row>
    <row r="345" spans="1:55">
      <c r="A345">
        <v>339</v>
      </c>
      <c r="B345" t="s">
        <v>1334</v>
      </c>
      <c r="C345" s="211" t="s">
        <v>1355</v>
      </c>
      <c r="D345">
        <v>1</v>
      </c>
      <c r="E345">
        <v>0</v>
      </c>
      <c r="G345">
        <v>2</v>
      </c>
      <c r="H345" s="82" t="s">
        <v>1356</v>
      </c>
      <c r="I345" s="20">
        <v>3.5</v>
      </c>
      <c r="J345" s="20">
        <v>3.5</v>
      </c>
      <c r="K345" s="20"/>
      <c r="L345">
        <f t="shared" si="17"/>
        <v>1</v>
      </c>
      <c r="M345">
        <f t="shared" si="18"/>
        <v>3.1</v>
      </c>
      <c r="N345" s="233" t="s">
        <v>1357</v>
      </c>
      <c r="O345" s="20">
        <v>1</v>
      </c>
      <c r="P345">
        <v>5</v>
      </c>
      <c r="Q345" s="20">
        <v>0</v>
      </c>
      <c r="R345" s="20"/>
      <c r="S345" s="20">
        <v>-0.5</v>
      </c>
      <c r="T345" s="20"/>
      <c r="U345" s="20">
        <v>1.2</v>
      </c>
      <c r="V345" s="20">
        <v>1</v>
      </c>
      <c r="W345">
        <v>0</v>
      </c>
      <c r="X345" s="7">
        <v>11</v>
      </c>
      <c r="Y345">
        <v>0.4</v>
      </c>
      <c r="Z345" s="20">
        <v>0</v>
      </c>
      <c r="AA345" s="20"/>
      <c r="AB345" s="20"/>
      <c r="AC345" s="20"/>
      <c r="AD345" s="20">
        <v>0</v>
      </c>
      <c r="AE345" s="20"/>
      <c r="AF345">
        <f t="shared" si="19"/>
        <v>0</v>
      </c>
      <c r="AG345" s="20"/>
      <c r="AH345" s="20"/>
      <c r="AI345" s="20"/>
      <c r="AJ345" s="20"/>
      <c r="AK345" s="20"/>
      <c r="AL345" s="20"/>
      <c r="AM345" s="20"/>
      <c r="AN345" s="8">
        <v>634</v>
      </c>
      <c r="AO345" t="s">
        <v>136</v>
      </c>
      <c r="AP345" s="119"/>
      <c r="AQ345" s="20"/>
      <c r="BC345" t="s">
        <v>1358</v>
      </c>
    </row>
    <row r="346" spans="1:55">
      <c r="A346">
        <v>340</v>
      </c>
      <c r="B346" t="s">
        <v>1334</v>
      </c>
      <c r="C346" s="211" t="s">
        <v>1359</v>
      </c>
      <c r="D346">
        <v>1</v>
      </c>
      <c r="E346">
        <v>0</v>
      </c>
      <c r="G346">
        <v>2</v>
      </c>
      <c r="H346" s="82" t="s">
        <v>1360</v>
      </c>
      <c r="I346" s="20">
        <v>3</v>
      </c>
      <c r="J346" s="20">
        <v>3</v>
      </c>
      <c r="L346">
        <v>0</v>
      </c>
      <c r="M346">
        <v>2.6</v>
      </c>
      <c r="N346" s="233" t="s">
        <v>1361</v>
      </c>
      <c r="O346" s="20">
        <v>1</v>
      </c>
      <c r="P346">
        <v>5</v>
      </c>
      <c r="Q346" s="20">
        <v>0</v>
      </c>
      <c r="R346" s="20"/>
      <c r="S346" s="20"/>
      <c r="T346" s="20"/>
      <c r="U346" s="20"/>
      <c r="V346" s="20">
        <v>1</v>
      </c>
      <c r="W346">
        <v>0</v>
      </c>
      <c r="X346" s="7">
        <v>1</v>
      </c>
      <c r="Y346">
        <v>0.4</v>
      </c>
      <c r="Z346" s="20">
        <v>0</v>
      </c>
      <c r="AA346" s="20"/>
      <c r="AB346" s="20"/>
      <c r="AC346" s="20"/>
      <c r="AD346" s="20">
        <v>0</v>
      </c>
      <c r="AE346" s="20"/>
      <c r="AF346">
        <v>0</v>
      </c>
      <c r="AG346" s="20"/>
      <c r="AH346" s="20"/>
      <c r="AI346" s="20"/>
      <c r="AJ346" s="20"/>
      <c r="AK346" s="20"/>
      <c r="AL346" s="20"/>
      <c r="AM346" s="20"/>
      <c r="AN346" s="8">
        <v>636</v>
      </c>
      <c r="AO346" t="s">
        <v>136</v>
      </c>
      <c r="AP346" s="119"/>
      <c r="AQ346" s="20"/>
      <c r="BC346" t="s">
        <v>1362</v>
      </c>
    </row>
    <row r="347" spans="1:45">
      <c r="A347">
        <v>341</v>
      </c>
      <c r="B347" t="s">
        <v>1334</v>
      </c>
      <c r="C347" s="211" t="s">
        <v>1363</v>
      </c>
      <c r="D347">
        <v>1</v>
      </c>
      <c r="E347">
        <v>0</v>
      </c>
      <c r="G347">
        <v>2</v>
      </c>
      <c r="H347" s="82" t="s">
        <v>1364</v>
      </c>
      <c r="I347" s="20">
        <v>12.5</v>
      </c>
      <c r="J347" s="20">
        <v>12.5</v>
      </c>
      <c r="K347" s="20">
        <v>1</v>
      </c>
      <c r="L347">
        <v>1</v>
      </c>
      <c r="M347">
        <v>12.5</v>
      </c>
      <c r="N347" s="233" t="s">
        <v>1365</v>
      </c>
      <c r="O347" s="20">
        <v>1</v>
      </c>
      <c r="P347">
        <v>19</v>
      </c>
      <c r="Q347" s="20">
        <v>2</v>
      </c>
      <c r="R347" s="20"/>
      <c r="S347" s="20">
        <v>-0.8</v>
      </c>
      <c r="T347" s="20">
        <v>3</v>
      </c>
      <c r="U347" s="20">
        <v>1</v>
      </c>
      <c r="V347" s="20">
        <v>1</v>
      </c>
      <c r="W347">
        <v>6</v>
      </c>
      <c r="X347" s="7">
        <v>5</v>
      </c>
      <c r="Y347">
        <v>-0.1</v>
      </c>
      <c r="Z347" s="20">
        <v>0</v>
      </c>
      <c r="AA347" s="20"/>
      <c r="AB347" s="20">
        <v>12.3</v>
      </c>
      <c r="AC347" s="20">
        <v>1</v>
      </c>
      <c r="AD347" s="20">
        <v>1</v>
      </c>
      <c r="AE347" s="20" t="s">
        <v>1366</v>
      </c>
      <c r="AF347">
        <f t="shared" si="19"/>
        <v>0.5</v>
      </c>
      <c r="AG347" s="20"/>
      <c r="AH347" s="20"/>
      <c r="AI347" s="20"/>
      <c r="AJ347" s="20"/>
      <c r="AK347" s="20"/>
      <c r="AN347" s="8" t="s">
        <v>1367</v>
      </c>
      <c r="AO347" t="s">
        <v>1368</v>
      </c>
      <c r="AP347" s="119">
        <v>642</v>
      </c>
      <c r="AQ347" s="20" t="s">
        <v>136</v>
      </c>
      <c r="AR347" s="749" t="s">
        <v>1369</v>
      </c>
      <c r="AS347" t="s">
        <v>1370</v>
      </c>
    </row>
    <row r="348" spans="1:55">
      <c r="A348">
        <v>342</v>
      </c>
      <c r="B348" t="s">
        <v>1334</v>
      </c>
      <c r="C348" s="211" t="s">
        <v>1371</v>
      </c>
      <c r="D348">
        <v>1</v>
      </c>
      <c r="E348">
        <v>0</v>
      </c>
      <c r="G348">
        <v>2</v>
      </c>
      <c r="H348" s="82" t="s">
        <v>1372</v>
      </c>
      <c r="I348" s="20">
        <v>3.16666666666667</v>
      </c>
      <c r="J348" s="20">
        <v>3.16666666666667</v>
      </c>
      <c r="K348" s="20"/>
      <c r="L348">
        <f t="shared" si="17"/>
        <v>1</v>
      </c>
      <c r="M348">
        <f t="shared" ref="M348:M366" si="20">I348-0.4</f>
        <v>2.76666666666667</v>
      </c>
      <c r="N348" s="233" t="s">
        <v>1373</v>
      </c>
      <c r="O348" s="20">
        <v>1</v>
      </c>
      <c r="P348">
        <v>5</v>
      </c>
      <c r="Q348" s="20">
        <v>0</v>
      </c>
      <c r="R348" s="20"/>
      <c r="S348" s="20">
        <v>-1.2</v>
      </c>
      <c r="T348" s="20">
        <v>-0.5</v>
      </c>
      <c r="U348" s="20">
        <v>0.5</v>
      </c>
      <c r="V348" s="20">
        <v>1</v>
      </c>
      <c r="W348">
        <v>4</v>
      </c>
      <c r="X348" s="7">
        <v>11</v>
      </c>
      <c r="Y348">
        <v>-0.1</v>
      </c>
      <c r="Z348" s="20">
        <v>0</v>
      </c>
      <c r="AA348" s="20"/>
      <c r="AB348" s="20"/>
      <c r="AC348" s="20"/>
      <c r="AD348" s="20">
        <v>0</v>
      </c>
      <c r="AF348">
        <f t="shared" si="19"/>
        <v>0</v>
      </c>
      <c r="AG348" s="20"/>
      <c r="AH348" s="20"/>
      <c r="AI348" s="20"/>
      <c r="AJ348" s="20"/>
      <c r="AK348" s="20"/>
      <c r="AL348" s="20"/>
      <c r="AM348" s="20"/>
      <c r="AN348" s="8" t="s">
        <v>1374</v>
      </c>
      <c r="AO348" t="s">
        <v>1375</v>
      </c>
      <c r="AP348" s="119"/>
      <c r="AQ348" s="20"/>
      <c r="BC348" t="s">
        <v>1376</v>
      </c>
    </row>
    <row r="349" spans="1:48">
      <c r="A349">
        <v>343</v>
      </c>
      <c r="B349" t="s">
        <v>1377</v>
      </c>
      <c r="C349" s="211" t="s">
        <v>1378</v>
      </c>
      <c r="D349">
        <v>3</v>
      </c>
      <c r="E349">
        <v>1</v>
      </c>
      <c r="G349">
        <v>2</v>
      </c>
      <c r="H349" s="82" t="s">
        <v>1379</v>
      </c>
      <c r="I349" s="20">
        <v>1.66666666666667</v>
      </c>
      <c r="J349" s="20">
        <v>1.66666666666667</v>
      </c>
      <c r="K349" s="20"/>
      <c r="L349">
        <f t="shared" si="17"/>
        <v>0</v>
      </c>
      <c r="M349">
        <f t="shared" si="20"/>
        <v>1.26666666666667</v>
      </c>
      <c r="N349" s="20" t="s">
        <v>1380</v>
      </c>
      <c r="O349" s="20">
        <v>0</v>
      </c>
      <c r="P349">
        <v>0</v>
      </c>
      <c r="Q349" s="20">
        <v>0</v>
      </c>
      <c r="R349" s="20"/>
      <c r="S349" s="20"/>
      <c r="T349" s="20"/>
      <c r="U349" s="20"/>
      <c r="V349" s="20">
        <v>101</v>
      </c>
      <c r="W349">
        <v>0</v>
      </c>
      <c r="X349" s="7">
        <v>0</v>
      </c>
      <c r="Y349">
        <v>-0.1</v>
      </c>
      <c r="Z349" s="20">
        <v>0</v>
      </c>
      <c r="AA349" s="20"/>
      <c r="AB349" s="20"/>
      <c r="AC349" s="20"/>
      <c r="AD349" s="20">
        <v>0</v>
      </c>
      <c r="AE349" s="20"/>
      <c r="AF349">
        <f t="shared" si="19"/>
        <v>0</v>
      </c>
      <c r="AG349" s="20"/>
      <c r="AH349" s="20"/>
      <c r="AI349" s="20"/>
      <c r="AJ349" s="20"/>
      <c r="AK349" s="20"/>
      <c r="AL349" s="20"/>
      <c r="AM349" s="20"/>
      <c r="AN349" s="8">
        <v>656</v>
      </c>
      <c r="AO349" t="s">
        <v>136</v>
      </c>
      <c r="AP349" s="119"/>
      <c r="AQ349" s="20"/>
      <c r="AV349">
        <v>0</v>
      </c>
    </row>
    <row r="350" spans="1:43">
      <c r="A350">
        <v>344</v>
      </c>
      <c r="B350" t="s">
        <v>1377</v>
      </c>
      <c r="C350" s="211" t="s">
        <v>1381</v>
      </c>
      <c r="D350">
        <v>1</v>
      </c>
      <c r="E350">
        <v>0</v>
      </c>
      <c r="G350">
        <v>2</v>
      </c>
      <c r="H350" s="82" t="s">
        <v>1382</v>
      </c>
      <c r="I350" s="20">
        <v>1.66666666666667</v>
      </c>
      <c r="J350" s="20">
        <v>1.66666666666667</v>
      </c>
      <c r="K350" s="20"/>
      <c r="L350">
        <f t="shared" si="17"/>
        <v>0</v>
      </c>
      <c r="M350">
        <f t="shared" si="20"/>
        <v>1.26666666666667</v>
      </c>
      <c r="N350" s="20" t="s">
        <v>1383</v>
      </c>
      <c r="O350" s="20">
        <v>0</v>
      </c>
      <c r="P350">
        <v>0</v>
      </c>
      <c r="Q350" s="20">
        <v>0</v>
      </c>
      <c r="R350" s="20"/>
      <c r="S350" s="20"/>
      <c r="T350" s="20"/>
      <c r="U350" s="20"/>
      <c r="V350" s="20">
        <v>1</v>
      </c>
      <c r="W350">
        <v>0</v>
      </c>
      <c r="X350" s="7">
        <v>3</v>
      </c>
      <c r="Y350">
        <v>0.4</v>
      </c>
      <c r="Z350" s="20">
        <v>0</v>
      </c>
      <c r="AA350" s="20"/>
      <c r="AB350" s="20"/>
      <c r="AC350" s="20"/>
      <c r="AD350" s="20">
        <v>0</v>
      </c>
      <c r="AE350" s="20"/>
      <c r="AF350">
        <f t="shared" si="19"/>
        <v>0</v>
      </c>
      <c r="AG350" s="20"/>
      <c r="AH350" s="20"/>
      <c r="AI350" s="20"/>
      <c r="AJ350" s="20"/>
      <c r="AK350" s="20"/>
      <c r="AL350" s="20"/>
      <c r="AM350" s="20"/>
      <c r="AP350" s="119"/>
      <c r="AQ350" s="20"/>
    </row>
    <row r="351" spans="1:43">
      <c r="A351" s="28">
        <v>345</v>
      </c>
      <c r="B351" t="s">
        <v>1377</v>
      </c>
      <c r="C351" s="211" t="s">
        <v>1384</v>
      </c>
      <c r="D351">
        <v>3</v>
      </c>
      <c r="E351">
        <v>1</v>
      </c>
      <c r="G351">
        <v>2</v>
      </c>
      <c r="H351" s="82" t="s">
        <v>1385</v>
      </c>
      <c r="I351" s="20">
        <v>1.66666666666667</v>
      </c>
      <c r="J351" s="20">
        <v>1.66666666666667</v>
      </c>
      <c r="K351" s="20"/>
      <c r="L351">
        <f t="shared" si="17"/>
        <v>0</v>
      </c>
      <c r="M351">
        <f t="shared" si="20"/>
        <v>1.26666666666667</v>
      </c>
      <c r="N351" s="20" t="s">
        <v>1386</v>
      </c>
      <c r="O351" s="20">
        <v>0</v>
      </c>
      <c r="P351">
        <v>0</v>
      </c>
      <c r="Q351" s="20">
        <v>0</v>
      </c>
      <c r="R351" s="20"/>
      <c r="S351" s="20">
        <v>0.5</v>
      </c>
      <c r="T351" s="20"/>
      <c r="U351" s="20">
        <v>0.8</v>
      </c>
      <c r="V351" s="20">
        <v>101</v>
      </c>
      <c r="W351">
        <v>6</v>
      </c>
      <c r="X351" s="7">
        <v>0</v>
      </c>
      <c r="Y351">
        <v>-0.1</v>
      </c>
      <c r="Z351" s="20">
        <v>0</v>
      </c>
      <c r="AA351" s="20"/>
      <c r="AB351" s="20"/>
      <c r="AC351" s="20"/>
      <c r="AD351" s="20">
        <v>0</v>
      </c>
      <c r="AE351" s="20"/>
      <c r="AF351">
        <f t="shared" si="19"/>
        <v>0</v>
      </c>
      <c r="AG351" s="20"/>
      <c r="AH351" s="20"/>
      <c r="AI351" s="20"/>
      <c r="AJ351" s="20"/>
      <c r="AK351" s="20"/>
      <c r="AL351" s="20"/>
      <c r="AM351" s="20"/>
      <c r="AP351" s="119"/>
      <c r="AQ351" s="20"/>
    </row>
    <row r="352" spans="1:43">
      <c r="A352">
        <v>346</v>
      </c>
      <c r="B352" t="s">
        <v>1377</v>
      </c>
      <c r="C352" s="211" t="s">
        <v>1387</v>
      </c>
      <c r="D352">
        <v>3</v>
      </c>
      <c r="E352">
        <v>1</v>
      </c>
      <c r="G352">
        <v>2</v>
      </c>
      <c r="H352" s="82" t="s">
        <v>1388</v>
      </c>
      <c r="I352" s="20">
        <v>3.83333333333333</v>
      </c>
      <c r="J352" s="20">
        <v>3.83333333333333</v>
      </c>
      <c r="K352" s="20"/>
      <c r="L352">
        <f t="shared" si="17"/>
        <v>0</v>
      </c>
      <c r="M352">
        <f t="shared" si="20"/>
        <v>3.43333333333333</v>
      </c>
      <c r="N352" s="20" t="s">
        <v>1389</v>
      </c>
      <c r="O352" s="20">
        <v>0</v>
      </c>
      <c r="P352">
        <v>0</v>
      </c>
      <c r="Q352" s="20">
        <v>0</v>
      </c>
      <c r="R352" s="20"/>
      <c r="S352" s="20">
        <v>0.5</v>
      </c>
      <c r="T352" s="20"/>
      <c r="U352" s="20">
        <v>0.8</v>
      </c>
      <c r="V352" s="20">
        <v>101</v>
      </c>
      <c r="W352">
        <v>6</v>
      </c>
      <c r="X352" s="7">
        <v>0</v>
      </c>
      <c r="Y352">
        <v>-0.1</v>
      </c>
      <c r="Z352" s="20">
        <v>0</v>
      </c>
      <c r="AA352" s="20"/>
      <c r="AB352" s="20"/>
      <c r="AC352" s="20"/>
      <c r="AD352" s="20">
        <v>0</v>
      </c>
      <c r="AE352" s="20"/>
      <c r="AF352">
        <f t="shared" si="19"/>
        <v>0</v>
      </c>
      <c r="AG352" s="20"/>
      <c r="AH352" s="20"/>
      <c r="AI352" s="20"/>
      <c r="AJ352" s="20"/>
      <c r="AK352" s="20"/>
      <c r="AL352" s="20"/>
      <c r="AM352" s="20"/>
      <c r="AN352" s="8">
        <v>657</v>
      </c>
      <c r="AO352" t="s">
        <v>1390</v>
      </c>
      <c r="AP352" s="119"/>
      <c r="AQ352" s="20"/>
    </row>
    <row r="353" spans="1:43">
      <c r="A353" s="28">
        <v>347</v>
      </c>
      <c r="B353" t="s">
        <v>1377</v>
      </c>
      <c r="C353" s="211" t="s">
        <v>1391</v>
      </c>
      <c r="D353">
        <v>3</v>
      </c>
      <c r="E353">
        <v>1</v>
      </c>
      <c r="G353">
        <v>2</v>
      </c>
      <c r="H353" s="82" t="s">
        <v>1392</v>
      </c>
      <c r="I353" s="20">
        <v>7.33333333333333</v>
      </c>
      <c r="J353" s="20">
        <v>7.33333333333333</v>
      </c>
      <c r="K353" s="20"/>
      <c r="L353">
        <f t="shared" si="17"/>
        <v>0</v>
      </c>
      <c r="M353">
        <f t="shared" si="20"/>
        <v>6.93333333333333</v>
      </c>
      <c r="N353" s="20" t="s">
        <v>1393</v>
      </c>
      <c r="O353" s="20">
        <v>1</v>
      </c>
      <c r="P353">
        <v>-18</v>
      </c>
      <c r="Q353" s="20">
        <v>2</v>
      </c>
      <c r="R353" s="20"/>
      <c r="S353" s="20"/>
      <c r="T353" s="20"/>
      <c r="U353" s="20"/>
      <c r="V353" s="20">
        <v>1000</v>
      </c>
      <c r="W353">
        <v>21</v>
      </c>
      <c r="X353" s="7">
        <v>0</v>
      </c>
      <c r="Y353">
        <v>-0.1</v>
      </c>
      <c r="Z353" s="20">
        <v>0</v>
      </c>
      <c r="AA353" s="20"/>
      <c r="AB353" s="20"/>
      <c r="AC353" s="20"/>
      <c r="AD353" s="20">
        <v>1</v>
      </c>
      <c r="AE353" s="20" t="s">
        <v>1394</v>
      </c>
      <c r="AF353">
        <f t="shared" si="19"/>
        <v>0.5</v>
      </c>
      <c r="AG353" s="20"/>
      <c r="AH353" s="20"/>
      <c r="AI353" s="20"/>
      <c r="AJ353" s="20"/>
      <c r="AK353" s="20"/>
      <c r="AL353" s="20"/>
      <c r="AM353" s="20"/>
      <c r="AN353" s="8">
        <v>658</v>
      </c>
      <c r="AO353" t="s">
        <v>1390</v>
      </c>
      <c r="AP353" s="119"/>
      <c r="AQ353" s="20"/>
    </row>
    <row r="354" spans="1:43">
      <c r="A354" s="28">
        <v>348</v>
      </c>
      <c r="B354" t="s">
        <v>1377</v>
      </c>
      <c r="C354" s="211" t="s">
        <v>1395</v>
      </c>
      <c r="D354">
        <v>3</v>
      </c>
      <c r="E354">
        <v>1</v>
      </c>
      <c r="G354">
        <v>2</v>
      </c>
      <c r="H354" s="82" t="s">
        <v>1396</v>
      </c>
      <c r="I354" s="20">
        <v>6.33333333333333</v>
      </c>
      <c r="J354" s="20">
        <v>6.33333333333333</v>
      </c>
      <c r="K354" s="20"/>
      <c r="L354">
        <v>0</v>
      </c>
      <c r="M354">
        <f t="shared" si="20"/>
        <v>5.93333333333333</v>
      </c>
      <c r="N354" s="20" t="s">
        <v>1397</v>
      </c>
      <c r="O354" s="20">
        <v>1</v>
      </c>
      <c r="P354">
        <v>-3</v>
      </c>
      <c r="Q354" s="20">
        <v>2</v>
      </c>
      <c r="R354" s="20"/>
      <c r="S354" s="20"/>
      <c r="T354" s="20"/>
      <c r="U354" s="20"/>
      <c r="V354" s="20">
        <v>1000</v>
      </c>
      <c r="W354">
        <v>21</v>
      </c>
      <c r="X354" s="7">
        <v>0</v>
      </c>
      <c r="Y354">
        <v>-0.1</v>
      </c>
      <c r="Z354" s="20">
        <v>0</v>
      </c>
      <c r="AA354" s="20"/>
      <c r="AB354" s="20"/>
      <c r="AC354" s="20"/>
      <c r="AD354" s="20">
        <v>1</v>
      </c>
      <c r="AE354" s="20" t="s">
        <v>1398</v>
      </c>
      <c r="AF354">
        <f t="shared" si="19"/>
        <v>0.5</v>
      </c>
      <c r="AG354" s="20"/>
      <c r="AH354" s="20"/>
      <c r="AI354" s="20"/>
      <c r="AJ354" s="20"/>
      <c r="AK354" s="20"/>
      <c r="AL354" s="20"/>
      <c r="AM354" s="20"/>
      <c r="AN354" s="8" t="s">
        <v>1399</v>
      </c>
      <c r="AO354" t="s">
        <v>1400</v>
      </c>
      <c r="AP354" s="119"/>
      <c r="AQ354" s="20"/>
    </row>
    <row r="355" spans="1:43">
      <c r="A355">
        <v>349</v>
      </c>
      <c r="B355" t="s">
        <v>1377</v>
      </c>
      <c r="C355" s="211" t="s">
        <v>1401</v>
      </c>
      <c r="D355">
        <v>1</v>
      </c>
      <c r="E355">
        <v>0</v>
      </c>
      <c r="G355">
        <v>2</v>
      </c>
      <c r="H355" s="82" t="s">
        <v>1402</v>
      </c>
      <c r="I355" s="20">
        <v>4.16666666666667</v>
      </c>
      <c r="J355" s="20">
        <v>4.16666666666667</v>
      </c>
      <c r="K355" s="20"/>
      <c r="L355">
        <v>1</v>
      </c>
      <c r="M355">
        <f t="shared" si="20"/>
        <v>3.76666666666667</v>
      </c>
      <c r="N355" s="20" t="s">
        <v>1403</v>
      </c>
      <c r="O355" s="20">
        <v>0</v>
      </c>
      <c r="P355">
        <v>0</v>
      </c>
      <c r="Q355" s="20">
        <v>0</v>
      </c>
      <c r="R355" s="20"/>
      <c r="S355" s="20"/>
      <c r="T355" s="20"/>
      <c r="U355" s="20"/>
      <c r="V355" s="20">
        <v>1</v>
      </c>
      <c r="W355">
        <v>0</v>
      </c>
      <c r="X355" s="7">
        <v>8</v>
      </c>
      <c r="Y355">
        <v>0.4</v>
      </c>
      <c r="Z355" s="20">
        <v>0</v>
      </c>
      <c r="AA355" s="20"/>
      <c r="AB355" s="20"/>
      <c r="AC355" s="20"/>
      <c r="AD355" s="20">
        <v>0</v>
      </c>
      <c r="AE355" s="20"/>
      <c r="AF355">
        <f t="shared" si="19"/>
        <v>0</v>
      </c>
      <c r="AG355" s="20"/>
      <c r="AH355" s="20"/>
      <c r="AI355" s="20"/>
      <c r="AJ355" s="20"/>
      <c r="AK355" s="20"/>
      <c r="AL355" s="20"/>
      <c r="AM355" s="20"/>
      <c r="AP355" s="119">
        <v>908</v>
      </c>
      <c r="AQ355" t="s">
        <v>136</v>
      </c>
    </row>
    <row r="356" spans="1:43">
      <c r="A356">
        <v>350</v>
      </c>
      <c r="B356" t="s">
        <v>1377</v>
      </c>
      <c r="C356" s="211" t="s">
        <v>1404</v>
      </c>
      <c r="D356">
        <v>3</v>
      </c>
      <c r="E356">
        <v>1</v>
      </c>
      <c r="G356">
        <v>2</v>
      </c>
      <c r="H356" s="82" t="s">
        <v>1405</v>
      </c>
      <c r="I356" s="20">
        <v>7.5</v>
      </c>
      <c r="J356" s="20">
        <v>7.5</v>
      </c>
      <c r="K356" s="20"/>
      <c r="L356">
        <f t="shared" si="17"/>
        <v>0</v>
      </c>
      <c r="M356">
        <f t="shared" si="20"/>
        <v>7.1</v>
      </c>
      <c r="N356" s="20" t="s">
        <v>1406</v>
      </c>
      <c r="O356" s="20">
        <v>0</v>
      </c>
      <c r="P356">
        <v>0</v>
      </c>
      <c r="Q356" s="20">
        <v>0</v>
      </c>
      <c r="R356" s="20"/>
      <c r="S356" s="20"/>
      <c r="T356" s="20"/>
      <c r="U356" s="20"/>
      <c r="V356" s="20">
        <v>1000</v>
      </c>
      <c r="W356">
        <v>28</v>
      </c>
      <c r="X356" s="7">
        <v>0</v>
      </c>
      <c r="Y356">
        <v>-0.1</v>
      </c>
      <c r="Z356" s="20">
        <v>0</v>
      </c>
      <c r="AA356" s="20"/>
      <c r="AB356" s="20">
        <v>7.3</v>
      </c>
      <c r="AC356" s="20">
        <v>2</v>
      </c>
      <c r="AD356" s="20">
        <v>1</v>
      </c>
      <c r="AE356" s="20" t="s">
        <v>1407</v>
      </c>
      <c r="AF356">
        <f t="shared" si="19"/>
        <v>0.5</v>
      </c>
      <c r="AG356" s="20"/>
      <c r="AH356" s="20"/>
      <c r="AI356" s="20"/>
      <c r="AJ356" s="20"/>
      <c r="AK356" s="20"/>
      <c r="AL356" s="20"/>
      <c r="AM356" s="20"/>
      <c r="AN356" s="8">
        <v>660</v>
      </c>
      <c r="AO356" t="s">
        <v>136</v>
      </c>
      <c r="AP356" s="119"/>
      <c r="AQ356" s="20"/>
    </row>
    <row r="357" spans="1:41">
      <c r="A357">
        <v>351</v>
      </c>
      <c r="B357" t="s">
        <v>1023</v>
      </c>
      <c r="C357" s="211" t="s">
        <v>1408</v>
      </c>
      <c r="D357">
        <v>2</v>
      </c>
      <c r="E357">
        <v>1</v>
      </c>
      <c r="G357">
        <v>2</v>
      </c>
      <c r="H357" s="168" t="s">
        <v>1409</v>
      </c>
      <c r="I357">
        <f>55/30</f>
        <v>1.83333333333333</v>
      </c>
      <c r="J357">
        <f>55/30</f>
        <v>1.83333333333333</v>
      </c>
      <c r="L357">
        <f t="shared" si="17"/>
        <v>0</v>
      </c>
      <c r="M357">
        <f t="shared" si="20"/>
        <v>1.43333333333333</v>
      </c>
      <c r="N357" t="s">
        <v>1410</v>
      </c>
      <c r="O357">
        <v>5</v>
      </c>
      <c r="P357">
        <v>0</v>
      </c>
      <c r="Q357">
        <v>0</v>
      </c>
      <c r="S357">
        <v>1</v>
      </c>
      <c r="U357">
        <v>0.7</v>
      </c>
      <c r="V357">
        <v>1000</v>
      </c>
      <c r="W357">
        <v>0</v>
      </c>
      <c r="X357" s="7">
        <v>0</v>
      </c>
      <c r="Y357">
        <v>-0.1</v>
      </c>
      <c r="Z357">
        <v>0</v>
      </c>
      <c r="AD357">
        <v>0</v>
      </c>
      <c r="AF357">
        <f t="shared" si="19"/>
        <v>0</v>
      </c>
      <c r="AN357" s="8">
        <v>686</v>
      </c>
      <c r="AO357" t="s">
        <v>136</v>
      </c>
    </row>
    <row r="358" s="28" customFormat="1" spans="1:44">
      <c r="A358" s="28">
        <v>352</v>
      </c>
      <c r="B358" s="28" t="s">
        <v>621</v>
      </c>
      <c r="C358" s="215" t="s">
        <v>1411</v>
      </c>
      <c r="D358" s="28">
        <v>1</v>
      </c>
      <c r="E358" s="28">
        <v>0</v>
      </c>
      <c r="G358" s="28">
        <v>2</v>
      </c>
      <c r="H358" s="226" t="s">
        <v>1412</v>
      </c>
      <c r="I358" s="236">
        <v>10.2</v>
      </c>
      <c r="J358" s="236">
        <v>10.2</v>
      </c>
      <c r="K358" s="28">
        <v>1</v>
      </c>
      <c r="L358" s="28">
        <v>1</v>
      </c>
      <c r="M358" s="28">
        <v>9.8</v>
      </c>
      <c r="N358" s="66" t="s">
        <v>1413</v>
      </c>
      <c r="O358" s="191">
        <v>1</v>
      </c>
      <c r="P358" s="28">
        <v>12</v>
      </c>
      <c r="Q358" s="191">
        <v>0</v>
      </c>
      <c r="R358" s="191"/>
      <c r="S358" s="28">
        <v>-10</v>
      </c>
      <c r="T358" s="28">
        <v>1</v>
      </c>
      <c r="U358" s="28">
        <v>1.5</v>
      </c>
      <c r="V358" s="191">
        <v>1</v>
      </c>
      <c r="W358" s="28">
        <v>6</v>
      </c>
      <c r="X358" s="218">
        <v>5</v>
      </c>
      <c r="Y358" s="28">
        <v>-0.1</v>
      </c>
      <c r="Z358" s="191">
        <v>0</v>
      </c>
      <c r="AA358" s="191"/>
      <c r="AB358" s="240">
        <v>10</v>
      </c>
      <c r="AC358" s="191">
        <v>1</v>
      </c>
      <c r="AD358" s="191">
        <v>1</v>
      </c>
      <c r="AE358" s="241" t="s">
        <v>1414</v>
      </c>
      <c r="AF358" s="28">
        <v>0.5</v>
      </c>
      <c r="AH358" s="28">
        <v>0</v>
      </c>
      <c r="AN358" s="221"/>
      <c r="AP358" s="221">
        <v>730</v>
      </c>
      <c r="AQ358" s="28" t="s">
        <v>136</v>
      </c>
      <c r="AR358" s="245" t="s">
        <v>239</v>
      </c>
    </row>
    <row r="359" spans="1:48">
      <c r="A359">
        <v>353</v>
      </c>
      <c r="B359" t="s">
        <v>1415</v>
      </c>
      <c r="C359" t="s">
        <v>526</v>
      </c>
      <c r="D359">
        <v>1</v>
      </c>
      <c r="E359">
        <v>0</v>
      </c>
      <c r="G359">
        <v>2</v>
      </c>
      <c r="H359" s="5" t="s">
        <v>1416</v>
      </c>
      <c r="I359">
        <v>3.1</v>
      </c>
      <c r="J359">
        <v>3.1</v>
      </c>
      <c r="L359">
        <f t="shared" si="17"/>
        <v>0</v>
      </c>
      <c r="M359">
        <f t="shared" si="20"/>
        <v>2.7</v>
      </c>
      <c r="N359" s="66" t="s">
        <v>1417</v>
      </c>
      <c r="O359" s="108">
        <v>2</v>
      </c>
      <c r="P359">
        <v>0</v>
      </c>
      <c r="Q359" s="108">
        <v>0</v>
      </c>
      <c r="R359" s="108"/>
      <c r="V359" s="108">
        <v>2</v>
      </c>
      <c r="W359">
        <v>0</v>
      </c>
      <c r="X359" s="7">
        <v>3</v>
      </c>
      <c r="Y359">
        <v>0.4</v>
      </c>
      <c r="Z359" s="108">
        <v>0</v>
      </c>
      <c r="AA359" s="108"/>
      <c r="AB359" s="108"/>
      <c r="AC359" s="108"/>
      <c r="AD359" s="108"/>
      <c r="AF359">
        <f t="shared" si="19"/>
        <v>0</v>
      </c>
      <c r="AN359" s="8">
        <v>741</v>
      </c>
      <c r="AO359" t="s">
        <v>136</v>
      </c>
      <c r="AP359" s="8"/>
      <c r="AR359" s="11"/>
      <c r="AV359">
        <v>1</v>
      </c>
    </row>
    <row r="360" spans="1:44">
      <c r="A360" s="28">
        <v>354</v>
      </c>
      <c r="B360" t="s">
        <v>1415</v>
      </c>
      <c r="C360" t="s">
        <v>1418</v>
      </c>
      <c r="D360">
        <v>4</v>
      </c>
      <c r="E360">
        <v>0</v>
      </c>
      <c r="G360">
        <v>2</v>
      </c>
      <c r="H360" s="5" t="s">
        <v>1419</v>
      </c>
      <c r="I360">
        <v>2.5</v>
      </c>
      <c r="J360">
        <v>2.5</v>
      </c>
      <c r="L360">
        <f t="shared" si="17"/>
        <v>0</v>
      </c>
      <c r="M360">
        <f t="shared" si="20"/>
        <v>2.1</v>
      </c>
      <c r="N360" s="66" t="s">
        <v>1420</v>
      </c>
      <c r="O360" s="108">
        <v>2</v>
      </c>
      <c r="P360">
        <v>0</v>
      </c>
      <c r="Q360" s="108">
        <v>0</v>
      </c>
      <c r="R360" s="108"/>
      <c r="V360" s="108">
        <v>2</v>
      </c>
      <c r="W360">
        <v>0</v>
      </c>
      <c r="X360" s="7">
        <v>3</v>
      </c>
      <c r="Y360">
        <v>0.4</v>
      </c>
      <c r="Z360" s="108">
        <v>0</v>
      </c>
      <c r="AA360" s="108"/>
      <c r="AB360" s="108"/>
      <c r="AC360" s="108"/>
      <c r="AD360" s="108"/>
      <c r="AF360">
        <f t="shared" si="19"/>
        <v>0</v>
      </c>
      <c r="AN360" s="8">
        <v>742</v>
      </c>
      <c r="AO360" t="s">
        <v>136</v>
      </c>
      <c r="AP360" s="8"/>
      <c r="AR360" s="11"/>
    </row>
    <row r="361" spans="1:44">
      <c r="A361">
        <v>355</v>
      </c>
      <c r="B361" t="s">
        <v>1415</v>
      </c>
      <c r="C361" t="s">
        <v>1421</v>
      </c>
      <c r="D361">
        <v>1</v>
      </c>
      <c r="E361">
        <v>0</v>
      </c>
      <c r="G361">
        <v>2</v>
      </c>
      <c r="H361" s="5" t="s">
        <v>1422</v>
      </c>
      <c r="I361">
        <v>2.5</v>
      </c>
      <c r="J361">
        <v>2.5</v>
      </c>
      <c r="L361">
        <f t="shared" si="17"/>
        <v>0</v>
      </c>
      <c r="M361">
        <f t="shared" si="20"/>
        <v>2.1</v>
      </c>
      <c r="N361" s="66" t="s">
        <v>1423</v>
      </c>
      <c r="O361" s="108">
        <v>2</v>
      </c>
      <c r="P361">
        <v>0</v>
      </c>
      <c r="Q361" s="108">
        <v>0</v>
      </c>
      <c r="R361" s="108"/>
      <c r="V361" s="108">
        <v>2</v>
      </c>
      <c r="W361">
        <v>0</v>
      </c>
      <c r="X361" s="7">
        <v>1</v>
      </c>
      <c r="Y361">
        <v>-0.1</v>
      </c>
      <c r="Z361" s="108">
        <v>0</v>
      </c>
      <c r="AA361" s="108"/>
      <c r="AB361" s="108"/>
      <c r="AC361" s="108"/>
      <c r="AD361" s="108"/>
      <c r="AF361">
        <f t="shared" si="19"/>
        <v>0</v>
      </c>
      <c r="AN361" s="8" t="s">
        <v>1424</v>
      </c>
      <c r="AO361" t="s">
        <v>1425</v>
      </c>
      <c r="AP361" s="8"/>
      <c r="AR361" s="11"/>
    </row>
    <row r="362" spans="1:45">
      <c r="A362">
        <v>356</v>
      </c>
      <c r="B362" t="s">
        <v>1415</v>
      </c>
      <c r="C362" t="s">
        <v>1426</v>
      </c>
      <c r="D362">
        <v>1</v>
      </c>
      <c r="E362">
        <v>0</v>
      </c>
      <c r="G362">
        <v>1</v>
      </c>
      <c r="H362" s="5" t="s">
        <v>1427</v>
      </c>
      <c r="I362">
        <v>4.8</v>
      </c>
      <c r="J362">
        <v>4.8</v>
      </c>
      <c r="L362">
        <v>1</v>
      </c>
      <c r="M362">
        <f t="shared" si="20"/>
        <v>4.4</v>
      </c>
      <c r="N362" s="66" t="s">
        <v>1428</v>
      </c>
      <c r="O362" s="108">
        <v>1</v>
      </c>
      <c r="P362">
        <v>12.7</v>
      </c>
      <c r="Q362" s="108">
        <v>0</v>
      </c>
      <c r="R362" s="108"/>
      <c r="V362" s="108">
        <v>2</v>
      </c>
      <c r="W362">
        <v>0</v>
      </c>
      <c r="X362" s="7">
        <v>4</v>
      </c>
      <c r="Y362">
        <v>-0.1</v>
      </c>
      <c r="Z362" s="108">
        <v>0</v>
      </c>
      <c r="AA362" s="108"/>
      <c r="AB362" s="108">
        <v>4.5</v>
      </c>
      <c r="AC362" s="108">
        <v>2</v>
      </c>
      <c r="AD362" s="108">
        <v>1</v>
      </c>
      <c r="AE362" t="s">
        <v>1429</v>
      </c>
      <c r="AF362">
        <f t="shared" si="19"/>
        <v>0.5</v>
      </c>
      <c r="AN362" s="8" t="s">
        <v>1430</v>
      </c>
      <c r="AO362" t="s">
        <v>1015</v>
      </c>
      <c r="AP362" s="8"/>
      <c r="AR362" s="749" t="s">
        <v>239</v>
      </c>
      <c r="AS362" t="s">
        <v>1431</v>
      </c>
    </row>
    <row r="363" spans="1:44">
      <c r="A363">
        <v>357</v>
      </c>
      <c r="B363" t="s">
        <v>1415</v>
      </c>
      <c r="C363" t="s">
        <v>1432</v>
      </c>
      <c r="D363">
        <v>1</v>
      </c>
      <c r="E363">
        <v>0</v>
      </c>
      <c r="G363">
        <v>2</v>
      </c>
      <c r="H363" s="5" t="s">
        <v>1433</v>
      </c>
      <c r="I363">
        <v>2.16666666666667</v>
      </c>
      <c r="J363">
        <v>2.16666666666667</v>
      </c>
      <c r="L363">
        <v>0</v>
      </c>
      <c r="M363">
        <v>1.76666666666667</v>
      </c>
      <c r="N363" s="66" t="s">
        <v>1434</v>
      </c>
      <c r="O363" s="108">
        <v>2</v>
      </c>
      <c r="P363">
        <v>0</v>
      </c>
      <c r="Q363" s="108">
        <v>0</v>
      </c>
      <c r="R363" s="108"/>
      <c r="S363" s="108">
        <v>2</v>
      </c>
      <c r="T363" s="108">
        <v>1</v>
      </c>
      <c r="U363" s="108">
        <v>1</v>
      </c>
      <c r="V363" s="108">
        <v>2</v>
      </c>
      <c r="W363">
        <v>1</v>
      </c>
      <c r="X363" s="7">
        <v>3</v>
      </c>
      <c r="Y363">
        <v>-0.1</v>
      </c>
      <c r="Z363" s="108">
        <v>0</v>
      </c>
      <c r="AA363" s="108"/>
      <c r="AB363" s="108"/>
      <c r="AC363" s="108"/>
      <c r="AD363" s="108"/>
      <c r="AF363">
        <v>0</v>
      </c>
      <c r="AN363" s="8">
        <v>747</v>
      </c>
      <c r="AO363" t="s">
        <v>1103</v>
      </c>
      <c r="AP363" s="8"/>
      <c r="AR363" s="11"/>
    </row>
    <row r="364" spans="1:44">
      <c r="A364">
        <v>358</v>
      </c>
      <c r="B364" t="s">
        <v>1415</v>
      </c>
      <c r="C364" t="s">
        <v>1435</v>
      </c>
      <c r="D364">
        <v>2</v>
      </c>
      <c r="E364">
        <v>0</v>
      </c>
      <c r="G364">
        <v>2</v>
      </c>
      <c r="H364" s="5" t="s">
        <v>1436</v>
      </c>
      <c r="I364">
        <v>1.73333333333333</v>
      </c>
      <c r="J364">
        <v>1.73333333333333</v>
      </c>
      <c r="L364">
        <f t="shared" si="17"/>
        <v>0</v>
      </c>
      <c r="M364">
        <f t="shared" si="20"/>
        <v>1.33333333333333</v>
      </c>
      <c r="N364" s="66" t="s">
        <v>1437</v>
      </c>
      <c r="O364" s="108">
        <v>2</v>
      </c>
      <c r="P364">
        <v>0</v>
      </c>
      <c r="Q364" s="108">
        <v>0</v>
      </c>
      <c r="R364" s="108"/>
      <c r="S364" s="108">
        <v>1</v>
      </c>
      <c r="T364" s="108">
        <v>-1</v>
      </c>
      <c r="U364" s="108">
        <v>1</v>
      </c>
      <c r="V364" s="108">
        <v>2</v>
      </c>
      <c r="W364">
        <v>6</v>
      </c>
      <c r="X364" s="7">
        <v>1</v>
      </c>
      <c r="Y364">
        <v>-0.1</v>
      </c>
      <c r="Z364" s="108">
        <v>0</v>
      </c>
      <c r="AA364" s="108"/>
      <c r="AB364" s="108"/>
      <c r="AC364" s="108"/>
      <c r="AD364" s="108"/>
      <c r="AF364">
        <f t="shared" si="19"/>
        <v>0</v>
      </c>
      <c r="AN364" s="8" t="s">
        <v>1438</v>
      </c>
      <c r="AO364" t="s">
        <v>1286</v>
      </c>
      <c r="AP364" s="8"/>
      <c r="AR364" s="11"/>
    </row>
    <row r="365" spans="1:45">
      <c r="A365">
        <v>359</v>
      </c>
      <c r="B365" t="s">
        <v>1415</v>
      </c>
      <c r="C365" t="s">
        <v>1439</v>
      </c>
      <c r="D365">
        <v>1</v>
      </c>
      <c r="E365">
        <v>0</v>
      </c>
      <c r="G365">
        <v>2</v>
      </c>
      <c r="H365" s="5" t="s">
        <v>1440</v>
      </c>
      <c r="I365">
        <v>6.5</v>
      </c>
      <c r="J365">
        <v>6.5</v>
      </c>
      <c r="L365">
        <v>1</v>
      </c>
      <c r="M365">
        <f t="shared" si="20"/>
        <v>6.1</v>
      </c>
      <c r="N365" s="66" t="s">
        <v>1441</v>
      </c>
      <c r="O365" s="108">
        <v>3</v>
      </c>
      <c r="P365">
        <v>-7</v>
      </c>
      <c r="Q365" s="108">
        <v>0</v>
      </c>
      <c r="R365" s="108"/>
      <c r="V365" s="108">
        <v>2</v>
      </c>
      <c r="W365">
        <v>6</v>
      </c>
      <c r="X365" s="7">
        <v>18</v>
      </c>
      <c r="Y365">
        <v>-0.1</v>
      </c>
      <c r="Z365" s="108">
        <v>0</v>
      </c>
      <c r="AA365" s="108"/>
      <c r="AB365" s="108"/>
      <c r="AC365" s="108"/>
      <c r="AD365" s="108">
        <v>1</v>
      </c>
      <c r="AE365" t="s">
        <v>1442</v>
      </c>
      <c r="AF365">
        <f t="shared" si="19"/>
        <v>0.5</v>
      </c>
      <c r="AN365" s="8" t="s">
        <v>1443</v>
      </c>
      <c r="AO365" t="s">
        <v>524</v>
      </c>
      <c r="AP365" s="8">
        <v>750</v>
      </c>
      <c r="AQ365" t="s">
        <v>1444</v>
      </c>
      <c r="AR365" s="749" t="s">
        <v>239</v>
      </c>
      <c r="AS365" t="s">
        <v>1445</v>
      </c>
    </row>
    <row r="366" spans="1:45">
      <c r="A366">
        <v>360</v>
      </c>
      <c r="B366" t="s">
        <v>1415</v>
      </c>
      <c r="C366" t="s">
        <v>1446</v>
      </c>
      <c r="D366">
        <v>1</v>
      </c>
      <c r="E366">
        <v>0</v>
      </c>
      <c r="G366">
        <v>2</v>
      </c>
      <c r="H366" s="5" t="s">
        <v>1447</v>
      </c>
      <c r="I366">
        <v>10</v>
      </c>
      <c r="J366">
        <v>10</v>
      </c>
      <c r="L366">
        <v>1</v>
      </c>
      <c r="M366">
        <f t="shared" si="20"/>
        <v>9.6</v>
      </c>
      <c r="N366" s="66" t="s">
        <v>1448</v>
      </c>
      <c r="O366" s="108">
        <v>1</v>
      </c>
      <c r="P366">
        <v>2.2</v>
      </c>
      <c r="Q366" s="108">
        <v>0</v>
      </c>
      <c r="R366" s="108"/>
      <c r="V366" s="108">
        <v>2</v>
      </c>
      <c r="W366">
        <v>0</v>
      </c>
      <c r="X366" s="7">
        <v>6</v>
      </c>
      <c r="Y366">
        <v>-0.1</v>
      </c>
      <c r="Z366" s="108">
        <v>0</v>
      </c>
      <c r="AA366" s="108"/>
      <c r="AB366" s="108">
        <v>9.7</v>
      </c>
      <c r="AC366" s="108">
        <v>1</v>
      </c>
      <c r="AD366" s="108">
        <v>1</v>
      </c>
      <c r="AE366" t="s">
        <v>1449</v>
      </c>
      <c r="AF366">
        <f t="shared" si="19"/>
        <v>0.5</v>
      </c>
      <c r="AP366" s="8">
        <v>751</v>
      </c>
      <c r="AQ366" t="s">
        <v>136</v>
      </c>
      <c r="AR366" s="749" t="s">
        <v>1450</v>
      </c>
      <c r="AS366" t="s">
        <v>1451</v>
      </c>
    </row>
    <row r="367" spans="1:48">
      <c r="A367" s="3">
        <v>361</v>
      </c>
      <c r="B367" s="3" t="s">
        <v>1452</v>
      </c>
      <c r="C367" s="3" t="s">
        <v>526</v>
      </c>
      <c r="D367" s="3">
        <v>1</v>
      </c>
      <c r="E367" s="3">
        <v>0</v>
      </c>
      <c r="F367" s="3"/>
      <c r="G367" s="3"/>
      <c r="H367" s="227" t="s">
        <v>1453</v>
      </c>
      <c r="I367" s="3">
        <v>1.93333333333333</v>
      </c>
      <c r="J367" s="3">
        <v>1.93333333333333</v>
      </c>
      <c r="K367" s="3"/>
      <c r="L367">
        <f t="shared" si="17"/>
        <v>0</v>
      </c>
      <c r="M367" s="3">
        <v>1.53333333333333</v>
      </c>
      <c r="N367" s="3" t="s">
        <v>1454</v>
      </c>
      <c r="O367" s="108">
        <v>1</v>
      </c>
      <c r="P367" s="3">
        <v>1.5</v>
      </c>
      <c r="Q367" s="108">
        <v>0</v>
      </c>
      <c r="R367" s="108"/>
      <c r="S367" s="108"/>
      <c r="T367" s="3"/>
      <c r="U367" s="3">
        <v>0.5</v>
      </c>
      <c r="V367" s="108">
        <v>1</v>
      </c>
      <c r="W367" s="3">
        <v>0</v>
      </c>
      <c r="X367" s="238">
        <v>3</v>
      </c>
      <c r="Y367" s="3">
        <v>-0.1</v>
      </c>
      <c r="Z367" s="108">
        <v>0</v>
      </c>
      <c r="AA367" s="108"/>
      <c r="AB367" s="108"/>
      <c r="AC367" s="108"/>
      <c r="AD367" s="108"/>
      <c r="AE367" s="3"/>
      <c r="AF367">
        <f t="shared" si="19"/>
        <v>0</v>
      </c>
      <c r="AG367" s="3"/>
      <c r="AH367" s="3"/>
      <c r="AI367" s="3"/>
      <c r="AJ367" s="3"/>
      <c r="AK367" s="3"/>
      <c r="AL367" s="3"/>
      <c r="AM367" s="3"/>
      <c r="AN367" s="12">
        <v>759</v>
      </c>
      <c r="AO367" s="3" t="s">
        <v>136</v>
      </c>
      <c r="AP367" s="12"/>
      <c r="AQ367" s="3"/>
      <c r="AR367" s="228"/>
      <c r="AV367" s="3">
        <v>1</v>
      </c>
    </row>
    <row r="368" spans="1:48">
      <c r="A368" s="3">
        <v>362</v>
      </c>
      <c r="B368" s="3" t="s">
        <v>1452</v>
      </c>
      <c r="C368" s="3" t="s">
        <v>1455</v>
      </c>
      <c r="D368" s="3">
        <v>1</v>
      </c>
      <c r="E368" s="3">
        <v>0</v>
      </c>
      <c r="F368" s="3"/>
      <c r="G368" s="3"/>
      <c r="H368" s="227" t="s">
        <v>1456</v>
      </c>
      <c r="I368" s="3">
        <v>1.53333333333333</v>
      </c>
      <c r="J368" s="3">
        <v>1.53333333333333</v>
      </c>
      <c r="K368" s="3"/>
      <c r="L368">
        <f t="shared" si="17"/>
        <v>0</v>
      </c>
      <c r="M368" s="3">
        <v>1.13333333333333</v>
      </c>
      <c r="N368" s="3" t="s">
        <v>1457</v>
      </c>
      <c r="O368" s="108">
        <v>1</v>
      </c>
      <c r="P368" s="3">
        <v>1.5</v>
      </c>
      <c r="Q368" s="108">
        <v>0</v>
      </c>
      <c r="R368" s="108"/>
      <c r="S368" s="3"/>
      <c r="T368" s="3"/>
      <c r="U368" s="3">
        <v>0.5</v>
      </c>
      <c r="V368" s="108">
        <v>1</v>
      </c>
      <c r="W368" s="3">
        <v>2</v>
      </c>
      <c r="X368" s="238">
        <v>1</v>
      </c>
      <c r="Y368" s="3">
        <v>-0.1</v>
      </c>
      <c r="Z368" s="108">
        <v>0</v>
      </c>
      <c r="AA368" s="108"/>
      <c r="AB368" s="108"/>
      <c r="AC368" s="108"/>
      <c r="AD368" s="108"/>
      <c r="AE368" s="3"/>
      <c r="AF368">
        <f t="shared" si="19"/>
        <v>0</v>
      </c>
      <c r="AG368" s="3"/>
      <c r="AH368" s="3"/>
      <c r="AI368" s="3"/>
      <c r="AJ368" s="3"/>
      <c r="AK368" s="3"/>
      <c r="AL368" s="3"/>
      <c r="AM368" s="3"/>
      <c r="AN368" s="12">
        <v>760</v>
      </c>
      <c r="AO368" s="3" t="s">
        <v>136</v>
      </c>
      <c r="AP368" s="12"/>
      <c r="AQ368" s="3"/>
      <c r="AR368" s="228"/>
      <c r="AV368" s="3"/>
    </row>
    <row r="369" spans="1:48">
      <c r="A369" s="3">
        <v>363</v>
      </c>
      <c r="B369" s="3" t="s">
        <v>1452</v>
      </c>
      <c r="C369" s="3" t="s">
        <v>1458</v>
      </c>
      <c r="D369" s="3">
        <v>1</v>
      </c>
      <c r="E369" s="3">
        <v>0</v>
      </c>
      <c r="F369" s="3"/>
      <c r="G369" s="3"/>
      <c r="H369" s="227" t="s">
        <v>1459</v>
      </c>
      <c r="I369" s="3">
        <v>2.4</v>
      </c>
      <c r="J369" s="3">
        <v>2.4</v>
      </c>
      <c r="K369" s="3"/>
      <c r="L369">
        <f t="shared" si="17"/>
        <v>0</v>
      </c>
      <c r="M369" s="3">
        <v>2</v>
      </c>
      <c r="N369" s="3" t="s">
        <v>1460</v>
      </c>
      <c r="O369" s="108">
        <v>1</v>
      </c>
      <c r="P369" s="3">
        <v>1.5</v>
      </c>
      <c r="Q369" s="108">
        <v>0</v>
      </c>
      <c r="R369" s="108">
        <v>1</v>
      </c>
      <c r="S369" s="108">
        <v>3</v>
      </c>
      <c r="T369" s="108">
        <v>2</v>
      </c>
      <c r="U369" s="108">
        <v>1</v>
      </c>
      <c r="V369" s="108">
        <v>1</v>
      </c>
      <c r="W369" s="3">
        <v>0</v>
      </c>
      <c r="X369" s="238">
        <v>1</v>
      </c>
      <c r="Y369" s="3">
        <v>-0.1</v>
      </c>
      <c r="Z369" s="108">
        <v>0</v>
      </c>
      <c r="AA369" s="108"/>
      <c r="AB369" s="108"/>
      <c r="AC369" s="108"/>
      <c r="AD369" s="108"/>
      <c r="AE369" s="3"/>
      <c r="AF369">
        <f t="shared" si="19"/>
        <v>0</v>
      </c>
      <c r="AG369" s="3"/>
      <c r="AH369" s="3"/>
      <c r="AI369" s="3"/>
      <c r="AJ369" s="3"/>
      <c r="AK369" s="3"/>
      <c r="AL369" s="3"/>
      <c r="AM369" s="3"/>
      <c r="AN369" s="12" t="s">
        <v>1461</v>
      </c>
      <c r="AO369" s="3" t="s">
        <v>245</v>
      </c>
      <c r="AP369" s="12"/>
      <c r="AQ369" s="3"/>
      <c r="AR369" s="228"/>
      <c r="AV369" s="3"/>
    </row>
    <row r="370" spans="1:48">
      <c r="A370" s="3">
        <v>364</v>
      </c>
      <c r="B370" s="3" t="s">
        <v>1452</v>
      </c>
      <c r="C370" s="3" t="s">
        <v>1462</v>
      </c>
      <c r="D370" s="3">
        <v>1</v>
      </c>
      <c r="E370" s="3">
        <v>0</v>
      </c>
      <c r="F370" s="3"/>
      <c r="G370" s="3"/>
      <c r="H370" s="227" t="s">
        <v>1463</v>
      </c>
      <c r="I370" s="3">
        <v>8.66666666666667</v>
      </c>
      <c r="J370" s="3">
        <v>8.66666666666667</v>
      </c>
      <c r="K370" s="3"/>
      <c r="L370">
        <v>1</v>
      </c>
      <c r="M370" s="3">
        <v>8.26666666666667</v>
      </c>
      <c r="N370" s="3" t="s">
        <v>1464</v>
      </c>
      <c r="O370" s="108">
        <v>1</v>
      </c>
      <c r="P370" s="3">
        <v>8</v>
      </c>
      <c r="Q370" s="108">
        <v>0</v>
      </c>
      <c r="R370" s="108"/>
      <c r="S370" s="3"/>
      <c r="T370" s="3"/>
      <c r="U370" s="3"/>
      <c r="V370" s="108">
        <v>1</v>
      </c>
      <c r="W370" s="3">
        <v>0</v>
      </c>
      <c r="X370" s="238">
        <v>5</v>
      </c>
      <c r="Y370" s="3">
        <v>-0.1</v>
      </c>
      <c r="Z370" s="108">
        <v>0</v>
      </c>
      <c r="AA370" s="108"/>
      <c r="AB370" s="108"/>
      <c r="AC370" s="108"/>
      <c r="AD370" s="108">
        <v>1</v>
      </c>
      <c r="AE370" s="3" t="s">
        <v>1465</v>
      </c>
      <c r="AF370">
        <f t="shared" si="19"/>
        <v>0.5</v>
      </c>
      <c r="AG370" s="3" t="s">
        <v>264</v>
      </c>
      <c r="AH370" s="3"/>
      <c r="AI370" s="3"/>
      <c r="AJ370" s="3"/>
      <c r="AK370" s="3"/>
      <c r="AL370" s="3"/>
      <c r="AM370" s="3"/>
      <c r="AN370" s="9" t="s">
        <v>1466</v>
      </c>
      <c r="AO370" s="3" t="s">
        <v>1467</v>
      </c>
      <c r="AP370" s="12">
        <v>763</v>
      </c>
      <c r="AQ370" s="3" t="s">
        <v>157</v>
      </c>
      <c r="AR370" s="749" t="s">
        <v>239</v>
      </c>
      <c r="AV370" s="3"/>
    </row>
    <row r="371" spans="1:48">
      <c r="A371" s="3">
        <v>365</v>
      </c>
      <c r="B371" s="3" t="s">
        <v>959</v>
      </c>
      <c r="C371" s="3" t="s">
        <v>1468</v>
      </c>
      <c r="D371" s="3">
        <v>1</v>
      </c>
      <c r="E371" s="3">
        <v>0</v>
      </c>
      <c r="F371" s="3"/>
      <c r="G371" s="3">
        <v>2</v>
      </c>
      <c r="H371" s="228" t="s">
        <v>961</v>
      </c>
      <c r="I371" s="3">
        <v>1.66666666666667</v>
      </c>
      <c r="J371" s="3">
        <v>1.66666666666667</v>
      </c>
      <c r="K371" s="3"/>
      <c r="L371">
        <v>0</v>
      </c>
      <c r="M371" s="3">
        <v>1.26666666666667</v>
      </c>
      <c r="N371" s="24" t="s">
        <v>962</v>
      </c>
      <c r="O371" s="108">
        <v>2</v>
      </c>
      <c r="P371" s="3">
        <v>0</v>
      </c>
      <c r="Q371" s="108">
        <v>0</v>
      </c>
      <c r="R371" s="108"/>
      <c r="S371" s="3">
        <v>0</v>
      </c>
      <c r="T371" s="3"/>
      <c r="U371" s="239">
        <v>0.35</v>
      </c>
      <c r="V371" s="108">
        <v>2</v>
      </c>
      <c r="W371" s="3">
        <v>0</v>
      </c>
      <c r="X371" s="238">
        <v>4</v>
      </c>
      <c r="Y371" s="3">
        <v>0.4</v>
      </c>
      <c r="Z371" s="108">
        <v>0</v>
      </c>
      <c r="AA371" s="108"/>
      <c r="AB371" s="108"/>
      <c r="AC371" s="108"/>
      <c r="AD371" s="108"/>
      <c r="AE371" s="3"/>
      <c r="AF371">
        <v>0</v>
      </c>
      <c r="AG371" s="3"/>
      <c r="AH371" s="3"/>
      <c r="AI371" s="3"/>
      <c r="AJ371" s="3"/>
      <c r="AK371" s="3"/>
      <c r="AL371" s="3"/>
      <c r="AM371" s="3"/>
      <c r="AN371" s="9">
        <v>782</v>
      </c>
      <c r="AO371" s="3" t="s">
        <v>136</v>
      </c>
      <c r="AP371" s="12"/>
      <c r="AQ371" s="3"/>
      <c r="AR371" s="11"/>
      <c r="AV371" s="3">
        <v>1</v>
      </c>
    </row>
    <row r="372" spans="1:44">
      <c r="A372" s="3">
        <v>366</v>
      </c>
      <c r="B372" s="3" t="s">
        <v>1060</v>
      </c>
      <c r="C372" s="6" t="s">
        <v>1469</v>
      </c>
      <c r="D372">
        <v>1</v>
      </c>
      <c r="E372">
        <v>0</v>
      </c>
      <c r="F372" s="3"/>
      <c r="G372" s="3"/>
      <c r="H372" s="228" t="s">
        <v>1470</v>
      </c>
      <c r="I372" s="3">
        <v>1.83333333333333</v>
      </c>
      <c r="J372" s="3">
        <v>1.83333333333333</v>
      </c>
      <c r="K372" s="3"/>
      <c r="L372">
        <v>1</v>
      </c>
      <c r="M372">
        <f t="shared" ref="M372:M392" si="21">I372-0.4</f>
        <v>1.43333333333333</v>
      </c>
      <c r="N372" s="237" t="s">
        <v>1471</v>
      </c>
      <c r="O372">
        <v>1</v>
      </c>
      <c r="P372">
        <v>1.2</v>
      </c>
      <c r="Q372">
        <v>0</v>
      </c>
      <c r="S372">
        <v>0</v>
      </c>
      <c r="T372">
        <v>0.8</v>
      </c>
      <c r="U372">
        <v>0.8</v>
      </c>
      <c r="V372">
        <v>1</v>
      </c>
      <c r="W372">
        <v>4</v>
      </c>
      <c r="X372" s="7">
        <v>1</v>
      </c>
      <c r="Y372">
        <v>-0.1</v>
      </c>
      <c r="Z372">
        <v>0</v>
      </c>
      <c r="AF372">
        <f t="shared" si="19"/>
        <v>0</v>
      </c>
      <c r="AP372" s="9">
        <v>806</v>
      </c>
      <c r="AQ372" s="3" t="s">
        <v>136</v>
      </c>
      <c r="AR372" s="11"/>
    </row>
    <row r="373" spans="1:44">
      <c r="A373" s="3">
        <v>367</v>
      </c>
      <c r="B373" s="3" t="s">
        <v>1060</v>
      </c>
      <c r="C373" s="3"/>
      <c r="D373">
        <v>1</v>
      </c>
      <c r="E373">
        <v>0</v>
      </c>
      <c r="F373" s="3"/>
      <c r="G373" s="3"/>
      <c r="H373" s="228" t="s">
        <v>1472</v>
      </c>
      <c r="I373" s="3">
        <v>3</v>
      </c>
      <c r="J373" s="3">
        <v>3</v>
      </c>
      <c r="K373" s="3"/>
      <c r="L373">
        <v>0</v>
      </c>
      <c r="M373">
        <f t="shared" si="21"/>
        <v>2.6</v>
      </c>
      <c r="N373" s="3"/>
      <c r="O373">
        <v>1</v>
      </c>
      <c r="P373">
        <v>1.2</v>
      </c>
      <c r="Q373">
        <v>0</v>
      </c>
      <c r="S373">
        <v>0</v>
      </c>
      <c r="V373">
        <v>2</v>
      </c>
      <c r="W373">
        <v>0</v>
      </c>
      <c r="X373" s="7">
        <v>0</v>
      </c>
      <c r="Y373">
        <v>-0.1</v>
      </c>
      <c r="Z373">
        <v>0</v>
      </c>
      <c r="AF373">
        <f t="shared" si="19"/>
        <v>0</v>
      </c>
      <c r="AN373" s="9"/>
      <c r="AO373" s="3"/>
      <c r="AP373" s="12"/>
      <c r="AQ373" s="3"/>
      <c r="AR373" s="11"/>
    </row>
    <row r="374" spans="1:48">
      <c r="A374" s="3">
        <v>368</v>
      </c>
      <c r="B374" s="3" t="s">
        <v>1473</v>
      </c>
      <c r="C374" s="3" t="s">
        <v>526</v>
      </c>
      <c r="D374">
        <v>1</v>
      </c>
      <c r="E374">
        <v>0</v>
      </c>
      <c r="F374" s="3"/>
      <c r="G374" s="3"/>
      <c r="H374" s="5" t="s">
        <v>1474</v>
      </c>
      <c r="I374">
        <v>2.83333333333333</v>
      </c>
      <c r="J374">
        <v>2.83333333333333</v>
      </c>
      <c r="K374" s="3"/>
      <c r="L374">
        <v>0</v>
      </c>
      <c r="M374">
        <f t="shared" si="21"/>
        <v>2.43333333333333</v>
      </c>
      <c r="N374" s="3" t="s">
        <v>1475</v>
      </c>
      <c r="O374">
        <v>2</v>
      </c>
      <c r="P374">
        <v>-2</v>
      </c>
      <c r="Q374">
        <v>0</v>
      </c>
      <c r="S374">
        <v>0</v>
      </c>
      <c r="U374">
        <v>0.8</v>
      </c>
      <c r="V374">
        <v>5</v>
      </c>
      <c r="W374">
        <v>0</v>
      </c>
      <c r="X374" s="7">
        <v>3</v>
      </c>
      <c r="Y374">
        <v>-0.1</v>
      </c>
      <c r="Z374">
        <v>0</v>
      </c>
      <c r="AF374">
        <f t="shared" si="19"/>
        <v>0</v>
      </c>
      <c r="AP374" s="9">
        <v>807</v>
      </c>
      <c r="AQ374" s="3" t="s">
        <v>136</v>
      </c>
      <c r="AR374" s="11"/>
      <c r="AV374">
        <v>1</v>
      </c>
    </row>
    <row r="375" spans="1:44">
      <c r="A375" s="229">
        <v>369</v>
      </c>
      <c r="B375" s="3" t="s">
        <v>1473</v>
      </c>
      <c r="C375" s="3" t="s">
        <v>1476</v>
      </c>
      <c r="D375">
        <v>4</v>
      </c>
      <c r="E375">
        <v>0</v>
      </c>
      <c r="F375" s="3"/>
      <c r="G375" s="3"/>
      <c r="H375" s="5" t="s">
        <v>1477</v>
      </c>
      <c r="I375">
        <v>3.8</v>
      </c>
      <c r="J375">
        <v>3.8</v>
      </c>
      <c r="K375" s="3"/>
      <c r="L375">
        <v>1</v>
      </c>
      <c r="M375">
        <f t="shared" si="21"/>
        <v>3.4</v>
      </c>
      <c r="N375" s="3" t="s">
        <v>1478</v>
      </c>
      <c r="O375">
        <v>2</v>
      </c>
      <c r="P375">
        <v>-2</v>
      </c>
      <c r="Q375">
        <v>0</v>
      </c>
      <c r="S375">
        <v>0.5</v>
      </c>
      <c r="T375">
        <v>0.8</v>
      </c>
      <c r="U375">
        <v>1.25</v>
      </c>
      <c r="V375">
        <v>5</v>
      </c>
      <c r="W375">
        <v>0</v>
      </c>
      <c r="X375" s="7">
        <v>1</v>
      </c>
      <c r="Y375">
        <v>-0.1</v>
      </c>
      <c r="Z375">
        <v>0</v>
      </c>
      <c r="AF375">
        <f t="shared" si="19"/>
        <v>0</v>
      </c>
      <c r="AN375" s="9">
        <v>808</v>
      </c>
      <c r="AO375" s="3" t="s">
        <v>136</v>
      </c>
      <c r="AP375" s="12"/>
      <c r="AQ375" s="3"/>
      <c r="AR375" s="11"/>
    </row>
    <row r="376" spans="1:44">
      <c r="A376" s="3">
        <v>370</v>
      </c>
      <c r="B376" s="3" t="s">
        <v>1473</v>
      </c>
      <c r="C376" s="3" t="s">
        <v>1479</v>
      </c>
      <c r="D376">
        <v>1</v>
      </c>
      <c r="E376">
        <v>0</v>
      </c>
      <c r="F376" s="3"/>
      <c r="G376" s="3"/>
      <c r="H376" s="5" t="s">
        <v>1480</v>
      </c>
      <c r="I376">
        <v>5.33333333333333</v>
      </c>
      <c r="J376">
        <v>5.33333333333333</v>
      </c>
      <c r="K376" s="3"/>
      <c r="L376">
        <v>1</v>
      </c>
      <c r="M376">
        <f t="shared" si="21"/>
        <v>4.93333333333333</v>
      </c>
      <c r="N376" s="3" t="s">
        <v>1481</v>
      </c>
      <c r="O376">
        <v>1</v>
      </c>
      <c r="P376">
        <v>2.5</v>
      </c>
      <c r="Q376">
        <v>2</v>
      </c>
      <c r="S376">
        <v>0</v>
      </c>
      <c r="V376">
        <v>5</v>
      </c>
      <c r="W376">
        <v>0</v>
      </c>
      <c r="X376" s="7">
        <v>1</v>
      </c>
      <c r="Y376">
        <v>-0.1</v>
      </c>
      <c r="Z376">
        <v>0</v>
      </c>
      <c r="AD376">
        <v>1</v>
      </c>
      <c r="AE376" t="s">
        <v>1482</v>
      </c>
      <c r="AF376">
        <f t="shared" si="19"/>
        <v>0.5</v>
      </c>
      <c r="AN376" s="9">
        <v>809</v>
      </c>
      <c r="AO376" s="3" t="s">
        <v>136</v>
      </c>
      <c r="AP376" s="12"/>
      <c r="AQ376" s="3"/>
      <c r="AR376" s="749" t="s">
        <v>239</v>
      </c>
    </row>
    <row r="377" spans="1:44">
      <c r="A377" s="3">
        <v>371</v>
      </c>
      <c r="B377" s="3" t="s">
        <v>1473</v>
      </c>
      <c r="C377" s="3" t="s">
        <v>1483</v>
      </c>
      <c r="D377">
        <v>1</v>
      </c>
      <c r="E377">
        <v>0</v>
      </c>
      <c r="F377" s="3"/>
      <c r="G377" s="3"/>
      <c r="H377" s="5" t="s">
        <v>1484</v>
      </c>
      <c r="I377">
        <v>5</v>
      </c>
      <c r="J377">
        <v>3.43333333333333</v>
      </c>
      <c r="K377" s="3"/>
      <c r="L377">
        <v>1</v>
      </c>
      <c r="M377">
        <f t="shared" si="21"/>
        <v>4.6</v>
      </c>
      <c r="N377" s="3" t="s">
        <v>1485</v>
      </c>
      <c r="O377">
        <v>2</v>
      </c>
      <c r="P377">
        <v>-2</v>
      </c>
      <c r="Q377">
        <v>0</v>
      </c>
      <c r="S377">
        <v>-0.5</v>
      </c>
      <c r="T377">
        <v>0.8</v>
      </c>
      <c r="U377">
        <v>1.25</v>
      </c>
      <c r="V377">
        <v>5</v>
      </c>
      <c r="W377">
        <v>19</v>
      </c>
      <c r="X377" s="7">
        <v>3</v>
      </c>
      <c r="Y377">
        <v>-0.1</v>
      </c>
      <c r="Z377">
        <v>0</v>
      </c>
      <c r="AF377">
        <f t="shared" si="19"/>
        <v>0</v>
      </c>
      <c r="AP377" s="8">
        <v>810</v>
      </c>
      <c r="AQ377" s="3" t="s">
        <v>136</v>
      </c>
      <c r="AR377" s="11"/>
    </row>
    <row r="378" spans="1:44">
      <c r="A378" s="3">
        <v>372</v>
      </c>
      <c r="B378" s="3" t="s">
        <v>1473</v>
      </c>
      <c r="C378" s="3" t="s">
        <v>1486</v>
      </c>
      <c r="D378">
        <v>1</v>
      </c>
      <c r="E378">
        <v>0</v>
      </c>
      <c r="F378" s="3"/>
      <c r="G378" s="3"/>
      <c r="H378" s="5" t="s">
        <v>1487</v>
      </c>
      <c r="I378">
        <v>1.66666666666667</v>
      </c>
      <c r="J378">
        <v>1.66666666666667</v>
      </c>
      <c r="K378" s="3"/>
      <c r="L378">
        <v>0</v>
      </c>
      <c r="M378">
        <f t="shared" si="21"/>
        <v>1.26666666666667</v>
      </c>
      <c r="N378" s="3" t="s">
        <v>1488</v>
      </c>
      <c r="O378">
        <v>2</v>
      </c>
      <c r="P378">
        <v>-2</v>
      </c>
      <c r="Q378">
        <v>0</v>
      </c>
      <c r="S378">
        <v>2</v>
      </c>
      <c r="T378">
        <v>0.8</v>
      </c>
      <c r="U378">
        <v>1.25</v>
      </c>
      <c r="V378">
        <v>5</v>
      </c>
      <c r="W378">
        <v>0</v>
      </c>
      <c r="X378" s="7">
        <v>1</v>
      </c>
      <c r="Y378">
        <v>-0.1</v>
      </c>
      <c r="Z378">
        <v>0</v>
      </c>
      <c r="AF378">
        <f t="shared" si="19"/>
        <v>0</v>
      </c>
      <c r="AN378" s="9">
        <v>811</v>
      </c>
      <c r="AO378" s="3" t="s">
        <v>136</v>
      </c>
      <c r="AP378" s="12"/>
      <c r="AQ378" s="3"/>
      <c r="AR378" s="11"/>
    </row>
    <row r="379" spans="1:44">
      <c r="A379" s="229">
        <v>373</v>
      </c>
      <c r="B379" s="3" t="s">
        <v>1473</v>
      </c>
      <c r="C379" s="3" t="s">
        <v>1489</v>
      </c>
      <c r="D379">
        <v>4</v>
      </c>
      <c r="E379">
        <v>0</v>
      </c>
      <c r="F379" s="3"/>
      <c r="G379" s="3"/>
      <c r="H379" s="5" t="s">
        <v>1490</v>
      </c>
      <c r="I379">
        <v>4.16666666666667</v>
      </c>
      <c r="J379">
        <v>4.16666666666667</v>
      </c>
      <c r="K379" s="3">
        <v>0.5</v>
      </c>
      <c r="L379">
        <v>1</v>
      </c>
      <c r="M379">
        <f t="shared" si="21"/>
        <v>3.76666666666667</v>
      </c>
      <c r="N379" s="3" t="s">
        <v>1491</v>
      </c>
      <c r="O379">
        <v>1</v>
      </c>
      <c r="P379">
        <v>7.5</v>
      </c>
      <c r="Q379">
        <v>0</v>
      </c>
      <c r="S379">
        <v>0</v>
      </c>
      <c r="V379">
        <v>5</v>
      </c>
      <c r="W379">
        <v>0</v>
      </c>
      <c r="X379" s="7">
        <v>1</v>
      </c>
      <c r="Y379">
        <v>-0.1</v>
      </c>
      <c r="Z379">
        <v>0</v>
      </c>
      <c r="AD379">
        <v>1</v>
      </c>
      <c r="AE379" t="s">
        <v>1492</v>
      </c>
      <c r="AF379">
        <f t="shared" si="19"/>
        <v>0.5</v>
      </c>
      <c r="AP379" s="9">
        <v>812</v>
      </c>
      <c r="AQ379" s="3" t="s">
        <v>136</v>
      </c>
      <c r="AR379" s="749" t="s">
        <v>239</v>
      </c>
    </row>
    <row r="380" spans="1:44">
      <c r="A380" s="3">
        <v>374</v>
      </c>
      <c r="B380" s="3" t="s">
        <v>1473</v>
      </c>
      <c r="C380" s="3" t="s">
        <v>1493</v>
      </c>
      <c r="D380">
        <v>1</v>
      </c>
      <c r="E380">
        <v>0</v>
      </c>
      <c r="F380" s="3"/>
      <c r="G380" s="3"/>
      <c r="H380" s="5" t="s">
        <v>1494</v>
      </c>
      <c r="I380">
        <v>3</v>
      </c>
      <c r="J380">
        <v>2.5</v>
      </c>
      <c r="K380" s="3"/>
      <c r="L380">
        <v>1</v>
      </c>
      <c r="M380">
        <f t="shared" si="21"/>
        <v>2.6</v>
      </c>
      <c r="N380" s="3" t="s">
        <v>1495</v>
      </c>
      <c r="O380">
        <v>2</v>
      </c>
      <c r="P380">
        <v>-2</v>
      </c>
      <c r="Q380">
        <v>0</v>
      </c>
      <c r="S380">
        <v>0.5</v>
      </c>
      <c r="T380">
        <v>0.8</v>
      </c>
      <c r="U380">
        <v>1.8</v>
      </c>
      <c r="V380">
        <v>5</v>
      </c>
      <c r="W380">
        <v>5</v>
      </c>
      <c r="X380" s="7">
        <v>4</v>
      </c>
      <c r="Y380">
        <v>-0.1</v>
      </c>
      <c r="Z380">
        <v>0</v>
      </c>
      <c r="AF380">
        <f t="shared" si="19"/>
        <v>0</v>
      </c>
      <c r="AN380" s="10">
        <v>1011</v>
      </c>
      <c r="AO380" s="3" t="s">
        <v>136</v>
      </c>
      <c r="AP380" s="12"/>
      <c r="AQ380" s="3"/>
      <c r="AR380" s="11"/>
    </row>
    <row r="381" spans="1:44">
      <c r="A381" s="3">
        <v>375</v>
      </c>
      <c r="B381" s="3" t="s">
        <v>1473</v>
      </c>
      <c r="C381" s="3" t="s">
        <v>1496</v>
      </c>
      <c r="D381">
        <v>1</v>
      </c>
      <c r="E381">
        <v>0</v>
      </c>
      <c r="F381" s="3"/>
      <c r="G381" s="3"/>
      <c r="H381" s="5" t="s">
        <v>1497</v>
      </c>
      <c r="I381">
        <v>15</v>
      </c>
      <c r="J381">
        <v>15</v>
      </c>
      <c r="K381" s="3">
        <v>0.5</v>
      </c>
      <c r="L381">
        <v>1</v>
      </c>
      <c r="M381">
        <f t="shared" si="21"/>
        <v>14.6</v>
      </c>
      <c r="N381" s="3" t="s">
        <v>1498</v>
      </c>
      <c r="O381">
        <v>1</v>
      </c>
      <c r="P381">
        <v>5</v>
      </c>
      <c r="Q381">
        <v>0</v>
      </c>
      <c r="S381">
        <v>0</v>
      </c>
      <c r="V381">
        <v>5</v>
      </c>
      <c r="W381">
        <v>6</v>
      </c>
      <c r="X381" s="7">
        <v>1</v>
      </c>
      <c r="Y381">
        <v>-0.1</v>
      </c>
      <c r="Z381">
        <v>0</v>
      </c>
      <c r="AB381">
        <v>14.8</v>
      </c>
      <c r="AC381">
        <v>1</v>
      </c>
      <c r="AD381">
        <v>1</v>
      </c>
      <c r="AE381" t="s">
        <v>1499</v>
      </c>
      <c r="AF381">
        <f t="shared" si="19"/>
        <v>0.5</v>
      </c>
      <c r="AN381" s="9">
        <v>814</v>
      </c>
      <c r="AO381" s="3" t="s">
        <v>136</v>
      </c>
      <c r="AP381" s="12"/>
      <c r="AQ381" s="3"/>
      <c r="AR381" s="11"/>
    </row>
    <row r="382" spans="1:44">
      <c r="A382" s="3">
        <v>376</v>
      </c>
      <c r="B382" s="3" t="s">
        <v>1473</v>
      </c>
      <c r="C382" s="3" t="s">
        <v>1500</v>
      </c>
      <c r="D382">
        <v>1</v>
      </c>
      <c r="E382">
        <v>0</v>
      </c>
      <c r="F382" s="3"/>
      <c r="G382" s="3"/>
      <c r="H382" s="5" t="s">
        <v>1501</v>
      </c>
      <c r="I382">
        <v>2.7</v>
      </c>
      <c r="J382">
        <v>2.7</v>
      </c>
      <c r="K382" s="3"/>
      <c r="L382">
        <v>0</v>
      </c>
      <c r="M382">
        <f t="shared" si="21"/>
        <v>2.3</v>
      </c>
      <c r="N382" s="3"/>
      <c r="O382">
        <v>2</v>
      </c>
      <c r="P382">
        <v>-2</v>
      </c>
      <c r="Q382">
        <v>0</v>
      </c>
      <c r="S382">
        <v>0.5</v>
      </c>
      <c r="T382">
        <v>0.8</v>
      </c>
      <c r="U382">
        <v>1.25</v>
      </c>
      <c r="V382">
        <v>5</v>
      </c>
      <c r="W382">
        <v>0</v>
      </c>
      <c r="X382" s="7">
        <v>1</v>
      </c>
      <c r="Y382">
        <v>-0.1</v>
      </c>
      <c r="Z382">
        <v>0</v>
      </c>
      <c r="AF382">
        <f t="shared" si="19"/>
        <v>0</v>
      </c>
      <c r="AP382" s="9">
        <v>810</v>
      </c>
      <c r="AQ382" s="3" t="s">
        <v>136</v>
      </c>
      <c r="AR382" s="11"/>
    </row>
    <row r="383" spans="1:48">
      <c r="A383" s="3">
        <v>377</v>
      </c>
      <c r="B383" s="3" t="s">
        <v>744</v>
      </c>
      <c r="C383" s="3" t="s">
        <v>1502</v>
      </c>
      <c r="D383">
        <v>1</v>
      </c>
      <c r="E383" s="4">
        <v>0</v>
      </c>
      <c r="F383" s="3"/>
      <c r="G383" s="3">
        <v>1</v>
      </c>
      <c r="H383" s="11" t="s">
        <v>1503</v>
      </c>
      <c r="I383">
        <v>1.2</v>
      </c>
      <c r="J383">
        <v>1.2</v>
      </c>
      <c r="K383" s="3"/>
      <c r="L383" s="3">
        <v>0</v>
      </c>
      <c r="M383">
        <f t="shared" si="21"/>
        <v>0.8</v>
      </c>
      <c r="N383" s="3" t="s">
        <v>1504</v>
      </c>
      <c r="O383">
        <v>1</v>
      </c>
      <c r="P383">
        <v>1.3</v>
      </c>
      <c r="Q383">
        <v>0</v>
      </c>
      <c r="S383" s="4">
        <v>0</v>
      </c>
      <c r="V383">
        <v>1</v>
      </c>
      <c r="W383">
        <v>0</v>
      </c>
      <c r="X383" s="7">
        <v>1</v>
      </c>
      <c r="Y383">
        <v>-0.1</v>
      </c>
      <c r="Z383">
        <v>0</v>
      </c>
      <c r="AD383">
        <v>0</v>
      </c>
      <c r="AF383">
        <v>0</v>
      </c>
      <c r="AP383" s="9">
        <v>865</v>
      </c>
      <c r="AQ383" s="3" t="s">
        <v>136</v>
      </c>
      <c r="AR383" s="11"/>
      <c r="AV383" s="4"/>
    </row>
    <row r="384" spans="1:48">
      <c r="A384" s="3">
        <v>378</v>
      </c>
      <c r="B384" s="3" t="s">
        <v>744</v>
      </c>
      <c r="C384" s="3" t="s">
        <v>1505</v>
      </c>
      <c r="D384">
        <v>2</v>
      </c>
      <c r="E384" s="4">
        <v>1</v>
      </c>
      <c r="F384" s="3"/>
      <c r="G384" s="3">
        <v>1</v>
      </c>
      <c r="H384" s="11" t="s">
        <v>1506</v>
      </c>
      <c r="I384">
        <v>1.33333333333333</v>
      </c>
      <c r="J384">
        <v>1.33333333333333</v>
      </c>
      <c r="K384" s="3"/>
      <c r="L384" s="3">
        <v>0</v>
      </c>
      <c r="M384">
        <f t="shared" si="21"/>
        <v>0.93333333333333</v>
      </c>
      <c r="N384" s="3" t="s">
        <v>1507</v>
      </c>
      <c r="O384">
        <v>5</v>
      </c>
      <c r="P384">
        <v>0</v>
      </c>
      <c r="Q384">
        <v>0</v>
      </c>
      <c r="S384">
        <v>1</v>
      </c>
      <c r="U384">
        <v>0.7</v>
      </c>
      <c r="V384">
        <v>1</v>
      </c>
      <c r="W384">
        <v>0</v>
      </c>
      <c r="X384" s="7">
        <v>0</v>
      </c>
      <c r="Y384">
        <v>-0.1</v>
      </c>
      <c r="Z384">
        <v>0</v>
      </c>
      <c r="AD384">
        <v>0</v>
      </c>
      <c r="AF384">
        <v>0</v>
      </c>
      <c r="AP384" s="9">
        <v>866</v>
      </c>
      <c r="AQ384" s="3" t="s">
        <v>136</v>
      </c>
      <c r="AR384" s="11"/>
      <c r="AV384" s="4"/>
    </row>
    <row r="385" spans="1:48">
      <c r="A385" s="3">
        <v>379</v>
      </c>
      <c r="B385" s="246" t="s">
        <v>1508</v>
      </c>
      <c r="C385" s="246" t="s">
        <v>526</v>
      </c>
      <c r="D385" s="47">
        <v>1</v>
      </c>
      <c r="E385" s="47">
        <v>0</v>
      </c>
      <c r="F385" s="246"/>
      <c r="G385" s="246">
        <v>1</v>
      </c>
      <c r="H385" s="247" t="s">
        <v>1509</v>
      </c>
      <c r="I385" s="47">
        <v>3.33333333333333</v>
      </c>
      <c r="J385" s="47">
        <v>3.33333333333333</v>
      </c>
      <c r="K385" s="246"/>
      <c r="L385" s="246">
        <v>1</v>
      </c>
      <c r="M385" s="47">
        <f t="shared" si="21"/>
        <v>2.93333333333333</v>
      </c>
      <c r="N385" s="246" t="s">
        <v>1510</v>
      </c>
      <c r="O385">
        <v>1</v>
      </c>
      <c r="P385">
        <v>1.5</v>
      </c>
      <c r="Q385">
        <v>0</v>
      </c>
      <c r="T385">
        <v>0.5</v>
      </c>
      <c r="U385">
        <v>1</v>
      </c>
      <c r="V385">
        <v>1</v>
      </c>
      <c r="W385">
        <v>0</v>
      </c>
      <c r="X385" s="7">
        <v>4</v>
      </c>
      <c r="Y385">
        <v>-0.1</v>
      </c>
      <c r="Z385">
        <v>0</v>
      </c>
      <c r="AF385">
        <v>0</v>
      </c>
      <c r="AN385" s="8">
        <v>1017</v>
      </c>
      <c r="AO385" s="3" t="s">
        <v>136</v>
      </c>
      <c r="AP385" s="9"/>
      <c r="AQ385" s="3"/>
      <c r="AR385" s="11"/>
      <c r="AV385" s="4">
        <v>1</v>
      </c>
    </row>
    <row r="386" spans="1:48">
      <c r="A386" s="3">
        <v>380</v>
      </c>
      <c r="B386" s="246" t="s">
        <v>1508</v>
      </c>
      <c r="C386" s="248" t="s">
        <v>1511</v>
      </c>
      <c r="D386" s="47">
        <v>1</v>
      </c>
      <c r="E386" s="47">
        <v>0</v>
      </c>
      <c r="F386" s="246"/>
      <c r="G386" s="246">
        <v>1</v>
      </c>
      <c r="H386" s="247" t="s">
        <v>1512</v>
      </c>
      <c r="I386" s="47">
        <v>3</v>
      </c>
      <c r="J386" s="47">
        <v>3</v>
      </c>
      <c r="K386" s="246"/>
      <c r="L386" s="246">
        <v>1</v>
      </c>
      <c r="M386" s="47">
        <f t="shared" si="21"/>
        <v>2.6</v>
      </c>
      <c r="N386" s="246" t="s">
        <v>1513</v>
      </c>
      <c r="O386">
        <v>1</v>
      </c>
      <c r="P386">
        <v>1.5</v>
      </c>
      <c r="Q386">
        <v>0</v>
      </c>
      <c r="S386">
        <v>-1</v>
      </c>
      <c r="U386">
        <v>0.8</v>
      </c>
      <c r="V386">
        <v>1</v>
      </c>
      <c r="W386">
        <v>4</v>
      </c>
      <c r="X386" s="7">
        <v>4</v>
      </c>
      <c r="Y386">
        <v>-0.1</v>
      </c>
      <c r="Z386">
        <v>0</v>
      </c>
      <c r="AF386">
        <v>0</v>
      </c>
      <c r="AN386" s="8">
        <v>1018</v>
      </c>
      <c r="AO386" s="3" t="s">
        <v>136</v>
      </c>
      <c r="AP386" s="9"/>
      <c r="AQ386" s="3"/>
      <c r="AR386" s="11"/>
      <c r="AV386" s="4"/>
    </row>
    <row r="387" spans="1:48">
      <c r="A387" s="3">
        <v>381</v>
      </c>
      <c r="B387" s="246" t="s">
        <v>1508</v>
      </c>
      <c r="C387" s="248" t="s">
        <v>1514</v>
      </c>
      <c r="D387" s="47">
        <v>1</v>
      </c>
      <c r="E387" s="47">
        <v>0</v>
      </c>
      <c r="F387" s="246"/>
      <c r="G387" s="246">
        <v>1</v>
      </c>
      <c r="H387" s="247" t="s">
        <v>1515</v>
      </c>
      <c r="I387" s="47">
        <v>4.33333333333333</v>
      </c>
      <c r="J387" s="47">
        <v>4.33333333333333</v>
      </c>
      <c r="K387" s="246"/>
      <c r="L387" s="246">
        <v>0</v>
      </c>
      <c r="M387" s="47">
        <f t="shared" si="21"/>
        <v>3.93333333333333</v>
      </c>
      <c r="N387" s="246" t="s">
        <v>1516</v>
      </c>
      <c r="O387">
        <v>1</v>
      </c>
      <c r="P387">
        <v>1.5</v>
      </c>
      <c r="Q387">
        <v>0</v>
      </c>
      <c r="V387">
        <v>1</v>
      </c>
      <c r="W387">
        <v>0</v>
      </c>
      <c r="X387" s="7">
        <v>1</v>
      </c>
      <c r="Y387">
        <v>-0.1</v>
      </c>
      <c r="Z387">
        <v>0</v>
      </c>
      <c r="AD387">
        <v>1</v>
      </c>
      <c r="AE387" t="s">
        <v>1517</v>
      </c>
      <c r="AF387">
        <v>0.5</v>
      </c>
      <c r="AN387" s="8">
        <v>1019</v>
      </c>
      <c r="AO387" s="3" t="s">
        <v>136</v>
      </c>
      <c r="AP387" s="9"/>
      <c r="AQ387" s="3"/>
      <c r="AR387" s="11"/>
      <c r="AV387" s="4"/>
    </row>
    <row r="388" spans="1:48">
      <c r="A388" s="229">
        <v>382</v>
      </c>
      <c r="B388" s="246" t="s">
        <v>1508</v>
      </c>
      <c r="C388" s="248" t="s">
        <v>1518</v>
      </c>
      <c r="D388" s="47">
        <v>2</v>
      </c>
      <c r="E388" s="47">
        <v>1</v>
      </c>
      <c r="F388" s="246"/>
      <c r="G388" s="246">
        <v>1</v>
      </c>
      <c r="H388" s="247" t="s">
        <v>1519</v>
      </c>
      <c r="I388" s="47">
        <v>2</v>
      </c>
      <c r="J388" s="47">
        <v>2</v>
      </c>
      <c r="K388" s="246"/>
      <c r="L388" s="246">
        <v>0</v>
      </c>
      <c r="M388" s="47">
        <f t="shared" si="21"/>
        <v>1.6</v>
      </c>
      <c r="N388" s="246" t="s">
        <v>1520</v>
      </c>
      <c r="O388">
        <v>5</v>
      </c>
      <c r="P388">
        <v>0</v>
      </c>
      <c r="Q388">
        <v>2</v>
      </c>
      <c r="S388">
        <v>1</v>
      </c>
      <c r="V388">
        <v>1000</v>
      </c>
      <c r="W388">
        <v>0</v>
      </c>
      <c r="X388" s="7">
        <v>0</v>
      </c>
      <c r="Y388">
        <v>-0.1</v>
      </c>
      <c r="Z388">
        <v>0</v>
      </c>
      <c r="AF388">
        <v>0</v>
      </c>
      <c r="AP388" s="8">
        <v>1020</v>
      </c>
      <c r="AQ388" s="3" t="s">
        <v>136</v>
      </c>
      <c r="AR388" s="11"/>
      <c r="AV388" s="4"/>
    </row>
    <row r="389" spans="1:48">
      <c r="A389" s="3">
        <v>383</v>
      </c>
      <c r="B389" s="246" t="s">
        <v>1508</v>
      </c>
      <c r="C389" s="248" t="s">
        <v>1521</v>
      </c>
      <c r="D389" s="47">
        <v>1</v>
      </c>
      <c r="E389" s="47">
        <v>0</v>
      </c>
      <c r="F389" s="246"/>
      <c r="G389" s="246">
        <v>1</v>
      </c>
      <c r="H389" s="247" t="s">
        <v>1522</v>
      </c>
      <c r="I389" s="47">
        <v>3.16666666666667</v>
      </c>
      <c r="J389" s="47">
        <v>3.16666666666667</v>
      </c>
      <c r="K389" s="246"/>
      <c r="L389" s="246">
        <v>1</v>
      </c>
      <c r="M389" s="47">
        <f t="shared" si="21"/>
        <v>2.76666666666667</v>
      </c>
      <c r="N389" s="246" t="s">
        <v>1523</v>
      </c>
      <c r="O389">
        <v>1</v>
      </c>
      <c r="P389">
        <v>1.5</v>
      </c>
      <c r="Q389">
        <v>0</v>
      </c>
      <c r="T389">
        <v>1</v>
      </c>
      <c r="U389">
        <v>2.3</v>
      </c>
      <c r="V389">
        <v>1</v>
      </c>
      <c r="W389">
        <v>6</v>
      </c>
      <c r="X389" s="7">
        <v>6</v>
      </c>
      <c r="Y389">
        <v>-0.1</v>
      </c>
      <c r="Z389">
        <v>0</v>
      </c>
      <c r="AF389">
        <v>0</v>
      </c>
      <c r="AP389" s="8">
        <v>1021</v>
      </c>
      <c r="AQ389" s="3" t="s">
        <v>136</v>
      </c>
      <c r="AR389" s="11"/>
      <c r="AV389" s="4"/>
    </row>
    <row r="390" spans="1:48">
      <c r="A390" s="3">
        <v>384</v>
      </c>
      <c r="B390" s="246" t="s">
        <v>1508</v>
      </c>
      <c r="C390" s="248" t="s">
        <v>1524</v>
      </c>
      <c r="D390" s="47">
        <v>4</v>
      </c>
      <c r="E390" s="47">
        <v>0</v>
      </c>
      <c r="F390" s="246"/>
      <c r="G390" s="246">
        <v>1</v>
      </c>
      <c r="H390" s="247" t="s">
        <v>1525</v>
      </c>
      <c r="I390" s="47">
        <v>2.66666666666667</v>
      </c>
      <c r="J390" s="47">
        <v>2.66666666666667</v>
      </c>
      <c r="K390" s="246"/>
      <c r="L390" s="246">
        <v>0</v>
      </c>
      <c r="M390" s="47">
        <f t="shared" si="21"/>
        <v>2.26666666666667</v>
      </c>
      <c r="N390" s="246" t="s">
        <v>1526</v>
      </c>
      <c r="O390">
        <v>1</v>
      </c>
      <c r="P390">
        <v>1.5</v>
      </c>
      <c r="Q390">
        <v>0</v>
      </c>
      <c r="S390">
        <v>2</v>
      </c>
      <c r="T390">
        <v>1</v>
      </c>
      <c r="U390">
        <v>1</v>
      </c>
      <c r="V390">
        <v>1</v>
      </c>
      <c r="W390">
        <v>7</v>
      </c>
      <c r="X390" s="7">
        <v>1</v>
      </c>
      <c r="Y390">
        <v>-0.1</v>
      </c>
      <c r="Z390">
        <v>0</v>
      </c>
      <c r="AF390">
        <v>0</v>
      </c>
      <c r="AN390" s="8">
        <v>1022</v>
      </c>
      <c r="AO390" s="3" t="s">
        <v>136</v>
      </c>
      <c r="AP390" s="9"/>
      <c r="AQ390" s="3"/>
      <c r="AR390" s="11"/>
      <c r="AV390" s="4"/>
    </row>
    <row r="391" spans="1:48">
      <c r="A391" s="3">
        <v>385</v>
      </c>
      <c r="B391" s="246" t="s">
        <v>1508</v>
      </c>
      <c r="C391" s="248" t="s">
        <v>1527</v>
      </c>
      <c r="D391" s="47">
        <v>1</v>
      </c>
      <c r="E391" s="47">
        <v>0</v>
      </c>
      <c r="F391" s="246"/>
      <c r="G391" s="246">
        <v>1</v>
      </c>
      <c r="H391" s="247" t="s">
        <v>1528</v>
      </c>
      <c r="I391" s="47">
        <v>11.3333333333333</v>
      </c>
      <c r="J391" s="47">
        <v>11.3333333333333</v>
      </c>
      <c r="K391" s="246"/>
      <c r="L391" s="246">
        <v>1</v>
      </c>
      <c r="M391" s="47">
        <f t="shared" si="21"/>
        <v>10.9333333333333</v>
      </c>
      <c r="N391" s="246" t="s">
        <v>1529</v>
      </c>
      <c r="O391">
        <v>3</v>
      </c>
      <c r="P391">
        <v>-2</v>
      </c>
      <c r="Q391">
        <v>0</v>
      </c>
      <c r="V391">
        <v>1</v>
      </c>
      <c r="W391">
        <v>6</v>
      </c>
      <c r="X391" s="7">
        <v>2</v>
      </c>
      <c r="Y391">
        <v>-0.1</v>
      </c>
      <c r="Z391">
        <v>0</v>
      </c>
      <c r="AB391">
        <v>11.1</v>
      </c>
      <c r="AC391">
        <v>2</v>
      </c>
      <c r="AD391">
        <v>1</v>
      </c>
      <c r="AE391" t="s">
        <v>1530</v>
      </c>
      <c r="AF391">
        <v>0.5</v>
      </c>
      <c r="AN391" s="8">
        <v>1037</v>
      </c>
      <c r="AO391" t="s">
        <v>1531</v>
      </c>
      <c r="AP391" s="8">
        <v>1023</v>
      </c>
      <c r="AQ391" s="3" t="s">
        <v>136</v>
      </c>
      <c r="AR391" s="11"/>
      <c r="AV391" s="4"/>
    </row>
    <row r="392" spans="1:48">
      <c r="A392" s="3">
        <v>386</v>
      </c>
      <c r="B392" s="246" t="s">
        <v>1508</v>
      </c>
      <c r="C392" s="248" t="s">
        <v>1532</v>
      </c>
      <c r="D392" s="47">
        <v>1</v>
      </c>
      <c r="E392" s="47">
        <v>0</v>
      </c>
      <c r="F392" s="246"/>
      <c r="G392" s="246">
        <v>1</v>
      </c>
      <c r="H392" s="247" t="s">
        <v>1533</v>
      </c>
      <c r="I392" s="47">
        <v>7</v>
      </c>
      <c r="J392" s="47">
        <v>7</v>
      </c>
      <c r="K392" s="246"/>
      <c r="L392" s="246">
        <v>1</v>
      </c>
      <c r="M392" s="47">
        <f t="shared" si="21"/>
        <v>6.6</v>
      </c>
      <c r="N392" s="246" t="s">
        <v>1534</v>
      </c>
      <c r="O392">
        <v>1</v>
      </c>
      <c r="P392">
        <v>1.5</v>
      </c>
      <c r="Q392">
        <v>0</v>
      </c>
      <c r="V392">
        <v>1</v>
      </c>
      <c r="W392">
        <v>0</v>
      </c>
      <c r="X392" s="7">
        <v>1</v>
      </c>
      <c r="Y392">
        <v>-0.1</v>
      </c>
      <c r="Z392">
        <v>0</v>
      </c>
      <c r="AD392">
        <v>1</v>
      </c>
      <c r="AE392" t="s">
        <v>1535</v>
      </c>
      <c r="AF392">
        <v>0.5</v>
      </c>
      <c r="AN392" s="8">
        <v>1025</v>
      </c>
      <c r="AO392" t="s">
        <v>690</v>
      </c>
      <c r="AP392" s="8">
        <v>1024</v>
      </c>
      <c r="AQ392" s="3" t="s">
        <v>1536</v>
      </c>
      <c r="AR392" s="11"/>
      <c r="AV392" s="4"/>
    </row>
    <row r="393" spans="1:48">
      <c r="A393" s="3">
        <v>387</v>
      </c>
      <c r="B393" s="3" t="s">
        <v>1537</v>
      </c>
      <c r="C393" s="6" t="s">
        <v>526</v>
      </c>
      <c r="D393">
        <v>1</v>
      </c>
      <c r="E393" s="4">
        <v>0</v>
      </c>
      <c r="F393" s="3"/>
      <c r="G393" s="3">
        <v>1</v>
      </c>
      <c r="H393" s="11" t="s">
        <v>1538</v>
      </c>
      <c r="I393">
        <v>3.33333333333333</v>
      </c>
      <c r="J393">
        <v>3.33333333333333</v>
      </c>
      <c r="K393" s="3"/>
      <c r="L393" s="3">
        <v>1</v>
      </c>
      <c r="M393">
        <v>2.93333333333333</v>
      </c>
      <c r="N393" s="3" t="s">
        <v>1539</v>
      </c>
      <c r="O393">
        <v>1</v>
      </c>
      <c r="P393">
        <v>1.5</v>
      </c>
      <c r="Q393">
        <v>0</v>
      </c>
      <c r="V393">
        <v>1</v>
      </c>
      <c r="W393">
        <v>0</v>
      </c>
      <c r="X393" s="7">
        <v>3</v>
      </c>
      <c r="Y393">
        <v>-0.1</v>
      </c>
      <c r="Z393">
        <v>0</v>
      </c>
      <c r="AP393" s="10">
        <v>1058</v>
      </c>
      <c r="AQ393" s="3" t="s">
        <v>136</v>
      </c>
      <c r="AR393" s="11"/>
      <c r="AV393" s="4">
        <v>1</v>
      </c>
    </row>
    <row r="394" spans="1:48">
      <c r="A394" s="3">
        <v>388</v>
      </c>
      <c r="B394" s="3" t="s">
        <v>1537</v>
      </c>
      <c r="C394" s="6" t="s">
        <v>1540</v>
      </c>
      <c r="D394" s="28">
        <v>2</v>
      </c>
      <c r="E394" s="28">
        <v>1</v>
      </c>
      <c r="F394" s="3"/>
      <c r="G394" s="3">
        <v>1</v>
      </c>
      <c r="H394" s="11" t="s">
        <v>1541</v>
      </c>
      <c r="I394">
        <v>3</v>
      </c>
      <c r="J394">
        <v>3</v>
      </c>
      <c r="K394" s="3"/>
      <c r="L394" s="229">
        <v>0</v>
      </c>
      <c r="M394">
        <v>2.6</v>
      </c>
      <c r="N394" s="3" t="s">
        <v>1542</v>
      </c>
      <c r="O394">
        <v>5</v>
      </c>
      <c r="P394">
        <v>0</v>
      </c>
      <c r="Q394">
        <v>0</v>
      </c>
      <c r="V394">
        <v>101</v>
      </c>
      <c r="W394">
        <v>16</v>
      </c>
      <c r="X394" s="218">
        <v>0</v>
      </c>
      <c r="Y394">
        <v>-0.1</v>
      </c>
      <c r="Z394">
        <v>0</v>
      </c>
      <c r="AP394" s="10">
        <v>1059</v>
      </c>
      <c r="AQ394" s="3" t="s">
        <v>136</v>
      </c>
      <c r="AR394" s="11"/>
      <c r="AV394" s="28"/>
    </row>
    <row r="395" spans="1:48">
      <c r="A395" s="3">
        <v>389</v>
      </c>
      <c r="B395" s="3" t="s">
        <v>1537</v>
      </c>
      <c r="C395" s="6" t="s">
        <v>1543</v>
      </c>
      <c r="D395" s="28">
        <v>4</v>
      </c>
      <c r="E395" s="28">
        <v>0</v>
      </c>
      <c r="F395" s="3"/>
      <c r="G395" s="3">
        <v>1</v>
      </c>
      <c r="H395" s="11" t="s">
        <v>1544</v>
      </c>
      <c r="I395">
        <v>2</v>
      </c>
      <c r="J395">
        <v>2</v>
      </c>
      <c r="K395" s="3"/>
      <c r="L395" s="229">
        <v>0</v>
      </c>
      <c r="M395">
        <v>1.6</v>
      </c>
      <c r="N395" s="3" t="s">
        <v>1545</v>
      </c>
      <c r="O395">
        <v>5</v>
      </c>
      <c r="P395">
        <v>0</v>
      </c>
      <c r="Q395">
        <v>0</v>
      </c>
      <c r="V395">
        <v>1</v>
      </c>
      <c r="W395">
        <v>0</v>
      </c>
      <c r="X395" s="218">
        <v>1</v>
      </c>
      <c r="Y395">
        <v>-0.1</v>
      </c>
      <c r="Z395">
        <v>0</v>
      </c>
      <c r="AP395" s="10">
        <v>1060</v>
      </c>
      <c r="AQ395" s="3" t="s">
        <v>136</v>
      </c>
      <c r="AR395" s="11"/>
      <c r="AV395" s="28"/>
    </row>
    <row r="396" spans="1:48">
      <c r="A396" s="3">
        <v>390</v>
      </c>
      <c r="B396" s="3" t="s">
        <v>1537</v>
      </c>
      <c r="C396" s="6" t="s">
        <v>1546</v>
      </c>
      <c r="D396">
        <v>1</v>
      </c>
      <c r="E396" s="4">
        <v>0</v>
      </c>
      <c r="F396" s="3"/>
      <c r="G396" s="3">
        <v>1</v>
      </c>
      <c r="H396" s="11" t="s">
        <v>1547</v>
      </c>
      <c r="I396">
        <v>9.5</v>
      </c>
      <c r="J396">
        <v>9.5</v>
      </c>
      <c r="K396" s="3"/>
      <c r="L396" s="3">
        <v>1</v>
      </c>
      <c r="M396">
        <v>9.1</v>
      </c>
      <c r="N396" s="3" t="s">
        <v>1548</v>
      </c>
      <c r="O396">
        <v>1</v>
      </c>
      <c r="P396">
        <v>10.5</v>
      </c>
      <c r="Q396">
        <v>0</v>
      </c>
      <c r="V396">
        <v>1</v>
      </c>
      <c r="W396">
        <v>29</v>
      </c>
      <c r="X396" s="7">
        <v>4</v>
      </c>
      <c r="Y396">
        <v>-0.1</v>
      </c>
      <c r="Z396">
        <v>0</v>
      </c>
      <c r="AB396">
        <v>9.2</v>
      </c>
      <c r="AC396">
        <v>2</v>
      </c>
      <c r="AD396">
        <v>1</v>
      </c>
      <c r="AE396" t="s">
        <v>1549</v>
      </c>
      <c r="AF396">
        <v>0.5</v>
      </c>
      <c r="AP396" s="10">
        <v>1061</v>
      </c>
      <c r="AQ396" s="3" t="s">
        <v>136</v>
      </c>
      <c r="AR396" s="749" t="s">
        <v>1550</v>
      </c>
      <c r="AV396" s="4"/>
    </row>
    <row r="397" spans="1:48">
      <c r="A397" s="3">
        <v>391</v>
      </c>
      <c r="B397" s="3" t="s">
        <v>1537</v>
      </c>
      <c r="C397" s="6" t="s">
        <v>1551</v>
      </c>
      <c r="D397">
        <v>1</v>
      </c>
      <c r="E397" s="4">
        <v>0</v>
      </c>
      <c r="F397" s="3"/>
      <c r="G397" s="3">
        <v>1</v>
      </c>
      <c r="H397" s="11" t="s">
        <v>1552</v>
      </c>
      <c r="I397">
        <v>2.66666666666667</v>
      </c>
      <c r="J397">
        <v>2.66666666666667</v>
      </c>
      <c r="K397" s="3"/>
      <c r="L397" s="3">
        <v>1</v>
      </c>
      <c r="M397">
        <v>2.26666666666667</v>
      </c>
      <c r="N397" s="3" t="s">
        <v>1553</v>
      </c>
      <c r="O397">
        <v>1</v>
      </c>
      <c r="P397">
        <v>1.5</v>
      </c>
      <c r="Q397">
        <v>0</v>
      </c>
      <c r="R397">
        <v>1</v>
      </c>
      <c r="V397">
        <v>1</v>
      </c>
      <c r="W397">
        <v>0</v>
      </c>
      <c r="X397" s="7">
        <v>1</v>
      </c>
      <c r="Y397">
        <v>-0.1</v>
      </c>
      <c r="Z397">
        <v>0</v>
      </c>
      <c r="AP397" s="10">
        <v>1062</v>
      </c>
      <c r="AQ397" s="3" t="s">
        <v>136</v>
      </c>
      <c r="AR397" s="11"/>
      <c r="AV397" s="4"/>
    </row>
    <row r="398" spans="1:48">
      <c r="A398" s="3">
        <v>392</v>
      </c>
      <c r="B398" s="3" t="s">
        <v>1537</v>
      </c>
      <c r="C398" s="6" t="s">
        <v>1554</v>
      </c>
      <c r="D398">
        <v>1</v>
      </c>
      <c r="E398" s="4">
        <v>0</v>
      </c>
      <c r="F398" s="3"/>
      <c r="G398" s="3">
        <v>1</v>
      </c>
      <c r="H398" s="11" t="s">
        <v>1555</v>
      </c>
      <c r="I398">
        <v>2.66666666666667</v>
      </c>
      <c r="J398">
        <v>2.66666666666667</v>
      </c>
      <c r="K398" s="3"/>
      <c r="L398" s="3">
        <v>1</v>
      </c>
      <c r="M398">
        <v>2.26666666666667</v>
      </c>
      <c r="N398" s="3" t="s">
        <v>1556</v>
      </c>
      <c r="O398">
        <v>1</v>
      </c>
      <c r="P398">
        <v>1.5</v>
      </c>
      <c r="Q398">
        <v>1</v>
      </c>
      <c r="V398">
        <v>1</v>
      </c>
      <c r="W398">
        <v>1</v>
      </c>
      <c r="X398" s="7">
        <v>4</v>
      </c>
      <c r="Y398">
        <v>-0.1</v>
      </c>
      <c r="Z398">
        <v>0</v>
      </c>
      <c r="AP398" s="8">
        <v>1067</v>
      </c>
      <c r="AQ398" s="3" t="s">
        <v>136</v>
      </c>
      <c r="AR398" s="11"/>
      <c r="AV398" s="4"/>
    </row>
    <row r="399" spans="1:48">
      <c r="A399" s="3">
        <v>393</v>
      </c>
      <c r="B399" s="3" t="s">
        <v>1537</v>
      </c>
      <c r="C399" s="6" t="s">
        <v>1557</v>
      </c>
      <c r="D399">
        <v>1</v>
      </c>
      <c r="E399" s="4">
        <v>0</v>
      </c>
      <c r="F399" s="3"/>
      <c r="G399" s="3">
        <v>1</v>
      </c>
      <c r="H399" s="11" t="s">
        <v>1558</v>
      </c>
      <c r="I399">
        <v>7.5</v>
      </c>
      <c r="J399">
        <v>7.5</v>
      </c>
      <c r="K399" s="3"/>
      <c r="L399" s="3">
        <v>1</v>
      </c>
      <c r="M399">
        <v>7.1</v>
      </c>
      <c r="N399" s="3" t="s">
        <v>1559</v>
      </c>
      <c r="O399">
        <v>1</v>
      </c>
      <c r="P399">
        <v>2</v>
      </c>
      <c r="Q399">
        <v>0</v>
      </c>
      <c r="V399">
        <v>1</v>
      </c>
      <c r="W399">
        <v>0</v>
      </c>
      <c r="X399" s="7">
        <v>3</v>
      </c>
      <c r="Y399">
        <v>-0.1</v>
      </c>
      <c r="Z399">
        <v>0</v>
      </c>
      <c r="AB399">
        <v>7</v>
      </c>
      <c r="AC399">
        <v>1</v>
      </c>
      <c r="AD399">
        <v>1</v>
      </c>
      <c r="AE399" t="s">
        <v>1560</v>
      </c>
      <c r="AF399">
        <v>0.5</v>
      </c>
      <c r="AG399" s="749" t="s">
        <v>1561</v>
      </c>
      <c r="AP399" s="10">
        <v>1063</v>
      </c>
      <c r="AQ399" s="3" t="s">
        <v>136</v>
      </c>
      <c r="AR399" s="11"/>
      <c r="AV399" s="4"/>
    </row>
    <row r="400" spans="1:48">
      <c r="A400" s="3">
        <v>394</v>
      </c>
      <c r="B400" s="3" t="s">
        <v>1537</v>
      </c>
      <c r="C400" s="6" t="s">
        <v>1562</v>
      </c>
      <c r="D400">
        <v>1</v>
      </c>
      <c r="E400" s="4">
        <v>0</v>
      </c>
      <c r="F400" s="3"/>
      <c r="G400" s="3">
        <v>1</v>
      </c>
      <c r="H400" s="11" t="s">
        <v>1563</v>
      </c>
      <c r="I400">
        <v>7.33333333333333</v>
      </c>
      <c r="J400">
        <v>7.33333333333333</v>
      </c>
      <c r="K400" s="3"/>
      <c r="L400" s="3">
        <v>1</v>
      </c>
      <c r="M400">
        <v>6.93333333333333</v>
      </c>
      <c r="N400" s="3" t="s">
        <v>1564</v>
      </c>
      <c r="O400">
        <v>1</v>
      </c>
      <c r="P400">
        <v>6.65</v>
      </c>
      <c r="Q400">
        <v>0</v>
      </c>
      <c r="V400">
        <v>1</v>
      </c>
      <c r="W400">
        <v>0</v>
      </c>
      <c r="X400" s="7">
        <v>1</v>
      </c>
      <c r="Y400">
        <v>-0.1</v>
      </c>
      <c r="Z400">
        <v>0</v>
      </c>
      <c r="AB400">
        <v>7.1</v>
      </c>
      <c r="AC400">
        <v>2</v>
      </c>
      <c r="AD400">
        <v>1</v>
      </c>
      <c r="AE400" t="s">
        <v>1565</v>
      </c>
      <c r="AF400">
        <v>0.5</v>
      </c>
      <c r="AN400" s="8">
        <v>1065</v>
      </c>
      <c r="AO400" t="s">
        <v>690</v>
      </c>
      <c r="AP400" s="10">
        <v>1064</v>
      </c>
      <c r="AQ400" s="3" t="s">
        <v>136</v>
      </c>
      <c r="AR400" s="749" t="s">
        <v>1550</v>
      </c>
      <c r="AV400" s="4"/>
    </row>
    <row r="401" spans="1:48">
      <c r="A401" s="3">
        <v>395</v>
      </c>
      <c r="B401" s="3" t="s">
        <v>1537</v>
      </c>
      <c r="C401" s="6"/>
      <c r="D401">
        <v>1</v>
      </c>
      <c r="E401" s="4">
        <v>0</v>
      </c>
      <c r="F401" s="3"/>
      <c r="G401" s="3">
        <v>1</v>
      </c>
      <c r="H401" s="11" t="s">
        <v>1566</v>
      </c>
      <c r="I401">
        <v>1.33333333333333</v>
      </c>
      <c r="J401">
        <v>1.33333333333333</v>
      </c>
      <c r="K401" s="3"/>
      <c r="L401" s="3">
        <v>1</v>
      </c>
      <c r="M401">
        <v>0.933333333333333</v>
      </c>
      <c r="N401" s="3" t="s">
        <v>1567</v>
      </c>
      <c r="O401">
        <v>1</v>
      </c>
      <c r="P401">
        <v>1.5</v>
      </c>
      <c r="Q401">
        <v>0</v>
      </c>
      <c r="V401">
        <v>1</v>
      </c>
      <c r="W401">
        <v>0</v>
      </c>
      <c r="X401" s="7">
        <v>1</v>
      </c>
      <c r="Y401">
        <v>-0.1</v>
      </c>
      <c r="Z401">
        <v>0</v>
      </c>
      <c r="AP401" s="10">
        <v>1066</v>
      </c>
      <c r="AQ401" s="3" t="s">
        <v>136</v>
      </c>
      <c r="AR401" s="11"/>
      <c r="AV401" s="4"/>
    </row>
    <row r="402" spans="1:48">
      <c r="A402" s="3">
        <v>396</v>
      </c>
      <c r="B402" s="3" t="s">
        <v>1568</v>
      </c>
      <c r="C402" s="6" t="s">
        <v>1569</v>
      </c>
      <c r="D402">
        <v>1</v>
      </c>
      <c r="E402" s="4">
        <v>0</v>
      </c>
      <c r="F402" s="3"/>
      <c r="G402" s="3">
        <v>1</v>
      </c>
      <c r="H402" s="11" t="s">
        <v>1570</v>
      </c>
      <c r="I402">
        <v>2.4</v>
      </c>
      <c r="J402">
        <v>2.4</v>
      </c>
      <c r="K402" s="3"/>
      <c r="L402" s="3">
        <v>1</v>
      </c>
      <c r="M402">
        <v>2</v>
      </c>
      <c r="N402" s="3" t="s">
        <v>1571</v>
      </c>
      <c r="O402">
        <v>1</v>
      </c>
      <c r="P402">
        <v>1.8</v>
      </c>
      <c r="Q402">
        <v>0</v>
      </c>
      <c r="V402">
        <v>6</v>
      </c>
      <c r="W402">
        <v>0</v>
      </c>
      <c r="X402" s="7">
        <v>3</v>
      </c>
      <c r="Y402">
        <v>-0.1</v>
      </c>
      <c r="Z402">
        <v>0</v>
      </c>
      <c r="AP402" s="10">
        <v>1119</v>
      </c>
      <c r="AQ402" s="3" t="s">
        <v>136</v>
      </c>
      <c r="AR402" s="11"/>
      <c r="AV402" s="4">
        <v>1</v>
      </c>
    </row>
    <row r="403" spans="1:48">
      <c r="A403" s="3">
        <v>397</v>
      </c>
      <c r="B403" s="3" t="s">
        <v>1568</v>
      </c>
      <c r="C403" s="6" t="s">
        <v>1572</v>
      </c>
      <c r="D403">
        <v>1</v>
      </c>
      <c r="E403" s="4">
        <v>0</v>
      </c>
      <c r="F403" s="3">
        <v>1</v>
      </c>
      <c r="G403" s="3">
        <v>1</v>
      </c>
      <c r="H403" s="11" t="s">
        <v>1573</v>
      </c>
      <c r="I403">
        <v>2.5</v>
      </c>
      <c r="J403">
        <v>2.5</v>
      </c>
      <c r="K403" s="3"/>
      <c r="L403" s="3">
        <v>1</v>
      </c>
      <c r="M403">
        <v>2.1</v>
      </c>
      <c r="N403" s="3" t="s">
        <v>1574</v>
      </c>
      <c r="O403">
        <v>1</v>
      </c>
      <c r="P403">
        <v>1.8</v>
      </c>
      <c r="Q403">
        <v>0</v>
      </c>
      <c r="V403">
        <v>6</v>
      </c>
      <c r="W403">
        <v>0</v>
      </c>
      <c r="X403" s="7">
        <v>5</v>
      </c>
      <c r="Y403">
        <v>-0.1</v>
      </c>
      <c r="Z403">
        <v>0</v>
      </c>
      <c r="AP403" s="10">
        <v>1120</v>
      </c>
      <c r="AQ403" s="3" t="s">
        <v>136</v>
      </c>
      <c r="AR403" s="11"/>
      <c r="AV403" s="4"/>
    </row>
    <row r="404" spans="1:48">
      <c r="A404" s="3">
        <v>398</v>
      </c>
      <c r="B404" s="3" t="s">
        <v>1568</v>
      </c>
      <c r="C404" s="6" t="s">
        <v>1575</v>
      </c>
      <c r="D404">
        <v>1</v>
      </c>
      <c r="E404" s="4">
        <v>0</v>
      </c>
      <c r="F404" s="3"/>
      <c r="G404" s="3">
        <v>1</v>
      </c>
      <c r="H404" s="11" t="s">
        <v>1576</v>
      </c>
      <c r="I404">
        <v>3.16666666666667</v>
      </c>
      <c r="J404">
        <v>3.16666666666667</v>
      </c>
      <c r="K404" s="3"/>
      <c r="L404" s="3">
        <v>1</v>
      </c>
      <c r="M404">
        <v>2.76666666666667</v>
      </c>
      <c r="N404" s="3" t="s">
        <v>1577</v>
      </c>
      <c r="O404">
        <v>1</v>
      </c>
      <c r="P404">
        <v>1.8</v>
      </c>
      <c r="Q404">
        <v>1</v>
      </c>
      <c r="V404">
        <v>6</v>
      </c>
      <c r="W404">
        <v>4</v>
      </c>
      <c r="X404" s="7">
        <v>3</v>
      </c>
      <c r="Y404">
        <v>-0.1</v>
      </c>
      <c r="Z404">
        <v>0</v>
      </c>
      <c r="AP404" s="10">
        <v>1121</v>
      </c>
      <c r="AQ404" s="3" t="s">
        <v>136</v>
      </c>
      <c r="AR404" s="11"/>
      <c r="AV404" s="4"/>
    </row>
    <row r="405" spans="1:48">
      <c r="A405" s="3">
        <v>399</v>
      </c>
      <c r="B405" s="3" t="s">
        <v>1568</v>
      </c>
      <c r="C405" s="6" t="s">
        <v>1578</v>
      </c>
      <c r="D405">
        <v>1</v>
      </c>
      <c r="E405" s="4">
        <v>0</v>
      </c>
      <c r="F405" s="3"/>
      <c r="G405" s="3">
        <v>1</v>
      </c>
      <c r="H405" s="11" t="s">
        <v>1579</v>
      </c>
      <c r="I405">
        <f>190/30</f>
        <v>6.33333333333333</v>
      </c>
      <c r="J405">
        <f>190/30</f>
        <v>6.33333333333333</v>
      </c>
      <c r="K405" s="3"/>
      <c r="L405" s="3">
        <v>1</v>
      </c>
      <c r="M405">
        <v>6.26666666666667</v>
      </c>
      <c r="N405" s="3" t="s">
        <v>1580</v>
      </c>
      <c r="O405">
        <v>3</v>
      </c>
      <c r="P405">
        <v>-5</v>
      </c>
      <c r="Q405">
        <v>0</v>
      </c>
      <c r="V405">
        <v>6</v>
      </c>
      <c r="W405">
        <v>6</v>
      </c>
      <c r="X405" s="7">
        <v>6</v>
      </c>
      <c r="Y405">
        <v>-0.1</v>
      </c>
      <c r="Z405">
        <v>0</v>
      </c>
      <c r="AB405">
        <v>6.1</v>
      </c>
      <c r="AC405">
        <v>2</v>
      </c>
      <c r="AD405">
        <v>1</v>
      </c>
      <c r="AE405" t="s">
        <v>1581</v>
      </c>
      <c r="AF405">
        <v>0.5</v>
      </c>
      <c r="AG405" t="s">
        <v>1277</v>
      </c>
      <c r="AP405" s="10">
        <v>1122</v>
      </c>
      <c r="AQ405" s="3" t="s">
        <v>136</v>
      </c>
      <c r="AR405" s="749" t="s">
        <v>1550</v>
      </c>
      <c r="AV405" s="4"/>
    </row>
    <row r="406" spans="1:48">
      <c r="A406" s="3">
        <v>400</v>
      </c>
      <c r="B406" s="3" t="s">
        <v>1568</v>
      </c>
      <c r="C406" s="6" t="s">
        <v>1582</v>
      </c>
      <c r="D406">
        <v>1</v>
      </c>
      <c r="E406" s="4">
        <v>0</v>
      </c>
      <c r="F406" s="3"/>
      <c r="G406" s="3">
        <v>1</v>
      </c>
      <c r="H406" s="11" t="s">
        <v>1583</v>
      </c>
      <c r="I406">
        <v>5.33333333333333</v>
      </c>
      <c r="J406">
        <v>5.33333333333333</v>
      </c>
      <c r="K406" s="3"/>
      <c r="L406" s="3">
        <v>1</v>
      </c>
      <c r="M406">
        <v>4.93333333333333</v>
      </c>
      <c r="N406" s="3" t="s">
        <v>1584</v>
      </c>
      <c r="O406">
        <v>1</v>
      </c>
      <c r="P406">
        <v>1.8</v>
      </c>
      <c r="Q406">
        <v>0</v>
      </c>
      <c r="S406">
        <v>-0.8</v>
      </c>
      <c r="U406">
        <v>0.5</v>
      </c>
      <c r="V406">
        <v>6</v>
      </c>
      <c r="W406">
        <v>4</v>
      </c>
      <c r="X406" s="7">
        <v>9</v>
      </c>
      <c r="Y406">
        <v>-0.1</v>
      </c>
      <c r="Z406">
        <v>0</v>
      </c>
      <c r="AP406" s="10">
        <v>1123</v>
      </c>
      <c r="AQ406" s="3" t="s">
        <v>136</v>
      </c>
      <c r="AR406" s="11"/>
      <c r="AV406" s="4"/>
    </row>
    <row r="407" spans="1:48">
      <c r="A407" s="3">
        <v>401</v>
      </c>
      <c r="B407" s="3" t="s">
        <v>1568</v>
      </c>
      <c r="C407" s="6" t="s">
        <v>1585</v>
      </c>
      <c r="D407">
        <v>1</v>
      </c>
      <c r="E407" s="4">
        <v>0</v>
      </c>
      <c r="F407" s="3">
        <v>1</v>
      </c>
      <c r="G407" s="3">
        <v>1</v>
      </c>
      <c r="H407" s="11" t="s">
        <v>1586</v>
      </c>
      <c r="I407">
        <v>2.83333333333333</v>
      </c>
      <c r="J407">
        <v>2.83333333333333</v>
      </c>
      <c r="K407" s="3"/>
      <c r="L407" s="3">
        <v>1</v>
      </c>
      <c r="M407">
        <v>2.43333333333333</v>
      </c>
      <c r="N407" s="3" t="s">
        <v>1587</v>
      </c>
      <c r="O407">
        <v>1</v>
      </c>
      <c r="P407">
        <v>1.8</v>
      </c>
      <c r="Q407">
        <v>0</v>
      </c>
      <c r="S407">
        <v>1</v>
      </c>
      <c r="T407">
        <v>1</v>
      </c>
      <c r="U407">
        <v>0.8</v>
      </c>
      <c r="V407">
        <v>6</v>
      </c>
      <c r="W407">
        <v>0</v>
      </c>
      <c r="X407" s="7">
        <v>2</v>
      </c>
      <c r="Y407">
        <v>-0.1</v>
      </c>
      <c r="Z407">
        <v>0</v>
      </c>
      <c r="AP407" s="10">
        <v>1124</v>
      </c>
      <c r="AQ407" s="3" t="s">
        <v>136</v>
      </c>
      <c r="AR407" s="11"/>
      <c r="AV407" s="4"/>
    </row>
    <row r="408" spans="1:48">
      <c r="A408" s="3">
        <v>402</v>
      </c>
      <c r="B408" s="3" t="s">
        <v>1568</v>
      </c>
      <c r="C408" s="6" t="s">
        <v>1588</v>
      </c>
      <c r="D408">
        <v>1</v>
      </c>
      <c r="E408" s="4">
        <v>0</v>
      </c>
      <c r="F408" s="3">
        <v>1</v>
      </c>
      <c r="G408" s="3">
        <v>1</v>
      </c>
      <c r="H408" s="11" t="s">
        <v>1589</v>
      </c>
      <c r="I408">
        <v>11.4</v>
      </c>
      <c r="J408">
        <v>11.4</v>
      </c>
      <c r="K408" s="3">
        <v>0.5</v>
      </c>
      <c r="L408" s="3">
        <v>1</v>
      </c>
      <c r="M408">
        <v>11</v>
      </c>
      <c r="N408" s="3" t="s">
        <v>1590</v>
      </c>
      <c r="O408">
        <v>1</v>
      </c>
      <c r="P408">
        <v>6</v>
      </c>
      <c r="Q408">
        <v>0</v>
      </c>
      <c r="V408">
        <v>6</v>
      </c>
      <c r="W408">
        <v>0</v>
      </c>
      <c r="X408" s="7">
        <v>12</v>
      </c>
      <c r="Y408">
        <v>-0.1</v>
      </c>
      <c r="Z408">
        <v>0</v>
      </c>
      <c r="AB408">
        <v>11.1</v>
      </c>
      <c r="AC408">
        <v>2</v>
      </c>
      <c r="AD408">
        <v>1</v>
      </c>
      <c r="AE408" t="s">
        <v>1591</v>
      </c>
      <c r="AF408">
        <v>0.5</v>
      </c>
      <c r="AG408" t="s">
        <v>1592</v>
      </c>
      <c r="AP408" s="10">
        <v>1125</v>
      </c>
      <c r="AQ408" s="3" t="s">
        <v>136</v>
      </c>
      <c r="AR408" s="749" t="s">
        <v>1550</v>
      </c>
      <c r="AV408" s="4"/>
    </row>
    <row r="409" ht="21" customHeight="1" spans="1:48">
      <c r="A409" s="3">
        <v>403</v>
      </c>
      <c r="B409" s="3" t="s">
        <v>1568</v>
      </c>
      <c r="C409" s="6" t="s">
        <v>1593</v>
      </c>
      <c r="D409">
        <v>1</v>
      </c>
      <c r="E409" s="4">
        <v>0</v>
      </c>
      <c r="F409" s="3">
        <v>1</v>
      </c>
      <c r="G409" s="3">
        <v>1</v>
      </c>
      <c r="H409" s="11" t="s">
        <v>1594</v>
      </c>
      <c r="I409">
        <v>9</v>
      </c>
      <c r="J409">
        <v>9</v>
      </c>
      <c r="K409" s="3"/>
      <c r="L409" s="3">
        <v>1</v>
      </c>
      <c r="M409">
        <v>8.6</v>
      </c>
      <c r="N409" s="3" t="s">
        <v>1595</v>
      </c>
      <c r="O409">
        <v>1</v>
      </c>
      <c r="P409">
        <v>3.7</v>
      </c>
      <c r="Q409">
        <v>0</v>
      </c>
      <c r="V409">
        <v>6</v>
      </c>
      <c r="W409">
        <v>0</v>
      </c>
      <c r="X409" s="7">
        <v>9</v>
      </c>
      <c r="Y409">
        <v>-0.1</v>
      </c>
      <c r="Z409">
        <v>0</v>
      </c>
      <c r="AB409">
        <v>8.8</v>
      </c>
      <c r="AC409">
        <v>2</v>
      </c>
      <c r="AD409">
        <v>1</v>
      </c>
      <c r="AE409" t="s">
        <v>1596</v>
      </c>
      <c r="AF409">
        <v>0.5</v>
      </c>
      <c r="AP409" s="10">
        <v>1126</v>
      </c>
      <c r="AQ409" s="3" t="s">
        <v>136</v>
      </c>
      <c r="AR409" s="749" t="s">
        <v>1550</v>
      </c>
      <c r="AV409" s="4"/>
    </row>
    <row r="410" spans="1:48">
      <c r="A410" s="3">
        <v>404</v>
      </c>
      <c r="B410" s="249" t="s">
        <v>1597</v>
      </c>
      <c r="C410" s="6"/>
      <c r="D410">
        <v>1</v>
      </c>
      <c r="E410" s="4">
        <v>0</v>
      </c>
      <c r="F410" s="3">
        <v>1</v>
      </c>
      <c r="G410" s="3">
        <v>1</v>
      </c>
      <c r="H410" s="11">
        <v>5701</v>
      </c>
      <c r="I410">
        <v>2.66666666666667</v>
      </c>
      <c r="J410">
        <v>2.66666666666667</v>
      </c>
      <c r="K410" s="3"/>
      <c r="L410" s="7">
        <v>0</v>
      </c>
      <c r="M410">
        <v>2.26666666666667</v>
      </c>
      <c r="N410" s="3" t="s">
        <v>1598</v>
      </c>
      <c r="O410">
        <v>1</v>
      </c>
      <c r="P410">
        <v>1.8</v>
      </c>
      <c r="Q410">
        <v>0</v>
      </c>
      <c r="V410">
        <v>1</v>
      </c>
      <c r="W410">
        <v>0</v>
      </c>
      <c r="X410" s="7">
        <v>3</v>
      </c>
      <c r="Y410">
        <v>-0.1</v>
      </c>
      <c r="Z410">
        <v>0</v>
      </c>
      <c r="AP410" s="10">
        <v>1106</v>
      </c>
      <c r="AQ410" s="3" t="s">
        <v>136</v>
      </c>
      <c r="AR410" s="11"/>
      <c r="AV410" s="4">
        <v>1</v>
      </c>
    </row>
    <row r="411" spans="1:48">
      <c r="A411" s="3">
        <v>405</v>
      </c>
      <c r="B411" s="249" t="s">
        <v>1597</v>
      </c>
      <c r="C411" s="6">
        <v>1</v>
      </c>
      <c r="D411">
        <v>2</v>
      </c>
      <c r="E411" s="4">
        <v>1</v>
      </c>
      <c r="G411" s="3">
        <v>1</v>
      </c>
      <c r="H411" s="11">
        <v>5702</v>
      </c>
      <c r="I411">
        <v>2.83333333333333</v>
      </c>
      <c r="J411">
        <v>2.83333333333333</v>
      </c>
      <c r="K411" s="3"/>
      <c r="L411" s="7">
        <v>0</v>
      </c>
      <c r="M411">
        <v>2.43333333333333</v>
      </c>
      <c r="N411" s="3" t="s">
        <v>1599</v>
      </c>
      <c r="O411">
        <v>5</v>
      </c>
      <c r="P411">
        <v>0</v>
      </c>
      <c r="Q411">
        <v>0</v>
      </c>
      <c r="S411">
        <v>2</v>
      </c>
      <c r="T411">
        <v>-2</v>
      </c>
      <c r="U411">
        <v>0.8</v>
      </c>
      <c r="V411">
        <v>1000</v>
      </c>
      <c r="W411">
        <v>0</v>
      </c>
      <c r="X411" s="7" t="s">
        <v>302</v>
      </c>
      <c r="Y411">
        <v>-0.1</v>
      </c>
      <c r="Z411">
        <v>0</v>
      </c>
      <c r="AP411" s="10">
        <v>1107</v>
      </c>
      <c r="AQ411" s="3" t="s">
        <v>136</v>
      </c>
      <c r="AR411" s="11"/>
      <c r="AV411" s="4"/>
    </row>
    <row r="412" spans="1:48">
      <c r="A412" s="3">
        <v>406</v>
      </c>
      <c r="B412" s="249" t="s">
        <v>1597</v>
      </c>
      <c r="C412" s="6">
        <v>2</v>
      </c>
      <c r="D412">
        <v>1</v>
      </c>
      <c r="E412" s="4">
        <v>0</v>
      </c>
      <c r="F412" s="3">
        <v>4</v>
      </c>
      <c r="G412" s="3">
        <v>1</v>
      </c>
      <c r="H412" s="11">
        <v>5703</v>
      </c>
      <c r="I412">
        <v>10.3333333333333</v>
      </c>
      <c r="J412">
        <v>10.3333333333333</v>
      </c>
      <c r="K412" s="3"/>
      <c r="L412" s="7">
        <v>1</v>
      </c>
      <c r="M412">
        <v>9.93333333333333</v>
      </c>
      <c r="N412" s="3" t="s">
        <v>1600</v>
      </c>
      <c r="O412">
        <v>3</v>
      </c>
      <c r="P412">
        <v>-7</v>
      </c>
      <c r="Q412">
        <v>0</v>
      </c>
      <c r="V412">
        <v>1</v>
      </c>
      <c r="W412">
        <v>6</v>
      </c>
      <c r="X412" s="7">
        <v>8</v>
      </c>
      <c r="Y412">
        <v>-0.1</v>
      </c>
      <c r="Z412">
        <v>0</v>
      </c>
      <c r="AB412">
        <v>10.1</v>
      </c>
      <c r="AC412">
        <v>1</v>
      </c>
      <c r="AD412">
        <v>1</v>
      </c>
      <c r="AE412" t="s">
        <v>1601</v>
      </c>
      <c r="AF412">
        <v>0.5</v>
      </c>
      <c r="AP412" s="10">
        <v>1111</v>
      </c>
      <c r="AQ412" s="3" t="s">
        <v>136</v>
      </c>
      <c r="AR412" s="749" t="s">
        <v>1550</v>
      </c>
      <c r="AV412" s="4"/>
    </row>
    <row r="413" spans="1:48">
      <c r="A413" s="3">
        <v>407</v>
      </c>
      <c r="B413" s="249" t="s">
        <v>1597</v>
      </c>
      <c r="C413" s="6">
        <v>3</v>
      </c>
      <c r="D413">
        <v>1</v>
      </c>
      <c r="E413" s="4">
        <v>0</v>
      </c>
      <c r="F413" s="3">
        <v>2</v>
      </c>
      <c r="G413" s="3">
        <v>1</v>
      </c>
      <c r="H413" s="11">
        <v>5704</v>
      </c>
      <c r="I413">
        <v>3</v>
      </c>
      <c r="J413">
        <v>3</v>
      </c>
      <c r="K413" s="3"/>
      <c r="L413" s="7">
        <v>1</v>
      </c>
      <c r="M413">
        <v>2.6</v>
      </c>
      <c r="N413" s="3" t="s">
        <v>1602</v>
      </c>
      <c r="O413">
        <v>1</v>
      </c>
      <c r="P413">
        <v>1.8</v>
      </c>
      <c r="Q413">
        <v>0</v>
      </c>
      <c r="S413">
        <v>1</v>
      </c>
      <c r="T413">
        <v>1</v>
      </c>
      <c r="U413">
        <v>0.8</v>
      </c>
      <c r="V413">
        <v>1</v>
      </c>
      <c r="W413">
        <v>0</v>
      </c>
      <c r="X413" s="7">
        <v>3</v>
      </c>
      <c r="Y413">
        <v>-0.1</v>
      </c>
      <c r="Z413">
        <v>0</v>
      </c>
      <c r="AI413">
        <v>1</v>
      </c>
      <c r="AJ413">
        <v>1</v>
      </c>
      <c r="AK413" t="s">
        <v>1603</v>
      </c>
      <c r="AL413">
        <v>1.16666666666667</v>
      </c>
      <c r="AM413">
        <v>1.3</v>
      </c>
      <c r="AP413" s="10">
        <v>1112</v>
      </c>
      <c r="AQ413" s="3" t="s">
        <v>136</v>
      </c>
      <c r="AV413" s="4"/>
    </row>
    <row r="414" spans="1:48">
      <c r="A414" s="3">
        <v>408</v>
      </c>
      <c r="B414" s="249" t="s">
        <v>1597</v>
      </c>
      <c r="C414" s="6">
        <v>4</v>
      </c>
      <c r="D414">
        <v>1</v>
      </c>
      <c r="E414" s="4">
        <v>0</v>
      </c>
      <c r="F414" s="3">
        <v>2</v>
      </c>
      <c r="G414" s="3">
        <v>1</v>
      </c>
      <c r="H414" s="11">
        <v>5705</v>
      </c>
      <c r="I414">
        <v>2.33333333333333</v>
      </c>
      <c r="J414">
        <v>2.33333333333333</v>
      </c>
      <c r="K414" s="3"/>
      <c r="L414" s="7">
        <v>1</v>
      </c>
      <c r="M414">
        <v>1.93333333333333</v>
      </c>
      <c r="N414" s="3" t="s">
        <v>1604</v>
      </c>
      <c r="O414">
        <v>1</v>
      </c>
      <c r="P414">
        <v>1.8</v>
      </c>
      <c r="Q414">
        <v>1</v>
      </c>
      <c r="S414">
        <v>1</v>
      </c>
      <c r="T414">
        <v>1</v>
      </c>
      <c r="U414">
        <v>0.8</v>
      </c>
      <c r="V414">
        <v>1</v>
      </c>
      <c r="W414">
        <v>0</v>
      </c>
      <c r="X414" s="7">
        <v>6</v>
      </c>
      <c r="Y414">
        <v>-0.1</v>
      </c>
      <c r="Z414">
        <v>0</v>
      </c>
      <c r="AP414" s="10">
        <v>1163</v>
      </c>
      <c r="AQ414" s="3" t="s">
        <v>136</v>
      </c>
      <c r="AR414" s="11"/>
      <c r="AV414" s="4"/>
    </row>
    <row r="415" spans="1:48">
      <c r="A415" s="3">
        <v>409</v>
      </c>
      <c r="B415" s="249" t="s">
        <v>1597</v>
      </c>
      <c r="C415" s="6">
        <v>5</v>
      </c>
      <c r="D415">
        <v>2</v>
      </c>
      <c r="E415" s="4">
        <v>1</v>
      </c>
      <c r="F415" s="3"/>
      <c r="G415" s="3">
        <v>1</v>
      </c>
      <c r="H415" s="11">
        <v>5706</v>
      </c>
      <c r="I415">
        <v>1.83333333333333</v>
      </c>
      <c r="J415">
        <v>1.83333333333333</v>
      </c>
      <c r="K415" s="3"/>
      <c r="L415" s="7">
        <v>0</v>
      </c>
      <c r="M415">
        <v>1.43333333333333</v>
      </c>
      <c r="N415" s="3" t="s">
        <v>1605</v>
      </c>
      <c r="O415">
        <v>1</v>
      </c>
      <c r="P415">
        <v>1.8</v>
      </c>
      <c r="Q415">
        <v>0</v>
      </c>
      <c r="S415">
        <v>1</v>
      </c>
      <c r="U415">
        <v>0.8</v>
      </c>
      <c r="V415">
        <v>1</v>
      </c>
      <c r="W415">
        <v>0</v>
      </c>
      <c r="X415" s="7" t="s">
        <v>302</v>
      </c>
      <c r="Y415">
        <v>-0.1</v>
      </c>
      <c r="Z415">
        <v>0</v>
      </c>
      <c r="AP415" s="10">
        <v>1115</v>
      </c>
      <c r="AQ415" s="3" t="s">
        <v>136</v>
      </c>
      <c r="AR415" s="11"/>
      <c r="AV415" s="4"/>
    </row>
    <row r="416" spans="1:48">
      <c r="A416" s="3">
        <v>410</v>
      </c>
      <c r="B416" s="249" t="s">
        <v>1597</v>
      </c>
      <c r="C416" s="6">
        <v>6</v>
      </c>
      <c r="D416">
        <v>1</v>
      </c>
      <c r="E416" s="4">
        <v>0</v>
      </c>
      <c r="F416" s="3">
        <v>3</v>
      </c>
      <c r="G416" s="3">
        <v>1</v>
      </c>
      <c r="H416" s="11">
        <v>5707</v>
      </c>
      <c r="I416">
        <v>8</v>
      </c>
      <c r="J416">
        <v>8</v>
      </c>
      <c r="K416" s="3"/>
      <c r="L416" s="7">
        <v>1</v>
      </c>
      <c r="M416">
        <v>7.6</v>
      </c>
      <c r="N416" s="3" t="s">
        <v>1606</v>
      </c>
      <c r="O416">
        <v>3</v>
      </c>
      <c r="P416">
        <v>-8.5</v>
      </c>
      <c r="Q416">
        <v>0</v>
      </c>
      <c r="V416">
        <v>1</v>
      </c>
      <c r="W416">
        <v>6</v>
      </c>
      <c r="X416" s="7">
        <v>1</v>
      </c>
      <c r="Y416">
        <v>-0.1</v>
      </c>
      <c r="Z416">
        <v>0</v>
      </c>
      <c r="AB416">
        <v>7.8</v>
      </c>
      <c r="AC416">
        <v>2</v>
      </c>
      <c r="AD416">
        <v>1</v>
      </c>
      <c r="AE416" t="s">
        <v>1607</v>
      </c>
      <c r="AF416">
        <v>0.5</v>
      </c>
      <c r="AP416" s="10">
        <v>1116</v>
      </c>
      <c r="AQ416" s="3" t="s">
        <v>136</v>
      </c>
      <c r="AR416" s="749" t="s">
        <v>1550</v>
      </c>
      <c r="AV416" s="4"/>
    </row>
    <row r="417" spans="1:48">
      <c r="A417" s="3">
        <v>411</v>
      </c>
      <c r="B417" s="249" t="s">
        <v>1597</v>
      </c>
      <c r="C417" s="6">
        <v>7</v>
      </c>
      <c r="D417">
        <v>1</v>
      </c>
      <c r="E417" s="4">
        <v>0</v>
      </c>
      <c r="F417" s="3"/>
      <c r="G417" s="3">
        <v>1</v>
      </c>
      <c r="H417" s="11">
        <v>5708</v>
      </c>
      <c r="I417">
        <v>7.33333333333333</v>
      </c>
      <c r="J417">
        <v>7.33333333333333</v>
      </c>
      <c r="K417" s="3"/>
      <c r="L417" s="7">
        <v>1</v>
      </c>
      <c r="M417">
        <v>6.93333333333333</v>
      </c>
      <c r="O417">
        <v>1</v>
      </c>
      <c r="P417">
        <v>1.8</v>
      </c>
      <c r="Q417">
        <v>0</v>
      </c>
      <c r="V417">
        <v>1</v>
      </c>
      <c r="W417">
        <v>6</v>
      </c>
      <c r="X417" s="7">
        <v>1</v>
      </c>
      <c r="Y417">
        <v>-0.1</v>
      </c>
      <c r="Z417">
        <v>0</v>
      </c>
      <c r="AD417">
        <v>1</v>
      </c>
      <c r="AE417" t="s">
        <v>1608</v>
      </c>
      <c r="AF417">
        <v>0.5</v>
      </c>
      <c r="AP417" s="10">
        <v>1117</v>
      </c>
      <c r="AQ417" s="3" t="s">
        <v>136</v>
      </c>
      <c r="AR417" s="749" t="s">
        <v>1550</v>
      </c>
      <c r="AV417" s="4"/>
    </row>
    <row r="418" spans="1:48">
      <c r="A418" s="3">
        <v>412</v>
      </c>
      <c r="B418" s="249" t="s">
        <v>1597</v>
      </c>
      <c r="C418" s="6">
        <v>8</v>
      </c>
      <c r="D418">
        <v>1</v>
      </c>
      <c r="E418" s="4">
        <v>0</v>
      </c>
      <c r="F418">
        <v>5</v>
      </c>
      <c r="G418">
        <v>1</v>
      </c>
      <c r="H418" s="82">
        <v>5709</v>
      </c>
      <c r="I418">
        <v>10.3333333333333</v>
      </c>
      <c r="J418">
        <v>10.3333333333333</v>
      </c>
      <c r="L418" s="7">
        <v>1</v>
      </c>
      <c r="M418">
        <v>9.93333333333333</v>
      </c>
      <c r="N418" t="s">
        <v>1609</v>
      </c>
      <c r="O418">
        <v>1</v>
      </c>
      <c r="P418">
        <v>1.8</v>
      </c>
      <c r="Q418">
        <v>0</v>
      </c>
      <c r="V418">
        <v>1</v>
      </c>
      <c r="W418">
        <v>0</v>
      </c>
      <c r="X418" s="7">
        <v>4</v>
      </c>
      <c r="Y418">
        <v>-0.1</v>
      </c>
      <c r="Z418">
        <v>0</v>
      </c>
      <c r="AD418">
        <v>1</v>
      </c>
      <c r="AE418" t="s">
        <v>1610</v>
      </c>
      <c r="AF418">
        <v>0.5</v>
      </c>
      <c r="AP418" s="10">
        <v>1118</v>
      </c>
      <c r="AQ418" s="3" t="s">
        <v>136</v>
      </c>
      <c r="AR418" s="11"/>
      <c r="AV418" s="4"/>
    </row>
    <row r="419" spans="1:48">
      <c r="A419" s="3">
        <v>413</v>
      </c>
      <c r="B419" s="3" t="s">
        <v>1611</v>
      </c>
      <c r="C419" s="3" t="s">
        <v>1612</v>
      </c>
      <c r="D419">
        <v>1</v>
      </c>
      <c r="E419">
        <v>0</v>
      </c>
      <c r="F419" s="3"/>
      <c r="G419" s="3">
        <v>1</v>
      </c>
      <c r="H419" s="5" t="s">
        <v>1613</v>
      </c>
      <c r="I419">
        <v>2.83333333333333</v>
      </c>
      <c r="J419">
        <v>2.83333333333333</v>
      </c>
      <c r="K419" s="3"/>
      <c r="L419">
        <v>0</v>
      </c>
      <c r="M419">
        <f t="shared" ref="M419:M420" si="22">I419-0.4</f>
        <v>2.43333333333333</v>
      </c>
      <c r="N419" s="3" t="s">
        <v>1475</v>
      </c>
      <c r="O419">
        <v>1</v>
      </c>
      <c r="P419">
        <v>2</v>
      </c>
      <c r="Q419">
        <v>0</v>
      </c>
      <c r="S419">
        <v>0</v>
      </c>
      <c r="U419">
        <v>0.8</v>
      </c>
      <c r="V419">
        <v>1</v>
      </c>
      <c r="W419">
        <v>0</v>
      </c>
      <c r="X419" s="218">
        <v>4</v>
      </c>
      <c r="Y419">
        <v>-0.1</v>
      </c>
      <c r="Z419">
        <v>0</v>
      </c>
      <c r="AF419">
        <f>IF(AD419=--1,0.5,0)</f>
        <v>0</v>
      </c>
      <c r="AP419" s="9">
        <v>1136</v>
      </c>
      <c r="AQ419" s="3" t="s">
        <v>136</v>
      </c>
      <c r="AR419" s="11"/>
      <c r="AV419">
        <v>1</v>
      </c>
    </row>
    <row r="420" spans="1:48">
      <c r="A420" s="3">
        <v>414</v>
      </c>
      <c r="B420" s="3" t="s">
        <v>1537</v>
      </c>
      <c r="C420" s="3"/>
      <c r="D420">
        <v>2</v>
      </c>
      <c r="E420" s="4">
        <v>1</v>
      </c>
      <c r="F420" s="3"/>
      <c r="G420" s="3">
        <v>1</v>
      </c>
      <c r="H420" s="11" t="s">
        <v>1614</v>
      </c>
      <c r="I420">
        <v>4.33333333333333</v>
      </c>
      <c r="J420">
        <v>4.33333333333333</v>
      </c>
      <c r="K420" s="3"/>
      <c r="L420" s="28">
        <v>0</v>
      </c>
      <c r="M420">
        <f t="shared" si="22"/>
        <v>3.93333333333333</v>
      </c>
      <c r="N420" s="254" t="s">
        <v>1615</v>
      </c>
      <c r="O420">
        <v>5</v>
      </c>
      <c r="P420">
        <v>0</v>
      </c>
      <c r="Q420">
        <v>0</v>
      </c>
      <c r="V420">
        <v>101</v>
      </c>
      <c r="W420">
        <v>16</v>
      </c>
      <c r="X420" s="218">
        <v>0</v>
      </c>
      <c r="Y420">
        <v>-0.1</v>
      </c>
      <c r="Z420">
        <v>0</v>
      </c>
      <c r="AP420" s="10">
        <v>1060</v>
      </c>
      <c r="AQ420" s="3" t="s">
        <v>136</v>
      </c>
      <c r="AR420" s="11"/>
      <c r="AV420" s="4"/>
    </row>
    <row r="421" spans="1:48">
      <c r="A421" s="3">
        <v>415</v>
      </c>
      <c r="B421" s="3" t="s">
        <v>1537</v>
      </c>
      <c r="C421" s="3"/>
      <c r="D421">
        <v>4</v>
      </c>
      <c r="E421" s="4">
        <v>0</v>
      </c>
      <c r="F421" s="3"/>
      <c r="G421" s="3">
        <v>1</v>
      </c>
      <c r="H421" s="11" t="s">
        <v>1616</v>
      </c>
      <c r="I421">
        <v>1.26666666666667</v>
      </c>
      <c r="J421">
        <v>1.26666666666667</v>
      </c>
      <c r="K421" s="3"/>
      <c r="L421" s="28">
        <v>0</v>
      </c>
      <c r="M421">
        <v>1.6</v>
      </c>
      <c r="N421" s="3" t="s">
        <v>1617</v>
      </c>
      <c r="O421">
        <v>5</v>
      </c>
      <c r="P421">
        <v>0</v>
      </c>
      <c r="Q421">
        <v>0</v>
      </c>
      <c r="V421">
        <v>1</v>
      </c>
      <c r="W421">
        <v>0</v>
      </c>
      <c r="X421" s="218">
        <v>1</v>
      </c>
      <c r="Y421">
        <v>-0.1</v>
      </c>
      <c r="Z421">
        <v>0</v>
      </c>
      <c r="AP421" s="10"/>
      <c r="AQ421" s="3"/>
      <c r="AR421" s="11"/>
      <c r="AV421" s="4"/>
    </row>
    <row r="422" s="29" customFormat="1" spans="1:48">
      <c r="A422" s="250">
        <v>416</v>
      </c>
      <c r="B422" s="250" t="s">
        <v>1618</v>
      </c>
      <c r="C422" s="251" t="s">
        <v>1619</v>
      </c>
      <c r="D422" s="29">
        <v>1</v>
      </c>
      <c r="E422" s="29">
        <v>0</v>
      </c>
      <c r="F422" s="250"/>
      <c r="G422" s="250">
        <v>1</v>
      </c>
      <c r="H422" s="252" t="s">
        <v>1620</v>
      </c>
      <c r="I422" s="29">
        <v>2.26666666666667</v>
      </c>
      <c r="J422" s="29">
        <v>2.26666666666667</v>
      </c>
      <c r="K422" s="250"/>
      <c r="L422" s="29">
        <v>0</v>
      </c>
      <c r="M422" s="29">
        <f t="shared" ref="M422:M434" si="23">I422-0.4</f>
        <v>1.86666666666667</v>
      </c>
      <c r="N422" s="250" t="s">
        <v>1621</v>
      </c>
      <c r="O422" s="29">
        <v>1</v>
      </c>
      <c r="P422" s="29">
        <v>1.75</v>
      </c>
      <c r="Q422" s="29">
        <v>0</v>
      </c>
      <c r="S422" s="29">
        <v>0</v>
      </c>
      <c r="T422" s="29">
        <v>0</v>
      </c>
      <c r="U422" s="29">
        <v>0.5</v>
      </c>
      <c r="V422" s="29">
        <v>1</v>
      </c>
      <c r="W422" s="29">
        <v>0</v>
      </c>
      <c r="X422" s="255">
        <v>3</v>
      </c>
      <c r="Y422" s="29">
        <v>-0.1</v>
      </c>
      <c r="Z422" s="29">
        <v>0</v>
      </c>
      <c r="AN422" s="256"/>
      <c r="AP422" s="257">
        <v>1165</v>
      </c>
      <c r="AQ422" s="250" t="s">
        <v>136</v>
      </c>
      <c r="AR422" s="258"/>
      <c r="AV422" s="29">
        <v>1</v>
      </c>
    </row>
    <row r="423" spans="1:44">
      <c r="A423" s="3">
        <v>417</v>
      </c>
      <c r="B423" s="3" t="s">
        <v>1618</v>
      </c>
      <c r="C423" s="3" t="s">
        <v>1622</v>
      </c>
      <c r="D423">
        <v>1</v>
      </c>
      <c r="E423">
        <v>0</v>
      </c>
      <c r="F423" s="3"/>
      <c r="G423" s="3">
        <v>1</v>
      </c>
      <c r="H423" s="5" t="s">
        <v>1623</v>
      </c>
      <c r="I423">
        <v>3</v>
      </c>
      <c r="J423">
        <v>3</v>
      </c>
      <c r="K423" s="3"/>
      <c r="L423">
        <v>0</v>
      </c>
      <c r="M423">
        <f t="shared" si="23"/>
        <v>2.6</v>
      </c>
      <c r="N423" s="3" t="s">
        <v>1624</v>
      </c>
      <c r="O423">
        <v>1</v>
      </c>
      <c r="P423">
        <v>1.75</v>
      </c>
      <c r="Q423">
        <v>0</v>
      </c>
      <c r="S423">
        <v>0</v>
      </c>
      <c r="T423">
        <v>0</v>
      </c>
      <c r="U423">
        <v>0.5</v>
      </c>
      <c r="V423">
        <v>1</v>
      </c>
      <c r="W423">
        <v>0</v>
      </c>
      <c r="X423" s="7">
        <v>3</v>
      </c>
      <c r="Y423">
        <v>-0.1</v>
      </c>
      <c r="Z423">
        <v>0</v>
      </c>
      <c r="AP423" s="10">
        <v>1166</v>
      </c>
      <c r="AQ423" s="3" t="s">
        <v>136</v>
      </c>
      <c r="AR423" s="11"/>
    </row>
    <row r="424" spans="1:44">
      <c r="A424" s="3">
        <v>418</v>
      </c>
      <c r="B424" s="3" t="s">
        <v>1618</v>
      </c>
      <c r="C424" s="3" t="s">
        <v>1625</v>
      </c>
      <c r="D424">
        <v>1</v>
      </c>
      <c r="E424">
        <v>0</v>
      </c>
      <c r="F424" s="3"/>
      <c r="G424" s="3">
        <v>1</v>
      </c>
      <c r="H424" s="5" t="s">
        <v>1626</v>
      </c>
      <c r="I424">
        <v>2.66666666666667</v>
      </c>
      <c r="J424">
        <v>2.66666666666667</v>
      </c>
      <c r="K424" s="3"/>
      <c r="L424">
        <v>0</v>
      </c>
      <c r="M424">
        <f t="shared" si="23"/>
        <v>2.26666666666667</v>
      </c>
      <c r="N424" s="3" t="s">
        <v>1627</v>
      </c>
      <c r="O424">
        <v>1</v>
      </c>
      <c r="P424">
        <v>1.75</v>
      </c>
      <c r="Q424">
        <v>0</v>
      </c>
      <c r="S424">
        <v>0</v>
      </c>
      <c r="T424">
        <v>0</v>
      </c>
      <c r="U424">
        <v>0.5</v>
      </c>
      <c r="V424">
        <v>1</v>
      </c>
      <c r="W424">
        <v>0</v>
      </c>
      <c r="X424" s="7">
        <v>2</v>
      </c>
      <c r="Y424">
        <v>-0.1</v>
      </c>
      <c r="Z424">
        <v>0</v>
      </c>
      <c r="AP424" s="10">
        <v>1167</v>
      </c>
      <c r="AQ424" s="3" t="s">
        <v>136</v>
      </c>
      <c r="AR424" s="11"/>
    </row>
    <row r="425" spans="1:44">
      <c r="A425" s="3">
        <v>419</v>
      </c>
      <c r="B425" s="3" t="s">
        <v>1618</v>
      </c>
      <c r="C425" s="3" t="s">
        <v>1628</v>
      </c>
      <c r="D425">
        <v>2</v>
      </c>
      <c r="E425">
        <v>1</v>
      </c>
      <c r="F425" s="3"/>
      <c r="G425" s="3">
        <v>1</v>
      </c>
      <c r="H425" s="5" t="s">
        <v>1629</v>
      </c>
      <c r="I425">
        <v>1.66666666666667</v>
      </c>
      <c r="J425">
        <v>1.66666666666667</v>
      </c>
      <c r="K425" s="3"/>
      <c r="L425">
        <v>0</v>
      </c>
      <c r="M425">
        <f t="shared" si="23"/>
        <v>1.26666666666667</v>
      </c>
      <c r="N425" s="3" t="s">
        <v>1630</v>
      </c>
      <c r="O425">
        <v>0</v>
      </c>
      <c r="P425">
        <v>0</v>
      </c>
      <c r="Q425">
        <v>0</v>
      </c>
      <c r="S425">
        <v>2</v>
      </c>
      <c r="T425">
        <v>1</v>
      </c>
      <c r="U425">
        <v>0.5</v>
      </c>
      <c r="V425">
        <v>1000</v>
      </c>
      <c r="W425">
        <v>0</v>
      </c>
      <c r="X425" s="7">
        <v>0</v>
      </c>
      <c r="Y425">
        <v>-0.1</v>
      </c>
      <c r="Z425">
        <v>0</v>
      </c>
      <c r="AP425" s="10">
        <v>1168</v>
      </c>
      <c r="AQ425" s="3" t="s">
        <v>136</v>
      </c>
      <c r="AR425" s="11"/>
    </row>
    <row r="426" spans="1:44">
      <c r="A426" s="3">
        <v>420</v>
      </c>
      <c r="B426" s="3" t="s">
        <v>1618</v>
      </c>
      <c r="C426" s="3" t="s">
        <v>1631</v>
      </c>
      <c r="D426">
        <v>2</v>
      </c>
      <c r="E426">
        <v>1</v>
      </c>
      <c r="F426" s="3"/>
      <c r="G426" s="3">
        <v>1</v>
      </c>
      <c r="H426" s="5" t="s">
        <v>1632</v>
      </c>
      <c r="I426">
        <v>2.16666666666667</v>
      </c>
      <c r="J426">
        <v>2.16666666666667</v>
      </c>
      <c r="K426" s="3"/>
      <c r="L426">
        <v>0</v>
      </c>
      <c r="M426">
        <f t="shared" si="23"/>
        <v>1.76666666666667</v>
      </c>
      <c r="N426" s="3" t="s">
        <v>1633</v>
      </c>
      <c r="O426">
        <v>5</v>
      </c>
      <c r="P426">
        <v>0</v>
      </c>
      <c r="Q426">
        <v>0</v>
      </c>
      <c r="S426">
        <v>1</v>
      </c>
      <c r="T426">
        <v>0</v>
      </c>
      <c r="U426">
        <v>0.5</v>
      </c>
      <c r="V426">
        <v>1000</v>
      </c>
      <c r="W426">
        <v>0</v>
      </c>
      <c r="X426" s="7">
        <v>0</v>
      </c>
      <c r="Y426">
        <v>-0.1</v>
      </c>
      <c r="Z426">
        <v>0</v>
      </c>
      <c r="AP426" s="10">
        <v>1169</v>
      </c>
      <c r="AQ426" s="3" t="s">
        <v>136</v>
      </c>
      <c r="AR426" s="11"/>
    </row>
    <row r="427" spans="1:44">
      <c r="A427" s="3">
        <v>421</v>
      </c>
      <c r="B427" s="3" t="s">
        <v>1618</v>
      </c>
      <c r="C427" s="3" t="s">
        <v>1634</v>
      </c>
      <c r="D427">
        <v>1</v>
      </c>
      <c r="E427">
        <v>0</v>
      </c>
      <c r="F427" s="3"/>
      <c r="G427" s="3">
        <v>1</v>
      </c>
      <c r="H427" s="5" t="s">
        <v>1635</v>
      </c>
      <c r="I427">
        <v>10</v>
      </c>
      <c r="J427">
        <v>10</v>
      </c>
      <c r="K427" s="3"/>
      <c r="L427">
        <v>1</v>
      </c>
      <c r="M427">
        <f t="shared" si="23"/>
        <v>9.6</v>
      </c>
      <c r="N427" s="3" t="s">
        <v>1636</v>
      </c>
      <c r="O427">
        <v>1</v>
      </c>
      <c r="P427">
        <f>10.37+5</f>
        <v>15.37</v>
      </c>
      <c r="Q427">
        <v>0</v>
      </c>
      <c r="V427">
        <v>1</v>
      </c>
      <c r="W427">
        <v>0</v>
      </c>
      <c r="X427" s="7">
        <v>6</v>
      </c>
      <c r="Y427">
        <v>-0.1</v>
      </c>
      <c r="Z427">
        <v>0</v>
      </c>
      <c r="AB427">
        <v>9.75</v>
      </c>
      <c r="AC427">
        <v>2</v>
      </c>
      <c r="AD427" s="28">
        <v>1</v>
      </c>
      <c r="AE427" t="s">
        <v>1637</v>
      </c>
      <c r="AF427">
        <v>0.5</v>
      </c>
      <c r="AP427" s="10">
        <v>1170</v>
      </c>
      <c r="AQ427" s="3" t="s">
        <v>136</v>
      </c>
      <c r="AR427" s="749" t="s">
        <v>1550</v>
      </c>
    </row>
    <row r="428" spans="1:44">
      <c r="A428" s="3">
        <v>422</v>
      </c>
      <c r="B428" s="3" t="s">
        <v>1618</v>
      </c>
      <c r="C428" s="3" t="s">
        <v>1638</v>
      </c>
      <c r="D428">
        <v>1</v>
      </c>
      <c r="E428">
        <v>0</v>
      </c>
      <c r="F428" s="3"/>
      <c r="G428" s="3">
        <v>1</v>
      </c>
      <c r="H428" s="5" t="s">
        <v>1639</v>
      </c>
      <c r="I428">
        <v>6</v>
      </c>
      <c r="J428">
        <v>6</v>
      </c>
      <c r="K428" s="3"/>
      <c r="L428">
        <v>1</v>
      </c>
      <c r="M428">
        <f t="shared" si="23"/>
        <v>5.6</v>
      </c>
      <c r="N428" s="3" t="s">
        <v>1640</v>
      </c>
      <c r="O428">
        <v>1</v>
      </c>
      <c r="P428">
        <v>13.65</v>
      </c>
      <c r="Q428">
        <v>0</v>
      </c>
      <c r="V428">
        <v>1</v>
      </c>
      <c r="W428">
        <v>0</v>
      </c>
      <c r="X428" s="7">
        <v>9</v>
      </c>
      <c r="Y428">
        <v>-0.1</v>
      </c>
      <c r="Z428">
        <v>0</v>
      </c>
      <c r="AB428">
        <v>5.7</v>
      </c>
      <c r="AC428">
        <v>2</v>
      </c>
      <c r="AD428" s="28">
        <v>1</v>
      </c>
      <c r="AE428" t="s">
        <v>1641</v>
      </c>
      <c r="AF428">
        <v>0.5</v>
      </c>
      <c r="AH428">
        <v>1</v>
      </c>
      <c r="AP428" s="10">
        <v>1187</v>
      </c>
      <c r="AQ428" s="3" t="s">
        <v>136</v>
      </c>
      <c r="AR428" s="749" t="s">
        <v>1550</v>
      </c>
    </row>
    <row r="429" spans="1:44">
      <c r="A429" s="3">
        <v>423</v>
      </c>
      <c r="B429" s="3" t="s">
        <v>1618</v>
      </c>
      <c r="C429" s="3" t="s">
        <v>1642</v>
      </c>
      <c r="D429">
        <v>1</v>
      </c>
      <c r="E429">
        <v>0</v>
      </c>
      <c r="F429" s="3"/>
      <c r="G429" s="3">
        <v>1</v>
      </c>
      <c r="H429" s="5" t="s">
        <v>1643</v>
      </c>
      <c r="I429">
        <f>360/30</f>
        <v>12</v>
      </c>
      <c r="J429">
        <f>360/30</f>
        <v>12</v>
      </c>
      <c r="K429" s="3"/>
      <c r="L429">
        <v>1</v>
      </c>
      <c r="M429">
        <v>11</v>
      </c>
      <c r="N429" s="3" t="s">
        <v>1644</v>
      </c>
      <c r="O429">
        <v>1</v>
      </c>
      <c r="P429">
        <v>10.37</v>
      </c>
      <c r="Q429">
        <v>0</v>
      </c>
      <c r="V429">
        <v>1</v>
      </c>
      <c r="W429">
        <v>0</v>
      </c>
      <c r="X429" s="7">
        <v>2</v>
      </c>
      <c r="Y429">
        <v>-0.1</v>
      </c>
      <c r="Z429">
        <v>0</v>
      </c>
      <c r="AB429">
        <v>11.7</v>
      </c>
      <c r="AC429">
        <v>1</v>
      </c>
      <c r="AD429" s="28">
        <v>1</v>
      </c>
      <c r="AE429" t="s">
        <v>1645</v>
      </c>
      <c r="AF429">
        <v>0.5</v>
      </c>
      <c r="AP429" s="10">
        <v>1188</v>
      </c>
      <c r="AQ429" s="3" t="s">
        <v>136</v>
      </c>
      <c r="AR429" s="749" t="s">
        <v>1550</v>
      </c>
    </row>
    <row r="430" spans="1:48">
      <c r="A430" s="3">
        <v>424</v>
      </c>
      <c r="B430" s="3" t="s">
        <v>1646</v>
      </c>
      <c r="C430" s="253" t="s">
        <v>1619</v>
      </c>
      <c r="D430">
        <v>1</v>
      </c>
      <c r="E430">
        <v>0</v>
      </c>
      <c r="F430" s="3"/>
      <c r="G430" s="3">
        <v>1</v>
      </c>
      <c r="H430" s="5" t="s">
        <v>1647</v>
      </c>
      <c r="I430">
        <v>3.16666666666667</v>
      </c>
      <c r="J430">
        <v>3.16666666666667</v>
      </c>
      <c r="K430" s="3"/>
      <c r="L430">
        <v>0</v>
      </c>
      <c r="M430">
        <f t="shared" si="23"/>
        <v>2.76666666666667</v>
      </c>
      <c r="N430" s="3" t="s">
        <v>1648</v>
      </c>
      <c r="O430">
        <v>1</v>
      </c>
      <c r="P430">
        <v>2.5</v>
      </c>
      <c r="Q430">
        <v>0</v>
      </c>
      <c r="U430">
        <v>0.5</v>
      </c>
      <c r="V430">
        <v>1</v>
      </c>
      <c r="W430">
        <v>0</v>
      </c>
      <c r="X430" s="7">
        <v>2</v>
      </c>
      <c r="Y430">
        <v>-0.1</v>
      </c>
      <c r="Z430">
        <v>0</v>
      </c>
      <c r="AP430" s="10">
        <v>1160</v>
      </c>
      <c r="AQ430" s="3" t="s">
        <v>136</v>
      </c>
      <c r="AR430" s="11"/>
      <c r="AV430">
        <v>1</v>
      </c>
    </row>
    <row r="431" spans="1:44">
      <c r="A431" s="3">
        <v>425</v>
      </c>
      <c r="B431" s="3" t="s">
        <v>1646</v>
      </c>
      <c r="C431" s="3" t="s">
        <v>1622</v>
      </c>
      <c r="D431">
        <v>1</v>
      </c>
      <c r="E431">
        <v>0</v>
      </c>
      <c r="F431" s="3"/>
      <c r="G431" s="3">
        <v>1</v>
      </c>
      <c r="H431" s="5" t="s">
        <v>1649</v>
      </c>
      <c r="I431">
        <v>3.5</v>
      </c>
      <c r="J431">
        <v>3.5</v>
      </c>
      <c r="K431" s="3"/>
      <c r="L431">
        <v>0</v>
      </c>
      <c r="M431">
        <f t="shared" si="23"/>
        <v>3.1</v>
      </c>
      <c r="N431" s="3" t="s">
        <v>1650</v>
      </c>
      <c r="O431">
        <v>1</v>
      </c>
      <c r="P431">
        <v>2.5</v>
      </c>
      <c r="Q431">
        <v>0</v>
      </c>
      <c r="U431">
        <v>0.5</v>
      </c>
      <c r="V431">
        <v>1</v>
      </c>
      <c r="W431">
        <v>0</v>
      </c>
      <c r="X431" s="7">
        <v>3</v>
      </c>
      <c r="Y431">
        <v>-0.1</v>
      </c>
      <c r="Z431">
        <v>0</v>
      </c>
      <c r="AP431" s="10">
        <v>1161</v>
      </c>
      <c r="AQ431" s="3" t="s">
        <v>136</v>
      </c>
      <c r="AR431" s="11"/>
    </row>
    <row r="432" spans="1:44">
      <c r="A432" s="3">
        <v>426</v>
      </c>
      <c r="B432" s="3" t="s">
        <v>1646</v>
      </c>
      <c r="C432" s="3" t="s">
        <v>1651</v>
      </c>
      <c r="D432">
        <v>1</v>
      </c>
      <c r="E432">
        <v>0</v>
      </c>
      <c r="F432" s="3"/>
      <c r="G432" s="3">
        <v>1</v>
      </c>
      <c r="H432" s="5" t="s">
        <v>1652</v>
      </c>
      <c r="I432">
        <v>2</v>
      </c>
      <c r="J432">
        <v>2</v>
      </c>
      <c r="K432" s="3"/>
      <c r="L432">
        <v>0</v>
      </c>
      <c r="M432">
        <f t="shared" si="23"/>
        <v>1.6</v>
      </c>
      <c r="N432" s="3" t="s">
        <v>1653</v>
      </c>
      <c r="O432">
        <v>1</v>
      </c>
      <c r="P432">
        <v>2.5</v>
      </c>
      <c r="Q432">
        <v>0</v>
      </c>
      <c r="U432">
        <v>0.5</v>
      </c>
      <c r="V432">
        <v>1</v>
      </c>
      <c r="W432">
        <v>0</v>
      </c>
      <c r="X432" s="7">
        <v>3</v>
      </c>
      <c r="Y432">
        <v>-0.1</v>
      </c>
      <c r="Z432">
        <v>0</v>
      </c>
      <c r="AP432" s="10">
        <v>1191</v>
      </c>
      <c r="AQ432" s="3" t="s">
        <v>136</v>
      </c>
      <c r="AR432" s="11"/>
    </row>
    <row r="433" spans="1:44">
      <c r="A433" s="3">
        <v>427</v>
      </c>
      <c r="B433" s="3" t="s">
        <v>1646</v>
      </c>
      <c r="C433" s="3" t="s">
        <v>1654</v>
      </c>
      <c r="D433">
        <v>1</v>
      </c>
      <c r="E433">
        <v>0</v>
      </c>
      <c r="F433" s="3"/>
      <c r="G433" s="3">
        <v>1</v>
      </c>
      <c r="H433" s="5" t="s">
        <v>1655</v>
      </c>
      <c r="I433">
        <v>2.5</v>
      </c>
      <c r="J433">
        <v>2.5</v>
      </c>
      <c r="K433" s="3"/>
      <c r="L433">
        <v>0</v>
      </c>
      <c r="M433">
        <f t="shared" si="23"/>
        <v>2.1</v>
      </c>
      <c r="N433" s="3" t="s">
        <v>1656</v>
      </c>
      <c r="O433">
        <v>1</v>
      </c>
      <c r="P433">
        <v>2.5</v>
      </c>
      <c r="Q433">
        <v>0</v>
      </c>
      <c r="S433">
        <v>1</v>
      </c>
      <c r="U433">
        <v>1.5</v>
      </c>
      <c r="V433">
        <v>1</v>
      </c>
      <c r="W433">
        <v>6</v>
      </c>
      <c r="X433" s="7">
        <v>3</v>
      </c>
      <c r="Y433">
        <v>-0.1</v>
      </c>
      <c r="Z433">
        <v>0</v>
      </c>
      <c r="AP433" s="10">
        <v>1192</v>
      </c>
      <c r="AQ433" s="3" t="s">
        <v>136</v>
      </c>
      <c r="AR433" s="11"/>
    </row>
    <row r="434" spans="1:44">
      <c r="A434" s="3">
        <v>428</v>
      </c>
      <c r="B434" s="3" t="s">
        <v>1646</v>
      </c>
      <c r="C434" s="3" t="s">
        <v>1657</v>
      </c>
      <c r="D434">
        <v>2</v>
      </c>
      <c r="E434">
        <v>1</v>
      </c>
      <c r="F434" s="3"/>
      <c r="G434" s="3">
        <v>1</v>
      </c>
      <c r="H434" s="5" t="s">
        <v>1658</v>
      </c>
      <c r="I434">
        <v>2.5</v>
      </c>
      <c r="J434">
        <v>2.5</v>
      </c>
      <c r="K434" s="3"/>
      <c r="L434">
        <v>0</v>
      </c>
      <c r="M434">
        <f t="shared" si="23"/>
        <v>2.1</v>
      </c>
      <c r="N434" s="3" t="s">
        <v>1659</v>
      </c>
      <c r="O434">
        <v>5</v>
      </c>
      <c r="P434">
        <v>0</v>
      </c>
      <c r="Q434">
        <v>2</v>
      </c>
      <c r="U434">
        <v>0.5</v>
      </c>
      <c r="V434">
        <v>1000</v>
      </c>
      <c r="W434">
        <v>0</v>
      </c>
      <c r="X434" s="7">
        <v>0</v>
      </c>
      <c r="Y434">
        <v>-0.1</v>
      </c>
      <c r="Z434">
        <v>0</v>
      </c>
      <c r="AP434" s="10">
        <v>1189</v>
      </c>
      <c r="AQ434" s="3" t="s">
        <v>136</v>
      </c>
      <c r="AR434" s="11"/>
    </row>
    <row r="435" spans="1:44">
      <c r="A435" s="3">
        <v>429</v>
      </c>
      <c r="B435" s="3" t="s">
        <v>1646</v>
      </c>
      <c r="C435" s="3" t="s">
        <v>1660</v>
      </c>
      <c r="D435">
        <v>1</v>
      </c>
      <c r="E435">
        <v>0</v>
      </c>
      <c r="F435" s="3"/>
      <c r="G435" s="3">
        <v>1</v>
      </c>
      <c r="H435" s="5" t="s">
        <v>1661</v>
      </c>
      <c r="I435">
        <v>5.3</v>
      </c>
      <c r="J435">
        <v>5.3</v>
      </c>
      <c r="K435" s="3"/>
      <c r="L435">
        <v>1</v>
      </c>
      <c r="M435">
        <v>4.7</v>
      </c>
      <c r="N435" s="3" t="s">
        <v>1662</v>
      </c>
      <c r="O435">
        <v>1</v>
      </c>
      <c r="P435">
        <v>-3</v>
      </c>
      <c r="Q435">
        <v>0</v>
      </c>
      <c r="V435">
        <v>1</v>
      </c>
      <c r="W435">
        <v>0</v>
      </c>
      <c r="X435" s="7">
        <v>1</v>
      </c>
      <c r="Y435">
        <v>-0.1</v>
      </c>
      <c r="Z435">
        <v>0</v>
      </c>
      <c r="AD435">
        <v>1</v>
      </c>
      <c r="AE435" t="s">
        <v>1663</v>
      </c>
      <c r="AF435">
        <v>0.5</v>
      </c>
      <c r="AP435" s="10">
        <v>1181</v>
      </c>
      <c r="AQ435" s="3" t="s">
        <v>136</v>
      </c>
      <c r="AR435" s="749" t="s">
        <v>1550</v>
      </c>
    </row>
    <row r="436" spans="1:44">
      <c r="A436" s="3">
        <v>430</v>
      </c>
      <c r="B436" s="3" t="s">
        <v>1646</v>
      </c>
      <c r="C436" s="3" t="s">
        <v>1664</v>
      </c>
      <c r="D436">
        <v>1</v>
      </c>
      <c r="E436">
        <v>0</v>
      </c>
      <c r="F436" s="3"/>
      <c r="G436" s="3">
        <v>1</v>
      </c>
      <c r="H436" s="5" t="s">
        <v>1665</v>
      </c>
      <c r="I436">
        <v>4</v>
      </c>
      <c r="J436">
        <v>4</v>
      </c>
      <c r="K436" s="3"/>
      <c r="L436">
        <v>1</v>
      </c>
      <c r="M436">
        <f>I436-0.4</f>
        <v>3.6</v>
      </c>
      <c r="N436" s="3" t="s">
        <v>1666</v>
      </c>
      <c r="O436">
        <v>1</v>
      </c>
      <c r="P436">
        <v>2.5</v>
      </c>
      <c r="Q436">
        <v>0</v>
      </c>
      <c r="V436">
        <v>1</v>
      </c>
      <c r="W436">
        <v>0</v>
      </c>
      <c r="X436" s="7">
        <v>1</v>
      </c>
      <c r="Y436">
        <v>-0.1</v>
      </c>
      <c r="Z436">
        <v>0</v>
      </c>
      <c r="AD436">
        <v>1</v>
      </c>
      <c r="AE436" t="s">
        <v>1667</v>
      </c>
      <c r="AF436">
        <v>0.5</v>
      </c>
      <c r="AP436" s="10">
        <v>1193</v>
      </c>
      <c r="AQ436" s="3" t="s">
        <v>136</v>
      </c>
      <c r="AR436" s="11"/>
    </row>
    <row r="437" spans="1:44">
      <c r="A437" s="3">
        <v>431</v>
      </c>
      <c r="B437" s="3" t="s">
        <v>1646</v>
      </c>
      <c r="C437" s="3" t="s">
        <v>1668</v>
      </c>
      <c r="D437">
        <v>1</v>
      </c>
      <c r="E437">
        <v>0</v>
      </c>
      <c r="F437" s="3"/>
      <c r="G437" s="3">
        <v>1</v>
      </c>
      <c r="H437" s="5" t="s">
        <v>1669</v>
      </c>
      <c r="I437">
        <f>251/30</f>
        <v>8.36666666666667</v>
      </c>
      <c r="J437">
        <f>251/30</f>
        <v>8.36666666666667</v>
      </c>
      <c r="K437" s="3">
        <v>0.3</v>
      </c>
      <c r="L437">
        <v>1</v>
      </c>
      <c r="M437">
        <f>I437-0.4</f>
        <v>7.96666666666667</v>
      </c>
      <c r="N437" s="3" t="s">
        <v>1670</v>
      </c>
      <c r="O437">
        <v>1</v>
      </c>
      <c r="P437">
        <v>12</v>
      </c>
      <c r="Q437">
        <v>0</v>
      </c>
      <c r="V437">
        <v>1</v>
      </c>
      <c r="W437">
        <v>6</v>
      </c>
      <c r="X437" s="7">
        <v>6</v>
      </c>
      <c r="Y437">
        <v>-0.1</v>
      </c>
      <c r="Z437">
        <v>0</v>
      </c>
      <c r="AD437">
        <v>1</v>
      </c>
      <c r="AE437" t="s">
        <v>1671</v>
      </c>
      <c r="AF437">
        <v>0.5</v>
      </c>
      <c r="AP437" s="10">
        <v>1190</v>
      </c>
      <c r="AQ437" s="3" t="s">
        <v>136</v>
      </c>
      <c r="AR437" s="11"/>
    </row>
    <row r="438" spans="1:44">
      <c r="A438" s="3">
        <v>432</v>
      </c>
      <c r="B438" s="3" t="s">
        <v>1672</v>
      </c>
      <c r="C438" s="3"/>
      <c r="D438">
        <v>1</v>
      </c>
      <c r="E438">
        <v>0</v>
      </c>
      <c r="F438" s="3"/>
      <c r="G438" s="3">
        <v>1</v>
      </c>
      <c r="H438" s="11" t="s">
        <v>1673</v>
      </c>
      <c r="I438">
        <v>3</v>
      </c>
      <c r="J438">
        <v>3</v>
      </c>
      <c r="K438" s="3"/>
      <c r="L438">
        <v>0</v>
      </c>
      <c r="M438">
        <v>2.6</v>
      </c>
      <c r="N438" s="3" t="s">
        <v>1674</v>
      </c>
      <c r="O438">
        <v>1</v>
      </c>
      <c r="P438">
        <v>1.5</v>
      </c>
      <c r="Q438">
        <v>0</v>
      </c>
      <c r="S438">
        <v>0.8</v>
      </c>
      <c r="T438">
        <v>0.8</v>
      </c>
      <c r="U438">
        <v>0.8</v>
      </c>
      <c r="V438">
        <v>6</v>
      </c>
      <c r="W438">
        <v>0</v>
      </c>
      <c r="X438" s="7">
        <v>4</v>
      </c>
      <c r="Y438">
        <v>0.5</v>
      </c>
      <c r="Z438">
        <v>0</v>
      </c>
      <c r="AP438" s="8">
        <v>1172</v>
      </c>
      <c r="AQ438" t="s">
        <v>136</v>
      </c>
      <c r="AR438" s="11"/>
    </row>
    <row r="439" spans="1:44">
      <c r="A439" s="3">
        <v>433</v>
      </c>
      <c r="B439" s="3" t="s">
        <v>1672</v>
      </c>
      <c r="C439" s="3">
        <v>1</v>
      </c>
      <c r="D439">
        <v>1</v>
      </c>
      <c r="E439">
        <v>0</v>
      </c>
      <c r="F439" s="3"/>
      <c r="G439" s="3">
        <v>1</v>
      </c>
      <c r="H439" s="11" t="s">
        <v>1675</v>
      </c>
      <c r="I439">
        <v>3.33333333333333</v>
      </c>
      <c r="J439">
        <v>3.33333333333333</v>
      </c>
      <c r="K439" s="3"/>
      <c r="L439">
        <v>1</v>
      </c>
      <c r="M439">
        <v>2.93333333333333</v>
      </c>
      <c r="N439" s="3" t="s">
        <v>1676</v>
      </c>
      <c r="O439">
        <v>1</v>
      </c>
      <c r="P439">
        <v>1.5</v>
      </c>
      <c r="Q439">
        <v>0</v>
      </c>
      <c r="S439">
        <v>0.8</v>
      </c>
      <c r="T439">
        <v>0.8</v>
      </c>
      <c r="U439">
        <v>0.8</v>
      </c>
      <c r="V439">
        <v>6</v>
      </c>
      <c r="W439">
        <v>0</v>
      </c>
      <c r="X439" s="7">
        <v>3</v>
      </c>
      <c r="Y439">
        <v>-0.1</v>
      </c>
      <c r="Z439">
        <v>0</v>
      </c>
      <c r="AP439" s="10">
        <v>1175</v>
      </c>
      <c r="AQ439" t="s">
        <v>136</v>
      </c>
      <c r="AR439" s="11"/>
    </row>
    <row r="440" spans="1:44">
      <c r="A440" s="3">
        <v>434</v>
      </c>
      <c r="B440" s="3" t="s">
        <v>1672</v>
      </c>
      <c r="C440" s="3">
        <v>2</v>
      </c>
      <c r="D440">
        <v>1</v>
      </c>
      <c r="E440">
        <v>0</v>
      </c>
      <c r="F440" s="3"/>
      <c r="G440" s="3">
        <v>1</v>
      </c>
      <c r="H440" s="11" t="s">
        <v>1677</v>
      </c>
      <c r="I440">
        <v>2.06666666666667</v>
      </c>
      <c r="J440">
        <v>2.06666666666667</v>
      </c>
      <c r="K440" s="3"/>
      <c r="L440">
        <v>1</v>
      </c>
      <c r="M440">
        <v>1.66666666666667</v>
      </c>
      <c r="N440" s="3" t="s">
        <v>1678</v>
      </c>
      <c r="O440">
        <v>1</v>
      </c>
      <c r="P440">
        <v>1.5</v>
      </c>
      <c r="Q440">
        <v>0</v>
      </c>
      <c r="R440">
        <v>1</v>
      </c>
      <c r="S440">
        <v>2</v>
      </c>
      <c r="T440">
        <v>2</v>
      </c>
      <c r="U440">
        <v>1</v>
      </c>
      <c r="V440">
        <v>6</v>
      </c>
      <c r="W440">
        <v>0</v>
      </c>
      <c r="X440" s="7">
        <v>2</v>
      </c>
      <c r="Y440">
        <v>-0.1</v>
      </c>
      <c r="Z440">
        <v>0</v>
      </c>
      <c r="AP440" s="10">
        <v>1180</v>
      </c>
      <c r="AQ440" t="s">
        <v>136</v>
      </c>
      <c r="AR440" s="11"/>
    </row>
    <row r="441" spans="1:44">
      <c r="A441" s="3">
        <v>435</v>
      </c>
      <c r="B441" s="3" t="s">
        <v>1672</v>
      </c>
      <c r="C441" s="3">
        <v>3</v>
      </c>
      <c r="D441">
        <v>1</v>
      </c>
      <c r="E441">
        <v>0</v>
      </c>
      <c r="F441" s="3"/>
      <c r="G441" s="3">
        <v>1</v>
      </c>
      <c r="H441" s="11" t="s">
        <v>1679</v>
      </c>
      <c r="I441">
        <v>3</v>
      </c>
      <c r="J441">
        <v>3</v>
      </c>
      <c r="K441" s="3"/>
      <c r="L441">
        <v>1</v>
      </c>
      <c r="M441">
        <v>2.6</v>
      </c>
      <c r="N441" s="3" t="s">
        <v>1680</v>
      </c>
      <c r="O441">
        <v>1</v>
      </c>
      <c r="P441">
        <v>1.5</v>
      </c>
      <c r="Q441">
        <v>0</v>
      </c>
      <c r="S441">
        <v>1.5</v>
      </c>
      <c r="T441">
        <v>1</v>
      </c>
      <c r="U441">
        <v>1</v>
      </c>
      <c r="V441">
        <v>6</v>
      </c>
      <c r="W441">
        <v>6</v>
      </c>
      <c r="X441" s="7">
        <v>1</v>
      </c>
      <c r="Y441">
        <v>-0.1</v>
      </c>
      <c r="Z441">
        <v>0</v>
      </c>
      <c r="AP441" s="10">
        <v>1182</v>
      </c>
      <c r="AQ441" t="s">
        <v>136</v>
      </c>
      <c r="AR441" s="11"/>
    </row>
    <row r="442" spans="1:44">
      <c r="A442" s="3">
        <v>436</v>
      </c>
      <c r="B442" s="3" t="s">
        <v>1672</v>
      </c>
      <c r="C442" s="3">
        <v>4</v>
      </c>
      <c r="D442">
        <v>1</v>
      </c>
      <c r="E442">
        <v>0</v>
      </c>
      <c r="F442" s="3"/>
      <c r="G442" s="3">
        <v>1</v>
      </c>
      <c r="H442" s="11" t="s">
        <v>1681</v>
      </c>
      <c r="I442">
        <v>2.66666666666667</v>
      </c>
      <c r="J442">
        <v>2.66666666666667</v>
      </c>
      <c r="K442" s="3"/>
      <c r="L442">
        <v>1</v>
      </c>
      <c r="M442">
        <v>2.26666666666667</v>
      </c>
      <c r="N442" s="3" t="s">
        <v>1682</v>
      </c>
      <c r="O442">
        <v>1</v>
      </c>
      <c r="P442">
        <v>1.5</v>
      </c>
      <c r="Q442">
        <v>0</v>
      </c>
      <c r="T442">
        <v>0.8</v>
      </c>
      <c r="U442">
        <v>0.8</v>
      </c>
      <c r="V442">
        <v>6</v>
      </c>
      <c r="W442">
        <v>4</v>
      </c>
      <c r="X442" s="7">
        <v>3</v>
      </c>
      <c r="Y442">
        <v>0.5</v>
      </c>
      <c r="Z442">
        <v>0</v>
      </c>
      <c r="AP442" s="10">
        <v>1184</v>
      </c>
      <c r="AQ442" t="s">
        <v>136</v>
      </c>
      <c r="AR442" s="11"/>
    </row>
    <row r="443" spans="1:44">
      <c r="A443" s="3">
        <v>437</v>
      </c>
      <c r="B443" s="3" t="s">
        <v>1672</v>
      </c>
      <c r="C443" s="3">
        <v>5</v>
      </c>
      <c r="D443">
        <v>1</v>
      </c>
      <c r="E443">
        <v>0</v>
      </c>
      <c r="F443" s="3">
        <v>5</v>
      </c>
      <c r="G443" s="3">
        <v>1</v>
      </c>
      <c r="H443" s="11" t="s">
        <v>1683</v>
      </c>
      <c r="I443">
        <v>10.3333333333333</v>
      </c>
      <c r="J443">
        <v>10.3333333333333</v>
      </c>
      <c r="K443" s="3"/>
      <c r="L443">
        <v>1</v>
      </c>
      <c r="M443">
        <v>9.93333333333333</v>
      </c>
      <c r="N443" s="3" t="s">
        <v>1684</v>
      </c>
      <c r="O443">
        <v>1</v>
      </c>
      <c r="P443">
        <v>11</v>
      </c>
      <c r="Q443">
        <v>0</v>
      </c>
      <c r="V443">
        <v>6</v>
      </c>
      <c r="W443">
        <v>0</v>
      </c>
      <c r="X443" s="7">
        <v>12</v>
      </c>
      <c r="Y443">
        <v>-0.1</v>
      </c>
      <c r="Z443">
        <v>0</v>
      </c>
      <c r="AB443">
        <v>10</v>
      </c>
      <c r="AC443">
        <v>2</v>
      </c>
      <c r="AD443">
        <v>1</v>
      </c>
      <c r="AE443" t="s">
        <v>1685</v>
      </c>
      <c r="AF443">
        <v>0.5</v>
      </c>
      <c r="AN443" s="8">
        <v>1297</v>
      </c>
      <c r="AO443" t="s">
        <v>674</v>
      </c>
      <c r="AP443" s="10">
        <v>1261</v>
      </c>
      <c r="AQ443" s="3" t="s">
        <v>136</v>
      </c>
      <c r="AR443" s="11" t="s">
        <v>1686</v>
      </c>
    </row>
    <row r="444" spans="1:44">
      <c r="A444" s="3">
        <v>438</v>
      </c>
      <c r="B444" s="3" t="s">
        <v>1672</v>
      </c>
      <c r="C444" s="3">
        <v>6</v>
      </c>
      <c r="D444">
        <v>1</v>
      </c>
      <c r="E444">
        <v>0</v>
      </c>
      <c r="F444" s="3">
        <v>5</v>
      </c>
      <c r="G444" s="3">
        <v>1</v>
      </c>
      <c r="H444" s="11" t="s">
        <v>1687</v>
      </c>
      <c r="I444">
        <v>7.66666666666667</v>
      </c>
      <c r="J444">
        <v>7.66666666666667</v>
      </c>
      <c r="K444" s="3"/>
      <c r="L444">
        <v>1</v>
      </c>
      <c r="M444">
        <v>7.26666666666667</v>
      </c>
      <c r="N444" s="3" t="s">
        <v>1688</v>
      </c>
      <c r="O444">
        <v>1</v>
      </c>
      <c r="P444">
        <v>5.5</v>
      </c>
      <c r="Q444">
        <v>0</v>
      </c>
      <c r="V444">
        <v>6</v>
      </c>
      <c r="W444">
        <v>0</v>
      </c>
      <c r="X444" s="7">
        <v>1</v>
      </c>
      <c r="Y444">
        <v>-0.1</v>
      </c>
      <c r="Z444">
        <v>0</v>
      </c>
      <c r="AB444">
        <v>7.3</v>
      </c>
      <c r="AC444">
        <v>2</v>
      </c>
      <c r="AD444">
        <v>1</v>
      </c>
      <c r="AE444" t="s">
        <v>1689</v>
      </c>
      <c r="AF444">
        <v>0.5</v>
      </c>
      <c r="AP444" s="10" t="s">
        <v>1690</v>
      </c>
      <c r="AQ444" s="3" t="s">
        <v>1691</v>
      </c>
      <c r="AR444" s="11"/>
    </row>
    <row r="445" spans="1:44">
      <c r="A445" s="3">
        <v>439</v>
      </c>
      <c r="B445" s="3" t="s">
        <v>1672</v>
      </c>
      <c r="C445" s="3">
        <v>7</v>
      </c>
      <c r="D445">
        <v>1</v>
      </c>
      <c r="E445">
        <v>0</v>
      </c>
      <c r="F445" s="3"/>
      <c r="G445" s="3">
        <v>1</v>
      </c>
      <c r="H445" s="11" t="s">
        <v>1692</v>
      </c>
      <c r="I445">
        <v>10</v>
      </c>
      <c r="J445">
        <v>10</v>
      </c>
      <c r="K445" s="3"/>
      <c r="L445">
        <v>1</v>
      </c>
      <c r="M445">
        <v>9.6</v>
      </c>
      <c r="N445" s="3" t="s">
        <v>1693</v>
      </c>
      <c r="O445">
        <v>3</v>
      </c>
      <c r="P445">
        <v>-5</v>
      </c>
      <c r="Q445">
        <v>0</v>
      </c>
      <c r="V445">
        <v>6</v>
      </c>
      <c r="W445">
        <v>6</v>
      </c>
      <c r="X445" s="7">
        <v>4</v>
      </c>
      <c r="Y445">
        <v>-0.1</v>
      </c>
      <c r="Z445">
        <v>0</v>
      </c>
      <c r="AB445">
        <v>9.7</v>
      </c>
      <c r="AC445">
        <v>2</v>
      </c>
      <c r="AD445">
        <v>1</v>
      </c>
      <c r="AE445" t="s">
        <v>1694</v>
      </c>
      <c r="AF445">
        <v>0.5</v>
      </c>
      <c r="AN445" s="8">
        <v>1313</v>
      </c>
      <c r="AO445" t="s">
        <v>1695</v>
      </c>
      <c r="AP445" s="10">
        <v>1260</v>
      </c>
      <c r="AQ445" t="s">
        <v>136</v>
      </c>
      <c r="AR445" s="11" t="s">
        <v>1686</v>
      </c>
    </row>
    <row r="446" spans="1:48">
      <c r="A446" s="3">
        <v>440</v>
      </c>
      <c r="B446" s="3" t="s">
        <v>1696</v>
      </c>
      <c r="C446" s="3"/>
      <c r="D446">
        <v>1</v>
      </c>
      <c r="E446">
        <v>0</v>
      </c>
      <c r="F446" s="3"/>
      <c r="G446" s="3">
        <v>1</v>
      </c>
      <c r="H446" s="11" t="s">
        <v>1697</v>
      </c>
      <c r="I446">
        <v>2.5</v>
      </c>
      <c r="J446">
        <v>2.5</v>
      </c>
      <c r="K446" s="3"/>
      <c r="L446">
        <v>0</v>
      </c>
      <c r="M446">
        <v>2.1</v>
      </c>
      <c r="N446" s="3" t="s">
        <v>1698</v>
      </c>
      <c r="O446">
        <v>1</v>
      </c>
      <c r="P446">
        <v>1.5</v>
      </c>
      <c r="Q446">
        <v>0</v>
      </c>
      <c r="S446">
        <v>1</v>
      </c>
      <c r="V446">
        <v>1</v>
      </c>
      <c r="W446">
        <v>0</v>
      </c>
      <c r="X446" s="7">
        <v>3</v>
      </c>
      <c r="Y446">
        <v>-0.1</v>
      </c>
      <c r="Z446">
        <v>0</v>
      </c>
      <c r="AP446" s="10">
        <v>1212</v>
      </c>
      <c r="AQ446" t="s">
        <v>136</v>
      </c>
      <c r="AR446" s="11"/>
      <c r="AV446">
        <v>1</v>
      </c>
    </row>
    <row r="447" spans="1:44">
      <c r="A447" s="3">
        <v>441</v>
      </c>
      <c r="B447" s="3" t="s">
        <v>1696</v>
      </c>
      <c r="C447" s="3"/>
      <c r="D447">
        <v>1</v>
      </c>
      <c r="E447">
        <v>0</v>
      </c>
      <c r="F447" s="3">
        <v>5</v>
      </c>
      <c r="G447" s="3">
        <v>1</v>
      </c>
      <c r="H447" s="11" t="s">
        <v>1699</v>
      </c>
      <c r="I447">
        <v>2.3</v>
      </c>
      <c r="J447">
        <v>2.3</v>
      </c>
      <c r="K447" s="3"/>
      <c r="L447">
        <v>1</v>
      </c>
      <c r="M447">
        <v>1.9</v>
      </c>
      <c r="N447" s="3" t="s">
        <v>1700</v>
      </c>
      <c r="O447">
        <v>1</v>
      </c>
      <c r="P447">
        <v>1.5</v>
      </c>
      <c r="Q447">
        <v>0</v>
      </c>
      <c r="S447">
        <v>1</v>
      </c>
      <c r="U447">
        <v>0.8</v>
      </c>
      <c r="V447">
        <v>1</v>
      </c>
      <c r="W447">
        <v>4</v>
      </c>
      <c r="X447" s="7">
        <v>1</v>
      </c>
      <c r="Y447">
        <v>0.5</v>
      </c>
      <c r="Z447">
        <v>0</v>
      </c>
      <c r="AN447" s="8">
        <v>1225</v>
      </c>
      <c r="AO447" t="s">
        <v>690</v>
      </c>
      <c r="AP447" s="10">
        <v>1213</v>
      </c>
      <c r="AQ447" t="s">
        <v>136</v>
      </c>
      <c r="AR447" s="11"/>
    </row>
    <row r="448" spans="1:44">
      <c r="A448" s="3">
        <v>442</v>
      </c>
      <c r="B448" s="3" t="s">
        <v>1696</v>
      </c>
      <c r="C448" s="3"/>
      <c r="D448">
        <v>1</v>
      </c>
      <c r="E448">
        <v>0</v>
      </c>
      <c r="F448" s="3">
        <v>5</v>
      </c>
      <c r="G448" s="3">
        <v>1</v>
      </c>
      <c r="H448" s="11" t="s">
        <v>1701</v>
      </c>
      <c r="I448">
        <v>2.83333333333333</v>
      </c>
      <c r="J448">
        <v>2.83333333333333</v>
      </c>
      <c r="K448" s="3"/>
      <c r="L448">
        <v>1</v>
      </c>
      <c r="M448">
        <v>2.43333333333333</v>
      </c>
      <c r="N448" t="s">
        <v>1702</v>
      </c>
      <c r="O448">
        <v>1</v>
      </c>
      <c r="P448">
        <v>1.5</v>
      </c>
      <c r="Q448">
        <v>0</v>
      </c>
      <c r="S448">
        <v>1</v>
      </c>
      <c r="V448">
        <v>1</v>
      </c>
      <c r="W448">
        <v>0</v>
      </c>
      <c r="X448" s="7">
        <v>8</v>
      </c>
      <c r="Y448">
        <v>-0.1</v>
      </c>
      <c r="Z448">
        <v>0</v>
      </c>
      <c r="AP448" s="10">
        <v>1214</v>
      </c>
      <c r="AQ448" t="s">
        <v>136</v>
      </c>
      <c r="AR448" s="11"/>
    </row>
    <row r="449" spans="1:44">
      <c r="A449" s="3">
        <v>443</v>
      </c>
      <c r="B449" s="3" t="s">
        <v>1696</v>
      </c>
      <c r="C449" s="3"/>
      <c r="D449">
        <v>1</v>
      </c>
      <c r="E449">
        <v>0</v>
      </c>
      <c r="F449" s="3">
        <v>5</v>
      </c>
      <c r="G449" s="3">
        <v>1</v>
      </c>
      <c r="H449" s="11" t="s">
        <v>1703</v>
      </c>
      <c r="I449">
        <v>1.93333333333333</v>
      </c>
      <c r="J449">
        <v>1.93333333333333</v>
      </c>
      <c r="K449" s="3"/>
      <c r="L449">
        <v>1</v>
      </c>
      <c r="M449">
        <v>1.53333333333333</v>
      </c>
      <c r="N449" s="3" t="s">
        <v>1704</v>
      </c>
      <c r="O449">
        <v>1</v>
      </c>
      <c r="P449">
        <v>1.5</v>
      </c>
      <c r="Q449">
        <v>0</v>
      </c>
      <c r="S449">
        <v>1</v>
      </c>
      <c r="V449">
        <v>1</v>
      </c>
      <c r="W449">
        <v>0</v>
      </c>
      <c r="X449" s="7">
        <v>3</v>
      </c>
      <c r="Y449">
        <v>-0.1</v>
      </c>
      <c r="Z449">
        <v>0</v>
      </c>
      <c r="AP449" s="10">
        <v>1215</v>
      </c>
      <c r="AQ449" t="s">
        <v>136</v>
      </c>
      <c r="AR449" s="11"/>
    </row>
    <row r="450" spans="1:45">
      <c r="A450" s="3">
        <v>444</v>
      </c>
      <c r="B450" s="3" t="s">
        <v>1696</v>
      </c>
      <c r="C450" s="3"/>
      <c r="D450">
        <v>1</v>
      </c>
      <c r="E450">
        <v>0</v>
      </c>
      <c r="F450" s="3"/>
      <c r="G450" s="3">
        <v>1</v>
      </c>
      <c r="H450" s="11" t="s">
        <v>1705</v>
      </c>
      <c r="I450">
        <v>11</v>
      </c>
      <c r="J450">
        <v>11</v>
      </c>
      <c r="K450" s="3"/>
      <c r="L450">
        <v>1</v>
      </c>
      <c r="M450">
        <v>10.6</v>
      </c>
      <c r="N450" s="3" t="s">
        <v>1706</v>
      </c>
      <c r="O450">
        <v>1</v>
      </c>
      <c r="P450">
        <v>3</v>
      </c>
      <c r="Q450">
        <v>0</v>
      </c>
      <c r="V450">
        <v>1</v>
      </c>
      <c r="W450">
        <v>0</v>
      </c>
      <c r="X450" s="7">
        <v>10</v>
      </c>
      <c r="Y450">
        <v>-0.1</v>
      </c>
      <c r="Z450">
        <v>0</v>
      </c>
      <c r="AD450">
        <v>1</v>
      </c>
      <c r="AE450" t="s">
        <v>1707</v>
      </c>
      <c r="AF450">
        <v>0.5</v>
      </c>
      <c r="AN450" s="8" t="s">
        <v>1708</v>
      </c>
      <c r="AO450" t="s">
        <v>524</v>
      </c>
      <c r="AP450" s="10">
        <v>1216</v>
      </c>
      <c r="AQ450" t="s">
        <v>136</v>
      </c>
      <c r="AR450" s="11" t="s">
        <v>1686</v>
      </c>
      <c r="AS450" t="s">
        <v>1709</v>
      </c>
    </row>
    <row r="451" spans="1:44">
      <c r="A451" s="3">
        <v>445</v>
      </c>
      <c r="B451" s="3" t="s">
        <v>1696</v>
      </c>
      <c r="C451" s="3"/>
      <c r="D451">
        <v>1</v>
      </c>
      <c r="E451">
        <v>0</v>
      </c>
      <c r="F451" s="3"/>
      <c r="G451" s="3">
        <v>1</v>
      </c>
      <c r="H451" s="11" t="s">
        <v>1710</v>
      </c>
      <c r="I451">
        <v>10.5333333333333</v>
      </c>
      <c r="J451">
        <v>10.5333333333333</v>
      </c>
      <c r="K451" s="3"/>
      <c r="L451">
        <v>1</v>
      </c>
      <c r="M451">
        <v>10.1333333333333</v>
      </c>
      <c r="N451" s="3" t="s">
        <v>1711</v>
      </c>
      <c r="O451">
        <v>1</v>
      </c>
      <c r="P451">
        <v>10</v>
      </c>
      <c r="Q451">
        <v>0</v>
      </c>
      <c r="V451">
        <v>1</v>
      </c>
      <c r="W451">
        <v>6</v>
      </c>
      <c r="X451" s="7">
        <v>5</v>
      </c>
      <c r="Y451">
        <v>-0.1</v>
      </c>
      <c r="Z451">
        <v>0</v>
      </c>
      <c r="AB451">
        <v>10.2</v>
      </c>
      <c r="AC451">
        <v>2</v>
      </c>
      <c r="AD451">
        <v>1</v>
      </c>
      <c r="AE451" t="s">
        <v>1712</v>
      </c>
      <c r="AF451">
        <v>0.5</v>
      </c>
      <c r="AN451" s="8">
        <v>1266</v>
      </c>
      <c r="AO451" t="s">
        <v>690</v>
      </c>
      <c r="AP451" s="10">
        <v>1217</v>
      </c>
      <c r="AQ451" t="s">
        <v>136</v>
      </c>
      <c r="AR451" s="11" t="s">
        <v>1686</v>
      </c>
    </row>
    <row r="452" spans="1:48">
      <c r="A452" s="3">
        <v>446</v>
      </c>
      <c r="B452" s="3" t="s">
        <v>1696</v>
      </c>
      <c r="C452" s="3"/>
      <c r="D452">
        <v>1</v>
      </c>
      <c r="E452">
        <v>0</v>
      </c>
      <c r="F452" s="3"/>
      <c r="G452" s="3">
        <v>1</v>
      </c>
      <c r="H452" s="11" t="s">
        <v>1713</v>
      </c>
      <c r="I452">
        <v>3.16666666666667</v>
      </c>
      <c r="J452">
        <v>3.16666666666667</v>
      </c>
      <c r="K452" s="3"/>
      <c r="L452">
        <v>1</v>
      </c>
      <c r="M452">
        <v>2.76666666666667</v>
      </c>
      <c r="N452" s="3" t="s">
        <v>1714</v>
      </c>
      <c r="O452">
        <v>1</v>
      </c>
      <c r="P452">
        <v>2</v>
      </c>
      <c r="Q452">
        <v>0</v>
      </c>
      <c r="S452">
        <v>1</v>
      </c>
      <c r="T452">
        <v>1</v>
      </c>
      <c r="U452">
        <v>1</v>
      </c>
      <c r="V452">
        <v>1</v>
      </c>
      <c r="W452">
        <v>0</v>
      </c>
      <c r="X452" s="7">
        <v>3</v>
      </c>
      <c r="Y452">
        <v>-0.1</v>
      </c>
      <c r="Z452">
        <v>0</v>
      </c>
      <c r="AP452" s="10">
        <v>1218</v>
      </c>
      <c r="AQ452" t="s">
        <v>136</v>
      </c>
      <c r="AR452" s="11"/>
      <c r="AV452">
        <v>1</v>
      </c>
    </row>
    <row r="453" spans="1:44">
      <c r="A453" s="3">
        <v>447</v>
      </c>
      <c r="B453" s="3" t="s">
        <v>1696</v>
      </c>
      <c r="C453" s="3"/>
      <c r="D453">
        <v>1</v>
      </c>
      <c r="E453">
        <v>0</v>
      </c>
      <c r="F453" s="3"/>
      <c r="G453" s="3">
        <v>1</v>
      </c>
      <c r="H453" s="11" t="s">
        <v>1715</v>
      </c>
      <c r="I453">
        <v>3</v>
      </c>
      <c r="J453">
        <v>3</v>
      </c>
      <c r="K453" s="3"/>
      <c r="L453">
        <v>1</v>
      </c>
      <c r="M453">
        <v>2.6</v>
      </c>
      <c r="N453" s="3" t="s">
        <v>1716</v>
      </c>
      <c r="O453">
        <v>1</v>
      </c>
      <c r="P453">
        <v>2</v>
      </c>
      <c r="Q453">
        <v>0</v>
      </c>
      <c r="U453">
        <v>2</v>
      </c>
      <c r="V453">
        <v>1</v>
      </c>
      <c r="W453">
        <v>6</v>
      </c>
      <c r="X453" s="7">
        <v>3</v>
      </c>
      <c r="Y453">
        <v>-0.1</v>
      </c>
      <c r="Z453">
        <v>0</v>
      </c>
      <c r="AP453" s="10">
        <v>1219</v>
      </c>
      <c r="AQ453" t="s">
        <v>136</v>
      </c>
      <c r="AR453" s="11"/>
    </row>
    <row r="454" spans="1:44">
      <c r="A454" s="3">
        <v>448</v>
      </c>
      <c r="B454" s="3" t="s">
        <v>1696</v>
      </c>
      <c r="C454" s="3"/>
      <c r="D454">
        <v>1</v>
      </c>
      <c r="E454">
        <v>0</v>
      </c>
      <c r="F454" s="3"/>
      <c r="G454" s="3">
        <v>1</v>
      </c>
      <c r="H454" s="11" t="s">
        <v>1717</v>
      </c>
      <c r="I454">
        <v>9</v>
      </c>
      <c r="J454">
        <v>9</v>
      </c>
      <c r="K454" s="3"/>
      <c r="L454">
        <v>1</v>
      </c>
      <c r="M454">
        <v>8.6</v>
      </c>
      <c r="N454" s="3" t="s">
        <v>1718</v>
      </c>
      <c r="O454">
        <v>3</v>
      </c>
      <c r="P454">
        <v>-2</v>
      </c>
      <c r="Q454">
        <v>0</v>
      </c>
      <c r="V454">
        <v>1</v>
      </c>
      <c r="W454">
        <v>6</v>
      </c>
      <c r="X454" s="7">
        <v>1</v>
      </c>
      <c r="Y454">
        <v>-0.1</v>
      </c>
      <c r="Z454">
        <v>0</v>
      </c>
      <c r="AD454">
        <v>1</v>
      </c>
      <c r="AE454" t="s">
        <v>1719</v>
      </c>
      <c r="AF454">
        <v>0.5</v>
      </c>
      <c r="AN454" s="8">
        <v>1268</v>
      </c>
      <c r="AO454" t="s">
        <v>690</v>
      </c>
      <c r="AP454" s="10">
        <v>1220</v>
      </c>
      <c r="AQ454" t="s">
        <v>136</v>
      </c>
      <c r="AR454" s="11" t="s">
        <v>1686</v>
      </c>
    </row>
    <row r="455" spans="1:44">
      <c r="A455" s="3">
        <v>449</v>
      </c>
      <c r="B455" s="3" t="s">
        <v>1720</v>
      </c>
      <c r="C455" s="3" t="s">
        <v>526</v>
      </c>
      <c r="D455">
        <v>1</v>
      </c>
      <c r="E455">
        <v>0</v>
      </c>
      <c r="F455" s="3"/>
      <c r="G455" s="3">
        <v>1</v>
      </c>
      <c r="H455" s="5" t="s">
        <v>1721</v>
      </c>
      <c r="I455">
        <v>2.16666666666667</v>
      </c>
      <c r="J455">
        <v>2.16666666666667</v>
      </c>
      <c r="K455" s="3"/>
      <c r="L455">
        <v>1</v>
      </c>
      <c r="M455">
        <f t="shared" ref="M455:M469" si="24">I455-0.4</f>
        <v>1.76666666666667</v>
      </c>
      <c r="N455" s="3" t="s">
        <v>1722</v>
      </c>
      <c r="O455">
        <v>1</v>
      </c>
      <c r="P455">
        <v>3</v>
      </c>
      <c r="Q455">
        <v>0</v>
      </c>
      <c r="V455">
        <v>1</v>
      </c>
      <c r="W455">
        <v>0</v>
      </c>
      <c r="X455" s="7">
        <v>3</v>
      </c>
      <c r="Y455">
        <v>-0.1</v>
      </c>
      <c r="Z455">
        <v>0</v>
      </c>
      <c r="AP455" s="8">
        <v>1316</v>
      </c>
      <c r="AQ455" t="s">
        <v>136</v>
      </c>
      <c r="AR455" s="11"/>
    </row>
    <row r="456" spans="1:44">
      <c r="A456" s="3">
        <v>450</v>
      </c>
      <c r="B456" s="3" t="s">
        <v>1720</v>
      </c>
      <c r="C456" s="3" t="s">
        <v>1723</v>
      </c>
      <c r="D456">
        <v>1</v>
      </c>
      <c r="E456">
        <v>0</v>
      </c>
      <c r="F456" s="3"/>
      <c r="G456" s="3">
        <v>1</v>
      </c>
      <c r="H456" s="5" t="s">
        <v>1724</v>
      </c>
      <c r="I456">
        <v>1.83333333333333</v>
      </c>
      <c r="J456">
        <v>1.83333333333333</v>
      </c>
      <c r="K456" s="3"/>
      <c r="L456">
        <v>1</v>
      </c>
      <c r="M456">
        <f t="shared" si="24"/>
        <v>1.43333333333333</v>
      </c>
      <c r="N456" s="3" t="s">
        <v>1725</v>
      </c>
      <c r="O456">
        <v>1</v>
      </c>
      <c r="P456">
        <v>3</v>
      </c>
      <c r="Q456">
        <v>0</v>
      </c>
      <c r="V456">
        <v>1</v>
      </c>
      <c r="W456">
        <v>0</v>
      </c>
      <c r="X456" s="7">
        <v>3</v>
      </c>
      <c r="Y456">
        <v>-0.1</v>
      </c>
      <c r="Z456">
        <v>0</v>
      </c>
      <c r="AN456" s="10">
        <v>1337</v>
      </c>
      <c r="AO456" t="s">
        <v>1726</v>
      </c>
      <c r="AR456" s="11"/>
    </row>
    <row r="457" spans="1:44">
      <c r="A457" s="3">
        <v>451</v>
      </c>
      <c r="B457" s="3" t="s">
        <v>1720</v>
      </c>
      <c r="C457" s="3" t="s">
        <v>1727</v>
      </c>
      <c r="D457">
        <v>1</v>
      </c>
      <c r="E457">
        <v>0</v>
      </c>
      <c r="F457" s="3"/>
      <c r="G457" s="3">
        <v>1</v>
      </c>
      <c r="H457" s="5" t="s">
        <v>1728</v>
      </c>
      <c r="I457">
        <v>2.83333333333333</v>
      </c>
      <c r="J457">
        <v>2.83333333333333</v>
      </c>
      <c r="K457" s="3"/>
      <c r="L457">
        <v>1</v>
      </c>
      <c r="M457">
        <f t="shared" si="24"/>
        <v>2.43333333333333</v>
      </c>
      <c r="N457" s="3" t="s">
        <v>1729</v>
      </c>
      <c r="O457">
        <v>1</v>
      </c>
      <c r="P457">
        <v>3</v>
      </c>
      <c r="Q457">
        <v>0</v>
      </c>
      <c r="V457">
        <v>1</v>
      </c>
      <c r="W457">
        <v>0</v>
      </c>
      <c r="X457" s="7">
        <v>3</v>
      </c>
      <c r="Y457">
        <v>-0.1</v>
      </c>
      <c r="Z457">
        <v>0</v>
      </c>
      <c r="AP457" s="8">
        <v>1320</v>
      </c>
      <c r="AQ457" t="s">
        <v>136</v>
      </c>
      <c r="AR457" s="11"/>
    </row>
    <row r="458" spans="1:44">
      <c r="A458" s="3">
        <v>452</v>
      </c>
      <c r="B458" s="3" t="s">
        <v>1720</v>
      </c>
      <c r="C458" s="3" t="s">
        <v>1730</v>
      </c>
      <c r="D458">
        <v>1</v>
      </c>
      <c r="E458">
        <v>0</v>
      </c>
      <c r="F458" s="3"/>
      <c r="G458" s="3">
        <v>1</v>
      </c>
      <c r="H458" s="5" t="s">
        <v>1731</v>
      </c>
      <c r="I458">
        <v>2.66666666666667</v>
      </c>
      <c r="J458">
        <v>2.66666666666667</v>
      </c>
      <c r="K458" s="3"/>
      <c r="L458">
        <v>1</v>
      </c>
      <c r="M458">
        <f t="shared" si="24"/>
        <v>2.26666666666667</v>
      </c>
      <c r="N458" s="3" t="s">
        <v>1732</v>
      </c>
      <c r="O458">
        <v>1</v>
      </c>
      <c r="P458">
        <v>3</v>
      </c>
      <c r="Q458">
        <v>0</v>
      </c>
      <c r="V458">
        <v>1</v>
      </c>
      <c r="W458">
        <v>0</v>
      </c>
      <c r="X458" s="7">
        <v>1</v>
      </c>
      <c r="Y458">
        <v>-0.1</v>
      </c>
      <c r="Z458">
        <v>0</v>
      </c>
      <c r="AP458" s="8">
        <v>1398</v>
      </c>
      <c r="AQ458" t="s">
        <v>136</v>
      </c>
      <c r="AR458" s="11"/>
    </row>
    <row r="459" spans="1:44">
      <c r="A459" s="3">
        <v>453</v>
      </c>
      <c r="B459" s="3" t="s">
        <v>1720</v>
      </c>
      <c r="C459" s="3" t="s">
        <v>1733</v>
      </c>
      <c r="D459">
        <v>1</v>
      </c>
      <c r="E459">
        <v>0</v>
      </c>
      <c r="F459" s="3"/>
      <c r="G459" s="3">
        <v>1</v>
      </c>
      <c r="H459" s="5" t="s">
        <v>1734</v>
      </c>
      <c r="I459">
        <v>3.5</v>
      </c>
      <c r="J459">
        <v>3.5</v>
      </c>
      <c r="K459" s="3"/>
      <c r="L459">
        <v>1</v>
      </c>
      <c r="M459">
        <f t="shared" si="24"/>
        <v>3.1</v>
      </c>
      <c r="N459" s="3" t="s">
        <v>1735</v>
      </c>
      <c r="O459">
        <v>1</v>
      </c>
      <c r="P459">
        <v>3</v>
      </c>
      <c r="Q459">
        <v>0</v>
      </c>
      <c r="S459">
        <v>0.8</v>
      </c>
      <c r="T459">
        <v>0.8</v>
      </c>
      <c r="U459">
        <v>0.8</v>
      </c>
      <c r="V459">
        <v>1</v>
      </c>
      <c r="W459">
        <v>6</v>
      </c>
      <c r="X459" s="7">
        <v>9</v>
      </c>
      <c r="Y459">
        <v>-0.1</v>
      </c>
      <c r="Z459">
        <v>0</v>
      </c>
      <c r="AP459" s="10">
        <v>1401</v>
      </c>
      <c r="AQ459" t="s">
        <v>136</v>
      </c>
      <c r="AR459" s="11"/>
    </row>
    <row r="460" spans="1:44">
      <c r="A460" s="3">
        <v>454</v>
      </c>
      <c r="B460" s="3" t="s">
        <v>1720</v>
      </c>
      <c r="C460" s="3" t="s">
        <v>1736</v>
      </c>
      <c r="D460">
        <v>1</v>
      </c>
      <c r="E460">
        <v>0</v>
      </c>
      <c r="F460" s="3"/>
      <c r="G460" s="3">
        <v>1</v>
      </c>
      <c r="H460" s="5" t="s">
        <v>1737</v>
      </c>
      <c r="I460">
        <v>8.33333333333333</v>
      </c>
      <c r="J460">
        <v>8.33333333333333</v>
      </c>
      <c r="K460" s="3"/>
      <c r="L460">
        <v>1</v>
      </c>
      <c r="M460">
        <f t="shared" si="24"/>
        <v>7.93333333333333</v>
      </c>
      <c r="N460" s="3" t="s">
        <v>1738</v>
      </c>
      <c r="O460">
        <v>1</v>
      </c>
      <c r="P460">
        <v>10</v>
      </c>
      <c r="Q460">
        <v>0</v>
      </c>
      <c r="V460">
        <v>1</v>
      </c>
      <c r="W460">
        <v>6</v>
      </c>
      <c r="X460" s="7">
        <v>2</v>
      </c>
      <c r="Y460">
        <v>-0.1</v>
      </c>
      <c r="Z460">
        <v>0</v>
      </c>
      <c r="AD460">
        <v>1</v>
      </c>
      <c r="AE460" t="s">
        <v>1739</v>
      </c>
      <c r="AF460">
        <v>0.5</v>
      </c>
      <c r="AP460" s="10">
        <v>1407</v>
      </c>
      <c r="AQ460" t="s">
        <v>136</v>
      </c>
      <c r="AR460" s="11" t="s">
        <v>1740</v>
      </c>
    </row>
    <row r="461" spans="1:44">
      <c r="A461" s="3">
        <v>455</v>
      </c>
      <c r="B461" s="3" t="s">
        <v>1720</v>
      </c>
      <c r="C461" s="3" t="s">
        <v>1741</v>
      </c>
      <c r="D461">
        <v>1</v>
      </c>
      <c r="E461">
        <v>0</v>
      </c>
      <c r="F461" s="3"/>
      <c r="G461" s="3">
        <v>1</v>
      </c>
      <c r="H461" s="5" t="s">
        <v>1742</v>
      </c>
      <c r="I461">
        <v>17.5</v>
      </c>
      <c r="J461">
        <v>17.5</v>
      </c>
      <c r="K461" s="3"/>
      <c r="L461">
        <v>1</v>
      </c>
      <c r="M461">
        <f t="shared" si="24"/>
        <v>17.1</v>
      </c>
      <c r="N461" s="3" t="s">
        <v>1743</v>
      </c>
      <c r="O461">
        <v>3</v>
      </c>
      <c r="P461">
        <v>-8</v>
      </c>
      <c r="Q461">
        <v>0</v>
      </c>
      <c r="V461">
        <v>1</v>
      </c>
      <c r="W461">
        <v>6</v>
      </c>
      <c r="X461" s="7">
        <v>1</v>
      </c>
      <c r="Y461">
        <v>-0.1</v>
      </c>
      <c r="Z461">
        <v>0</v>
      </c>
      <c r="AB461">
        <v>17.4</v>
      </c>
      <c r="AC461">
        <v>2</v>
      </c>
      <c r="AD461">
        <v>1</v>
      </c>
      <c r="AE461" t="s">
        <v>1744</v>
      </c>
      <c r="AF461">
        <v>0.5</v>
      </c>
      <c r="AP461" s="10">
        <v>1402</v>
      </c>
      <c r="AQ461" t="s">
        <v>136</v>
      </c>
      <c r="AR461" s="11"/>
    </row>
    <row r="462" spans="1:44">
      <c r="A462" s="3">
        <v>456</v>
      </c>
      <c r="B462" s="3" t="s">
        <v>1745</v>
      </c>
      <c r="C462" s="3" t="s">
        <v>526</v>
      </c>
      <c r="D462">
        <v>1</v>
      </c>
      <c r="E462">
        <v>0</v>
      </c>
      <c r="F462" s="3"/>
      <c r="G462" s="3">
        <v>1</v>
      </c>
      <c r="H462" s="5" t="s">
        <v>1746</v>
      </c>
      <c r="I462">
        <v>3</v>
      </c>
      <c r="J462">
        <v>3</v>
      </c>
      <c r="K462" s="3"/>
      <c r="L462">
        <v>1</v>
      </c>
      <c r="M462">
        <f t="shared" si="24"/>
        <v>2.6</v>
      </c>
      <c r="N462" s="3" t="s">
        <v>1747</v>
      </c>
      <c r="O462">
        <v>0</v>
      </c>
      <c r="P462">
        <v>3</v>
      </c>
      <c r="Q462">
        <v>0</v>
      </c>
      <c r="S462">
        <v>2.7</v>
      </c>
      <c r="T462">
        <v>4</v>
      </c>
      <c r="U462">
        <v>2.5</v>
      </c>
      <c r="V462">
        <v>1</v>
      </c>
      <c r="W462">
        <v>0</v>
      </c>
      <c r="X462" s="7">
        <v>2</v>
      </c>
      <c r="Y462">
        <v>-0.1</v>
      </c>
      <c r="Z462">
        <v>0</v>
      </c>
      <c r="AR462" s="11"/>
    </row>
    <row r="463" spans="1:44">
      <c r="A463" s="3">
        <v>457</v>
      </c>
      <c r="B463" s="3" t="s">
        <v>1745</v>
      </c>
      <c r="C463" s="3" t="s">
        <v>686</v>
      </c>
      <c r="D463">
        <v>1</v>
      </c>
      <c r="E463">
        <v>0</v>
      </c>
      <c r="F463" s="3"/>
      <c r="G463" s="3">
        <v>1</v>
      </c>
      <c r="H463" s="5" t="s">
        <v>1748</v>
      </c>
      <c r="I463">
        <v>3.66666666666667</v>
      </c>
      <c r="J463">
        <v>3.66666666666667</v>
      </c>
      <c r="K463" s="3"/>
      <c r="L463">
        <v>1</v>
      </c>
      <c r="M463">
        <f t="shared" si="24"/>
        <v>3.26666666666667</v>
      </c>
      <c r="N463" s="3" t="s">
        <v>1749</v>
      </c>
      <c r="O463">
        <v>0</v>
      </c>
      <c r="P463">
        <v>3</v>
      </c>
      <c r="Q463">
        <v>0</v>
      </c>
      <c r="S463">
        <v>-8</v>
      </c>
      <c r="T463">
        <v>-2.5</v>
      </c>
      <c r="U463">
        <v>3</v>
      </c>
      <c r="V463">
        <v>1</v>
      </c>
      <c r="W463">
        <v>6</v>
      </c>
      <c r="X463" s="7">
        <v>1</v>
      </c>
      <c r="Y463">
        <v>-0.1</v>
      </c>
      <c r="Z463">
        <v>0</v>
      </c>
      <c r="AR463" s="11"/>
    </row>
    <row r="464" spans="1:44">
      <c r="A464" s="3">
        <v>458</v>
      </c>
      <c r="B464" s="3" t="s">
        <v>1720</v>
      </c>
      <c r="C464" s="3" t="s">
        <v>1750</v>
      </c>
      <c r="D464">
        <v>1</v>
      </c>
      <c r="E464">
        <v>0</v>
      </c>
      <c r="F464" s="3"/>
      <c r="G464" s="3">
        <v>1</v>
      </c>
      <c r="H464" s="5" t="s">
        <v>1751</v>
      </c>
      <c r="I464">
        <v>9</v>
      </c>
      <c r="J464">
        <v>9</v>
      </c>
      <c r="K464" s="3">
        <v>0.5</v>
      </c>
      <c r="L464">
        <v>1</v>
      </c>
      <c r="M464">
        <f t="shared" si="24"/>
        <v>8.6</v>
      </c>
      <c r="N464" s="3" t="s">
        <v>1752</v>
      </c>
      <c r="O464">
        <v>1</v>
      </c>
      <c r="P464">
        <v>13</v>
      </c>
      <c r="Q464">
        <v>0</v>
      </c>
      <c r="V464">
        <v>1</v>
      </c>
      <c r="W464">
        <v>0</v>
      </c>
      <c r="X464" s="7">
        <v>5</v>
      </c>
      <c r="Y464">
        <v>-0.1</v>
      </c>
      <c r="Z464">
        <v>0</v>
      </c>
      <c r="AB464">
        <v>8.9</v>
      </c>
      <c r="AC464">
        <v>2</v>
      </c>
      <c r="AD464">
        <v>1</v>
      </c>
      <c r="AE464" t="s">
        <v>1753</v>
      </c>
      <c r="AF464">
        <v>0.5</v>
      </c>
      <c r="AP464" s="10">
        <v>1408</v>
      </c>
      <c r="AQ464" t="s">
        <v>136</v>
      </c>
      <c r="AR464" s="11"/>
    </row>
    <row r="465" spans="1:44">
      <c r="A465" s="3">
        <v>459</v>
      </c>
      <c r="B465" s="3" t="s">
        <v>1754</v>
      </c>
      <c r="C465" s="3" t="s">
        <v>526</v>
      </c>
      <c r="D465">
        <v>1</v>
      </c>
      <c r="E465">
        <v>0</v>
      </c>
      <c r="F465" s="3"/>
      <c r="G465" s="3">
        <v>1</v>
      </c>
      <c r="H465" s="5" t="s">
        <v>1721</v>
      </c>
      <c r="I465">
        <v>2.16666666666667</v>
      </c>
      <c r="J465">
        <v>2.16666666666667</v>
      </c>
      <c r="K465" s="3"/>
      <c r="L465">
        <v>1</v>
      </c>
      <c r="M465">
        <f t="shared" si="24"/>
        <v>1.76666666666667</v>
      </c>
      <c r="N465" s="3" t="s">
        <v>1755</v>
      </c>
      <c r="O465">
        <v>1</v>
      </c>
      <c r="P465">
        <v>3</v>
      </c>
      <c r="Q465">
        <v>0</v>
      </c>
      <c r="S465">
        <v>2</v>
      </c>
      <c r="T465">
        <v>1</v>
      </c>
      <c r="U465">
        <v>1.5</v>
      </c>
      <c r="V465">
        <v>1</v>
      </c>
      <c r="W465">
        <v>0</v>
      </c>
      <c r="X465" s="7">
        <v>3</v>
      </c>
      <c r="Y465">
        <v>-0.1</v>
      </c>
      <c r="Z465">
        <v>0</v>
      </c>
      <c r="AP465" s="8" t="s">
        <v>1756</v>
      </c>
      <c r="AQ465" t="s">
        <v>896</v>
      </c>
      <c r="AR465" s="11"/>
    </row>
    <row r="466" spans="1:44">
      <c r="A466" s="3">
        <v>460</v>
      </c>
      <c r="B466" s="3" t="s">
        <v>1754</v>
      </c>
      <c r="C466" s="3" t="s">
        <v>1723</v>
      </c>
      <c r="D466">
        <v>1</v>
      </c>
      <c r="E466">
        <v>0</v>
      </c>
      <c r="F466" s="3"/>
      <c r="G466" s="3">
        <v>1</v>
      </c>
      <c r="H466" s="5" t="s">
        <v>1724</v>
      </c>
      <c r="I466">
        <v>1.83333333333333</v>
      </c>
      <c r="J466">
        <v>1.83333333333333</v>
      </c>
      <c r="K466" s="3"/>
      <c r="L466">
        <v>1</v>
      </c>
      <c r="M466">
        <f t="shared" si="24"/>
        <v>1.43333333333333</v>
      </c>
      <c r="N466" s="3" t="s">
        <v>1757</v>
      </c>
      <c r="O466">
        <v>1</v>
      </c>
      <c r="P466">
        <v>3</v>
      </c>
      <c r="Q466">
        <v>0</v>
      </c>
      <c r="S466">
        <v>2</v>
      </c>
      <c r="T466">
        <v>0</v>
      </c>
      <c r="U466">
        <v>1.5</v>
      </c>
      <c r="V466">
        <v>1</v>
      </c>
      <c r="W466">
        <v>6</v>
      </c>
      <c r="X466" s="7">
        <v>5</v>
      </c>
      <c r="Y466">
        <v>-0.1</v>
      </c>
      <c r="Z466">
        <v>0</v>
      </c>
      <c r="AN466" s="10">
        <v>1337</v>
      </c>
      <c r="AO466" t="s">
        <v>1726</v>
      </c>
      <c r="AP466">
        <v>1336</v>
      </c>
      <c r="AQ466" t="s">
        <v>136</v>
      </c>
      <c r="AR466" s="11"/>
    </row>
    <row r="467" spans="1:53">
      <c r="A467" s="3">
        <v>461</v>
      </c>
      <c r="B467" s="3" t="s">
        <v>1754</v>
      </c>
      <c r="C467" s="3" t="s">
        <v>1727</v>
      </c>
      <c r="D467">
        <v>1</v>
      </c>
      <c r="E467">
        <v>0</v>
      </c>
      <c r="F467" s="3"/>
      <c r="G467" s="3">
        <v>1</v>
      </c>
      <c r="H467" s="5" t="s">
        <v>1728</v>
      </c>
      <c r="I467">
        <v>2.83333333333333</v>
      </c>
      <c r="J467">
        <v>2.83333333333333</v>
      </c>
      <c r="K467" s="3"/>
      <c r="L467">
        <v>1</v>
      </c>
      <c r="M467">
        <f t="shared" si="24"/>
        <v>2.43333333333333</v>
      </c>
      <c r="N467" s="3" t="s">
        <v>1758</v>
      </c>
      <c r="O467">
        <v>1</v>
      </c>
      <c r="P467">
        <v>3</v>
      </c>
      <c r="Q467">
        <v>0</v>
      </c>
      <c r="S467">
        <v>2</v>
      </c>
      <c r="T467">
        <v>0</v>
      </c>
      <c r="U467">
        <v>1.5</v>
      </c>
      <c r="V467">
        <v>1</v>
      </c>
      <c r="W467">
        <v>6</v>
      </c>
      <c r="X467" s="7">
        <v>6</v>
      </c>
      <c r="Y467">
        <v>-0.1</v>
      </c>
      <c r="Z467">
        <v>0</v>
      </c>
      <c r="AP467">
        <v>1339</v>
      </c>
      <c r="AQ467" t="s">
        <v>136</v>
      </c>
      <c r="AR467" s="11"/>
      <c r="AW467" s="8"/>
      <c r="AX467" s="8"/>
      <c r="AY467" s="8"/>
      <c r="AZ467" s="8"/>
      <c r="BA467" t="s">
        <v>1726</v>
      </c>
    </row>
    <row r="468" spans="1:53">
      <c r="A468" s="3">
        <v>462</v>
      </c>
      <c r="B468" s="3" t="s">
        <v>1754</v>
      </c>
      <c r="C468" s="3" t="s">
        <v>1730</v>
      </c>
      <c r="D468">
        <v>1</v>
      </c>
      <c r="E468">
        <v>0</v>
      </c>
      <c r="F468" s="3"/>
      <c r="G468" s="3">
        <v>1</v>
      </c>
      <c r="H468" s="5" t="s">
        <v>1731</v>
      </c>
      <c r="I468">
        <v>2.66666666666667</v>
      </c>
      <c r="J468">
        <v>2.66666666666667</v>
      </c>
      <c r="K468" s="3"/>
      <c r="L468">
        <v>1</v>
      </c>
      <c r="M468">
        <f t="shared" si="24"/>
        <v>2.26666666666667</v>
      </c>
      <c r="N468" s="3" t="s">
        <v>1759</v>
      </c>
      <c r="O468">
        <v>1</v>
      </c>
      <c r="P468">
        <v>3</v>
      </c>
      <c r="Q468">
        <v>0</v>
      </c>
      <c r="S468">
        <v>2</v>
      </c>
      <c r="T468">
        <v>0</v>
      </c>
      <c r="U468">
        <v>1.5</v>
      </c>
      <c r="V468">
        <v>1</v>
      </c>
      <c r="W468">
        <v>6</v>
      </c>
      <c r="X468" s="7">
        <v>4</v>
      </c>
      <c r="Y468">
        <v>-0.1</v>
      </c>
      <c r="Z468">
        <v>0</v>
      </c>
      <c r="AR468" s="11"/>
      <c r="AW468" s="10"/>
      <c r="AX468" s="10"/>
      <c r="AY468" s="10"/>
      <c r="AZ468" s="10"/>
      <c r="BA468" t="s">
        <v>136</v>
      </c>
    </row>
    <row r="469" spans="1:44">
      <c r="A469" s="3">
        <v>463</v>
      </c>
      <c r="B469" s="3" t="s">
        <v>1754</v>
      </c>
      <c r="C469" s="3" t="s">
        <v>1733</v>
      </c>
      <c r="D469">
        <v>1</v>
      </c>
      <c r="E469">
        <v>0</v>
      </c>
      <c r="F469" s="3"/>
      <c r="G469" s="3">
        <v>1</v>
      </c>
      <c r="H469" s="5" t="s">
        <v>1734</v>
      </c>
      <c r="I469">
        <v>3.5</v>
      </c>
      <c r="J469">
        <v>3.5</v>
      </c>
      <c r="K469" s="3"/>
      <c r="L469">
        <v>1</v>
      </c>
      <c r="M469">
        <f t="shared" si="24"/>
        <v>3.1</v>
      </c>
      <c r="N469" s="3" t="s">
        <v>1760</v>
      </c>
      <c r="O469">
        <v>1</v>
      </c>
      <c r="P469">
        <v>3</v>
      </c>
      <c r="Q469">
        <v>0</v>
      </c>
      <c r="S469">
        <v>2</v>
      </c>
      <c r="T469">
        <v>0</v>
      </c>
      <c r="U469">
        <v>1.5</v>
      </c>
      <c r="V469">
        <v>1</v>
      </c>
      <c r="W469">
        <v>6</v>
      </c>
      <c r="X469" s="7">
        <v>9</v>
      </c>
      <c r="Y469">
        <v>-0.1</v>
      </c>
      <c r="Z469">
        <v>0</v>
      </c>
      <c r="AP469" s="10">
        <v>1406</v>
      </c>
      <c r="AQ469" t="s">
        <v>136</v>
      </c>
      <c r="AR469" s="11"/>
    </row>
    <row r="470" spans="1:44">
      <c r="A470" s="3">
        <v>464</v>
      </c>
      <c r="B470" s="3"/>
      <c r="C470" s="3" t="s">
        <v>1761</v>
      </c>
      <c r="F470" s="3"/>
      <c r="G470" s="3"/>
      <c r="H470" s="11"/>
      <c r="K470" s="3"/>
      <c r="N470" s="3"/>
      <c r="AP470" s="8"/>
      <c r="AR470" s="11"/>
    </row>
    <row r="471" spans="1:44">
      <c r="A471" s="3">
        <v>465</v>
      </c>
      <c r="B471" s="3"/>
      <c r="C471" s="3" t="s">
        <v>1761</v>
      </c>
      <c r="F471" s="3"/>
      <c r="G471" s="3"/>
      <c r="H471" s="11"/>
      <c r="K471" s="3"/>
      <c r="N471" s="3"/>
      <c r="AP471" s="10"/>
      <c r="AR471" s="11"/>
    </row>
    <row r="472" spans="1:44">
      <c r="A472" s="3">
        <v>466</v>
      </c>
      <c r="B472" s="3"/>
      <c r="C472" s="3" t="s">
        <v>1761</v>
      </c>
      <c r="F472" s="3"/>
      <c r="G472" s="3"/>
      <c r="H472" s="11"/>
      <c r="K472" s="3"/>
      <c r="N472" s="3"/>
      <c r="AP472" s="10"/>
      <c r="AR472" s="11"/>
    </row>
    <row r="473" spans="1:44">
      <c r="A473" s="3">
        <v>467</v>
      </c>
      <c r="B473" s="3" t="s">
        <v>1762</v>
      </c>
      <c r="C473" s="3" t="s">
        <v>526</v>
      </c>
      <c r="D473">
        <v>1</v>
      </c>
      <c r="E473">
        <v>0</v>
      </c>
      <c r="F473" s="3"/>
      <c r="G473" s="3">
        <v>1</v>
      </c>
      <c r="H473" s="259" t="s">
        <v>1763</v>
      </c>
      <c r="I473">
        <v>3.53333333333333</v>
      </c>
      <c r="J473">
        <v>3.53333333333333</v>
      </c>
      <c r="K473" s="3"/>
      <c r="L473">
        <v>0</v>
      </c>
      <c r="M473">
        <f t="shared" ref="M473:M482" si="25">I473-0.4</f>
        <v>3.13333333333333</v>
      </c>
      <c r="N473" s="3" t="s">
        <v>1764</v>
      </c>
      <c r="O473">
        <v>1</v>
      </c>
      <c r="P473">
        <v>1.5</v>
      </c>
      <c r="Q473">
        <v>0</v>
      </c>
      <c r="R473">
        <v>1</v>
      </c>
      <c r="S473">
        <v>0.8</v>
      </c>
      <c r="U473">
        <v>0.38</v>
      </c>
      <c r="V473">
        <v>1</v>
      </c>
      <c r="W473">
        <v>0</v>
      </c>
      <c r="X473" s="7">
        <v>4</v>
      </c>
      <c r="Y473">
        <v>-0.1</v>
      </c>
      <c r="Z473">
        <v>0</v>
      </c>
      <c r="AP473" s="10">
        <v>1413</v>
      </c>
      <c r="AQ473" t="s">
        <v>136</v>
      </c>
      <c r="AR473" s="11"/>
    </row>
    <row r="474" spans="1:44">
      <c r="A474" s="3">
        <v>468</v>
      </c>
      <c r="B474" s="3" t="s">
        <v>1762</v>
      </c>
      <c r="C474" s="3" t="s">
        <v>1765</v>
      </c>
      <c r="D474">
        <v>1</v>
      </c>
      <c r="E474">
        <v>0</v>
      </c>
      <c r="F474" s="3"/>
      <c r="G474" s="3">
        <v>1</v>
      </c>
      <c r="H474" s="259" t="s">
        <v>1766</v>
      </c>
      <c r="I474">
        <v>11</v>
      </c>
      <c r="J474">
        <v>11</v>
      </c>
      <c r="K474" s="3"/>
      <c r="L474">
        <v>1</v>
      </c>
      <c r="M474">
        <f t="shared" si="25"/>
        <v>10.6</v>
      </c>
      <c r="N474" s="3" t="s">
        <v>1767</v>
      </c>
      <c r="O474">
        <v>1</v>
      </c>
      <c r="P474">
        <v>1.5</v>
      </c>
      <c r="Q474">
        <v>0</v>
      </c>
      <c r="U474">
        <v>0.38</v>
      </c>
      <c r="V474">
        <v>1</v>
      </c>
      <c r="W474">
        <v>0</v>
      </c>
      <c r="X474" s="7">
        <v>5</v>
      </c>
      <c r="Y474">
        <v>-0.1</v>
      </c>
      <c r="Z474">
        <v>0</v>
      </c>
      <c r="AB474">
        <v>10.8</v>
      </c>
      <c r="AC474">
        <v>2</v>
      </c>
      <c r="AD474">
        <v>1</v>
      </c>
      <c r="AE474" t="s">
        <v>1768</v>
      </c>
      <c r="AF474">
        <v>0.5</v>
      </c>
      <c r="AP474" s="10">
        <v>1416</v>
      </c>
      <c r="AQ474" t="s">
        <v>136</v>
      </c>
      <c r="AR474" s="11" t="s">
        <v>1686</v>
      </c>
    </row>
    <row r="475" spans="1:44">
      <c r="A475" s="3">
        <v>469</v>
      </c>
      <c r="B475" s="3" t="s">
        <v>1762</v>
      </c>
      <c r="C475" s="3" t="s">
        <v>1769</v>
      </c>
      <c r="D475">
        <v>1</v>
      </c>
      <c r="E475">
        <v>0</v>
      </c>
      <c r="F475" s="3"/>
      <c r="G475" s="3">
        <v>1</v>
      </c>
      <c r="H475" s="259" t="s">
        <v>1770</v>
      </c>
      <c r="I475">
        <v>3.43333333333333</v>
      </c>
      <c r="J475">
        <v>3.43333333333333</v>
      </c>
      <c r="K475" s="3"/>
      <c r="L475">
        <v>1</v>
      </c>
      <c r="M475">
        <f t="shared" si="25"/>
        <v>3.03333333333333</v>
      </c>
      <c r="N475" s="3" t="s">
        <v>1771</v>
      </c>
      <c r="O475">
        <v>1</v>
      </c>
      <c r="P475">
        <v>1.5</v>
      </c>
      <c r="Q475">
        <v>0</v>
      </c>
      <c r="S475">
        <v>1.5</v>
      </c>
      <c r="T475">
        <v>1</v>
      </c>
      <c r="U475">
        <v>1</v>
      </c>
      <c r="V475">
        <v>1</v>
      </c>
      <c r="W475">
        <v>0</v>
      </c>
      <c r="X475" s="7">
        <v>3</v>
      </c>
      <c r="Y475">
        <v>-0.1</v>
      </c>
      <c r="Z475">
        <v>0</v>
      </c>
      <c r="AP475" s="10">
        <v>1417</v>
      </c>
      <c r="AQ475" t="s">
        <v>136</v>
      </c>
      <c r="AR475" s="11"/>
    </row>
    <row r="476" spans="1:44">
      <c r="A476" s="3">
        <v>470</v>
      </c>
      <c r="B476" s="3" t="s">
        <v>1762</v>
      </c>
      <c r="C476" s="3" t="s">
        <v>1772</v>
      </c>
      <c r="D476">
        <v>1</v>
      </c>
      <c r="E476">
        <v>0</v>
      </c>
      <c r="F476" s="3"/>
      <c r="G476" s="3">
        <v>1</v>
      </c>
      <c r="H476" s="259" t="s">
        <v>1773</v>
      </c>
      <c r="I476">
        <v>2.06666666666667</v>
      </c>
      <c r="J476">
        <v>2.06666666666667</v>
      </c>
      <c r="K476" s="3"/>
      <c r="L476">
        <v>1</v>
      </c>
      <c r="M476">
        <f t="shared" si="25"/>
        <v>1.66666666666667</v>
      </c>
      <c r="N476" s="3" t="s">
        <v>1774</v>
      </c>
      <c r="O476">
        <v>1</v>
      </c>
      <c r="P476">
        <v>1.5</v>
      </c>
      <c r="Q476">
        <v>0</v>
      </c>
      <c r="S476">
        <v>0.8</v>
      </c>
      <c r="U476">
        <v>0.38</v>
      </c>
      <c r="V476">
        <v>1</v>
      </c>
      <c r="W476">
        <v>0</v>
      </c>
      <c r="X476" s="7">
        <v>6</v>
      </c>
      <c r="Y476">
        <v>-0.1</v>
      </c>
      <c r="Z476">
        <v>0</v>
      </c>
      <c r="AP476" s="10">
        <v>1418</v>
      </c>
      <c r="AQ476" t="s">
        <v>136</v>
      </c>
      <c r="AR476" s="11"/>
    </row>
    <row r="477" spans="1:44">
      <c r="A477" s="3">
        <v>471</v>
      </c>
      <c r="B477" s="3" t="s">
        <v>1762</v>
      </c>
      <c r="C477" s="3" t="s">
        <v>1775</v>
      </c>
      <c r="D477">
        <v>1</v>
      </c>
      <c r="E477">
        <v>0</v>
      </c>
      <c r="F477" s="3"/>
      <c r="G477" s="3">
        <v>1</v>
      </c>
      <c r="H477" s="260">
        <v>6308</v>
      </c>
      <c r="I477">
        <v>8</v>
      </c>
      <c r="J477">
        <v>8</v>
      </c>
      <c r="K477" s="3"/>
      <c r="L477">
        <v>1</v>
      </c>
      <c r="M477">
        <f t="shared" si="25"/>
        <v>7.6</v>
      </c>
      <c r="N477" s="3" t="s">
        <v>1776</v>
      </c>
      <c r="O477">
        <v>1</v>
      </c>
      <c r="P477">
        <v>5</v>
      </c>
      <c r="Q477">
        <v>0</v>
      </c>
      <c r="S477">
        <v>0.8</v>
      </c>
      <c r="U477">
        <v>0.38</v>
      </c>
      <c r="V477">
        <v>1</v>
      </c>
      <c r="W477">
        <v>6</v>
      </c>
      <c r="X477" s="7">
        <v>8</v>
      </c>
      <c r="Y477">
        <v>-0.1</v>
      </c>
      <c r="Z477">
        <v>0</v>
      </c>
      <c r="AB477">
        <v>7.9</v>
      </c>
      <c r="AC477">
        <v>2</v>
      </c>
      <c r="AD477">
        <v>1</v>
      </c>
      <c r="AE477" t="s">
        <v>1777</v>
      </c>
      <c r="AF477">
        <v>0.5</v>
      </c>
      <c r="AP477" s="10" t="s">
        <v>1778</v>
      </c>
      <c r="AQ477" t="s">
        <v>666</v>
      </c>
      <c r="AR477" s="11"/>
    </row>
    <row r="478" s="30" customFormat="1" spans="1:45">
      <c r="A478" s="261">
        <v>472</v>
      </c>
      <c r="B478" s="261" t="s">
        <v>1779</v>
      </c>
      <c r="C478" s="261" t="s">
        <v>1780</v>
      </c>
      <c r="D478" s="30">
        <v>1</v>
      </c>
      <c r="E478" s="30">
        <v>0</v>
      </c>
      <c r="F478" s="261"/>
      <c r="G478" s="261">
        <v>1</v>
      </c>
      <c r="H478" s="262">
        <v>3000905</v>
      </c>
      <c r="I478" s="30">
        <v>9.66666666666667</v>
      </c>
      <c r="J478" s="30">
        <v>9.66666666666667</v>
      </c>
      <c r="K478" s="261"/>
      <c r="L478" s="30">
        <v>0</v>
      </c>
      <c r="M478" s="30">
        <f t="shared" si="25"/>
        <v>9.26666666666667</v>
      </c>
      <c r="N478" s="30" t="s">
        <v>1781</v>
      </c>
      <c r="O478" s="30">
        <v>1</v>
      </c>
      <c r="P478" s="30">
        <v>13.2</v>
      </c>
      <c r="Q478" s="30">
        <v>0</v>
      </c>
      <c r="V478" s="30">
        <v>1</v>
      </c>
      <c r="W478" s="30">
        <v>0</v>
      </c>
      <c r="X478" s="7">
        <v>2</v>
      </c>
      <c r="Y478" s="30">
        <v>-0.1</v>
      </c>
      <c r="Z478" s="30">
        <v>0</v>
      </c>
      <c r="AB478" s="30">
        <v>9.5</v>
      </c>
      <c r="AC478" s="30">
        <v>2</v>
      </c>
      <c r="AD478" s="30">
        <v>1</v>
      </c>
      <c r="AE478" s="30" t="s">
        <v>1782</v>
      </c>
      <c r="AF478" s="30">
        <v>0.5</v>
      </c>
      <c r="AN478" s="264"/>
      <c r="AP478" s="265">
        <v>1431</v>
      </c>
      <c r="AQ478" s="30" t="s">
        <v>136</v>
      </c>
      <c r="AR478" s="266" t="s">
        <v>1686</v>
      </c>
      <c r="AS478" s="30" t="s">
        <v>1783</v>
      </c>
    </row>
    <row r="479" s="30" customFormat="1" spans="1:44">
      <c r="A479" s="261">
        <v>473</v>
      </c>
      <c r="B479" s="261" t="s">
        <v>1779</v>
      </c>
      <c r="C479" s="261" t="s">
        <v>1784</v>
      </c>
      <c r="D479" s="30">
        <v>3</v>
      </c>
      <c r="E479" s="30">
        <v>1</v>
      </c>
      <c r="F479" s="261"/>
      <c r="G479" s="261">
        <v>1</v>
      </c>
      <c r="H479" s="262">
        <v>3000906</v>
      </c>
      <c r="I479" s="30">
        <v>3</v>
      </c>
      <c r="J479" s="30">
        <v>3</v>
      </c>
      <c r="K479" s="261"/>
      <c r="L479" s="30">
        <v>0</v>
      </c>
      <c r="M479" s="30">
        <f t="shared" si="25"/>
        <v>2.6</v>
      </c>
      <c r="N479" s="30" t="s">
        <v>1785</v>
      </c>
      <c r="O479" s="30">
        <v>0</v>
      </c>
      <c r="P479" s="30">
        <v>0</v>
      </c>
      <c r="Q479" s="30">
        <v>0</v>
      </c>
      <c r="U479" s="30">
        <v>1</v>
      </c>
      <c r="V479" s="30">
        <v>101</v>
      </c>
      <c r="W479" s="30">
        <v>6</v>
      </c>
      <c r="X479" s="7" t="s">
        <v>302</v>
      </c>
      <c r="Y479" s="30">
        <v>-0.1</v>
      </c>
      <c r="Z479" s="30">
        <v>0</v>
      </c>
      <c r="AN479" s="264">
        <v>1423</v>
      </c>
      <c r="AO479" s="30" t="s">
        <v>1786</v>
      </c>
      <c r="AP479" s="265">
        <v>1419</v>
      </c>
      <c r="AQ479" s="30" t="s">
        <v>136</v>
      </c>
      <c r="AR479" s="266"/>
    </row>
    <row r="480" s="30" customFormat="1" spans="1:44">
      <c r="A480" s="261">
        <v>474</v>
      </c>
      <c r="B480" s="261" t="s">
        <v>1779</v>
      </c>
      <c r="C480" s="261" t="s">
        <v>1787</v>
      </c>
      <c r="D480" s="30">
        <v>3</v>
      </c>
      <c r="E480" s="30">
        <v>1</v>
      </c>
      <c r="F480" s="261"/>
      <c r="G480" s="261">
        <v>1</v>
      </c>
      <c r="H480" s="262">
        <v>3000907</v>
      </c>
      <c r="I480" s="30">
        <v>3</v>
      </c>
      <c r="J480" s="30">
        <v>3</v>
      </c>
      <c r="K480" s="261"/>
      <c r="L480" s="30">
        <v>0</v>
      </c>
      <c r="M480" s="30">
        <f t="shared" si="25"/>
        <v>2.6</v>
      </c>
      <c r="N480" s="30" t="s">
        <v>1788</v>
      </c>
      <c r="O480" s="30">
        <v>0</v>
      </c>
      <c r="P480" s="30">
        <v>0</v>
      </c>
      <c r="Q480" s="30">
        <v>0</v>
      </c>
      <c r="U480" s="30">
        <v>0.45</v>
      </c>
      <c r="V480" s="30">
        <v>101</v>
      </c>
      <c r="W480" s="30">
        <v>20</v>
      </c>
      <c r="X480" s="7" t="s">
        <v>302</v>
      </c>
      <c r="Y480" s="30">
        <v>-0.1</v>
      </c>
      <c r="Z480" s="30">
        <v>0</v>
      </c>
      <c r="AN480" s="264">
        <v>1423</v>
      </c>
      <c r="AO480" s="30" t="s">
        <v>1786</v>
      </c>
      <c r="AP480" s="265">
        <v>1421</v>
      </c>
      <c r="AQ480" s="30" t="s">
        <v>136</v>
      </c>
      <c r="AR480" s="266"/>
    </row>
    <row r="481" s="30" customFormat="1" spans="1:44">
      <c r="A481" s="261">
        <v>475</v>
      </c>
      <c r="B481" s="261" t="s">
        <v>1779</v>
      </c>
      <c r="C481" s="261" t="s">
        <v>1789</v>
      </c>
      <c r="D481" s="30">
        <v>3</v>
      </c>
      <c r="E481" s="30">
        <v>1</v>
      </c>
      <c r="F481" s="261"/>
      <c r="G481" s="261">
        <v>1</v>
      </c>
      <c r="H481" s="262">
        <v>3000909</v>
      </c>
      <c r="I481" s="30">
        <v>11</v>
      </c>
      <c r="J481" s="30">
        <v>11</v>
      </c>
      <c r="K481" s="261"/>
      <c r="L481" s="30">
        <v>0</v>
      </c>
      <c r="M481" s="30">
        <f t="shared" si="25"/>
        <v>10.6</v>
      </c>
      <c r="N481" s="30" t="s">
        <v>1790</v>
      </c>
      <c r="O481" s="30">
        <v>3</v>
      </c>
      <c r="P481" s="30">
        <v>15</v>
      </c>
      <c r="Q481" s="30">
        <v>0</v>
      </c>
      <c r="V481" s="30">
        <v>101</v>
      </c>
      <c r="W481" s="30">
        <v>6</v>
      </c>
      <c r="X481" s="7" t="s">
        <v>302</v>
      </c>
      <c r="Y481" s="30">
        <v>-0.1</v>
      </c>
      <c r="Z481" s="30">
        <v>0</v>
      </c>
      <c r="AB481" s="30">
        <v>10.8</v>
      </c>
      <c r="AC481" s="30">
        <v>2</v>
      </c>
      <c r="AD481" s="30">
        <v>1</v>
      </c>
      <c r="AE481" s="30" t="s">
        <v>1791</v>
      </c>
      <c r="AF481" s="30">
        <v>0.5</v>
      </c>
      <c r="AN481" s="264"/>
      <c r="AP481" s="265">
        <v>1430</v>
      </c>
      <c r="AQ481" s="30" t="s">
        <v>136</v>
      </c>
      <c r="AR481" s="266"/>
    </row>
    <row r="482" s="30" customFormat="1" spans="1:44">
      <c r="A482" s="261">
        <v>476</v>
      </c>
      <c r="B482" s="261" t="s">
        <v>1779</v>
      </c>
      <c r="C482" s="261" t="s">
        <v>1792</v>
      </c>
      <c r="D482" s="30">
        <v>3</v>
      </c>
      <c r="E482" s="30">
        <v>1</v>
      </c>
      <c r="F482" s="261"/>
      <c r="G482" s="261">
        <v>1</v>
      </c>
      <c r="H482" s="262">
        <v>3000910</v>
      </c>
      <c r="I482" s="30">
        <v>2.66666666666667</v>
      </c>
      <c r="J482" s="30">
        <v>2.66666666666667</v>
      </c>
      <c r="K482" s="261"/>
      <c r="L482" s="30">
        <v>0</v>
      </c>
      <c r="M482" s="30">
        <f t="shared" si="25"/>
        <v>2.26666666666667</v>
      </c>
      <c r="N482" s="261" t="s">
        <v>1793</v>
      </c>
      <c r="O482" s="30">
        <v>0</v>
      </c>
      <c r="P482" s="30">
        <v>0</v>
      </c>
      <c r="Q482" s="30">
        <v>0</v>
      </c>
      <c r="U482" s="30">
        <v>0.3</v>
      </c>
      <c r="V482" s="30">
        <v>101</v>
      </c>
      <c r="W482" s="30">
        <v>27</v>
      </c>
      <c r="X482" s="7" t="s">
        <v>302</v>
      </c>
      <c r="Y482" s="30">
        <v>-0.1</v>
      </c>
      <c r="Z482" s="30">
        <v>0</v>
      </c>
      <c r="AN482" s="264">
        <v>1423</v>
      </c>
      <c r="AO482" s="30" t="s">
        <v>1786</v>
      </c>
      <c r="AP482" s="265">
        <v>1435</v>
      </c>
      <c r="AQ482" s="30" t="s">
        <v>136</v>
      </c>
      <c r="AR482" s="266"/>
    </row>
    <row r="483" spans="1:44">
      <c r="A483" s="3">
        <v>477</v>
      </c>
      <c r="B483" s="3" t="s">
        <v>1794</v>
      </c>
      <c r="C483" s="3" t="s">
        <v>526</v>
      </c>
      <c r="D483">
        <v>3</v>
      </c>
      <c r="E483">
        <v>0</v>
      </c>
      <c r="F483" s="3"/>
      <c r="G483" s="3">
        <v>1</v>
      </c>
      <c r="H483" s="5" t="s">
        <v>1647</v>
      </c>
      <c r="I483">
        <f>95/30</f>
        <v>3.16666666666667</v>
      </c>
      <c r="J483">
        <f>95/30</f>
        <v>3.16666666666667</v>
      </c>
      <c r="K483" s="3"/>
      <c r="L483">
        <v>0</v>
      </c>
      <c r="M483">
        <f t="shared" ref="M483:M495" si="26">I483-0.4</f>
        <v>2.76666666666667</v>
      </c>
      <c r="N483" s="3" t="s">
        <v>1648</v>
      </c>
      <c r="O483">
        <v>1</v>
      </c>
      <c r="P483">
        <v>2.5</v>
      </c>
      <c r="Q483">
        <v>0</v>
      </c>
      <c r="U483">
        <v>0.5</v>
      </c>
      <c r="V483">
        <v>1</v>
      </c>
      <c r="W483">
        <v>0</v>
      </c>
      <c r="X483" s="7">
        <v>2</v>
      </c>
      <c r="Y483">
        <v>-0.1</v>
      </c>
      <c r="Z483">
        <v>0</v>
      </c>
      <c r="AP483" s="10">
        <v>1344</v>
      </c>
      <c r="AQ483" s="3" t="s">
        <v>136</v>
      </c>
      <c r="AR483" s="11"/>
    </row>
    <row r="484" spans="1:44">
      <c r="A484" s="3">
        <v>478</v>
      </c>
      <c r="B484" s="3" t="s">
        <v>1794</v>
      </c>
      <c r="C484" s="3" t="s">
        <v>1795</v>
      </c>
      <c r="D484">
        <v>1</v>
      </c>
      <c r="E484">
        <v>0</v>
      </c>
      <c r="F484" s="3"/>
      <c r="G484" s="3">
        <v>1</v>
      </c>
      <c r="H484" s="11" t="s">
        <v>1796</v>
      </c>
      <c r="I484">
        <v>4.56666666666667</v>
      </c>
      <c r="J484">
        <v>4.56666666666667</v>
      </c>
      <c r="K484" s="3"/>
      <c r="L484">
        <v>1</v>
      </c>
      <c r="M484">
        <f t="shared" si="26"/>
        <v>4.16666666666667</v>
      </c>
      <c r="N484" s="3" t="s">
        <v>1797</v>
      </c>
      <c r="O484">
        <v>1</v>
      </c>
      <c r="P484">
        <v>2.5</v>
      </c>
      <c r="Q484">
        <v>0</v>
      </c>
      <c r="U484">
        <v>0.5</v>
      </c>
      <c r="V484">
        <v>1</v>
      </c>
      <c r="W484">
        <v>0</v>
      </c>
      <c r="X484" s="7">
        <v>3</v>
      </c>
      <c r="Y484">
        <v>-0.1</v>
      </c>
      <c r="Z484">
        <v>0</v>
      </c>
      <c r="AP484" s="10">
        <v>1345</v>
      </c>
      <c r="AQ484" s="3" t="s">
        <v>136</v>
      </c>
      <c r="AR484" s="11"/>
    </row>
    <row r="485" spans="1:44">
      <c r="A485" s="3">
        <v>479</v>
      </c>
      <c r="B485" s="3" t="s">
        <v>1794</v>
      </c>
      <c r="C485" s="3" t="s">
        <v>1798</v>
      </c>
      <c r="D485">
        <v>1</v>
      </c>
      <c r="E485">
        <v>0</v>
      </c>
      <c r="F485" s="3"/>
      <c r="G485" s="3">
        <v>1</v>
      </c>
      <c r="H485" s="5" t="s">
        <v>1652</v>
      </c>
      <c r="I485">
        <v>2</v>
      </c>
      <c r="J485">
        <v>2</v>
      </c>
      <c r="K485" s="3"/>
      <c r="L485">
        <v>1</v>
      </c>
      <c r="M485">
        <f t="shared" si="26"/>
        <v>1.6</v>
      </c>
      <c r="N485" s="3" t="s">
        <v>1799</v>
      </c>
      <c r="O485">
        <v>1</v>
      </c>
      <c r="P485">
        <v>2.5</v>
      </c>
      <c r="Q485">
        <v>0</v>
      </c>
      <c r="U485">
        <v>0.5</v>
      </c>
      <c r="V485">
        <v>1</v>
      </c>
      <c r="W485">
        <v>0</v>
      </c>
      <c r="X485" s="7">
        <v>6</v>
      </c>
      <c r="Y485">
        <v>-0.1</v>
      </c>
      <c r="Z485">
        <v>0</v>
      </c>
      <c r="AP485" s="10">
        <v>1346</v>
      </c>
      <c r="AQ485" s="3" t="s">
        <v>136</v>
      </c>
      <c r="AR485" s="11"/>
    </row>
    <row r="486" spans="1:44">
      <c r="A486" s="3">
        <v>480</v>
      </c>
      <c r="B486" s="3" t="s">
        <v>1794</v>
      </c>
      <c r="C486" s="3">
        <v>6</v>
      </c>
      <c r="D486">
        <v>1</v>
      </c>
      <c r="E486">
        <v>0</v>
      </c>
      <c r="F486" s="3">
        <v>112028</v>
      </c>
      <c r="G486" s="3">
        <v>1</v>
      </c>
      <c r="H486" s="11" t="s">
        <v>1800</v>
      </c>
      <c r="I486">
        <v>8</v>
      </c>
      <c r="J486">
        <v>7</v>
      </c>
      <c r="K486" s="3">
        <v>1</v>
      </c>
      <c r="L486">
        <v>1</v>
      </c>
      <c r="M486">
        <f t="shared" si="26"/>
        <v>7.6</v>
      </c>
      <c r="N486" s="3" t="s">
        <v>1801</v>
      </c>
      <c r="O486">
        <v>1</v>
      </c>
      <c r="P486">
        <v>5</v>
      </c>
      <c r="Q486">
        <v>0</v>
      </c>
      <c r="V486">
        <v>1</v>
      </c>
      <c r="W486">
        <v>0</v>
      </c>
      <c r="X486" s="7">
        <v>1</v>
      </c>
      <c r="Y486">
        <v>-0.1</v>
      </c>
      <c r="Z486">
        <v>0</v>
      </c>
      <c r="AB486">
        <v>7.8</v>
      </c>
      <c r="AC486">
        <v>2</v>
      </c>
      <c r="AD486">
        <v>1</v>
      </c>
      <c r="AE486" t="s">
        <v>1802</v>
      </c>
      <c r="AF486">
        <v>0.5</v>
      </c>
      <c r="AP486" s="10">
        <v>1347</v>
      </c>
      <c r="AQ486" s="3" t="s">
        <v>136</v>
      </c>
      <c r="AR486" s="11" t="s">
        <v>1740</v>
      </c>
    </row>
    <row r="487" spans="1:44">
      <c r="A487" s="3">
        <v>481</v>
      </c>
      <c r="B487" s="3" t="s">
        <v>1794</v>
      </c>
      <c r="C487" s="3">
        <v>7</v>
      </c>
      <c r="D487">
        <v>1</v>
      </c>
      <c r="E487">
        <v>0</v>
      </c>
      <c r="F487" s="3"/>
      <c r="G487" s="3">
        <v>1</v>
      </c>
      <c r="H487" s="11" t="s">
        <v>1803</v>
      </c>
      <c r="I487">
        <v>7</v>
      </c>
      <c r="J487">
        <v>7</v>
      </c>
      <c r="K487" s="3">
        <v>0.5</v>
      </c>
      <c r="L487">
        <v>1</v>
      </c>
      <c r="M487">
        <f t="shared" si="26"/>
        <v>6.6</v>
      </c>
      <c r="N487" s="3" t="s">
        <v>1804</v>
      </c>
      <c r="O487">
        <v>1</v>
      </c>
      <c r="P487">
        <v>4.5</v>
      </c>
      <c r="Q487">
        <v>0</v>
      </c>
      <c r="V487">
        <v>1</v>
      </c>
      <c r="W487">
        <v>0</v>
      </c>
      <c r="X487" s="7">
        <v>3</v>
      </c>
      <c r="Y487">
        <v>-0.1</v>
      </c>
      <c r="Z487">
        <v>0</v>
      </c>
      <c r="AB487">
        <v>6.8</v>
      </c>
      <c r="AC487">
        <v>2</v>
      </c>
      <c r="AD487">
        <v>1</v>
      </c>
      <c r="AE487" t="s">
        <v>1805</v>
      </c>
      <c r="AF487">
        <v>0.5</v>
      </c>
      <c r="AP487" s="10">
        <v>1348</v>
      </c>
      <c r="AQ487" s="3" t="s">
        <v>136</v>
      </c>
      <c r="AR487" s="11" t="s">
        <v>1686</v>
      </c>
    </row>
    <row r="488" spans="1:44">
      <c r="A488" s="3">
        <v>482</v>
      </c>
      <c r="B488" s="246" t="s">
        <v>1806</v>
      </c>
      <c r="C488" s="246" t="s">
        <v>526</v>
      </c>
      <c r="D488" s="47">
        <v>1</v>
      </c>
      <c r="E488" s="47">
        <v>0</v>
      </c>
      <c r="F488" s="246"/>
      <c r="G488" s="246">
        <v>1</v>
      </c>
      <c r="H488" s="247" t="s">
        <v>1807</v>
      </c>
      <c r="I488" s="47">
        <f>90/30</f>
        <v>3</v>
      </c>
      <c r="J488" s="47">
        <f>90/30</f>
        <v>3</v>
      </c>
      <c r="K488" s="246"/>
      <c r="L488" s="47">
        <v>0</v>
      </c>
      <c r="M488" s="47">
        <f t="shared" si="26"/>
        <v>2.6</v>
      </c>
      <c r="N488" s="246" t="s">
        <v>1808</v>
      </c>
      <c r="O488">
        <v>1</v>
      </c>
      <c r="P488">
        <v>2.2</v>
      </c>
      <c r="Q488">
        <v>0</v>
      </c>
      <c r="S488">
        <v>1.2</v>
      </c>
      <c r="U488">
        <v>0.8</v>
      </c>
      <c r="V488">
        <v>1</v>
      </c>
      <c r="W488">
        <v>0</v>
      </c>
      <c r="X488" s="7">
        <v>3</v>
      </c>
      <c r="Y488">
        <v>-0.1</v>
      </c>
      <c r="Z488">
        <v>0</v>
      </c>
      <c r="AN488" s="8">
        <v>1506</v>
      </c>
      <c r="AO488" t="s">
        <v>1809</v>
      </c>
      <c r="AP488" s="10">
        <v>1476</v>
      </c>
      <c r="AQ488" s="3" t="s">
        <v>136</v>
      </c>
      <c r="AR488" s="11"/>
    </row>
    <row r="489" spans="1:44">
      <c r="A489" s="3">
        <v>483</v>
      </c>
      <c r="B489" s="246" t="s">
        <v>1806</v>
      </c>
      <c r="C489" s="246" t="s">
        <v>1810</v>
      </c>
      <c r="D489" s="47">
        <v>2</v>
      </c>
      <c r="E489" s="47">
        <v>1</v>
      </c>
      <c r="F489" s="246"/>
      <c r="G489" s="246">
        <v>1</v>
      </c>
      <c r="H489" s="247" t="s">
        <v>1811</v>
      </c>
      <c r="I489" s="47">
        <f>70/30</f>
        <v>2.33333333333333</v>
      </c>
      <c r="J489" s="47">
        <f>70/30</f>
        <v>2.33333333333333</v>
      </c>
      <c r="K489" s="246"/>
      <c r="L489" s="47">
        <v>0</v>
      </c>
      <c r="M489" s="47">
        <f t="shared" si="26"/>
        <v>1.93333333333333</v>
      </c>
      <c r="N489" s="246" t="s">
        <v>1812</v>
      </c>
      <c r="O489">
        <v>5</v>
      </c>
      <c r="P489">
        <v>0</v>
      </c>
      <c r="Q489">
        <v>0</v>
      </c>
      <c r="S489">
        <v>1.2</v>
      </c>
      <c r="U489">
        <v>0.8</v>
      </c>
      <c r="V489">
        <v>1000</v>
      </c>
      <c r="W489">
        <v>0</v>
      </c>
      <c r="X489" s="7">
        <v>0</v>
      </c>
      <c r="Y489">
        <v>-0.1</v>
      </c>
      <c r="Z489">
        <v>0</v>
      </c>
      <c r="AP489" s="10">
        <v>1503</v>
      </c>
      <c r="AQ489" s="3" t="s">
        <v>136</v>
      </c>
      <c r="AR489" s="11"/>
    </row>
    <row r="490" spans="1:44">
      <c r="A490" s="3">
        <v>484</v>
      </c>
      <c r="B490" s="246" t="s">
        <v>1806</v>
      </c>
      <c r="C490" s="246" t="s">
        <v>1813</v>
      </c>
      <c r="D490" s="47">
        <v>1</v>
      </c>
      <c r="E490" s="47">
        <v>0</v>
      </c>
      <c r="F490" s="246"/>
      <c r="G490" s="246">
        <v>1</v>
      </c>
      <c r="H490" s="247" t="s">
        <v>1814</v>
      </c>
      <c r="I490" s="47">
        <f>58/30</f>
        <v>1.93333333333333</v>
      </c>
      <c r="J490" s="47">
        <f>58/30</f>
        <v>1.93333333333333</v>
      </c>
      <c r="K490" s="246"/>
      <c r="L490" s="47">
        <v>0</v>
      </c>
      <c r="M490" s="47">
        <f t="shared" si="26"/>
        <v>1.53333333333333</v>
      </c>
      <c r="N490" s="246" t="s">
        <v>1815</v>
      </c>
      <c r="O490">
        <v>1</v>
      </c>
      <c r="P490">
        <v>2.2</v>
      </c>
      <c r="Q490">
        <v>0</v>
      </c>
      <c r="S490">
        <v>1.2</v>
      </c>
      <c r="U490">
        <v>0.8</v>
      </c>
      <c r="V490">
        <v>1</v>
      </c>
      <c r="W490">
        <v>4</v>
      </c>
      <c r="X490" s="7">
        <v>1</v>
      </c>
      <c r="Y490">
        <v>-0.1</v>
      </c>
      <c r="Z490">
        <v>0</v>
      </c>
      <c r="AN490" s="8">
        <v>1507</v>
      </c>
      <c r="AO490" t="s">
        <v>1809</v>
      </c>
      <c r="AP490" s="10">
        <v>1483</v>
      </c>
      <c r="AQ490" s="3" t="s">
        <v>136</v>
      </c>
      <c r="AR490" s="11"/>
    </row>
    <row r="491" spans="1:44">
      <c r="A491" s="3">
        <v>485</v>
      </c>
      <c r="B491" s="246" t="s">
        <v>1806</v>
      </c>
      <c r="C491" s="246" t="s">
        <v>1816</v>
      </c>
      <c r="D491" s="47">
        <v>1</v>
      </c>
      <c r="E491" s="47">
        <v>0</v>
      </c>
      <c r="F491" s="246"/>
      <c r="G491" s="246">
        <v>1</v>
      </c>
      <c r="H491" s="247" t="s">
        <v>1817</v>
      </c>
      <c r="I491" s="47">
        <f>60/30</f>
        <v>2</v>
      </c>
      <c r="J491" s="47">
        <f>60/30</f>
        <v>2</v>
      </c>
      <c r="K491" s="246"/>
      <c r="L491" s="47">
        <v>0</v>
      </c>
      <c r="M491" s="47">
        <f t="shared" si="26"/>
        <v>1.6</v>
      </c>
      <c r="N491" s="246" t="s">
        <v>1818</v>
      </c>
      <c r="O491">
        <v>1</v>
      </c>
      <c r="P491">
        <v>2.2</v>
      </c>
      <c r="Q491">
        <v>0</v>
      </c>
      <c r="S491">
        <v>1.2</v>
      </c>
      <c r="U491">
        <v>0.8</v>
      </c>
      <c r="V491">
        <v>1</v>
      </c>
      <c r="W491">
        <v>0</v>
      </c>
      <c r="X491" s="7">
        <v>2</v>
      </c>
      <c r="Y491">
        <v>-0.1</v>
      </c>
      <c r="Z491">
        <v>0</v>
      </c>
      <c r="AN491" s="8">
        <v>1508</v>
      </c>
      <c r="AO491" t="s">
        <v>1809</v>
      </c>
      <c r="AP491" s="10">
        <v>1484</v>
      </c>
      <c r="AQ491" s="3" t="s">
        <v>136</v>
      </c>
      <c r="AR491" s="11"/>
    </row>
    <row r="492" spans="1:44">
      <c r="A492" s="3">
        <v>486</v>
      </c>
      <c r="B492" s="246" t="s">
        <v>1806</v>
      </c>
      <c r="C492" s="246" t="s">
        <v>1819</v>
      </c>
      <c r="D492" s="47">
        <v>1</v>
      </c>
      <c r="E492" s="47">
        <v>0</v>
      </c>
      <c r="F492" s="246"/>
      <c r="G492" s="246">
        <v>1</v>
      </c>
      <c r="H492" s="247" t="s">
        <v>1820</v>
      </c>
      <c r="I492" s="47">
        <f>90/30</f>
        <v>3</v>
      </c>
      <c r="J492" s="47">
        <f>90/30</f>
        <v>3</v>
      </c>
      <c r="K492" s="246"/>
      <c r="L492" s="47">
        <v>0</v>
      </c>
      <c r="M492" s="47">
        <f t="shared" si="26"/>
        <v>2.6</v>
      </c>
      <c r="N492" s="246" t="s">
        <v>1821</v>
      </c>
      <c r="O492">
        <v>1</v>
      </c>
      <c r="P492">
        <v>2.2</v>
      </c>
      <c r="Q492">
        <v>0</v>
      </c>
      <c r="R492">
        <v>1</v>
      </c>
      <c r="S492">
        <v>1.2</v>
      </c>
      <c r="U492">
        <v>0.8</v>
      </c>
      <c r="V492">
        <v>1</v>
      </c>
      <c r="W492">
        <v>0</v>
      </c>
      <c r="X492" s="7">
        <v>1</v>
      </c>
      <c r="Y492">
        <v>-0.1</v>
      </c>
      <c r="Z492">
        <v>0</v>
      </c>
      <c r="AN492" s="8">
        <v>1509</v>
      </c>
      <c r="AO492" t="s">
        <v>1809</v>
      </c>
      <c r="AP492" s="10">
        <v>1479</v>
      </c>
      <c r="AQ492" s="3" t="s">
        <v>136</v>
      </c>
      <c r="AR492" s="11"/>
    </row>
    <row r="493" spans="1:44">
      <c r="A493" s="3">
        <v>487</v>
      </c>
      <c r="B493" s="246" t="s">
        <v>1806</v>
      </c>
      <c r="C493" s="246" t="s">
        <v>1822</v>
      </c>
      <c r="D493" s="47">
        <v>1</v>
      </c>
      <c r="E493" s="47">
        <v>0</v>
      </c>
      <c r="F493" s="246"/>
      <c r="G493" s="246">
        <v>1</v>
      </c>
      <c r="H493" s="247" t="s">
        <v>1823</v>
      </c>
      <c r="I493" s="47">
        <f>240/30</f>
        <v>8</v>
      </c>
      <c r="J493" s="47">
        <f>240/30</f>
        <v>8</v>
      </c>
      <c r="K493" s="246">
        <v>1</v>
      </c>
      <c r="L493" s="47">
        <v>1</v>
      </c>
      <c r="M493" s="47">
        <f t="shared" si="26"/>
        <v>7.6</v>
      </c>
      <c r="N493" s="246" t="s">
        <v>1824</v>
      </c>
      <c r="O493">
        <v>1</v>
      </c>
      <c r="P493">
        <v>2.2</v>
      </c>
      <c r="Q493">
        <v>0</v>
      </c>
      <c r="S493">
        <v>1.2</v>
      </c>
      <c r="U493">
        <v>0.8</v>
      </c>
      <c r="V493">
        <v>1</v>
      </c>
      <c r="W493">
        <v>0</v>
      </c>
      <c r="X493" s="7">
        <v>3</v>
      </c>
      <c r="Y493">
        <v>-0.1</v>
      </c>
      <c r="Z493">
        <v>0</v>
      </c>
      <c r="AB493">
        <v>7.9</v>
      </c>
      <c r="AC493">
        <v>2</v>
      </c>
      <c r="AD493">
        <v>1</v>
      </c>
      <c r="AE493" t="s">
        <v>1825</v>
      </c>
      <c r="AF493">
        <v>0.5</v>
      </c>
      <c r="AP493" s="10">
        <v>1480</v>
      </c>
      <c r="AQ493" s="3" t="s">
        <v>136</v>
      </c>
      <c r="AR493" s="11" t="s">
        <v>1740</v>
      </c>
    </row>
    <row r="494" spans="1:44">
      <c r="A494" s="3">
        <v>488</v>
      </c>
      <c r="B494" s="246" t="s">
        <v>1806</v>
      </c>
      <c r="C494" s="246" t="s">
        <v>1826</v>
      </c>
      <c r="D494" s="47">
        <v>1</v>
      </c>
      <c r="E494" s="47">
        <v>0</v>
      </c>
      <c r="F494" s="246"/>
      <c r="G494" s="246">
        <v>1</v>
      </c>
      <c r="H494" s="247" t="s">
        <v>1827</v>
      </c>
      <c r="I494" s="47">
        <v>11.3333333333333</v>
      </c>
      <c r="J494" s="47">
        <v>11.3333333333333</v>
      </c>
      <c r="K494" s="246"/>
      <c r="L494" s="47">
        <v>1</v>
      </c>
      <c r="M494" s="47">
        <f t="shared" si="26"/>
        <v>10.9333333333333</v>
      </c>
      <c r="N494" s="246" t="s">
        <v>1828</v>
      </c>
      <c r="O494">
        <v>2</v>
      </c>
      <c r="P494">
        <v>3</v>
      </c>
      <c r="Q494">
        <v>0</v>
      </c>
      <c r="S494">
        <v>1.2</v>
      </c>
      <c r="U494">
        <v>0.8</v>
      </c>
      <c r="V494">
        <v>1</v>
      </c>
      <c r="W494">
        <v>6</v>
      </c>
      <c r="X494" s="263">
        <v>2</v>
      </c>
      <c r="Y494">
        <v>-0.1</v>
      </c>
      <c r="Z494">
        <v>0</v>
      </c>
      <c r="AB494">
        <v>13.9</v>
      </c>
      <c r="AC494">
        <v>2</v>
      </c>
      <c r="AD494">
        <v>1</v>
      </c>
      <c r="AE494" t="s">
        <v>1829</v>
      </c>
      <c r="AF494">
        <v>0.5</v>
      </c>
      <c r="AP494" s="10">
        <v>1482</v>
      </c>
      <c r="AQ494" s="3" t="s">
        <v>136</v>
      </c>
      <c r="AR494" s="11" t="s">
        <v>1740</v>
      </c>
    </row>
    <row r="495" spans="1:44">
      <c r="A495" s="3">
        <v>489</v>
      </c>
      <c r="B495" s="246" t="s">
        <v>1806</v>
      </c>
      <c r="C495" s="246" t="s">
        <v>1562</v>
      </c>
      <c r="D495" s="47">
        <v>1</v>
      </c>
      <c r="E495" s="47">
        <v>0</v>
      </c>
      <c r="F495" s="246"/>
      <c r="G495" s="246">
        <v>1</v>
      </c>
      <c r="H495" s="247" t="s">
        <v>1830</v>
      </c>
      <c r="I495" s="47">
        <f>300/30</f>
        <v>10</v>
      </c>
      <c r="J495" s="47">
        <f>300/30</f>
        <v>10</v>
      </c>
      <c r="K495" s="246"/>
      <c r="L495" s="47">
        <v>1</v>
      </c>
      <c r="M495" s="47">
        <f t="shared" si="26"/>
        <v>9.6</v>
      </c>
      <c r="N495" s="3" t="s">
        <v>1831</v>
      </c>
      <c r="O495">
        <v>1</v>
      </c>
      <c r="P495">
        <v>20</v>
      </c>
      <c r="Q495">
        <v>0</v>
      </c>
      <c r="S495">
        <v>1.2</v>
      </c>
      <c r="U495">
        <v>0.8</v>
      </c>
      <c r="V495">
        <v>1</v>
      </c>
      <c r="W495">
        <v>0</v>
      </c>
      <c r="X495" s="7">
        <v>1</v>
      </c>
      <c r="Y495">
        <v>-0.1</v>
      </c>
      <c r="Z495">
        <v>0</v>
      </c>
      <c r="AD495">
        <v>1</v>
      </c>
      <c r="AE495" t="s">
        <v>1832</v>
      </c>
      <c r="AF495">
        <v>0.5</v>
      </c>
      <c r="AP495" s="10">
        <v>1505</v>
      </c>
      <c r="AQ495" s="3" t="s">
        <v>136</v>
      </c>
      <c r="AR495" s="11"/>
    </row>
    <row r="496" spans="1:44">
      <c r="A496" s="3">
        <v>490</v>
      </c>
      <c r="B496" s="3" t="s">
        <v>1833</v>
      </c>
      <c r="C496" s="3" t="s">
        <v>1834</v>
      </c>
      <c r="D496">
        <v>1</v>
      </c>
      <c r="E496">
        <v>0</v>
      </c>
      <c r="F496" s="3"/>
      <c r="G496" s="3">
        <v>1</v>
      </c>
      <c r="H496" s="5" t="s">
        <v>1835</v>
      </c>
      <c r="I496">
        <f>125/30</f>
        <v>4.16666666666667</v>
      </c>
      <c r="J496">
        <f>125/30</f>
        <v>4.16666666666667</v>
      </c>
      <c r="K496" s="3"/>
      <c r="L496">
        <v>0</v>
      </c>
      <c r="M496">
        <v>3.26666666666667</v>
      </c>
      <c r="N496" s="3" t="s">
        <v>1836</v>
      </c>
      <c r="O496">
        <v>1</v>
      </c>
      <c r="P496">
        <v>3</v>
      </c>
      <c r="Q496">
        <v>0</v>
      </c>
      <c r="S496">
        <v>0.8</v>
      </c>
      <c r="U496">
        <v>0.8</v>
      </c>
      <c r="V496">
        <v>1</v>
      </c>
      <c r="W496">
        <v>0</v>
      </c>
      <c r="X496" s="7">
        <v>4</v>
      </c>
      <c r="Y496">
        <v>-0.1</v>
      </c>
      <c r="Z496">
        <v>0</v>
      </c>
      <c r="AN496" s="8">
        <v>1524</v>
      </c>
      <c r="AO496" t="s">
        <v>1837</v>
      </c>
      <c r="AP496" s="10">
        <v>1511</v>
      </c>
      <c r="AQ496" s="3" t="s">
        <v>136</v>
      </c>
      <c r="AR496" s="11"/>
    </row>
    <row r="497" spans="1:44">
      <c r="A497" s="3">
        <v>491</v>
      </c>
      <c r="B497" s="3" t="s">
        <v>1833</v>
      </c>
      <c r="C497" s="3" t="s">
        <v>1838</v>
      </c>
      <c r="D497">
        <v>1</v>
      </c>
      <c r="E497">
        <v>0</v>
      </c>
      <c r="F497" s="3"/>
      <c r="G497" s="3">
        <v>1</v>
      </c>
      <c r="H497" s="5" t="s">
        <v>1839</v>
      </c>
      <c r="I497">
        <f>85/30</f>
        <v>2.83333333333333</v>
      </c>
      <c r="J497">
        <f>85/30</f>
        <v>2.83333333333333</v>
      </c>
      <c r="K497" s="3"/>
      <c r="L497">
        <v>1</v>
      </c>
      <c r="M497">
        <v>2.26666666666667</v>
      </c>
      <c r="N497" s="3" t="s">
        <v>1840</v>
      </c>
      <c r="O497">
        <v>1</v>
      </c>
      <c r="P497">
        <v>3</v>
      </c>
      <c r="Q497">
        <v>1</v>
      </c>
      <c r="S497">
        <v>0</v>
      </c>
      <c r="U497">
        <v>0</v>
      </c>
      <c r="V497">
        <v>1</v>
      </c>
      <c r="W497">
        <v>0</v>
      </c>
      <c r="X497" s="7">
        <v>2</v>
      </c>
      <c r="Y497">
        <v>-0.1</v>
      </c>
      <c r="Z497">
        <v>0</v>
      </c>
      <c r="AN497" s="8">
        <v>1602</v>
      </c>
      <c r="AO497" t="s">
        <v>1103</v>
      </c>
      <c r="AP497" s="10">
        <v>1513</v>
      </c>
      <c r="AQ497" s="3" t="s">
        <v>136</v>
      </c>
      <c r="AR497" s="11"/>
    </row>
    <row r="498" spans="1:44">
      <c r="A498" s="3">
        <v>492</v>
      </c>
      <c r="B498" s="3" t="s">
        <v>1833</v>
      </c>
      <c r="C498" s="3" t="s">
        <v>1841</v>
      </c>
      <c r="D498">
        <v>1</v>
      </c>
      <c r="E498">
        <v>0</v>
      </c>
      <c r="F498" s="3"/>
      <c r="G498" s="3">
        <v>1</v>
      </c>
      <c r="H498" s="5" t="s">
        <v>1842</v>
      </c>
      <c r="I498">
        <f>155/30</f>
        <v>5.16666666666667</v>
      </c>
      <c r="J498">
        <f>155/30</f>
        <v>5.16666666666667</v>
      </c>
      <c r="K498" s="3"/>
      <c r="L498">
        <v>1</v>
      </c>
      <c r="M498">
        <v>3.3</v>
      </c>
      <c r="N498" s="3" t="s">
        <v>1843</v>
      </c>
      <c r="O498">
        <v>1</v>
      </c>
      <c r="P498">
        <v>3</v>
      </c>
      <c r="Q498">
        <v>1</v>
      </c>
      <c r="S498">
        <v>5</v>
      </c>
      <c r="U498">
        <v>1.5</v>
      </c>
      <c r="V498">
        <v>1</v>
      </c>
      <c r="W498">
        <v>6</v>
      </c>
      <c r="X498" s="7">
        <v>4</v>
      </c>
      <c r="Y498">
        <v>-0.1</v>
      </c>
      <c r="Z498">
        <v>0</v>
      </c>
      <c r="AN498" s="8">
        <v>1597</v>
      </c>
      <c r="AO498" t="s">
        <v>1837</v>
      </c>
      <c r="AP498" s="10">
        <v>1517</v>
      </c>
      <c r="AQ498" s="3" t="s">
        <v>136</v>
      </c>
      <c r="AR498" s="11"/>
    </row>
    <row r="499" spans="1:44">
      <c r="A499" s="3">
        <v>493</v>
      </c>
      <c r="B499" s="3" t="s">
        <v>1833</v>
      </c>
      <c r="C499" s="3" t="s">
        <v>1844</v>
      </c>
      <c r="D499">
        <v>1</v>
      </c>
      <c r="E499">
        <v>0</v>
      </c>
      <c r="F499" s="3"/>
      <c r="G499" s="3">
        <v>1</v>
      </c>
      <c r="H499" s="5" t="s">
        <v>1845</v>
      </c>
      <c r="I499">
        <f>130/30</f>
        <v>4.33333333333333</v>
      </c>
      <c r="J499">
        <f>130/30</f>
        <v>4.33333333333333</v>
      </c>
      <c r="K499" s="3"/>
      <c r="L499">
        <v>1</v>
      </c>
      <c r="M499">
        <v>3.93333333333333</v>
      </c>
      <c r="N499" s="3" t="s">
        <v>1846</v>
      </c>
      <c r="O499">
        <v>1</v>
      </c>
      <c r="P499">
        <v>3</v>
      </c>
      <c r="Q499">
        <v>0</v>
      </c>
      <c r="S499">
        <v>1.2</v>
      </c>
      <c r="T499">
        <v>-0.4</v>
      </c>
      <c r="U499">
        <v>0.8</v>
      </c>
      <c r="V499">
        <v>1</v>
      </c>
      <c r="W499">
        <v>4</v>
      </c>
      <c r="X499" s="7">
        <v>4</v>
      </c>
      <c r="Y499">
        <v>-0.1</v>
      </c>
      <c r="Z499">
        <v>0</v>
      </c>
      <c r="AN499" s="8">
        <v>1611</v>
      </c>
      <c r="AO499" t="s">
        <v>1837</v>
      </c>
      <c r="AP499" s="10">
        <v>1518</v>
      </c>
      <c r="AQ499" s="3" t="s">
        <v>136</v>
      </c>
      <c r="AR499" s="11"/>
    </row>
    <row r="500" spans="1:44">
      <c r="A500" s="3">
        <v>494</v>
      </c>
      <c r="B500" s="3" t="s">
        <v>1833</v>
      </c>
      <c r="C500" s="3" t="s">
        <v>1847</v>
      </c>
      <c r="D500">
        <v>1</v>
      </c>
      <c r="E500">
        <v>0</v>
      </c>
      <c r="F500" s="3"/>
      <c r="G500" s="3">
        <v>1</v>
      </c>
      <c r="H500" s="5" t="s">
        <v>1848</v>
      </c>
      <c r="I500">
        <f>170/30</f>
        <v>5.66666666666667</v>
      </c>
      <c r="J500">
        <f>170/30</f>
        <v>5.66666666666667</v>
      </c>
      <c r="K500" s="3"/>
      <c r="L500">
        <v>1</v>
      </c>
      <c r="M500">
        <v>4.6</v>
      </c>
      <c r="N500" s="3" t="s">
        <v>1849</v>
      </c>
      <c r="O500">
        <v>1</v>
      </c>
      <c r="P500">
        <v>3</v>
      </c>
      <c r="Q500">
        <v>0</v>
      </c>
      <c r="S500">
        <v>-1</v>
      </c>
      <c r="T500">
        <v>-1</v>
      </c>
      <c r="U500">
        <v>1.2</v>
      </c>
      <c r="V500">
        <v>1</v>
      </c>
      <c r="W500">
        <v>6</v>
      </c>
      <c r="X500" s="7">
        <v>3</v>
      </c>
      <c r="Y500">
        <v>-0.1</v>
      </c>
      <c r="Z500">
        <v>0</v>
      </c>
      <c r="AN500" s="8" t="s">
        <v>1850</v>
      </c>
      <c r="AO500" t="s">
        <v>524</v>
      </c>
      <c r="AP500" s="10">
        <v>1514</v>
      </c>
      <c r="AQ500" s="3" t="s">
        <v>136</v>
      </c>
      <c r="AR500" s="11"/>
    </row>
    <row r="501" spans="1:44">
      <c r="A501" s="3">
        <v>495</v>
      </c>
      <c r="B501" s="3" t="s">
        <v>1833</v>
      </c>
      <c r="C501" s="3" t="s">
        <v>1851</v>
      </c>
      <c r="D501">
        <v>1</v>
      </c>
      <c r="E501">
        <v>0</v>
      </c>
      <c r="F501" s="3"/>
      <c r="G501" s="3">
        <v>1</v>
      </c>
      <c r="H501" s="5" t="s">
        <v>1852</v>
      </c>
      <c r="I501">
        <f>256/30</f>
        <v>8.53333333333333</v>
      </c>
      <c r="J501">
        <f>256/30</f>
        <v>8.53333333333333</v>
      </c>
      <c r="K501" s="3"/>
      <c r="L501">
        <v>1</v>
      </c>
      <c r="M501">
        <v>7.7</v>
      </c>
      <c r="N501" s="3" t="s">
        <v>1853</v>
      </c>
      <c r="O501">
        <v>1</v>
      </c>
      <c r="P501">
        <v>3</v>
      </c>
      <c r="Q501">
        <v>0</v>
      </c>
      <c r="S501">
        <v>0.8</v>
      </c>
      <c r="U501">
        <v>0.4</v>
      </c>
      <c r="V501">
        <v>1</v>
      </c>
      <c r="W501">
        <v>0</v>
      </c>
      <c r="X501" s="7">
        <v>3</v>
      </c>
      <c r="Y501">
        <v>-0.1</v>
      </c>
      <c r="Z501">
        <v>0</v>
      </c>
      <c r="AB501">
        <v>8.233333</v>
      </c>
      <c r="AC501">
        <v>1</v>
      </c>
      <c r="AD501">
        <v>1</v>
      </c>
      <c r="AE501" t="s">
        <v>1854</v>
      </c>
      <c r="AF501">
        <v>0.5</v>
      </c>
      <c r="AN501" s="8">
        <v>1605</v>
      </c>
      <c r="AO501" t="s">
        <v>1103</v>
      </c>
      <c r="AP501" s="10">
        <v>1519</v>
      </c>
      <c r="AQ501" s="3" t="s">
        <v>136</v>
      </c>
      <c r="AR501" s="11" t="s">
        <v>1686</v>
      </c>
    </row>
    <row r="502" spans="1:45">
      <c r="A502" s="3">
        <v>496</v>
      </c>
      <c r="B502" s="3" t="s">
        <v>1833</v>
      </c>
      <c r="C502" s="3" t="s">
        <v>1855</v>
      </c>
      <c r="D502">
        <v>1</v>
      </c>
      <c r="E502">
        <v>0</v>
      </c>
      <c r="F502" s="3"/>
      <c r="G502" s="3">
        <v>1</v>
      </c>
      <c r="H502" s="5" t="s">
        <v>1856</v>
      </c>
      <c r="I502">
        <f>390/30</f>
        <v>13</v>
      </c>
      <c r="J502">
        <f>390/30</f>
        <v>13</v>
      </c>
      <c r="K502" s="3"/>
      <c r="L502">
        <v>1</v>
      </c>
      <c r="M502">
        <v>12.6</v>
      </c>
      <c r="N502" s="3" t="s">
        <v>1857</v>
      </c>
      <c r="O502">
        <v>1</v>
      </c>
      <c r="P502">
        <v>4</v>
      </c>
      <c r="Q502">
        <v>0</v>
      </c>
      <c r="S502">
        <v>0.8</v>
      </c>
      <c r="U502">
        <v>0.4</v>
      </c>
      <c r="V502">
        <v>1</v>
      </c>
      <c r="W502">
        <v>0</v>
      </c>
      <c r="X502" s="7">
        <v>8</v>
      </c>
      <c r="Y502">
        <v>-0.1</v>
      </c>
      <c r="Z502">
        <v>0</v>
      </c>
      <c r="AB502">
        <v>12.8</v>
      </c>
      <c r="AC502">
        <v>1</v>
      </c>
      <c r="AD502">
        <v>1</v>
      </c>
      <c r="AE502" t="s">
        <v>1858</v>
      </c>
      <c r="AF502">
        <v>0.5</v>
      </c>
      <c r="AH502">
        <v>1</v>
      </c>
      <c r="AN502" s="8" t="s">
        <v>1859</v>
      </c>
      <c r="AO502" t="s">
        <v>1860</v>
      </c>
      <c r="AP502" s="10">
        <v>1520</v>
      </c>
      <c r="AQ502" s="3" t="s">
        <v>136</v>
      </c>
      <c r="AR502" s="11"/>
      <c r="AS502" t="s">
        <v>1861</v>
      </c>
    </row>
    <row r="503" spans="1:45">
      <c r="A503" s="3">
        <v>497</v>
      </c>
      <c r="B503" s="3" t="s">
        <v>1833</v>
      </c>
      <c r="C503" s="3" t="s">
        <v>1862</v>
      </c>
      <c r="D503">
        <v>1</v>
      </c>
      <c r="E503">
        <v>0</v>
      </c>
      <c r="F503" s="3"/>
      <c r="G503" s="3">
        <v>1</v>
      </c>
      <c r="H503" s="5" t="s">
        <v>1863</v>
      </c>
      <c r="I503">
        <f>515/30</f>
        <v>17.1666666666667</v>
      </c>
      <c r="J503">
        <f>515/30</f>
        <v>17.1666666666667</v>
      </c>
      <c r="K503" s="3"/>
      <c r="L503">
        <v>1</v>
      </c>
      <c r="M503">
        <v>16.4</v>
      </c>
      <c r="N503" s="3" t="s">
        <v>1864</v>
      </c>
      <c r="O503">
        <v>3</v>
      </c>
      <c r="P503" s="750" t="s">
        <v>1865</v>
      </c>
      <c r="Q503">
        <v>0</v>
      </c>
      <c r="S503">
        <v>0.8</v>
      </c>
      <c r="U503">
        <v>0.4</v>
      </c>
      <c r="V503">
        <v>1</v>
      </c>
      <c r="W503">
        <v>6</v>
      </c>
      <c r="X503" s="7">
        <v>6</v>
      </c>
      <c r="Y503">
        <v>-0.1</v>
      </c>
      <c r="Z503">
        <v>0</v>
      </c>
      <c r="AB503">
        <v>16.9</v>
      </c>
      <c r="AC503">
        <v>1</v>
      </c>
      <c r="AD503">
        <v>1</v>
      </c>
      <c r="AE503" t="s">
        <v>1866</v>
      </c>
      <c r="AF503">
        <v>0.5</v>
      </c>
      <c r="AP503" s="10">
        <v>1578</v>
      </c>
      <c r="AQ503" s="3" t="s">
        <v>136</v>
      </c>
      <c r="AR503" s="11" t="s">
        <v>1740</v>
      </c>
      <c r="AS503" t="s">
        <v>1867</v>
      </c>
    </row>
    <row r="504" ht="16.5" spans="1:44">
      <c r="A504" s="3">
        <v>498</v>
      </c>
      <c r="B504" s="3" t="s">
        <v>1868</v>
      </c>
      <c r="C504" s="3" t="s">
        <v>526</v>
      </c>
      <c r="D504">
        <v>1</v>
      </c>
      <c r="E504">
        <v>0</v>
      </c>
      <c r="F504" s="3"/>
      <c r="G504" s="3">
        <v>1</v>
      </c>
      <c r="H504" s="11" t="s">
        <v>1869</v>
      </c>
      <c r="I504">
        <f>95/30</f>
        <v>3.16666666666667</v>
      </c>
      <c r="J504">
        <f>95/30</f>
        <v>3.16666666666667</v>
      </c>
      <c r="K504" s="3"/>
      <c r="L504">
        <v>0</v>
      </c>
      <c r="M504">
        <f t="shared" ref="M504:M516" si="27">I504-0.4</f>
        <v>2.76666666666667</v>
      </c>
      <c r="N504" s="3" t="s">
        <v>1870</v>
      </c>
      <c r="O504">
        <v>1</v>
      </c>
      <c r="P504">
        <v>1.4</v>
      </c>
      <c r="Q504">
        <v>0</v>
      </c>
      <c r="R504">
        <v>0</v>
      </c>
      <c r="S504">
        <v>0</v>
      </c>
      <c r="U504">
        <v>0.25</v>
      </c>
      <c r="V504">
        <v>6</v>
      </c>
      <c r="W504">
        <v>0</v>
      </c>
      <c r="X504" s="7">
        <v>3</v>
      </c>
      <c r="Y504">
        <v>-0.1</v>
      </c>
      <c r="Z504">
        <v>0</v>
      </c>
      <c r="AP504" s="267">
        <v>1528</v>
      </c>
      <c r="AQ504" s="3" t="s">
        <v>136</v>
      </c>
      <c r="AR504" s="11"/>
    </row>
    <row r="505" ht="16.5" spans="1:44">
      <c r="A505" s="3">
        <v>499</v>
      </c>
      <c r="B505" s="3" t="s">
        <v>1868</v>
      </c>
      <c r="C505" s="3" t="s">
        <v>1871</v>
      </c>
      <c r="D505">
        <v>1</v>
      </c>
      <c r="E505">
        <v>0</v>
      </c>
      <c r="F505" s="3"/>
      <c r="G505" s="3">
        <v>1</v>
      </c>
      <c r="H505" s="11" t="s">
        <v>1872</v>
      </c>
      <c r="I505">
        <f>90/30</f>
        <v>3</v>
      </c>
      <c r="J505">
        <f>90/30</f>
        <v>3</v>
      </c>
      <c r="K505" s="3"/>
      <c r="L505">
        <v>1</v>
      </c>
      <c r="M505">
        <f t="shared" si="27"/>
        <v>2.6</v>
      </c>
      <c r="N505" s="3" t="s">
        <v>1873</v>
      </c>
      <c r="O505">
        <v>1</v>
      </c>
      <c r="P505">
        <v>1.4</v>
      </c>
      <c r="Q505">
        <v>0</v>
      </c>
      <c r="R505">
        <v>1</v>
      </c>
      <c r="S505">
        <v>0</v>
      </c>
      <c r="U505">
        <v>0.1</v>
      </c>
      <c r="V505">
        <v>6</v>
      </c>
      <c r="W505">
        <v>0</v>
      </c>
      <c r="X505" s="7">
        <v>2</v>
      </c>
      <c r="Y505">
        <v>-0.1</v>
      </c>
      <c r="Z505">
        <v>0</v>
      </c>
      <c r="AP505" s="267">
        <v>1529</v>
      </c>
      <c r="AQ505" s="3" t="s">
        <v>136</v>
      </c>
      <c r="AR505" s="11"/>
    </row>
    <row r="506" ht="16.5" spans="1:44">
      <c r="A506" s="3">
        <v>500</v>
      </c>
      <c r="B506" s="3" t="s">
        <v>1868</v>
      </c>
      <c r="C506" s="3" t="s">
        <v>1874</v>
      </c>
      <c r="D506">
        <v>1</v>
      </c>
      <c r="E506">
        <v>0</v>
      </c>
      <c r="F506" s="3"/>
      <c r="G506" s="3">
        <v>1</v>
      </c>
      <c r="H506" s="11" t="s">
        <v>1875</v>
      </c>
      <c r="I506">
        <f>81/30</f>
        <v>2.7</v>
      </c>
      <c r="J506">
        <f>81/30</f>
        <v>2.7</v>
      </c>
      <c r="K506" s="3"/>
      <c r="L506">
        <v>1</v>
      </c>
      <c r="M506">
        <f t="shared" si="27"/>
        <v>2.3</v>
      </c>
      <c r="N506" s="3" t="s">
        <v>1876</v>
      </c>
      <c r="O506">
        <v>1</v>
      </c>
      <c r="P506">
        <v>1.4</v>
      </c>
      <c r="Q506">
        <v>0</v>
      </c>
      <c r="R506">
        <v>1</v>
      </c>
      <c r="S506">
        <v>0</v>
      </c>
      <c r="U506">
        <v>0.8</v>
      </c>
      <c r="V506">
        <v>6</v>
      </c>
      <c r="W506">
        <v>0</v>
      </c>
      <c r="X506" s="7">
        <v>4</v>
      </c>
      <c r="Y506">
        <v>-0.1</v>
      </c>
      <c r="Z506">
        <v>0</v>
      </c>
      <c r="AN506" s="82" t="s">
        <v>1877</v>
      </c>
      <c r="AO506" t="s">
        <v>1878</v>
      </c>
      <c r="AP506" s="267">
        <v>1530</v>
      </c>
      <c r="AQ506" s="3" t="s">
        <v>136</v>
      </c>
      <c r="AR506" s="11"/>
    </row>
    <row r="507" spans="1:44">
      <c r="A507" s="3">
        <v>501</v>
      </c>
      <c r="B507" s="3" t="s">
        <v>1868</v>
      </c>
      <c r="C507" s="3" t="s">
        <v>1879</v>
      </c>
      <c r="D507">
        <v>1</v>
      </c>
      <c r="E507">
        <v>0</v>
      </c>
      <c r="F507" s="3"/>
      <c r="G507" s="3">
        <v>1</v>
      </c>
      <c r="H507" s="11" t="s">
        <v>1880</v>
      </c>
      <c r="I507">
        <f>80/30</f>
        <v>2.66666666666667</v>
      </c>
      <c r="J507">
        <f>80/30</f>
        <v>2.66666666666667</v>
      </c>
      <c r="K507" s="3"/>
      <c r="L507">
        <v>1</v>
      </c>
      <c r="M507">
        <f t="shared" si="27"/>
        <v>2.26666666666667</v>
      </c>
      <c r="N507" s="3" t="s">
        <v>1881</v>
      </c>
      <c r="O507">
        <v>1</v>
      </c>
      <c r="P507">
        <v>1.4</v>
      </c>
      <c r="Q507">
        <v>0</v>
      </c>
      <c r="R507">
        <v>0</v>
      </c>
      <c r="S507">
        <v>1.3</v>
      </c>
      <c r="T507">
        <v>0.85</v>
      </c>
      <c r="U507">
        <v>0.8</v>
      </c>
      <c r="V507">
        <v>6</v>
      </c>
      <c r="W507">
        <v>4</v>
      </c>
      <c r="X507" s="7">
        <v>2</v>
      </c>
      <c r="Y507">
        <v>-0.1</v>
      </c>
      <c r="Z507">
        <v>0</v>
      </c>
      <c r="AN507" s="82" t="s">
        <v>1877</v>
      </c>
      <c r="AO507" t="s">
        <v>1878</v>
      </c>
      <c r="AP507" s="10">
        <v>1531</v>
      </c>
      <c r="AQ507" s="3" t="s">
        <v>136</v>
      </c>
      <c r="AR507" s="11"/>
    </row>
    <row r="508" spans="1:44">
      <c r="A508" s="3">
        <v>502</v>
      </c>
      <c r="B508" s="3" t="s">
        <v>1868</v>
      </c>
      <c r="C508" s="3" t="s">
        <v>1882</v>
      </c>
      <c r="D508">
        <v>1</v>
      </c>
      <c r="E508">
        <v>0</v>
      </c>
      <c r="F508" s="3"/>
      <c r="G508" s="3">
        <v>1</v>
      </c>
      <c r="H508" s="11" t="s">
        <v>1883</v>
      </c>
      <c r="I508">
        <f>65/30</f>
        <v>2.16666666666667</v>
      </c>
      <c r="J508">
        <f>65/30</f>
        <v>2.16666666666667</v>
      </c>
      <c r="K508" s="3"/>
      <c r="L508">
        <v>1</v>
      </c>
      <c r="M508">
        <f t="shared" si="27"/>
        <v>1.76666666666667</v>
      </c>
      <c r="N508" s="3" t="s">
        <v>1884</v>
      </c>
      <c r="O508">
        <v>1</v>
      </c>
      <c r="P508">
        <v>1.4</v>
      </c>
      <c r="Q508">
        <v>0</v>
      </c>
      <c r="R508">
        <v>0</v>
      </c>
      <c r="S508">
        <v>0</v>
      </c>
      <c r="U508">
        <v>0.25</v>
      </c>
      <c r="V508">
        <v>6</v>
      </c>
      <c r="W508">
        <v>0</v>
      </c>
      <c r="X508" s="7">
        <v>5</v>
      </c>
      <c r="Y508">
        <v>-0.1</v>
      </c>
      <c r="Z508">
        <v>0</v>
      </c>
      <c r="AP508" s="10">
        <v>1532</v>
      </c>
      <c r="AQ508" s="3" t="s">
        <v>136</v>
      </c>
      <c r="AR508" s="11"/>
    </row>
    <row r="509" spans="1:44">
      <c r="A509" s="3">
        <v>503</v>
      </c>
      <c r="B509" s="3" t="s">
        <v>1868</v>
      </c>
      <c r="C509" s="3" t="s">
        <v>1885</v>
      </c>
      <c r="D509">
        <v>1</v>
      </c>
      <c r="E509">
        <v>0</v>
      </c>
      <c r="F509" s="3"/>
      <c r="G509" s="3">
        <v>1</v>
      </c>
      <c r="H509" s="11" t="s">
        <v>1886</v>
      </c>
      <c r="I509">
        <f>275/30</f>
        <v>9.16666666666667</v>
      </c>
      <c r="J509">
        <f>275/30</f>
        <v>9.16666666666667</v>
      </c>
      <c r="K509" s="3"/>
      <c r="L509">
        <v>1</v>
      </c>
      <c r="M509">
        <f t="shared" si="27"/>
        <v>8.76666666666667</v>
      </c>
      <c r="N509" s="3" t="s">
        <v>1887</v>
      </c>
      <c r="O509">
        <v>1</v>
      </c>
      <c r="P509">
        <v>1.4</v>
      </c>
      <c r="Q509">
        <v>0</v>
      </c>
      <c r="R509">
        <v>0</v>
      </c>
      <c r="V509">
        <v>6</v>
      </c>
      <c r="W509">
        <v>29</v>
      </c>
      <c r="X509" s="7">
        <v>11</v>
      </c>
      <c r="Y509">
        <v>-0.1</v>
      </c>
      <c r="Z509">
        <v>0</v>
      </c>
      <c r="AB509">
        <v>8.87</v>
      </c>
      <c r="AC509">
        <v>2</v>
      </c>
      <c r="AD509">
        <v>1</v>
      </c>
      <c r="AE509" t="s">
        <v>1888</v>
      </c>
      <c r="AF509">
        <v>0.5</v>
      </c>
      <c r="AN509" s="82" t="s">
        <v>1889</v>
      </c>
      <c r="AO509" t="s">
        <v>1890</v>
      </c>
      <c r="AP509" s="10">
        <v>1533</v>
      </c>
      <c r="AQ509" s="3" t="s">
        <v>136</v>
      </c>
      <c r="AR509" s="11" t="s">
        <v>1740</v>
      </c>
    </row>
    <row r="510" spans="1:44">
      <c r="A510" s="3">
        <v>504</v>
      </c>
      <c r="B510" s="3" t="s">
        <v>1868</v>
      </c>
      <c r="C510" s="3" t="s">
        <v>1891</v>
      </c>
      <c r="D510">
        <v>1</v>
      </c>
      <c r="E510">
        <v>0</v>
      </c>
      <c r="F510" s="3"/>
      <c r="G510" s="3">
        <v>1</v>
      </c>
      <c r="H510" s="11" t="s">
        <v>1892</v>
      </c>
      <c r="I510">
        <f>200/30</f>
        <v>6.66666666666667</v>
      </c>
      <c r="J510">
        <f>200/30</f>
        <v>6.66666666666667</v>
      </c>
      <c r="K510" s="3"/>
      <c r="L510">
        <v>1</v>
      </c>
      <c r="M510">
        <f t="shared" si="27"/>
        <v>6.26666666666667</v>
      </c>
      <c r="N510" s="3" t="s">
        <v>1893</v>
      </c>
      <c r="O510">
        <v>1</v>
      </c>
      <c r="P510">
        <v>5.8</v>
      </c>
      <c r="Q510">
        <v>0</v>
      </c>
      <c r="R510">
        <v>0</v>
      </c>
      <c r="V510">
        <v>6</v>
      </c>
      <c r="W510">
        <v>6</v>
      </c>
      <c r="X510" s="7">
        <v>8</v>
      </c>
      <c r="Y510">
        <v>-0.1</v>
      </c>
      <c r="Z510">
        <v>0</v>
      </c>
      <c r="AB510">
        <v>6.4</v>
      </c>
      <c r="AC510">
        <v>2</v>
      </c>
      <c r="AD510">
        <v>1</v>
      </c>
      <c r="AE510" t="s">
        <v>1894</v>
      </c>
      <c r="AF510">
        <v>0.5</v>
      </c>
      <c r="AN510" s="82" t="s">
        <v>1895</v>
      </c>
      <c r="AO510" t="s">
        <v>1896</v>
      </c>
      <c r="AP510" s="10">
        <v>1534</v>
      </c>
      <c r="AQ510" s="3" t="s">
        <v>136</v>
      </c>
      <c r="AR510" s="11" t="s">
        <v>1740</v>
      </c>
    </row>
    <row r="511" spans="1:44">
      <c r="A511" s="3">
        <v>505</v>
      </c>
      <c r="B511" s="3" t="s">
        <v>1868</v>
      </c>
      <c r="C511" s="3" t="s">
        <v>1897</v>
      </c>
      <c r="D511">
        <v>1</v>
      </c>
      <c r="E511">
        <v>0</v>
      </c>
      <c r="F511" s="3"/>
      <c r="G511" s="3">
        <v>1</v>
      </c>
      <c r="H511" s="11" t="s">
        <v>1898</v>
      </c>
      <c r="I511">
        <v>14</v>
      </c>
      <c r="J511">
        <v>14</v>
      </c>
      <c r="K511" s="3"/>
      <c r="L511">
        <v>1</v>
      </c>
      <c r="M511">
        <v>13.3</v>
      </c>
      <c r="N511" s="3" t="s">
        <v>1899</v>
      </c>
      <c r="O511">
        <v>1</v>
      </c>
      <c r="P511">
        <v>5</v>
      </c>
      <c r="Q511">
        <v>0</v>
      </c>
      <c r="R511">
        <v>0</v>
      </c>
      <c r="V511">
        <v>6</v>
      </c>
      <c r="W511">
        <v>29</v>
      </c>
      <c r="X511" s="7">
        <v>4</v>
      </c>
      <c r="Y511">
        <v>-0.1</v>
      </c>
      <c r="Z511">
        <v>0</v>
      </c>
      <c r="AB511">
        <v>13.9</v>
      </c>
      <c r="AC511">
        <v>1</v>
      </c>
      <c r="AD511">
        <v>1</v>
      </c>
      <c r="AE511" t="s">
        <v>1900</v>
      </c>
      <c r="AF511">
        <v>0.5</v>
      </c>
      <c r="AN511" s="82" t="s">
        <v>1901</v>
      </c>
      <c r="AO511" t="s">
        <v>1902</v>
      </c>
      <c r="AP511" s="10">
        <v>1535</v>
      </c>
      <c r="AQ511" s="3" t="s">
        <v>136</v>
      </c>
      <c r="AR511" s="11"/>
    </row>
    <row r="512" ht="16.5" spans="1:44">
      <c r="A512" s="3">
        <v>506</v>
      </c>
      <c r="B512" s="3" t="s">
        <v>1868</v>
      </c>
      <c r="C512" s="3" t="s">
        <v>1903</v>
      </c>
      <c r="D512">
        <v>1</v>
      </c>
      <c r="E512">
        <v>0</v>
      </c>
      <c r="F512" s="3"/>
      <c r="G512" s="3">
        <v>1</v>
      </c>
      <c r="H512" s="5" t="s">
        <v>1904</v>
      </c>
      <c r="I512">
        <f>95/30</f>
        <v>3.16666666666667</v>
      </c>
      <c r="J512">
        <f>95/30</f>
        <v>3.16666666666667</v>
      </c>
      <c r="K512" s="3"/>
      <c r="L512">
        <v>0</v>
      </c>
      <c r="M512">
        <f t="shared" si="27"/>
        <v>2.76666666666667</v>
      </c>
      <c r="N512" s="3" t="s">
        <v>1905</v>
      </c>
      <c r="O512">
        <v>1</v>
      </c>
      <c r="P512">
        <v>1.6</v>
      </c>
      <c r="Q512">
        <v>0</v>
      </c>
      <c r="R512">
        <v>0</v>
      </c>
      <c r="S512">
        <v>0.4</v>
      </c>
      <c r="U512">
        <v>0.4</v>
      </c>
      <c r="V512">
        <v>6</v>
      </c>
      <c r="W512">
        <v>0</v>
      </c>
      <c r="X512" s="7">
        <v>3</v>
      </c>
      <c r="Y512">
        <v>-0.1</v>
      </c>
      <c r="Z512">
        <v>0</v>
      </c>
      <c r="AP512" s="267">
        <v>1536</v>
      </c>
      <c r="AQ512" s="3" t="s">
        <v>136</v>
      </c>
      <c r="AR512" s="11"/>
    </row>
    <row r="513" ht="16.5" spans="1:44">
      <c r="A513" s="3">
        <v>507</v>
      </c>
      <c r="B513" s="3" t="s">
        <v>1868</v>
      </c>
      <c r="C513" s="3" t="s">
        <v>1906</v>
      </c>
      <c r="D513">
        <v>1</v>
      </c>
      <c r="E513">
        <v>0</v>
      </c>
      <c r="F513" s="3"/>
      <c r="G513" s="3">
        <v>1</v>
      </c>
      <c r="H513" s="5" t="s">
        <v>1907</v>
      </c>
      <c r="I513">
        <f>75/30</f>
        <v>2.5</v>
      </c>
      <c r="J513">
        <f>75/30</f>
        <v>2.5</v>
      </c>
      <c r="K513" s="3"/>
      <c r="L513">
        <v>1</v>
      </c>
      <c r="M513">
        <f t="shared" si="27"/>
        <v>2.1</v>
      </c>
      <c r="N513" s="3" t="s">
        <v>1908</v>
      </c>
      <c r="O513">
        <v>1</v>
      </c>
      <c r="P513">
        <v>1.6</v>
      </c>
      <c r="Q513">
        <v>0</v>
      </c>
      <c r="R513">
        <v>1</v>
      </c>
      <c r="S513">
        <v>0.4</v>
      </c>
      <c r="U513">
        <v>0.3</v>
      </c>
      <c r="V513">
        <v>6</v>
      </c>
      <c r="W513">
        <v>0</v>
      </c>
      <c r="X513" s="7">
        <v>2</v>
      </c>
      <c r="Y513">
        <v>-0.1</v>
      </c>
      <c r="Z513">
        <v>0</v>
      </c>
      <c r="AP513" s="267">
        <v>1537</v>
      </c>
      <c r="AQ513" s="3" t="s">
        <v>136</v>
      </c>
      <c r="AR513" s="11"/>
    </row>
    <row r="514" ht="16.5" spans="1:44">
      <c r="A514" s="3">
        <v>508</v>
      </c>
      <c r="B514" s="3" t="s">
        <v>1868</v>
      </c>
      <c r="C514" s="3" t="s">
        <v>1909</v>
      </c>
      <c r="D514">
        <v>1</v>
      </c>
      <c r="E514">
        <v>0</v>
      </c>
      <c r="F514" s="3"/>
      <c r="G514" s="3">
        <v>1</v>
      </c>
      <c r="H514" s="5" t="s">
        <v>1910</v>
      </c>
      <c r="I514">
        <f>68/30</f>
        <v>2.26666666666667</v>
      </c>
      <c r="J514">
        <f>68/30</f>
        <v>2.26666666666667</v>
      </c>
      <c r="K514" s="3"/>
      <c r="L514">
        <v>1</v>
      </c>
      <c r="M514">
        <f t="shared" si="27"/>
        <v>1.86666666666667</v>
      </c>
      <c r="N514" s="3" t="s">
        <v>1911</v>
      </c>
      <c r="O514">
        <v>1</v>
      </c>
      <c r="P514">
        <v>1.6</v>
      </c>
      <c r="Q514">
        <v>0</v>
      </c>
      <c r="R514">
        <v>1</v>
      </c>
      <c r="S514">
        <v>0.2</v>
      </c>
      <c r="U514">
        <v>1</v>
      </c>
      <c r="V514">
        <v>6</v>
      </c>
      <c r="W514">
        <v>0</v>
      </c>
      <c r="X514" s="7">
        <v>4</v>
      </c>
      <c r="Y514">
        <v>-0.1</v>
      </c>
      <c r="Z514">
        <v>0</v>
      </c>
      <c r="AN514" s="8" t="s">
        <v>1912</v>
      </c>
      <c r="AO514" t="s">
        <v>1913</v>
      </c>
      <c r="AP514" s="267">
        <v>1538</v>
      </c>
      <c r="AQ514" s="3" t="s">
        <v>136</v>
      </c>
      <c r="AR514" s="11"/>
    </row>
    <row r="515" spans="1:44">
      <c r="A515" s="3">
        <v>509</v>
      </c>
      <c r="B515" s="3" t="s">
        <v>1868</v>
      </c>
      <c r="C515" s="3" t="s">
        <v>1914</v>
      </c>
      <c r="D515">
        <v>1</v>
      </c>
      <c r="E515">
        <v>0</v>
      </c>
      <c r="F515" s="3"/>
      <c r="G515" s="3">
        <v>1</v>
      </c>
      <c r="H515" s="5" t="s">
        <v>1915</v>
      </c>
      <c r="I515">
        <f>75/30</f>
        <v>2.5</v>
      </c>
      <c r="J515">
        <f>75/30</f>
        <v>2.5</v>
      </c>
      <c r="K515" s="3"/>
      <c r="L515">
        <v>1</v>
      </c>
      <c r="M515">
        <f t="shared" si="27"/>
        <v>2.1</v>
      </c>
      <c r="N515" s="3" t="s">
        <v>1916</v>
      </c>
      <c r="O515">
        <v>1</v>
      </c>
      <c r="P515">
        <v>1.6</v>
      </c>
      <c r="Q515">
        <v>0</v>
      </c>
      <c r="R515">
        <v>0</v>
      </c>
      <c r="S515">
        <v>1</v>
      </c>
      <c r="T515">
        <v>0.85</v>
      </c>
      <c r="U515">
        <v>1.2</v>
      </c>
      <c r="V515">
        <v>6</v>
      </c>
      <c r="W515">
        <v>4</v>
      </c>
      <c r="X515" s="7">
        <v>2</v>
      </c>
      <c r="Y515">
        <v>-0.1</v>
      </c>
      <c r="Z515">
        <v>0</v>
      </c>
      <c r="AN515" s="8" t="s">
        <v>1917</v>
      </c>
      <c r="AO515" t="s">
        <v>1918</v>
      </c>
      <c r="AP515" s="10">
        <v>1539</v>
      </c>
      <c r="AQ515" s="3" t="s">
        <v>136</v>
      </c>
      <c r="AR515" s="11"/>
    </row>
    <row r="516" spans="1:44">
      <c r="A516" s="3">
        <v>510</v>
      </c>
      <c r="B516" s="3" t="s">
        <v>1868</v>
      </c>
      <c r="C516" s="3" t="s">
        <v>1919</v>
      </c>
      <c r="D516">
        <v>1</v>
      </c>
      <c r="E516">
        <v>0</v>
      </c>
      <c r="F516" s="3"/>
      <c r="G516" s="3">
        <v>1</v>
      </c>
      <c r="H516" s="5" t="s">
        <v>1920</v>
      </c>
      <c r="I516">
        <f>75/30</f>
        <v>2.5</v>
      </c>
      <c r="J516">
        <f>75/30</f>
        <v>2.5</v>
      </c>
      <c r="K516" s="3"/>
      <c r="L516">
        <v>1</v>
      </c>
      <c r="M516">
        <f t="shared" si="27"/>
        <v>2.1</v>
      </c>
      <c r="N516" s="3" t="s">
        <v>1921</v>
      </c>
      <c r="O516">
        <v>1</v>
      </c>
      <c r="P516">
        <v>1.6</v>
      </c>
      <c r="Q516">
        <v>0</v>
      </c>
      <c r="R516">
        <v>1</v>
      </c>
      <c r="S516">
        <v>0.2</v>
      </c>
      <c r="U516">
        <v>0.4</v>
      </c>
      <c r="V516">
        <v>6</v>
      </c>
      <c r="W516">
        <v>0</v>
      </c>
      <c r="X516" s="7">
        <v>5</v>
      </c>
      <c r="Y516">
        <v>-0.1</v>
      </c>
      <c r="Z516">
        <v>0</v>
      </c>
      <c r="AP516" s="10">
        <v>1540</v>
      </c>
      <c r="AQ516" s="3" t="s">
        <v>136</v>
      </c>
      <c r="AR516" s="11"/>
    </row>
    <row r="517" ht="16.5" spans="1:44">
      <c r="A517" s="3">
        <v>511</v>
      </c>
      <c r="B517" s="3" t="s">
        <v>1922</v>
      </c>
      <c r="C517" s="3" t="s">
        <v>526</v>
      </c>
      <c r="D517">
        <v>1</v>
      </c>
      <c r="E517">
        <v>0</v>
      </c>
      <c r="F517" s="3"/>
      <c r="G517" s="3">
        <v>1</v>
      </c>
      <c r="H517" s="5" t="s">
        <v>1923</v>
      </c>
      <c r="I517">
        <f>102/30</f>
        <v>3.4</v>
      </c>
      <c r="J517">
        <f>102/30</f>
        <v>3.4</v>
      </c>
      <c r="K517" s="3"/>
      <c r="L517">
        <v>0</v>
      </c>
      <c r="M517">
        <f t="shared" ref="M517:M522" si="28">I517-0.4</f>
        <v>3</v>
      </c>
      <c r="N517" s="3" t="s">
        <v>1924</v>
      </c>
      <c r="O517">
        <v>1</v>
      </c>
      <c r="P517">
        <v>2</v>
      </c>
      <c r="Q517">
        <v>0</v>
      </c>
      <c r="R517">
        <v>0</v>
      </c>
      <c r="S517">
        <v>0.3</v>
      </c>
      <c r="U517">
        <v>0.6</v>
      </c>
      <c r="V517">
        <v>6</v>
      </c>
      <c r="W517">
        <v>0</v>
      </c>
      <c r="X517" s="7">
        <v>4</v>
      </c>
      <c r="Y517">
        <v>-0.1</v>
      </c>
      <c r="Z517">
        <v>0</v>
      </c>
      <c r="AP517" s="267">
        <v>1584</v>
      </c>
      <c r="AQ517" s="3" t="s">
        <v>136</v>
      </c>
      <c r="AR517" s="11"/>
    </row>
    <row r="518" ht="16.5" spans="1:44">
      <c r="A518" s="3">
        <v>512</v>
      </c>
      <c r="B518" s="3" t="s">
        <v>1922</v>
      </c>
      <c r="C518" s="3" t="s">
        <v>1925</v>
      </c>
      <c r="D518">
        <v>1</v>
      </c>
      <c r="E518">
        <v>0</v>
      </c>
      <c r="F518" s="3"/>
      <c r="G518" s="3">
        <v>1</v>
      </c>
      <c r="H518" s="5" t="s">
        <v>1926</v>
      </c>
      <c r="I518">
        <f>80/30</f>
        <v>2.66666666666667</v>
      </c>
      <c r="J518">
        <f>80/30</f>
        <v>2.66666666666667</v>
      </c>
      <c r="K518" s="3"/>
      <c r="L518">
        <v>1</v>
      </c>
      <c r="M518">
        <f t="shared" si="28"/>
        <v>2.26666666666667</v>
      </c>
      <c r="N518" s="3" t="s">
        <v>1927</v>
      </c>
      <c r="O518">
        <v>1</v>
      </c>
      <c r="P518">
        <v>2</v>
      </c>
      <c r="Q518">
        <v>0</v>
      </c>
      <c r="R518">
        <v>0</v>
      </c>
      <c r="S518">
        <v>0.3</v>
      </c>
      <c r="U518">
        <v>0.6</v>
      </c>
      <c r="V518">
        <v>6</v>
      </c>
      <c r="W518">
        <v>0</v>
      </c>
      <c r="X518" s="7">
        <v>9</v>
      </c>
      <c r="Y518">
        <v>-0.1</v>
      </c>
      <c r="Z518">
        <v>0</v>
      </c>
      <c r="AP518" s="267">
        <v>1585</v>
      </c>
      <c r="AQ518" s="3" t="s">
        <v>136</v>
      </c>
      <c r="AR518" s="11"/>
    </row>
    <row r="519" ht="16.5" spans="1:44">
      <c r="A519" s="3">
        <v>513</v>
      </c>
      <c r="B519" s="3" t="s">
        <v>1922</v>
      </c>
      <c r="C519" s="3" t="s">
        <v>1928</v>
      </c>
      <c r="D519">
        <v>1</v>
      </c>
      <c r="E519">
        <v>0</v>
      </c>
      <c r="F519" s="3"/>
      <c r="G519" s="3">
        <v>1</v>
      </c>
      <c r="H519" s="5" t="s">
        <v>1929</v>
      </c>
      <c r="I519">
        <f>88/30</f>
        <v>2.93333333333333</v>
      </c>
      <c r="J519">
        <f>88/30</f>
        <v>2.93333333333333</v>
      </c>
      <c r="K519" s="3"/>
      <c r="L519">
        <v>1</v>
      </c>
      <c r="M519">
        <f t="shared" si="28"/>
        <v>2.53333333333333</v>
      </c>
      <c r="N519" s="3" t="s">
        <v>1930</v>
      </c>
      <c r="O519">
        <v>1</v>
      </c>
      <c r="P519">
        <v>2</v>
      </c>
      <c r="Q519">
        <v>0</v>
      </c>
      <c r="R519">
        <v>0</v>
      </c>
      <c r="S519">
        <v>0.3</v>
      </c>
      <c r="U519">
        <v>0.6</v>
      </c>
      <c r="V519">
        <v>6</v>
      </c>
      <c r="W519">
        <v>4</v>
      </c>
      <c r="X519" s="7">
        <v>3</v>
      </c>
      <c r="Y519">
        <v>-0.1</v>
      </c>
      <c r="Z519">
        <v>0</v>
      </c>
      <c r="AP519" s="267">
        <v>1586</v>
      </c>
      <c r="AQ519" s="3" t="s">
        <v>136</v>
      </c>
      <c r="AR519" s="11"/>
    </row>
    <row r="520" ht="16.5" spans="1:44">
      <c r="A520" s="3">
        <v>514</v>
      </c>
      <c r="B520" s="3" t="s">
        <v>1922</v>
      </c>
      <c r="C520" s="3" t="s">
        <v>1931</v>
      </c>
      <c r="D520">
        <v>1</v>
      </c>
      <c r="E520">
        <v>0</v>
      </c>
      <c r="F520" s="3"/>
      <c r="G520" s="3">
        <v>1</v>
      </c>
      <c r="H520" s="5" t="s">
        <v>1932</v>
      </c>
      <c r="I520">
        <f>73/30</f>
        <v>2.43333333333333</v>
      </c>
      <c r="J520">
        <f>73/30</f>
        <v>2.43333333333333</v>
      </c>
      <c r="K520" s="3"/>
      <c r="L520">
        <v>1</v>
      </c>
      <c r="M520">
        <f t="shared" si="28"/>
        <v>2.03333333333333</v>
      </c>
      <c r="N520" s="3" t="s">
        <v>1933</v>
      </c>
      <c r="O520">
        <v>1</v>
      </c>
      <c r="P520">
        <v>2</v>
      </c>
      <c r="Q520">
        <v>0</v>
      </c>
      <c r="R520">
        <v>1</v>
      </c>
      <c r="S520">
        <v>0.3</v>
      </c>
      <c r="U520">
        <v>0.6</v>
      </c>
      <c r="V520">
        <v>6</v>
      </c>
      <c r="W520">
        <v>6</v>
      </c>
      <c r="X520" s="7">
        <v>3</v>
      </c>
      <c r="Y520">
        <v>-0.1</v>
      </c>
      <c r="Z520">
        <v>0</v>
      </c>
      <c r="AP520" s="267">
        <v>1587</v>
      </c>
      <c r="AQ520" s="3" t="s">
        <v>136</v>
      </c>
      <c r="AR520" s="11"/>
    </row>
    <row r="521" ht="16.5" spans="1:44">
      <c r="A521" s="3">
        <v>515</v>
      </c>
      <c r="B521" s="3" t="s">
        <v>1922</v>
      </c>
      <c r="C521" s="3" t="s">
        <v>1934</v>
      </c>
      <c r="D521">
        <v>1</v>
      </c>
      <c r="E521">
        <v>0</v>
      </c>
      <c r="F521" s="3"/>
      <c r="G521" s="3">
        <v>1</v>
      </c>
      <c r="H521" s="5" t="s">
        <v>1935</v>
      </c>
      <c r="I521">
        <f>80/30</f>
        <v>2.66666666666667</v>
      </c>
      <c r="J521">
        <f>80/30</f>
        <v>2.66666666666667</v>
      </c>
      <c r="K521" s="3"/>
      <c r="L521">
        <v>1</v>
      </c>
      <c r="M521">
        <f t="shared" si="28"/>
        <v>2.26666666666667</v>
      </c>
      <c r="N521" s="3" t="s">
        <v>1936</v>
      </c>
      <c r="O521">
        <v>1</v>
      </c>
      <c r="P521">
        <v>2</v>
      </c>
      <c r="Q521">
        <v>0</v>
      </c>
      <c r="R521">
        <v>0</v>
      </c>
      <c r="S521">
        <v>0.3</v>
      </c>
      <c r="U521">
        <v>0.6</v>
      </c>
      <c r="V521">
        <v>6</v>
      </c>
      <c r="W521">
        <v>0</v>
      </c>
      <c r="X521" s="7">
        <v>4</v>
      </c>
      <c r="Y521">
        <v>-0.1</v>
      </c>
      <c r="Z521">
        <v>0</v>
      </c>
      <c r="AP521" s="267">
        <v>1588</v>
      </c>
      <c r="AQ521" s="3" t="s">
        <v>136</v>
      </c>
      <c r="AR521" s="11"/>
    </row>
    <row r="522" ht="16.5" spans="1:44">
      <c r="A522" s="3">
        <v>516</v>
      </c>
      <c r="B522" s="3" t="s">
        <v>1922</v>
      </c>
      <c r="C522" s="3" t="s">
        <v>1937</v>
      </c>
      <c r="D522">
        <v>1</v>
      </c>
      <c r="E522">
        <v>0</v>
      </c>
      <c r="F522" s="3"/>
      <c r="G522" s="3">
        <v>1</v>
      </c>
      <c r="H522" s="5" t="s">
        <v>1938</v>
      </c>
      <c r="I522">
        <f>250/30</f>
        <v>8.33333333333333</v>
      </c>
      <c r="J522">
        <f>250/30</f>
        <v>8.33333333333333</v>
      </c>
      <c r="K522" s="3"/>
      <c r="L522">
        <v>1</v>
      </c>
      <c r="M522">
        <f t="shared" si="28"/>
        <v>7.93333333333333</v>
      </c>
      <c r="N522" s="3" t="s">
        <v>1939</v>
      </c>
      <c r="O522">
        <v>1</v>
      </c>
      <c r="P522">
        <v>2</v>
      </c>
      <c r="Q522">
        <v>0</v>
      </c>
      <c r="R522">
        <v>0</v>
      </c>
      <c r="S522">
        <v>0.3</v>
      </c>
      <c r="V522">
        <v>6</v>
      </c>
      <c r="W522">
        <v>0</v>
      </c>
      <c r="X522" s="7">
        <v>14</v>
      </c>
      <c r="Y522">
        <v>-0.1</v>
      </c>
      <c r="Z522">
        <v>0</v>
      </c>
      <c r="AB522">
        <v>8.03</v>
      </c>
      <c r="AC522">
        <v>2</v>
      </c>
      <c r="AD522">
        <v>1</v>
      </c>
      <c r="AE522" t="s">
        <v>1940</v>
      </c>
      <c r="AF522">
        <v>0.5</v>
      </c>
      <c r="AP522" s="267">
        <v>1589</v>
      </c>
      <c r="AQ522" s="3" t="s">
        <v>136</v>
      </c>
      <c r="AR522" s="11"/>
    </row>
    <row r="523" spans="1:44">
      <c r="A523" s="3">
        <v>517</v>
      </c>
      <c r="B523" s="3" t="s">
        <v>1922</v>
      </c>
      <c r="C523" s="3" t="s">
        <v>1941</v>
      </c>
      <c r="D523">
        <v>1</v>
      </c>
      <c r="E523">
        <v>0</v>
      </c>
      <c r="F523" s="3"/>
      <c r="G523" s="3">
        <v>1</v>
      </c>
      <c r="H523" s="5" t="s">
        <v>1942</v>
      </c>
      <c r="I523">
        <f>238/30</f>
        <v>7.93333333333333</v>
      </c>
      <c r="J523">
        <f>238/30</f>
        <v>7.93333333333333</v>
      </c>
      <c r="K523" s="3"/>
      <c r="L523">
        <v>1</v>
      </c>
      <c r="M523">
        <f>190/30</f>
        <v>6.33333333333333</v>
      </c>
      <c r="N523" s="3" t="s">
        <v>1943</v>
      </c>
      <c r="O523">
        <v>1</v>
      </c>
      <c r="P523">
        <v>13</v>
      </c>
      <c r="Q523">
        <v>0</v>
      </c>
      <c r="R523">
        <v>0</v>
      </c>
      <c r="S523">
        <v>0.3</v>
      </c>
      <c r="V523">
        <v>6</v>
      </c>
      <c r="W523">
        <v>0</v>
      </c>
      <c r="X523" s="7">
        <v>17</v>
      </c>
      <c r="Y523">
        <v>-0.1</v>
      </c>
      <c r="Z523">
        <v>0</v>
      </c>
      <c r="AB523">
        <v>7.53</v>
      </c>
      <c r="AC523">
        <v>2</v>
      </c>
      <c r="AD523">
        <v>1</v>
      </c>
      <c r="AE523" t="s">
        <v>1944</v>
      </c>
      <c r="AF523">
        <v>0.5</v>
      </c>
      <c r="AP523" s="10">
        <v>1590</v>
      </c>
      <c r="AQ523" s="3" t="s">
        <v>136</v>
      </c>
      <c r="AR523" s="11" t="s">
        <v>1740</v>
      </c>
    </row>
    <row r="524" spans="1:44">
      <c r="A524" s="3">
        <v>518</v>
      </c>
      <c r="B524" s="3" t="s">
        <v>1922</v>
      </c>
      <c r="C524" s="3" t="s">
        <v>1562</v>
      </c>
      <c r="D524">
        <v>1</v>
      </c>
      <c r="E524">
        <v>0</v>
      </c>
      <c r="F524" s="3"/>
      <c r="G524" s="3">
        <v>1</v>
      </c>
      <c r="H524" s="5" t="s">
        <v>1945</v>
      </c>
      <c r="I524">
        <f>290/30</f>
        <v>9.66666666666667</v>
      </c>
      <c r="J524">
        <f>290/30</f>
        <v>9.66666666666667</v>
      </c>
      <c r="K524" s="3"/>
      <c r="L524">
        <v>1</v>
      </c>
      <c r="M524">
        <f>255/30</f>
        <v>8.5</v>
      </c>
      <c r="N524" s="3" t="s">
        <v>1946</v>
      </c>
      <c r="O524">
        <v>3</v>
      </c>
      <c r="P524">
        <v>-8.7</v>
      </c>
      <c r="Q524">
        <v>0</v>
      </c>
      <c r="R524">
        <v>0</v>
      </c>
      <c r="S524">
        <v>0.3</v>
      </c>
      <c r="V524">
        <v>6</v>
      </c>
      <c r="W524">
        <v>6</v>
      </c>
      <c r="X524" s="7">
        <v>5</v>
      </c>
      <c r="Y524">
        <v>-0.1</v>
      </c>
      <c r="Z524">
        <v>0</v>
      </c>
      <c r="AB524">
        <v>9.36</v>
      </c>
      <c r="AC524">
        <v>2</v>
      </c>
      <c r="AD524">
        <v>1</v>
      </c>
      <c r="AE524" t="s">
        <v>1947</v>
      </c>
      <c r="AF524">
        <v>0.5</v>
      </c>
      <c r="AP524" s="10">
        <v>1591</v>
      </c>
      <c r="AQ524" s="3" t="s">
        <v>136</v>
      </c>
      <c r="AR524" s="11" t="s">
        <v>1740</v>
      </c>
    </row>
    <row r="525" spans="1:44">
      <c r="A525" s="3">
        <v>519</v>
      </c>
      <c r="B525" s="3" t="s">
        <v>1948</v>
      </c>
      <c r="C525" s="3" t="s">
        <v>526</v>
      </c>
      <c r="D525">
        <v>1</v>
      </c>
      <c r="E525">
        <v>0</v>
      </c>
      <c r="F525" s="3"/>
      <c r="G525" s="3">
        <v>1</v>
      </c>
      <c r="H525" s="11" t="s">
        <v>1949</v>
      </c>
      <c r="I525">
        <v>3.33333333333333</v>
      </c>
      <c r="J525">
        <v>3.33333333333333</v>
      </c>
      <c r="K525" s="3"/>
      <c r="L525">
        <v>0</v>
      </c>
      <c r="M525">
        <f t="shared" ref="M525:M533" si="29">I525-0.4</f>
        <v>2.93333333333333</v>
      </c>
      <c r="N525" s="3" t="s">
        <v>1950</v>
      </c>
      <c r="O525">
        <v>1</v>
      </c>
      <c r="P525">
        <v>2.5</v>
      </c>
      <c r="Q525">
        <v>0</v>
      </c>
      <c r="S525">
        <v>0.4</v>
      </c>
      <c r="U525">
        <v>0.2</v>
      </c>
      <c r="V525">
        <v>1</v>
      </c>
      <c r="W525">
        <v>0</v>
      </c>
      <c r="X525" s="7">
        <v>4</v>
      </c>
      <c r="Y525">
        <v>-0.1</v>
      </c>
      <c r="Z525">
        <v>0</v>
      </c>
      <c r="AP525" s="10">
        <v>1627</v>
      </c>
      <c r="AQ525" s="3" t="s">
        <v>136</v>
      </c>
      <c r="AR525" s="11"/>
    </row>
    <row r="526" spans="1:44">
      <c r="A526" s="3">
        <v>520</v>
      </c>
      <c r="B526" s="3" t="s">
        <v>1948</v>
      </c>
      <c r="C526" s="3" t="s">
        <v>1951</v>
      </c>
      <c r="D526">
        <v>1</v>
      </c>
      <c r="E526">
        <v>0</v>
      </c>
      <c r="F526" s="3"/>
      <c r="G526" s="3">
        <v>1</v>
      </c>
      <c r="H526" s="11" t="s">
        <v>1952</v>
      </c>
      <c r="I526">
        <v>2.83333333333333</v>
      </c>
      <c r="J526">
        <v>2.83333333333333</v>
      </c>
      <c r="K526" s="3"/>
      <c r="L526">
        <v>1</v>
      </c>
      <c r="M526">
        <f t="shared" si="29"/>
        <v>2.43333333333333</v>
      </c>
      <c r="N526" s="3" t="s">
        <v>1953</v>
      </c>
      <c r="O526">
        <v>1</v>
      </c>
      <c r="P526">
        <v>2.5</v>
      </c>
      <c r="Q526">
        <v>0</v>
      </c>
      <c r="S526">
        <v>0.4</v>
      </c>
      <c r="U526">
        <v>0.6</v>
      </c>
      <c r="V526">
        <v>1</v>
      </c>
      <c r="W526">
        <v>6</v>
      </c>
      <c r="X526" s="7">
        <v>2</v>
      </c>
      <c r="Y526">
        <v>-0.1</v>
      </c>
      <c r="Z526">
        <v>0</v>
      </c>
      <c r="AP526" s="10">
        <v>1632</v>
      </c>
      <c r="AQ526" s="3" t="s">
        <v>136</v>
      </c>
      <c r="AR526" s="11"/>
    </row>
    <row r="527" spans="1:44">
      <c r="A527" s="3">
        <v>521</v>
      </c>
      <c r="B527" s="3" t="s">
        <v>1948</v>
      </c>
      <c r="C527" s="3" t="s">
        <v>1954</v>
      </c>
      <c r="D527">
        <v>1</v>
      </c>
      <c r="E527">
        <v>0</v>
      </c>
      <c r="F527" s="3"/>
      <c r="G527" s="3">
        <v>1</v>
      </c>
      <c r="H527" s="11" t="s">
        <v>1955</v>
      </c>
      <c r="I527">
        <v>4</v>
      </c>
      <c r="J527">
        <v>4</v>
      </c>
      <c r="K527" s="3"/>
      <c r="L527">
        <v>1</v>
      </c>
      <c r="M527">
        <f t="shared" si="29"/>
        <v>3.6</v>
      </c>
      <c r="N527" s="3" t="s">
        <v>1956</v>
      </c>
      <c r="O527">
        <v>1</v>
      </c>
      <c r="P527">
        <v>2.5</v>
      </c>
      <c r="Q527">
        <v>0</v>
      </c>
      <c r="S527">
        <v>0.1</v>
      </c>
      <c r="U527">
        <v>0.55</v>
      </c>
      <c r="V527">
        <v>1</v>
      </c>
      <c r="W527">
        <v>4</v>
      </c>
      <c r="X527" s="7">
        <v>5</v>
      </c>
      <c r="Y527">
        <v>-0.1</v>
      </c>
      <c r="Z527">
        <v>0</v>
      </c>
      <c r="AP527" s="10">
        <v>1633</v>
      </c>
      <c r="AQ527" s="3" t="s">
        <v>136</v>
      </c>
      <c r="AR527" s="11"/>
    </row>
    <row r="528" spans="1:44">
      <c r="A528" s="3">
        <v>522</v>
      </c>
      <c r="B528" s="3" t="s">
        <v>1948</v>
      </c>
      <c r="C528" s="3" t="s">
        <v>1957</v>
      </c>
      <c r="D528">
        <v>1</v>
      </c>
      <c r="E528">
        <v>0</v>
      </c>
      <c r="F528" s="3"/>
      <c r="G528" s="3">
        <v>1</v>
      </c>
      <c r="H528" s="11" t="s">
        <v>1958</v>
      </c>
      <c r="I528">
        <v>2.63333333333333</v>
      </c>
      <c r="J528">
        <v>2.63333333333333</v>
      </c>
      <c r="K528" s="3"/>
      <c r="L528">
        <v>1</v>
      </c>
      <c r="M528">
        <f t="shared" si="29"/>
        <v>2.23333333333333</v>
      </c>
      <c r="N528" s="3" t="s">
        <v>1959</v>
      </c>
      <c r="O528">
        <v>1</v>
      </c>
      <c r="P528">
        <v>2.5</v>
      </c>
      <c r="Q528">
        <v>0</v>
      </c>
      <c r="S528">
        <v>0.2</v>
      </c>
      <c r="U528">
        <v>0.6</v>
      </c>
      <c r="V528">
        <v>1</v>
      </c>
      <c r="W528">
        <v>4</v>
      </c>
      <c r="X528" s="7">
        <v>2</v>
      </c>
      <c r="Y528">
        <v>-0.1</v>
      </c>
      <c r="Z528">
        <v>0</v>
      </c>
      <c r="AP528" s="10">
        <v>1634</v>
      </c>
      <c r="AQ528" s="3" t="s">
        <v>136</v>
      </c>
      <c r="AR528" s="11"/>
    </row>
    <row r="529" spans="1:44">
      <c r="A529" s="3">
        <v>523</v>
      </c>
      <c r="B529" s="3" t="s">
        <v>1948</v>
      </c>
      <c r="C529" s="3" t="s">
        <v>1960</v>
      </c>
      <c r="D529">
        <v>1</v>
      </c>
      <c r="E529">
        <v>0</v>
      </c>
      <c r="F529" s="3"/>
      <c r="G529" s="3">
        <v>1</v>
      </c>
      <c r="H529" s="11" t="s">
        <v>1961</v>
      </c>
      <c r="I529">
        <v>3.33333333333333</v>
      </c>
      <c r="J529">
        <v>3.33333333333333</v>
      </c>
      <c r="K529" s="3"/>
      <c r="L529">
        <v>1</v>
      </c>
      <c r="M529">
        <f t="shared" si="29"/>
        <v>2.93333333333333</v>
      </c>
      <c r="N529" s="3" t="s">
        <v>1962</v>
      </c>
      <c r="O529">
        <v>1</v>
      </c>
      <c r="P529">
        <v>2.5</v>
      </c>
      <c r="Q529">
        <v>0</v>
      </c>
      <c r="S529">
        <v>0.4</v>
      </c>
      <c r="U529">
        <v>0.45</v>
      </c>
      <c r="V529">
        <v>1</v>
      </c>
      <c r="W529">
        <v>0</v>
      </c>
      <c r="X529" s="7">
        <v>4</v>
      </c>
      <c r="Y529">
        <v>-0.1</v>
      </c>
      <c r="Z529">
        <v>0</v>
      </c>
      <c r="AP529" s="10">
        <v>1635</v>
      </c>
      <c r="AQ529" s="3" t="s">
        <v>136</v>
      </c>
      <c r="AR529" s="11"/>
    </row>
    <row r="530" spans="1:45">
      <c r="A530" s="3">
        <v>524</v>
      </c>
      <c r="B530" s="3" t="s">
        <v>1948</v>
      </c>
      <c r="C530" s="3" t="s">
        <v>1937</v>
      </c>
      <c r="D530">
        <v>1</v>
      </c>
      <c r="E530">
        <v>0</v>
      </c>
      <c r="F530" s="3"/>
      <c r="G530" s="3">
        <v>1</v>
      </c>
      <c r="H530" s="11" t="s">
        <v>1963</v>
      </c>
      <c r="I530">
        <v>9</v>
      </c>
      <c r="J530">
        <v>9</v>
      </c>
      <c r="K530" s="3"/>
      <c r="L530">
        <v>1</v>
      </c>
      <c r="M530">
        <f t="shared" si="29"/>
        <v>8.6</v>
      </c>
      <c r="N530" s="3" t="s">
        <v>1964</v>
      </c>
      <c r="O530">
        <v>1</v>
      </c>
      <c r="P530">
        <v>2.5</v>
      </c>
      <c r="Q530">
        <v>0</v>
      </c>
      <c r="S530">
        <v>0.4</v>
      </c>
      <c r="U530">
        <v>0.2</v>
      </c>
      <c r="V530">
        <v>1</v>
      </c>
      <c r="W530">
        <v>0</v>
      </c>
      <c r="X530" s="7">
        <v>18</v>
      </c>
      <c r="Y530">
        <v>-0.1</v>
      </c>
      <c r="Z530">
        <v>0</v>
      </c>
      <c r="AB530">
        <v>8.7</v>
      </c>
      <c r="AC530">
        <v>1</v>
      </c>
      <c r="AD530">
        <v>1</v>
      </c>
      <c r="AE530" t="s">
        <v>1965</v>
      </c>
      <c r="AF530">
        <v>0.5</v>
      </c>
      <c r="AN530" s="8">
        <v>1674</v>
      </c>
      <c r="AO530" t="s">
        <v>1695</v>
      </c>
      <c r="AP530" s="10">
        <v>1636</v>
      </c>
      <c r="AQ530" s="3" t="s">
        <v>136</v>
      </c>
      <c r="AR530" s="11"/>
      <c r="AS530" t="s">
        <v>1966</v>
      </c>
    </row>
    <row r="531" spans="1:44">
      <c r="A531" s="3">
        <v>525</v>
      </c>
      <c r="B531" s="3" t="s">
        <v>1948</v>
      </c>
      <c r="C531" s="3" t="s">
        <v>1941</v>
      </c>
      <c r="D531">
        <v>1</v>
      </c>
      <c r="E531">
        <v>0</v>
      </c>
      <c r="F531" s="3"/>
      <c r="G531" s="3">
        <v>1</v>
      </c>
      <c r="H531" s="11" t="s">
        <v>1967</v>
      </c>
      <c r="I531">
        <f>275/30</f>
        <v>9.16666666666667</v>
      </c>
      <c r="J531">
        <f>275/30</f>
        <v>9.16666666666667</v>
      </c>
      <c r="K531" s="3"/>
      <c r="L531">
        <v>1</v>
      </c>
      <c r="M531">
        <f t="shared" si="29"/>
        <v>8.76666666666667</v>
      </c>
      <c r="N531" s="3" t="s">
        <v>1968</v>
      </c>
      <c r="O531">
        <v>1</v>
      </c>
      <c r="P531">
        <v>2.5</v>
      </c>
      <c r="Q531">
        <v>0</v>
      </c>
      <c r="S531">
        <v>0.4</v>
      </c>
      <c r="U531">
        <v>0.2</v>
      </c>
      <c r="V531">
        <v>1</v>
      </c>
      <c r="W531">
        <v>4</v>
      </c>
      <c r="X531" s="7">
        <v>5</v>
      </c>
      <c r="Y531">
        <v>-0.1</v>
      </c>
      <c r="Z531">
        <v>0</v>
      </c>
      <c r="AB531">
        <v>8.9</v>
      </c>
      <c r="AC531">
        <v>2</v>
      </c>
      <c r="AD531">
        <v>1</v>
      </c>
      <c r="AE531" t="s">
        <v>1969</v>
      </c>
      <c r="AF531">
        <v>0.5</v>
      </c>
      <c r="AP531" s="10">
        <v>1637</v>
      </c>
      <c r="AQ531" s="3" t="s">
        <v>136</v>
      </c>
      <c r="AR531" s="11"/>
    </row>
    <row r="532" spans="1:46">
      <c r="A532" s="3">
        <v>526</v>
      </c>
      <c r="B532" s="3" t="s">
        <v>1948</v>
      </c>
      <c r="C532" s="3" t="s">
        <v>1562</v>
      </c>
      <c r="D532">
        <v>1</v>
      </c>
      <c r="E532">
        <v>0</v>
      </c>
      <c r="F532" s="3"/>
      <c r="G532" s="3">
        <v>1</v>
      </c>
      <c r="H532" s="11" t="s">
        <v>1970</v>
      </c>
      <c r="I532">
        <f>327/30</f>
        <v>10.9</v>
      </c>
      <c r="J532">
        <f>327/30</f>
        <v>10.9</v>
      </c>
      <c r="K532" s="3"/>
      <c r="L532">
        <v>1</v>
      </c>
      <c r="M532">
        <f t="shared" si="29"/>
        <v>10.5</v>
      </c>
      <c r="N532" s="3" t="s">
        <v>1971</v>
      </c>
      <c r="O532">
        <v>1</v>
      </c>
      <c r="P532">
        <v>2.5</v>
      </c>
      <c r="Q532">
        <v>0</v>
      </c>
      <c r="S532">
        <v>0.4</v>
      </c>
      <c r="U532">
        <v>0.2</v>
      </c>
      <c r="V532">
        <v>1</v>
      </c>
      <c r="W532">
        <v>0</v>
      </c>
      <c r="X532" s="7">
        <v>3</v>
      </c>
      <c r="Y532">
        <v>-0.1</v>
      </c>
      <c r="Z532">
        <v>0</v>
      </c>
      <c r="AB532">
        <v>10.65</v>
      </c>
      <c r="AC532">
        <v>2</v>
      </c>
      <c r="AD532">
        <v>1</v>
      </c>
      <c r="AE532" t="s">
        <v>1972</v>
      </c>
      <c r="AF532">
        <v>0.5</v>
      </c>
      <c r="AP532" s="10">
        <v>1638</v>
      </c>
      <c r="AQ532" s="3" t="s">
        <v>136</v>
      </c>
      <c r="AR532" s="11"/>
      <c r="AT532">
        <v>1</v>
      </c>
    </row>
    <row r="533" spans="1:44">
      <c r="A533" s="268">
        <v>527</v>
      </c>
      <c r="B533" s="268" t="s">
        <v>1973</v>
      </c>
      <c r="C533" s="268" t="s">
        <v>526</v>
      </c>
      <c r="D533" s="51">
        <v>1</v>
      </c>
      <c r="E533" s="51">
        <v>0</v>
      </c>
      <c r="F533" s="268"/>
      <c r="G533" s="268">
        <v>2</v>
      </c>
      <c r="H533" s="269" t="s">
        <v>1974</v>
      </c>
      <c r="I533" s="51">
        <f>110/30</f>
        <v>3.66666666666667</v>
      </c>
      <c r="J533" s="51">
        <f>110/30</f>
        <v>3.66666666666667</v>
      </c>
      <c r="K533" s="268"/>
      <c r="L533" s="51">
        <v>0</v>
      </c>
      <c r="M533" s="51">
        <f t="shared" si="29"/>
        <v>3.26666666666667</v>
      </c>
      <c r="N533" s="246" t="s">
        <v>1975</v>
      </c>
      <c r="O533">
        <v>0</v>
      </c>
      <c r="P533">
        <v>0</v>
      </c>
      <c r="Q533">
        <v>1</v>
      </c>
      <c r="V533" s="28">
        <v>2</v>
      </c>
      <c r="W533">
        <v>0</v>
      </c>
      <c r="X533" s="7">
        <v>4</v>
      </c>
      <c r="Y533">
        <v>-0.1</v>
      </c>
      <c r="Z533">
        <v>0</v>
      </c>
      <c r="AP533" s="10">
        <v>1714</v>
      </c>
      <c r="AQ533" s="3" t="s">
        <v>136</v>
      </c>
      <c r="AR533" s="11"/>
    </row>
    <row r="534" spans="1:44">
      <c r="A534" s="268">
        <v>528</v>
      </c>
      <c r="B534" s="268" t="s">
        <v>1973</v>
      </c>
      <c r="C534" s="268" t="s">
        <v>1976</v>
      </c>
      <c r="D534" s="51">
        <v>1</v>
      </c>
      <c r="E534" s="51">
        <v>0</v>
      </c>
      <c r="F534" s="268"/>
      <c r="G534" s="268">
        <v>2</v>
      </c>
      <c r="H534" s="269" t="s">
        <v>1977</v>
      </c>
      <c r="I534" s="51">
        <f>86/30</f>
        <v>2.86666666666667</v>
      </c>
      <c r="J534" s="51">
        <f>86/30</f>
        <v>2.86666666666667</v>
      </c>
      <c r="K534" s="268"/>
      <c r="L534" s="51">
        <v>1</v>
      </c>
      <c r="M534" s="51">
        <f t="shared" ref="M534:M540" si="30">I534-0.4</f>
        <v>2.46666666666667</v>
      </c>
      <c r="N534" s="268" t="s">
        <v>1978</v>
      </c>
      <c r="O534">
        <v>0</v>
      </c>
      <c r="P534">
        <v>0</v>
      </c>
      <c r="Q534">
        <v>1</v>
      </c>
      <c r="V534" s="28">
        <v>2</v>
      </c>
      <c r="W534">
        <v>0</v>
      </c>
      <c r="X534" s="7">
        <v>2</v>
      </c>
      <c r="Y534">
        <v>-0.1</v>
      </c>
      <c r="Z534">
        <v>0</v>
      </c>
      <c r="AI534">
        <v>1</v>
      </c>
      <c r="AJ534">
        <v>2</v>
      </c>
      <c r="AK534" t="s">
        <v>1303</v>
      </c>
      <c r="AL534">
        <v>2</v>
      </c>
      <c r="AM534">
        <v>0.6</v>
      </c>
      <c r="AP534" s="10">
        <v>1721</v>
      </c>
      <c r="AQ534" s="3" t="s">
        <v>136</v>
      </c>
      <c r="AR534" s="11"/>
    </row>
    <row r="535" spans="1:44">
      <c r="A535" s="268">
        <v>529</v>
      </c>
      <c r="B535" s="268" t="s">
        <v>1973</v>
      </c>
      <c r="C535" s="268" t="s">
        <v>1979</v>
      </c>
      <c r="D535" s="51">
        <v>1</v>
      </c>
      <c r="E535" s="51">
        <v>0</v>
      </c>
      <c r="F535" s="268"/>
      <c r="G535" s="268">
        <v>2</v>
      </c>
      <c r="H535" s="269" t="s">
        <v>1980</v>
      </c>
      <c r="I535" s="51">
        <v>3.1</v>
      </c>
      <c r="J535" s="51">
        <v>3.1</v>
      </c>
      <c r="K535" s="268"/>
      <c r="L535" s="51">
        <v>1</v>
      </c>
      <c r="M535" s="51">
        <f t="shared" si="30"/>
        <v>2.7</v>
      </c>
      <c r="N535" s="246" t="s">
        <v>1981</v>
      </c>
      <c r="O535">
        <v>0</v>
      </c>
      <c r="P535">
        <v>0</v>
      </c>
      <c r="Q535">
        <v>0</v>
      </c>
      <c r="S535">
        <v>0.2</v>
      </c>
      <c r="U535">
        <v>0.3</v>
      </c>
      <c r="V535" s="28">
        <v>2</v>
      </c>
      <c r="W535">
        <v>6</v>
      </c>
      <c r="X535" s="7">
        <v>1</v>
      </c>
      <c r="Y535">
        <v>-0.1</v>
      </c>
      <c r="Z535">
        <v>0</v>
      </c>
      <c r="AP535" s="10">
        <v>1723</v>
      </c>
      <c r="AQ535" s="3" t="s">
        <v>136</v>
      </c>
      <c r="AR535" s="11"/>
    </row>
    <row r="536" spans="1:44">
      <c r="A536" s="268">
        <v>530</v>
      </c>
      <c r="B536" s="268" t="s">
        <v>1973</v>
      </c>
      <c r="C536" s="268" t="s">
        <v>1982</v>
      </c>
      <c r="D536" s="51">
        <v>1</v>
      </c>
      <c r="E536" s="51">
        <v>0</v>
      </c>
      <c r="F536" s="268"/>
      <c r="G536" s="268">
        <v>2</v>
      </c>
      <c r="H536" s="269" t="s">
        <v>1983</v>
      </c>
      <c r="I536" s="51">
        <f>90/30</f>
        <v>3</v>
      </c>
      <c r="J536" s="51">
        <f>90/30</f>
        <v>3</v>
      </c>
      <c r="K536" s="268"/>
      <c r="L536" s="51">
        <v>0</v>
      </c>
      <c r="M536" s="51">
        <f t="shared" si="30"/>
        <v>2.6</v>
      </c>
      <c r="N536" s="268" t="s">
        <v>1984</v>
      </c>
      <c r="O536">
        <v>0</v>
      </c>
      <c r="P536">
        <v>0</v>
      </c>
      <c r="Q536">
        <v>1</v>
      </c>
      <c r="V536" s="28">
        <v>2</v>
      </c>
      <c r="W536">
        <v>6</v>
      </c>
      <c r="X536" s="7">
        <v>1</v>
      </c>
      <c r="Y536">
        <v>-0.1</v>
      </c>
      <c r="Z536">
        <v>0</v>
      </c>
      <c r="AP536" s="10">
        <v>1725</v>
      </c>
      <c r="AQ536" s="3" t="s">
        <v>136</v>
      </c>
      <c r="AR536" s="11"/>
    </row>
    <row r="537" spans="1:44">
      <c r="A537" s="268">
        <v>531</v>
      </c>
      <c r="B537" s="268" t="s">
        <v>1973</v>
      </c>
      <c r="C537" s="268" t="s">
        <v>1985</v>
      </c>
      <c r="D537" s="51">
        <v>1</v>
      </c>
      <c r="E537" s="51">
        <v>0</v>
      </c>
      <c r="F537" s="268"/>
      <c r="G537" s="268">
        <v>2</v>
      </c>
      <c r="H537" s="269" t="s">
        <v>1986</v>
      </c>
      <c r="I537" s="51">
        <f>70/30</f>
        <v>2.33333333333333</v>
      </c>
      <c r="J537" s="51">
        <f>70/30</f>
        <v>2.33333333333333</v>
      </c>
      <c r="K537" s="268"/>
      <c r="L537" s="51">
        <v>1</v>
      </c>
      <c r="M537" s="51">
        <f t="shared" si="30"/>
        <v>1.93333333333333</v>
      </c>
      <c r="N537" s="268" t="s">
        <v>1987</v>
      </c>
      <c r="O537">
        <v>0</v>
      </c>
      <c r="P537">
        <v>0</v>
      </c>
      <c r="Q537">
        <v>1</v>
      </c>
      <c r="V537" s="28">
        <v>2</v>
      </c>
      <c r="W537">
        <v>0</v>
      </c>
      <c r="X537" s="7">
        <v>2</v>
      </c>
      <c r="Y537">
        <v>-0.1</v>
      </c>
      <c r="Z537">
        <v>0</v>
      </c>
      <c r="AP537" s="10">
        <v>1747</v>
      </c>
      <c r="AQ537" s="3" t="s">
        <v>136</v>
      </c>
      <c r="AR537" s="11"/>
    </row>
    <row r="538" spans="1:44">
      <c r="A538" s="268">
        <v>532</v>
      </c>
      <c r="B538" s="268" t="s">
        <v>1973</v>
      </c>
      <c r="C538" s="268" t="s">
        <v>1988</v>
      </c>
      <c r="D538" s="51">
        <v>1</v>
      </c>
      <c r="E538" s="51">
        <v>0</v>
      </c>
      <c r="F538" s="268"/>
      <c r="G538" s="268">
        <v>2</v>
      </c>
      <c r="H538" s="269" t="s">
        <v>1989</v>
      </c>
      <c r="I538" s="51">
        <f>426/30</f>
        <v>14.2</v>
      </c>
      <c r="J538" s="51">
        <f>426/30</f>
        <v>14.2</v>
      </c>
      <c r="K538" s="268"/>
      <c r="L538" s="51">
        <v>1</v>
      </c>
      <c r="M538" s="51">
        <f t="shared" si="30"/>
        <v>13.8</v>
      </c>
      <c r="N538" s="268" t="s">
        <v>1990</v>
      </c>
      <c r="O538">
        <v>1</v>
      </c>
      <c r="P538">
        <v>0</v>
      </c>
      <c r="Q538">
        <v>0</v>
      </c>
      <c r="V538" s="28">
        <v>2</v>
      </c>
      <c r="W538">
        <v>0</v>
      </c>
      <c r="X538" s="7">
        <v>6</v>
      </c>
      <c r="Y538">
        <v>-0.1</v>
      </c>
      <c r="Z538">
        <v>0</v>
      </c>
      <c r="AB538">
        <v>13.9</v>
      </c>
      <c r="AC538">
        <v>2</v>
      </c>
      <c r="AD538">
        <v>1</v>
      </c>
      <c r="AE538" t="s">
        <v>1991</v>
      </c>
      <c r="AF538">
        <v>0.5</v>
      </c>
      <c r="AP538" s="10">
        <v>1726</v>
      </c>
      <c r="AQ538" s="3" t="s">
        <v>136</v>
      </c>
      <c r="AR538" s="11" t="s">
        <v>1740</v>
      </c>
    </row>
    <row r="539" spans="1:44">
      <c r="A539" s="268">
        <v>533</v>
      </c>
      <c r="B539" s="268" t="s">
        <v>1973</v>
      </c>
      <c r="C539" s="268" t="s">
        <v>1992</v>
      </c>
      <c r="D539" s="51">
        <v>1</v>
      </c>
      <c r="E539" s="51">
        <v>0</v>
      </c>
      <c r="F539" s="268"/>
      <c r="G539" s="268">
        <v>2</v>
      </c>
      <c r="H539" s="269" t="s">
        <v>1993</v>
      </c>
      <c r="I539" s="51">
        <f>235/30</f>
        <v>7.83333333333333</v>
      </c>
      <c r="J539" s="51">
        <f>235/30</f>
        <v>7.83333333333333</v>
      </c>
      <c r="K539" s="268"/>
      <c r="L539" s="51">
        <v>1</v>
      </c>
      <c r="M539" s="51">
        <f t="shared" si="30"/>
        <v>7.43333333333333</v>
      </c>
      <c r="N539" s="268" t="s">
        <v>1994</v>
      </c>
      <c r="O539">
        <v>3</v>
      </c>
      <c r="P539">
        <v>-3</v>
      </c>
      <c r="Q539">
        <v>0</v>
      </c>
      <c r="V539" s="28">
        <v>2</v>
      </c>
      <c r="W539">
        <v>6</v>
      </c>
      <c r="X539" s="7">
        <v>3</v>
      </c>
      <c r="Y539">
        <v>-0.1</v>
      </c>
      <c r="Z539">
        <v>0</v>
      </c>
      <c r="AB539">
        <v>7.53333333</v>
      </c>
      <c r="AC539">
        <v>1</v>
      </c>
      <c r="AD539">
        <v>1</v>
      </c>
      <c r="AE539" t="s">
        <v>1995</v>
      </c>
      <c r="AF539">
        <v>0.5</v>
      </c>
      <c r="AN539" s="8">
        <v>1728</v>
      </c>
      <c r="AO539" t="s">
        <v>1996</v>
      </c>
      <c r="AP539" s="10">
        <v>1727</v>
      </c>
      <c r="AQ539" s="3" t="s">
        <v>136</v>
      </c>
      <c r="AR539" s="11" t="s">
        <v>1740</v>
      </c>
    </row>
    <row r="540" spans="1:44">
      <c r="A540" s="268">
        <v>534</v>
      </c>
      <c r="B540" s="268" t="s">
        <v>1973</v>
      </c>
      <c r="C540" s="268" t="s">
        <v>1997</v>
      </c>
      <c r="D540" s="51">
        <v>1</v>
      </c>
      <c r="E540" s="51">
        <v>0</v>
      </c>
      <c r="F540" s="268"/>
      <c r="G540" s="268">
        <v>2</v>
      </c>
      <c r="H540" s="269" t="s">
        <v>1998</v>
      </c>
      <c r="I540" s="51">
        <f>342/30</f>
        <v>11.4</v>
      </c>
      <c r="J540" s="51">
        <f>342/30</f>
        <v>11.4</v>
      </c>
      <c r="K540" s="268"/>
      <c r="L540" s="51">
        <v>1</v>
      </c>
      <c r="M540" s="51">
        <f t="shared" si="30"/>
        <v>11</v>
      </c>
      <c r="N540" s="268" t="s">
        <v>1999</v>
      </c>
      <c r="O540">
        <v>1</v>
      </c>
      <c r="P540">
        <v>0</v>
      </c>
      <c r="Q540">
        <v>0</v>
      </c>
      <c r="V540" s="28">
        <v>2</v>
      </c>
      <c r="W540">
        <v>0</v>
      </c>
      <c r="X540" s="7">
        <v>2</v>
      </c>
      <c r="Y540">
        <v>-0.1</v>
      </c>
      <c r="Z540">
        <v>0</v>
      </c>
      <c r="AB540">
        <v>11.1</v>
      </c>
      <c r="AC540">
        <v>2</v>
      </c>
      <c r="AD540">
        <v>1</v>
      </c>
      <c r="AE540" t="s">
        <v>2000</v>
      </c>
      <c r="AF540">
        <v>0.5</v>
      </c>
      <c r="AP540" s="10">
        <v>1750</v>
      </c>
      <c r="AQ540" s="3" t="s">
        <v>136</v>
      </c>
      <c r="AR540" s="11" t="s">
        <v>1740</v>
      </c>
    </row>
    <row r="541" ht="16.5" spans="1:44">
      <c r="A541" s="3">
        <v>535</v>
      </c>
      <c r="B541" s="270" t="s">
        <v>2001</v>
      </c>
      <c r="C541" s="270" t="s">
        <v>2002</v>
      </c>
      <c r="D541" s="65">
        <v>1</v>
      </c>
      <c r="E541" s="65">
        <v>0</v>
      </c>
      <c r="F541" s="270"/>
      <c r="G541" s="270">
        <v>1</v>
      </c>
      <c r="H541" s="271" t="s">
        <v>2003</v>
      </c>
      <c r="I541" s="65">
        <f>60/30</f>
        <v>2</v>
      </c>
      <c r="J541" s="65">
        <f>60/30</f>
        <v>2</v>
      </c>
      <c r="K541" s="270"/>
      <c r="L541" s="65">
        <v>0</v>
      </c>
      <c r="M541" s="65">
        <f t="shared" ref="M541:M548" si="31">I541-0.4</f>
        <v>1.6</v>
      </c>
      <c r="N541" s="270" t="s">
        <v>2004</v>
      </c>
      <c r="O541">
        <v>1</v>
      </c>
      <c r="P541">
        <v>3.35</v>
      </c>
      <c r="Q541">
        <v>0</v>
      </c>
      <c r="U541">
        <v>0.2</v>
      </c>
      <c r="V541">
        <v>1</v>
      </c>
      <c r="W541">
        <v>0</v>
      </c>
      <c r="X541" s="7">
        <v>3</v>
      </c>
      <c r="Y541">
        <v>-0.1</v>
      </c>
      <c r="Z541">
        <v>0</v>
      </c>
      <c r="AP541" s="267">
        <v>1689</v>
      </c>
      <c r="AQ541" s="3" t="s">
        <v>136</v>
      </c>
      <c r="AR541" s="11"/>
    </row>
    <row r="542" ht="16.5" spans="1:44">
      <c r="A542" s="3">
        <v>536</v>
      </c>
      <c r="B542" s="270" t="s">
        <v>2001</v>
      </c>
      <c r="C542" s="270" t="s">
        <v>2005</v>
      </c>
      <c r="D542" s="65">
        <v>1</v>
      </c>
      <c r="E542" s="65">
        <v>0</v>
      </c>
      <c r="F542" s="270"/>
      <c r="G542" s="270">
        <v>1</v>
      </c>
      <c r="H542" s="271" t="s">
        <v>2006</v>
      </c>
      <c r="I542" s="65">
        <f>110/30</f>
        <v>3.66666666666667</v>
      </c>
      <c r="J542" s="65">
        <f>110/30</f>
        <v>3.66666666666667</v>
      </c>
      <c r="K542" s="270"/>
      <c r="L542" s="65">
        <v>1</v>
      </c>
      <c r="M542" s="65">
        <f t="shared" si="31"/>
        <v>3.26666666666667</v>
      </c>
      <c r="N542" s="270" t="s">
        <v>2007</v>
      </c>
      <c r="O542">
        <v>1</v>
      </c>
      <c r="P542">
        <v>3.35</v>
      </c>
      <c r="Q542">
        <v>0</v>
      </c>
      <c r="S542">
        <v>2.5</v>
      </c>
      <c r="U542">
        <v>0.6</v>
      </c>
      <c r="V542">
        <v>1</v>
      </c>
      <c r="W542">
        <v>0</v>
      </c>
      <c r="X542" s="7">
        <v>3</v>
      </c>
      <c r="Y542">
        <v>-0.1</v>
      </c>
      <c r="Z542">
        <v>0</v>
      </c>
      <c r="AP542" s="267">
        <v>1690</v>
      </c>
      <c r="AQ542" s="3" t="s">
        <v>136</v>
      </c>
      <c r="AR542" s="11"/>
    </row>
    <row r="543" ht="16.5" spans="1:44">
      <c r="A543" s="3">
        <v>537</v>
      </c>
      <c r="B543" s="270" t="s">
        <v>2001</v>
      </c>
      <c r="C543" s="270" t="s">
        <v>2008</v>
      </c>
      <c r="D543" s="65">
        <v>1</v>
      </c>
      <c r="E543" s="65">
        <v>0</v>
      </c>
      <c r="F543" s="270"/>
      <c r="G543" s="270">
        <v>1</v>
      </c>
      <c r="H543" s="271" t="s">
        <v>2009</v>
      </c>
      <c r="I543" s="65">
        <f>105/30</f>
        <v>3.5</v>
      </c>
      <c r="J543" s="65">
        <f>105/30</f>
        <v>3.5</v>
      </c>
      <c r="K543" s="270"/>
      <c r="L543" s="65">
        <v>1</v>
      </c>
      <c r="M543" s="65">
        <f t="shared" si="31"/>
        <v>3.1</v>
      </c>
      <c r="N543" s="270" t="s">
        <v>2010</v>
      </c>
      <c r="O543">
        <v>1</v>
      </c>
      <c r="P543">
        <v>3.35</v>
      </c>
      <c r="Q543">
        <v>0</v>
      </c>
      <c r="S543">
        <v>-1</v>
      </c>
      <c r="U543">
        <v>1</v>
      </c>
      <c r="V543">
        <v>1</v>
      </c>
      <c r="W543">
        <v>4</v>
      </c>
      <c r="X543" s="7">
        <v>1</v>
      </c>
      <c r="Y543">
        <v>-0.1</v>
      </c>
      <c r="Z543">
        <v>0</v>
      </c>
      <c r="AP543" s="267">
        <v>1691</v>
      </c>
      <c r="AQ543" s="3" t="s">
        <v>136</v>
      </c>
      <c r="AR543" s="11"/>
    </row>
    <row r="544" ht="16.5" spans="1:44">
      <c r="A544" s="3">
        <v>538</v>
      </c>
      <c r="B544" s="270" t="s">
        <v>2001</v>
      </c>
      <c r="C544" s="270" t="s">
        <v>2011</v>
      </c>
      <c r="D544" s="65">
        <v>1</v>
      </c>
      <c r="E544" s="65">
        <v>0</v>
      </c>
      <c r="F544" s="270"/>
      <c r="G544" s="270">
        <v>1</v>
      </c>
      <c r="H544" s="271" t="s">
        <v>2012</v>
      </c>
      <c r="I544" s="65">
        <f>95/30</f>
        <v>3.16666666666667</v>
      </c>
      <c r="J544" s="65">
        <f>95/30</f>
        <v>3.16666666666667</v>
      </c>
      <c r="K544" s="270"/>
      <c r="L544" s="65">
        <v>1</v>
      </c>
      <c r="M544" s="65">
        <f t="shared" si="31"/>
        <v>2.76666666666667</v>
      </c>
      <c r="N544" s="270" t="s">
        <v>2013</v>
      </c>
      <c r="O544">
        <v>1</v>
      </c>
      <c r="P544">
        <v>3.35</v>
      </c>
      <c r="Q544">
        <v>0</v>
      </c>
      <c r="S544">
        <v>2</v>
      </c>
      <c r="T544">
        <v>1</v>
      </c>
      <c r="U544">
        <v>1</v>
      </c>
      <c r="V544">
        <v>1</v>
      </c>
      <c r="W544">
        <v>0</v>
      </c>
      <c r="X544" s="7">
        <v>1</v>
      </c>
      <c r="Y544">
        <v>-0.1</v>
      </c>
      <c r="Z544">
        <v>0</v>
      </c>
      <c r="AP544" s="267">
        <v>1692</v>
      </c>
      <c r="AQ544" s="3" t="s">
        <v>136</v>
      </c>
      <c r="AR544" s="11"/>
    </row>
    <row r="545" ht="16.5" spans="1:44">
      <c r="A545" s="3">
        <v>539</v>
      </c>
      <c r="B545" s="270" t="s">
        <v>2001</v>
      </c>
      <c r="C545" s="270" t="s">
        <v>2014</v>
      </c>
      <c r="D545" s="65">
        <v>1</v>
      </c>
      <c r="E545" s="65">
        <v>0</v>
      </c>
      <c r="F545" s="270"/>
      <c r="G545" s="270">
        <v>1</v>
      </c>
      <c r="H545" s="271" t="s">
        <v>2015</v>
      </c>
      <c r="I545" s="65">
        <f>110/30</f>
        <v>3.66666666666667</v>
      </c>
      <c r="J545" s="65">
        <f>110/30</f>
        <v>3.66666666666667</v>
      </c>
      <c r="K545" s="270"/>
      <c r="L545" s="65">
        <v>1</v>
      </c>
      <c r="M545" s="65">
        <f t="shared" si="31"/>
        <v>3.26666666666667</v>
      </c>
      <c r="N545" s="270" t="s">
        <v>2016</v>
      </c>
      <c r="O545">
        <v>1</v>
      </c>
      <c r="P545">
        <v>3.35</v>
      </c>
      <c r="Q545">
        <v>1</v>
      </c>
      <c r="S545">
        <v>-1</v>
      </c>
      <c r="U545">
        <v>1</v>
      </c>
      <c r="V545">
        <v>1</v>
      </c>
      <c r="W545">
        <v>4</v>
      </c>
      <c r="X545" s="7">
        <v>1</v>
      </c>
      <c r="Y545">
        <v>-0.1</v>
      </c>
      <c r="Z545">
        <v>0</v>
      </c>
      <c r="AP545" s="267">
        <v>1693</v>
      </c>
      <c r="AQ545" s="3" t="s">
        <v>136</v>
      </c>
      <c r="AR545" s="11"/>
    </row>
    <row r="546" ht="16.5" spans="1:44">
      <c r="A546" s="3">
        <v>540</v>
      </c>
      <c r="B546" s="270" t="s">
        <v>2001</v>
      </c>
      <c r="C546" s="270" t="s">
        <v>2017</v>
      </c>
      <c r="D546" s="65">
        <v>1</v>
      </c>
      <c r="E546" s="65">
        <v>0</v>
      </c>
      <c r="F546" s="270"/>
      <c r="G546" s="270">
        <v>1</v>
      </c>
      <c r="H546" s="271" t="s">
        <v>2018</v>
      </c>
      <c r="I546" s="65">
        <f>400/30</f>
        <v>13.3333333333333</v>
      </c>
      <c r="J546" s="65">
        <f>400/30</f>
        <v>13.3333333333333</v>
      </c>
      <c r="K546" s="270"/>
      <c r="L546" s="65">
        <v>1</v>
      </c>
      <c r="M546" s="65">
        <f t="shared" si="31"/>
        <v>12.9333333333333</v>
      </c>
      <c r="N546" s="270" t="s">
        <v>2019</v>
      </c>
      <c r="O546">
        <v>3</v>
      </c>
      <c r="P546" s="236">
        <v>1</v>
      </c>
      <c r="Q546">
        <v>0</v>
      </c>
      <c r="V546">
        <v>1</v>
      </c>
      <c r="W546">
        <v>6</v>
      </c>
      <c r="X546" s="7">
        <v>10</v>
      </c>
      <c r="Y546">
        <v>-0.1</v>
      </c>
      <c r="Z546">
        <v>0</v>
      </c>
      <c r="AB546">
        <v>13.13</v>
      </c>
      <c r="AC546">
        <v>1</v>
      </c>
      <c r="AD546">
        <v>1</v>
      </c>
      <c r="AE546" t="s">
        <v>2020</v>
      </c>
      <c r="AF546">
        <v>0.5</v>
      </c>
      <c r="AN546" s="8" t="s">
        <v>2021</v>
      </c>
      <c r="AO546" t="s">
        <v>2022</v>
      </c>
      <c r="AP546" s="267">
        <v>1694</v>
      </c>
      <c r="AQ546" s="3" t="s">
        <v>136</v>
      </c>
      <c r="AR546" s="11"/>
    </row>
    <row r="547" ht="16.5" spans="1:45">
      <c r="A547" s="3">
        <v>541</v>
      </c>
      <c r="B547" s="270" t="s">
        <v>2001</v>
      </c>
      <c r="C547" s="270" t="s">
        <v>2023</v>
      </c>
      <c r="D547" s="65">
        <v>1</v>
      </c>
      <c r="E547" s="65">
        <v>0</v>
      </c>
      <c r="F547" s="270"/>
      <c r="G547" s="270">
        <v>1</v>
      </c>
      <c r="H547" s="271" t="s">
        <v>2024</v>
      </c>
      <c r="I547" s="65">
        <f>245/30</f>
        <v>8.16666666666667</v>
      </c>
      <c r="J547" s="65">
        <f>245/30</f>
        <v>8.16666666666667</v>
      </c>
      <c r="K547" s="270"/>
      <c r="L547" s="65">
        <v>1</v>
      </c>
      <c r="M547" s="65">
        <f t="shared" si="31"/>
        <v>7.76666666666667</v>
      </c>
      <c r="N547" s="270" t="s">
        <v>2025</v>
      </c>
      <c r="O547">
        <v>1</v>
      </c>
      <c r="P547">
        <v>3.2</v>
      </c>
      <c r="Q547">
        <v>0</v>
      </c>
      <c r="V547">
        <v>1</v>
      </c>
      <c r="W547">
        <v>0</v>
      </c>
      <c r="X547" s="7">
        <v>1</v>
      </c>
      <c r="Y547">
        <v>-0.1</v>
      </c>
      <c r="Z547">
        <v>0</v>
      </c>
      <c r="AB547">
        <v>7.9</v>
      </c>
      <c r="AC547">
        <v>2</v>
      </c>
      <c r="AD547">
        <v>1</v>
      </c>
      <c r="AE547" t="s">
        <v>2026</v>
      </c>
      <c r="AF547">
        <v>0.5</v>
      </c>
      <c r="AN547" s="8">
        <v>1701</v>
      </c>
      <c r="AO547" t="s">
        <v>2027</v>
      </c>
      <c r="AP547" s="267">
        <v>1695</v>
      </c>
      <c r="AQ547" s="3" t="s">
        <v>136</v>
      </c>
      <c r="AR547" s="11"/>
      <c r="AS547" t="s">
        <v>2028</v>
      </c>
    </row>
    <row r="548" ht="16.5" spans="1:44">
      <c r="A548" s="3">
        <v>542</v>
      </c>
      <c r="B548" s="270" t="s">
        <v>2001</v>
      </c>
      <c r="C548" s="270" t="s">
        <v>2029</v>
      </c>
      <c r="D548" s="65">
        <v>1</v>
      </c>
      <c r="E548" s="65">
        <v>0</v>
      </c>
      <c r="F548" s="270"/>
      <c r="G548" s="270">
        <v>1</v>
      </c>
      <c r="H548" s="271" t="s">
        <v>2030</v>
      </c>
      <c r="I548" s="65">
        <f>340/30</f>
        <v>11.3333333333333</v>
      </c>
      <c r="J548" s="65">
        <f>340/30</f>
        <v>11.3333333333333</v>
      </c>
      <c r="K548" s="270"/>
      <c r="L548" s="65">
        <v>1</v>
      </c>
      <c r="M548" s="65">
        <f t="shared" si="31"/>
        <v>10.9333333333333</v>
      </c>
      <c r="N548" s="270" t="s">
        <v>2031</v>
      </c>
      <c r="O548">
        <v>1</v>
      </c>
      <c r="P548">
        <v>3.2</v>
      </c>
      <c r="Q548">
        <v>0</v>
      </c>
      <c r="V548">
        <v>1</v>
      </c>
      <c r="W548">
        <v>0</v>
      </c>
      <c r="X548" s="7">
        <v>1</v>
      </c>
      <c r="Y548">
        <v>-0.1</v>
      </c>
      <c r="Z548">
        <v>0</v>
      </c>
      <c r="AB548">
        <v>11.03</v>
      </c>
      <c r="AC548">
        <v>2</v>
      </c>
      <c r="AD548">
        <v>1</v>
      </c>
      <c r="AE548" t="s">
        <v>2032</v>
      </c>
      <c r="AF548">
        <v>0.5</v>
      </c>
      <c r="AN548" s="8">
        <v>1709</v>
      </c>
      <c r="AO548" t="s">
        <v>2033</v>
      </c>
      <c r="AP548" s="267">
        <v>1696</v>
      </c>
      <c r="AQ548" s="3" t="s">
        <v>136</v>
      </c>
      <c r="AR548" s="11"/>
    </row>
    <row r="549" spans="1:44">
      <c r="A549" s="3">
        <v>543</v>
      </c>
      <c r="B549" s="3" t="s">
        <v>2034</v>
      </c>
      <c r="C549" s="3" t="s">
        <v>526</v>
      </c>
      <c r="D549">
        <v>1</v>
      </c>
      <c r="E549">
        <v>0</v>
      </c>
      <c r="F549" s="3"/>
      <c r="G549" s="3">
        <v>1</v>
      </c>
      <c r="H549" s="5" t="s">
        <v>2035</v>
      </c>
      <c r="I549">
        <f>85/30</f>
        <v>2.83333333333333</v>
      </c>
      <c r="J549">
        <f>85/30</f>
        <v>2.83333333333333</v>
      </c>
      <c r="K549" s="3"/>
      <c r="L549">
        <v>0</v>
      </c>
      <c r="M549">
        <f t="shared" ref="M549:M558" si="32">I549-0.4</f>
        <v>2.43333333333333</v>
      </c>
      <c r="N549" s="3" t="s">
        <v>2036</v>
      </c>
      <c r="O549">
        <v>1</v>
      </c>
      <c r="P549">
        <v>2.7</v>
      </c>
      <c r="Q549">
        <v>0</v>
      </c>
      <c r="S549">
        <v>0.8</v>
      </c>
      <c r="U549">
        <v>0.7</v>
      </c>
      <c r="V549">
        <v>1</v>
      </c>
      <c r="W549">
        <v>0</v>
      </c>
      <c r="X549" s="7">
        <v>3</v>
      </c>
      <c r="Y549">
        <v>-0.1</v>
      </c>
      <c r="Z549">
        <v>0</v>
      </c>
      <c r="AP549" s="8">
        <v>1759</v>
      </c>
      <c r="AQ549" t="s">
        <v>136</v>
      </c>
      <c r="AR549" s="11"/>
    </row>
    <row r="550" spans="1:44">
      <c r="A550" s="3">
        <v>544</v>
      </c>
      <c r="B550" s="3" t="s">
        <v>2034</v>
      </c>
      <c r="C550" s="3" t="s">
        <v>2037</v>
      </c>
      <c r="D550">
        <v>1</v>
      </c>
      <c r="E550">
        <v>0</v>
      </c>
      <c r="F550" s="3"/>
      <c r="G550" s="3">
        <v>1</v>
      </c>
      <c r="H550" s="5" t="s">
        <v>2038</v>
      </c>
      <c r="I550">
        <f>170/30</f>
        <v>5.66666666666667</v>
      </c>
      <c r="J550">
        <f>170/30</f>
        <v>5.66666666666667</v>
      </c>
      <c r="K550" s="3"/>
      <c r="L550">
        <v>1</v>
      </c>
      <c r="M550">
        <f t="shared" si="32"/>
        <v>5.26666666666667</v>
      </c>
      <c r="N550" s="3" t="s">
        <v>2039</v>
      </c>
      <c r="O550">
        <v>1</v>
      </c>
      <c r="P550">
        <v>2.7</v>
      </c>
      <c r="Q550">
        <v>0</v>
      </c>
      <c r="S550">
        <v>0.7</v>
      </c>
      <c r="U550">
        <v>2.3</v>
      </c>
      <c r="V550">
        <v>1</v>
      </c>
      <c r="W550">
        <v>6</v>
      </c>
      <c r="X550" s="7">
        <v>2</v>
      </c>
      <c r="Y550">
        <v>-0.1</v>
      </c>
      <c r="Z550">
        <v>0</v>
      </c>
      <c r="AP550" s="8">
        <v>1762</v>
      </c>
      <c r="AQ550" s="3" t="s">
        <v>136</v>
      </c>
      <c r="AR550" s="11"/>
    </row>
    <row r="551" ht="16.5" spans="1:44">
      <c r="A551" s="3">
        <v>545</v>
      </c>
      <c r="B551" s="3" t="s">
        <v>2034</v>
      </c>
      <c r="C551" s="3" t="s">
        <v>2040</v>
      </c>
      <c r="D551">
        <v>1</v>
      </c>
      <c r="E551">
        <v>0</v>
      </c>
      <c r="F551" s="3"/>
      <c r="G551" s="3">
        <v>1</v>
      </c>
      <c r="H551" s="5" t="s">
        <v>2041</v>
      </c>
      <c r="I551">
        <f>145/30</f>
        <v>4.83333333333333</v>
      </c>
      <c r="J551">
        <f>145/30</f>
        <v>4.83333333333333</v>
      </c>
      <c r="K551" s="3"/>
      <c r="L551">
        <v>1</v>
      </c>
      <c r="M551">
        <f t="shared" si="32"/>
        <v>4.43333333333333</v>
      </c>
      <c r="N551" s="3" t="s">
        <v>2042</v>
      </c>
      <c r="O551">
        <v>1</v>
      </c>
      <c r="P551">
        <v>2.7</v>
      </c>
      <c r="Q551">
        <v>0</v>
      </c>
      <c r="S551">
        <v>0.95</v>
      </c>
      <c r="U551">
        <v>1.2</v>
      </c>
      <c r="V551">
        <v>1</v>
      </c>
      <c r="W551">
        <v>8</v>
      </c>
      <c r="X551" s="7">
        <v>3</v>
      </c>
      <c r="Y551">
        <v>-0.1</v>
      </c>
      <c r="Z551">
        <v>0</v>
      </c>
      <c r="AL551" s="267"/>
      <c r="AM551" s="3"/>
      <c r="AN551" s="267">
        <v>1765</v>
      </c>
      <c r="AO551" s="3" t="s">
        <v>1103</v>
      </c>
      <c r="AP551" s="8">
        <v>1763</v>
      </c>
      <c r="AQ551" t="s">
        <v>136</v>
      </c>
      <c r="AR551" s="11"/>
    </row>
    <row r="552" ht="16.5" spans="1:44">
      <c r="A552" s="3">
        <v>546</v>
      </c>
      <c r="B552" s="3" t="s">
        <v>2034</v>
      </c>
      <c r="C552" s="3" t="s">
        <v>2043</v>
      </c>
      <c r="D552">
        <v>1</v>
      </c>
      <c r="E552">
        <v>0</v>
      </c>
      <c r="F552" s="3"/>
      <c r="G552" s="3">
        <v>1</v>
      </c>
      <c r="H552" s="5" t="s">
        <v>2044</v>
      </c>
      <c r="I552">
        <f>100/30</f>
        <v>3.33333333333333</v>
      </c>
      <c r="J552">
        <f>100/30</f>
        <v>3.33333333333333</v>
      </c>
      <c r="K552" s="3"/>
      <c r="L552">
        <v>1</v>
      </c>
      <c r="M552">
        <f t="shared" si="32"/>
        <v>2.93333333333333</v>
      </c>
      <c r="N552" s="3" t="s">
        <v>2045</v>
      </c>
      <c r="O552">
        <v>1</v>
      </c>
      <c r="P552">
        <v>2.7</v>
      </c>
      <c r="Q552">
        <v>1</v>
      </c>
      <c r="S552">
        <v>0.6</v>
      </c>
      <c r="U552">
        <v>0.5</v>
      </c>
      <c r="V552">
        <v>1</v>
      </c>
      <c r="W552">
        <v>7</v>
      </c>
      <c r="X552" s="7">
        <v>1</v>
      </c>
      <c r="Y552">
        <v>-0.1</v>
      </c>
      <c r="Z552">
        <v>0</v>
      </c>
      <c r="AL552" s="267"/>
      <c r="AM552" s="3"/>
      <c r="AN552" s="267">
        <v>1767</v>
      </c>
      <c r="AO552" s="3" t="s">
        <v>1103</v>
      </c>
      <c r="AP552" s="8">
        <v>1766</v>
      </c>
      <c r="AQ552" s="3" t="s">
        <v>136</v>
      </c>
      <c r="AR552" s="11"/>
    </row>
    <row r="553" spans="1:44">
      <c r="A553" s="3">
        <v>547</v>
      </c>
      <c r="B553" s="3" t="s">
        <v>2034</v>
      </c>
      <c r="C553" s="3" t="s">
        <v>2046</v>
      </c>
      <c r="D553">
        <v>1</v>
      </c>
      <c r="E553">
        <v>0</v>
      </c>
      <c r="F553" s="3"/>
      <c r="G553" s="3">
        <v>1</v>
      </c>
      <c r="H553" s="5" t="s">
        <v>2047</v>
      </c>
      <c r="I553">
        <f>84/30</f>
        <v>2.8</v>
      </c>
      <c r="J553">
        <f>84/30</f>
        <v>2.8</v>
      </c>
      <c r="K553" s="3"/>
      <c r="L553">
        <v>1</v>
      </c>
      <c r="M553">
        <f t="shared" si="32"/>
        <v>2.4</v>
      </c>
      <c r="N553" s="3" t="s">
        <v>2048</v>
      </c>
      <c r="O553">
        <v>1</v>
      </c>
      <c r="P553">
        <v>2.7</v>
      </c>
      <c r="Q553">
        <v>0</v>
      </c>
      <c r="S553">
        <v>0.7</v>
      </c>
      <c r="U553">
        <v>0.5</v>
      </c>
      <c r="V553">
        <v>1</v>
      </c>
      <c r="W553">
        <v>6</v>
      </c>
      <c r="X553" s="7">
        <v>4</v>
      </c>
      <c r="Y553">
        <v>-0.1</v>
      </c>
      <c r="Z553">
        <v>0</v>
      </c>
      <c r="AL553" s="8"/>
      <c r="AM553" s="3"/>
      <c r="AN553" s="8" t="s">
        <v>2049</v>
      </c>
      <c r="AO553" s="3" t="s">
        <v>524</v>
      </c>
      <c r="AP553" s="8"/>
      <c r="AR553" s="11"/>
    </row>
    <row r="554" spans="1:44">
      <c r="A554" s="3">
        <v>548</v>
      </c>
      <c r="B554" s="3" t="s">
        <v>2034</v>
      </c>
      <c r="C554" s="3" t="s">
        <v>2050</v>
      </c>
      <c r="D554">
        <v>1</v>
      </c>
      <c r="E554">
        <v>0</v>
      </c>
      <c r="F554" s="3"/>
      <c r="G554" s="3">
        <v>1</v>
      </c>
      <c r="H554" s="5" t="s">
        <v>2051</v>
      </c>
      <c r="I554">
        <f>185/30</f>
        <v>6.16666666666667</v>
      </c>
      <c r="J554">
        <f>185/30</f>
        <v>6.16666666666667</v>
      </c>
      <c r="K554" s="3"/>
      <c r="L554">
        <v>1</v>
      </c>
      <c r="M554">
        <f t="shared" si="32"/>
        <v>5.76666666666667</v>
      </c>
      <c r="N554" s="3" t="s">
        <v>2052</v>
      </c>
      <c r="O554">
        <v>3</v>
      </c>
      <c r="P554">
        <v>-8.5</v>
      </c>
      <c r="Q554">
        <v>0</v>
      </c>
      <c r="V554">
        <v>1</v>
      </c>
      <c r="W554">
        <v>6</v>
      </c>
      <c r="X554" s="7">
        <v>3</v>
      </c>
      <c r="Y554">
        <v>-0.1</v>
      </c>
      <c r="Z554">
        <v>0</v>
      </c>
      <c r="AB554">
        <v>5.86666666666667</v>
      </c>
      <c r="AC554">
        <v>2</v>
      </c>
      <c r="AD554">
        <v>1</v>
      </c>
      <c r="AE554" t="s">
        <v>2053</v>
      </c>
      <c r="AF554">
        <v>0.5</v>
      </c>
      <c r="AP554" s="8">
        <v>1771</v>
      </c>
      <c r="AQ554" s="3" t="s">
        <v>136</v>
      </c>
      <c r="AR554" s="11"/>
    </row>
    <row r="555" spans="1:45">
      <c r="A555" s="3">
        <v>549</v>
      </c>
      <c r="B555" s="3" t="s">
        <v>2034</v>
      </c>
      <c r="C555" s="3" t="s">
        <v>2054</v>
      </c>
      <c r="D555">
        <v>1</v>
      </c>
      <c r="E555">
        <v>0</v>
      </c>
      <c r="F555" s="3"/>
      <c r="G555" s="3">
        <v>1</v>
      </c>
      <c r="H555" s="5" t="s">
        <v>2055</v>
      </c>
      <c r="I555">
        <f>220/30</f>
        <v>7.33333333333333</v>
      </c>
      <c r="J555">
        <f>220/30</f>
        <v>7.33333333333333</v>
      </c>
      <c r="K555" s="3"/>
      <c r="L555">
        <v>1</v>
      </c>
      <c r="M555">
        <f t="shared" si="32"/>
        <v>6.93333333333333</v>
      </c>
      <c r="N555" s="3" t="s">
        <v>2056</v>
      </c>
      <c r="O555">
        <v>1</v>
      </c>
      <c r="P555">
        <v>2.7</v>
      </c>
      <c r="Q555">
        <v>0</v>
      </c>
      <c r="V555">
        <v>1</v>
      </c>
      <c r="W555">
        <v>0</v>
      </c>
      <c r="X555" s="7">
        <v>2</v>
      </c>
      <c r="Y555">
        <v>-0.1</v>
      </c>
      <c r="Z555">
        <v>0</v>
      </c>
      <c r="AB555">
        <v>7.03333333333333</v>
      </c>
      <c r="AC555">
        <v>2</v>
      </c>
      <c r="AD555">
        <v>1</v>
      </c>
      <c r="AE555" t="s">
        <v>2057</v>
      </c>
      <c r="AF555">
        <v>0.5</v>
      </c>
      <c r="AN555" s="8">
        <v>1781</v>
      </c>
      <c r="AO555" t="s">
        <v>1103</v>
      </c>
      <c r="AP555" s="8">
        <v>1772</v>
      </c>
      <c r="AQ555" s="3" t="s">
        <v>136</v>
      </c>
      <c r="AR555" s="11" t="s">
        <v>1740</v>
      </c>
      <c r="AS555" t="s">
        <v>2058</v>
      </c>
    </row>
    <row r="556" spans="1:44">
      <c r="A556" s="3">
        <v>550</v>
      </c>
      <c r="B556" s="3" t="s">
        <v>2034</v>
      </c>
      <c r="C556" s="3" t="s">
        <v>2059</v>
      </c>
      <c r="D556">
        <v>1</v>
      </c>
      <c r="E556">
        <v>0</v>
      </c>
      <c r="F556" s="3"/>
      <c r="G556" s="3">
        <v>1</v>
      </c>
      <c r="H556" s="5" t="s">
        <v>2060</v>
      </c>
      <c r="I556">
        <v>14</v>
      </c>
      <c r="J556">
        <v>14</v>
      </c>
      <c r="K556" s="3"/>
      <c r="L556">
        <v>1</v>
      </c>
      <c r="M556">
        <f t="shared" si="32"/>
        <v>13.6</v>
      </c>
      <c r="N556" s="3" t="s">
        <v>2061</v>
      </c>
      <c r="O556">
        <v>1</v>
      </c>
      <c r="P556">
        <v>3.5</v>
      </c>
      <c r="Q556">
        <v>0</v>
      </c>
      <c r="V556">
        <v>1</v>
      </c>
      <c r="W556">
        <v>6</v>
      </c>
      <c r="X556" s="7">
        <v>4</v>
      </c>
      <c r="Y556">
        <v>-0.1</v>
      </c>
      <c r="Z556">
        <v>0</v>
      </c>
      <c r="AB556">
        <v>13.7</v>
      </c>
      <c r="AC556">
        <v>2</v>
      </c>
      <c r="AD556">
        <v>1</v>
      </c>
      <c r="AE556" t="s">
        <v>2062</v>
      </c>
      <c r="AF556">
        <v>0.5</v>
      </c>
      <c r="AN556" s="8">
        <v>1774</v>
      </c>
      <c r="AO556" t="s">
        <v>690</v>
      </c>
      <c r="AP556" s="8">
        <v>1773</v>
      </c>
      <c r="AQ556" s="3" t="s">
        <v>136</v>
      </c>
      <c r="AR556" s="11"/>
    </row>
    <row r="557" ht="16.5" spans="1:45">
      <c r="A557" s="3">
        <v>551</v>
      </c>
      <c r="B557" s="270" t="s">
        <v>2063</v>
      </c>
      <c r="C557" s="270" t="s">
        <v>2023</v>
      </c>
      <c r="D557" s="65">
        <v>1</v>
      </c>
      <c r="E557" s="65">
        <v>0</v>
      </c>
      <c r="F557" s="270"/>
      <c r="G557" s="270">
        <v>1</v>
      </c>
      <c r="H557" s="271" t="s">
        <v>2024</v>
      </c>
      <c r="I557" s="65">
        <f>245/30</f>
        <v>8.16666666666667</v>
      </c>
      <c r="J557" s="65">
        <f>245/30</f>
        <v>8.16666666666667</v>
      </c>
      <c r="K557" s="270"/>
      <c r="L557" s="65">
        <v>1</v>
      </c>
      <c r="M557" s="65">
        <f t="shared" si="32"/>
        <v>7.76666666666667</v>
      </c>
      <c r="N557" s="270" t="s">
        <v>2064</v>
      </c>
      <c r="O557">
        <v>1</v>
      </c>
      <c r="P557">
        <v>3.2</v>
      </c>
      <c r="Q557">
        <v>0</v>
      </c>
      <c r="V557">
        <v>1</v>
      </c>
      <c r="W557">
        <v>6</v>
      </c>
      <c r="X557" s="7">
        <v>1</v>
      </c>
      <c r="Y557">
        <v>-0.1</v>
      </c>
      <c r="Z557">
        <v>0</v>
      </c>
      <c r="AB557">
        <v>7.9</v>
      </c>
      <c r="AC557">
        <v>2</v>
      </c>
      <c r="AD557">
        <v>1</v>
      </c>
      <c r="AE557" t="s">
        <v>2026</v>
      </c>
      <c r="AF557">
        <v>0.5</v>
      </c>
      <c r="AN557" s="8">
        <v>1701</v>
      </c>
      <c r="AO557" t="s">
        <v>2027</v>
      </c>
      <c r="AP557" s="267">
        <v>1695</v>
      </c>
      <c r="AQ557" s="3" t="s">
        <v>136</v>
      </c>
      <c r="AR557" s="11"/>
      <c r="AS557" s="274" t="s">
        <v>2065</v>
      </c>
    </row>
    <row r="558" spans="1:44">
      <c r="A558" s="3">
        <v>552</v>
      </c>
      <c r="B558" s="3" t="s">
        <v>2066</v>
      </c>
      <c r="C558" s="3" t="s">
        <v>2067</v>
      </c>
      <c r="D558">
        <v>1</v>
      </c>
      <c r="E558">
        <v>0</v>
      </c>
      <c r="F558" s="3"/>
      <c r="G558" s="3">
        <v>1</v>
      </c>
      <c r="H558" s="5" t="s">
        <v>2060</v>
      </c>
      <c r="I558">
        <v>14</v>
      </c>
      <c r="J558">
        <v>14</v>
      </c>
      <c r="K558" s="3"/>
      <c r="L558">
        <v>1</v>
      </c>
      <c r="M558">
        <f t="shared" si="32"/>
        <v>13.6</v>
      </c>
      <c r="N558" s="3" t="s">
        <v>2061</v>
      </c>
      <c r="O558">
        <v>1</v>
      </c>
      <c r="P558">
        <v>3.5</v>
      </c>
      <c r="Q558">
        <v>0</v>
      </c>
      <c r="V558">
        <v>1</v>
      </c>
      <c r="W558">
        <v>6</v>
      </c>
      <c r="X558" s="7">
        <v>4</v>
      </c>
      <c r="Y558">
        <v>-0.1</v>
      </c>
      <c r="Z558">
        <v>0</v>
      </c>
      <c r="AB558">
        <v>13.7</v>
      </c>
      <c r="AC558">
        <v>2</v>
      </c>
      <c r="AD558">
        <v>1</v>
      </c>
      <c r="AE558" t="s">
        <v>2062</v>
      </c>
      <c r="AF558">
        <v>0.5</v>
      </c>
      <c r="AN558" s="8">
        <v>1774</v>
      </c>
      <c r="AO558" t="s">
        <v>690</v>
      </c>
      <c r="AP558" s="8">
        <v>1773</v>
      </c>
      <c r="AQ558" s="3" t="s">
        <v>136</v>
      </c>
      <c r="AR558" s="11"/>
    </row>
    <row r="559" spans="1:44">
      <c r="A559" s="3">
        <v>553</v>
      </c>
      <c r="B559" s="3" t="s">
        <v>2068</v>
      </c>
      <c r="C559" s="3" t="s">
        <v>526</v>
      </c>
      <c r="D559">
        <v>1</v>
      </c>
      <c r="E559">
        <v>0</v>
      </c>
      <c r="F559" s="3"/>
      <c r="G559" s="3">
        <v>1</v>
      </c>
      <c r="H559" s="5" t="s">
        <v>2035</v>
      </c>
      <c r="I559">
        <f>85/30</f>
        <v>2.83333333333333</v>
      </c>
      <c r="J559">
        <f>85/30</f>
        <v>2.83333333333333</v>
      </c>
      <c r="K559" s="3"/>
      <c r="L559">
        <v>0</v>
      </c>
      <c r="M559">
        <f t="shared" ref="M559:M584" si="33">I559-0.4</f>
        <v>2.43333333333333</v>
      </c>
      <c r="N559" s="3" t="s">
        <v>2036</v>
      </c>
      <c r="O559">
        <v>1</v>
      </c>
      <c r="P559">
        <v>2.7</v>
      </c>
      <c r="Q559">
        <v>0</v>
      </c>
      <c r="S559">
        <v>0.8</v>
      </c>
      <c r="U559">
        <v>0.7</v>
      </c>
      <c r="V559">
        <v>1</v>
      </c>
      <c r="W559">
        <v>0</v>
      </c>
      <c r="X559" s="7">
        <v>3</v>
      </c>
      <c r="Y559">
        <v>-0.1</v>
      </c>
      <c r="Z559">
        <v>0</v>
      </c>
      <c r="AN559" s="8" t="s">
        <v>2069</v>
      </c>
      <c r="AO559" t="s">
        <v>524</v>
      </c>
      <c r="AP559" s="8">
        <v>1759</v>
      </c>
      <c r="AQ559" t="s">
        <v>136</v>
      </c>
      <c r="AR559" s="11"/>
    </row>
    <row r="560" spans="1:44">
      <c r="A560" s="3">
        <v>554</v>
      </c>
      <c r="B560" s="3" t="s">
        <v>2068</v>
      </c>
      <c r="C560" s="3" t="s">
        <v>2037</v>
      </c>
      <c r="D560">
        <v>1</v>
      </c>
      <c r="E560">
        <v>0</v>
      </c>
      <c r="F560" s="3"/>
      <c r="G560" s="3">
        <v>1</v>
      </c>
      <c r="H560" s="5" t="s">
        <v>2038</v>
      </c>
      <c r="I560">
        <f>170/30</f>
        <v>5.66666666666667</v>
      </c>
      <c r="J560">
        <f>170/30</f>
        <v>5.66666666666667</v>
      </c>
      <c r="K560" s="3"/>
      <c r="L560">
        <v>1</v>
      </c>
      <c r="M560">
        <f t="shared" si="33"/>
        <v>5.26666666666667</v>
      </c>
      <c r="N560" s="3" t="s">
        <v>2039</v>
      </c>
      <c r="O560">
        <v>1</v>
      </c>
      <c r="P560">
        <v>2.7</v>
      </c>
      <c r="Q560">
        <v>0</v>
      </c>
      <c r="S560">
        <v>0.7</v>
      </c>
      <c r="U560">
        <v>2.3</v>
      </c>
      <c r="V560">
        <v>1</v>
      </c>
      <c r="W560">
        <v>6</v>
      </c>
      <c r="X560" s="7">
        <v>2</v>
      </c>
      <c r="Y560">
        <v>-0.1</v>
      </c>
      <c r="Z560">
        <v>0</v>
      </c>
      <c r="AP560" s="8">
        <v>1762</v>
      </c>
      <c r="AQ560" s="3" t="s">
        <v>136</v>
      </c>
      <c r="AR560" s="11"/>
    </row>
    <row r="561" ht="16.5" spans="1:44">
      <c r="A561" s="3">
        <v>555</v>
      </c>
      <c r="B561" s="3" t="s">
        <v>2068</v>
      </c>
      <c r="C561" s="3" t="s">
        <v>2040</v>
      </c>
      <c r="D561">
        <v>1</v>
      </c>
      <c r="E561">
        <v>0</v>
      </c>
      <c r="F561" s="3"/>
      <c r="G561" s="3">
        <v>1</v>
      </c>
      <c r="H561" s="5" t="s">
        <v>2041</v>
      </c>
      <c r="I561">
        <f>145/30</f>
        <v>4.83333333333333</v>
      </c>
      <c r="J561">
        <f>145/30</f>
        <v>4.83333333333333</v>
      </c>
      <c r="K561" s="3"/>
      <c r="L561">
        <v>1</v>
      </c>
      <c r="M561">
        <f t="shared" si="33"/>
        <v>4.43333333333333</v>
      </c>
      <c r="N561" s="3" t="s">
        <v>2042</v>
      </c>
      <c r="O561">
        <v>1</v>
      </c>
      <c r="P561">
        <v>2.7</v>
      </c>
      <c r="Q561">
        <v>0</v>
      </c>
      <c r="S561">
        <v>0.95</v>
      </c>
      <c r="U561">
        <v>1.2</v>
      </c>
      <c r="V561">
        <v>1</v>
      </c>
      <c r="W561">
        <v>6</v>
      </c>
      <c r="X561" s="7">
        <v>3</v>
      </c>
      <c r="Y561">
        <v>-0.1</v>
      </c>
      <c r="Z561">
        <v>0</v>
      </c>
      <c r="AL561" s="267"/>
      <c r="AM561" s="3"/>
      <c r="AN561" s="267">
        <v>1765</v>
      </c>
      <c r="AO561" s="3" t="s">
        <v>1103</v>
      </c>
      <c r="AP561" s="8">
        <v>1763</v>
      </c>
      <c r="AQ561" t="s">
        <v>136</v>
      </c>
      <c r="AR561" s="11"/>
    </row>
    <row r="562" ht="16.5" spans="1:44">
      <c r="A562" s="3">
        <v>556</v>
      </c>
      <c r="B562" s="3" t="s">
        <v>2068</v>
      </c>
      <c r="C562" s="3" t="s">
        <v>2043</v>
      </c>
      <c r="D562">
        <v>1</v>
      </c>
      <c r="E562">
        <v>0</v>
      </c>
      <c r="F562" s="3"/>
      <c r="G562" s="3">
        <v>1</v>
      </c>
      <c r="H562" s="5" t="s">
        <v>2044</v>
      </c>
      <c r="I562">
        <f>100/30</f>
        <v>3.33333333333333</v>
      </c>
      <c r="J562">
        <f>100/30</f>
        <v>3.33333333333333</v>
      </c>
      <c r="K562" s="3"/>
      <c r="L562">
        <v>1</v>
      </c>
      <c r="M562">
        <f t="shared" si="33"/>
        <v>2.93333333333333</v>
      </c>
      <c r="N562" s="3" t="s">
        <v>2045</v>
      </c>
      <c r="O562">
        <v>1</v>
      </c>
      <c r="P562">
        <v>2.7</v>
      </c>
      <c r="Q562">
        <v>1</v>
      </c>
      <c r="S562">
        <v>0.6</v>
      </c>
      <c r="U562">
        <v>0.5</v>
      </c>
      <c r="V562">
        <v>1</v>
      </c>
      <c r="W562">
        <v>7</v>
      </c>
      <c r="X562" s="7">
        <v>1</v>
      </c>
      <c r="Y562">
        <v>-0.1</v>
      </c>
      <c r="Z562">
        <v>0</v>
      </c>
      <c r="AL562" s="267"/>
      <c r="AM562" s="3"/>
      <c r="AN562" s="267">
        <v>1767</v>
      </c>
      <c r="AO562" s="3" t="s">
        <v>1103</v>
      </c>
      <c r="AP562" s="8">
        <v>1766</v>
      </c>
      <c r="AQ562" s="3" t="s">
        <v>136</v>
      </c>
      <c r="AR562" s="11"/>
    </row>
    <row r="563" spans="1:44">
      <c r="A563" s="3">
        <v>557</v>
      </c>
      <c r="B563" s="3" t="s">
        <v>2068</v>
      </c>
      <c r="C563" s="3" t="s">
        <v>2046</v>
      </c>
      <c r="D563">
        <v>1</v>
      </c>
      <c r="E563">
        <v>0</v>
      </c>
      <c r="F563" s="3"/>
      <c r="G563" s="3">
        <v>1</v>
      </c>
      <c r="H563" s="5" t="s">
        <v>2047</v>
      </c>
      <c r="I563">
        <f>84/30</f>
        <v>2.8</v>
      </c>
      <c r="J563">
        <f>84/30</f>
        <v>2.8</v>
      </c>
      <c r="K563" s="3"/>
      <c r="L563">
        <v>1</v>
      </c>
      <c r="M563">
        <f t="shared" si="33"/>
        <v>2.4</v>
      </c>
      <c r="N563" s="3" t="s">
        <v>2048</v>
      </c>
      <c r="O563">
        <v>1</v>
      </c>
      <c r="P563">
        <v>2.7</v>
      </c>
      <c r="Q563">
        <v>0</v>
      </c>
      <c r="S563">
        <v>0.7</v>
      </c>
      <c r="U563">
        <v>0.5</v>
      </c>
      <c r="V563">
        <v>1</v>
      </c>
      <c r="W563">
        <v>6</v>
      </c>
      <c r="X563" s="7">
        <v>4</v>
      </c>
      <c r="Y563">
        <v>-0.1</v>
      </c>
      <c r="Z563">
        <v>0</v>
      </c>
      <c r="AL563" s="8"/>
      <c r="AM563" s="3"/>
      <c r="AN563" s="8" t="s">
        <v>2049</v>
      </c>
      <c r="AO563" s="3" t="s">
        <v>524</v>
      </c>
      <c r="AP563" s="8"/>
      <c r="AR563" s="11"/>
    </row>
    <row r="564" spans="1:44">
      <c r="A564" s="3">
        <v>558</v>
      </c>
      <c r="B564" s="3" t="s">
        <v>2068</v>
      </c>
      <c r="C564" s="3" t="s">
        <v>2050</v>
      </c>
      <c r="D564">
        <v>1</v>
      </c>
      <c r="E564">
        <v>0</v>
      </c>
      <c r="F564" s="3"/>
      <c r="G564" s="3">
        <v>1</v>
      </c>
      <c r="H564" s="5" t="s">
        <v>2051</v>
      </c>
      <c r="I564">
        <f>185/30</f>
        <v>6.16666666666667</v>
      </c>
      <c r="J564">
        <f>185/30</f>
        <v>6.16666666666667</v>
      </c>
      <c r="K564" s="3"/>
      <c r="L564">
        <v>1</v>
      </c>
      <c r="M564">
        <f t="shared" si="33"/>
        <v>5.76666666666667</v>
      </c>
      <c r="N564" s="3" t="s">
        <v>2052</v>
      </c>
      <c r="O564">
        <v>3</v>
      </c>
      <c r="P564">
        <v>-8.5</v>
      </c>
      <c r="Q564">
        <v>0</v>
      </c>
      <c r="V564">
        <v>1</v>
      </c>
      <c r="W564">
        <v>6</v>
      </c>
      <c r="X564" s="7">
        <v>3</v>
      </c>
      <c r="Y564">
        <v>-0.1</v>
      </c>
      <c r="Z564">
        <v>0</v>
      </c>
      <c r="AB564">
        <v>5.86666666666667</v>
      </c>
      <c r="AC564">
        <v>2</v>
      </c>
      <c r="AD564">
        <v>1</v>
      </c>
      <c r="AE564" t="s">
        <v>2053</v>
      </c>
      <c r="AF564">
        <v>0.5</v>
      </c>
      <c r="AP564" s="8">
        <v>1771</v>
      </c>
      <c r="AQ564" s="3" t="s">
        <v>136</v>
      </c>
      <c r="AR564" s="11"/>
    </row>
    <row r="565" spans="1:45">
      <c r="A565" s="3">
        <v>559</v>
      </c>
      <c r="B565" s="3" t="s">
        <v>2068</v>
      </c>
      <c r="C565" s="3" t="s">
        <v>2054</v>
      </c>
      <c r="D565">
        <v>1</v>
      </c>
      <c r="E565">
        <v>0</v>
      </c>
      <c r="F565" s="3"/>
      <c r="G565" s="3">
        <v>1</v>
      </c>
      <c r="H565" s="5" t="s">
        <v>2055</v>
      </c>
      <c r="I565">
        <f>220/30</f>
        <v>7.33333333333333</v>
      </c>
      <c r="J565">
        <f>220/30</f>
        <v>7.33333333333333</v>
      </c>
      <c r="K565" s="3"/>
      <c r="L565">
        <v>1</v>
      </c>
      <c r="M565">
        <f t="shared" si="33"/>
        <v>6.93333333333333</v>
      </c>
      <c r="N565" s="3" t="s">
        <v>2070</v>
      </c>
      <c r="O565">
        <v>1</v>
      </c>
      <c r="P565">
        <v>2.7</v>
      </c>
      <c r="Q565">
        <v>0</v>
      </c>
      <c r="V565">
        <v>1</v>
      </c>
      <c r="W565">
        <v>0</v>
      </c>
      <c r="X565" s="7">
        <v>2</v>
      </c>
      <c r="Y565">
        <v>-0.1</v>
      </c>
      <c r="Z565">
        <v>0</v>
      </c>
      <c r="AB565">
        <v>7.03333333333333</v>
      </c>
      <c r="AC565">
        <v>2</v>
      </c>
      <c r="AD565">
        <v>1</v>
      </c>
      <c r="AE565" t="s">
        <v>2057</v>
      </c>
      <c r="AF565">
        <v>0.5</v>
      </c>
      <c r="AN565" s="8">
        <v>1781</v>
      </c>
      <c r="AO565" t="s">
        <v>1103</v>
      </c>
      <c r="AP565" s="8">
        <v>1772</v>
      </c>
      <c r="AQ565" s="3" t="s">
        <v>136</v>
      </c>
      <c r="AR565" s="11" t="s">
        <v>1740</v>
      </c>
      <c r="AS565" t="s">
        <v>2058</v>
      </c>
    </row>
    <row r="566" spans="1:46">
      <c r="A566" s="3">
        <v>560</v>
      </c>
      <c r="B566" s="3" t="s">
        <v>2068</v>
      </c>
      <c r="C566" s="3" t="s">
        <v>2059</v>
      </c>
      <c r="D566">
        <v>1</v>
      </c>
      <c r="E566">
        <v>0</v>
      </c>
      <c r="F566" s="3"/>
      <c r="G566" s="3">
        <v>1</v>
      </c>
      <c r="H566" s="5" t="s">
        <v>2060</v>
      </c>
      <c r="I566">
        <v>14</v>
      </c>
      <c r="J566">
        <v>14</v>
      </c>
      <c r="K566" s="3"/>
      <c r="L566">
        <v>1</v>
      </c>
      <c r="M566">
        <f t="shared" si="33"/>
        <v>13.6</v>
      </c>
      <c r="N566" s="3" t="s">
        <v>2071</v>
      </c>
      <c r="O566">
        <v>1</v>
      </c>
      <c r="P566">
        <v>3.5</v>
      </c>
      <c r="Q566">
        <v>0</v>
      </c>
      <c r="V566">
        <v>1</v>
      </c>
      <c r="W566">
        <v>6</v>
      </c>
      <c r="X566" s="7">
        <v>4</v>
      </c>
      <c r="Y566">
        <v>-0.1</v>
      </c>
      <c r="Z566">
        <v>0</v>
      </c>
      <c r="AB566">
        <v>13.7</v>
      </c>
      <c r="AC566">
        <v>2</v>
      </c>
      <c r="AD566">
        <v>1</v>
      </c>
      <c r="AE566" t="s">
        <v>2062</v>
      </c>
      <c r="AF566">
        <v>0.5</v>
      </c>
      <c r="AN566" s="8" t="s">
        <v>2072</v>
      </c>
      <c r="AO566" t="s">
        <v>1082</v>
      </c>
      <c r="AP566" s="8">
        <v>1773</v>
      </c>
      <c r="AQ566" s="3" t="s">
        <v>136</v>
      </c>
      <c r="AR566" s="11"/>
      <c r="AT566">
        <v>2</v>
      </c>
    </row>
    <row r="567" spans="1:44">
      <c r="A567" s="3">
        <v>561</v>
      </c>
      <c r="B567" s="3" t="s">
        <v>2073</v>
      </c>
      <c r="C567" s="3" t="s">
        <v>1997</v>
      </c>
      <c r="D567">
        <v>1</v>
      </c>
      <c r="E567">
        <v>0</v>
      </c>
      <c r="F567" s="3"/>
      <c r="G567" s="3">
        <v>2</v>
      </c>
      <c r="H567" s="11" t="s">
        <v>1998</v>
      </c>
      <c r="I567">
        <f>342/30</f>
        <v>11.4</v>
      </c>
      <c r="J567">
        <f>342/30</f>
        <v>11.4</v>
      </c>
      <c r="K567" s="3"/>
      <c r="L567">
        <v>1</v>
      </c>
      <c r="M567">
        <f t="shared" si="33"/>
        <v>11</v>
      </c>
      <c r="N567" s="3" t="s">
        <v>2074</v>
      </c>
      <c r="O567">
        <v>1</v>
      </c>
      <c r="P567">
        <v>0</v>
      </c>
      <c r="Q567">
        <v>0</v>
      </c>
      <c r="V567">
        <v>5</v>
      </c>
      <c r="W567">
        <v>0</v>
      </c>
      <c r="X567" s="7">
        <v>2</v>
      </c>
      <c r="Y567">
        <v>-0.1</v>
      </c>
      <c r="Z567">
        <v>0</v>
      </c>
      <c r="AB567">
        <v>11.1</v>
      </c>
      <c r="AC567">
        <v>2</v>
      </c>
      <c r="AD567">
        <v>1</v>
      </c>
      <c r="AE567" t="s">
        <v>2000</v>
      </c>
      <c r="AF567">
        <v>0.5</v>
      </c>
      <c r="AP567" s="10">
        <v>1750</v>
      </c>
      <c r="AQ567" s="3" t="s">
        <v>136</v>
      </c>
      <c r="AR567" s="11" t="s">
        <v>1740</v>
      </c>
    </row>
    <row r="568" spans="1:44">
      <c r="A568" s="3">
        <v>562</v>
      </c>
      <c r="B568" s="272" t="s">
        <v>2075</v>
      </c>
      <c r="C568" s="272" t="s">
        <v>526</v>
      </c>
      <c r="D568" s="17">
        <v>1</v>
      </c>
      <c r="E568" s="17">
        <v>0</v>
      </c>
      <c r="F568" s="272"/>
      <c r="G568" s="272">
        <v>2</v>
      </c>
      <c r="H568" s="273" t="s">
        <v>2076</v>
      </c>
      <c r="I568" s="17">
        <f>70/30</f>
        <v>2.33333333333333</v>
      </c>
      <c r="J568" s="17">
        <f>70/30</f>
        <v>2.33333333333333</v>
      </c>
      <c r="K568" s="272"/>
      <c r="L568" s="17">
        <v>0</v>
      </c>
      <c r="M568" s="17">
        <f t="shared" si="33"/>
        <v>1.93333333333333</v>
      </c>
      <c r="N568" s="272" t="s">
        <v>2077</v>
      </c>
      <c r="O568">
        <v>1</v>
      </c>
      <c r="P568">
        <v>3</v>
      </c>
      <c r="Q568">
        <v>0</v>
      </c>
      <c r="S568">
        <v>1</v>
      </c>
      <c r="U568">
        <v>0.5</v>
      </c>
      <c r="V568">
        <v>1</v>
      </c>
      <c r="W568">
        <v>0</v>
      </c>
      <c r="X568" s="7">
        <v>6</v>
      </c>
      <c r="Y568">
        <v>-0.1</v>
      </c>
      <c r="Z568">
        <v>0</v>
      </c>
      <c r="AP568" s="10">
        <v>1806</v>
      </c>
      <c r="AQ568" s="3" t="s">
        <v>136</v>
      </c>
      <c r="AR568" s="11"/>
    </row>
    <row r="569" spans="1:44">
      <c r="A569" s="3">
        <v>563</v>
      </c>
      <c r="B569" s="272" t="s">
        <v>2075</v>
      </c>
      <c r="C569" s="272" t="s">
        <v>2078</v>
      </c>
      <c r="D569" s="17">
        <v>1</v>
      </c>
      <c r="E569" s="17">
        <v>0</v>
      </c>
      <c r="F569" s="272"/>
      <c r="G569" s="272">
        <v>2</v>
      </c>
      <c r="H569" s="273" t="s">
        <v>2079</v>
      </c>
      <c r="I569" s="17">
        <f>87/30</f>
        <v>2.9</v>
      </c>
      <c r="J569" s="17">
        <f>87/30</f>
        <v>2.9</v>
      </c>
      <c r="K569" s="272"/>
      <c r="L569" s="17">
        <v>1</v>
      </c>
      <c r="M569" s="17">
        <f t="shared" si="33"/>
        <v>2.5</v>
      </c>
      <c r="N569" s="272" t="s">
        <v>2080</v>
      </c>
      <c r="O569">
        <v>1</v>
      </c>
      <c r="P569">
        <v>3</v>
      </c>
      <c r="Q569">
        <v>0</v>
      </c>
      <c r="S569">
        <v>0</v>
      </c>
      <c r="U569">
        <v>0.65</v>
      </c>
      <c r="V569">
        <v>1</v>
      </c>
      <c r="W569">
        <v>6</v>
      </c>
      <c r="X569" s="7">
        <v>3</v>
      </c>
      <c r="Y569">
        <v>-0.1</v>
      </c>
      <c r="Z569">
        <v>0</v>
      </c>
      <c r="AN569" s="8">
        <v>1809</v>
      </c>
      <c r="AO569" t="s">
        <v>2081</v>
      </c>
      <c r="AP569" s="10">
        <v>1808</v>
      </c>
      <c r="AQ569" s="3" t="s">
        <v>136</v>
      </c>
      <c r="AR569" s="11"/>
    </row>
    <row r="570" spans="1:44">
      <c r="A570" s="3">
        <v>564</v>
      </c>
      <c r="B570" s="272" t="s">
        <v>2075</v>
      </c>
      <c r="C570" s="272" t="s">
        <v>2082</v>
      </c>
      <c r="D570" s="17">
        <v>1</v>
      </c>
      <c r="E570" s="17">
        <v>0</v>
      </c>
      <c r="F570" s="272"/>
      <c r="G570" s="272">
        <v>2</v>
      </c>
      <c r="H570" s="273" t="s">
        <v>2083</v>
      </c>
      <c r="I570" s="17">
        <f>120/30</f>
        <v>4</v>
      </c>
      <c r="J570" s="17">
        <f>120/30</f>
        <v>4</v>
      </c>
      <c r="K570" s="272"/>
      <c r="L570" s="17">
        <v>1</v>
      </c>
      <c r="M570" s="17">
        <f t="shared" si="33"/>
        <v>3.6</v>
      </c>
      <c r="N570" s="272" t="s">
        <v>2084</v>
      </c>
      <c r="O570">
        <v>1</v>
      </c>
      <c r="P570">
        <v>3</v>
      </c>
      <c r="Q570">
        <v>0</v>
      </c>
      <c r="S570">
        <v>-0.2</v>
      </c>
      <c r="T570">
        <v>-0.3</v>
      </c>
      <c r="U570">
        <v>0.65</v>
      </c>
      <c r="V570">
        <v>1</v>
      </c>
      <c r="W570">
        <v>18</v>
      </c>
      <c r="X570" s="7">
        <v>4</v>
      </c>
      <c r="Y570">
        <v>-0.1</v>
      </c>
      <c r="Z570">
        <v>0</v>
      </c>
      <c r="AP570" s="10">
        <v>1810</v>
      </c>
      <c r="AQ570" s="3" t="s">
        <v>136</v>
      </c>
      <c r="AR570" s="11"/>
    </row>
    <row r="571" spans="1:44">
      <c r="A571" s="3">
        <v>565</v>
      </c>
      <c r="B571" s="272" t="s">
        <v>2075</v>
      </c>
      <c r="C571" s="272" t="s">
        <v>2085</v>
      </c>
      <c r="D571" s="17">
        <v>1</v>
      </c>
      <c r="E571" s="17">
        <v>0</v>
      </c>
      <c r="F571" s="272"/>
      <c r="G571" s="272">
        <v>2</v>
      </c>
      <c r="H571" s="273" t="s">
        <v>2086</v>
      </c>
      <c r="I571" s="17">
        <v>3.5</v>
      </c>
      <c r="J571" s="17">
        <v>3.5</v>
      </c>
      <c r="K571" s="272"/>
      <c r="L571" s="17">
        <v>1</v>
      </c>
      <c r="M571" s="17">
        <f t="shared" si="33"/>
        <v>3.1</v>
      </c>
      <c r="N571" s="272" t="s">
        <v>2087</v>
      </c>
      <c r="O571">
        <v>5</v>
      </c>
      <c r="P571">
        <v>3</v>
      </c>
      <c r="Q571">
        <v>0</v>
      </c>
      <c r="S571">
        <v>2</v>
      </c>
      <c r="T571">
        <v>0</v>
      </c>
      <c r="U571">
        <v>1.3</v>
      </c>
      <c r="V571">
        <v>1</v>
      </c>
      <c r="W571">
        <v>16</v>
      </c>
      <c r="X571" s="7">
        <v>1</v>
      </c>
      <c r="Y571">
        <v>-0.1</v>
      </c>
      <c r="Z571">
        <v>0</v>
      </c>
      <c r="AP571" s="10">
        <v>1789</v>
      </c>
      <c r="AQ571" s="3" t="s">
        <v>136</v>
      </c>
      <c r="AR571" s="11"/>
    </row>
    <row r="572" spans="1:44">
      <c r="A572" s="3">
        <v>566</v>
      </c>
      <c r="B572" s="272" t="s">
        <v>2075</v>
      </c>
      <c r="C572" s="272" t="s">
        <v>2088</v>
      </c>
      <c r="D572" s="17">
        <v>1</v>
      </c>
      <c r="E572" s="17">
        <v>0</v>
      </c>
      <c r="F572" s="272"/>
      <c r="G572" s="272">
        <v>2</v>
      </c>
      <c r="H572" s="273" t="s">
        <v>2089</v>
      </c>
      <c r="I572" s="17">
        <v>3.4</v>
      </c>
      <c r="J572" s="17">
        <v>3.4</v>
      </c>
      <c r="K572" s="272"/>
      <c r="L572" s="17">
        <v>1</v>
      </c>
      <c r="M572" s="17">
        <f t="shared" si="33"/>
        <v>3</v>
      </c>
      <c r="N572" s="272" t="s">
        <v>2090</v>
      </c>
      <c r="O572">
        <v>5</v>
      </c>
      <c r="P572">
        <v>3</v>
      </c>
      <c r="Q572">
        <v>0</v>
      </c>
      <c r="S572">
        <v>0.5</v>
      </c>
      <c r="U572">
        <v>0.2</v>
      </c>
      <c r="V572">
        <v>1</v>
      </c>
      <c r="W572">
        <v>16</v>
      </c>
      <c r="X572" s="7">
        <v>3</v>
      </c>
      <c r="Y572">
        <v>-0.1</v>
      </c>
      <c r="Z572">
        <v>0</v>
      </c>
      <c r="AP572" s="10">
        <v>1792</v>
      </c>
      <c r="AQ572" s="3" t="s">
        <v>136</v>
      </c>
      <c r="AR572" s="11"/>
    </row>
    <row r="573" spans="1:44">
      <c r="A573" s="3">
        <v>567</v>
      </c>
      <c r="B573" s="272" t="s">
        <v>2075</v>
      </c>
      <c r="C573" s="272" t="s">
        <v>2091</v>
      </c>
      <c r="D573" s="17">
        <v>1</v>
      </c>
      <c r="E573" s="17">
        <v>0</v>
      </c>
      <c r="F573" s="272"/>
      <c r="G573" s="272">
        <v>2</v>
      </c>
      <c r="H573" s="273" t="s">
        <v>2092</v>
      </c>
      <c r="I573" s="17">
        <f>180/30</f>
        <v>6</v>
      </c>
      <c r="J573" s="17">
        <f>180/30</f>
        <v>6</v>
      </c>
      <c r="K573" s="272"/>
      <c r="L573" s="17">
        <v>1</v>
      </c>
      <c r="M573" s="17">
        <f t="shared" si="33"/>
        <v>5.6</v>
      </c>
      <c r="N573" s="272" t="s">
        <v>2093</v>
      </c>
      <c r="O573">
        <v>1</v>
      </c>
      <c r="P573">
        <v>5.6</v>
      </c>
      <c r="Q573">
        <v>0</v>
      </c>
      <c r="V573">
        <v>1</v>
      </c>
      <c r="W573">
        <v>0</v>
      </c>
      <c r="X573" s="7">
        <v>1</v>
      </c>
      <c r="Y573">
        <v>-0.1</v>
      </c>
      <c r="Z573">
        <v>0</v>
      </c>
      <c r="AB573">
        <v>5.7</v>
      </c>
      <c r="AC573">
        <v>2</v>
      </c>
      <c r="AD573">
        <v>1</v>
      </c>
      <c r="AE573" t="s">
        <v>2094</v>
      </c>
      <c r="AF573">
        <v>0.5</v>
      </c>
      <c r="AP573" s="10">
        <v>1841</v>
      </c>
      <c r="AQ573" s="3" t="s">
        <v>136</v>
      </c>
      <c r="AR573" s="11" t="s">
        <v>1740</v>
      </c>
    </row>
    <row r="574" spans="1:44">
      <c r="A574" s="3">
        <v>568</v>
      </c>
      <c r="B574" s="272" t="s">
        <v>2075</v>
      </c>
      <c r="C574" s="272" t="s">
        <v>2095</v>
      </c>
      <c r="D574" s="17">
        <v>1</v>
      </c>
      <c r="E574" s="17">
        <v>0</v>
      </c>
      <c r="F574" s="272"/>
      <c r="G574" s="272">
        <v>2</v>
      </c>
      <c r="H574" s="273" t="s">
        <v>2096</v>
      </c>
      <c r="I574" s="17">
        <f>280/30</f>
        <v>9.33333333333333</v>
      </c>
      <c r="J574" s="17">
        <f>280/30</f>
        <v>9.33333333333333</v>
      </c>
      <c r="K574" s="272"/>
      <c r="L574" s="17">
        <v>1</v>
      </c>
      <c r="M574" s="17">
        <f t="shared" si="33"/>
        <v>8.93333333333333</v>
      </c>
      <c r="N574" s="272" t="s">
        <v>2097</v>
      </c>
      <c r="O574">
        <v>3</v>
      </c>
      <c r="P574">
        <v>-10</v>
      </c>
      <c r="Q574">
        <v>0</v>
      </c>
      <c r="V574">
        <v>1</v>
      </c>
      <c r="W574">
        <v>6</v>
      </c>
      <c r="X574" s="7">
        <v>7</v>
      </c>
      <c r="Y574">
        <v>-0.1</v>
      </c>
      <c r="Z574">
        <v>0</v>
      </c>
      <c r="AB574">
        <v>9.0333333</v>
      </c>
      <c r="AC574">
        <v>2</v>
      </c>
      <c r="AD574">
        <v>1</v>
      </c>
      <c r="AE574" t="s">
        <v>2098</v>
      </c>
      <c r="AF574">
        <v>0.5</v>
      </c>
      <c r="AN574" s="8">
        <v>1814</v>
      </c>
      <c r="AO574" t="s">
        <v>2099</v>
      </c>
      <c r="AP574" s="10">
        <v>1813</v>
      </c>
      <c r="AQ574" s="3" t="s">
        <v>136</v>
      </c>
      <c r="AR574" s="11" t="s">
        <v>1740</v>
      </c>
    </row>
    <row r="575" spans="1:44">
      <c r="A575" s="3">
        <v>569</v>
      </c>
      <c r="B575" s="272" t="s">
        <v>2075</v>
      </c>
      <c r="C575" s="272" t="s">
        <v>2100</v>
      </c>
      <c r="D575" s="17">
        <v>1</v>
      </c>
      <c r="E575" s="17">
        <v>0</v>
      </c>
      <c r="F575" s="272"/>
      <c r="G575" s="272">
        <v>2</v>
      </c>
      <c r="H575" s="273" t="s">
        <v>2101</v>
      </c>
      <c r="I575" s="17">
        <f>240/30</f>
        <v>8</v>
      </c>
      <c r="J575" s="17">
        <f>240/30</f>
        <v>8</v>
      </c>
      <c r="K575" s="272"/>
      <c r="L575" s="17">
        <v>1</v>
      </c>
      <c r="M575" s="17">
        <f t="shared" si="33"/>
        <v>7.6</v>
      </c>
      <c r="N575" s="272" t="s">
        <v>2102</v>
      </c>
      <c r="O575">
        <v>3</v>
      </c>
      <c r="P575">
        <v>-2.7</v>
      </c>
      <c r="Q575">
        <v>0</v>
      </c>
      <c r="V575">
        <v>1</v>
      </c>
      <c r="W575">
        <v>6</v>
      </c>
      <c r="X575" s="7">
        <v>5</v>
      </c>
      <c r="Y575">
        <v>-0.1</v>
      </c>
      <c r="Z575">
        <v>0</v>
      </c>
      <c r="AB575">
        <v>7.7</v>
      </c>
      <c r="AC575">
        <v>2</v>
      </c>
      <c r="AD575">
        <v>1</v>
      </c>
      <c r="AE575" t="s">
        <v>2103</v>
      </c>
      <c r="AF575">
        <v>0.5</v>
      </c>
      <c r="AN575" s="8" t="s">
        <v>2104</v>
      </c>
      <c r="AO575" t="s">
        <v>2105</v>
      </c>
      <c r="AP575" s="10">
        <v>1815</v>
      </c>
      <c r="AQ575" s="3" t="s">
        <v>136</v>
      </c>
      <c r="AR575" s="11" t="s">
        <v>1740</v>
      </c>
    </row>
    <row r="576" spans="1:44">
      <c r="A576" s="3">
        <v>570</v>
      </c>
      <c r="B576" s="272" t="s">
        <v>2075</v>
      </c>
      <c r="C576" s="272" t="s">
        <v>2106</v>
      </c>
      <c r="D576" s="17">
        <v>1</v>
      </c>
      <c r="E576" s="17">
        <v>0</v>
      </c>
      <c r="F576" s="272"/>
      <c r="G576" s="272">
        <v>2</v>
      </c>
      <c r="H576" s="273" t="s">
        <v>2092</v>
      </c>
      <c r="I576" s="17">
        <f>180/30</f>
        <v>6</v>
      </c>
      <c r="J576" s="17">
        <f>180/30</f>
        <v>6</v>
      </c>
      <c r="K576" s="272"/>
      <c r="L576" s="17">
        <v>1</v>
      </c>
      <c r="M576" s="17">
        <f t="shared" si="33"/>
        <v>5.6</v>
      </c>
      <c r="N576" s="272" t="s">
        <v>2093</v>
      </c>
      <c r="O576">
        <v>1</v>
      </c>
      <c r="P576">
        <v>5.6</v>
      </c>
      <c r="Q576">
        <v>0</v>
      </c>
      <c r="V576">
        <v>1</v>
      </c>
      <c r="W576">
        <v>0</v>
      </c>
      <c r="X576" s="7">
        <v>1</v>
      </c>
      <c r="Y576">
        <v>-0.1</v>
      </c>
      <c r="Z576">
        <v>0</v>
      </c>
      <c r="AB576">
        <v>5.7</v>
      </c>
      <c r="AC576">
        <v>2</v>
      </c>
      <c r="AD576">
        <v>1</v>
      </c>
      <c r="AE576" t="s">
        <v>2094</v>
      </c>
      <c r="AF576">
        <v>0.5</v>
      </c>
      <c r="AP576" s="10">
        <v>1812</v>
      </c>
      <c r="AQ576" s="3" t="s">
        <v>136</v>
      </c>
      <c r="AR576" s="11" t="s">
        <v>1740</v>
      </c>
    </row>
    <row r="577" s="31" customFormat="1" spans="1:44">
      <c r="A577" s="237">
        <v>571</v>
      </c>
      <c r="B577" s="237" t="s">
        <v>2107</v>
      </c>
      <c r="C577" s="237" t="s">
        <v>526</v>
      </c>
      <c r="D577" s="31">
        <v>1</v>
      </c>
      <c r="E577" s="31">
        <v>0</v>
      </c>
      <c r="F577" s="237"/>
      <c r="G577" s="237">
        <v>1</v>
      </c>
      <c r="H577" s="275" t="s">
        <v>2108</v>
      </c>
      <c r="I577" s="31">
        <f>90/30</f>
        <v>3</v>
      </c>
      <c r="J577" s="31">
        <f>90/30</f>
        <v>3</v>
      </c>
      <c r="K577" s="237"/>
      <c r="L577" s="31">
        <v>0</v>
      </c>
      <c r="M577" s="31">
        <f t="shared" si="33"/>
        <v>2.6</v>
      </c>
      <c r="N577" s="237" t="s">
        <v>2109</v>
      </c>
      <c r="O577" s="31">
        <v>2</v>
      </c>
      <c r="P577" s="31">
        <v>0</v>
      </c>
      <c r="Q577" s="31">
        <v>0</v>
      </c>
      <c r="S577" s="31">
        <v>-0.3</v>
      </c>
      <c r="U577" s="31">
        <v>0.7</v>
      </c>
      <c r="V577" s="31">
        <v>2</v>
      </c>
      <c r="W577" s="31">
        <v>0</v>
      </c>
      <c r="X577" s="295">
        <v>5</v>
      </c>
      <c r="Y577" s="31">
        <v>-0.1</v>
      </c>
      <c r="Z577" s="31">
        <v>0</v>
      </c>
      <c r="AN577" s="304"/>
      <c r="AP577" s="312">
        <v>1941</v>
      </c>
      <c r="AQ577" s="237" t="s">
        <v>136</v>
      </c>
      <c r="AR577" s="313"/>
    </row>
    <row r="578" s="31" customFormat="1" spans="1:44">
      <c r="A578" s="237">
        <v>572</v>
      </c>
      <c r="B578" s="237" t="s">
        <v>2107</v>
      </c>
      <c r="C578" s="237" t="s">
        <v>2110</v>
      </c>
      <c r="D578" s="31">
        <v>1</v>
      </c>
      <c r="E578" s="31">
        <v>0</v>
      </c>
      <c r="F578" s="237"/>
      <c r="G578" s="237">
        <v>1</v>
      </c>
      <c r="H578" s="275" t="s">
        <v>2111</v>
      </c>
      <c r="I578" s="31">
        <f>70/30</f>
        <v>2.33333333333333</v>
      </c>
      <c r="J578" s="31">
        <f>70/30</f>
        <v>2.33333333333333</v>
      </c>
      <c r="K578" s="237"/>
      <c r="L578" s="31">
        <v>1</v>
      </c>
      <c r="M578" s="31">
        <f t="shared" si="33"/>
        <v>1.93333333333333</v>
      </c>
      <c r="N578" s="237" t="s">
        <v>2112</v>
      </c>
      <c r="O578" s="31">
        <v>2</v>
      </c>
      <c r="P578" s="31">
        <v>0</v>
      </c>
      <c r="Q578" s="31">
        <v>0</v>
      </c>
      <c r="S578" s="31">
        <v>-0.3</v>
      </c>
      <c r="U578" s="31">
        <v>0.7</v>
      </c>
      <c r="V578" s="31">
        <v>2</v>
      </c>
      <c r="W578" s="31">
        <v>0</v>
      </c>
      <c r="X578" s="295">
        <v>2</v>
      </c>
      <c r="Y578" s="31">
        <v>-0.1</v>
      </c>
      <c r="Z578" s="31">
        <v>0</v>
      </c>
      <c r="AN578" s="304"/>
      <c r="AP578" s="312">
        <v>1945</v>
      </c>
      <c r="AQ578" s="237" t="s">
        <v>136</v>
      </c>
      <c r="AR578" s="313"/>
    </row>
    <row r="579" s="31" customFormat="1" spans="1:44">
      <c r="A579" s="237">
        <v>573</v>
      </c>
      <c r="B579" s="237" t="s">
        <v>2107</v>
      </c>
      <c r="C579" s="237" t="s">
        <v>2113</v>
      </c>
      <c r="D579" s="31">
        <v>1</v>
      </c>
      <c r="E579" s="31">
        <v>0</v>
      </c>
      <c r="F579" s="237"/>
      <c r="G579" s="237">
        <v>1</v>
      </c>
      <c r="H579" s="275" t="s">
        <v>2114</v>
      </c>
      <c r="I579" s="31">
        <f>45/30</f>
        <v>1.5</v>
      </c>
      <c r="J579" s="31">
        <f>45/30</f>
        <v>1.5</v>
      </c>
      <c r="K579" s="237"/>
      <c r="L579" s="31">
        <v>1</v>
      </c>
      <c r="M579" s="31">
        <f t="shared" si="33"/>
        <v>1.1</v>
      </c>
      <c r="N579" s="237" t="s">
        <v>2115</v>
      </c>
      <c r="O579" s="31">
        <v>2</v>
      </c>
      <c r="P579" s="31">
        <v>0</v>
      </c>
      <c r="Q579" s="31">
        <v>0</v>
      </c>
      <c r="S579" s="31">
        <v>-0.3</v>
      </c>
      <c r="U579" s="31">
        <v>0.7</v>
      </c>
      <c r="V579" s="31">
        <v>2</v>
      </c>
      <c r="W579" s="31">
        <v>19</v>
      </c>
      <c r="X579" s="295">
        <v>4</v>
      </c>
      <c r="Y579" s="31">
        <v>-0.1</v>
      </c>
      <c r="Z579" s="31">
        <v>0</v>
      </c>
      <c r="AN579" s="304"/>
      <c r="AP579" s="312">
        <v>1947</v>
      </c>
      <c r="AQ579" s="237" t="s">
        <v>136</v>
      </c>
      <c r="AR579" s="313"/>
    </row>
    <row r="580" s="31" customFormat="1" spans="1:44">
      <c r="A580" s="237">
        <v>574</v>
      </c>
      <c r="B580" s="237" t="s">
        <v>2107</v>
      </c>
      <c r="C580" s="237" t="s">
        <v>2116</v>
      </c>
      <c r="D580" s="31">
        <v>1</v>
      </c>
      <c r="E580" s="31">
        <v>0</v>
      </c>
      <c r="F580" s="237"/>
      <c r="G580" s="237">
        <v>1</v>
      </c>
      <c r="H580" s="275" t="s">
        <v>2117</v>
      </c>
      <c r="I580" s="31">
        <f>36/30</f>
        <v>1.2</v>
      </c>
      <c r="J580" s="31">
        <f>36/30</f>
        <v>1.2</v>
      </c>
      <c r="K580" s="237"/>
      <c r="L580" s="31">
        <v>1</v>
      </c>
      <c r="M580" s="31">
        <f t="shared" si="33"/>
        <v>0.8</v>
      </c>
      <c r="N580" s="237" t="s">
        <v>2118</v>
      </c>
      <c r="O580" s="31">
        <v>2</v>
      </c>
      <c r="P580" s="31">
        <v>0</v>
      </c>
      <c r="Q580" s="31">
        <v>0</v>
      </c>
      <c r="S580" s="31">
        <v>-0.3</v>
      </c>
      <c r="U580" s="31">
        <v>0.7</v>
      </c>
      <c r="V580" s="31">
        <v>2</v>
      </c>
      <c r="W580" s="31">
        <v>24</v>
      </c>
      <c r="X580" s="295">
        <v>3</v>
      </c>
      <c r="Y580" s="31">
        <v>-0.1</v>
      </c>
      <c r="Z580" s="31">
        <v>0</v>
      </c>
      <c r="AN580" s="304"/>
      <c r="AP580" s="312">
        <v>1949</v>
      </c>
      <c r="AQ580" s="237" t="s">
        <v>136</v>
      </c>
      <c r="AR580" s="313"/>
    </row>
    <row r="581" s="31" customFormat="1" spans="1:44">
      <c r="A581" s="237">
        <v>575</v>
      </c>
      <c r="B581" s="237" t="s">
        <v>2107</v>
      </c>
      <c r="C581" s="237" t="s">
        <v>2119</v>
      </c>
      <c r="D581" s="31">
        <v>1</v>
      </c>
      <c r="E581" s="31">
        <v>0</v>
      </c>
      <c r="F581" s="237"/>
      <c r="G581" s="237">
        <v>1</v>
      </c>
      <c r="H581" s="275" t="s">
        <v>2120</v>
      </c>
      <c r="I581" s="31">
        <f>95/30</f>
        <v>3.16666666666667</v>
      </c>
      <c r="J581" s="31">
        <f>95/30</f>
        <v>3.16666666666667</v>
      </c>
      <c r="K581" s="237"/>
      <c r="L581" s="31">
        <v>1</v>
      </c>
      <c r="M581" s="31">
        <f t="shared" si="33"/>
        <v>2.76666666666667</v>
      </c>
      <c r="N581" s="237" t="s">
        <v>2121</v>
      </c>
      <c r="O581" s="31">
        <v>2</v>
      </c>
      <c r="P581" s="31">
        <v>0</v>
      </c>
      <c r="Q581" s="31">
        <v>0</v>
      </c>
      <c r="S581" s="31">
        <v>-0.3</v>
      </c>
      <c r="U581" s="31">
        <v>0.7</v>
      </c>
      <c r="V581" s="31">
        <v>2</v>
      </c>
      <c r="W581" s="31">
        <v>6</v>
      </c>
      <c r="X581" s="295">
        <v>5</v>
      </c>
      <c r="Y581" s="31">
        <v>-0.1</v>
      </c>
      <c r="Z581" s="31">
        <v>0</v>
      </c>
      <c r="AN581" s="304"/>
      <c r="AP581" s="312">
        <v>1951</v>
      </c>
      <c r="AQ581" s="237" t="s">
        <v>136</v>
      </c>
      <c r="AR581" s="313"/>
    </row>
    <row r="582" s="31" customFormat="1" spans="1:44">
      <c r="A582" s="237">
        <v>576</v>
      </c>
      <c r="B582" s="237" t="s">
        <v>2107</v>
      </c>
      <c r="C582" s="237" t="s">
        <v>2122</v>
      </c>
      <c r="D582" s="31">
        <v>1</v>
      </c>
      <c r="E582" s="31">
        <v>0</v>
      </c>
      <c r="F582" s="237"/>
      <c r="G582" s="237">
        <v>1</v>
      </c>
      <c r="H582" s="275" t="s">
        <v>2123</v>
      </c>
      <c r="I582" s="31">
        <v>9.5</v>
      </c>
      <c r="J582" s="31">
        <v>9.5</v>
      </c>
      <c r="K582" s="237"/>
      <c r="L582" s="31">
        <v>1</v>
      </c>
      <c r="M582" s="31">
        <f t="shared" si="33"/>
        <v>9.1</v>
      </c>
      <c r="N582" s="237" t="s">
        <v>2124</v>
      </c>
      <c r="O582" s="31">
        <v>2</v>
      </c>
      <c r="P582" s="31">
        <v>0</v>
      </c>
      <c r="Q582" s="31">
        <v>0</v>
      </c>
      <c r="V582" s="31">
        <v>2</v>
      </c>
      <c r="W582" s="31">
        <v>0</v>
      </c>
      <c r="X582" s="295">
        <v>7</v>
      </c>
      <c r="Y582" s="31">
        <v>-0.1</v>
      </c>
      <c r="Z582" s="31">
        <v>0</v>
      </c>
      <c r="AB582" s="31">
        <v>9.3</v>
      </c>
      <c r="AC582" s="31">
        <v>2</v>
      </c>
      <c r="AD582" s="31">
        <v>1</v>
      </c>
      <c r="AE582" s="31" t="s">
        <v>2125</v>
      </c>
      <c r="AF582" s="31">
        <v>0.5</v>
      </c>
      <c r="AN582" s="304" t="s">
        <v>2126</v>
      </c>
      <c r="AO582" s="31" t="s">
        <v>2127</v>
      </c>
      <c r="AP582" s="312">
        <v>1954</v>
      </c>
      <c r="AQ582" s="237" t="s">
        <v>136</v>
      </c>
      <c r="AR582" s="313"/>
    </row>
    <row r="583" s="31" customFormat="1" spans="1:44">
      <c r="A583" s="237">
        <v>577</v>
      </c>
      <c r="B583" s="237" t="s">
        <v>2107</v>
      </c>
      <c r="C583" s="237" t="s">
        <v>2128</v>
      </c>
      <c r="D583" s="31">
        <v>1</v>
      </c>
      <c r="E583" s="31">
        <v>0</v>
      </c>
      <c r="F583" s="237"/>
      <c r="G583" s="237">
        <v>1</v>
      </c>
      <c r="H583" s="275" t="s">
        <v>2129</v>
      </c>
      <c r="I583" s="31">
        <f>360/30</f>
        <v>12</v>
      </c>
      <c r="J583" s="31">
        <f>360/30</f>
        <v>12</v>
      </c>
      <c r="K583" s="237"/>
      <c r="L583" s="31">
        <v>1</v>
      </c>
      <c r="M583" s="31">
        <f t="shared" si="33"/>
        <v>11.6</v>
      </c>
      <c r="N583" s="237" t="s">
        <v>2130</v>
      </c>
      <c r="O583" s="31">
        <v>3</v>
      </c>
      <c r="P583" s="31">
        <v>-9</v>
      </c>
      <c r="Q583" s="31">
        <v>0</v>
      </c>
      <c r="V583" s="31">
        <v>2</v>
      </c>
      <c r="W583" s="31">
        <v>6</v>
      </c>
      <c r="X583" s="295">
        <v>3</v>
      </c>
      <c r="Y583" s="31">
        <v>-0.1</v>
      </c>
      <c r="Z583" s="31">
        <v>0</v>
      </c>
      <c r="AB583" s="31">
        <v>11.8</v>
      </c>
      <c r="AC583" s="31">
        <v>2</v>
      </c>
      <c r="AD583" s="31">
        <v>1</v>
      </c>
      <c r="AE583" s="31" t="s">
        <v>2131</v>
      </c>
      <c r="AF583" s="31">
        <v>0.5</v>
      </c>
      <c r="AN583" s="304" t="s">
        <v>2132</v>
      </c>
      <c r="AO583" s="31" t="s">
        <v>2127</v>
      </c>
      <c r="AP583" s="312">
        <v>1955</v>
      </c>
      <c r="AQ583" s="237" t="s">
        <v>136</v>
      </c>
      <c r="AR583" s="313"/>
    </row>
    <row r="584" s="31" customFormat="1" spans="1:44">
      <c r="A584" s="237">
        <v>578</v>
      </c>
      <c r="B584" s="237" t="s">
        <v>2107</v>
      </c>
      <c r="C584" s="237" t="s">
        <v>2133</v>
      </c>
      <c r="D584" s="31">
        <v>1</v>
      </c>
      <c r="E584" s="31">
        <v>0</v>
      </c>
      <c r="F584" s="237"/>
      <c r="G584" s="237">
        <v>1</v>
      </c>
      <c r="H584" s="275" t="s">
        <v>2134</v>
      </c>
      <c r="I584" s="31">
        <f>290/30</f>
        <v>9.66666666666667</v>
      </c>
      <c r="J584" s="31">
        <f>290/30</f>
        <v>9.66666666666667</v>
      </c>
      <c r="K584" s="237"/>
      <c r="L584" s="31">
        <v>1</v>
      </c>
      <c r="M584" s="31">
        <f t="shared" si="33"/>
        <v>9.26666666666667</v>
      </c>
      <c r="N584" s="237" t="s">
        <v>2135</v>
      </c>
      <c r="O584" s="31">
        <v>3</v>
      </c>
      <c r="P584" s="31">
        <v>-2</v>
      </c>
      <c r="Q584" s="31">
        <v>0</v>
      </c>
      <c r="V584" s="31">
        <v>2</v>
      </c>
      <c r="W584" s="31">
        <v>6</v>
      </c>
      <c r="X584" s="295">
        <v>5</v>
      </c>
      <c r="Y584" s="31">
        <v>-0.1</v>
      </c>
      <c r="Z584" s="31">
        <v>0</v>
      </c>
      <c r="AB584" s="31">
        <v>9.36666666666667</v>
      </c>
      <c r="AC584" s="31">
        <v>2</v>
      </c>
      <c r="AD584" s="31">
        <v>1</v>
      </c>
      <c r="AE584" s="31" t="s">
        <v>2136</v>
      </c>
      <c r="AF584" s="31">
        <v>0.5</v>
      </c>
      <c r="AN584" s="304"/>
      <c r="AP584" s="312">
        <v>1853</v>
      </c>
      <c r="AQ584" s="237" t="s">
        <v>136</v>
      </c>
      <c r="AR584" s="313"/>
    </row>
    <row r="585" s="32" customFormat="1" spans="1:44">
      <c r="A585" s="276">
        <v>579</v>
      </c>
      <c r="B585" s="276" t="s">
        <v>2137</v>
      </c>
      <c r="C585" s="276" t="s">
        <v>526</v>
      </c>
      <c r="D585" s="32">
        <v>1</v>
      </c>
      <c r="E585" s="32">
        <v>0</v>
      </c>
      <c r="F585" s="276"/>
      <c r="G585" s="276">
        <v>1</v>
      </c>
      <c r="H585" s="277" t="s">
        <v>2138</v>
      </c>
      <c r="I585" s="32">
        <f>75/30</f>
        <v>2.5</v>
      </c>
      <c r="J585" s="32">
        <f>75/30</f>
        <v>2.5</v>
      </c>
      <c r="K585" s="276"/>
      <c r="L585" s="32">
        <v>0</v>
      </c>
      <c r="M585" s="32">
        <f t="shared" ref="M585:M589" si="34">I585-0.4</f>
        <v>2.1</v>
      </c>
      <c r="N585" s="276" t="s">
        <v>2139</v>
      </c>
      <c r="O585" s="32">
        <v>2</v>
      </c>
      <c r="P585" s="32">
        <v>-1.5</v>
      </c>
      <c r="Q585" s="32">
        <v>0</v>
      </c>
      <c r="S585" s="32">
        <v>0.8</v>
      </c>
      <c r="T585" s="32">
        <v>1</v>
      </c>
      <c r="U585" s="32">
        <v>0.3</v>
      </c>
      <c r="V585" s="32">
        <v>6</v>
      </c>
      <c r="W585" s="32">
        <v>0</v>
      </c>
      <c r="X585" s="296">
        <v>4</v>
      </c>
      <c r="Y585" s="32">
        <v>-0.1</v>
      </c>
      <c r="Z585" s="32">
        <v>0</v>
      </c>
      <c r="AN585" s="305"/>
      <c r="AP585" s="314">
        <v>1932</v>
      </c>
      <c r="AQ585" s="276" t="s">
        <v>136</v>
      </c>
      <c r="AR585" s="315"/>
    </row>
    <row r="586" s="32" customFormat="1" spans="1:44">
      <c r="A586" s="276">
        <v>580</v>
      </c>
      <c r="B586" s="276" t="s">
        <v>2137</v>
      </c>
      <c r="C586" s="276" t="s">
        <v>2140</v>
      </c>
      <c r="D586" s="32">
        <v>1</v>
      </c>
      <c r="E586" s="32">
        <v>0</v>
      </c>
      <c r="F586" s="276"/>
      <c r="G586" s="276">
        <v>1</v>
      </c>
      <c r="H586" s="277" t="s">
        <v>2141</v>
      </c>
      <c r="I586" s="32">
        <f>82/30</f>
        <v>2.73333333333333</v>
      </c>
      <c r="J586" s="32">
        <f>82/30</f>
        <v>2.73333333333333</v>
      </c>
      <c r="K586" s="276"/>
      <c r="L586" s="32">
        <v>1</v>
      </c>
      <c r="M586" s="32">
        <f t="shared" si="34"/>
        <v>2.33333333333333</v>
      </c>
      <c r="N586" s="276" t="s">
        <v>2142</v>
      </c>
      <c r="O586" s="32">
        <v>2</v>
      </c>
      <c r="P586" s="32">
        <v>-1.5</v>
      </c>
      <c r="Q586" s="32">
        <v>0</v>
      </c>
      <c r="S586" s="32">
        <v>0.8</v>
      </c>
      <c r="T586" s="32">
        <v>1</v>
      </c>
      <c r="U586" s="32">
        <v>0.3</v>
      </c>
      <c r="V586" s="32">
        <v>6</v>
      </c>
      <c r="W586" s="32">
        <v>0</v>
      </c>
      <c r="X586" s="296">
        <v>4</v>
      </c>
      <c r="Y586" s="32">
        <v>-0.1</v>
      </c>
      <c r="Z586" s="32">
        <v>0</v>
      </c>
      <c r="AN586" s="305"/>
      <c r="AP586" s="314">
        <v>1908</v>
      </c>
      <c r="AQ586" s="276" t="s">
        <v>136</v>
      </c>
      <c r="AR586" s="315"/>
    </row>
    <row r="587" s="32" customFormat="1" spans="1:44">
      <c r="A587" s="276">
        <v>581</v>
      </c>
      <c r="B587" s="276" t="s">
        <v>2137</v>
      </c>
      <c r="C587" s="276" t="s">
        <v>2143</v>
      </c>
      <c r="D587" s="32">
        <v>1</v>
      </c>
      <c r="E587" s="32">
        <v>0</v>
      </c>
      <c r="F587" s="276"/>
      <c r="G587" s="276">
        <v>1</v>
      </c>
      <c r="H587" s="277" t="s">
        <v>2144</v>
      </c>
      <c r="I587" s="32">
        <f>55/30</f>
        <v>1.83333333333333</v>
      </c>
      <c r="J587" s="32">
        <f>55/30</f>
        <v>1.83333333333333</v>
      </c>
      <c r="K587" s="276"/>
      <c r="L587" s="32">
        <v>1</v>
      </c>
      <c r="M587" s="32">
        <f t="shared" si="34"/>
        <v>1.43333333333333</v>
      </c>
      <c r="N587" s="276" t="s">
        <v>2145</v>
      </c>
      <c r="O587" s="32">
        <v>2</v>
      </c>
      <c r="P587" s="32">
        <v>-1.5</v>
      </c>
      <c r="Q587" s="32">
        <v>0</v>
      </c>
      <c r="S587" s="32">
        <v>1</v>
      </c>
      <c r="T587" s="32">
        <v>1</v>
      </c>
      <c r="U587" s="32">
        <v>0.3</v>
      </c>
      <c r="V587" s="32">
        <v>6</v>
      </c>
      <c r="W587" s="32">
        <v>0</v>
      </c>
      <c r="X587" s="296">
        <v>4</v>
      </c>
      <c r="Y587" s="32">
        <v>-0.1</v>
      </c>
      <c r="Z587" s="32">
        <v>0</v>
      </c>
      <c r="AN587" s="305"/>
      <c r="AP587" s="314">
        <v>1912</v>
      </c>
      <c r="AQ587" s="276" t="s">
        <v>136</v>
      </c>
      <c r="AR587" s="315"/>
    </row>
    <row r="588" s="32" customFormat="1" spans="1:44">
      <c r="A588" s="276">
        <v>582</v>
      </c>
      <c r="B588" s="276" t="s">
        <v>2137</v>
      </c>
      <c r="C588" s="276" t="s">
        <v>2146</v>
      </c>
      <c r="D588" s="32">
        <v>1</v>
      </c>
      <c r="E588" s="32">
        <v>0</v>
      </c>
      <c r="F588" s="276"/>
      <c r="G588" s="276">
        <v>1</v>
      </c>
      <c r="H588" s="277" t="s">
        <v>2147</v>
      </c>
      <c r="I588" s="32">
        <f>85/30</f>
        <v>2.83333333333333</v>
      </c>
      <c r="J588" s="32">
        <f>85/30</f>
        <v>2.83333333333333</v>
      </c>
      <c r="K588" s="276"/>
      <c r="L588" s="32">
        <v>1</v>
      </c>
      <c r="M588" s="32">
        <f t="shared" si="34"/>
        <v>2.43333333333333</v>
      </c>
      <c r="N588" s="276" t="s">
        <v>2148</v>
      </c>
      <c r="O588" s="32">
        <v>2</v>
      </c>
      <c r="P588" s="32">
        <v>-1.5</v>
      </c>
      <c r="Q588" s="32">
        <v>0</v>
      </c>
      <c r="S588" s="32">
        <v>0.8</v>
      </c>
      <c r="U588" s="32">
        <v>1</v>
      </c>
      <c r="V588" s="32">
        <v>6</v>
      </c>
      <c r="W588" s="32">
        <v>6</v>
      </c>
      <c r="X588" s="296">
        <v>3</v>
      </c>
      <c r="Y588" s="32">
        <v>-0.1</v>
      </c>
      <c r="Z588" s="32">
        <v>0</v>
      </c>
      <c r="AN588" s="305"/>
      <c r="AP588" s="314">
        <v>1914</v>
      </c>
      <c r="AQ588" s="276" t="s">
        <v>136</v>
      </c>
      <c r="AR588" s="315"/>
    </row>
    <row r="589" s="32" customFormat="1" spans="1:44">
      <c r="A589" s="276">
        <v>583</v>
      </c>
      <c r="B589" s="276" t="s">
        <v>2137</v>
      </c>
      <c r="C589" s="276" t="s">
        <v>2149</v>
      </c>
      <c r="D589" s="32">
        <v>1</v>
      </c>
      <c r="E589" s="32">
        <v>0</v>
      </c>
      <c r="F589" s="276"/>
      <c r="G589" s="276">
        <v>1</v>
      </c>
      <c r="H589" s="277" t="s">
        <v>2150</v>
      </c>
      <c r="I589" s="32">
        <f>95/30</f>
        <v>3.16666666666667</v>
      </c>
      <c r="J589" s="32">
        <f>95/30</f>
        <v>3.16666666666667</v>
      </c>
      <c r="K589" s="276"/>
      <c r="L589" s="32">
        <v>1</v>
      </c>
      <c r="M589" s="32">
        <f t="shared" si="34"/>
        <v>2.76666666666667</v>
      </c>
      <c r="N589" s="276" t="s">
        <v>2151</v>
      </c>
      <c r="O589" s="32">
        <v>2</v>
      </c>
      <c r="P589" s="32">
        <v>-1.5</v>
      </c>
      <c r="Q589" s="32">
        <v>0</v>
      </c>
      <c r="S589" s="32">
        <v>0.8</v>
      </c>
      <c r="T589" s="32">
        <v>1</v>
      </c>
      <c r="U589" s="32">
        <v>0.3</v>
      </c>
      <c r="V589" s="32">
        <v>6</v>
      </c>
      <c r="W589" s="32">
        <v>0</v>
      </c>
      <c r="X589" s="296">
        <v>4</v>
      </c>
      <c r="Y589" s="32">
        <v>-0.1</v>
      </c>
      <c r="Z589" s="32">
        <v>0</v>
      </c>
      <c r="AN589" s="305"/>
      <c r="AP589" s="314"/>
      <c r="AQ589" s="276"/>
      <c r="AR589" s="315"/>
    </row>
    <row r="590" s="32" customFormat="1" spans="1:45">
      <c r="A590" s="276">
        <v>584</v>
      </c>
      <c r="B590" s="276" t="s">
        <v>2137</v>
      </c>
      <c r="C590" s="276" t="s">
        <v>2152</v>
      </c>
      <c r="D590" s="32">
        <v>1</v>
      </c>
      <c r="E590" s="32">
        <v>0</v>
      </c>
      <c r="F590" s="276"/>
      <c r="G590" s="276">
        <v>1</v>
      </c>
      <c r="H590" s="277" t="s">
        <v>2153</v>
      </c>
      <c r="I590" s="32">
        <f>300/30</f>
        <v>10</v>
      </c>
      <c r="J590" s="32">
        <f>300/30</f>
        <v>10</v>
      </c>
      <c r="K590" s="276"/>
      <c r="L590" s="32">
        <v>1</v>
      </c>
      <c r="M590" s="32">
        <f t="shared" ref="M590:M644" si="35">I590-0.4</f>
        <v>9.6</v>
      </c>
      <c r="N590" s="276" t="s">
        <v>2154</v>
      </c>
      <c r="O590" s="32">
        <v>1</v>
      </c>
      <c r="P590" s="32">
        <v>5</v>
      </c>
      <c r="Q590" s="32">
        <v>0</v>
      </c>
      <c r="V590" s="32">
        <v>6</v>
      </c>
      <c r="W590" s="32">
        <v>0</v>
      </c>
      <c r="X590" s="296">
        <v>11</v>
      </c>
      <c r="Y590" s="32">
        <v>-0.1</v>
      </c>
      <c r="Z590" s="32">
        <v>0</v>
      </c>
      <c r="AB590" s="32">
        <v>9.7</v>
      </c>
      <c r="AC590" s="32">
        <v>2</v>
      </c>
      <c r="AD590" s="32">
        <v>1</v>
      </c>
      <c r="AE590" s="32" t="s">
        <v>2155</v>
      </c>
      <c r="AF590" s="32">
        <v>0.5</v>
      </c>
      <c r="AN590" s="305" t="s">
        <v>2156</v>
      </c>
      <c r="AO590" s="32" t="s">
        <v>2157</v>
      </c>
      <c r="AP590" s="314">
        <v>1918</v>
      </c>
      <c r="AQ590" s="276" t="s">
        <v>136</v>
      </c>
      <c r="AR590" s="315"/>
      <c r="AS590" s="32" t="s">
        <v>2158</v>
      </c>
    </row>
    <row r="591" s="32" customFormat="1" spans="1:44">
      <c r="A591" s="276">
        <v>585</v>
      </c>
      <c r="B591" s="276" t="s">
        <v>2137</v>
      </c>
      <c r="C591" s="276" t="s">
        <v>2159</v>
      </c>
      <c r="D591" s="32">
        <v>1</v>
      </c>
      <c r="E591" s="32">
        <v>0</v>
      </c>
      <c r="F591" s="276"/>
      <c r="G591" s="276">
        <v>1</v>
      </c>
      <c r="H591" s="277" t="s">
        <v>2160</v>
      </c>
      <c r="I591" s="32">
        <f>270/30</f>
        <v>9</v>
      </c>
      <c r="J591" s="32">
        <f>270/30</f>
        <v>9</v>
      </c>
      <c r="K591" s="276"/>
      <c r="L591" s="32">
        <v>1</v>
      </c>
      <c r="M591" s="32">
        <f t="shared" si="35"/>
        <v>8.6</v>
      </c>
      <c r="N591" s="276" t="s">
        <v>2161</v>
      </c>
      <c r="O591" s="32">
        <v>3</v>
      </c>
      <c r="P591" s="32">
        <v>-4</v>
      </c>
      <c r="Q591" s="32">
        <v>0</v>
      </c>
      <c r="V591" s="32">
        <v>6</v>
      </c>
      <c r="W591" s="32">
        <v>6</v>
      </c>
      <c r="X591" s="296">
        <v>9</v>
      </c>
      <c r="Y591" s="32">
        <v>-0.1</v>
      </c>
      <c r="Z591" s="32">
        <v>0</v>
      </c>
      <c r="AB591" s="32">
        <v>8.7</v>
      </c>
      <c r="AC591" s="32">
        <v>1</v>
      </c>
      <c r="AD591" s="32">
        <v>1</v>
      </c>
      <c r="AE591" s="32" t="s">
        <v>2162</v>
      </c>
      <c r="AF591" s="32">
        <v>0.5</v>
      </c>
      <c r="AN591" s="305"/>
      <c r="AP591" s="314">
        <v>1919</v>
      </c>
      <c r="AQ591" s="276" t="s">
        <v>136</v>
      </c>
      <c r="AR591" s="315"/>
    </row>
    <row r="592" s="32" customFormat="1" spans="1:45">
      <c r="A592" s="276">
        <v>586</v>
      </c>
      <c r="B592" s="276" t="s">
        <v>2137</v>
      </c>
      <c r="C592" s="276" t="s">
        <v>2163</v>
      </c>
      <c r="D592" s="32">
        <v>1</v>
      </c>
      <c r="E592" s="32">
        <v>0</v>
      </c>
      <c r="F592" s="276"/>
      <c r="G592" s="276">
        <v>1</v>
      </c>
      <c r="H592" s="277" t="s">
        <v>2164</v>
      </c>
      <c r="I592" s="32">
        <f>230/30</f>
        <v>7.66666666666667</v>
      </c>
      <c r="J592" s="32">
        <f>230/30</f>
        <v>7.66666666666667</v>
      </c>
      <c r="K592" s="276"/>
      <c r="L592" s="32">
        <v>1</v>
      </c>
      <c r="M592" s="32">
        <f t="shared" si="35"/>
        <v>7.26666666666667</v>
      </c>
      <c r="N592" s="276" t="s">
        <v>2165</v>
      </c>
      <c r="O592" s="32">
        <v>1</v>
      </c>
      <c r="P592" s="32">
        <v>5</v>
      </c>
      <c r="Q592" s="32">
        <v>0</v>
      </c>
      <c r="V592" s="32">
        <v>6</v>
      </c>
      <c r="W592" s="32">
        <v>0</v>
      </c>
      <c r="X592" s="296">
        <v>8</v>
      </c>
      <c r="Y592" s="32">
        <v>-0.1</v>
      </c>
      <c r="Z592" s="32">
        <v>0</v>
      </c>
      <c r="AB592" s="32">
        <v>7.3666667</v>
      </c>
      <c r="AC592" s="32">
        <v>1</v>
      </c>
      <c r="AD592" s="32">
        <v>1</v>
      </c>
      <c r="AE592" s="32" t="s">
        <v>2166</v>
      </c>
      <c r="AF592" s="32">
        <v>0.5</v>
      </c>
      <c r="AP592" s="305">
        <v>1958</v>
      </c>
      <c r="AQ592" s="276" t="s">
        <v>136</v>
      </c>
      <c r="AR592" s="315"/>
      <c r="AS592" s="32" t="s">
        <v>2167</v>
      </c>
    </row>
    <row r="593" s="32" customFormat="1" spans="1:44">
      <c r="A593" s="276">
        <v>587</v>
      </c>
      <c r="B593" s="276" t="s">
        <v>2137</v>
      </c>
      <c r="C593" s="276" t="s">
        <v>2168</v>
      </c>
      <c r="D593" s="32">
        <v>1</v>
      </c>
      <c r="E593" s="32">
        <v>0</v>
      </c>
      <c r="F593" s="276"/>
      <c r="G593" s="276">
        <v>1</v>
      </c>
      <c r="H593" s="277" t="s">
        <v>2169</v>
      </c>
      <c r="I593" s="32">
        <f>110/30</f>
        <v>3.66666666666667</v>
      </c>
      <c r="J593" s="32">
        <f>110/30</f>
        <v>3.66666666666667</v>
      </c>
      <c r="K593" s="276"/>
      <c r="L593" s="32">
        <v>0</v>
      </c>
      <c r="M593" s="32">
        <f t="shared" si="35"/>
        <v>3.26666666666667</v>
      </c>
      <c r="N593" s="276" t="s">
        <v>2170</v>
      </c>
      <c r="O593" s="32">
        <v>2</v>
      </c>
      <c r="P593" s="32">
        <v>-1.5</v>
      </c>
      <c r="Q593" s="32">
        <v>1</v>
      </c>
      <c r="S593" s="32">
        <v>0.2</v>
      </c>
      <c r="U593" s="32">
        <v>0.75</v>
      </c>
      <c r="V593" s="32">
        <v>6</v>
      </c>
      <c r="W593" s="32">
        <v>6</v>
      </c>
      <c r="X593" s="296">
        <v>2</v>
      </c>
      <c r="Y593" s="32">
        <v>-0.1</v>
      </c>
      <c r="Z593" s="32">
        <v>0</v>
      </c>
      <c r="AN593" s="305"/>
      <c r="AP593" s="314">
        <v>1922</v>
      </c>
      <c r="AQ593" s="276" t="s">
        <v>136</v>
      </c>
      <c r="AR593" s="315"/>
    </row>
    <row r="594" s="32" customFormat="1" spans="1:44">
      <c r="A594" s="276">
        <v>588</v>
      </c>
      <c r="B594" s="276" t="s">
        <v>2137</v>
      </c>
      <c r="C594" s="276" t="s">
        <v>2171</v>
      </c>
      <c r="D594" s="32">
        <v>1</v>
      </c>
      <c r="E594" s="32">
        <v>0</v>
      </c>
      <c r="F594" s="276"/>
      <c r="G594" s="276">
        <v>1</v>
      </c>
      <c r="H594" s="277" t="s">
        <v>2172</v>
      </c>
      <c r="I594" s="32">
        <v>3.7</v>
      </c>
      <c r="J594" s="32">
        <v>3.7</v>
      </c>
      <c r="K594" s="276"/>
      <c r="L594" s="32">
        <v>1</v>
      </c>
      <c r="M594" s="32">
        <f t="shared" si="35"/>
        <v>3.3</v>
      </c>
      <c r="N594" s="276" t="s">
        <v>2173</v>
      </c>
      <c r="O594" s="32">
        <v>2</v>
      </c>
      <c r="P594" s="32">
        <v>-1.5</v>
      </c>
      <c r="Q594" s="32">
        <v>1</v>
      </c>
      <c r="S594" s="32">
        <v>0.2</v>
      </c>
      <c r="U594" s="32">
        <v>0.75</v>
      </c>
      <c r="V594" s="32">
        <v>6</v>
      </c>
      <c r="W594" s="32">
        <v>6</v>
      </c>
      <c r="X594" s="296">
        <v>3</v>
      </c>
      <c r="Y594" s="32">
        <v>-0.1</v>
      </c>
      <c r="Z594" s="32">
        <v>0</v>
      </c>
      <c r="AP594" s="314">
        <v>1924</v>
      </c>
      <c r="AQ594" s="276" t="s">
        <v>136</v>
      </c>
      <c r="AR594" s="315"/>
    </row>
    <row r="595" s="32" customFormat="1" spans="1:44">
      <c r="A595" s="276">
        <v>589</v>
      </c>
      <c r="B595" s="276" t="s">
        <v>2137</v>
      </c>
      <c r="C595" s="276" t="s">
        <v>2174</v>
      </c>
      <c r="D595" s="32">
        <v>1</v>
      </c>
      <c r="E595" s="32">
        <v>0</v>
      </c>
      <c r="F595" s="276"/>
      <c r="G595" s="276">
        <v>1</v>
      </c>
      <c r="H595" s="277" t="s">
        <v>2175</v>
      </c>
      <c r="I595" s="32">
        <f>400/30</f>
        <v>13.3333333333333</v>
      </c>
      <c r="J595" s="32">
        <f>400/30</f>
        <v>13.3333333333333</v>
      </c>
      <c r="K595" s="276"/>
      <c r="L595" s="32">
        <v>1</v>
      </c>
      <c r="M595" s="32">
        <f t="shared" si="35"/>
        <v>12.9333333333333</v>
      </c>
      <c r="N595" s="276" t="s">
        <v>2176</v>
      </c>
      <c r="O595" s="32">
        <v>3</v>
      </c>
      <c r="P595" s="32">
        <v>-4</v>
      </c>
      <c r="Q595" s="32">
        <v>0</v>
      </c>
      <c r="V595" s="32">
        <v>6</v>
      </c>
      <c r="W595" s="32">
        <v>6</v>
      </c>
      <c r="X595" s="296">
        <v>5</v>
      </c>
      <c r="Y595" s="32">
        <v>-0.1</v>
      </c>
      <c r="Z595" s="32">
        <v>0</v>
      </c>
      <c r="AB595" s="32">
        <v>13.03333333</v>
      </c>
      <c r="AC595" s="32">
        <v>1</v>
      </c>
      <c r="AD595" s="32">
        <v>1</v>
      </c>
      <c r="AE595" s="32" t="s">
        <v>2177</v>
      </c>
      <c r="AF595" s="32">
        <v>0.5</v>
      </c>
      <c r="AN595" s="305" t="s">
        <v>2178</v>
      </c>
      <c r="AO595" s="32" t="s">
        <v>2179</v>
      </c>
      <c r="AP595" s="314">
        <v>1925</v>
      </c>
      <c r="AQ595" s="276" t="s">
        <v>136</v>
      </c>
      <c r="AR595" s="315"/>
    </row>
    <row r="596" s="18" customFormat="1" spans="1:44">
      <c r="A596" s="278">
        <v>590</v>
      </c>
      <c r="B596" s="278" t="s">
        <v>2180</v>
      </c>
      <c r="C596" s="278" t="s">
        <v>526</v>
      </c>
      <c r="D596" s="279">
        <v>1</v>
      </c>
      <c r="E596" s="18">
        <v>0</v>
      </c>
      <c r="F596" s="278"/>
      <c r="G596" s="278">
        <v>1</v>
      </c>
      <c r="H596" s="280" t="s">
        <v>2181</v>
      </c>
      <c r="I596" s="18">
        <v>2.5</v>
      </c>
      <c r="J596" s="18">
        <v>2.5</v>
      </c>
      <c r="K596" s="278"/>
      <c r="L596" s="18">
        <v>0</v>
      </c>
      <c r="M596" s="18">
        <f t="shared" si="35"/>
        <v>2.1</v>
      </c>
      <c r="N596" s="278" t="s">
        <v>2182</v>
      </c>
      <c r="O596" s="18">
        <v>1</v>
      </c>
      <c r="P596" s="18">
        <v>1.7</v>
      </c>
      <c r="Q596" s="18">
        <v>0</v>
      </c>
      <c r="S596" s="18">
        <v>1.5</v>
      </c>
      <c r="U596" s="18">
        <v>0.5</v>
      </c>
      <c r="V596" s="18">
        <v>1</v>
      </c>
      <c r="W596" s="18">
        <v>0</v>
      </c>
      <c r="X596" s="297">
        <v>5</v>
      </c>
      <c r="Y596" s="18">
        <v>-0.1</v>
      </c>
      <c r="Z596" s="18">
        <v>0</v>
      </c>
      <c r="AN596" s="306"/>
      <c r="AP596" s="316">
        <v>2003</v>
      </c>
      <c r="AQ596" s="18" t="s">
        <v>2183</v>
      </c>
      <c r="AR596" s="280"/>
    </row>
    <row r="597" s="18" customFormat="1" spans="1:44">
      <c r="A597" s="278">
        <v>591</v>
      </c>
      <c r="B597" s="278" t="s">
        <v>2180</v>
      </c>
      <c r="C597" s="278" t="s">
        <v>2184</v>
      </c>
      <c r="D597" s="18">
        <v>1</v>
      </c>
      <c r="E597" s="18">
        <v>0</v>
      </c>
      <c r="F597" s="278"/>
      <c r="G597" s="278">
        <v>1</v>
      </c>
      <c r="H597" s="280" t="s">
        <v>2185</v>
      </c>
      <c r="I597" s="18">
        <v>1.93333333333333</v>
      </c>
      <c r="J597" s="18">
        <v>1.93333333333333</v>
      </c>
      <c r="K597" s="278"/>
      <c r="L597" s="18">
        <v>1</v>
      </c>
      <c r="M597" s="18">
        <f t="shared" si="35"/>
        <v>1.53333333333333</v>
      </c>
      <c r="N597" s="278" t="s">
        <v>2186</v>
      </c>
      <c r="O597" s="18">
        <v>1</v>
      </c>
      <c r="P597" s="18">
        <v>1.7</v>
      </c>
      <c r="Q597" s="18">
        <v>0</v>
      </c>
      <c r="R597" s="18">
        <v>1</v>
      </c>
      <c r="S597" s="18">
        <v>1.5</v>
      </c>
      <c r="U597" s="18">
        <v>0.5</v>
      </c>
      <c r="V597" s="18">
        <v>1</v>
      </c>
      <c r="W597" s="298">
        <v>18</v>
      </c>
      <c r="X597" s="297">
        <v>4</v>
      </c>
      <c r="Y597" s="18">
        <v>-0.1</v>
      </c>
      <c r="Z597" s="18">
        <v>0</v>
      </c>
      <c r="AN597" s="306">
        <v>2007</v>
      </c>
      <c r="AO597" s="18" t="s">
        <v>2187</v>
      </c>
      <c r="AP597" s="316">
        <v>2006</v>
      </c>
      <c r="AQ597" s="18" t="s">
        <v>2183</v>
      </c>
      <c r="AR597" s="280"/>
    </row>
    <row r="598" s="18" customFormat="1" spans="1:44">
      <c r="A598" s="278">
        <v>592</v>
      </c>
      <c r="B598" s="278" t="s">
        <v>2180</v>
      </c>
      <c r="C598" s="278" t="s">
        <v>2188</v>
      </c>
      <c r="D598" s="18">
        <v>1</v>
      </c>
      <c r="E598" s="18">
        <v>0</v>
      </c>
      <c r="F598" s="278"/>
      <c r="G598" s="278">
        <v>1</v>
      </c>
      <c r="H598" s="280" t="s">
        <v>2189</v>
      </c>
      <c r="I598" s="18">
        <v>3</v>
      </c>
      <c r="J598" s="18">
        <v>3</v>
      </c>
      <c r="K598" s="278"/>
      <c r="L598" s="18">
        <v>1</v>
      </c>
      <c r="M598" s="18">
        <f t="shared" si="35"/>
        <v>2.6</v>
      </c>
      <c r="N598" s="278" t="s">
        <v>2190</v>
      </c>
      <c r="O598" s="18">
        <v>1</v>
      </c>
      <c r="P598" s="18">
        <v>1.7</v>
      </c>
      <c r="Q598" s="18">
        <v>0</v>
      </c>
      <c r="S598" s="18">
        <v>3</v>
      </c>
      <c r="U598" s="18">
        <v>0.7</v>
      </c>
      <c r="V598" s="18">
        <v>1</v>
      </c>
      <c r="W598" s="18">
        <v>0</v>
      </c>
      <c r="X598" s="297">
        <v>3</v>
      </c>
      <c r="Y598" s="18">
        <v>-0.1</v>
      </c>
      <c r="Z598" s="18">
        <v>0</v>
      </c>
      <c r="AN598" s="306" t="s">
        <v>2191</v>
      </c>
      <c r="AO598" s="18" t="s">
        <v>2192</v>
      </c>
      <c r="AP598" s="316">
        <v>2012</v>
      </c>
      <c r="AQ598" s="18" t="s">
        <v>2183</v>
      </c>
      <c r="AR598" s="280"/>
    </row>
    <row r="599" s="18" customFormat="1" spans="1:44">
      <c r="A599" s="278">
        <v>593</v>
      </c>
      <c r="B599" s="278" t="s">
        <v>2180</v>
      </c>
      <c r="C599" s="278" t="s">
        <v>2193</v>
      </c>
      <c r="D599" s="18">
        <v>1</v>
      </c>
      <c r="E599" s="18">
        <v>0</v>
      </c>
      <c r="F599" s="278"/>
      <c r="G599" s="278">
        <v>1</v>
      </c>
      <c r="H599" s="280" t="s">
        <v>2194</v>
      </c>
      <c r="I599" s="18">
        <v>2.5</v>
      </c>
      <c r="J599" s="18">
        <v>2.5</v>
      </c>
      <c r="K599" s="278"/>
      <c r="L599" s="18">
        <v>1</v>
      </c>
      <c r="M599" s="18">
        <f t="shared" si="35"/>
        <v>2.1</v>
      </c>
      <c r="N599" s="272" t="s">
        <v>2195</v>
      </c>
      <c r="O599" s="18">
        <v>1</v>
      </c>
      <c r="P599" s="18">
        <v>1.7</v>
      </c>
      <c r="Q599" s="18">
        <v>0</v>
      </c>
      <c r="R599" s="18">
        <v>1</v>
      </c>
      <c r="S599" s="18">
        <v>-1.7</v>
      </c>
      <c r="T599" s="18">
        <v>0.8</v>
      </c>
      <c r="U599" s="18">
        <v>0.8</v>
      </c>
      <c r="V599" s="18">
        <v>1</v>
      </c>
      <c r="W599" s="18">
        <v>6</v>
      </c>
      <c r="X599" s="297">
        <v>6</v>
      </c>
      <c r="Y599" s="18">
        <v>-0.1</v>
      </c>
      <c r="Z599" s="18">
        <v>0</v>
      </c>
      <c r="AN599" s="306"/>
      <c r="AP599" s="316">
        <v>2019</v>
      </c>
      <c r="AQ599" s="18" t="s">
        <v>2183</v>
      </c>
      <c r="AR599" s="280"/>
    </row>
    <row r="600" s="18" customFormat="1" spans="1:44">
      <c r="A600" s="278">
        <v>594</v>
      </c>
      <c r="B600" s="278" t="s">
        <v>2180</v>
      </c>
      <c r="C600" s="278" t="s">
        <v>2196</v>
      </c>
      <c r="D600" s="18">
        <v>1</v>
      </c>
      <c r="E600" s="18">
        <v>0</v>
      </c>
      <c r="F600" s="278"/>
      <c r="G600" s="278">
        <v>1</v>
      </c>
      <c r="H600" s="280" t="s">
        <v>2197</v>
      </c>
      <c r="I600" s="18">
        <f>185/30</f>
        <v>6.16666666666667</v>
      </c>
      <c r="J600" s="18">
        <f>185/30</f>
        <v>6.16666666666667</v>
      </c>
      <c r="K600" s="278"/>
      <c r="L600" s="18">
        <v>1</v>
      </c>
      <c r="M600" s="18">
        <f t="shared" si="35"/>
        <v>5.76666666666667</v>
      </c>
      <c r="N600" s="278" t="s">
        <v>2198</v>
      </c>
      <c r="O600" s="18">
        <v>1</v>
      </c>
      <c r="P600" s="18">
        <v>1.7</v>
      </c>
      <c r="Q600" s="18">
        <v>0</v>
      </c>
      <c r="V600" s="18">
        <v>1</v>
      </c>
      <c r="W600" s="18">
        <v>0</v>
      </c>
      <c r="X600" s="297">
        <v>4</v>
      </c>
      <c r="Y600" s="18">
        <v>-0.1</v>
      </c>
      <c r="Z600" s="18">
        <v>0</v>
      </c>
      <c r="AB600" s="18">
        <v>6</v>
      </c>
      <c r="AC600" s="18">
        <v>1</v>
      </c>
      <c r="AD600" s="18">
        <v>1</v>
      </c>
      <c r="AE600" s="18" t="s">
        <v>2199</v>
      </c>
      <c r="AF600" s="18">
        <v>0.5</v>
      </c>
      <c r="AN600" s="306"/>
      <c r="AP600" s="316">
        <v>2021</v>
      </c>
      <c r="AQ600" s="18" t="s">
        <v>2183</v>
      </c>
      <c r="AR600" s="280"/>
    </row>
    <row r="601" s="18" customFormat="1" spans="1:44">
      <c r="A601" s="278">
        <v>595</v>
      </c>
      <c r="B601" s="278" t="s">
        <v>2180</v>
      </c>
      <c r="C601" s="278" t="s">
        <v>2200</v>
      </c>
      <c r="D601" s="18">
        <v>1</v>
      </c>
      <c r="E601" s="18">
        <v>0</v>
      </c>
      <c r="F601" s="278"/>
      <c r="G601" s="278">
        <v>1</v>
      </c>
      <c r="H601" s="280" t="s">
        <v>2201</v>
      </c>
      <c r="I601" s="18">
        <v>8.36666666666667</v>
      </c>
      <c r="J601" s="18">
        <v>8.36666666666667</v>
      </c>
      <c r="K601" s="278"/>
      <c r="L601" s="18">
        <v>1</v>
      </c>
      <c r="M601" s="18">
        <f t="shared" si="35"/>
        <v>7.96666666666667</v>
      </c>
      <c r="N601" s="292" t="s">
        <v>2202</v>
      </c>
      <c r="O601" s="18">
        <v>3</v>
      </c>
      <c r="P601" s="18">
        <v>-9.5</v>
      </c>
      <c r="Q601" s="18">
        <v>0</v>
      </c>
      <c r="V601" s="18">
        <v>1</v>
      </c>
      <c r="W601" s="18">
        <v>6</v>
      </c>
      <c r="X601" s="297">
        <v>9</v>
      </c>
      <c r="Y601" s="18">
        <v>-0.1</v>
      </c>
      <c r="Z601" s="18">
        <v>0</v>
      </c>
      <c r="AB601" s="18">
        <v>8.1</v>
      </c>
      <c r="AC601" s="18">
        <v>1</v>
      </c>
      <c r="AD601" s="18">
        <v>1</v>
      </c>
      <c r="AE601" s="18" t="s">
        <v>2203</v>
      </c>
      <c r="AF601" s="18">
        <v>0.5</v>
      </c>
      <c r="AN601" s="306"/>
      <c r="AP601" s="316">
        <v>2022</v>
      </c>
      <c r="AQ601" s="18" t="s">
        <v>136</v>
      </c>
      <c r="AR601" s="280"/>
    </row>
    <row r="602" s="18" customFormat="1" spans="1:44">
      <c r="A602" s="278">
        <v>596</v>
      </c>
      <c r="B602" s="278" t="s">
        <v>2180</v>
      </c>
      <c r="C602" s="278" t="s">
        <v>2204</v>
      </c>
      <c r="D602" s="18">
        <v>1</v>
      </c>
      <c r="E602" s="18">
        <v>0</v>
      </c>
      <c r="F602" s="278"/>
      <c r="G602" s="278">
        <v>1</v>
      </c>
      <c r="H602" s="280" t="s">
        <v>2205</v>
      </c>
      <c r="I602" s="18">
        <v>2.73333333333333</v>
      </c>
      <c r="J602" s="18">
        <v>2.73333333333333</v>
      </c>
      <c r="K602" s="278"/>
      <c r="L602" s="18">
        <v>0</v>
      </c>
      <c r="M602" s="18">
        <f t="shared" si="35"/>
        <v>2.33333333333333</v>
      </c>
      <c r="N602" s="292" t="s">
        <v>2206</v>
      </c>
      <c r="O602" s="18">
        <v>1</v>
      </c>
      <c r="P602" s="18">
        <v>2.5</v>
      </c>
      <c r="Q602" s="18">
        <v>0</v>
      </c>
      <c r="S602" s="18">
        <v>1.5</v>
      </c>
      <c r="U602" s="18">
        <v>0.7</v>
      </c>
      <c r="V602" s="298">
        <v>6</v>
      </c>
      <c r="W602" s="18">
        <v>0</v>
      </c>
      <c r="X602" s="297">
        <v>3</v>
      </c>
      <c r="Y602" s="18">
        <v>-0.1</v>
      </c>
      <c r="Z602" s="18">
        <v>0</v>
      </c>
      <c r="AN602" s="306"/>
      <c r="AP602" s="316">
        <v>2031</v>
      </c>
      <c r="AQ602" s="18" t="s">
        <v>2183</v>
      </c>
      <c r="AR602" s="280"/>
    </row>
    <row r="603" s="18" customFormat="1" spans="1:44">
      <c r="A603" s="278">
        <v>597</v>
      </c>
      <c r="B603" s="278" t="s">
        <v>2180</v>
      </c>
      <c r="C603" s="278" t="s">
        <v>2207</v>
      </c>
      <c r="D603" s="18">
        <v>1</v>
      </c>
      <c r="E603" s="18">
        <v>0</v>
      </c>
      <c r="F603" s="278"/>
      <c r="G603" s="278">
        <v>1</v>
      </c>
      <c r="H603" s="280" t="s">
        <v>2208</v>
      </c>
      <c r="I603" s="18">
        <v>1.86666666666667</v>
      </c>
      <c r="J603" s="18">
        <v>1.86666666666667</v>
      </c>
      <c r="K603" s="278"/>
      <c r="L603" s="18">
        <v>1</v>
      </c>
      <c r="M603" s="18">
        <f t="shared" si="35"/>
        <v>1.46666666666667</v>
      </c>
      <c r="N603" s="292" t="s">
        <v>2209</v>
      </c>
      <c r="O603" s="18">
        <v>1</v>
      </c>
      <c r="P603" s="18">
        <v>2.5</v>
      </c>
      <c r="Q603" s="18">
        <v>0</v>
      </c>
      <c r="S603" s="18">
        <v>1.5</v>
      </c>
      <c r="U603" s="18">
        <v>0.7</v>
      </c>
      <c r="V603" s="298">
        <v>6</v>
      </c>
      <c r="W603" s="18">
        <v>0</v>
      </c>
      <c r="X603" s="297">
        <v>3</v>
      </c>
      <c r="Y603" s="18">
        <v>-0.1</v>
      </c>
      <c r="Z603" s="18">
        <v>0</v>
      </c>
      <c r="AN603" s="306"/>
      <c r="AP603" s="316">
        <v>2033</v>
      </c>
      <c r="AQ603" s="18" t="s">
        <v>2183</v>
      </c>
      <c r="AR603" s="280"/>
    </row>
    <row r="604" s="18" customFormat="1" spans="1:44">
      <c r="A604" s="278">
        <v>598</v>
      </c>
      <c r="B604" s="278" t="s">
        <v>2180</v>
      </c>
      <c r="C604" s="278" t="s">
        <v>2210</v>
      </c>
      <c r="D604" s="18">
        <v>1</v>
      </c>
      <c r="E604" s="18">
        <v>0</v>
      </c>
      <c r="F604" s="278"/>
      <c r="G604" s="278">
        <v>1</v>
      </c>
      <c r="H604" s="280" t="s">
        <v>2211</v>
      </c>
      <c r="I604" s="18">
        <v>11</v>
      </c>
      <c r="J604" s="18">
        <v>11</v>
      </c>
      <c r="K604" s="278"/>
      <c r="L604" s="18">
        <v>1</v>
      </c>
      <c r="M604" s="18">
        <f t="shared" si="35"/>
        <v>10.6</v>
      </c>
      <c r="N604" s="278" t="s">
        <v>2212</v>
      </c>
      <c r="O604" s="18">
        <v>1</v>
      </c>
      <c r="P604" s="18">
        <v>2.5</v>
      </c>
      <c r="Q604" s="18">
        <v>0</v>
      </c>
      <c r="V604" s="298">
        <v>6</v>
      </c>
      <c r="W604" s="18">
        <v>0</v>
      </c>
      <c r="X604" s="297">
        <v>3</v>
      </c>
      <c r="Y604" s="18">
        <v>-0.1</v>
      </c>
      <c r="Z604" s="18">
        <v>0</v>
      </c>
      <c r="AB604" s="18">
        <v>10.7</v>
      </c>
      <c r="AC604" s="18">
        <v>2</v>
      </c>
      <c r="AD604" s="18">
        <v>1</v>
      </c>
      <c r="AE604" s="18" t="s">
        <v>2213</v>
      </c>
      <c r="AF604" s="18">
        <v>0.5</v>
      </c>
      <c r="AN604" s="306">
        <v>2049</v>
      </c>
      <c r="AO604" s="18" t="s">
        <v>1695</v>
      </c>
      <c r="AP604" s="316">
        <v>2048</v>
      </c>
      <c r="AQ604" s="18" t="s">
        <v>2183</v>
      </c>
      <c r="AR604" s="280"/>
    </row>
    <row r="605" s="33" customFormat="1" spans="1:44">
      <c r="A605" s="281">
        <v>599</v>
      </c>
      <c r="B605" s="281" t="s">
        <v>2214</v>
      </c>
      <c r="C605" s="281" t="s">
        <v>526</v>
      </c>
      <c r="D605" s="33">
        <v>1</v>
      </c>
      <c r="E605" s="33">
        <v>0</v>
      </c>
      <c r="F605" s="281"/>
      <c r="G605" s="281">
        <v>1</v>
      </c>
      <c r="H605" s="282" t="s">
        <v>2215</v>
      </c>
      <c r="I605" s="33">
        <f>90/30</f>
        <v>3</v>
      </c>
      <c r="J605" s="33">
        <f>90/30</f>
        <v>3</v>
      </c>
      <c r="K605" s="281"/>
      <c r="L605" s="33">
        <v>0</v>
      </c>
      <c r="M605" s="33">
        <f t="shared" si="35"/>
        <v>2.6</v>
      </c>
      <c r="N605" s="293" t="s">
        <v>2216</v>
      </c>
      <c r="O605" s="33">
        <v>1</v>
      </c>
      <c r="P605" s="33">
        <v>2.4</v>
      </c>
      <c r="Q605" s="33">
        <v>0</v>
      </c>
      <c r="S605" s="33">
        <v>0.8</v>
      </c>
      <c r="T605" s="33">
        <v>0.5</v>
      </c>
      <c r="U605" s="33">
        <v>0.5</v>
      </c>
      <c r="V605" s="33">
        <v>1</v>
      </c>
      <c r="W605" s="33">
        <v>0</v>
      </c>
      <c r="X605" s="299">
        <v>3</v>
      </c>
      <c r="Y605" s="33">
        <v>-0.1</v>
      </c>
      <c r="Z605" s="33">
        <v>0</v>
      </c>
      <c r="AN605" s="307"/>
      <c r="AP605" s="317">
        <v>2085</v>
      </c>
      <c r="AQ605" s="281" t="s">
        <v>136</v>
      </c>
      <c r="AR605" s="318"/>
    </row>
    <row r="606" s="33" customFormat="1" spans="1:44">
      <c r="A606" s="281">
        <v>600</v>
      </c>
      <c r="B606" s="281" t="s">
        <v>2214</v>
      </c>
      <c r="C606" s="281" t="s">
        <v>2217</v>
      </c>
      <c r="D606" s="33">
        <v>1</v>
      </c>
      <c r="E606" s="33">
        <v>0</v>
      </c>
      <c r="F606" s="281"/>
      <c r="G606" s="281">
        <v>1</v>
      </c>
      <c r="H606" s="282" t="s">
        <v>2218</v>
      </c>
      <c r="I606" s="33">
        <f>97/30</f>
        <v>3.23333333333333</v>
      </c>
      <c r="J606" s="33">
        <f>97/30</f>
        <v>3.23333333333333</v>
      </c>
      <c r="K606" s="281"/>
      <c r="L606" s="33">
        <v>1</v>
      </c>
      <c r="M606" s="33">
        <f t="shared" si="35"/>
        <v>2.83333333333333</v>
      </c>
      <c r="N606" s="293" t="s">
        <v>2219</v>
      </c>
      <c r="O606" s="33">
        <v>1</v>
      </c>
      <c r="P606" s="33">
        <v>2.4</v>
      </c>
      <c r="Q606" s="33">
        <v>0</v>
      </c>
      <c r="S606" s="33">
        <v>1.5</v>
      </c>
      <c r="T606" s="33">
        <v>0.5</v>
      </c>
      <c r="U606" s="33">
        <v>0.5</v>
      </c>
      <c r="V606" s="33">
        <v>1</v>
      </c>
      <c r="W606" s="33">
        <v>0</v>
      </c>
      <c r="X606" s="299">
        <v>5</v>
      </c>
      <c r="Y606" s="33">
        <v>-0.1</v>
      </c>
      <c r="Z606" s="33">
        <v>0</v>
      </c>
      <c r="AN606" s="307"/>
      <c r="AP606" s="317">
        <v>2088</v>
      </c>
      <c r="AQ606" s="281" t="s">
        <v>136</v>
      </c>
      <c r="AR606" s="318"/>
    </row>
    <row r="607" s="33" customFormat="1" spans="1:44">
      <c r="A607" s="281">
        <v>601</v>
      </c>
      <c r="B607" s="281" t="s">
        <v>2214</v>
      </c>
      <c r="C607" s="281" t="s">
        <v>2220</v>
      </c>
      <c r="D607" s="33">
        <v>1</v>
      </c>
      <c r="E607" s="33">
        <v>0</v>
      </c>
      <c r="F607" s="281"/>
      <c r="G607" s="281">
        <v>1</v>
      </c>
      <c r="H607" s="282" t="s">
        <v>2221</v>
      </c>
      <c r="I607" s="33">
        <f>80/30</f>
        <v>2.66666666666667</v>
      </c>
      <c r="J607" s="33">
        <f>80/30</f>
        <v>2.66666666666667</v>
      </c>
      <c r="K607" s="281"/>
      <c r="L607" s="33">
        <v>1</v>
      </c>
      <c r="M607" s="33">
        <f t="shared" si="35"/>
        <v>2.26666666666667</v>
      </c>
      <c r="N607" s="293" t="s">
        <v>2222</v>
      </c>
      <c r="O607" s="33">
        <v>1</v>
      </c>
      <c r="P607" s="33">
        <v>2.4</v>
      </c>
      <c r="Q607" s="33">
        <v>0</v>
      </c>
      <c r="R607" s="33">
        <v>1</v>
      </c>
      <c r="S607" s="33">
        <v>0.8</v>
      </c>
      <c r="T607" s="33">
        <v>0.5</v>
      </c>
      <c r="U607" s="33">
        <v>0.5</v>
      </c>
      <c r="V607" s="33">
        <v>1</v>
      </c>
      <c r="W607" s="33">
        <v>0</v>
      </c>
      <c r="X607" s="299">
        <v>4</v>
      </c>
      <c r="Y607" s="33">
        <v>-0.1</v>
      </c>
      <c r="Z607" s="33">
        <v>0</v>
      </c>
      <c r="AN607" s="307"/>
      <c r="AP607" s="317">
        <v>2090</v>
      </c>
      <c r="AQ607" s="281" t="s">
        <v>136</v>
      </c>
      <c r="AR607" s="318"/>
    </row>
    <row r="608" s="33" customFormat="1" spans="1:44">
      <c r="A608" s="281">
        <v>602</v>
      </c>
      <c r="B608" s="281" t="s">
        <v>2214</v>
      </c>
      <c r="C608" s="281" t="s">
        <v>2223</v>
      </c>
      <c r="D608" s="33">
        <v>1</v>
      </c>
      <c r="E608" s="33">
        <v>0</v>
      </c>
      <c r="F608" s="281"/>
      <c r="G608" s="281">
        <v>1</v>
      </c>
      <c r="H608" s="282" t="s">
        <v>2224</v>
      </c>
      <c r="I608" s="33">
        <f>74/30</f>
        <v>2.46666666666667</v>
      </c>
      <c r="J608" s="33">
        <f>74/30</f>
        <v>2.46666666666667</v>
      </c>
      <c r="K608" s="281"/>
      <c r="L608" s="33">
        <v>1</v>
      </c>
      <c r="M608" s="33">
        <f t="shared" si="35"/>
        <v>2.06666666666667</v>
      </c>
      <c r="N608" s="293" t="s">
        <v>2225</v>
      </c>
      <c r="O608" s="33">
        <v>1</v>
      </c>
      <c r="P608" s="33">
        <v>2.4</v>
      </c>
      <c r="Q608" s="33">
        <v>0</v>
      </c>
      <c r="S608" s="33">
        <v>0.8</v>
      </c>
      <c r="T608" s="33">
        <v>0.5</v>
      </c>
      <c r="U608" s="33">
        <v>0.5</v>
      </c>
      <c r="V608" s="33">
        <v>1</v>
      </c>
      <c r="W608" s="33">
        <v>4</v>
      </c>
      <c r="X608" s="299">
        <v>2</v>
      </c>
      <c r="Y608" s="33">
        <v>-0.1</v>
      </c>
      <c r="Z608" s="33">
        <v>0</v>
      </c>
      <c r="AN608" s="307"/>
      <c r="AP608" s="317">
        <v>2093</v>
      </c>
      <c r="AQ608" s="281" t="s">
        <v>136</v>
      </c>
      <c r="AR608" s="318"/>
    </row>
    <row r="609" s="33" customFormat="1" spans="1:44">
      <c r="A609" s="281">
        <v>603</v>
      </c>
      <c r="B609" s="281" t="s">
        <v>2214</v>
      </c>
      <c r="C609" s="281" t="s">
        <v>2226</v>
      </c>
      <c r="D609" s="33">
        <v>1</v>
      </c>
      <c r="E609" s="33">
        <v>0</v>
      </c>
      <c r="F609" s="281"/>
      <c r="G609" s="281">
        <v>1</v>
      </c>
      <c r="H609" s="282" t="s">
        <v>2227</v>
      </c>
      <c r="I609" s="33">
        <f>85/30</f>
        <v>2.83333333333333</v>
      </c>
      <c r="J609" s="33">
        <f>85/30</f>
        <v>2.83333333333333</v>
      </c>
      <c r="K609" s="281"/>
      <c r="L609" s="33">
        <v>1</v>
      </c>
      <c r="M609" s="33">
        <f t="shared" si="35"/>
        <v>2.43333333333333</v>
      </c>
      <c r="N609" s="293" t="s">
        <v>2228</v>
      </c>
      <c r="O609" s="33">
        <v>1</v>
      </c>
      <c r="P609" s="33">
        <v>2.4</v>
      </c>
      <c r="Q609" s="33">
        <v>0</v>
      </c>
      <c r="S609" s="33">
        <v>0.8</v>
      </c>
      <c r="T609" s="33">
        <v>0.5</v>
      </c>
      <c r="U609" s="33">
        <v>0.5</v>
      </c>
      <c r="V609" s="33">
        <v>1</v>
      </c>
      <c r="W609" s="33">
        <v>6</v>
      </c>
      <c r="X609" s="299">
        <v>3</v>
      </c>
      <c r="Y609" s="33">
        <v>-0.1</v>
      </c>
      <c r="Z609" s="33">
        <v>0</v>
      </c>
      <c r="AN609" s="307" t="s">
        <v>2229</v>
      </c>
      <c r="AO609" s="33" t="s">
        <v>2230</v>
      </c>
      <c r="AP609" s="317">
        <v>2095</v>
      </c>
      <c r="AQ609" s="281" t="s">
        <v>136</v>
      </c>
      <c r="AR609" s="318"/>
    </row>
    <row r="610" s="33" customFormat="1" spans="1:44">
      <c r="A610" s="281">
        <v>604</v>
      </c>
      <c r="B610" s="281" t="s">
        <v>2214</v>
      </c>
      <c r="C610" s="281" t="s">
        <v>2231</v>
      </c>
      <c r="D610" s="33">
        <v>1</v>
      </c>
      <c r="E610" s="33">
        <v>0</v>
      </c>
      <c r="F610" s="281"/>
      <c r="G610" s="281">
        <v>1</v>
      </c>
      <c r="H610" s="282" t="s">
        <v>2232</v>
      </c>
      <c r="I610" s="33">
        <f>209/30</f>
        <v>6.96666666666667</v>
      </c>
      <c r="J610" s="33">
        <f>209/30</f>
        <v>6.96666666666667</v>
      </c>
      <c r="K610" s="281"/>
      <c r="L610" s="33">
        <v>1</v>
      </c>
      <c r="M610" s="33">
        <f t="shared" si="35"/>
        <v>6.56666666666667</v>
      </c>
      <c r="N610" s="293" t="s">
        <v>2233</v>
      </c>
      <c r="O610" s="33">
        <v>1</v>
      </c>
      <c r="P610" s="33">
        <v>2.4</v>
      </c>
      <c r="Q610" s="33">
        <v>0</v>
      </c>
      <c r="V610" s="33">
        <v>1</v>
      </c>
      <c r="W610" s="33">
        <v>0</v>
      </c>
      <c r="X610" s="299">
        <v>5</v>
      </c>
      <c r="Y610" s="33">
        <v>-0.1</v>
      </c>
      <c r="Z610" s="33">
        <v>0</v>
      </c>
      <c r="AB610" s="33">
        <v>6.8</v>
      </c>
      <c r="AC610" s="33">
        <v>2</v>
      </c>
      <c r="AD610" s="33">
        <v>1</v>
      </c>
      <c r="AE610" s="33" t="s">
        <v>2234</v>
      </c>
      <c r="AF610" s="33">
        <v>0.5</v>
      </c>
      <c r="AN610" s="307"/>
      <c r="AP610" s="317">
        <v>2097</v>
      </c>
      <c r="AQ610" s="281" t="s">
        <v>136</v>
      </c>
      <c r="AR610" s="318" t="s">
        <v>1740</v>
      </c>
    </row>
    <row r="611" s="33" customFormat="1" spans="1:44">
      <c r="A611" s="281">
        <v>605</v>
      </c>
      <c r="B611" s="281" t="s">
        <v>2214</v>
      </c>
      <c r="C611" s="281" t="s">
        <v>2235</v>
      </c>
      <c r="D611" s="33">
        <v>1</v>
      </c>
      <c r="E611" s="33">
        <v>0</v>
      </c>
      <c r="F611" s="281"/>
      <c r="G611" s="281">
        <v>1</v>
      </c>
      <c r="H611" s="282" t="s">
        <v>2236</v>
      </c>
      <c r="I611" s="33">
        <f>209/30</f>
        <v>6.96666666666667</v>
      </c>
      <c r="J611" s="33">
        <f>209/30</f>
        <v>6.96666666666667</v>
      </c>
      <c r="K611" s="281"/>
      <c r="L611" s="33">
        <v>1</v>
      </c>
      <c r="M611" s="33">
        <f t="shared" si="35"/>
        <v>6.56666666666667</v>
      </c>
      <c r="N611" s="293" t="s">
        <v>2237</v>
      </c>
      <c r="O611" s="33">
        <v>1</v>
      </c>
      <c r="P611" s="33">
        <v>9</v>
      </c>
      <c r="Q611" s="33">
        <v>0</v>
      </c>
      <c r="V611" s="33">
        <v>1</v>
      </c>
      <c r="W611" s="33">
        <v>0</v>
      </c>
      <c r="X611" s="299">
        <v>8</v>
      </c>
      <c r="Y611" s="33">
        <v>-0.1</v>
      </c>
      <c r="Z611" s="33">
        <v>0</v>
      </c>
      <c r="AB611" s="33">
        <v>6.66666666666667</v>
      </c>
      <c r="AC611" s="33">
        <v>2</v>
      </c>
      <c r="AD611" s="33">
        <v>1</v>
      </c>
      <c r="AE611" s="33" t="s">
        <v>2238</v>
      </c>
      <c r="AF611" s="33">
        <v>0.5</v>
      </c>
      <c r="AN611" s="307"/>
      <c r="AP611" s="317">
        <v>2098</v>
      </c>
      <c r="AQ611" s="281" t="s">
        <v>136</v>
      </c>
      <c r="AR611" s="318" t="s">
        <v>1740</v>
      </c>
    </row>
    <row r="612" s="33" customFormat="1" spans="1:44">
      <c r="A612" s="281">
        <v>606</v>
      </c>
      <c r="B612" s="281" t="s">
        <v>2214</v>
      </c>
      <c r="C612" s="281" t="s">
        <v>2239</v>
      </c>
      <c r="D612" s="33">
        <v>1</v>
      </c>
      <c r="E612" s="33">
        <v>0</v>
      </c>
      <c r="F612" s="281"/>
      <c r="G612" s="281">
        <v>1</v>
      </c>
      <c r="H612" s="282" t="s">
        <v>2240</v>
      </c>
      <c r="I612" s="33">
        <f>230/30</f>
        <v>7.66666666666667</v>
      </c>
      <c r="J612" s="33">
        <f>230/30</f>
        <v>7.66666666666667</v>
      </c>
      <c r="K612" s="281"/>
      <c r="L612" s="33">
        <v>1</v>
      </c>
      <c r="M612" s="33">
        <f t="shared" si="35"/>
        <v>7.26666666666667</v>
      </c>
      <c r="N612" s="293" t="s">
        <v>2241</v>
      </c>
      <c r="O612" s="33">
        <v>1</v>
      </c>
      <c r="P612" s="33">
        <v>2.4</v>
      </c>
      <c r="Q612" s="33">
        <v>0</v>
      </c>
      <c r="V612" s="33">
        <v>1</v>
      </c>
      <c r="W612" s="33">
        <v>0</v>
      </c>
      <c r="X612" s="299">
        <v>8</v>
      </c>
      <c r="Y612" s="33">
        <v>-0.1</v>
      </c>
      <c r="Z612" s="33">
        <v>0</v>
      </c>
      <c r="AB612" s="33">
        <v>7.36666666666667</v>
      </c>
      <c r="AC612" s="33">
        <v>2</v>
      </c>
      <c r="AD612" s="33">
        <v>1</v>
      </c>
      <c r="AE612" s="33" t="s">
        <v>2242</v>
      </c>
      <c r="AF612" s="33">
        <v>0.5</v>
      </c>
      <c r="AN612" s="307"/>
      <c r="AP612" s="317">
        <v>2099</v>
      </c>
      <c r="AQ612" s="281" t="s">
        <v>136</v>
      </c>
      <c r="AR612" s="318" t="s">
        <v>1740</v>
      </c>
    </row>
    <row r="613" s="34" customFormat="1" spans="1:44">
      <c r="A613" s="283">
        <v>607</v>
      </c>
      <c r="B613" s="283" t="s">
        <v>2243</v>
      </c>
      <c r="C613" s="283" t="s">
        <v>2244</v>
      </c>
      <c r="D613" s="34">
        <v>1</v>
      </c>
      <c r="E613" s="34">
        <v>0</v>
      </c>
      <c r="F613" s="283"/>
      <c r="G613" s="283">
        <v>1</v>
      </c>
      <c r="H613" s="284" t="s">
        <v>2245</v>
      </c>
      <c r="I613" s="34">
        <v>2.8</v>
      </c>
      <c r="J613" s="34">
        <v>2.8</v>
      </c>
      <c r="K613" s="283"/>
      <c r="L613" s="34">
        <v>0</v>
      </c>
      <c r="M613" s="34">
        <f t="shared" si="35"/>
        <v>2.4</v>
      </c>
      <c r="N613" s="294" t="s">
        <v>2246</v>
      </c>
      <c r="O613" s="34">
        <v>1</v>
      </c>
      <c r="P613" s="34">
        <v>2.5</v>
      </c>
      <c r="Q613" s="34">
        <v>0</v>
      </c>
      <c r="S613" s="34">
        <v>1</v>
      </c>
      <c r="T613" s="34">
        <v>0.5</v>
      </c>
      <c r="U613" s="34">
        <v>0.5</v>
      </c>
      <c r="V613" s="34">
        <v>1</v>
      </c>
      <c r="W613" s="34">
        <v>0</v>
      </c>
      <c r="X613" s="300">
        <v>3</v>
      </c>
      <c r="Y613" s="34">
        <v>-0.1</v>
      </c>
      <c r="Z613" s="34">
        <v>0</v>
      </c>
      <c r="AN613" s="308"/>
      <c r="AP613" s="319">
        <v>2063</v>
      </c>
      <c r="AQ613" s="283" t="s">
        <v>136</v>
      </c>
      <c r="AR613" s="320"/>
    </row>
    <row r="614" s="34" customFormat="1" spans="1:44">
      <c r="A614" s="283">
        <v>608</v>
      </c>
      <c r="B614" s="283" t="s">
        <v>2243</v>
      </c>
      <c r="C614" s="283" t="s">
        <v>2247</v>
      </c>
      <c r="D614" s="34">
        <v>1</v>
      </c>
      <c r="E614" s="34">
        <v>0</v>
      </c>
      <c r="F614" s="283"/>
      <c r="G614" s="283">
        <v>1</v>
      </c>
      <c r="H614" s="284" t="s">
        <v>2248</v>
      </c>
      <c r="I614" s="34">
        <v>3.1</v>
      </c>
      <c r="J614" s="34">
        <v>3.1</v>
      </c>
      <c r="K614" s="283"/>
      <c r="L614" s="34">
        <v>1</v>
      </c>
      <c r="M614" s="34">
        <f t="shared" si="35"/>
        <v>2.7</v>
      </c>
      <c r="N614" s="294" t="s">
        <v>2249</v>
      </c>
      <c r="O614" s="34">
        <v>1</v>
      </c>
      <c r="P614" s="34">
        <v>2.5</v>
      </c>
      <c r="Q614" s="34">
        <v>0</v>
      </c>
      <c r="S614" s="34">
        <v>1</v>
      </c>
      <c r="T614" s="34">
        <v>0.5</v>
      </c>
      <c r="U614" s="34">
        <v>0.5</v>
      </c>
      <c r="V614" s="34">
        <v>1</v>
      </c>
      <c r="W614" s="34">
        <v>7</v>
      </c>
      <c r="X614" s="300">
        <v>3</v>
      </c>
      <c r="Y614" s="34">
        <v>-0.1</v>
      </c>
      <c r="Z614" s="34">
        <v>0</v>
      </c>
      <c r="AN614" s="308"/>
      <c r="AP614" s="319">
        <v>2066</v>
      </c>
      <c r="AQ614" s="283" t="s">
        <v>136</v>
      </c>
      <c r="AR614" s="320"/>
    </row>
    <row r="615" s="34" customFormat="1" spans="1:44">
      <c r="A615" s="283">
        <v>609</v>
      </c>
      <c r="B615" s="283" t="s">
        <v>2243</v>
      </c>
      <c r="C615" s="283" t="s">
        <v>2250</v>
      </c>
      <c r="D615" s="34">
        <v>1</v>
      </c>
      <c r="E615" s="34">
        <v>0</v>
      </c>
      <c r="F615" s="283"/>
      <c r="G615" s="283">
        <v>1</v>
      </c>
      <c r="H615" s="284" t="s">
        <v>2251</v>
      </c>
      <c r="I615" s="34">
        <v>3.76666666666667</v>
      </c>
      <c r="J615" s="34">
        <v>3.76666666666667</v>
      </c>
      <c r="K615" s="283"/>
      <c r="L615" s="34">
        <v>1</v>
      </c>
      <c r="M615" s="34">
        <f t="shared" si="35"/>
        <v>3.36666666666667</v>
      </c>
      <c r="N615" s="294" t="s">
        <v>2252</v>
      </c>
      <c r="O615" s="34">
        <v>1</v>
      </c>
      <c r="P615" s="34">
        <v>2.5</v>
      </c>
      <c r="Q615" s="34">
        <v>0</v>
      </c>
      <c r="S615" s="34">
        <v>1</v>
      </c>
      <c r="T615" s="34">
        <v>0.5</v>
      </c>
      <c r="U615" s="34">
        <v>0.5</v>
      </c>
      <c r="V615" s="34">
        <v>1</v>
      </c>
      <c r="W615" s="34">
        <v>0</v>
      </c>
      <c r="X615" s="300">
        <v>3</v>
      </c>
      <c r="Y615" s="34">
        <v>-0.1</v>
      </c>
      <c r="Z615" s="34">
        <v>0</v>
      </c>
      <c r="AN615" s="308"/>
      <c r="AP615" s="319">
        <v>2068</v>
      </c>
      <c r="AQ615" s="283" t="s">
        <v>136</v>
      </c>
      <c r="AR615" s="320"/>
    </row>
    <row r="616" s="34" customFormat="1" spans="1:44">
      <c r="A616" s="283">
        <v>610</v>
      </c>
      <c r="B616" s="283" t="s">
        <v>2243</v>
      </c>
      <c r="C616" s="283" t="s">
        <v>2253</v>
      </c>
      <c r="D616" s="34">
        <v>1</v>
      </c>
      <c r="E616" s="34">
        <v>0</v>
      </c>
      <c r="F616" s="283"/>
      <c r="G616" s="283">
        <v>1</v>
      </c>
      <c r="H616" s="284" t="s">
        <v>2254</v>
      </c>
      <c r="I616" s="34">
        <v>5.2</v>
      </c>
      <c r="J616" s="34">
        <v>5.2</v>
      </c>
      <c r="K616" s="283"/>
      <c r="L616" s="34">
        <v>1</v>
      </c>
      <c r="M616" s="34">
        <f t="shared" si="35"/>
        <v>4.8</v>
      </c>
      <c r="N616" s="294" t="s">
        <v>2255</v>
      </c>
      <c r="O616" s="34">
        <v>1</v>
      </c>
      <c r="P616" s="34">
        <v>2.5</v>
      </c>
      <c r="Q616" s="34">
        <v>0</v>
      </c>
      <c r="S616" s="34">
        <v>1</v>
      </c>
      <c r="T616" s="34">
        <v>0.5</v>
      </c>
      <c r="U616" s="34">
        <v>0.5</v>
      </c>
      <c r="V616" s="34">
        <v>1</v>
      </c>
      <c r="W616" s="34">
        <v>13</v>
      </c>
      <c r="X616" s="300">
        <v>10</v>
      </c>
      <c r="Y616" s="34">
        <v>-0.1</v>
      </c>
      <c r="Z616" s="34">
        <v>0</v>
      </c>
      <c r="AN616" s="308"/>
      <c r="AP616" s="319">
        <v>2071</v>
      </c>
      <c r="AQ616" s="283" t="s">
        <v>136</v>
      </c>
      <c r="AR616" s="320"/>
    </row>
    <row r="617" s="34" customFormat="1" spans="1:44">
      <c r="A617" s="283">
        <v>611</v>
      </c>
      <c r="B617" s="283" t="s">
        <v>2243</v>
      </c>
      <c r="C617" s="283" t="s">
        <v>2256</v>
      </c>
      <c r="D617" s="34">
        <v>1</v>
      </c>
      <c r="E617" s="34">
        <v>0</v>
      </c>
      <c r="F617" s="283"/>
      <c r="G617" s="283">
        <v>1</v>
      </c>
      <c r="H617" s="284" t="s">
        <v>2257</v>
      </c>
      <c r="I617" s="34">
        <v>4.3</v>
      </c>
      <c r="J617" s="34">
        <v>4.3</v>
      </c>
      <c r="K617" s="283"/>
      <c r="L617" s="34">
        <v>1</v>
      </c>
      <c r="M617" s="34">
        <f t="shared" si="35"/>
        <v>3.9</v>
      </c>
      <c r="N617" s="294" t="s">
        <v>2258</v>
      </c>
      <c r="O617" s="34">
        <v>1</v>
      </c>
      <c r="P617" s="34">
        <v>2.5</v>
      </c>
      <c r="Q617" s="34">
        <v>0</v>
      </c>
      <c r="S617" s="34">
        <v>1</v>
      </c>
      <c r="T617" s="34">
        <v>0.5</v>
      </c>
      <c r="U617" s="34">
        <v>0.5</v>
      </c>
      <c r="V617" s="34">
        <v>1</v>
      </c>
      <c r="W617" s="34">
        <v>4</v>
      </c>
      <c r="X617" s="300">
        <v>2</v>
      </c>
      <c r="Y617" s="34">
        <v>-0.1</v>
      </c>
      <c r="Z617" s="34">
        <v>0</v>
      </c>
      <c r="AN617" s="308">
        <v>2074</v>
      </c>
      <c r="AO617" s="34" t="s">
        <v>1695</v>
      </c>
      <c r="AP617" s="319">
        <v>2073</v>
      </c>
      <c r="AQ617" s="283" t="s">
        <v>136</v>
      </c>
      <c r="AR617" s="320"/>
    </row>
    <row r="618" s="34" customFormat="1" spans="1:44">
      <c r="A618" s="283">
        <v>612</v>
      </c>
      <c r="B618" s="283" t="s">
        <v>2243</v>
      </c>
      <c r="C618" s="283" t="s">
        <v>2259</v>
      </c>
      <c r="D618" s="34">
        <v>1</v>
      </c>
      <c r="E618" s="34">
        <v>0</v>
      </c>
      <c r="F618" s="283"/>
      <c r="G618" s="283">
        <v>1</v>
      </c>
      <c r="H618" s="284" t="s">
        <v>2260</v>
      </c>
      <c r="I618" s="34">
        <v>6.43333333333333</v>
      </c>
      <c r="J618" s="34">
        <v>6.43333333333333</v>
      </c>
      <c r="K618" s="283"/>
      <c r="L618" s="34">
        <v>1</v>
      </c>
      <c r="M618" s="34">
        <f t="shared" si="35"/>
        <v>6.03333333333333</v>
      </c>
      <c r="N618" s="294" t="s">
        <v>2261</v>
      </c>
      <c r="O618" s="34">
        <v>3</v>
      </c>
      <c r="P618" s="34">
        <v>-3.5</v>
      </c>
      <c r="Q618" s="34">
        <v>0</v>
      </c>
      <c r="V618" s="34">
        <v>1</v>
      </c>
      <c r="W618" s="34">
        <v>6</v>
      </c>
      <c r="X618" s="300">
        <v>3</v>
      </c>
      <c r="Y618" s="34">
        <v>-0.1</v>
      </c>
      <c r="Z618" s="34">
        <v>0</v>
      </c>
      <c r="AB618" s="34">
        <v>6.133333333</v>
      </c>
      <c r="AC618" s="34">
        <v>2</v>
      </c>
      <c r="AD618" s="34">
        <v>1</v>
      </c>
      <c r="AE618" s="34" t="s">
        <v>2262</v>
      </c>
      <c r="AF618" s="34">
        <v>0.5</v>
      </c>
      <c r="AG618" s="751" t="s">
        <v>1592</v>
      </c>
      <c r="AN618" s="308">
        <v>2077</v>
      </c>
      <c r="AO618" s="34" t="s">
        <v>2263</v>
      </c>
      <c r="AP618" s="319">
        <v>2076</v>
      </c>
      <c r="AQ618" s="283" t="s">
        <v>136</v>
      </c>
      <c r="AR618" s="320" t="s">
        <v>1740</v>
      </c>
    </row>
    <row r="619" s="34" customFormat="1" spans="1:44">
      <c r="A619" s="283">
        <v>613</v>
      </c>
      <c r="B619" s="283" t="s">
        <v>2243</v>
      </c>
      <c r="C619" s="283" t="s">
        <v>544</v>
      </c>
      <c r="D619" s="34">
        <v>1</v>
      </c>
      <c r="E619" s="34">
        <v>0</v>
      </c>
      <c r="F619" s="283"/>
      <c r="G619" s="283">
        <v>1</v>
      </c>
      <c r="H619" s="284" t="s">
        <v>2264</v>
      </c>
      <c r="I619" s="34">
        <v>9.53333333333333</v>
      </c>
      <c r="J619" s="34">
        <v>9.53333333333333</v>
      </c>
      <c r="K619" s="283"/>
      <c r="L619" s="34">
        <v>1</v>
      </c>
      <c r="M619" s="34">
        <f t="shared" si="35"/>
        <v>9.13333333333333</v>
      </c>
      <c r="N619" s="294" t="s">
        <v>2265</v>
      </c>
      <c r="O619" s="34">
        <v>1</v>
      </c>
      <c r="P619" s="34">
        <v>6.2</v>
      </c>
      <c r="Q619" s="34">
        <v>0</v>
      </c>
      <c r="V619" s="34">
        <v>1</v>
      </c>
      <c r="W619" s="34">
        <v>0</v>
      </c>
      <c r="X619" s="300">
        <v>3</v>
      </c>
      <c r="Y619" s="34">
        <v>-0.1</v>
      </c>
      <c r="Z619" s="34">
        <v>0</v>
      </c>
      <c r="AB619" s="34">
        <v>9.23333333333333</v>
      </c>
      <c r="AC619" s="34">
        <v>2</v>
      </c>
      <c r="AD619" s="34">
        <v>1</v>
      </c>
      <c r="AE619" s="34" t="s">
        <v>2266</v>
      </c>
      <c r="AF619" s="34">
        <v>0.5</v>
      </c>
      <c r="AN619" s="308" t="s">
        <v>2267</v>
      </c>
      <c r="AO619" s="34" t="s">
        <v>2268</v>
      </c>
      <c r="AP619" s="319">
        <v>2078</v>
      </c>
      <c r="AQ619" s="283" t="s">
        <v>136</v>
      </c>
      <c r="AR619" s="320" t="s">
        <v>1740</v>
      </c>
    </row>
    <row r="620" s="34" customFormat="1" spans="1:44">
      <c r="A620" s="283">
        <v>614</v>
      </c>
      <c r="B620" s="283" t="s">
        <v>2243</v>
      </c>
      <c r="C620" s="283" t="s">
        <v>2269</v>
      </c>
      <c r="D620" s="34">
        <v>1</v>
      </c>
      <c r="E620" s="34">
        <v>0</v>
      </c>
      <c r="F620" s="283"/>
      <c r="G620" s="283">
        <v>1</v>
      </c>
      <c r="H620" s="284" t="s">
        <v>2270</v>
      </c>
      <c r="I620" s="34">
        <v>8.66666666666667</v>
      </c>
      <c r="J620" s="34">
        <v>8.66666666666667</v>
      </c>
      <c r="K620" s="283"/>
      <c r="L620" s="34">
        <v>1</v>
      </c>
      <c r="M620" s="34">
        <f t="shared" si="35"/>
        <v>8.26666666666667</v>
      </c>
      <c r="N620" s="294" t="s">
        <v>2271</v>
      </c>
      <c r="O620" s="34">
        <v>1</v>
      </c>
      <c r="P620" s="34">
        <v>2.5</v>
      </c>
      <c r="Q620" s="34">
        <v>0</v>
      </c>
      <c r="V620" s="34">
        <v>1</v>
      </c>
      <c r="W620" s="34">
        <v>0</v>
      </c>
      <c r="X620" s="300">
        <v>6</v>
      </c>
      <c r="Y620" s="34">
        <v>-0.1</v>
      </c>
      <c r="Z620" s="34">
        <v>0</v>
      </c>
      <c r="AB620" s="34">
        <v>8.5</v>
      </c>
      <c r="AC620" s="34">
        <v>2</v>
      </c>
      <c r="AD620" s="34">
        <v>1</v>
      </c>
      <c r="AE620" s="34" t="s">
        <v>2272</v>
      </c>
      <c r="AF620" s="34">
        <v>0.5</v>
      </c>
      <c r="AN620" s="308" t="s">
        <v>2273</v>
      </c>
      <c r="AO620" s="34" t="s">
        <v>2274</v>
      </c>
      <c r="AP620" s="319">
        <v>2082</v>
      </c>
      <c r="AQ620" s="283" t="s">
        <v>136</v>
      </c>
      <c r="AR620" s="320" t="s">
        <v>1740</v>
      </c>
    </row>
    <row r="621" s="35" customFormat="1" spans="1:44">
      <c r="A621" s="285">
        <v>615</v>
      </c>
      <c r="B621" s="285" t="s">
        <v>2275</v>
      </c>
      <c r="C621" s="285" t="s">
        <v>526</v>
      </c>
      <c r="D621" s="35">
        <v>1</v>
      </c>
      <c r="E621" s="35">
        <v>0</v>
      </c>
      <c r="F621" s="285"/>
      <c r="G621" s="285">
        <v>1</v>
      </c>
      <c r="H621" s="286" t="s">
        <v>2276</v>
      </c>
      <c r="I621" s="35">
        <f>114/30</f>
        <v>3.8</v>
      </c>
      <c r="J621" s="35">
        <f>114/30</f>
        <v>3.8</v>
      </c>
      <c r="K621" s="285"/>
      <c r="L621" s="35">
        <v>0</v>
      </c>
      <c r="M621" s="35">
        <f t="shared" si="35"/>
        <v>3.4</v>
      </c>
      <c r="N621" s="35" t="s">
        <v>2277</v>
      </c>
      <c r="O621" s="35">
        <v>1</v>
      </c>
      <c r="P621" s="35">
        <v>2.12</v>
      </c>
      <c r="Q621" s="35">
        <v>0</v>
      </c>
      <c r="S621" s="35">
        <v>0.65</v>
      </c>
      <c r="T621" s="35">
        <v>0.25</v>
      </c>
      <c r="U621" s="35">
        <v>0.4</v>
      </c>
      <c r="V621" s="35">
        <v>1</v>
      </c>
      <c r="W621" s="35">
        <v>0</v>
      </c>
      <c r="X621" s="301">
        <v>3</v>
      </c>
      <c r="Y621" s="35">
        <v>-0.1</v>
      </c>
      <c r="Z621" s="35">
        <v>0</v>
      </c>
      <c r="AN621" s="309"/>
      <c r="AP621" s="321">
        <v>2331</v>
      </c>
      <c r="AQ621" s="285" t="s">
        <v>136</v>
      </c>
      <c r="AR621" s="322"/>
    </row>
    <row r="622" s="35" customFormat="1" spans="1:44">
      <c r="A622" s="285">
        <v>616</v>
      </c>
      <c r="B622" s="285" t="s">
        <v>2275</v>
      </c>
      <c r="C622" s="285" t="s">
        <v>2278</v>
      </c>
      <c r="D622" s="35">
        <v>1</v>
      </c>
      <c r="E622" s="35">
        <v>0</v>
      </c>
      <c r="F622" s="285"/>
      <c r="G622" s="285">
        <v>1</v>
      </c>
      <c r="H622" s="286" t="s">
        <v>2279</v>
      </c>
      <c r="I622" s="35">
        <f>64/30</f>
        <v>2.13333333333333</v>
      </c>
      <c r="J622" s="35">
        <f>64/30</f>
        <v>2.13333333333333</v>
      </c>
      <c r="K622" s="285"/>
      <c r="L622" s="35">
        <v>1</v>
      </c>
      <c r="M622" s="35">
        <f t="shared" si="35"/>
        <v>1.73333333333333</v>
      </c>
      <c r="N622" s="35" t="s">
        <v>2280</v>
      </c>
      <c r="O622" s="35">
        <v>1</v>
      </c>
      <c r="P622" s="35">
        <v>2.12</v>
      </c>
      <c r="Q622" s="35">
        <v>0</v>
      </c>
      <c r="S622" s="35">
        <v>0.8</v>
      </c>
      <c r="T622" s="35">
        <v>0.4</v>
      </c>
      <c r="U622" s="35">
        <v>0.5</v>
      </c>
      <c r="V622" s="35">
        <v>1</v>
      </c>
      <c r="W622" s="35">
        <v>0</v>
      </c>
      <c r="X622" s="301">
        <v>2</v>
      </c>
      <c r="Y622" s="35">
        <v>-0.1</v>
      </c>
      <c r="Z622" s="35">
        <v>0</v>
      </c>
      <c r="AN622" s="309"/>
      <c r="AP622" s="321">
        <v>2334</v>
      </c>
      <c r="AQ622" s="285" t="s">
        <v>136</v>
      </c>
      <c r="AR622" s="322"/>
    </row>
    <row r="623" s="35" customFormat="1" spans="1:44">
      <c r="A623" s="285">
        <v>617</v>
      </c>
      <c r="B623" s="285" t="s">
        <v>2275</v>
      </c>
      <c r="C623" s="285" t="s">
        <v>2281</v>
      </c>
      <c r="D623" s="35">
        <v>1</v>
      </c>
      <c r="E623" s="35">
        <v>0</v>
      </c>
      <c r="F623" s="285"/>
      <c r="G623" s="285">
        <v>1</v>
      </c>
      <c r="H623" s="286" t="s">
        <v>2282</v>
      </c>
      <c r="I623" s="35">
        <f>81/30</f>
        <v>2.7</v>
      </c>
      <c r="J623" s="35">
        <f>81/30</f>
        <v>2.7</v>
      </c>
      <c r="K623" s="285"/>
      <c r="L623" s="35">
        <v>1</v>
      </c>
      <c r="M623" s="35">
        <f t="shared" si="35"/>
        <v>2.3</v>
      </c>
      <c r="N623" s="35" t="s">
        <v>2283</v>
      </c>
      <c r="O623" s="35">
        <v>1</v>
      </c>
      <c r="P623" s="35">
        <v>2.12</v>
      </c>
      <c r="Q623" s="35">
        <v>0</v>
      </c>
      <c r="S623" s="35">
        <v>0.7</v>
      </c>
      <c r="T623" s="35">
        <v>0.5</v>
      </c>
      <c r="U623" s="35">
        <v>0.65</v>
      </c>
      <c r="V623" s="35">
        <v>1</v>
      </c>
      <c r="W623" s="35">
        <v>2</v>
      </c>
      <c r="X623" s="301">
        <v>3</v>
      </c>
      <c r="Y623" s="35">
        <v>-0.1</v>
      </c>
      <c r="Z623" s="35">
        <v>0</v>
      </c>
      <c r="AN623" s="309"/>
      <c r="AP623" s="321">
        <v>2336</v>
      </c>
      <c r="AQ623" s="285" t="s">
        <v>136</v>
      </c>
      <c r="AR623" s="322"/>
    </row>
    <row r="624" s="35" customFormat="1" spans="1:44">
      <c r="A624" s="285">
        <v>618</v>
      </c>
      <c r="B624" s="285" t="s">
        <v>2275</v>
      </c>
      <c r="C624" s="285" t="s">
        <v>2284</v>
      </c>
      <c r="D624" s="35">
        <v>1</v>
      </c>
      <c r="E624" s="35">
        <v>0</v>
      </c>
      <c r="F624" s="285"/>
      <c r="G624" s="285">
        <v>1</v>
      </c>
      <c r="H624" s="286" t="s">
        <v>2285</v>
      </c>
      <c r="I624" s="35">
        <f>86/30</f>
        <v>2.86666666666667</v>
      </c>
      <c r="J624" s="35">
        <f>86/30</f>
        <v>2.86666666666667</v>
      </c>
      <c r="K624" s="285"/>
      <c r="L624" s="35">
        <v>1</v>
      </c>
      <c r="M624" s="35">
        <f t="shared" si="35"/>
        <v>2.46666666666667</v>
      </c>
      <c r="N624" s="35" t="s">
        <v>2286</v>
      </c>
      <c r="O624" s="35">
        <v>1</v>
      </c>
      <c r="P624" s="35">
        <v>2.12</v>
      </c>
      <c r="Q624" s="35">
        <v>0</v>
      </c>
      <c r="S624" s="35">
        <v>0.7</v>
      </c>
      <c r="T624" s="35">
        <v>0.5</v>
      </c>
      <c r="U624" s="35">
        <v>0.65</v>
      </c>
      <c r="V624" s="35">
        <v>1</v>
      </c>
      <c r="W624" s="35">
        <v>4</v>
      </c>
      <c r="X624" s="301">
        <v>1</v>
      </c>
      <c r="Y624" s="35">
        <v>-0.1</v>
      </c>
      <c r="Z624" s="35">
        <v>0</v>
      </c>
      <c r="AN624" s="309" t="s">
        <v>2287</v>
      </c>
      <c r="AO624" s="35" t="s">
        <v>2288</v>
      </c>
      <c r="AP624" s="323" t="s">
        <v>2289</v>
      </c>
      <c r="AQ624" s="285" t="s">
        <v>1691</v>
      </c>
      <c r="AR624" s="322"/>
    </row>
    <row r="625" s="35" customFormat="1" spans="1:44">
      <c r="A625" s="285">
        <v>619</v>
      </c>
      <c r="B625" s="285" t="s">
        <v>2275</v>
      </c>
      <c r="C625" s="285" t="s">
        <v>2290</v>
      </c>
      <c r="D625" s="35">
        <v>1</v>
      </c>
      <c r="E625" s="35">
        <v>0</v>
      </c>
      <c r="F625" s="285"/>
      <c r="G625" s="285">
        <v>1</v>
      </c>
      <c r="H625" s="286" t="s">
        <v>2291</v>
      </c>
      <c r="I625" s="35">
        <f>90/30</f>
        <v>3</v>
      </c>
      <c r="J625" s="35">
        <f>90/30</f>
        <v>3</v>
      </c>
      <c r="K625" s="285"/>
      <c r="L625" s="35">
        <v>1</v>
      </c>
      <c r="M625" s="35">
        <f t="shared" si="35"/>
        <v>2.6</v>
      </c>
      <c r="N625" s="35" t="s">
        <v>2292</v>
      </c>
      <c r="O625" s="35">
        <v>1</v>
      </c>
      <c r="P625" s="35">
        <v>2.12</v>
      </c>
      <c r="Q625" s="35">
        <v>0</v>
      </c>
      <c r="S625" s="35">
        <v>0.65</v>
      </c>
      <c r="T625" s="35">
        <v>0.25</v>
      </c>
      <c r="U625" s="35">
        <v>0.4</v>
      </c>
      <c r="V625" s="35">
        <v>1</v>
      </c>
      <c r="W625" s="35">
        <v>0</v>
      </c>
      <c r="X625" s="301">
        <v>1</v>
      </c>
      <c r="Y625" s="35">
        <v>-0.1</v>
      </c>
      <c r="Z625" s="35">
        <v>0</v>
      </c>
      <c r="AN625" s="309">
        <v>2345</v>
      </c>
      <c r="AO625" s="35" t="s">
        <v>2293</v>
      </c>
      <c r="AP625" s="323" t="s">
        <v>2294</v>
      </c>
      <c r="AQ625" s="285" t="s">
        <v>1691</v>
      </c>
      <c r="AR625" s="322"/>
    </row>
    <row r="626" s="35" customFormat="1" spans="1:44">
      <c r="A626" s="285">
        <v>620</v>
      </c>
      <c r="B626" s="285" t="s">
        <v>2275</v>
      </c>
      <c r="C626" s="285" t="s">
        <v>2295</v>
      </c>
      <c r="D626" s="35">
        <v>1</v>
      </c>
      <c r="E626" s="35">
        <v>0</v>
      </c>
      <c r="F626" s="285"/>
      <c r="G626" s="285">
        <v>1</v>
      </c>
      <c r="H626" s="286" t="s">
        <v>2296</v>
      </c>
      <c r="I626" s="35">
        <f>215/30</f>
        <v>7.16666666666667</v>
      </c>
      <c r="J626" s="35">
        <f>215/30</f>
        <v>7.16666666666667</v>
      </c>
      <c r="K626" s="285"/>
      <c r="L626" s="35">
        <v>1</v>
      </c>
      <c r="M626" s="35">
        <f t="shared" si="35"/>
        <v>6.76666666666667</v>
      </c>
      <c r="O626" s="35">
        <v>1</v>
      </c>
      <c r="P626" s="35">
        <v>2.12</v>
      </c>
      <c r="Q626" s="35">
        <v>0</v>
      </c>
      <c r="V626" s="35">
        <v>1</v>
      </c>
      <c r="W626" s="35">
        <v>0</v>
      </c>
      <c r="X626" s="301">
        <v>1</v>
      </c>
      <c r="Y626" s="35">
        <v>-0.1</v>
      </c>
      <c r="Z626" s="35">
        <v>0</v>
      </c>
      <c r="AB626" s="35">
        <f t="shared" ref="AB626:AB628" si="36">I626-0.3</f>
        <v>6.86666666666667</v>
      </c>
      <c r="AC626" s="35">
        <v>2</v>
      </c>
      <c r="AD626" s="35">
        <v>1</v>
      </c>
      <c r="AE626" s="35" t="s">
        <v>2297</v>
      </c>
      <c r="AF626" s="35">
        <v>0.5</v>
      </c>
      <c r="AN626" s="309"/>
      <c r="AP626" s="321">
        <v>2347</v>
      </c>
      <c r="AQ626" s="285" t="s">
        <v>136</v>
      </c>
      <c r="AR626" s="322"/>
    </row>
    <row r="627" s="35" customFormat="1" spans="1:44">
      <c r="A627" s="285">
        <v>621</v>
      </c>
      <c r="B627" s="285" t="s">
        <v>2275</v>
      </c>
      <c r="C627" s="285" t="s">
        <v>2298</v>
      </c>
      <c r="D627" s="35">
        <v>1</v>
      </c>
      <c r="E627" s="35">
        <v>0</v>
      </c>
      <c r="F627" s="285"/>
      <c r="G627" s="285">
        <v>1</v>
      </c>
      <c r="H627" s="286" t="s">
        <v>2299</v>
      </c>
      <c r="I627" s="35">
        <f>172/30</f>
        <v>5.73333333333333</v>
      </c>
      <c r="J627" s="35">
        <f>172/30</f>
        <v>5.73333333333333</v>
      </c>
      <c r="K627" s="285"/>
      <c r="L627" s="35">
        <v>1</v>
      </c>
      <c r="M627" s="35">
        <f t="shared" si="35"/>
        <v>5.33333333333333</v>
      </c>
      <c r="N627" s="35" t="s">
        <v>2300</v>
      </c>
      <c r="O627" s="35">
        <v>1</v>
      </c>
      <c r="P627" s="35">
        <v>12.8</v>
      </c>
      <c r="Q627" s="35">
        <v>0</v>
      </c>
      <c r="V627" s="35">
        <v>1</v>
      </c>
      <c r="W627" s="35">
        <v>0</v>
      </c>
      <c r="X627" s="301">
        <v>6</v>
      </c>
      <c r="Y627" s="35">
        <v>-0.1</v>
      </c>
      <c r="Z627" s="35">
        <v>0</v>
      </c>
      <c r="AB627" s="35">
        <f t="shared" si="36"/>
        <v>5.43333333333333</v>
      </c>
      <c r="AC627" s="35">
        <v>2</v>
      </c>
      <c r="AD627" s="35">
        <v>1</v>
      </c>
      <c r="AE627" s="35" t="s">
        <v>2301</v>
      </c>
      <c r="AF627" s="35">
        <v>0.5</v>
      </c>
      <c r="AN627" s="309"/>
      <c r="AP627" s="321">
        <v>2350</v>
      </c>
      <c r="AQ627" s="285" t="s">
        <v>136</v>
      </c>
      <c r="AR627" s="322"/>
    </row>
    <row r="628" s="35" customFormat="1" spans="1:44">
      <c r="A628" s="285">
        <v>622</v>
      </c>
      <c r="B628" s="285" t="s">
        <v>2275</v>
      </c>
      <c r="C628" s="285" t="s">
        <v>2302</v>
      </c>
      <c r="D628" s="35">
        <v>1</v>
      </c>
      <c r="E628" s="35">
        <v>0</v>
      </c>
      <c r="F628" s="285"/>
      <c r="G628" s="285">
        <v>1</v>
      </c>
      <c r="H628" s="286" t="s">
        <v>2303</v>
      </c>
      <c r="I628" s="35">
        <f>260/30</f>
        <v>8.66666666666667</v>
      </c>
      <c r="J628" s="35">
        <f>260/30</f>
        <v>8.66666666666667</v>
      </c>
      <c r="K628" s="285"/>
      <c r="L628" s="35">
        <v>1</v>
      </c>
      <c r="M628" s="35">
        <f t="shared" si="35"/>
        <v>8.26666666666667</v>
      </c>
      <c r="N628" s="35" t="s">
        <v>2304</v>
      </c>
      <c r="O628" s="35">
        <v>1</v>
      </c>
      <c r="P628" s="35">
        <v>9</v>
      </c>
      <c r="Q628" s="35">
        <v>0</v>
      </c>
      <c r="V628" s="35">
        <v>1</v>
      </c>
      <c r="W628" s="35">
        <v>0</v>
      </c>
      <c r="X628" s="301">
        <v>4</v>
      </c>
      <c r="Y628" s="35">
        <v>-0.1</v>
      </c>
      <c r="Z628" s="35">
        <v>0</v>
      </c>
      <c r="AB628" s="35">
        <f t="shared" si="36"/>
        <v>8.36666666666667</v>
      </c>
      <c r="AC628" s="35">
        <v>2</v>
      </c>
      <c r="AD628" s="35">
        <v>1</v>
      </c>
      <c r="AE628" s="35" t="s">
        <v>2305</v>
      </c>
      <c r="AF628" s="35">
        <v>0.5</v>
      </c>
      <c r="AN628" s="309"/>
      <c r="AP628" s="321">
        <v>2352</v>
      </c>
      <c r="AQ628" s="285" t="s">
        <v>136</v>
      </c>
      <c r="AR628" s="322"/>
    </row>
    <row r="629" s="36" customFormat="1" spans="1:43">
      <c r="A629" s="287">
        <v>623</v>
      </c>
      <c r="B629" s="36" t="s">
        <v>2306</v>
      </c>
      <c r="C629" s="36" t="s">
        <v>526</v>
      </c>
      <c r="D629" s="36">
        <v>1</v>
      </c>
      <c r="E629" s="36">
        <v>0</v>
      </c>
      <c r="G629" s="36">
        <v>1</v>
      </c>
      <c r="H629" s="288" t="s">
        <v>2307</v>
      </c>
      <c r="I629" s="36">
        <f>112/30</f>
        <v>3.73333333333333</v>
      </c>
      <c r="J629" s="36">
        <f>112/30</f>
        <v>3.73333333333333</v>
      </c>
      <c r="L629" s="36">
        <v>0</v>
      </c>
      <c r="M629" s="36">
        <f t="shared" si="35"/>
        <v>3.33333333333333</v>
      </c>
      <c r="N629" s="36" t="s">
        <v>2308</v>
      </c>
      <c r="O629" s="36">
        <v>1</v>
      </c>
      <c r="P629" s="36">
        <v>2.5</v>
      </c>
      <c r="Q629" s="36">
        <v>0</v>
      </c>
      <c r="S629" s="36">
        <v>1</v>
      </c>
      <c r="T629" s="36">
        <v>0.5</v>
      </c>
      <c r="U629" s="36">
        <v>0.5</v>
      </c>
      <c r="V629" s="36">
        <v>6</v>
      </c>
      <c r="W629" s="36">
        <v>0</v>
      </c>
      <c r="X629" s="302">
        <v>4</v>
      </c>
      <c r="Y629" s="36">
        <v>-0.1</v>
      </c>
      <c r="Z629" s="36">
        <v>0</v>
      </c>
      <c r="AN629" s="310"/>
      <c r="AP629" s="36">
        <v>2279</v>
      </c>
      <c r="AQ629" s="36" t="s">
        <v>136</v>
      </c>
    </row>
    <row r="630" s="36" customFormat="1" spans="1:43">
      <c r="A630" s="287">
        <v>624</v>
      </c>
      <c r="B630" s="36" t="s">
        <v>2306</v>
      </c>
      <c r="C630" s="36" t="s">
        <v>2309</v>
      </c>
      <c r="D630" s="36">
        <v>1</v>
      </c>
      <c r="E630" s="36">
        <v>0</v>
      </c>
      <c r="G630" s="36">
        <v>1</v>
      </c>
      <c r="H630" s="288" t="s">
        <v>2310</v>
      </c>
      <c r="I630" s="36">
        <f>80/30</f>
        <v>2.66666666666667</v>
      </c>
      <c r="J630" s="36">
        <f>80/30</f>
        <v>2.66666666666667</v>
      </c>
      <c r="L630" s="36">
        <v>1</v>
      </c>
      <c r="M630" s="36">
        <f t="shared" si="35"/>
        <v>2.26666666666667</v>
      </c>
      <c r="N630" s="36" t="s">
        <v>2311</v>
      </c>
      <c r="O630" s="36">
        <v>1</v>
      </c>
      <c r="P630" s="36">
        <v>2.5</v>
      </c>
      <c r="Q630" s="36">
        <v>0</v>
      </c>
      <c r="S630" s="36">
        <v>0.6</v>
      </c>
      <c r="T630" s="36">
        <v>0.5</v>
      </c>
      <c r="U630" s="36">
        <v>0.6</v>
      </c>
      <c r="V630" s="36">
        <v>6</v>
      </c>
      <c r="W630" s="36">
        <v>4</v>
      </c>
      <c r="X630" s="302">
        <v>2</v>
      </c>
      <c r="Y630" s="36">
        <v>-0.1</v>
      </c>
      <c r="Z630" s="36">
        <v>0</v>
      </c>
      <c r="AN630" s="310"/>
      <c r="AP630" s="36">
        <v>2284</v>
      </c>
      <c r="AQ630" s="36" t="s">
        <v>136</v>
      </c>
    </row>
    <row r="631" s="36" customFormat="1" spans="1:43">
      <c r="A631" s="287">
        <v>625</v>
      </c>
      <c r="B631" s="36" t="s">
        <v>2306</v>
      </c>
      <c r="C631" s="36" t="s">
        <v>2312</v>
      </c>
      <c r="D631" s="36">
        <v>1</v>
      </c>
      <c r="E631" s="36">
        <v>0</v>
      </c>
      <c r="G631" s="36">
        <v>1</v>
      </c>
      <c r="H631" s="288" t="s">
        <v>2313</v>
      </c>
      <c r="I631" s="36">
        <f>93/30</f>
        <v>3.1</v>
      </c>
      <c r="J631" s="36">
        <f>93/30</f>
        <v>3.1</v>
      </c>
      <c r="L631" s="36">
        <v>1</v>
      </c>
      <c r="M631" s="36">
        <f t="shared" si="35"/>
        <v>2.7</v>
      </c>
      <c r="N631" s="36" t="s">
        <v>2314</v>
      </c>
      <c r="O631" s="36">
        <v>1</v>
      </c>
      <c r="P631" s="36">
        <v>2.5</v>
      </c>
      <c r="Q631" s="36">
        <v>0</v>
      </c>
      <c r="R631" s="36">
        <v>1</v>
      </c>
      <c r="S631" s="36">
        <v>0.6</v>
      </c>
      <c r="T631" s="36">
        <v>0.7</v>
      </c>
      <c r="U631" s="36">
        <v>0.6</v>
      </c>
      <c r="V631" s="36">
        <v>6</v>
      </c>
      <c r="W631" s="36">
        <v>4</v>
      </c>
      <c r="X631" s="302">
        <v>4</v>
      </c>
      <c r="Y631" s="36">
        <v>-0.1</v>
      </c>
      <c r="Z631" s="36">
        <v>0</v>
      </c>
      <c r="AN631" s="310"/>
      <c r="AP631" s="36">
        <v>2286</v>
      </c>
      <c r="AQ631" s="36" t="s">
        <v>136</v>
      </c>
    </row>
    <row r="632" s="36" customFormat="1" spans="1:43">
      <c r="A632" s="287">
        <v>626</v>
      </c>
      <c r="B632" s="36" t="s">
        <v>2306</v>
      </c>
      <c r="C632" s="36" t="s">
        <v>2315</v>
      </c>
      <c r="D632" s="36">
        <v>1</v>
      </c>
      <c r="E632" s="36">
        <v>0</v>
      </c>
      <c r="G632" s="36">
        <v>1</v>
      </c>
      <c r="H632" s="288" t="s">
        <v>2316</v>
      </c>
      <c r="I632" s="36">
        <f>94/30</f>
        <v>3.13333333333333</v>
      </c>
      <c r="J632" s="36">
        <f>94/30</f>
        <v>3.13333333333333</v>
      </c>
      <c r="L632" s="36">
        <v>1</v>
      </c>
      <c r="M632" s="36">
        <f t="shared" si="35"/>
        <v>2.73333333333333</v>
      </c>
      <c r="N632" s="36" t="s">
        <v>2317</v>
      </c>
      <c r="O632" s="36">
        <v>1</v>
      </c>
      <c r="P632" s="36">
        <v>2.5</v>
      </c>
      <c r="Q632" s="36">
        <v>0</v>
      </c>
      <c r="R632" s="36">
        <v>1</v>
      </c>
      <c r="S632" s="36">
        <v>1</v>
      </c>
      <c r="T632" s="36">
        <v>0.5</v>
      </c>
      <c r="U632" s="36">
        <v>0.65</v>
      </c>
      <c r="V632" s="36">
        <v>6</v>
      </c>
      <c r="W632" s="36">
        <v>0</v>
      </c>
      <c r="X632" s="302">
        <v>7</v>
      </c>
      <c r="Y632" s="36">
        <v>-0.1</v>
      </c>
      <c r="Z632" s="36">
        <v>0</v>
      </c>
      <c r="AN632" s="310"/>
      <c r="AP632" s="36">
        <v>2288</v>
      </c>
      <c r="AQ632" s="36" t="s">
        <v>136</v>
      </c>
    </row>
    <row r="633" s="36" customFormat="1" spans="1:43">
      <c r="A633" s="287">
        <v>627</v>
      </c>
      <c r="B633" s="36" t="s">
        <v>2306</v>
      </c>
      <c r="C633" s="36" t="s">
        <v>2318</v>
      </c>
      <c r="D633" s="36">
        <v>1</v>
      </c>
      <c r="E633" s="36">
        <v>0</v>
      </c>
      <c r="G633" s="36">
        <v>1</v>
      </c>
      <c r="H633" s="288" t="s">
        <v>2319</v>
      </c>
      <c r="I633" s="36">
        <f>130/30</f>
        <v>4.33333333333333</v>
      </c>
      <c r="J633" s="36">
        <f>130/30</f>
        <v>4.33333333333333</v>
      </c>
      <c r="L633" s="36">
        <v>1</v>
      </c>
      <c r="M633" s="36">
        <f t="shared" si="35"/>
        <v>3.93333333333333</v>
      </c>
      <c r="N633" s="36" t="s">
        <v>2320</v>
      </c>
      <c r="O633" s="36">
        <v>1</v>
      </c>
      <c r="P633" s="36">
        <v>2.5</v>
      </c>
      <c r="Q633" s="36">
        <v>0</v>
      </c>
      <c r="S633" s="36">
        <v>1.3</v>
      </c>
      <c r="T633" s="36">
        <v>1.4</v>
      </c>
      <c r="U633" s="36">
        <v>0.53</v>
      </c>
      <c r="V633" s="36">
        <v>6</v>
      </c>
      <c r="W633" s="36">
        <v>0</v>
      </c>
      <c r="X633" s="302">
        <v>5</v>
      </c>
      <c r="Y633" s="36">
        <v>-0.1</v>
      </c>
      <c r="Z633" s="36">
        <v>0</v>
      </c>
      <c r="AN633" s="310"/>
      <c r="AP633" s="36">
        <v>2291</v>
      </c>
      <c r="AQ633" s="36" t="s">
        <v>136</v>
      </c>
    </row>
    <row r="634" s="36" customFormat="1" spans="1:44">
      <c r="A634" s="287">
        <v>628</v>
      </c>
      <c r="B634" s="36" t="s">
        <v>2306</v>
      </c>
      <c r="C634" s="36" t="s">
        <v>2321</v>
      </c>
      <c r="D634" s="36">
        <v>1</v>
      </c>
      <c r="E634" s="36">
        <v>0</v>
      </c>
      <c r="G634" s="36">
        <v>1</v>
      </c>
      <c r="H634" s="288" t="s">
        <v>2322</v>
      </c>
      <c r="I634" s="36">
        <f>155/30</f>
        <v>5.16666666666667</v>
      </c>
      <c r="J634" s="36">
        <f>155/30</f>
        <v>5.16666666666667</v>
      </c>
      <c r="L634" s="36">
        <v>1</v>
      </c>
      <c r="M634" s="36">
        <f t="shared" si="35"/>
        <v>4.76666666666667</v>
      </c>
      <c r="N634" s="36" t="s">
        <v>2323</v>
      </c>
      <c r="O634" s="36">
        <v>1</v>
      </c>
      <c r="P634" s="36">
        <v>2.5</v>
      </c>
      <c r="Q634" s="36">
        <v>0</v>
      </c>
      <c r="V634" s="36">
        <v>6</v>
      </c>
      <c r="W634" s="36">
        <v>0</v>
      </c>
      <c r="X634" s="302">
        <v>3</v>
      </c>
      <c r="Y634" s="36">
        <v>-0.1</v>
      </c>
      <c r="Z634" s="36">
        <v>0</v>
      </c>
      <c r="AB634" s="36">
        <f>155/30</f>
        <v>5.16666666666667</v>
      </c>
      <c r="AC634" s="36">
        <v>2</v>
      </c>
      <c r="AD634" s="36">
        <v>1</v>
      </c>
      <c r="AE634" s="36" t="s">
        <v>2324</v>
      </c>
      <c r="AF634" s="36">
        <v>0.5</v>
      </c>
      <c r="AN634" s="310">
        <v>2295</v>
      </c>
      <c r="AO634" s="36" t="s">
        <v>2325</v>
      </c>
      <c r="AP634" s="36">
        <v>2294</v>
      </c>
      <c r="AQ634" s="36" t="s">
        <v>136</v>
      </c>
      <c r="AR634" s="752" t="s">
        <v>2326</v>
      </c>
    </row>
    <row r="635" s="36" customFormat="1" spans="1:44">
      <c r="A635" s="287">
        <v>629</v>
      </c>
      <c r="B635" s="36" t="s">
        <v>2306</v>
      </c>
      <c r="C635" s="289" t="s">
        <v>2327</v>
      </c>
      <c r="D635" s="36">
        <v>1</v>
      </c>
      <c r="E635" s="36">
        <v>0</v>
      </c>
      <c r="G635" s="36">
        <v>1</v>
      </c>
      <c r="H635" s="288" t="s">
        <v>2328</v>
      </c>
      <c r="I635" s="36">
        <f>280/30</f>
        <v>9.33333333333333</v>
      </c>
      <c r="J635" s="36">
        <f>280/30</f>
        <v>9.33333333333333</v>
      </c>
      <c r="L635" s="36">
        <v>1</v>
      </c>
      <c r="M635" s="36">
        <f t="shared" si="35"/>
        <v>8.93333333333333</v>
      </c>
      <c r="N635" s="36" t="s">
        <v>2329</v>
      </c>
      <c r="O635" s="36">
        <v>3</v>
      </c>
      <c r="P635" s="36">
        <v>-3.1</v>
      </c>
      <c r="Q635" s="36">
        <v>0</v>
      </c>
      <c r="V635" s="36">
        <v>6</v>
      </c>
      <c r="W635" s="36">
        <v>6</v>
      </c>
      <c r="X635" s="302">
        <v>9</v>
      </c>
      <c r="Y635" s="36">
        <v>-0.1</v>
      </c>
      <c r="Z635" s="36">
        <v>0</v>
      </c>
      <c r="AB635" s="36">
        <v>9.03333333333333</v>
      </c>
      <c r="AC635" s="36">
        <v>2</v>
      </c>
      <c r="AD635" s="36">
        <v>1</v>
      </c>
      <c r="AE635" s="36" t="s">
        <v>2330</v>
      </c>
      <c r="AF635" s="36">
        <v>0.5</v>
      </c>
      <c r="AN635" s="310" t="s">
        <v>2331</v>
      </c>
      <c r="AO635" s="36" t="s">
        <v>2332</v>
      </c>
      <c r="AP635" s="36">
        <v>2296</v>
      </c>
      <c r="AQ635" s="36" t="s">
        <v>136</v>
      </c>
      <c r="AR635" s="752" t="s">
        <v>2326</v>
      </c>
    </row>
    <row r="636" s="36" customFormat="1" spans="1:44">
      <c r="A636" s="287">
        <v>630</v>
      </c>
      <c r="B636" s="36" t="s">
        <v>2306</v>
      </c>
      <c r="C636" s="36" t="s">
        <v>2333</v>
      </c>
      <c r="D636" s="36">
        <v>1</v>
      </c>
      <c r="E636" s="36">
        <v>0</v>
      </c>
      <c r="G636" s="36">
        <v>1</v>
      </c>
      <c r="H636" s="288" t="s">
        <v>2334</v>
      </c>
      <c r="I636" s="36">
        <f>200/30</f>
        <v>6.66666666666667</v>
      </c>
      <c r="J636" s="36">
        <f>200/30</f>
        <v>6.66666666666667</v>
      </c>
      <c r="L636" s="36">
        <v>1</v>
      </c>
      <c r="M636" s="36">
        <f t="shared" si="35"/>
        <v>6.26666666666667</v>
      </c>
      <c r="N636" s="36" t="s">
        <v>2335</v>
      </c>
      <c r="O636" s="36">
        <v>3</v>
      </c>
      <c r="P636" s="36">
        <v>0.2</v>
      </c>
      <c r="Q636" s="36">
        <v>0</v>
      </c>
      <c r="V636" s="36">
        <v>6</v>
      </c>
      <c r="W636" s="36">
        <v>6</v>
      </c>
      <c r="X636" s="302">
        <v>3</v>
      </c>
      <c r="Y636" s="36">
        <v>-0.1</v>
      </c>
      <c r="Z636" s="36">
        <v>0</v>
      </c>
      <c r="AB636" s="36">
        <v>6.36666666666667</v>
      </c>
      <c r="AC636" s="36">
        <v>2</v>
      </c>
      <c r="AD636" s="36">
        <v>1</v>
      </c>
      <c r="AE636" s="36" t="s">
        <v>2336</v>
      </c>
      <c r="AF636" s="36">
        <v>0.5</v>
      </c>
      <c r="AN636" s="310">
        <v>2301</v>
      </c>
      <c r="AO636" s="36" t="s">
        <v>674</v>
      </c>
      <c r="AP636" s="36">
        <v>2300</v>
      </c>
      <c r="AQ636" s="36" t="s">
        <v>136</v>
      </c>
      <c r="AR636" s="752" t="s">
        <v>2326</v>
      </c>
    </row>
    <row r="637" s="37" customFormat="1" spans="1:43">
      <c r="A637" s="290">
        <v>631</v>
      </c>
      <c r="B637" s="37" t="s">
        <v>2337</v>
      </c>
      <c r="C637" s="37" t="s">
        <v>526</v>
      </c>
      <c r="D637" s="37">
        <v>1</v>
      </c>
      <c r="E637" s="37">
        <v>0</v>
      </c>
      <c r="G637" s="37">
        <v>1</v>
      </c>
      <c r="H637" s="291" t="s">
        <v>2338</v>
      </c>
      <c r="I637" s="37">
        <f>95/30</f>
        <v>3.16666666666667</v>
      </c>
      <c r="J637" s="37">
        <f>95/30</f>
        <v>3.16666666666667</v>
      </c>
      <c r="L637" s="37">
        <v>0</v>
      </c>
      <c r="M637" s="37">
        <f t="shared" si="35"/>
        <v>2.76666666666667</v>
      </c>
      <c r="N637" s="37" t="s">
        <v>2339</v>
      </c>
      <c r="O637" s="37">
        <v>1</v>
      </c>
      <c r="P637" s="37">
        <v>3.3</v>
      </c>
      <c r="Q637" s="37">
        <v>0</v>
      </c>
      <c r="S637" s="37">
        <v>1.8</v>
      </c>
      <c r="T637" s="37">
        <v>0.5</v>
      </c>
      <c r="U637" s="37">
        <v>0.5</v>
      </c>
      <c r="V637" s="37">
        <v>1</v>
      </c>
      <c r="W637" s="37">
        <v>0</v>
      </c>
      <c r="X637" s="303">
        <v>7</v>
      </c>
      <c r="Y637" s="37">
        <v>-0.1</v>
      </c>
      <c r="Z637" s="37">
        <v>0</v>
      </c>
      <c r="AN637" s="311"/>
      <c r="AP637" s="37">
        <v>2213</v>
      </c>
      <c r="AQ637" s="37" t="s">
        <v>136</v>
      </c>
    </row>
    <row r="638" s="37" customFormat="1" spans="1:43">
      <c r="A638" s="290">
        <v>632</v>
      </c>
      <c r="B638" s="37" t="s">
        <v>2337</v>
      </c>
      <c r="C638" s="37" t="s">
        <v>2340</v>
      </c>
      <c r="D638" s="37">
        <v>1</v>
      </c>
      <c r="E638" s="37">
        <v>0</v>
      </c>
      <c r="G638" s="37">
        <v>1</v>
      </c>
      <c r="H638" s="291" t="s">
        <v>2341</v>
      </c>
      <c r="I638" s="37">
        <f>145/30</f>
        <v>4.83333333333333</v>
      </c>
      <c r="J638" s="37">
        <f>145/30</f>
        <v>4.83333333333333</v>
      </c>
      <c r="L638" s="37">
        <v>1</v>
      </c>
      <c r="M638" s="37">
        <f t="shared" si="35"/>
        <v>4.43333333333333</v>
      </c>
      <c r="N638" s="37" t="s">
        <v>2342</v>
      </c>
      <c r="O638" s="37">
        <v>1</v>
      </c>
      <c r="P638" s="37">
        <v>3.3</v>
      </c>
      <c r="Q638" s="37">
        <v>0</v>
      </c>
      <c r="S638" s="37">
        <v>-0.8</v>
      </c>
      <c r="T638" s="37">
        <v>-0.5</v>
      </c>
      <c r="U638" s="37">
        <v>1.8</v>
      </c>
      <c r="V638" s="37">
        <v>1</v>
      </c>
      <c r="W638" s="37">
        <v>6</v>
      </c>
      <c r="X638" s="303">
        <v>13</v>
      </c>
      <c r="Y638" s="37">
        <v>-0.1</v>
      </c>
      <c r="Z638" s="37">
        <v>0</v>
      </c>
      <c r="AN638" s="311"/>
      <c r="AP638" s="37">
        <v>2217</v>
      </c>
      <c r="AQ638" s="37" t="s">
        <v>136</v>
      </c>
    </row>
    <row r="639" s="37" customFormat="1" spans="1:43">
      <c r="A639" s="290">
        <v>633</v>
      </c>
      <c r="B639" s="37" t="s">
        <v>2337</v>
      </c>
      <c r="C639" s="37" t="s">
        <v>2343</v>
      </c>
      <c r="D639" s="37">
        <v>1</v>
      </c>
      <c r="E639" s="37">
        <v>0</v>
      </c>
      <c r="G639" s="37">
        <v>1</v>
      </c>
      <c r="H639" s="291" t="s">
        <v>2344</v>
      </c>
      <c r="I639" s="37">
        <f>124/30</f>
        <v>4.13333333333333</v>
      </c>
      <c r="J639" s="37">
        <f>124/30</f>
        <v>4.13333333333333</v>
      </c>
      <c r="L639" s="37">
        <v>1</v>
      </c>
      <c r="M639" s="37">
        <f t="shared" si="35"/>
        <v>3.73333333333333</v>
      </c>
      <c r="N639" s="37" t="s">
        <v>2345</v>
      </c>
      <c r="O639" s="37">
        <v>1</v>
      </c>
      <c r="P639" s="37">
        <v>3.3</v>
      </c>
      <c r="Q639" s="37">
        <v>0</v>
      </c>
      <c r="S639" s="37">
        <v>-0.8</v>
      </c>
      <c r="T639" s="37">
        <v>-0.5</v>
      </c>
      <c r="U639" s="37">
        <v>1.8</v>
      </c>
      <c r="V639" s="37">
        <v>1</v>
      </c>
      <c r="W639" s="37">
        <v>6</v>
      </c>
      <c r="X639" s="303">
        <v>4</v>
      </c>
      <c r="Y639" s="37">
        <v>-0.1</v>
      </c>
      <c r="Z639" s="37">
        <v>0</v>
      </c>
      <c r="AN639" s="311"/>
      <c r="AP639" s="37">
        <v>2218</v>
      </c>
      <c r="AQ639" s="37" t="s">
        <v>136</v>
      </c>
    </row>
    <row r="640" s="37" customFormat="1" spans="1:43">
      <c r="A640" s="290">
        <v>634</v>
      </c>
      <c r="B640" s="37" t="s">
        <v>2337</v>
      </c>
      <c r="C640" s="37" t="s">
        <v>2346</v>
      </c>
      <c r="D640" s="37">
        <v>1</v>
      </c>
      <c r="E640" s="37">
        <v>0</v>
      </c>
      <c r="G640" s="37">
        <v>1</v>
      </c>
      <c r="H640" s="291" t="s">
        <v>2347</v>
      </c>
      <c r="I640" s="37">
        <f>280/30</f>
        <v>9.33333333333333</v>
      </c>
      <c r="J640" s="37">
        <f>280/30</f>
        <v>9.33333333333333</v>
      </c>
      <c r="L640" s="37">
        <v>1</v>
      </c>
      <c r="M640" s="37">
        <f t="shared" si="35"/>
        <v>8.93333333333333</v>
      </c>
      <c r="N640" s="37" t="s">
        <v>2348</v>
      </c>
      <c r="O640" s="37">
        <v>1</v>
      </c>
      <c r="P640" s="37">
        <v>2</v>
      </c>
      <c r="Q640" s="37">
        <v>0</v>
      </c>
      <c r="V640" s="37">
        <v>1</v>
      </c>
      <c r="W640" s="37">
        <v>0</v>
      </c>
      <c r="X640" s="303">
        <v>11</v>
      </c>
      <c r="Y640" s="37">
        <v>-0.1</v>
      </c>
      <c r="Z640" s="37">
        <v>0</v>
      </c>
      <c r="AB640" s="37">
        <v>9.13333333333333</v>
      </c>
      <c r="AC640" s="37">
        <v>2</v>
      </c>
      <c r="AD640" s="37">
        <v>1</v>
      </c>
      <c r="AE640" s="37" t="s">
        <v>2349</v>
      </c>
      <c r="AF640" s="37">
        <v>0.5</v>
      </c>
      <c r="AN640" s="311" t="s">
        <v>2350</v>
      </c>
      <c r="AO640" s="37" t="s">
        <v>2351</v>
      </c>
      <c r="AP640" s="37">
        <v>2219</v>
      </c>
      <c r="AQ640" s="37" t="s">
        <v>136</v>
      </c>
    </row>
    <row r="641" s="37" customFormat="1" spans="1:44">
      <c r="A641" s="290">
        <v>635</v>
      </c>
      <c r="B641" s="37" t="s">
        <v>2337</v>
      </c>
      <c r="C641" s="37" t="s">
        <v>2352</v>
      </c>
      <c r="D641" s="37">
        <v>1</v>
      </c>
      <c r="E641" s="37">
        <v>0</v>
      </c>
      <c r="G641" s="37">
        <v>1</v>
      </c>
      <c r="H641" s="291" t="s">
        <v>2353</v>
      </c>
      <c r="I641" s="37">
        <f>286/30</f>
        <v>9.53333333333333</v>
      </c>
      <c r="J641" s="37">
        <f>286/30</f>
        <v>9.53333333333333</v>
      </c>
      <c r="L641" s="37">
        <v>1</v>
      </c>
      <c r="M641" s="37">
        <f t="shared" si="35"/>
        <v>9.13333333333333</v>
      </c>
      <c r="N641" s="37" t="s">
        <v>2354</v>
      </c>
      <c r="O641" s="37">
        <v>3</v>
      </c>
      <c r="P641" s="37">
        <v>-1.2</v>
      </c>
      <c r="Q641" s="37">
        <v>0</v>
      </c>
      <c r="V641" s="37">
        <v>1</v>
      </c>
      <c r="W641" s="37">
        <v>6</v>
      </c>
      <c r="X641" s="303">
        <v>12</v>
      </c>
      <c r="Y641" s="37">
        <v>-0.1</v>
      </c>
      <c r="Z641" s="37">
        <v>0</v>
      </c>
      <c r="AB641" s="37">
        <v>9.2333333333333</v>
      </c>
      <c r="AC641" s="37">
        <v>2</v>
      </c>
      <c r="AD641" s="37">
        <v>1</v>
      </c>
      <c r="AE641" s="37" t="s">
        <v>2355</v>
      </c>
      <c r="AF641" s="37">
        <v>0.5</v>
      </c>
      <c r="AN641" s="311"/>
      <c r="AP641" s="37">
        <v>2205</v>
      </c>
      <c r="AQ641" s="37" t="s">
        <v>136</v>
      </c>
      <c r="AR641" s="753" t="s">
        <v>2356</v>
      </c>
    </row>
    <row r="642" s="37" customFormat="1" spans="1:43">
      <c r="A642" s="290">
        <v>636</v>
      </c>
      <c r="B642" s="37" t="s">
        <v>2337</v>
      </c>
      <c r="C642" s="37" t="s">
        <v>2168</v>
      </c>
      <c r="D642" s="37">
        <v>1</v>
      </c>
      <c r="E642" s="37">
        <v>0</v>
      </c>
      <c r="G642" s="37">
        <v>1</v>
      </c>
      <c r="H642" s="291" t="s">
        <v>2357</v>
      </c>
      <c r="I642" s="37">
        <f>97/30</f>
        <v>3.23333333333333</v>
      </c>
      <c r="J642" s="37">
        <f>97/30</f>
        <v>3.23333333333333</v>
      </c>
      <c r="L642" s="37">
        <v>0</v>
      </c>
      <c r="M642" s="37">
        <f t="shared" si="35"/>
        <v>2.83333333333333</v>
      </c>
      <c r="N642" s="37" t="s">
        <v>2358</v>
      </c>
      <c r="O642" s="37">
        <v>3</v>
      </c>
      <c r="P642" s="37">
        <v>-2</v>
      </c>
      <c r="Q642" s="37">
        <v>0</v>
      </c>
      <c r="S642" s="37">
        <v>2</v>
      </c>
      <c r="T642" s="37">
        <v>0.5</v>
      </c>
      <c r="U642" s="37">
        <v>1.8</v>
      </c>
      <c r="V642" s="37">
        <v>1</v>
      </c>
      <c r="W642" s="37">
        <v>6</v>
      </c>
      <c r="X642" s="303">
        <v>9</v>
      </c>
      <c r="Y642" s="37">
        <v>-0.1</v>
      </c>
      <c r="Z642" s="37">
        <v>0</v>
      </c>
      <c r="AN642" s="311"/>
      <c r="AP642" s="37">
        <v>2222</v>
      </c>
      <c r="AQ642" s="37" t="s">
        <v>136</v>
      </c>
    </row>
    <row r="643" s="37" customFormat="1" spans="1:43">
      <c r="A643" s="290">
        <v>637</v>
      </c>
      <c r="B643" s="37" t="s">
        <v>2337</v>
      </c>
      <c r="C643" s="37" t="s">
        <v>2359</v>
      </c>
      <c r="D643" s="37">
        <v>1</v>
      </c>
      <c r="E643" s="37">
        <v>0</v>
      </c>
      <c r="G643" s="37">
        <v>1</v>
      </c>
      <c r="H643" s="291" t="s">
        <v>2360</v>
      </c>
      <c r="I643" s="37">
        <f>75/30</f>
        <v>2.5</v>
      </c>
      <c r="J643" s="37">
        <f>75/30</f>
        <v>2.5</v>
      </c>
      <c r="L643" s="37">
        <v>1</v>
      </c>
      <c r="M643" s="37">
        <f t="shared" si="35"/>
        <v>2.1</v>
      </c>
      <c r="N643" s="37" t="s">
        <v>2361</v>
      </c>
      <c r="O643" s="37">
        <v>3</v>
      </c>
      <c r="P643" s="37">
        <v>-2</v>
      </c>
      <c r="Q643" s="37">
        <v>0</v>
      </c>
      <c r="S643" s="37">
        <v>2</v>
      </c>
      <c r="T643" s="37">
        <v>0.5</v>
      </c>
      <c r="U643" s="37">
        <v>1.8</v>
      </c>
      <c r="V643" s="37">
        <v>1</v>
      </c>
      <c r="W643" s="37">
        <v>6</v>
      </c>
      <c r="X643" s="303">
        <v>4</v>
      </c>
      <c r="Y643" s="37">
        <v>-0.1</v>
      </c>
      <c r="Z643" s="37">
        <v>0</v>
      </c>
      <c r="AN643" s="311"/>
      <c r="AP643" s="37">
        <v>2223</v>
      </c>
      <c r="AQ643" s="37" t="s">
        <v>136</v>
      </c>
    </row>
    <row r="644" s="37" customFormat="1" spans="1:45">
      <c r="A644" s="290">
        <v>638</v>
      </c>
      <c r="B644" s="37" t="s">
        <v>2337</v>
      </c>
      <c r="C644" s="37" t="s">
        <v>2362</v>
      </c>
      <c r="D644" s="37">
        <v>1</v>
      </c>
      <c r="E644" s="37">
        <v>0</v>
      </c>
      <c r="G644" s="37">
        <v>1</v>
      </c>
      <c r="H644" s="291" t="s">
        <v>2363</v>
      </c>
      <c r="I644" s="37">
        <v>10</v>
      </c>
      <c r="J644" s="37">
        <v>10</v>
      </c>
      <c r="L644" s="37">
        <v>1</v>
      </c>
      <c r="M644" s="37">
        <f t="shared" si="35"/>
        <v>9.6</v>
      </c>
      <c r="N644" s="37" t="s">
        <v>2364</v>
      </c>
      <c r="O644" s="37">
        <v>3</v>
      </c>
      <c r="P644" s="37">
        <v>-15</v>
      </c>
      <c r="Q644" s="37">
        <v>0</v>
      </c>
      <c r="V644" s="37">
        <v>1</v>
      </c>
      <c r="W644" s="37">
        <v>6</v>
      </c>
      <c r="X644" s="303">
        <v>7</v>
      </c>
      <c r="Y644" s="37">
        <v>-0.1</v>
      </c>
      <c r="Z644" s="37">
        <v>0</v>
      </c>
      <c r="AB644" s="37">
        <v>9.7</v>
      </c>
      <c r="AC644" s="37">
        <v>1</v>
      </c>
      <c r="AD644" s="37">
        <v>1</v>
      </c>
      <c r="AE644" s="37" t="s">
        <v>2365</v>
      </c>
      <c r="AF644" s="37">
        <v>0.5</v>
      </c>
      <c r="AN644" s="311"/>
      <c r="AP644" s="37">
        <v>2204</v>
      </c>
      <c r="AQ644" s="37" t="s">
        <v>136</v>
      </c>
      <c r="AS644" s="37" t="s">
        <v>2366</v>
      </c>
    </row>
    <row r="645" s="38" customFormat="1" spans="1:43">
      <c r="A645" s="324">
        <v>641</v>
      </c>
      <c r="B645" s="38" t="s">
        <v>2367</v>
      </c>
      <c r="C645" s="38" t="s">
        <v>526</v>
      </c>
      <c r="D645" s="38">
        <v>1</v>
      </c>
      <c r="E645" s="38">
        <v>0</v>
      </c>
      <c r="G645" s="38">
        <v>1</v>
      </c>
      <c r="H645" s="325" t="s">
        <v>2368</v>
      </c>
      <c r="I645" s="38">
        <f>77/30</f>
        <v>2.56666666666667</v>
      </c>
      <c r="J645" s="38">
        <f>77/30</f>
        <v>2.56666666666667</v>
      </c>
      <c r="L645" s="38">
        <v>0</v>
      </c>
      <c r="M645" s="38">
        <f t="shared" ref="M645:M662" si="37">I645-0.4</f>
        <v>2.16666666666667</v>
      </c>
      <c r="N645" s="343" t="s">
        <v>2369</v>
      </c>
      <c r="O645" s="38">
        <v>1</v>
      </c>
      <c r="P645" s="38">
        <v>1.2</v>
      </c>
      <c r="Q645" s="38">
        <v>0</v>
      </c>
      <c r="S645" s="38">
        <v>1</v>
      </c>
      <c r="T645" s="38">
        <v>0.5</v>
      </c>
      <c r="U645" s="38">
        <v>0.5</v>
      </c>
      <c r="V645" s="38">
        <v>6</v>
      </c>
      <c r="W645" s="38">
        <v>0</v>
      </c>
      <c r="X645" s="344">
        <v>4</v>
      </c>
      <c r="Y645" s="38">
        <v>-0.1</v>
      </c>
      <c r="Z645" s="38">
        <v>0</v>
      </c>
      <c r="AN645" s="351"/>
      <c r="AP645" s="38">
        <v>2109</v>
      </c>
      <c r="AQ645" s="38" t="s">
        <v>136</v>
      </c>
    </row>
    <row r="646" s="38" customFormat="1" spans="1:43">
      <c r="A646" s="324">
        <v>642</v>
      </c>
      <c r="B646" s="38" t="s">
        <v>2367</v>
      </c>
      <c r="C646" s="38" t="s">
        <v>2370</v>
      </c>
      <c r="D646" s="38">
        <v>1</v>
      </c>
      <c r="E646" s="38">
        <v>0</v>
      </c>
      <c r="G646" s="38">
        <v>1</v>
      </c>
      <c r="H646" s="325" t="s">
        <v>2371</v>
      </c>
      <c r="I646" s="38">
        <f>82/30</f>
        <v>2.73333333333333</v>
      </c>
      <c r="J646" s="38">
        <f>82/30</f>
        <v>2.73333333333333</v>
      </c>
      <c r="L646" s="38">
        <v>1</v>
      </c>
      <c r="M646" s="38">
        <f t="shared" si="37"/>
        <v>2.33333333333333</v>
      </c>
      <c r="N646" s="38" t="s">
        <v>2372</v>
      </c>
      <c r="O646" s="38">
        <v>1</v>
      </c>
      <c r="P646" s="38">
        <v>1.2</v>
      </c>
      <c r="Q646" s="38">
        <v>0</v>
      </c>
      <c r="S646" s="38">
        <v>1</v>
      </c>
      <c r="T646" s="38">
        <v>0.5</v>
      </c>
      <c r="U646" s="38">
        <v>0.5</v>
      </c>
      <c r="V646" s="38">
        <v>6</v>
      </c>
      <c r="W646" s="38">
        <v>0</v>
      </c>
      <c r="X646" s="344">
        <v>6</v>
      </c>
      <c r="Y646" s="38">
        <v>-0.1</v>
      </c>
      <c r="Z646" s="38">
        <v>0</v>
      </c>
      <c r="AN646" s="351">
        <v>2113</v>
      </c>
      <c r="AO646" s="38" t="s">
        <v>483</v>
      </c>
      <c r="AP646" s="38">
        <v>2112</v>
      </c>
      <c r="AQ646" s="38" t="s">
        <v>136</v>
      </c>
    </row>
    <row r="647" s="38" customFormat="1" spans="1:43">
      <c r="A647" s="324">
        <v>643</v>
      </c>
      <c r="B647" s="38" t="s">
        <v>2367</v>
      </c>
      <c r="C647" s="38" t="s">
        <v>2373</v>
      </c>
      <c r="D647" s="38">
        <v>1</v>
      </c>
      <c r="E647" s="38">
        <v>0</v>
      </c>
      <c r="G647" s="38">
        <v>1</v>
      </c>
      <c r="H647" s="325" t="s">
        <v>2374</v>
      </c>
      <c r="I647" s="38">
        <f>112/30</f>
        <v>3.73333333333333</v>
      </c>
      <c r="J647" s="38">
        <f>112/30</f>
        <v>3.73333333333333</v>
      </c>
      <c r="L647" s="38">
        <v>1</v>
      </c>
      <c r="M647" s="38">
        <f t="shared" si="37"/>
        <v>3.33333333333333</v>
      </c>
      <c r="N647" s="38" t="s">
        <v>2375</v>
      </c>
      <c r="O647" s="38">
        <v>1</v>
      </c>
      <c r="P647" s="38">
        <v>1.2</v>
      </c>
      <c r="Q647" s="38">
        <v>0</v>
      </c>
      <c r="R647" s="38">
        <v>1</v>
      </c>
      <c r="S647" s="38">
        <v>1</v>
      </c>
      <c r="T647" s="38">
        <v>0.5</v>
      </c>
      <c r="U647" s="38">
        <v>0.5</v>
      </c>
      <c r="V647" s="38">
        <v>6</v>
      </c>
      <c r="W647" s="38">
        <v>0</v>
      </c>
      <c r="X647" s="344">
        <v>4</v>
      </c>
      <c r="Y647" s="38">
        <v>-0.1</v>
      </c>
      <c r="Z647" s="38">
        <v>0</v>
      </c>
      <c r="AN647" s="351"/>
      <c r="AP647" s="38">
        <v>2136</v>
      </c>
      <c r="AQ647" s="38" t="s">
        <v>136</v>
      </c>
    </row>
    <row r="648" s="38" customFormat="1" spans="1:43">
      <c r="A648" s="324">
        <v>644</v>
      </c>
      <c r="B648" s="38" t="s">
        <v>2367</v>
      </c>
      <c r="C648" s="38" t="s">
        <v>2376</v>
      </c>
      <c r="D648" s="38">
        <v>1</v>
      </c>
      <c r="E648" s="38">
        <v>0</v>
      </c>
      <c r="G648" s="38">
        <v>1</v>
      </c>
      <c r="H648" s="325" t="s">
        <v>2377</v>
      </c>
      <c r="I648" s="38">
        <f>85/30</f>
        <v>2.83333333333333</v>
      </c>
      <c r="J648" s="38">
        <f>85/30</f>
        <v>2.83333333333333</v>
      </c>
      <c r="L648" s="38">
        <v>1</v>
      </c>
      <c r="M648" s="38">
        <f t="shared" si="37"/>
        <v>2.43333333333333</v>
      </c>
      <c r="N648" s="38" t="s">
        <v>2378</v>
      </c>
      <c r="O648" s="38">
        <v>1</v>
      </c>
      <c r="P648" s="38">
        <v>1.2</v>
      </c>
      <c r="Q648" s="38">
        <v>0</v>
      </c>
      <c r="S648" s="38">
        <v>0.3</v>
      </c>
      <c r="T648" s="38">
        <v>0.5</v>
      </c>
      <c r="U648" s="38">
        <v>1</v>
      </c>
      <c r="V648" s="38">
        <v>6</v>
      </c>
      <c r="W648" s="38">
        <v>4</v>
      </c>
      <c r="X648" s="344">
        <v>4</v>
      </c>
      <c r="Y648" s="38">
        <v>-0.1</v>
      </c>
      <c r="Z648" s="38">
        <v>0</v>
      </c>
      <c r="AN648" s="351"/>
      <c r="AP648" s="38">
        <v>2115</v>
      </c>
      <c r="AQ648" s="38" t="s">
        <v>136</v>
      </c>
    </row>
    <row r="649" s="38" customFormat="1" spans="1:43">
      <c r="A649" s="324">
        <v>645</v>
      </c>
      <c r="B649" s="38" t="s">
        <v>2367</v>
      </c>
      <c r="C649" s="38" t="s">
        <v>2379</v>
      </c>
      <c r="D649" s="38">
        <v>1</v>
      </c>
      <c r="E649" s="38">
        <v>0</v>
      </c>
      <c r="G649" s="38">
        <v>1</v>
      </c>
      <c r="H649" s="325" t="s">
        <v>2380</v>
      </c>
      <c r="I649" s="38">
        <f>80/30</f>
        <v>2.66666666666667</v>
      </c>
      <c r="J649" s="38">
        <f>80/30</f>
        <v>2.66666666666667</v>
      </c>
      <c r="L649" s="38">
        <v>1</v>
      </c>
      <c r="M649" s="38">
        <f t="shared" si="37"/>
        <v>2.26666666666667</v>
      </c>
      <c r="N649" s="38" t="s">
        <v>2381</v>
      </c>
      <c r="O649" s="38">
        <v>1</v>
      </c>
      <c r="P649" s="38">
        <v>1.2</v>
      </c>
      <c r="Q649" s="38">
        <v>0</v>
      </c>
      <c r="S649" s="38">
        <v>1</v>
      </c>
      <c r="T649" s="38">
        <v>0.5</v>
      </c>
      <c r="U649" s="38">
        <v>0.5</v>
      </c>
      <c r="V649" s="38">
        <v>6</v>
      </c>
      <c r="W649" s="38">
        <v>0</v>
      </c>
      <c r="X649" s="344">
        <v>3</v>
      </c>
      <c r="Y649" s="38">
        <v>-0.1</v>
      </c>
      <c r="Z649" s="38">
        <v>0</v>
      </c>
      <c r="AN649" s="351">
        <v>2118</v>
      </c>
      <c r="AO649" s="38" t="s">
        <v>489</v>
      </c>
      <c r="AP649" s="38">
        <v>2117</v>
      </c>
      <c r="AQ649" s="38" t="s">
        <v>136</v>
      </c>
    </row>
    <row r="650" s="38" customFormat="1" spans="1:44">
      <c r="A650" s="324">
        <v>646</v>
      </c>
      <c r="B650" s="38" t="s">
        <v>2367</v>
      </c>
      <c r="C650" s="38" t="s">
        <v>2382</v>
      </c>
      <c r="D650" s="38">
        <v>1</v>
      </c>
      <c r="E650" s="38">
        <v>0</v>
      </c>
      <c r="G650" s="38">
        <v>1</v>
      </c>
      <c r="H650" s="325" t="s">
        <v>2383</v>
      </c>
      <c r="I650" s="38">
        <f>210/30</f>
        <v>7</v>
      </c>
      <c r="J650" s="38">
        <f>210/30</f>
        <v>7</v>
      </c>
      <c r="L650" s="38">
        <v>1</v>
      </c>
      <c r="M650" s="38">
        <f t="shared" si="37"/>
        <v>6.6</v>
      </c>
      <c r="N650" s="38" t="s">
        <v>2384</v>
      </c>
      <c r="O650" s="38">
        <v>1</v>
      </c>
      <c r="P650" s="38">
        <v>1.2</v>
      </c>
      <c r="Q650" s="38">
        <v>0</v>
      </c>
      <c r="V650" s="38">
        <v>6</v>
      </c>
      <c r="W650" s="38">
        <v>0</v>
      </c>
      <c r="X650" s="344">
        <v>4</v>
      </c>
      <c r="Y650" s="38">
        <v>-0.1</v>
      </c>
      <c r="Z650" s="38">
        <v>0</v>
      </c>
      <c r="AB650" s="38">
        <v>6.7</v>
      </c>
      <c r="AC650" s="38">
        <v>1</v>
      </c>
      <c r="AD650" s="38">
        <v>1</v>
      </c>
      <c r="AE650" s="38" t="s">
        <v>2385</v>
      </c>
      <c r="AF650" s="38">
        <v>0.5</v>
      </c>
      <c r="AG650" s="38" t="s">
        <v>2386</v>
      </c>
      <c r="AN650" s="351" t="s">
        <v>2387</v>
      </c>
      <c r="AO650" s="38" t="s">
        <v>2388</v>
      </c>
      <c r="AP650" s="38">
        <v>2120</v>
      </c>
      <c r="AQ650" s="38" t="s">
        <v>136</v>
      </c>
      <c r="AR650" s="754" t="s">
        <v>2326</v>
      </c>
    </row>
    <row r="651" s="38" customFormat="1" spans="1:44">
      <c r="A651" s="324">
        <v>647</v>
      </c>
      <c r="B651" s="38" t="s">
        <v>2367</v>
      </c>
      <c r="C651" s="38" t="s">
        <v>2389</v>
      </c>
      <c r="D651" s="38">
        <v>1</v>
      </c>
      <c r="E651" s="38">
        <v>0</v>
      </c>
      <c r="G651" s="38">
        <v>1</v>
      </c>
      <c r="H651" s="325" t="s">
        <v>2390</v>
      </c>
      <c r="I651" s="38">
        <f>260/30</f>
        <v>8.66666666666667</v>
      </c>
      <c r="J651" s="38">
        <f>260/30</f>
        <v>8.66666666666667</v>
      </c>
      <c r="L651" s="38">
        <v>1</v>
      </c>
      <c r="M651" s="38">
        <f t="shared" si="37"/>
        <v>8.26666666666667</v>
      </c>
      <c r="N651" s="38" t="s">
        <v>2391</v>
      </c>
      <c r="O651" s="38">
        <v>1</v>
      </c>
      <c r="P651" s="38">
        <v>1.2</v>
      </c>
      <c r="Q651" s="38">
        <v>0</v>
      </c>
      <c r="V651" s="38">
        <v>6</v>
      </c>
      <c r="W651" s="38">
        <v>0</v>
      </c>
      <c r="X651" s="344">
        <v>19</v>
      </c>
      <c r="Y651" s="38">
        <v>-0.1</v>
      </c>
      <c r="Z651" s="38">
        <v>0</v>
      </c>
      <c r="AB651" s="38">
        <v>8.36666666666666</v>
      </c>
      <c r="AC651" s="38">
        <v>2</v>
      </c>
      <c r="AD651" s="38">
        <v>1</v>
      </c>
      <c r="AE651" s="38" t="s">
        <v>2392</v>
      </c>
      <c r="AF651" s="38">
        <v>0.5</v>
      </c>
      <c r="AN651" s="351" t="s">
        <v>2393</v>
      </c>
      <c r="AO651" s="38" t="s">
        <v>2394</v>
      </c>
      <c r="AP651" s="38">
        <v>2123</v>
      </c>
      <c r="AQ651" s="38" t="s">
        <v>136</v>
      </c>
      <c r="AR651" s="754" t="s">
        <v>2326</v>
      </c>
    </row>
    <row r="652" s="38" customFormat="1" spans="1:46">
      <c r="A652" s="324">
        <v>648</v>
      </c>
      <c r="B652" s="38" t="s">
        <v>2367</v>
      </c>
      <c r="C652" s="38" t="s">
        <v>2395</v>
      </c>
      <c r="D652" s="38">
        <v>1</v>
      </c>
      <c r="E652" s="38">
        <v>0</v>
      </c>
      <c r="G652" s="38">
        <v>1</v>
      </c>
      <c r="H652" s="325" t="s">
        <v>2396</v>
      </c>
      <c r="I652" s="38">
        <f>205/30</f>
        <v>6.83333333333333</v>
      </c>
      <c r="J652" s="38">
        <f>205/30</f>
        <v>6.83333333333333</v>
      </c>
      <c r="L652" s="38">
        <v>1</v>
      </c>
      <c r="M652" s="38">
        <f t="shared" si="37"/>
        <v>6.43333333333333</v>
      </c>
      <c r="N652" s="38" t="s">
        <v>2397</v>
      </c>
      <c r="O652" s="38">
        <v>1</v>
      </c>
      <c r="P652" s="38">
        <v>1.2</v>
      </c>
      <c r="Q652" s="38">
        <v>0</v>
      </c>
      <c r="V652" s="38">
        <v>6</v>
      </c>
      <c r="W652" s="38">
        <v>0</v>
      </c>
      <c r="X652" s="344">
        <v>10</v>
      </c>
      <c r="Y652" s="38">
        <v>-0.1</v>
      </c>
      <c r="Z652" s="38">
        <v>0</v>
      </c>
      <c r="AB652" s="38">
        <v>6.5333333333</v>
      </c>
      <c r="AC652" s="38">
        <v>2</v>
      </c>
      <c r="AD652" s="38">
        <v>1</v>
      </c>
      <c r="AE652" s="38" t="s">
        <v>2398</v>
      </c>
      <c r="AF652" s="38">
        <v>0.5</v>
      </c>
      <c r="AN652" s="351"/>
      <c r="AP652" s="38">
        <v>2124</v>
      </c>
      <c r="AQ652" s="38" t="s">
        <v>136</v>
      </c>
      <c r="AR652" s="754" t="s">
        <v>2326</v>
      </c>
      <c r="AT652" s="38">
        <v>4</v>
      </c>
    </row>
    <row r="653" s="18" customFormat="1" spans="1:46">
      <c r="A653" s="278">
        <v>649</v>
      </c>
      <c r="B653" s="18" t="s">
        <v>2367</v>
      </c>
      <c r="C653" s="18" t="s">
        <v>2399</v>
      </c>
      <c r="D653" s="18">
        <v>1</v>
      </c>
      <c r="E653" s="18">
        <v>0</v>
      </c>
      <c r="G653" s="18">
        <v>1</v>
      </c>
      <c r="H653" s="326" t="s">
        <v>2396</v>
      </c>
      <c r="I653" s="18">
        <f>205/30</f>
        <v>6.83333333333333</v>
      </c>
      <c r="J653" s="18">
        <f>205/30</f>
        <v>6.83333333333333</v>
      </c>
      <c r="L653" s="18">
        <v>1</v>
      </c>
      <c r="M653" s="38">
        <f t="shared" si="37"/>
        <v>6.43333333333333</v>
      </c>
      <c r="N653" s="18" t="s">
        <v>2397</v>
      </c>
      <c r="O653" s="18">
        <v>1</v>
      </c>
      <c r="P653" s="38">
        <v>1.2</v>
      </c>
      <c r="Q653" s="18">
        <v>0</v>
      </c>
      <c r="V653" s="18">
        <v>6</v>
      </c>
      <c r="W653" s="18">
        <v>0</v>
      </c>
      <c r="X653" s="297">
        <v>10</v>
      </c>
      <c r="Y653" s="18">
        <v>-0.1</v>
      </c>
      <c r="Z653" s="18">
        <v>0</v>
      </c>
      <c r="AB653" s="18">
        <v>6.5333333333</v>
      </c>
      <c r="AC653" s="18">
        <v>2</v>
      </c>
      <c r="AD653" s="18">
        <v>1</v>
      </c>
      <c r="AE653" s="18" t="s">
        <v>2398</v>
      </c>
      <c r="AF653" s="18">
        <v>0.5</v>
      </c>
      <c r="AN653" s="306"/>
      <c r="AP653" s="18">
        <v>2124</v>
      </c>
      <c r="AQ653" s="18" t="s">
        <v>136</v>
      </c>
      <c r="AT653" s="18">
        <v>4</v>
      </c>
    </row>
    <row r="654" s="39" customFormat="1" spans="1:43">
      <c r="A654" s="327">
        <v>650</v>
      </c>
      <c r="B654" s="39" t="s">
        <v>2400</v>
      </c>
      <c r="C654" s="39" t="s">
        <v>526</v>
      </c>
      <c r="D654" s="39">
        <v>1</v>
      </c>
      <c r="E654" s="39">
        <v>0</v>
      </c>
      <c r="G654" s="39">
        <v>1</v>
      </c>
      <c r="H654" s="328" t="s">
        <v>2401</v>
      </c>
      <c r="I654" s="39">
        <f>1.633333333333+2.5+0.5</f>
        <v>4.633333333333</v>
      </c>
      <c r="J654" s="39">
        <f>1.633333333333+2.5+0.5</f>
        <v>4.633333333333</v>
      </c>
      <c r="L654" s="39">
        <v>1</v>
      </c>
      <c r="M654" s="39">
        <f t="shared" si="37"/>
        <v>4.233333333333</v>
      </c>
      <c r="N654" s="39" t="s">
        <v>2402</v>
      </c>
      <c r="O654" s="39">
        <v>1</v>
      </c>
      <c r="P654" s="39">
        <v>2.2</v>
      </c>
      <c r="Q654" s="39">
        <v>0</v>
      </c>
      <c r="S654" s="39">
        <v>2.1</v>
      </c>
      <c r="T654" s="39">
        <v>-2.3</v>
      </c>
      <c r="U654" s="39">
        <v>1</v>
      </c>
      <c r="V654" s="39">
        <v>1</v>
      </c>
      <c r="W654" s="39">
        <v>0</v>
      </c>
      <c r="X654" s="345">
        <v>2</v>
      </c>
      <c r="Y654" s="39">
        <v>-0.1</v>
      </c>
      <c r="Z654" s="39">
        <v>0</v>
      </c>
      <c r="AN654" s="352">
        <v>2171</v>
      </c>
      <c r="AO654" s="39" t="s">
        <v>2403</v>
      </c>
      <c r="AP654" s="39">
        <v>2146</v>
      </c>
      <c r="AQ654" s="39" t="s">
        <v>136</v>
      </c>
    </row>
    <row r="655" s="39" customFormat="1" spans="1:43">
      <c r="A655" s="327">
        <v>651</v>
      </c>
      <c r="B655" s="39" t="s">
        <v>2400</v>
      </c>
      <c r="C655" s="39" t="s">
        <v>2404</v>
      </c>
      <c r="D655" s="39">
        <v>1</v>
      </c>
      <c r="E655" s="39">
        <v>0</v>
      </c>
      <c r="G655" s="39">
        <v>1</v>
      </c>
      <c r="H655" s="328" t="s">
        <v>2405</v>
      </c>
      <c r="I655" s="39">
        <f>107/30+0.5</f>
        <v>4.06666666666667</v>
      </c>
      <c r="J655" s="39">
        <f>107/30+0.5</f>
        <v>4.06666666666667</v>
      </c>
      <c r="L655" s="39">
        <v>1</v>
      </c>
      <c r="M655" s="39">
        <f t="shared" si="37"/>
        <v>3.66666666666667</v>
      </c>
      <c r="N655" s="39" t="s">
        <v>2406</v>
      </c>
      <c r="O655" s="39">
        <v>1</v>
      </c>
      <c r="P655" s="39">
        <v>2.2</v>
      </c>
      <c r="Q655" s="39">
        <v>0</v>
      </c>
      <c r="S655" s="39">
        <v>1</v>
      </c>
      <c r="T655" s="39">
        <v>0.5</v>
      </c>
      <c r="U655" s="39">
        <v>0.5</v>
      </c>
      <c r="V655" s="39">
        <v>1</v>
      </c>
      <c r="W655" s="39">
        <v>0</v>
      </c>
      <c r="X655" s="345">
        <v>6</v>
      </c>
      <c r="Y655" s="39">
        <v>-0.1</v>
      </c>
      <c r="Z655" s="39">
        <v>0</v>
      </c>
      <c r="AN655" s="352"/>
      <c r="AP655" s="39">
        <v>2151</v>
      </c>
      <c r="AQ655" s="39" t="s">
        <v>136</v>
      </c>
    </row>
    <row r="656" s="39" customFormat="1" spans="1:43">
      <c r="A656" s="327">
        <v>652</v>
      </c>
      <c r="B656" s="39" t="s">
        <v>2400</v>
      </c>
      <c r="C656" s="39" t="s">
        <v>2407</v>
      </c>
      <c r="D656" s="39">
        <v>1</v>
      </c>
      <c r="E656" s="39">
        <v>0</v>
      </c>
      <c r="G656" s="39">
        <v>1</v>
      </c>
      <c r="H656" s="328" t="s">
        <v>2408</v>
      </c>
      <c r="I656" s="39">
        <f>120/30+0.5</f>
        <v>4.5</v>
      </c>
      <c r="J656" s="39">
        <f>120/30+0.5</f>
        <v>4.5</v>
      </c>
      <c r="L656" s="39">
        <v>1</v>
      </c>
      <c r="M656" s="39">
        <f t="shared" si="37"/>
        <v>4.1</v>
      </c>
      <c r="N656" s="39" t="s">
        <v>2409</v>
      </c>
      <c r="O656" s="39">
        <v>1</v>
      </c>
      <c r="P656" s="39">
        <v>2.2</v>
      </c>
      <c r="Q656" s="39">
        <v>1</v>
      </c>
      <c r="S656" s="39">
        <v>2</v>
      </c>
      <c r="T656" s="39">
        <v>2.3</v>
      </c>
      <c r="U656" s="39">
        <v>0.65</v>
      </c>
      <c r="V656" s="39">
        <v>1</v>
      </c>
      <c r="W656" s="39">
        <v>0</v>
      </c>
      <c r="X656" s="345">
        <v>5</v>
      </c>
      <c r="Y656" s="39">
        <v>-0.1</v>
      </c>
      <c r="Z656" s="39">
        <v>0</v>
      </c>
      <c r="AN656" s="352">
        <v>2173</v>
      </c>
      <c r="AO656" s="39" t="s">
        <v>674</v>
      </c>
      <c r="AP656" s="39">
        <v>2162</v>
      </c>
      <c r="AQ656" s="39" t="s">
        <v>136</v>
      </c>
    </row>
    <row r="657" s="39" customFormat="1" spans="1:44">
      <c r="A657" s="327">
        <v>653</v>
      </c>
      <c r="B657" s="39" t="s">
        <v>2400</v>
      </c>
      <c r="C657" s="39" t="s">
        <v>2410</v>
      </c>
      <c r="D657" s="39">
        <v>1</v>
      </c>
      <c r="E657" s="39">
        <v>0</v>
      </c>
      <c r="G657" s="39">
        <v>1</v>
      </c>
      <c r="H657" s="328" t="s">
        <v>2411</v>
      </c>
      <c r="I657" s="39">
        <f>290/30</f>
        <v>9.66666666666667</v>
      </c>
      <c r="J657" s="39">
        <f>290/30</f>
        <v>9.66666666666667</v>
      </c>
      <c r="L657" s="39">
        <v>1</v>
      </c>
      <c r="M657" s="39">
        <f t="shared" si="37"/>
        <v>9.26666666666667</v>
      </c>
      <c r="O657" s="39">
        <v>1</v>
      </c>
      <c r="P657" s="39">
        <v>3.8</v>
      </c>
      <c r="Q657" s="39">
        <v>0</v>
      </c>
      <c r="V657" s="39">
        <v>1</v>
      </c>
      <c r="W657" s="39">
        <v>0</v>
      </c>
      <c r="X657" s="345">
        <v>13</v>
      </c>
      <c r="Y657" s="39">
        <v>-0.1</v>
      </c>
      <c r="Z657" s="39">
        <v>0</v>
      </c>
      <c r="AB657" s="39">
        <f>I657-0.3</f>
        <v>9.36666666666667</v>
      </c>
      <c r="AC657" s="39">
        <v>2</v>
      </c>
      <c r="AD657" s="39">
        <v>1</v>
      </c>
      <c r="AE657" s="39" t="s">
        <v>2412</v>
      </c>
      <c r="AF657" s="39">
        <v>0.5</v>
      </c>
      <c r="AN657" s="352" t="s">
        <v>2413</v>
      </c>
      <c r="AO657" s="39" t="s">
        <v>2414</v>
      </c>
      <c r="AP657" s="39">
        <v>2153</v>
      </c>
      <c r="AQ657" s="39" t="s">
        <v>136</v>
      </c>
      <c r="AR657" s="755" t="s">
        <v>2326</v>
      </c>
    </row>
    <row r="658" s="39" customFormat="1" spans="1:44">
      <c r="A658" s="327">
        <v>654</v>
      </c>
      <c r="B658" s="39" t="s">
        <v>2400</v>
      </c>
      <c r="C658" s="39" t="s">
        <v>2415</v>
      </c>
      <c r="D658" s="39">
        <v>1</v>
      </c>
      <c r="E658" s="39">
        <v>0</v>
      </c>
      <c r="G658" s="39">
        <v>1</v>
      </c>
      <c r="H658" s="328" t="s">
        <v>2416</v>
      </c>
      <c r="I658" s="39">
        <f>220/30</f>
        <v>7.33333333333333</v>
      </c>
      <c r="J658" s="39">
        <f>220/30</f>
        <v>7.33333333333333</v>
      </c>
      <c r="L658" s="39">
        <v>1</v>
      </c>
      <c r="M658" s="39">
        <f t="shared" si="37"/>
        <v>6.93333333333333</v>
      </c>
      <c r="N658" s="39" t="s">
        <v>2417</v>
      </c>
      <c r="O658" s="39">
        <v>1</v>
      </c>
      <c r="P658" s="39">
        <v>2.2</v>
      </c>
      <c r="Q658" s="39">
        <v>0</v>
      </c>
      <c r="V658" s="39">
        <v>1</v>
      </c>
      <c r="W658" s="39">
        <v>0</v>
      </c>
      <c r="X658" s="345">
        <v>11</v>
      </c>
      <c r="Y658" s="39">
        <v>-0.1</v>
      </c>
      <c r="Z658" s="39">
        <v>0</v>
      </c>
      <c r="AB658" s="39">
        <f>I658-0.3</f>
        <v>7.03333333333333</v>
      </c>
      <c r="AC658" s="39">
        <v>2</v>
      </c>
      <c r="AD658" s="39">
        <v>1</v>
      </c>
      <c r="AE658" s="39" t="s">
        <v>2418</v>
      </c>
      <c r="AF658" s="39">
        <v>0.5</v>
      </c>
      <c r="AN658" s="352"/>
      <c r="AP658" s="39">
        <v>2155</v>
      </c>
      <c r="AQ658" s="39" t="s">
        <v>136</v>
      </c>
      <c r="AR658" s="755" t="s">
        <v>2326</v>
      </c>
    </row>
    <row r="659" s="39" customFormat="1" spans="1:43">
      <c r="A659" s="327">
        <v>655</v>
      </c>
      <c r="B659" s="39" t="s">
        <v>2400</v>
      </c>
      <c r="C659" s="39" t="s">
        <v>2419</v>
      </c>
      <c r="D659" s="39">
        <v>1</v>
      </c>
      <c r="E659" s="39">
        <v>0</v>
      </c>
      <c r="G659" s="39">
        <v>1</v>
      </c>
      <c r="H659" s="328" t="s">
        <v>2420</v>
      </c>
      <c r="I659" s="39">
        <f>62/30+0.5</f>
        <v>2.56666666666667</v>
      </c>
      <c r="J659" s="39">
        <f>62/30+0.5</f>
        <v>2.56666666666667</v>
      </c>
      <c r="L659" s="39">
        <v>0</v>
      </c>
      <c r="M659" s="39">
        <f t="shared" si="37"/>
        <v>2.16666666666667</v>
      </c>
      <c r="N659" s="39" t="s">
        <v>2421</v>
      </c>
      <c r="O659" s="39">
        <v>1</v>
      </c>
      <c r="P659" s="39">
        <v>2.2</v>
      </c>
      <c r="Q659" s="39">
        <v>0</v>
      </c>
      <c r="S659" s="39">
        <v>1</v>
      </c>
      <c r="T659" s="39">
        <v>0.5</v>
      </c>
      <c r="U659" s="39">
        <v>0.5</v>
      </c>
      <c r="V659" s="39">
        <v>1</v>
      </c>
      <c r="W659" s="39">
        <v>0</v>
      </c>
      <c r="X659" s="345">
        <v>5</v>
      </c>
      <c r="Y659" s="39">
        <v>-0.1</v>
      </c>
      <c r="Z659" s="39">
        <v>0</v>
      </c>
      <c r="AN659" s="352"/>
      <c r="AP659" s="39">
        <v>2164</v>
      </c>
      <c r="AQ659" s="39" t="s">
        <v>136</v>
      </c>
    </row>
    <row r="660" s="39" customFormat="1" spans="1:43">
      <c r="A660" s="327">
        <v>656</v>
      </c>
      <c r="B660" s="39" t="s">
        <v>2400</v>
      </c>
      <c r="C660" s="39" t="s">
        <v>2422</v>
      </c>
      <c r="D660" s="39">
        <v>1</v>
      </c>
      <c r="E660" s="39">
        <v>0</v>
      </c>
      <c r="G660" s="39">
        <v>1</v>
      </c>
      <c r="H660" s="328" t="s">
        <v>2423</v>
      </c>
      <c r="I660" s="39">
        <f>108/30+0.5</f>
        <v>4.1</v>
      </c>
      <c r="J660" s="39">
        <f>108/30+0.5</f>
        <v>4.1</v>
      </c>
      <c r="L660" s="39">
        <v>1</v>
      </c>
      <c r="M660" s="39">
        <f t="shared" si="37"/>
        <v>3.7</v>
      </c>
      <c r="N660" s="39" t="s">
        <v>2424</v>
      </c>
      <c r="O660" s="39">
        <v>1</v>
      </c>
      <c r="P660" s="39">
        <v>2.2</v>
      </c>
      <c r="Q660" s="39">
        <v>0</v>
      </c>
      <c r="S660" s="39">
        <v>4</v>
      </c>
      <c r="T660" s="39">
        <v>0.5</v>
      </c>
      <c r="U660" s="39">
        <v>1</v>
      </c>
      <c r="V660" s="39">
        <v>1</v>
      </c>
      <c r="W660" s="39">
        <v>0</v>
      </c>
      <c r="X660" s="345">
        <v>2</v>
      </c>
      <c r="Y660" s="39">
        <v>-0.1</v>
      </c>
      <c r="Z660" s="39">
        <v>0</v>
      </c>
      <c r="AN660" s="352"/>
      <c r="AP660" s="39">
        <v>2167</v>
      </c>
      <c r="AQ660" s="39" t="s">
        <v>136</v>
      </c>
    </row>
    <row r="661" s="39" customFormat="1" spans="1:44">
      <c r="A661" s="327">
        <v>657</v>
      </c>
      <c r="B661" s="39" t="s">
        <v>2400</v>
      </c>
      <c r="C661" s="39" t="s">
        <v>2425</v>
      </c>
      <c r="D661" s="39">
        <v>1</v>
      </c>
      <c r="E661" s="39">
        <v>0</v>
      </c>
      <c r="G661" s="39">
        <v>1</v>
      </c>
      <c r="H661" s="328" t="s">
        <v>2426</v>
      </c>
      <c r="I661" s="39">
        <f>230/30</f>
        <v>7.66666666666667</v>
      </c>
      <c r="J661" s="39">
        <f>230/30</f>
        <v>7.66666666666667</v>
      </c>
      <c r="L661" s="39">
        <v>1</v>
      </c>
      <c r="M661" s="39">
        <f t="shared" si="37"/>
        <v>7.26666666666667</v>
      </c>
      <c r="N661" s="39" t="s">
        <v>2427</v>
      </c>
      <c r="O661" s="39">
        <v>1</v>
      </c>
      <c r="P661" s="39">
        <v>15</v>
      </c>
      <c r="Q661" s="39">
        <v>0</v>
      </c>
      <c r="V661" s="39">
        <v>1</v>
      </c>
      <c r="W661" s="39">
        <v>0</v>
      </c>
      <c r="X661" s="345">
        <v>4</v>
      </c>
      <c r="Y661" s="39">
        <v>-0.1</v>
      </c>
      <c r="Z661" s="39">
        <v>0</v>
      </c>
      <c r="AB661" s="39">
        <f>I661-0.3</f>
        <v>7.36666666666667</v>
      </c>
      <c r="AC661" s="39">
        <v>2</v>
      </c>
      <c r="AD661" s="39">
        <v>1</v>
      </c>
      <c r="AE661" s="39" t="s">
        <v>2428</v>
      </c>
      <c r="AF661" s="39">
        <v>0.5</v>
      </c>
      <c r="AN661" s="352"/>
      <c r="AP661" s="39">
        <v>2158</v>
      </c>
      <c r="AQ661" s="39" t="s">
        <v>136</v>
      </c>
      <c r="AR661" s="755" t="s">
        <v>2326</v>
      </c>
    </row>
    <row r="662" s="39" customFormat="1" spans="1:44">
      <c r="A662" s="327">
        <v>658</v>
      </c>
      <c r="B662" s="39" t="s">
        <v>2400</v>
      </c>
      <c r="C662" s="39" t="s">
        <v>2429</v>
      </c>
      <c r="D662" s="39">
        <v>1</v>
      </c>
      <c r="E662" s="39">
        <v>0</v>
      </c>
      <c r="G662" s="39">
        <v>1</v>
      </c>
      <c r="H662" s="328" t="s">
        <v>2430</v>
      </c>
      <c r="I662" s="39">
        <f>290/30</f>
        <v>9.66666666666667</v>
      </c>
      <c r="J662" s="39">
        <f>290/30</f>
        <v>9.66666666666667</v>
      </c>
      <c r="L662" s="39">
        <v>1</v>
      </c>
      <c r="M662" s="39">
        <f t="shared" si="37"/>
        <v>9.26666666666667</v>
      </c>
      <c r="N662" s="39" t="s">
        <v>2431</v>
      </c>
      <c r="O662" s="39">
        <v>1</v>
      </c>
      <c r="P662" s="39">
        <v>2.2</v>
      </c>
      <c r="Q662" s="39">
        <v>0</v>
      </c>
      <c r="V662" s="39">
        <v>1</v>
      </c>
      <c r="W662" s="39">
        <v>0</v>
      </c>
      <c r="X662" s="345">
        <v>3</v>
      </c>
      <c r="Y662" s="39">
        <v>-0.1</v>
      </c>
      <c r="Z662" s="39">
        <v>0</v>
      </c>
      <c r="AB662" s="39">
        <f>I662-0.3</f>
        <v>9.36666666666667</v>
      </c>
      <c r="AC662" s="39">
        <v>2</v>
      </c>
      <c r="AD662" s="39">
        <v>1</v>
      </c>
      <c r="AE662" s="39" t="s">
        <v>2432</v>
      </c>
      <c r="AF662" s="39">
        <v>0.5</v>
      </c>
      <c r="AN662" s="352">
        <v>2174</v>
      </c>
      <c r="AO662" s="39" t="s">
        <v>690</v>
      </c>
      <c r="AP662" s="39">
        <v>2159</v>
      </c>
      <c r="AQ662" s="39" t="s">
        <v>136</v>
      </c>
      <c r="AR662" s="755" t="s">
        <v>2326</v>
      </c>
    </row>
    <row r="663" s="40" customFormat="1" spans="1:43">
      <c r="A663" s="329">
        <v>659</v>
      </c>
      <c r="B663" s="40" t="s">
        <v>2433</v>
      </c>
      <c r="C663" s="40" t="s">
        <v>526</v>
      </c>
      <c r="D663" s="40">
        <v>1</v>
      </c>
      <c r="E663" s="40">
        <v>0</v>
      </c>
      <c r="G663" s="40">
        <v>1</v>
      </c>
      <c r="H663" s="330" t="s">
        <v>2434</v>
      </c>
      <c r="I663" s="40">
        <f>118/30</f>
        <v>3.93333333333333</v>
      </c>
      <c r="J663" s="40">
        <f>118/30</f>
        <v>3.93333333333333</v>
      </c>
      <c r="L663" s="40">
        <v>0</v>
      </c>
      <c r="M663" s="40">
        <f t="shared" ref="M663:M702" si="38">I663-0.4</f>
        <v>3.53333333333333</v>
      </c>
      <c r="N663" s="40" t="s">
        <v>2435</v>
      </c>
      <c r="O663" s="40">
        <v>1</v>
      </c>
      <c r="P663" s="40">
        <v>2.8</v>
      </c>
      <c r="Q663" s="40">
        <v>0</v>
      </c>
      <c r="S663" s="40">
        <v>1.1</v>
      </c>
      <c r="T663" s="40">
        <v>0.5</v>
      </c>
      <c r="U663" s="40">
        <v>0.6</v>
      </c>
      <c r="V663" s="40">
        <v>1</v>
      </c>
      <c r="W663" s="40">
        <v>0</v>
      </c>
      <c r="X663" s="346">
        <v>3</v>
      </c>
      <c r="Y663" s="40">
        <v>-0.1</v>
      </c>
      <c r="Z663" s="40">
        <v>0</v>
      </c>
      <c r="AN663" s="353"/>
      <c r="AP663" s="40">
        <v>2181</v>
      </c>
      <c r="AQ663" s="40" t="s">
        <v>136</v>
      </c>
    </row>
    <row r="664" s="40" customFormat="1" spans="1:43">
      <c r="A664" s="329">
        <v>660</v>
      </c>
      <c r="B664" s="40" t="s">
        <v>2433</v>
      </c>
      <c r="C664" s="40" t="s">
        <v>2436</v>
      </c>
      <c r="D664" s="40">
        <v>1</v>
      </c>
      <c r="E664" s="40">
        <v>0</v>
      </c>
      <c r="G664" s="40">
        <v>1</v>
      </c>
      <c r="H664" s="330" t="s">
        <v>2437</v>
      </c>
      <c r="I664" s="40">
        <f>168/30</f>
        <v>5.6</v>
      </c>
      <c r="J664" s="40">
        <f>168/30</f>
        <v>5.6</v>
      </c>
      <c r="L664" s="40">
        <v>1</v>
      </c>
      <c r="M664" s="40">
        <f t="shared" si="38"/>
        <v>5.2</v>
      </c>
      <c r="N664" s="40" t="s">
        <v>2438</v>
      </c>
      <c r="O664" s="40">
        <v>1</v>
      </c>
      <c r="P664" s="40">
        <v>2.8</v>
      </c>
      <c r="Q664" s="40">
        <v>0</v>
      </c>
      <c r="S664" s="40">
        <v>1.1</v>
      </c>
      <c r="T664" s="40">
        <v>0.5</v>
      </c>
      <c r="U664" s="40">
        <v>0.6</v>
      </c>
      <c r="V664" s="40">
        <v>1</v>
      </c>
      <c r="W664" s="40">
        <v>0</v>
      </c>
      <c r="X664" s="346">
        <v>10</v>
      </c>
      <c r="Y664" s="40">
        <v>-0.1</v>
      </c>
      <c r="Z664" s="40">
        <v>0</v>
      </c>
      <c r="AN664" s="353">
        <v>2232</v>
      </c>
      <c r="AO664" s="40" t="s">
        <v>2439</v>
      </c>
      <c r="AP664" s="40">
        <v>2183</v>
      </c>
      <c r="AQ664" s="40" t="s">
        <v>136</v>
      </c>
    </row>
    <row r="665" s="40" customFormat="1" spans="1:43">
      <c r="A665" s="329">
        <v>661</v>
      </c>
      <c r="B665" s="40" t="s">
        <v>2433</v>
      </c>
      <c r="C665" s="40" t="s">
        <v>2440</v>
      </c>
      <c r="D665" s="40">
        <v>1</v>
      </c>
      <c r="E665" s="40">
        <v>0</v>
      </c>
      <c r="G665" s="40">
        <v>1</v>
      </c>
      <c r="H665" s="330" t="s">
        <v>2441</v>
      </c>
      <c r="I665" s="40">
        <f>160/30</f>
        <v>5.33333333333333</v>
      </c>
      <c r="J665" s="40">
        <f>160/30</f>
        <v>5.33333333333333</v>
      </c>
      <c r="L665" s="40">
        <v>1</v>
      </c>
      <c r="M665" s="40">
        <f t="shared" si="38"/>
        <v>4.93333333333333</v>
      </c>
      <c r="N665" s="40" t="s">
        <v>2442</v>
      </c>
      <c r="O665" s="40">
        <v>1</v>
      </c>
      <c r="P665" s="40">
        <v>2.8</v>
      </c>
      <c r="Q665" s="40">
        <v>0</v>
      </c>
      <c r="S665" s="40">
        <v>0.8</v>
      </c>
      <c r="T665" s="40">
        <v>0.5</v>
      </c>
      <c r="U665" s="40">
        <v>0.8</v>
      </c>
      <c r="V665" s="40">
        <v>1</v>
      </c>
      <c r="W665" s="40">
        <v>6</v>
      </c>
      <c r="X665" s="346">
        <v>10</v>
      </c>
      <c r="Y665" s="40">
        <v>-0.1</v>
      </c>
      <c r="Z665" s="40">
        <v>0</v>
      </c>
      <c r="AN665" s="353"/>
      <c r="AP665" s="353" t="s">
        <v>2443</v>
      </c>
      <c r="AQ665" s="40" t="s">
        <v>896</v>
      </c>
    </row>
    <row r="666" s="40" customFormat="1" spans="1:43">
      <c r="A666" s="329">
        <v>662</v>
      </c>
      <c r="B666" s="40" t="s">
        <v>2433</v>
      </c>
      <c r="C666" s="40" t="s">
        <v>2444</v>
      </c>
      <c r="D666" s="40">
        <v>1</v>
      </c>
      <c r="E666" s="40">
        <v>0</v>
      </c>
      <c r="G666" s="40">
        <v>1</v>
      </c>
      <c r="H666" s="330" t="s">
        <v>2445</v>
      </c>
      <c r="I666" s="40">
        <f>115/30</f>
        <v>3.83333333333333</v>
      </c>
      <c r="J666" s="40">
        <f>115/30</f>
        <v>3.83333333333333</v>
      </c>
      <c r="L666" s="40">
        <v>1</v>
      </c>
      <c r="M666" s="40">
        <f t="shared" si="38"/>
        <v>3.43333333333333</v>
      </c>
      <c r="N666" s="40" t="s">
        <v>2446</v>
      </c>
      <c r="O666" s="40">
        <v>1</v>
      </c>
      <c r="P666" s="40">
        <v>2.8</v>
      </c>
      <c r="Q666" s="40">
        <v>0</v>
      </c>
      <c r="S666" s="40">
        <v>0.8</v>
      </c>
      <c r="T666" s="40">
        <v>0.5</v>
      </c>
      <c r="U666" s="40">
        <v>0.8</v>
      </c>
      <c r="V666" s="40">
        <v>1</v>
      </c>
      <c r="W666" s="40">
        <v>6</v>
      </c>
      <c r="X666" s="346">
        <v>2</v>
      </c>
      <c r="Y666" s="40">
        <v>-0.1</v>
      </c>
      <c r="Z666" s="40">
        <v>0</v>
      </c>
      <c r="AN666" s="353"/>
      <c r="AP666" s="40">
        <v>2190</v>
      </c>
      <c r="AQ666" s="40" t="s">
        <v>136</v>
      </c>
    </row>
    <row r="667" s="40" customFormat="1" spans="1:43">
      <c r="A667" s="329">
        <v>663</v>
      </c>
      <c r="B667" s="40" t="s">
        <v>2433</v>
      </c>
      <c r="C667" s="40" t="s">
        <v>2447</v>
      </c>
      <c r="D667" s="40">
        <v>1</v>
      </c>
      <c r="E667" s="40">
        <v>0</v>
      </c>
      <c r="G667" s="40">
        <v>1</v>
      </c>
      <c r="H667" s="330" t="s">
        <v>2448</v>
      </c>
      <c r="I667" s="40">
        <f>110/30</f>
        <v>3.66666666666667</v>
      </c>
      <c r="J667" s="40">
        <f>110/30</f>
        <v>3.66666666666667</v>
      </c>
      <c r="L667" s="40">
        <v>1</v>
      </c>
      <c r="M667" s="40">
        <f t="shared" si="38"/>
        <v>3.26666666666667</v>
      </c>
      <c r="N667" s="40" t="s">
        <v>2449</v>
      </c>
      <c r="O667" s="40">
        <v>1</v>
      </c>
      <c r="P667" s="40">
        <v>2.8</v>
      </c>
      <c r="Q667" s="40">
        <v>0</v>
      </c>
      <c r="S667" s="40">
        <v>1.5</v>
      </c>
      <c r="T667" s="40">
        <v>0.5</v>
      </c>
      <c r="U667" s="40">
        <v>0.9</v>
      </c>
      <c r="V667" s="40">
        <v>1</v>
      </c>
      <c r="W667" s="40">
        <v>0</v>
      </c>
      <c r="X667" s="346">
        <v>3</v>
      </c>
      <c r="Y667" s="40">
        <v>-0.1</v>
      </c>
      <c r="Z667" s="40">
        <v>0</v>
      </c>
      <c r="AN667" s="353"/>
      <c r="AP667" s="40">
        <v>2193</v>
      </c>
      <c r="AQ667" s="40" t="s">
        <v>136</v>
      </c>
    </row>
    <row r="668" s="40" customFormat="1" spans="1:44">
      <c r="A668" s="329">
        <v>664</v>
      </c>
      <c r="B668" s="40" t="s">
        <v>2433</v>
      </c>
      <c r="C668" s="40" t="s">
        <v>2450</v>
      </c>
      <c r="D668" s="40">
        <v>1</v>
      </c>
      <c r="E668" s="40">
        <v>0</v>
      </c>
      <c r="G668" s="40">
        <v>1</v>
      </c>
      <c r="H668" s="330" t="s">
        <v>2451</v>
      </c>
      <c r="I668" s="40">
        <f>245/30</f>
        <v>8.16666666666667</v>
      </c>
      <c r="J668" s="40">
        <f>245/30</f>
        <v>8.16666666666667</v>
      </c>
      <c r="L668" s="40">
        <v>1</v>
      </c>
      <c r="M668" s="40">
        <f t="shared" si="38"/>
        <v>7.76666666666667</v>
      </c>
      <c r="N668" s="40" t="s">
        <v>2452</v>
      </c>
      <c r="O668" s="40">
        <v>1</v>
      </c>
      <c r="P668" s="40">
        <v>2.8</v>
      </c>
      <c r="Q668" s="40">
        <v>0</v>
      </c>
      <c r="V668" s="40">
        <v>1</v>
      </c>
      <c r="W668" s="40">
        <v>0</v>
      </c>
      <c r="X668" s="346">
        <v>12</v>
      </c>
      <c r="Y668" s="40">
        <v>-0.1</v>
      </c>
      <c r="Z668" s="40">
        <v>0</v>
      </c>
      <c r="AB668" s="40">
        <f>I668-0.3</f>
        <v>7.86666666666667</v>
      </c>
      <c r="AC668" s="40">
        <v>2</v>
      </c>
      <c r="AD668" s="40">
        <v>1</v>
      </c>
      <c r="AE668" s="40" t="s">
        <v>2453</v>
      </c>
      <c r="AF668" s="40">
        <v>0.5</v>
      </c>
      <c r="AN668" s="354"/>
      <c r="AO668" s="45"/>
      <c r="AP668" s="40">
        <v>2194</v>
      </c>
      <c r="AQ668" s="40" t="s">
        <v>136</v>
      </c>
      <c r="AR668" s="756" t="s">
        <v>2326</v>
      </c>
    </row>
    <row r="669" s="40" customFormat="1" spans="1:44">
      <c r="A669" s="329">
        <v>665</v>
      </c>
      <c r="B669" s="40" t="s">
        <v>2433</v>
      </c>
      <c r="C669" s="40" t="s">
        <v>2454</v>
      </c>
      <c r="D669" s="40">
        <v>1</v>
      </c>
      <c r="E669" s="40">
        <v>0</v>
      </c>
      <c r="G669" s="40">
        <v>1</v>
      </c>
      <c r="H669" s="330" t="s">
        <v>2455</v>
      </c>
      <c r="I669" s="40">
        <f>307/30</f>
        <v>10.2333333333333</v>
      </c>
      <c r="J669" s="40">
        <f>307/30</f>
        <v>10.2333333333333</v>
      </c>
      <c r="L669" s="40">
        <v>1</v>
      </c>
      <c r="M669" s="40">
        <f t="shared" si="38"/>
        <v>9.83333333333333</v>
      </c>
      <c r="N669" s="40" t="s">
        <v>2456</v>
      </c>
      <c r="O669" s="40">
        <v>1</v>
      </c>
      <c r="P669" s="40">
        <v>14.3</v>
      </c>
      <c r="Q669" s="40">
        <v>0</v>
      </c>
      <c r="V669" s="40">
        <v>1</v>
      </c>
      <c r="W669" s="40">
        <v>6</v>
      </c>
      <c r="X669" s="346">
        <v>7</v>
      </c>
      <c r="Y669" s="40">
        <v>-0.1</v>
      </c>
      <c r="Z669" s="40">
        <v>0</v>
      </c>
      <c r="AB669" s="40">
        <f>I669-0.3</f>
        <v>9.93333333333333</v>
      </c>
      <c r="AC669" s="40">
        <v>1</v>
      </c>
      <c r="AD669" s="40">
        <v>1</v>
      </c>
      <c r="AE669" s="40" t="s">
        <v>2457</v>
      </c>
      <c r="AF669" s="40">
        <v>0.5</v>
      </c>
      <c r="AN669" s="353" t="s">
        <v>2458</v>
      </c>
      <c r="AO669" s="40" t="s">
        <v>2459</v>
      </c>
      <c r="AP669" s="40">
        <v>2196</v>
      </c>
      <c r="AQ669" s="40" t="s">
        <v>136</v>
      </c>
      <c r="AR669" s="756" t="s">
        <v>2326</v>
      </c>
    </row>
    <row r="670" s="40" customFormat="1" spans="1:44">
      <c r="A670" s="329">
        <v>666</v>
      </c>
      <c r="B670" s="40" t="s">
        <v>2433</v>
      </c>
      <c r="C670" s="40" t="s">
        <v>2460</v>
      </c>
      <c r="D670" s="40">
        <v>1</v>
      </c>
      <c r="E670" s="40">
        <v>0</v>
      </c>
      <c r="G670" s="40">
        <v>1</v>
      </c>
      <c r="H670" s="330" t="s">
        <v>2461</v>
      </c>
      <c r="I670" s="40">
        <f>260/30</f>
        <v>8.66666666666667</v>
      </c>
      <c r="J670" s="40">
        <f>260/30</f>
        <v>8.66666666666667</v>
      </c>
      <c r="L670" s="40">
        <v>1</v>
      </c>
      <c r="M670" s="40">
        <f t="shared" si="38"/>
        <v>8.26666666666667</v>
      </c>
      <c r="N670" s="40" t="s">
        <v>2462</v>
      </c>
      <c r="O670" s="40">
        <v>1</v>
      </c>
      <c r="P670" s="40">
        <v>2.8</v>
      </c>
      <c r="Q670" s="40">
        <v>0</v>
      </c>
      <c r="V670" s="40">
        <v>1</v>
      </c>
      <c r="W670" s="40">
        <v>0</v>
      </c>
      <c r="X670" s="346">
        <v>10</v>
      </c>
      <c r="Y670" s="40">
        <v>-0.1</v>
      </c>
      <c r="Z670" s="40">
        <v>0</v>
      </c>
      <c r="AB670" s="40">
        <f>I670-0.3</f>
        <v>8.36666666666667</v>
      </c>
      <c r="AC670" s="40">
        <v>1</v>
      </c>
      <c r="AD670" s="40">
        <v>1</v>
      </c>
      <c r="AE670" s="40" t="s">
        <v>2463</v>
      </c>
      <c r="AF670" s="40">
        <v>0.5</v>
      </c>
      <c r="AN670" s="353" t="s">
        <v>2464</v>
      </c>
      <c r="AO670" s="40" t="s">
        <v>2465</v>
      </c>
      <c r="AP670" s="40">
        <v>2199</v>
      </c>
      <c r="AQ670" s="40" t="s">
        <v>136</v>
      </c>
      <c r="AR670" s="756" t="s">
        <v>2326</v>
      </c>
    </row>
    <row r="671" s="1" customFormat="1" spans="1:43">
      <c r="A671" s="331">
        <v>667</v>
      </c>
      <c r="B671" s="1" t="s">
        <v>2466</v>
      </c>
      <c r="C671" s="1" t="s">
        <v>526</v>
      </c>
      <c r="D671" s="1">
        <v>1</v>
      </c>
      <c r="E671" s="1">
        <v>0</v>
      </c>
      <c r="G671" s="1">
        <v>1</v>
      </c>
      <c r="H671" s="332" t="s">
        <v>2467</v>
      </c>
      <c r="I671" s="1">
        <v>3.06666666666667</v>
      </c>
      <c r="J671" s="1">
        <v>3.06666666666667</v>
      </c>
      <c r="L671" s="1">
        <v>0</v>
      </c>
      <c r="M671" s="1">
        <f t="shared" si="38"/>
        <v>2.66666666666667</v>
      </c>
      <c r="N671" s="1" t="s">
        <v>2468</v>
      </c>
      <c r="O671" s="1">
        <v>1</v>
      </c>
      <c r="P671" s="1">
        <v>2.78</v>
      </c>
      <c r="Q671" s="1">
        <v>0</v>
      </c>
      <c r="S671" s="1">
        <v>1</v>
      </c>
      <c r="T671" s="1">
        <v>1</v>
      </c>
      <c r="U671" s="1">
        <v>0.8</v>
      </c>
      <c r="V671" s="1">
        <v>1</v>
      </c>
      <c r="W671" s="1">
        <v>0</v>
      </c>
      <c r="X671" s="1">
        <v>3</v>
      </c>
      <c r="Y671" s="1">
        <v>-0.1</v>
      </c>
      <c r="Z671" s="1">
        <v>0</v>
      </c>
      <c r="AN671" s="355" t="s">
        <v>2469</v>
      </c>
      <c r="AO671" s="355" t="s">
        <v>524</v>
      </c>
      <c r="AP671" s="1">
        <v>2362</v>
      </c>
      <c r="AQ671" s="1" t="s">
        <v>136</v>
      </c>
    </row>
    <row r="672" s="1" customFormat="1" spans="1:43">
      <c r="A672" s="331">
        <v>668</v>
      </c>
      <c r="B672" s="1" t="s">
        <v>2466</v>
      </c>
      <c r="C672" s="1" t="s">
        <v>2470</v>
      </c>
      <c r="D672" s="1">
        <v>1</v>
      </c>
      <c r="E672" s="1">
        <v>0</v>
      </c>
      <c r="G672" s="1">
        <v>1</v>
      </c>
      <c r="H672" s="332" t="s">
        <v>2471</v>
      </c>
      <c r="I672" s="1">
        <v>3.66666666666667</v>
      </c>
      <c r="J672" s="1">
        <v>3.66666666666667</v>
      </c>
      <c r="L672" s="1">
        <v>1</v>
      </c>
      <c r="M672" s="1">
        <f t="shared" ref="M672:M686" si="39">I672-0.4</f>
        <v>3.26666666666667</v>
      </c>
      <c r="N672" s="1" t="s">
        <v>2472</v>
      </c>
      <c r="O672" s="1">
        <v>1</v>
      </c>
      <c r="P672" s="1">
        <v>2.78</v>
      </c>
      <c r="Q672" s="1">
        <v>0</v>
      </c>
      <c r="R672" s="1">
        <v>1</v>
      </c>
      <c r="S672" s="1">
        <v>0.15</v>
      </c>
      <c r="T672" s="1">
        <v>0.6</v>
      </c>
      <c r="U672" s="1">
        <v>0.8</v>
      </c>
      <c r="V672" s="1">
        <v>1</v>
      </c>
      <c r="W672" s="1">
        <v>0</v>
      </c>
      <c r="X672" s="1">
        <v>4</v>
      </c>
      <c r="Y672" s="1">
        <v>-0.1</v>
      </c>
      <c r="Z672" s="1">
        <v>0</v>
      </c>
      <c r="AN672" s="355"/>
      <c r="AO672" s="355"/>
      <c r="AP672" s="1">
        <v>2366</v>
      </c>
      <c r="AQ672" s="1" t="s">
        <v>136</v>
      </c>
    </row>
    <row r="673" s="1" customFormat="1" spans="1:43">
      <c r="A673" s="331">
        <v>669</v>
      </c>
      <c r="B673" s="1" t="s">
        <v>2466</v>
      </c>
      <c r="C673" s="1" t="s">
        <v>2473</v>
      </c>
      <c r="D673" s="1">
        <v>1</v>
      </c>
      <c r="E673" s="1">
        <v>0</v>
      </c>
      <c r="G673" s="1">
        <v>1</v>
      </c>
      <c r="H673" s="332" t="s">
        <v>2474</v>
      </c>
      <c r="I673" s="1">
        <v>4.06666666666667</v>
      </c>
      <c r="J673" s="1">
        <v>4.06666666666667</v>
      </c>
      <c r="L673" s="1">
        <v>1</v>
      </c>
      <c r="M673" s="1">
        <f t="shared" si="39"/>
        <v>3.66666666666667</v>
      </c>
      <c r="N673" s="1" t="s">
        <v>2475</v>
      </c>
      <c r="O673" s="1">
        <v>1</v>
      </c>
      <c r="P673" s="1">
        <v>2.78</v>
      </c>
      <c r="Q673" s="1">
        <v>0</v>
      </c>
      <c r="S673" s="1">
        <v>1</v>
      </c>
      <c r="T673" s="1">
        <v>1</v>
      </c>
      <c r="U673" s="1">
        <v>1.2</v>
      </c>
      <c r="V673" s="1">
        <v>1</v>
      </c>
      <c r="W673" s="1">
        <v>0</v>
      </c>
      <c r="X673" s="1">
        <v>7</v>
      </c>
      <c r="Y673" s="1">
        <v>-0.1</v>
      </c>
      <c r="Z673" s="1">
        <v>0</v>
      </c>
      <c r="AN673" s="355" t="s">
        <v>2476</v>
      </c>
      <c r="AO673" s="355" t="s">
        <v>2477</v>
      </c>
      <c r="AP673" s="1">
        <v>2368</v>
      </c>
      <c r="AQ673" s="1" t="s">
        <v>136</v>
      </c>
    </row>
    <row r="674" s="1" customFormat="1" spans="1:43">
      <c r="A674" s="331">
        <v>670</v>
      </c>
      <c r="B674" s="1" t="s">
        <v>2466</v>
      </c>
      <c r="C674" s="1" t="s">
        <v>2478</v>
      </c>
      <c r="D674" s="1">
        <v>1</v>
      </c>
      <c r="E674" s="1">
        <v>0</v>
      </c>
      <c r="G674" s="1">
        <v>1</v>
      </c>
      <c r="H674" s="332" t="s">
        <v>2479</v>
      </c>
      <c r="I674" s="1">
        <v>3.9</v>
      </c>
      <c r="J674" s="1">
        <v>3.9</v>
      </c>
      <c r="L674" s="1">
        <v>1</v>
      </c>
      <c r="M674" s="1">
        <f t="shared" si="39"/>
        <v>3.5</v>
      </c>
      <c r="N674" s="1" t="s">
        <v>2480</v>
      </c>
      <c r="O674" s="1">
        <v>1</v>
      </c>
      <c r="P674" s="1">
        <v>2.78</v>
      </c>
      <c r="Q674" s="1">
        <v>0</v>
      </c>
      <c r="S674" s="1">
        <v>-0.8</v>
      </c>
      <c r="T674" s="1">
        <v>-0.5</v>
      </c>
      <c r="U674" s="1">
        <v>1.5</v>
      </c>
      <c r="V674" s="1">
        <v>1</v>
      </c>
      <c r="W674" s="1">
        <v>6</v>
      </c>
      <c r="X674" s="1">
        <v>13</v>
      </c>
      <c r="Y674" s="1">
        <v>-0.1</v>
      </c>
      <c r="Z674" s="1">
        <v>0</v>
      </c>
      <c r="AN674" s="355" t="s">
        <v>2481</v>
      </c>
      <c r="AO674" s="355" t="s">
        <v>524</v>
      </c>
      <c r="AP674" s="1">
        <v>2374</v>
      </c>
      <c r="AQ674" s="1" t="s">
        <v>136</v>
      </c>
    </row>
    <row r="675" s="1" customFormat="1" spans="1:43">
      <c r="A675" s="331">
        <v>671</v>
      </c>
      <c r="B675" s="1" t="s">
        <v>2466</v>
      </c>
      <c r="C675" s="1" t="s">
        <v>2482</v>
      </c>
      <c r="D675" s="1">
        <v>1</v>
      </c>
      <c r="E675" s="1">
        <v>0</v>
      </c>
      <c r="G675" s="1">
        <v>1</v>
      </c>
      <c r="H675" s="332" t="s">
        <v>2483</v>
      </c>
      <c r="I675" s="1">
        <v>2.8</v>
      </c>
      <c r="J675" s="1">
        <v>2.8</v>
      </c>
      <c r="L675" s="1">
        <v>1</v>
      </c>
      <c r="M675" s="1">
        <f t="shared" si="39"/>
        <v>2.4</v>
      </c>
      <c r="N675" s="1" t="s">
        <v>2484</v>
      </c>
      <c r="O675" s="1">
        <v>1</v>
      </c>
      <c r="P675" s="1">
        <v>2.78</v>
      </c>
      <c r="Q675" s="1">
        <v>1</v>
      </c>
      <c r="S675" s="1">
        <v>-0.8</v>
      </c>
      <c r="T675" s="1">
        <v>-0.5</v>
      </c>
      <c r="U675" s="1">
        <v>1.5</v>
      </c>
      <c r="V675" s="1">
        <v>1</v>
      </c>
      <c r="W675" s="1">
        <v>6</v>
      </c>
      <c r="X675" s="1">
        <v>3</v>
      </c>
      <c r="Y675" s="1">
        <v>-0.1</v>
      </c>
      <c r="Z675" s="1">
        <v>0</v>
      </c>
      <c r="AN675" s="355"/>
      <c r="AO675" s="355"/>
      <c r="AP675" s="355">
        <v>2378</v>
      </c>
      <c r="AQ675" s="1" t="s">
        <v>136</v>
      </c>
    </row>
    <row r="676" s="1" customFormat="1" spans="1:43">
      <c r="A676" s="331">
        <v>672</v>
      </c>
      <c r="B676" s="1" t="s">
        <v>2466</v>
      </c>
      <c r="C676" s="1" t="s">
        <v>2485</v>
      </c>
      <c r="D676" s="1">
        <v>1</v>
      </c>
      <c r="E676" s="1">
        <v>0</v>
      </c>
      <c r="G676" s="1">
        <v>1</v>
      </c>
      <c r="H676" s="332" t="s">
        <v>2486</v>
      </c>
      <c r="I676" s="1">
        <f>305/30</f>
        <v>10.1666666666667</v>
      </c>
      <c r="J676" s="1">
        <f>305/30</f>
        <v>10.1666666666667</v>
      </c>
      <c r="L676" s="1">
        <v>1</v>
      </c>
      <c r="M676" s="1">
        <f t="shared" si="39"/>
        <v>9.76666666666667</v>
      </c>
      <c r="N676" s="1" t="s">
        <v>2487</v>
      </c>
      <c r="O676" s="1">
        <v>1</v>
      </c>
      <c r="P676" s="1">
        <v>2.78</v>
      </c>
      <c r="Q676" s="1">
        <v>0</v>
      </c>
      <c r="V676" s="1">
        <v>1</v>
      </c>
      <c r="W676" s="1">
        <v>0</v>
      </c>
      <c r="X676" s="1">
        <v>10</v>
      </c>
      <c r="Y676" s="1">
        <v>-0.1</v>
      </c>
      <c r="Z676" s="1">
        <v>0</v>
      </c>
      <c r="AB676" s="1">
        <f>I676-0.3</f>
        <v>9.86666666666667</v>
      </c>
      <c r="AC676" s="1">
        <v>1</v>
      </c>
      <c r="AD676" s="1">
        <v>1</v>
      </c>
      <c r="AE676" s="1" t="s">
        <v>2488</v>
      </c>
      <c r="AF676" s="1">
        <v>0.5</v>
      </c>
      <c r="AH676" s="1">
        <v>1</v>
      </c>
      <c r="AN676" s="355" t="s">
        <v>2489</v>
      </c>
      <c r="AO676" s="355" t="s">
        <v>2490</v>
      </c>
      <c r="AP676" s="1">
        <v>2383</v>
      </c>
      <c r="AQ676" s="1" t="s">
        <v>136</v>
      </c>
    </row>
    <row r="677" s="1" customFormat="1" spans="1:43">
      <c r="A677" s="331">
        <v>673</v>
      </c>
      <c r="B677" s="1" t="s">
        <v>2466</v>
      </c>
      <c r="C677" s="1" t="s">
        <v>2491</v>
      </c>
      <c r="D677" s="1">
        <v>1</v>
      </c>
      <c r="E677" s="1">
        <v>0</v>
      </c>
      <c r="G677" s="1">
        <v>1</v>
      </c>
      <c r="H677" s="332" t="s">
        <v>2492</v>
      </c>
      <c r="I677" s="1">
        <v>10.5</v>
      </c>
      <c r="J677" s="1">
        <v>10.5</v>
      </c>
      <c r="L677" s="1">
        <v>1</v>
      </c>
      <c r="M677" s="1">
        <f t="shared" si="39"/>
        <v>10.1</v>
      </c>
      <c r="N677" s="1" t="s">
        <v>2493</v>
      </c>
      <c r="O677" s="1">
        <v>3</v>
      </c>
      <c r="P677" s="1">
        <v>-11</v>
      </c>
      <c r="Q677" s="1">
        <v>0</v>
      </c>
      <c r="V677" s="1">
        <v>1</v>
      </c>
      <c r="W677" s="347">
        <v>6</v>
      </c>
      <c r="X677" s="1">
        <v>14</v>
      </c>
      <c r="Y677" s="1">
        <v>-0.1</v>
      </c>
      <c r="Z677" s="1">
        <v>0</v>
      </c>
      <c r="AB677" s="1">
        <v>10.2</v>
      </c>
      <c r="AC677" s="1">
        <v>2</v>
      </c>
      <c r="AD677" s="1">
        <v>1</v>
      </c>
      <c r="AE677" s="1" t="s">
        <v>2494</v>
      </c>
      <c r="AF677" s="1">
        <v>0.5</v>
      </c>
      <c r="AN677" s="355" t="s">
        <v>2495</v>
      </c>
      <c r="AO677" s="355" t="s">
        <v>524</v>
      </c>
      <c r="AP677" s="1">
        <v>2386</v>
      </c>
      <c r="AQ677" s="1" t="s">
        <v>136</v>
      </c>
    </row>
    <row r="678" s="1" customFormat="1" spans="1:43">
      <c r="A678" s="331">
        <v>674</v>
      </c>
      <c r="B678" s="1" t="s">
        <v>2466</v>
      </c>
      <c r="C678" s="1" t="s">
        <v>2496</v>
      </c>
      <c r="D678" s="1">
        <v>1</v>
      </c>
      <c r="E678" s="1">
        <v>0</v>
      </c>
      <c r="G678" s="1">
        <v>1</v>
      </c>
      <c r="H678" s="332" t="s">
        <v>2497</v>
      </c>
      <c r="I678" s="1">
        <f>303/30</f>
        <v>10.1</v>
      </c>
      <c r="J678" s="1">
        <f>303/30</f>
        <v>10.1</v>
      </c>
      <c r="L678" s="1">
        <v>1</v>
      </c>
      <c r="M678" s="1">
        <f t="shared" si="39"/>
        <v>9.7</v>
      </c>
      <c r="N678" s="1" t="s">
        <v>2498</v>
      </c>
      <c r="O678" s="1">
        <v>3</v>
      </c>
      <c r="P678" s="1">
        <v>-10</v>
      </c>
      <c r="Q678" s="1">
        <v>0</v>
      </c>
      <c r="V678" s="1">
        <v>1</v>
      </c>
      <c r="W678" s="347">
        <v>6</v>
      </c>
      <c r="X678" s="1">
        <v>14</v>
      </c>
      <c r="Y678" s="1">
        <v>-0.1</v>
      </c>
      <c r="Z678" s="1">
        <v>0</v>
      </c>
      <c r="AB678" s="1">
        <v>9.8</v>
      </c>
      <c r="AC678" s="1">
        <v>1</v>
      </c>
      <c r="AD678" s="1">
        <v>1</v>
      </c>
      <c r="AE678" s="1" t="s">
        <v>2499</v>
      </c>
      <c r="AF678" s="1">
        <v>0.5</v>
      </c>
      <c r="AN678" s="355"/>
      <c r="AP678" s="355">
        <v>2389</v>
      </c>
      <c r="AQ678" s="1" t="s">
        <v>136</v>
      </c>
    </row>
    <row r="679" ht="16.5" spans="1:44">
      <c r="A679" s="333">
        <v>675</v>
      </c>
      <c r="B679" s="334" t="s">
        <v>2500</v>
      </c>
      <c r="C679" s="334" t="s">
        <v>2501</v>
      </c>
      <c r="D679">
        <v>1</v>
      </c>
      <c r="E679">
        <v>0</v>
      </c>
      <c r="G679">
        <v>1</v>
      </c>
      <c r="H679" s="5" t="s">
        <v>2502</v>
      </c>
      <c r="I679">
        <f>70/30</f>
        <v>2.33333333333333</v>
      </c>
      <c r="J679">
        <f>70/30</f>
        <v>2.33333333333333</v>
      </c>
      <c r="L679">
        <v>0</v>
      </c>
      <c r="M679">
        <f t="shared" si="39"/>
        <v>1.93333333333333</v>
      </c>
      <c r="N679" t="s">
        <v>2503</v>
      </c>
      <c r="O679">
        <v>1</v>
      </c>
      <c r="P679">
        <v>4.2</v>
      </c>
      <c r="Q679">
        <v>0</v>
      </c>
      <c r="S679">
        <v>1.3</v>
      </c>
      <c r="T679">
        <v>0.6</v>
      </c>
      <c r="U679">
        <v>0.4</v>
      </c>
      <c r="V679">
        <v>1</v>
      </c>
      <c r="W679">
        <v>0</v>
      </c>
      <c r="X679" s="7">
        <v>4</v>
      </c>
      <c r="Y679">
        <v>-0.1</v>
      </c>
      <c r="Z679">
        <v>0</v>
      </c>
      <c r="AN679" s="154"/>
      <c r="AO679" s="8"/>
      <c r="AP679" s="267">
        <v>2426</v>
      </c>
      <c r="AQ679" t="s">
        <v>136</v>
      </c>
      <c r="AR679" s="11"/>
    </row>
    <row r="680" ht="16.5" spans="1:44">
      <c r="A680" s="333">
        <v>676</v>
      </c>
      <c r="B680" s="334" t="s">
        <v>2500</v>
      </c>
      <c r="C680" s="334" t="s">
        <v>2504</v>
      </c>
      <c r="D680">
        <v>1</v>
      </c>
      <c r="E680">
        <v>0</v>
      </c>
      <c r="G680">
        <v>1</v>
      </c>
      <c r="H680" s="5" t="s">
        <v>2505</v>
      </c>
      <c r="I680">
        <f>108/30</f>
        <v>3.6</v>
      </c>
      <c r="J680">
        <f>108/30</f>
        <v>3.6</v>
      </c>
      <c r="L680">
        <v>1</v>
      </c>
      <c r="M680">
        <f t="shared" si="39"/>
        <v>3.2</v>
      </c>
      <c r="N680" t="s">
        <v>2506</v>
      </c>
      <c r="O680">
        <v>1</v>
      </c>
      <c r="P680">
        <v>4.2</v>
      </c>
      <c r="Q680">
        <v>0</v>
      </c>
      <c r="S680">
        <v>1.3</v>
      </c>
      <c r="T680">
        <v>0.6</v>
      </c>
      <c r="U680">
        <v>0.5</v>
      </c>
      <c r="V680">
        <v>1</v>
      </c>
      <c r="W680">
        <v>0</v>
      </c>
      <c r="X680" s="7">
        <v>3</v>
      </c>
      <c r="Y680">
        <v>-0.1</v>
      </c>
      <c r="Z680">
        <v>0</v>
      </c>
      <c r="AN680" s="10" t="s">
        <v>2507</v>
      </c>
      <c r="AO680" t="s">
        <v>2157</v>
      </c>
      <c r="AP680" s="267">
        <v>2429</v>
      </c>
      <c r="AQ680" t="s">
        <v>136</v>
      </c>
      <c r="AR680" s="11"/>
    </row>
    <row r="681" ht="16.5" spans="1:44">
      <c r="A681" s="333">
        <v>677</v>
      </c>
      <c r="B681" s="334" t="s">
        <v>2500</v>
      </c>
      <c r="C681" s="334" t="s">
        <v>2508</v>
      </c>
      <c r="D681">
        <v>1</v>
      </c>
      <c r="E681">
        <v>0</v>
      </c>
      <c r="G681">
        <v>1</v>
      </c>
      <c r="H681" s="5" t="s">
        <v>2509</v>
      </c>
      <c r="I681">
        <f>81/30</f>
        <v>2.7</v>
      </c>
      <c r="J681">
        <f>81/30</f>
        <v>2.7</v>
      </c>
      <c r="L681">
        <v>1</v>
      </c>
      <c r="M681">
        <f t="shared" si="39"/>
        <v>2.3</v>
      </c>
      <c r="N681" t="s">
        <v>2510</v>
      </c>
      <c r="O681">
        <v>1</v>
      </c>
      <c r="P681">
        <v>4.2</v>
      </c>
      <c r="Q681">
        <v>0</v>
      </c>
      <c r="S681">
        <v>1.5</v>
      </c>
      <c r="T681">
        <v>0.5</v>
      </c>
      <c r="U681">
        <v>0.5</v>
      </c>
      <c r="V681">
        <v>1</v>
      </c>
      <c r="W681">
        <v>0</v>
      </c>
      <c r="X681" s="7">
        <v>3</v>
      </c>
      <c r="Y681">
        <v>-0.1</v>
      </c>
      <c r="Z681">
        <v>0</v>
      </c>
      <c r="AN681" s="10">
        <v>2437</v>
      </c>
      <c r="AO681" t="s">
        <v>2511</v>
      </c>
      <c r="AP681" s="267">
        <v>2434</v>
      </c>
      <c r="AQ681" t="s">
        <v>136</v>
      </c>
      <c r="AR681" s="11"/>
    </row>
    <row r="682" ht="16.5" spans="1:44">
      <c r="A682" s="333">
        <v>678</v>
      </c>
      <c r="B682" s="334" t="s">
        <v>2500</v>
      </c>
      <c r="C682" s="334" t="s">
        <v>2512</v>
      </c>
      <c r="D682">
        <v>1</v>
      </c>
      <c r="E682">
        <v>0</v>
      </c>
      <c r="G682">
        <v>1</v>
      </c>
      <c r="H682" s="5" t="s">
        <v>2513</v>
      </c>
      <c r="I682">
        <f>280/30</f>
        <v>9.33333333333333</v>
      </c>
      <c r="J682">
        <f>280/30</f>
        <v>9.33333333333333</v>
      </c>
      <c r="L682">
        <v>1</v>
      </c>
      <c r="M682">
        <f t="shared" si="39"/>
        <v>8.93333333333333</v>
      </c>
      <c r="N682" t="s">
        <v>2514</v>
      </c>
      <c r="O682">
        <v>3</v>
      </c>
      <c r="P682">
        <v>-4</v>
      </c>
      <c r="Q682">
        <v>0</v>
      </c>
      <c r="V682">
        <v>1</v>
      </c>
      <c r="W682" s="185">
        <v>6</v>
      </c>
      <c r="X682" s="7">
        <v>9</v>
      </c>
      <c r="Y682">
        <v>-0.1</v>
      </c>
      <c r="Z682">
        <v>0</v>
      </c>
      <c r="AB682">
        <v>9</v>
      </c>
      <c r="AC682">
        <v>2</v>
      </c>
      <c r="AD682">
        <v>1</v>
      </c>
      <c r="AE682" t="s">
        <v>2515</v>
      </c>
      <c r="AF682">
        <v>0.5</v>
      </c>
      <c r="AN682" s="267" t="s">
        <v>2516</v>
      </c>
      <c r="AO682" t="s">
        <v>2517</v>
      </c>
      <c r="AP682" s="267">
        <v>2559</v>
      </c>
      <c r="AQ682" t="s">
        <v>136</v>
      </c>
      <c r="AR682" s="11"/>
    </row>
    <row r="683" ht="16.5" spans="1:44">
      <c r="A683" s="333">
        <v>679</v>
      </c>
      <c r="B683" s="334" t="s">
        <v>2500</v>
      </c>
      <c r="C683" t="s">
        <v>2518</v>
      </c>
      <c r="D683">
        <v>1</v>
      </c>
      <c r="E683">
        <v>0</v>
      </c>
      <c r="G683">
        <v>1</v>
      </c>
      <c r="H683" s="5" t="s">
        <v>2519</v>
      </c>
      <c r="I683">
        <f>246/30</f>
        <v>8.2</v>
      </c>
      <c r="J683">
        <f>246/30</f>
        <v>8.2</v>
      </c>
      <c r="L683">
        <v>1</v>
      </c>
      <c r="M683">
        <f t="shared" si="39"/>
        <v>7.8</v>
      </c>
      <c r="N683" t="s">
        <v>2520</v>
      </c>
      <c r="O683">
        <v>3</v>
      </c>
      <c r="P683">
        <v>-6</v>
      </c>
      <c r="Q683">
        <v>0</v>
      </c>
      <c r="V683">
        <v>1</v>
      </c>
      <c r="W683" s="185">
        <v>6</v>
      </c>
      <c r="X683" s="7">
        <v>4</v>
      </c>
      <c r="Y683">
        <v>-0.1</v>
      </c>
      <c r="Z683">
        <v>0</v>
      </c>
      <c r="AB683">
        <f>I683-0.3</f>
        <v>7.9</v>
      </c>
      <c r="AC683">
        <v>1</v>
      </c>
      <c r="AD683">
        <v>1</v>
      </c>
      <c r="AE683" t="s">
        <v>2521</v>
      </c>
      <c r="AF683">
        <v>0.5</v>
      </c>
      <c r="AN683" s="10"/>
      <c r="AP683" s="267">
        <v>2562</v>
      </c>
      <c r="AQ683" t="s">
        <v>136</v>
      </c>
      <c r="AR683" s="11"/>
    </row>
    <row r="684" ht="16.5" spans="1:44">
      <c r="A684" s="333">
        <v>680</v>
      </c>
      <c r="B684" s="334" t="s">
        <v>2500</v>
      </c>
      <c r="C684" s="334" t="s">
        <v>2522</v>
      </c>
      <c r="D684">
        <v>1</v>
      </c>
      <c r="E684">
        <v>0</v>
      </c>
      <c r="G684">
        <v>1</v>
      </c>
      <c r="H684" s="5" t="s">
        <v>2523</v>
      </c>
      <c r="I684">
        <f>105/30</f>
        <v>3.5</v>
      </c>
      <c r="J684">
        <f>105/30</f>
        <v>3.5</v>
      </c>
      <c r="L684">
        <v>0</v>
      </c>
      <c r="M684">
        <f t="shared" si="39"/>
        <v>3.1</v>
      </c>
      <c r="N684" t="s">
        <v>2524</v>
      </c>
      <c r="O684">
        <v>1</v>
      </c>
      <c r="P684">
        <v>4.6</v>
      </c>
      <c r="Q684">
        <v>0</v>
      </c>
      <c r="S684">
        <v>1.5</v>
      </c>
      <c r="T684">
        <v>0.3</v>
      </c>
      <c r="U684">
        <v>2.2</v>
      </c>
      <c r="V684">
        <v>1</v>
      </c>
      <c r="W684">
        <v>0</v>
      </c>
      <c r="X684" s="7">
        <v>4</v>
      </c>
      <c r="Y684">
        <v>-0.1</v>
      </c>
      <c r="Z684">
        <v>0</v>
      </c>
      <c r="AN684" s="10"/>
      <c r="AP684" s="267">
        <v>2563</v>
      </c>
      <c r="AQ684" t="s">
        <v>136</v>
      </c>
      <c r="AR684" s="11"/>
    </row>
    <row r="685" ht="16.5" spans="1:44">
      <c r="A685" s="333">
        <v>681</v>
      </c>
      <c r="B685" s="334" t="s">
        <v>2500</v>
      </c>
      <c r="C685" s="334" t="s">
        <v>2525</v>
      </c>
      <c r="D685">
        <v>1</v>
      </c>
      <c r="E685">
        <v>0</v>
      </c>
      <c r="G685">
        <v>1</v>
      </c>
      <c r="H685" s="5" t="s">
        <v>2526</v>
      </c>
      <c r="I685">
        <f>138/30</f>
        <v>4.6</v>
      </c>
      <c r="J685">
        <f>138/30</f>
        <v>4.6</v>
      </c>
      <c r="L685">
        <v>1</v>
      </c>
      <c r="M685">
        <f t="shared" si="39"/>
        <v>4.2</v>
      </c>
      <c r="N685" t="s">
        <v>2527</v>
      </c>
      <c r="O685">
        <v>1</v>
      </c>
      <c r="P685">
        <v>4.6</v>
      </c>
      <c r="Q685">
        <v>0</v>
      </c>
      <c r="S685">
        <v>1.2</v>
      </c>
      <c r="T685">
        <v>0.5</v>
      </c>
      <c r="U685">
        <v>2.5</v>
      </c>
      <c r="V685">
        <v>1</v>
      </c>
      <c r="W685" s="185">
        <v>6</v>
      </c>
      <c r="X685" s="7">
        <v>9</v>
      </c>
      <c r="Y685">
        <v>-0.1</v>
      </c>
      <c r="Z685">
        <v>0</v>
      </c>
      <c r="AN685" s="10" t="s">
        <v>2528</v>
      </c>
      <c r="AO685" t="s">
        <v>2529</v>
      </c>
      <c r="AP685" s="267">
        <v>2565</v>
      </c>
      <c r="AQ685" t="s">
        <v>136</v>
      </c>
      <c r="AR685" s="11"/>
    </row>
    <row r="686" ht="16.5" spans="1:44">
      <c r="A686" s="333">
        <v>682</v>
      </c>
      <c r="B686" s="334" t="s">
        <v>2500</v>
      </c>
      <c r="C686" s="334" t="s">
        <v>2530</v>
      </c>
      <c r="D686">
        <v>1</v>
      </c>
      <c r="E686">
        <v>0</v>
      </c>
      <c r="G686">
        <v>1</v>
      </c>
      <c r="H686" s="5" t="s">
        <v>2531</v>
      </c>
      <c r="I686">
        <f>300/30</f>
        <v>10</v>
      </c>
      <c r="J686">
        <f>300/30</f>
        <v>10</v>
      </c>
      <c r="L686">
        <v>1</v>
      </c>
      <c r="M686">
        <f t="shared" si="39"/>
        <v>9.6</v>
      </c>
      <c r="N686" t="s">
        <v>2532</v>
      </c>
      <c r="O686">
        <v>3</v>
      </c>
      <c r="P686">
        <v>-18</v>
      </c>
      <c r="Q686">
        <v>0</v>
      </c>
      <c r="V686">
        <v>1</v>
      </c>
      <c r="W686" s="185">
        <v>6</v>
      </c>
      <c r="X686" s="7">
        <v>12</v>
      </c>
      <c r="Y686">
        <v>-0.1</v>
      </c>
      <c r="Z686">
        <v>0</v>
      </c>
      <c r="AB686">
        <v>9.7</v>
      </c>
      <c r="AC686">
        <v>2</v>
      </c>
      <c r="AD686">
        <v>1</v>
      </c>
      <c r="AE686" t="s">
        <v>2533</v>
      </c>
      <c r="AF686">
        <v>0.5</v>
      </c>
      <c r="AN686" s="10"/>
      <c r="AP686" s="267">
        <v>2569</v>
      </c>
      <c r="AQ686" t="s">
        <v>136</v>
      </c>
      <c r="AR686" s="11"/>
    </row>
    <row r="687" s="41" customFormat="1" ht="16.5" spans="1:44">
      <c r="A687" s="335">
        <v>683</v>
      </c>
      <c r="B687" s="336" t="s">
        <v>2534</v>
      </c>
      <c r="C687" s="336" t="s">
        <v>526</v>
      </c>
      <c r="D687" s="41">
        <v>1</v>
      </c>
      <c r="E687" s="41">
        <v>0</v>
      </c>
      <c r="G687" s="41">
        <v>1</v>
      </c>
      <c r="H687" s="337" t="s">
        <v>2535</v>
      </c>
      <c r="I687" s="41">
        <v>3.4</v>
      </c>
      <c r="J687" s="41">
        <v>3.4</v>
      </c>
      <c r="L687" s="41">
        <v>0</v>
      </c>
      <c r="M687" s="41">
        <f t="shared" si="38"/>
        <v>3</v>
      </c>
      <c r="N687" s="41" t="s">
        <v>2536</v>
      </c>
      <c r="O687" s="41">
        <v>1</v>
      </c>
      <c r="P687" s="41">
        <v>2.4</v>
      </c>
      <c r="Q687" s="41">
        <v>0</v>
      </c>
      <c r="S687" s="41">
        <v>1.1</v>
      </c>
      <c r="U687" s="41">
        <v>0.23</v>
      </c>
      <c r="V687" s="41">
        <v>1</v>
      </c>
      <c r="W687" s="41">
        <v>0</v>
      </c>
      <c r="X687" s="348">
        <v>5</v>
      </c>
      <c r="Y687" s="41">
        <v>-0.1</v>
      </c>
      <c r="Z687" s="41">
        <v>0</v>
      </c>
      <c r="AN687" s="356">
        <v>2469</v>
      </c>
      <c r="AO687" s="41" t="s">
        <v>2537</v>
      </c>
      <c r="AP687" s="359">
        <v>2466</v>
      </c>
      <c r="AQ687" s="41" t="s">
        <v>136</v>
      </c>
      <c r="AR687" s="337"/>
    </row>
    <row r="688" s="41" customFormat="1" ht="16.5" spans="1:44">
      <c r="A688" s="335">
        <v>684</v>
      </c>
      <c r="B688" s="336" t="s">
        <v>2534</v>
      </c>
      <c r="C688" s="336" t="s">
        <v>2538</v>
      </c>
      <c r="D688" s="41">
        <v>1</v>
      </c>
      <c r="E688" s="41">
        <v>0</v>
      </c>
      <c r="G688" s="41">
        <v>1</v>
      </c>
      <c r="H688" s="337" t="s">
        <v>2539</v>
      </c>
      <c r="I688" s="41">
        <v>4.16666666666667</v>
      </c>
      <c r="J688" s="41">
        <v>4.16666666666667</v>
      </c>
      <c r="L688" s="41">
        <v>1</v>
      </c>
      <c r="M688" s="41">
        <f t="shared" si="38"/>
        <v>3.76666666666667</v>
      </c>
      <c r="N688" s="41" t="s">
        <v>2540</v>
      </c>
      <c r="O688" s="41">
        <v>1</v>
      </c>
      <c r="P688" s="41">
        <v>2.4</v>
      </c>
      <c r="Q688" s="41">
        <v>0</v>
      </c>
      <c r="R688" s="41">
        <v>1</v>
      </c>
      <c r="S688" s="41">
        <v>1.6</v>
      </c>
      <c r="T688" s="41">
        <v>0.5</v>
      </c>
      <c r="U688" s="41">
        <v>0.23</v>
      </c>
      <c r="V688" s="41">
        <v>1</v>
      </c>
      <c r="W688" s="41">
        <v>0</v>
      </c>
      <c r="X688" s="348">
        <v>4</v>
      </c>
      <c r="Y688" s="41">
        <v>-0.1</v>
      </c>
      <c r="Z688" s="41">
        <v>0</v>
      </c>
      <c r="AN688" s="356" t="s">
        <v>2541</v>
      </c>
      <c r="AO688" s="41" t="s">
        <v>2542</v>
      </c>
      <c r="AP688" s="359">
        <v>2470</v>
      </c>
      <c r="AQ688" s="41" t="s">
        <v>136</v>
      </c>
      <c r="AR688" s="337"/>
    </row>
    <row r="689" s="41" customFormat="1" ht="16.5" spans="1:44">
      <c r="A689" s="335">
        <v>685</v>
      </c>
      <c r="B689" s="336" t="s">
        <v>2534</v>
      </c>
      <c r="C689" s="336" t="s">
        <v>1348</v>
      </c>
      <c r="D689" s="41">
        <v>1</v>
      </c>
      <c r="E689" s="41">
        <v>0</v>
      </c>
      <c r="G689" s="41">
        <v>1</v>
      </c>
      <c r="H689" s="337" t="s">
        <v>2543</v>
      </c>
      <c r="I689" s="41">
        <v>2.5</v>
      </c>
      <c r="J689" s="41">
        <v>2.5</v>
      </c>
      <c r="L689" s="41">
        <v>1</v>
      </c>
      <c r="M689" s="41">
        <f t="shared" si="38"/>
        <v>2.1</v>
      </c>
      <c r="N689" s="41" t="s">
        <v>2544</v>
      </c>
      <c r="O689" s="41">
        <v>1</v>
      </c>
      <c r="P689" s="41">
        <v>2.4</v>
      </c>
      <c r="Q689" s="41">
        <v>0</v>
      </c>
      <c r="S689" s="41">
        <v>2.1</v>
      </c>
      <c r="T689" s="41">
        <v>0.5</v>
      </c>
      <c r="U689" s="41">
        <v>0.8</v>
      </c>
      <c r="V689" s="41">
        <v>1</v>
      </c>
      <c r="W689" s="41">
        <v>4</v>
      </c>
      <c r="X689" s="348">
        <v>1</v>
      </c>
      <c r="Y689" s="41">
        <v>-0.1</v>
      </c>
      <c r="Z689" s="41">
        <v>0</v>
      </c>
      <c r="AN689" s="356"/>
      <c r="AP689" s="359">
        <v>2474</v>
      </c>
      <c r="AQ689" s="41" t="s">
        <v>136</v>
      </c>
      <c r="AR689" s="337"/>
    </row>
    <row r="690" s="41" customFormat="1" ht="16.5" spans="1:44">
      <c r="A690" s="335">
        <v>686</v>
      </c>
      <c r="B690" s="336" t="s">
        <v>2534</v>
      </c>
      <c r="C690" s="336" t="s">
        <v>2545</v>
      </c>
      <c r="D690" s="41">
        <v>1</v>
      </c>
      <c r="E690" s="41">
        <v>0</v>
      </c>
      <c r="G690" s="41">
        <v>1</v>
      </c>
      <c r="H690" s="337" t="s">
        <v>2546</v>
      </c>
      <c r="I690" s="41">
        <v>4.06666666666667</v>
      </c>
      <c r="J690" s="41">
        <v>4.06666666666667</v>
      </c>
      <c r="L690" s="41">
        <v>1</v>
      </c>
      <c r="M690" s="41">
        <f t="shared" si="38"/>
        <v>3.66666666666667</v>
      </c>
      <c r="N690" s="41" t="s">
        <v>2547</v>
      </c>
      <c r="O690" s="41">
        <v>1</v>
      </c>
      <c r="P690" s="41">
        <v>2.4</v>
      </c>
      <c r="Q690" s="41">
        <v>0</v>
      </c>
      <c r="S690" s="41">
        <v>3</v>
      </c>
      <c r="T690" s="41">
        <v>0.5</v>
      </c>
      <c r="U690" s="41">
        <v>0.6</v>
      </c>
      <c r="V690" s="41">
        <v>1</v>
      </c>
      <c r="W690" s="41">
        <v>0</v>
      </c>
      <c r="X690" s="348">
        <v>4</v>
      </c>
      <c r="Y690" s="41">
        <v>-0.1</v>
      </c>
      <c r="Z690" s="41">
        <v>0</v>
      </c>
      <c r="AN690" s="356" t="s">
        <v>2548</v>
      </c>
      <c r="AO690" s="41" t="s">
        <v>2549</v>
      </c>
      <c r="AP690" s="359">
        <v>2476</v>
      </c>
      <c r="AQ690" s="41" t="s">
        <v>136</v>
      </c>
      <c r="AR690" s="337"/>
    </row>
    <row r="691" s="41" customFormat="1" ht="16.5" spans="1:44">
      <c r="A691" s="335">
        <v>687</v>
      </c>
      <c r="B691" s="336" t="s">
        <v>2534</v>
      </c>
      <c r="C691" s="336" t="s">
        <v>2550</v>
      </c>
      <c r="D691" s="41">
        <v>1</v>
      </c>
      <c r="E691" s="41">
        <v>0</v>
      </c>
      <c r="G691" s="41">
        <v>1</v>
      </c>
      <c r="H691" s="337" t="s">
        <v>2551</v>
      </c>
      <c r="I691" s="41">
        <v>3.83333333333333</v>
      </c>
      <c r="J691" s="41">
        <v>3.83333333333333</v>
      </c>
      <c r="L691" s="41">
        <v>1</v>
      </c>
      <c r="M691" s="41">
        <f t="shared" si="38"/>
        <v>3.43333333333333</v>
      </c>
      <c r="N691" s="41" t="s">
        <v>2552</v>
      </c>
      <c r="O691" s="41">
        <v>1</v>
      </c>
      <c r="P691" s="41">
        <v>2.4</v>
      </c>
      <c r="Q691" s="41">
        <v>0</v>
      </c>
      <c r="S691" s="41">
        <v>0.95</v>
      </c>
      <c r="T691" s="41">
        <v>0.5</v>
      </c>
      <c r="U691" s="41">
        <v>1.2</v>
      </c>
      <c r="V691" s="41">
        <v>1</v>
      </c>
      <c r="W691" s="41">
        <v>6</v>
      </c>
      <c r="X691" s="348">
        <v>6</v>
      </c>
      <c r="Y691" s="41">
        <v>-0.1</v>
      </c>
      <c r="Z691" s="41">
        <v>0</v>
      </c>
      <c r="AN691" s="356"/>
      <c r="AP691" s="359">
        <v>2480</v>
      </c>
      <c r="AQ691" s="41" t="s">
        <v>136</v>
      </c>
      <c r="AR691" s="337"/>
    </row>
    <row r="692" s="41" customFormat="1" ht="16.5" spans="1:44">
      <c r="A692" s="335">
        <v>688</v>
      </c>
      <c r="B692" s="336" t="s">
        <v>2534</v>
      </c>
      <c r="C692" s="336" t="s">
        <v>2553</v>
      </c>
      <c r="D692" s="41">
        <v>1</v>
      </c>
      <c r="E692" s="41">
        <v>0</v>
      </c>
      <c r="G692" s="41">
        <v>1</v>
      </c>
      <c r="H692" s="337" t="s">
        <v>2554</v>
      </c>
      <c r="I692" s="41">
        <v>8.33333333333333</v>
      </c>
      <c r="J692" s="41">
        <v>8.33333333333333</v>
      </c>
      <c r="L692" s="41">
        <v>1</v>
      </c>
      <c r="M692" s="41">
        <f t="shared" si="38"/>
        <v>7.93333333333333</v>
      </c>
      <c r="N692" s="41" t="s">
        <v>2555</v>
      </c>
      <c r="O692" s="41">
        <v>1</v>
      </c>
      <c r="P692" s="41">
        <v>10.5</v>
      </c>
      <c r="Q692" s="41">
        <v>0</v>
      </c>
      <c r="V692" s="41">
        <v>1</v>
      </c>
      <c r="W692" s="349">
        <v>0</v>
      </c>
      <c r="X692" s="348">
        <v>7</v>
      </c>
      <c r="Y692" s="41">
        <v>-0.1</v>
      </c>
      <c r="Z692" s="41">
        <v>0</v>
      </c>
      <c r="AB692" s="41">
        <f t="shared" ref="AB692:AB694" si="40">I692-0.3</f>
        <v>8.03333333333333</v>
      </c>
      <c r="AC692" s="41">
        <v>1</v>
      </c>
      <c r="AD692" s="41">
        <v>1</v>
      </c>
      <c r="AE692" s="41" t="s">
        <v>2556</v>
      </c>
      <c r="AF692" s="41">
        <v>0.5</v>
      </c>
      <c r="AN692" s="356" t="s">
        <v>2557</v>
      </c>
      <c r="AO692" s="41" t="s">
        <v>2558</v>
      </c>
      <c r="AP692" s="359">
        <v>2486</v>
      </c>
      <c r="AQ692" s="41" t="s">
        <v>136</v>
      </c>
      <c r="AR692" s="756" t="s">
        <v>2326</v>
      </c>
    </row>
    <row r="693" s="41" customFormat="1" ht="16.5" spans="1:45">
      <c r="A693" s="335">
        <v>689</v>
      </c>
      <c r="B693" s="336" t="s">
        <v>2534</v>
      </c>
      <c r="C693" s="336" t="s">
        <v>2559</v>
      </c>
      <c r="D693" s="41">
        <v>1</v>
      </c>
      <c r="E693" s="41">
        <v>0</v>
      </c>
      <c r="G693" s="41">
        <v>1</v>
      </c>
      <c r="H693" s="337" t="s">
        <v>2560</v>
      </c>
      <c r="I693" s="41">
        <v>10.4333333333333</v>
      </c>
      <c r="J693" s="41">
        <v>10.4333333333333</v>
      </c>
      <c r="L693" s="41">
        <v>1</v>
      </c>
      <c r="M693" s="41">
        <f t="shared" si="38"/>
        <v>10.0333333333333</v>
      </c>
      <c r="N693" s="41" t="s">
        <v>2561</v>
      </c>
      <c r="O693" s="41">
        <v>1</v>
      </c>
      <c r="P693" s="41">
        <v>2.4</v>
      </c>
      <c r="Q693" s="41">
        <v>0</v>
      </c>
      <c r="V693" s="41">
        <v>1</v>
      </c>
      <c r="W693" s="349">
        <v>0</v>
      </c>
      <c r="X693" s="348">
        <v>9</v>
      </c>
      <c r="Y693" s="41">
        <v>-0.1</v>
      </c>
      <c r="Z693" s="41">
        <v>0</v>
      </c>
      <c r="AB693" s="41">
        <f t="shared" si="40"/>
        <v>10.1333333333333</v>
      </c>
      <c r="AC693" s="41">
        <v>2</v>
      </c>
      <c r="AD693" s="41">
        <v>1</v>
      </c>
      <c r="AE693" s="41" t="s">
        <v>2562</v>
      </c>
      <c r="AF693" s="41">
        <v>0.5</v>
      </c>
      <c r="AN693" s="356"/>
      <c r="AP693" s="359">
        <v>2499</v>
      </c>
      <c r="AQ693" s="41" t="s">
        <v>136</v>
      </c>
      <c r="AR693" s="756" t="s">
        <v>2326</v>
      </c>
      <c r="AS693" s="41" t="s">
        <v>2563</v>
      </c>
    </row>
    <row r="694" s="41" customFormat="1" ht="16.5" spans="1:44">
      <c r="A694" s="335">
        <v>690</v>
      </c>
      <c r="B694" s="336" t="s">
        <v>2534</v>
      </c>
      <c r="C694" s="336" t="s">
        <v>1337</v>
      </c>
      <c r="D694" s="41">
        <v>1</v>
      </c>
      <c r="E694" s="41">
        <v>0</v>
      </c>
      <c r="G694" s="41">
        <v>1</v>
      </c>
      <c r="H694" s="337" t="s">
        <v>2564</v>
      </c>
      <c r="I694" s="41">
        <f>361/30</f>
        <v>12.0333333333333</v>
      </c>
      <c r="J694" s="41">
        <f>361/30</f>
        <v>12.0333333333333</v>
      </c>
      <c r="L694" s="41">
        <v>1</v>
      </c>
      <c r="M694" s="41">
        <f t="shared" si="38"/>
        <v>11.6333333333333</v>
      </c>
      <c r="N694" s="41" t="s">
        <v>2565</v>
      </c>
      <c r="O694" s="41">
        <v>3</v>
      </c>
      <c r="P694" s="41">
        <v>-8</v>
      </c>
      <c r="Q694" s="41">
        <v>0</v>
      </c>
      <c r="V694" s="41">
        <v>1</v>
      </c>
      <c r="W694" s="41">
        <v>6</v>
      </c>
      <c r="X694" s="348">
        <v>4</v>
      </c>
      <c r="Y694" s="41">
        <v>-0.1</v>
      </c>
      <c r="Z694" s="41">
        <v>0</v>
      </c>
      <c r="AB694" s="41">
        <f t="shared" si="40"/>
        <v>11.7333333333333</v>
      </c>
      <c r="AC694" s="41">
        <v>1</v>
      </c>
      <c r="AD694" s="41">
        <v>1</v>
      </c>
      <c r="AE694" s="41" t="s">
        <v>2566</v>
      </c>
      <c r="AF694" s="41">
        <v>0.5</v>
      </c>
      <c r="AN694" s="356">
        <v>2501</v>
      </c>
      <c r="AO694" s="41" t="s">
        <v>690</v>
      </c>
      <c r="AP694" s="359">
        <v>2490</v>
      </c>
      <c r="AQ694" s="41" t="s">
        <v>136</v>
      </c>
      <c r="AR694" s="40"/>
    </row>
    <row r="695" s="39" customFormat="1" ht="16.5" spans="1:44">
      <c r="A695" s="327">
        <v>691</v>
      </c>
      <c r="B695" s="338" t="s">
        <v>2567</v>
      </c>
      <c r="C695" s="338" t="s">
        <v>526</v>
      </c>
      <c r="D695" s="39">
        <v>1</v>
      </c>
      <c r="E695" s="39">
        <v>0</v>
      </c>
      <c r="G695" s="39">
        <v>1</v>
      </c>
      <c r="H695" s="339" t="s">
        <v>2568</v>
      </c>
      <c r="I695" s="39">
        <f>90/30</f>
        <v>3</v>
      </c>
      <c r="J695" s="39">
        <f>90/30</f>
        <v>3</v>
      </c>
      <c r="L695" s="39">
        <v>0</v>
      </c>
      <c r="M695" s="39">
        <f t="shared" si="38"/>
        <v>2.6</v>
      </c>
      <c r="N695" s="39" t="s">
        <v>2569</v>
      </c>
      <c r="O695" s="39">
        <v>1</v>
      </c>
      <c r="P695" s="39">
        <v>4.7</v>
      </c>
      <c r="Q695" s="39">
        <v>0</v>
      </c>
      <c r="S695" s="39">
        <v>1.6</v>
      </c>
      <c r="T695" s="39">
        <v>0.5</v>
      </c>
      <c r="U695" s="39">
        <v>0.5</v>
      </c>
      <c r="V695" s="39">
        <v>1</v>
      </c>
      <c r="W695" s="39">
        <v>0</v>
      </c>
      <c r="X695" s="345">
        <v>4</v>
      </c>
      <c r="Y695" s="39">
        <v>-0.1</v>
      </c>
      <c r="Z695" s="39">
        <v>0</v>
      </c>
      <c r="AN695" s="357"/>
      <c r="AP695" s="360">
        <v>2392</v>
      </c>
      <c r="AQ695" s="39" t="s">
        <v>136</v>
      </c>
      <c r="AR695" s="339"/>
    </row>
    <row r="696" s="39" customFormat="1" ht="16.5" spans="1:44">
      <c r="A696" s="327">
        <v>692</v>
      </c>
      <c r="B696" s="338" t="s">
        <v>2567</v>
      </c>
      <c r="C696" s="338" t="s">
        <v>2570</v>
      </c>
      <c r="D696" s="39">
        <v>1</v>
      </c>
      <c r="E696" s="39">
        <v>0</v>
      </c>
      <c r="G696" s="39">
        <v>1</v>
      </c>
      <c r="H696" s="339" t="s">
        <v>2571</v>
      </c>
      <c r="I696" s="39">
        <f>110/30</f>
        <v>3.66666666666667</v>
      </c>
      <c r="J696" s="39">
        <f>110/30</f>
        <v>3.66666666666667</v>
      </c>
      <c r="L696" s="39">
        <v>1</v>
      </c>
      <c r="M696" s="39">
        <f t="shared" si="38"/>
        <v>3.26666666666667</v>
      </c>
      <c r="N696" s="39" t="s">
        <v>2572</v>
      </c>
      <c r="O696" s="39">
        <v>1</v>
      </c>
      <c r="P696" s="39">
        <v>4.7</v>
      </c>
      <c r="Q696" s="39">
        <v>0</v>
      </c>
      <c r="S696" s="39">
        <v>0.7</v>
      </c>
      <c r="T696" s="39">
        <v>0.5</v>
      </c>
      <c r="U696" s="39">
        <v>1.2</v>
      </c>
      <c r="V696" s="39">
        <v>1</v>
      </c>
      <c r="W696" s="39">
        <v>6</v>
      </c>
      <c r="X696" s="345">
        <v>7</v>
      </c>
      <c r="Y696" s="39">
        <v>-0.1</v>
      </c>
      <c r="Z696" s="39">
        <v>0</v>
      </c>
      <c r="AN696" s="357"/>
      <c r="AP696" s="360">
        <v>2395</v>
      </c>
      <c r="AQ696" s="39" t="s">
        <v>136</v>
      </c>
      <c r="AR696" s="339"/>
    </row>
    <row r="697" s="39" customFormat="1" ht="16.5" spans="1:44">
      <c r="A697" s="327">
        <v>693</v>
      </c>
      <c r="B697" s="338" t="s">
        <v>2567</v>
      </c>
      <c r="C697" s="338" t="s">
        <v>2573</v>
      </c>
      <c r="D697" s="39">
        <v>1</v>
      </c>
      <c r="E697" s="39">
        <v>0</v>
      </c>
      <c r="G697" s="39">
        <v>1</v>
      </c>
      <c r="H697" s="339" t="s">
        <v>2574</v>
      </c>
      <c r="I697" s="39">
        <f>116/30</f>
        <v>3.86666666666667</v>
      </c>
      <c r="J697" s="39">
        <f>116/30</f>
        <v>3.86666666666667</v>
      </c>
      <c r="L697" s="39">
        <v>1</v>
      </c>
      <c r="M697" s="39">
        <f t="shared" si="38"/>
        <v>3.46666666666667</v>
      </c>
      <c r="N697" s="39" t="s">
        <v>2575</v>
      </c>
      <c r="O697" s="39">
        <v>1</v>
      </c>
      <c r="P697" s="39">
        <v>4.7</v>
      </c>
      <c r="Q697" s="39">
        <v>0</v>
      </c>
      <c r="S697" s="39">
        <v>1</v>
      </c>
      <c r="T697" s="39">
        <v>0.5</v>
      </c>
      <c r="U697" s="39">
        <v>0.5</v>
      </c>
      <c r="V697" s="39">
        <v>1</v>
      </c>
      <c r="W697" s="39">
        <v>6</v>
      </c>
      <c r="X697" s="345">
        <v>9</v>
      </c>
      <c r="Y697" s="39">
        <v>-0.1</v>
      </c>
      <c r="Z697" s="39">
        <v>0</v>
      </c>
      <c r="AN697" s="357"/>
      <c r="AP697" s="360">
        <v>2398</v>
      </c>
      <c r="AQ697" s="39" t="s">
        <v>136</v>
      </c>
      <c r="AR697" s="339"/>
    </row>
    <row r="698" s="39" customFormat="1" ht="16.5" spans="1:44">
      <c r="A698" s="327">
        <v>694</v>
      </c>
      <c r="B698" s="338" t="s">
        <v>2567</v>
      </c>
      <c r="C698" s="338" t="s">
        <v>2576</v>
      </c>
      <c r="D698" s="39">
        <v>1</v>
      </c>
      <c r="E698" s="39">
        <v>0</v>
      </c>
      <c r="G698" s="39">
        <v>1</v>
      </c>
      <c r="H698" s="339" t="s">
        <v>2577</v>
      </c>
      <c r="I698" s="39">
        <f>120/30</f>
        <v>4</v>
      </c>
      <c r="J698" s="39">
        <f>120/30</f>
        <v>4</v>
      </c>
      <c r="L698" s="39">
        <v>1</v>
      </c>
      <c r="M698" s="39">
        <f t="shared" si="38"/>
        <v>3.6</v>
      </c>
      <c r="N698" s="39" t="s">
        <v>2578</v>
      </c>
      <c r="O698" s="39">
        <v>1</v>
      </c>
      <c r="P698" s="39">
        <v>4.7</v>
      </c>
      <c r="Q698" s="39">
        <v>0</v>
      </c>
      <c r="S698" s="39">
        <v>0.8</v>
      </c>
      <c r="T698" s="39">
        <v>0.5</v>
      </c>
      <c r="U698" s="39">
        <v>1.2</v>
      </c>
      <c r="V698" s="39">
        <v>1</v>
      </c>
      <c r="W698" s="39">
        <v>6</v>
      </c>
      <c r="X698" s="345">
        <v>7</v>
      </c>
      <c r="Y698" s="39">
        <v>-0.1</v>
      </c>
      <c r="Z698" s="39">
        <v>0</v>
      </c>
      <c r="AN698" s="357"/>
      <c r="AP698" s="360">
        <v>2401</v>
      </c>
      <c r="AQ698" s="39" t="s">
        <v>136</v>
      </c>
      <c r="AR698" s="339"/>
    </row>
    <row r="699" s="39" customFormat="1" ht="16.5" spans="1:44">
      <c r="A699" s="327">
        <v>695</v>
      </c>
      <c r="B699" s="338" t="s">
        <v>2567</v>
      </c>
      <c r="C699" s="338" t="s">
        <v>2579</v>
      </c>
      <c r="D699" s="39">
        <v>1</v>
      </c>
      <c r="E699" s="39">
        <v>0</v>
      </c>
      <c r="G699" s="39">
        <v>1</v>
      </c>
      <c r="H699" s="339" t="s">
        <v>2580</v>
      </c>
      <c r="I699" s="39">
        <f>80/30</f>
        <v>2.66666666666667</v>
      </c>
      <c r="J699" s="39">
        <f>80/30</f>
        <v>2.66666666666667</v>
      </c>
      <c r="L699" s="39">
        <v>1</v>
      </c>
      <c r="M699" s="39">
        <f t="shared" si="38"/>
        <v>2.26666666666667</v>
      </c>
      <c r="N699" s="39" t="s">
        <v>2581</v>
      </c>
      <c r="O699" s="39">
        <v>1</v>
      </c>
      <c r="P699" s="39">
        <v>4.7</v>
      </c>
      <c r="Q699" s="39">
        <v>0</v>
      </c>
      <c r="S699" s="39">
        <v>1</v>
      </c>
      <c r="T699" s="39">
        <v>0.5</v>
      </c>
      <c r="U699" s="39">
        <v>0.8</v>
      </c>
      <c r="V699" s="39">
        <v>1</v>
      </c>
      <c r="W699" s="39">
        <v>6</v>
      </c>
      <c r="X699" s="345">
        <v>5</v>
      </c>
      <c r="Y699" s="39">
        <v>-0.1</v>
      </c>
      <c r="Z699" s="39">
        <v>0</v>
      </c>
      <c r="AN699" s="357"/>
      <c r="AP699" s="360">
        <v>2406</v>
      </c>
      <c r="AQ699" s="39" t="s">
        <v>136</v>
      </c>
      <c r="AR699" s="339"/>
    </row>
    <row r="700" s="39" customFormat="1" ht="16.5" spans="1:44">
      <c r="A700" s="327">
        <v>696</v>
      </c>
      <c r="B700" s="338" t="s">
        <v>2567</v>
      </c>
      <c r="C700" s="338" t="s">
        <v>2582</v>
      </c>
      <c r="D700" s="39">
        <v>1</v>
      </c>
      <c r="E700" s="39">
        <v>0</v>
      </c>
      <c r="G700" s="39">
        <v>1</v>
      </c>
      <c r="H700" s="339" t="s">
        <v>2583</v>
      </c>
      <c r="I700" s="39">
        <f>274/30</f>
        <v>9.13333333333333</v>
      </c>
      <c r="J700" s="39">
        <f>274/30</f>
        <v>9.13333333333333</v>
      </c>
      <c r="L700" s="39">
        <v>1</v>
      </c>
      <c r="M700" s="39">
        <f t="shared" si="38"/>
        <v>8.73333333333333</v>
      </c>
      <c r="N700" s="39" t="s">
        <v>2584</v>
      </c>
      <c r="O700" s="39">
        <v>3</v>
      </c>
      <c r="P700" s="39">
        <v>-11</v>
      </c>
      <c r="Q700" s="39">
        <v>0</v>
      </c>
      <c r="V700" s="39">
        <v>1</v>
      </c>
      <c r="W700" s="39">
        <v>6</v>
      </c>
      <c r="X700" s="345">
        <v>5</v>
      </c>
      <c r="Y700" s="39">
        <v>-0.1</v>
      </c>
      <c r="Z700" s="39">
        <v>0</v>
      </c>
      <c r="AB700" s="39">
        <f t="shared" ref="AB700:AB702" si="41">I700-0.3</f>
        <v>8.83333333333333</v>
      </c>
      <c r="AC700" s="39">
        <v>2</v>
      </c>
      <c r="AD700" s="39">
        <v>1</v>
      </c>
      <c r="AE700" s="39" t="s">
        <v>2585</v>
      </c>
      <c r="AF700" s="39">
        <v>0.5</v>
      </c>
      <c r="AN700" s="358" t="s">
        <v>2586</v>
      </c>
      <c r="AO700" s="39" t="s">
        <v>2587</v>
      </c>
      <c r="AP700" s="360">
        <v>2409</v>
      </c>
      <c r="AQ700" s="39" t="s">
        <v>136</v>
      </c>
      <c r="AR700" s="756" t="s">
        <v>2326</v>
      </c>
    </row>
    <row r="701" s="39" customFormat="1" ht="16.5" spans="1:44">
      <c r="A701" s="327">
        <v>697</v>
      </c>
      <c r="B701" s="338" t="s">
        <v>2567</v>
      </c>
      <c r="C701" s="338" t="s">
        <v>2588</v>
      </c>
      <c r="D701" s="39">
        <v>1</v>
      </c>
      <c r="E701" s="39">
        <v>0</v>
      </c>
      <c r="G701" s="39">
        <v>1</v>
      </c>
      <c r="H701" s="339" t="s">
        <v>2589</v>
      </c>
      <c r="I701" s="39">
        <f>270/30</f>
        <v>9</v>
      </c>
      <c r="J701" s="39">
        <f>270/30</f>
        <v>9</v>
      </c>
      <c r="L701" s="39">
        <v>1</v>
      </c>
      <c r="M701" s="39">
        <f t="shared" si="38"/>
        <v>8.6</v>
      </c>
      <c r="N701" s="39" t="s">
        <v>2590</v>
      </c>
      <c r="O701" s="39">
        <v>3</v>
      </c>
      <c r="P701" s="39">
        <v>1.3</v>
      </c>
      <c r="Q701" s="39">
        <v>0</v>
      </c>
      <c r="V701" s="39">
        <v>1</v>
      </c>
      <c r="W701" s="39">
        <v>6</v>
      </c>
      <c r="X701" s="345">
        <v>5</v>
      </c>
      <c r="Y701" s="39">
        <v>-0.1</v>
      </c>
      <c r="Z701" s="39">
        <v>0</v>
      </c>
      <c r="AB701" s="39">
        <f t="shared" si="41"/>
        <v>8.7</v>
      </c>
      <c r="AC701" s="39">
        <v>2</v>
      </c>
      <c r="AD701" s="39">
        <v>1</v>
      </c>
      <c r="AE701" s="39" t="s">
        <v>2591</v>
      </c>
      <c r="AF701" s="39">
        <v>0.5</v>
      </c>
      <c r="AN701" s="357"/>
      <c r="AP701" s="360">
        <v>2413</v>
      </c>
      <c r="AQ701" s="39" t="s">
        <v>136</v>
      </c>
      <c r="AR701" s="756" t="s">
        <v>2326</v>
      </c>
    </row>
    <row r="702" s="39" customFormat="1" ht="16.5" spans="1:44">
      <c r="A702" s="327">
        <v>698</v>
      </c>
      <c r="B702" s="338" t="s">
        <v>2567</v>
      </c>
      <c r="C702" s="338" t="s">
        <v>2592</v>
      </c>
      <c r="D702" s="39">
        <v>1</v>
      </c>
      <c r="E702" s="39">
        <v>0</v>
      </c>
      <c r="G702" s="39">
        <v>1</v>
      </c>
      <c r="H702" s="339" t="s">
        <v>2593</v>
      </c>
      <c r="I702" s="39">
        <f>390/30</f>
        <v>13</v>
      </c>
      <c r="J702" s="39">
        <f>390/30</f>
        <v>13</v>
      </c>
      <c r="L702" s="39">
        <v>1</v>
      </c>
      <c r="M702" s="39">
        <f t="shared" si="38"/>
        <v>12.6</v>
      </c>
      <c r="N702" s="39" t="s">
        <v>2594</v>
      </c>
      <c r="O702" s="39">
        <v>3</v>
      </c>
      <c r="P702" s="39">
        <v>-2</v>
      </c>
      <c r="Q702" s="39">
        <v>0</v>
      </c>
      <c r="V702" s="39">
        <v>1</v>
      </c>
      <c r="W702" s="39">
        <v>6</v>
      </c>
      <c r="X702" s="345">
        <v>8</v>
      </c>
      <c r="Y702" s="39">
        <v>-0.1</v>
      </c>
      <c r="Z702" s="39">
        <v>0</v>
      </c>
      <c r="AB702" s="39">
        <f t="shared" si="41"/>
        <v>12.7</v>
      </c>
      <c r="AC702" s="39">
        <v>1</v>
      </c>
      <c r="AD702" s="39">
        <v>1</v>
      </c>
      <c r="AE702" s="39" t="s">
        <v>2595</v>
      </c>
      <c r="AF702" s="39">
        <v>0.5</v>
      </c>
      <c r="AN702" s="357">
        <v>2415</v>
      </c>
      <c r="AO702" s="39" t="s">
        <v>2537</v>
      </c>
      <c r="AP702" s="360">
        <v>2414</v>
      </c>
      <c r="AQ702" s="39" t="s">
        <v>136</v>
      </c>
      <c r="AR702" s="756" t="s">
        <v>2326</v>
      </c>
    </row>
    <row r="703" s="42" customFormat="1" ht="16.5" spans="1:43">
      <c r="A703" s="340">
        <v>699</v>
      </c>
      <c r="B703" s="341" t="s">
        <v>2596</v>
      </c>
      <c r="C703" s="341" t="s">
        <v>526</v>
      </c>
      <c r="D703" s="42">
        <v>1</v>
      </c>
      <c r="E703" s="42">
        <v>0</v>
      </c>
      <c r="G703" s="42">
        <v>1</v>
      </c>
      <c r="H703" s="342">
        <v>8601</v>
      </c>
      <c r="I703" s="42">
        <v>2.33333333333333</v>
      </c>
      <c r="J703" s="42">
        <v>2.33333333333333</v>
      </c>
      <c r="L703" s="42">
        <v>0</v>
      </c>
      <c r="M703" s="39">
        <f t="shared" ref="M703:M721" si="42">I703-0.4</f>
        <v>1.93333333333333</v>
      </c>
      <c r="O703" s="42">
        <v>1</v>
      </c>
      <c r="P703" s="42">
        <v>2</v>
      </c>
      <c r="Q703" s="42">
        <v>0</v>
      </c>
      <c r="S703" s="42">
        <v>0.8</v>
      </c>
      <c r="U703" s="42">
        <v>0.2</v>
      </c>
      <c r="V703" s="42">
        <v>1</v>
      </c>
      <c r="W703" s="42">
        <v>0</v>
      </c>
      <c r="X703" s="350">
        <v>3</v>
      </c>
      <c r="Y703" s="42">
        <v>-0.1</v>
      </c>
      <c r="Z703" s="42">
        <v>0</v>
      </c>
      <c r="AP703" s="361">
        <v>2445</v>
      </c>
      <c r="AQ703" s="42" t="s">
        <v>136</v>
      </c>
    </row>
    <row r="704" s="42" customFormat="1" ht="16.5" spans="1:43">
      <c r="A704" s="340">
        <v>700</v>
      </c>
      <c r="B704" s="341" t="s">
        <v>2596</v>
      </c>
      <c r="C704" s="341" t="s">
        <v>2597</v>
      </c>
      <c r="D704" s="42">
        <v>1</v>
      </c>
      <c r="E704" s="42">
        <v>0</v>
      </c>
      <c r="G704" s="42">
        <v>1</v>
      </c>
      <c r="H704" s="342">
        <v>8602</v>
      </c>
      <c r="I704" s="42">
        <v>2.16666666666667</v>
      </c>
      <c r="J704" s="42">
        <v>2.16666666666667</v>
      </c>
      <c r="L704" s="42">
        <v>1</v>
      </c>
      <c r="M704" s="39">
        <f t="shared" si="42"/>
        <v>1.76666666666667</v>
      </c>
      <c r="O704" s="42">
        <v>1</v>
      </c>
      <c r="P704" s="42">
        <v>2</v>
      </c>
      <c r="Q704" s="42">
        <v>0</v>
      </c>
      <c r="S704" s="42">
        <v>0.5</v>
      </c>
      <c r="U704" s="42">
        <v>0.8</v>
      </c>
      <c r="V704" s="42">
        <v>1</v>
      </c>
      <c r="W704" s="42">
        <v>4</v>
      </c>
      <c r="X704" s="350">
        <v>3</v>
      </c>
      <c r="Y704" s="42">
        <v>-0.1</v>
      </c>
      <c r="Z704" s="42">
        <v>0</v>
      </c>
      <c r="AP704" s="361">
        <v>2448</v>
      </c>
      <c r="AQ704" s="42" t="s">
        <v>136</v>
      </c>
    </row>
    <row r="705" s="42" customFormat="1" ht="16.5" spans="1:43">
      <c r="A705" s="340">
        <v>701</v>
      </c>
      <c r="B705" s="341" t="s">
        <v>2596</v>
      </c>
      <c r="C705" s="341" t="s">
        <v>2598</v>
      </c>
      <c r="D705" s="42">
        <v>1</v>
      </c>
      <c r="E705" s="42">
        <v>0</v>
      </c>
      <c r="G705" s="42">
        <v>1</v>
      </c>
      <c r="H705" s="342">
        <v>8603</v>
      </c>
      <c r="I705" s="42">
        <v>3.4</v>
      </c>
      <c r="J705" s="42">
        <v>3.4</v>
      </c>
      <c r="L705" s="42">
        <v>1</v>
      </c>
      <c r="M705" s="39">
        <f t="shared" si="42"/>
        <v>3</v>
      </c>
      <c r="O705" s="42">
        <v>1</v>
      </c>
      <c r="P705" s="42">
        <v>2</v>
      </c>
      <c r="Q705" s="42">
        <v>0</v>
      </c>
      <c r="S705" s="42">
        <v>0.8</v>
      </c>
      <c r="U705" s="42">
        <v>0.2</v>
      </c>
      <c r="V705" s="42">
        <v>1</v>
      </c>
      <c r="W705" s="42">
        <v>0</v>
      </c>
      <c r="X705" s="350">
        <v>3</v>
      </c>
      <c r="Y705" s="42">
        <v>-0.1</v>
      </c>
      <c r="Z705" s="42">
        <v>0</v>
      </c>
      <c r="AP705" s="361">
        <v>2450</v>
      </c>
      <c r="AQ705" s="42" t="s">
        <v>136</v>
      </c>
    </row>
    <row r="706" s="42" customFormat="1" ht="16.5" spans="1:43">
      <c r="A706" s="340">
        <v>702</v>
      </c>
      <c r="B706" s="341" t="s">
        <v>2596</v>
      </c>
      <c r="C706" s="341" t="s">
        <v>2599</v>
      </c>
      <c r="D706" s="42">
        <v>1</v>
      </c>
      <c r="E706" s="42">
        <v>0</v>
      </c>
      <c r="G706" s="42">
        <v>1</v>
      </c>
      <c r="H706" s="342">
        <v>8604</v>
      </c>
      <c r="I706" s="42">
        <v>2.83333333333333</v>
      </c>
      <c r="J706" s="42">
        <v>2.83333333333333</v>
      </c>
      <c r="L706" s="42">
        <v>1</v>
      </c>
      <c r="M706" s="39">
        <f t="shared" si="42"/>
        <v>2.43333333333333</v>
      </c>
      <c r="O706" s="42">
        <v>1</v>
      </c>
      <c r="P706" s="42">
        <v>2</v>
      </c>
      <c r="Q706" s="42">
        <v>0</v>
      </c>
      <c r="S706" s="42">
        <v>2.5</v>
      </c>
      <c r="T706" s="42">
        <v>-0.5</v>
      </c>
      <c r="U706" s="42">
        <v>0.8</v>
      </c>
      <c r="V706" s="42">
        <v>1</v>
      </c>
      <c r="W706" s="42">
        <v>6</v>
      </c>
      <c r="X706" s="350">
        <v>1</v>
      </c>
      <c r="Y706" s="42">
        <v>-0.1</v>
      </c>
      <c r="Z706" s="42">
        <v>0</v>
      </c>
      <c r="AP706" s="361">
        <v>2452</v>
      </c>
      <c r="AQ706" s="42" t="s">
        <v>136</v>
      </c>
    </row>
    <row r="707" s="42" customFormat="1" ht="16.5" spans="1:43">
      <c r="A707" s="340">
        <v>703</v>
      </c>
      <c r="B707" s="341" t="s">
        <v>2596</v>
      </c>
      <c r="C707" s="341" t="s">
        <v>2600</v>
      </c>
      <c r="D707" s="42">
        <v>1</v>
      </c>
      <c r="E707" s="42">
        <v>0</v>
      </c>
      <c r="G707" s="42">
        <v>1</v>
      </c>
      <c r="H707" s="342">
        <v>8605</v>
      </c>
      <c r="I707" s="42">
        <v>3.33333333333333</v>
      </c>
      <c r="J707" s="42">
        <v>3.33333333333333</v>
      </c>
      <c r="L707" s="42">
        <v>1</v>
      </c>
      <c r="M707" s="39">
        <f t="shared" si="42"/>
        <v>2.93333333333333</v>
      </c>
      <c r="O707" s="42">
        <v>1</v>
      </c>
      <c r="P707" s="42">
        <v>2</v>
      </c>
      <c r="Q707" s="42">
        <v>0</v>
      </c>
      <c r="S707" s="42">
        <v>2.5</v>
      </c>
      <c r="T707" s="42">
        <v>-0.5</v>
      </c>
      <c r="U707" s="42">
        <v>1.1</v>
      </c>
      <c r="V707" s="42">
        <v>1</v>
      </c>
      <c r="W707" s="42">
        <v>18</v>
      </c>
      <c r="X707" s="350">
        <v>4</v>
      </c>
      <c r="Y707" s="42">
        <v>-0.1</v>
      </c>
      <c r="Z707" s="42">
        <v>0</v>
      </c>
      <c r="AN707" s="42">
        <v>2457</v>
      </c>
      <c r="AO707" s="42" t="s">
        <v>2601</v>
      </c>
      <c r="AP707" s="361">
        <v>2455</v>
      </c>
      <c r="AQ707" s="42" t="s">
        <v>136</v>
      </c>
    </row>
    <row r="708" s="42" customFormat="1" ht="16.5" spans="1:44">
      <c r="A708" s="340">
        <v>704</v>
      </c>
      <c r="B708" s="341" t="s">
        <v>2596</v>
      </c>
      <c r="C708" s="341" t="s">
        <v>2602</v>
      </c>
      <c r="D708" s="42">
        <v>1</v>
      </c>
      <c r="E708" s="42">
        <v>0</v>
      </c>
      <c r="G708" s="42">
        <v>1</v>
      </c>
      <c r="H708" s="342">
        <v>8606</v>
      </c>
      <c r="I708" s="42">
        <v>8.83333333333333</v>
      </c>
      <c r="J708" s="42">
        <v>8.83333333333333</v>
      </c>
      <c r="L708" s="42">
        <v>1</v>
      </c>
      <c r="M708" s="39">
        <f t="shared" si="42"/>
        <v>8.43333333333333</v>
      </c>
      <c r="O708" s="42">
        <v>1</v>
      </c>
      <c r="P708" s="42">
        <v>9.5</v>
      </c>
      <c r="Q708" s="42">
        <v>0</v>
      </c>
      <c r="V708" s="42">
        <v>1</v>
      </c>
      <c r="W708" s="42">
        <v>0</v>
      </c>
      <c r="X708" s="350">
        <v>9</v>
      </c>
      <c r="Y708" s="42">
        <v>-0.1</v>
      </c>
      <c r="Z708" s="42">
        <v>0</v>
      </c>
      <c r="AB708" s="42">
        <v>8.53333333333333</v>
      </c>
      <c r="AC708" s="42">
        <v>2</v>
      </c>
      <c r="AD708" s="42">
        <v>1</v>
      </c>
      <c r="AE708" s="42" t="s">
        <v>2603</v>
      </c>
      <c r="AF708" s="42">
        <v>0.5</v>
      </c>
      <c r="AP708" s="361">
        <v>2458</v>
      </c>
      <c r="AQ708" s="42" t="s">
        <v>136</v>
      </c>
      <c r="AR708" s="756" t="s">
        <v>2326</v>
      </c>
    </row>
    <row r="709" s="42" customFormat="1" ht="16.5" spans="1:43">
      <c r="A709" s="340">
        <v>705</v>
      </c>
      <c r="B709" s="341" t="s">
        <v>2596</v>
      </c>
      <c r="C709" s="341" t="s">
        <v>2604</v>
      </c>
      <c r="D709" s="42">
        <v>2</v>
      </c>
      <c r="E709" s="42">
        <v>1</v>
      </c>
      <c r="G709" s="42">
        <v>1</v>
      </c>
      <c r="H709" s="342">
        <v>8607</v>
      </c>
      <c r="I709" s="42">
        <v>10.3333333333333</v>
      </c>
      <c r="J709" s="42">
        <v>10.3333333333333</v>
      </c>
      <c r="L709" s="42">
        <v>0</v>
      </c>
      <c r="M709" s="39">
        <f t="shared" si="42"/>
        <v>9.9333333333333</v>
      </c>
      <c r="O709" s="42">
        <v>1</v>
      </c>
      <c r="P709" s="42">
        <v>2</v>
      </c>
      <c r="Q709" s="42">
        <v>0</v>
      </c>
      <c r="V709" s="42">
        <v>1</v>
      </c>
      <c r="W709" s="42">
        <v>0</v>
      </c>
      <c r="X709" s="350">
        <v>0</v>
      </c>
      <c r="Y709" s="42">
        <v>-0.1</v>
      </c>
      <c r="Z709" s="42">
        <v>0</v>
      </c>
      <c r="AB709" s="42">
        <v>10.0333333333333</v>
      </c>
      <c r="AC709" s="42">
        <v>2</v>
      </c>
      <c r="AD709" s="42">
        <v>1</v>
      </c>
      <c r="AE709" s="42" t="s">
        <v>2605</v>
      </c>
      <c r="AF709" s="42">
        <v>0.5</v>
      </c>
      <c r="AP709" s="361">
        <v>2459</v>
      </c>
      <c r="AQ709" s="42" t="s">
        <v>136</v>
      </c>
    </row>
    <row r="710" s="42" customFormat="1" ht="16.5" spans="1:43">
      <c r="A710" s="340">
        <v>706</v>
      </c>
      <c r="B710" s="341" t="s">
        <v>2596</v>
      </c>
      <c r="C710" s="341" t="s">
        <v>2606</v>
      </c>
      <c r="D710" s="42">
        <v>1</v>
      </c>
      <c r="E710" s="42">
        <v>0</v>
      </c>
      <c r="G710" s="42">
        <v>1</v>
      </c>
      <c r="H710" s="342">
        <v>8608</v>
      </c>
      <c r="I710" s="42">
        <v>7</v>
      </c>
      <c r="J710" s="42">
        <v>7</v>
      </c>
      <c r="L710" s="42">
        <v>1</v>
      </c>
      <c r="M710" s="39">
        <f t="shared" si="42"/>
        <v>6.6</v>
      </c>
      <c r="O710" s="42">
        <v>3</v>
      </c>
      <c r="P710" s="42">
        <v>-8</v>
      </c>
      <c r="Q710" s="42">
        <v>0</v>
      </c>
      <c r="V710" s="42">
        <v>1</v>
      </c>
      <c r="W710" s="42">
        <v>6</v>
      </c>
      <c r="X710" s="350">
        <v>5</v>
      </c>
      <c r="Y710" s="42">
        <v>-0.1</v>
      </c>
      <c r="Z710" s="42">
        <v>0</v>
      </c>
      <c r="AB710" s="42">
        <v>6.7</v>
      </c>
      <c r="AC710" s="42">
        <v>1</v>
      </c>
      <c r="AD710" s="42">
        <v>1</v>
      </c>
      <c r="AE710" s="42" t="s">
        <v>2607</v>
      </c>
      <c r="AF710" s="42">
        <v>0.5</v>
      </c>
      <c r="AN710" s="42">
        <v>2461</v>
      </c>
      <c r="AO710" s="42" t="s">
        <v>966</v>
      </c>
      <c r="AP710" s="361">
        <v>2460</v>
      </c>
      <c r="AQ710" s="42" t="s">
        <v>136</v>
      </c>
    </row>
    <row r="711" s="43" customFormat="1" ht="16.5" spans="1:55">
      <c r="A711" s="362">
        <v>707</v>
      </c>
      <c r="B711" s="362" t="s">
        <v>2608</v>
      </c>
      <c r="C711" s="362" t="s">
        <v>526</v>
      </c>
      <c r="D711" s="362">
        <v>1</v>
      </c>
      <c r="E711" s="362">
        <v>0</v>
      </c>
      <c r="F711" s="362"/>
      <c r="G711" s="362">
        <v>1</v>
      </c>
      <c r="H711" s="275" t="s">
        <v>2609</v>
      </c>
      <c r="I711" s="31">
        <f>110/30</f>
        <v>3.66666666666667</v>
      </c>
      <c r="J711" s="31">
        <f>110/30</f>
        <v>3.66666666666667</v>
      </c>
      <c r="K711" s="362"/>
      <c r="L711" s="362">
        <v>0</v>
      </c>
      <c r="M711" s="31">
        <f t="shared" si="42"/>
        <v>3.26666666666667</v>
      </c>
      <c r="N711" s="362" t="s">
        <v>2610</v>
      </c>
      <c r="O711" s="375">
        <v>1</v>
      </c>
      <c r="P711" s="375">
        <v>4.1</v>
      </c>
      <c r="Q711" s="375">
        <v>0</v>
      </c>
      <c r="R711" s="375"/>
      <c r="S711" s="375">
        <v>1.02</v>
      </c>
      <c r="T711" s="375">
        <v>0.3</v>
      </c>
      <c r="U711" s="375">
        <v>1.74</v>
      </c>
      <c r="V711" s="375">
        <v>1</v>
      </c>
      <c r="W711" s="375">
        <v>0</v>
      </c>
      <c r="X711" s="375">
        <v>5</v>
      </c>
      <c r="Y711" s="42">
        <v>-0.1</v>
      </c>
      <c r="Z711" s="375">
        <v>0</v>
      </c>
      <c r="AA711" s="375"/>
      <c r="AB711" s="375"/>
      <c r="AC711" s="375"/>
      <c r="AD711" s="375"/>
      <c r="AE711" s="375"/>
      <c r="AF711" s="375"/>
      <c r="AG711" s="375"/>
      <c r="AH711" s="375"/>
      <c r="AI711" s="375"/>
      <c r="AJ711" s="375"/>
      <c r="AK711" s="375"/>
      <c r="AL711" s="375"/>
      <c r="AM711" s="375"/>
      <c r="AO711" s="375"/>
      <c r="AP711" s="267">
        <v>2570</v>
      </c>
      <c r="AQ711" s="387" t="s">
        <v>136</v>
      </c>
      <c r="AR711" s="375"/>
      <c r="AS711" s="375"/>
      <c r="AT711" s="375"/>
      <c r="AU711" s="375"/>
      <c r="AV711" s="375"/>
      <c r="AW711" s="375"/>
      <c r="AX711" s="375"/>
      <c r="AY711" s="375"/>
      <c r="AZ711" s="375"/>
      <c r="BA711" s="375"/>
      <c r="BB711" s="375"/>
      <c r="BC711" s="375"/>
    </row>
    <row r="712" s="43" customFormat="1" spans="1:55">
      <c r="A712" s="362">
        <v>708</v>
      </c>
      <c r="B712" s="362" t="s">
        <v>2608</v>
      </c>
      <c r="C712" s="362" t="s">
        <v>2611</v>
      </c>
      <c r="D712" s="362">
        <v>1</v>
      </c>
      <c r="E712" s="362">
        <v>0</v>
      </c>
      <c r="F712" s="362"/>
      <c r="G712" s="362">
        <v>1</v>
      </c>
      <c r="H712" s="275" t="s">
        <v>2612</v>
      </c>
      <c r="I712" s="31">
        <f>130/30</f>
        <v>4.33333333333333</v>
      </c>
      <c r="J712" s="31">
        <f>130/30</f>
        <v>4.33333333333333</v>
      </c>
      <c r="K712" s="362"/>
      <c r="L712" s="362">
        <v>1</v>
      </c>
      <c r="M712" s="31">
        <f t="shared" si="42"/>
        <v>3.93333333333333</v>
      </c>
      <c r="N712" s="362" t="s">
        <v>2613</v>
      </c>
      <c r="O712" s="375">
        <v>1</v>
      </c>
      <c r="P712" s="375">
        <v>4.1</v>
      </c>
      <c r="Q712" s="375">
        <v>0</v>
      </c>
      <c r="R712" s="375"/>
      <c r="S712" s="375">
        <v>0.1</v>
      </c>
      <c r="T712" s="375">
        <v>-0.2</v>
      </c>
      <c r="U712" s="375">
        <v>2.5</v>
      </c>
      <c r="V712" s="375">
        <v>1</v>
      </c>
      <c r="W712" s="375">
        <v>6</v>
      </c>
      <c r="X712" s="375">
        <v>5</v>
      </c>
      <c r="Y712" s="42">
        <v>-0.1</v>
      </c>
      <c r="Z712" s="375">
        <v>0</v>
      </c>
      <c r="AA712" s="375"/>
      <c r="AB712" s="375"/>
      <c r="AC712" s="375"/>
      <c r="AD712" s="375"/>
      <c r="AE712" s="375"/>
      <c r="AF712" s="375"/>
      <c r="AG712" s="375"/>
      <c r="AH712" s="375"/>
      <c r="AI712" s="375"/>
      <c r="AJ712" s="375"/>
      <c r="AK712" s="375"/>
      <c r="AL712" s="375"/>
      <c r="AM712" s="375"/>
      <c r="AN712" s="375"/>
      <c r="AO712" s="375"/>
      <c r="AP712" s="375">
        <v>2572</v>
      </c>
      <c r="AQ712" s="375" t="s">
        <v>136</v>
      </c>
      <c r="AR712" s="375"/>
      <c r="AS712" s="375"/>
      <c r="AT712" s="375"/>
      <c r="AU712" s="375"/>
      <c r="AV712" s="375"/>
      <c r="AW712" s="375"/>
      <c r="AX712" s="375"/>
      <c r="AY712" s="375"/>
      <c r="AZ712" s="375"/>
      <c r="BA712" s="375"/>
      <c r="BB712" s="375"/>
      <c r="BC712" s="375"/>
    </row>
    <row r="713" s="43" customFormat="1" spans="1:55">
      <c r="A713" s="362">
        <v>709</v>
      </c>
      <c r="B713" s="362" t="s">
        <v>2608</v>
      </c>
      <c r="C713" s="362" t="s">
        <v>2614</v>
      </c>
      <c r="D713" s="362">
        <v>1</v>
      </c>
      <c r="E713" s="362">
        <v>0</v>
      </c>
      <c r="F713" s="362"/>
      <c r="G713" s="362">
        <v>1</v>
      </c>
      <c r="H713" s="275" t="s">
        <v>2615</v>
      </c>
      <c r="I713" s="31">
        <f>200/30</f>
        <v>6.66666666666667</v>
      </c>
      <c r="J713" s="31">
        <f>200/30</f>
        <v>6.66666666666667</v>
      </c>
      <c r="K713" s="362"/>
      <c r="L713" s="362">
        <v>1</v>
      </c>
      <c r="M713" s="31">
        <f t="shared" si="42"/>
        <v>6.26666666666667</v>
      </c>
      <c r="N713" s="362" t="s">
        <v>2616</v>
      </c>
      <c r="O713" s="375">
        <v>1</v>
      </c>
      <c r="P713" s="375">
        <v>4.1</v>
      </c>
      <c r="Q713" s="375">
        <v>0</v>
      </c>
      <c r="R713" s="375"/>
      <c r="S713" s="375">
        <v>0.1</v>
      </c>
      <c r="T713" s="375">
        <v>-0.2</v>
      </c>
      <c r="U713" s="375">
        <v>2.5</v>
      </c>
      <c r="V713" s="375">
        <v>1</v>
      </c>
      <c r="W713" s="375">
        <v>6</v>
      </c>
      <c r="X713" s="375">
        <v>12</v>
      </c>
      <c r="Y713" s="42">
        <v>-0.1</v>
      </c>
      <c r="Z713" s="375">
        <v>0</v>
      </c>
      <c r="AA713" s="375"/>
      <c r="AB713" s="375"/>
      <c r="AC713" s="375"/>
      <c r="AD713" s="375"/>
      <c r="AE713" s="375"/>
      <c r="AF713" s="375"/>
      <c r="AG713" s="375"/>
      <c r="AH713" s="375"/>
      <c r="AI713" s="375"/>
      <c r="AJ713" s="375"/>
      <c r="AK713" s="375"/>
      <c r="AL713" s="375"/>
      <c r="AM713" s="375"/>
      <c r="AN713" s="375"/>
      <c r="AO713" s="375"/>
      <c r="AP713" s="375">
        <v>2573</v>
      </c>
      <c r="AQ713" s="375" t="s">
        <v>136</v>
      </c>
      <c r="AR713" s="375"/>
      <c r="AS713" s="375"/>
      <c r="AT713" s="375"/>
      <c r="AU713" s="375"/>
      <c r="AV713" s="375"/>
      <c r="AW713" s="375"/>
      <c r="AX713" s="375"/>
      <c r="AY713" s="375"/>
      <c r="AZ713" s="375"/>
      <c r="BA713" s="375"/>
      <c r="BB713" s="375"/>
      <c r="BC713" s="375"/>
    </row>
    <row r="714" s="43" customFormat="1" spans="1:55">
      <c r="A714" s="362">
        <v>710</v>
      </c>
      <c r="B714" s="362" t="s">
        <v>2608</v>
      </c>
      <c r="C714" s="362" t="s">
        <v>2617</v>
      </c>
      <c r="D714" s="362">
        <v>1</v>
      </c>
      <c r="E714" s="362">
        <v>0</v>
      </c>
      <c r="F714" s="362"/>
      <c r="G714" s="362">
        <v>1</v>
      </c>
      <c r="H714" s="275" t="s">
        <v>2618</v>
      </c>
      <c r="I714" s="31">
        <f>130/30</f>
        <v>4.33333333333333</v>
      </c>
      <c r="J714" s="31">
        <f>130/30</f>
        <v>4.33333333333333</v>
      </c>
      <c r="K714" s="362"/>
      <c r="L714" s="362">
        <v>1</v>
      </c>
      <c r="M714" s="31">
        <f t="shared" si="42"/>
        <v>3.93333333333333</v>
      </c>
      <c r="N714" s="362" t="s">
        <v>2619</v>
      </c>
      <c r="O714" s="375">
        <v>1</v>
      </c>
      <c r="P714" s="375">
        <v>4.1</v>
      </c>
      <c r="Q714" s="375">
        <v>0</v>
      </c>
      <c r="R714" s="375"/>
      <c r="S714" s="375">
        <v>0.1</v>
      </c>
      <c r="T714" s="375">
        <v>-0.2</v>
      </c>
      <c r="U714" s="375">
        <v>2.5</v>
      </c>
      <c r="V714" s="375">
        <v>1</v>
      </c>
      <c r="W714" s="375">
        <v>6</v>
      </c>
      <c r="X714" s="375">
        <v>5</v>
      </c>
      <c r="Y714" s="42">
        <v>-0.1</v>
      </c>
      <c r="Z714" s="375">
        <v>0</v>
      </c>
      <c r="AA714" s="375"/>
      <c r="AB714" s="375"/>
      <c r="AC714" s="375"/>
      <c r="AD714" s="375"/>
      <c r="AE714" s="375"/>
      <c r="AF714" s="375"/>
      <c r="AG714" s="375"/>
      <c r="AH714" s="375"/>
      <c r="AI714" s="375"/>
      <c r="AJ714" s="375"/>
      <c r="AK714" s="375"/>
      <c r="AL714" s="375"/>
      <c r="AM714" s="375"/>
      <c r="AN714" s="375"/>
      <c r="AO714" s="375"/>
      <c r="AP714" s="375">
        <v>2576</v>
      </c>
      <c r="AQ714" s="375" t="s">
        <v>136</v>
      </c>
      <c r="AR714" s="375"/>
      <c r="AS714" s="375"/>
      <c r="AT714" s="375"/>
      <c r="AU714" s="375"/>
      <c r="AV714" s="375"/>
      <c r="AW714" s="375"/>
      <c r="AX714" s="375"/>
      <c r="AY714" s="375"/>
      <c r="AZ714" s="375"/>
      <c r="BA714" s="375"/>
      <c r="BB714" s="375"/>
      <c r="BC714" s="375"/>
    </row>
    <row r="715" s="43" customFormat="1" spans="1:55">
      <c r="A715" s="362">
        <v>711</v>
      </c>
      <c r="B715" s="362" t="s">
        <v>2608</v>
      </c>
      <c r="C715" s="362" t="s">
        <v>2620</v>
      </c>
      <c r="D715" s="362">
        <v>1</v>
      </c>
      <c r="E715" s="362">
        <v>0</v>
      </c>
      <c r="F715" s="362"/>
      <c r="G715" s="362">
        <v>1</v>
      </c>
      <c r="H715" s="275" t="s">
        <v>2621</v>
      </c>
      <c r="I715" s="31">
        <f>265/30</f>
        <v>8.83333333333333</v>
      </c>
      <c r="J715" s="31">
        <f>265/30</f>
        <v>8.83333333333333</v>
      </c>
      <c r="K715" s="362"/>
      <c r="L715" s="362">
        <v>1</v>
      </c>
      <c r="M715" s="31">
        <f t="shared" si="42"/>
        <v>8.43333333333333</v>
      </c>
      <c r="N715" s="362" t="s">
        <v>2622</v>
      </c>
      <c r="O715" s="375">
        <v>3</v>
      </c>
      <c r="P715" s="375">
        <v>-16</v>
      </c>
      <c r="Q715" s="375">
        <v>0</v>
      </c>
      <c r="R715" s="375"/>
      <c r="S715" s="375"/>
      <c r="T715" s="375"/>
      <c r="U715" s="375"/>
      <c r="V715" s="375">
        <v>1</v>
      </c>
      <c r="W715" s="375">
        <v>6</v>
      </c>
      <c r="X715" s="375">
        <v>2</v>
      </c>
      <c r="Y715" s="42">
        <v>-0.1</v>
      </c>
      <c r="Z715" s="375">
        <v>0</v>
      </c>
      <c r="AA715" s="375"/>
      <c r="AB715" s="375">
        <f t="shared" ref="AB715:AB719" si="43">I715-0.3</f>
        <v>8.53333333333333</v>
      </c>
      <c r="AC715" s="375">
        <v>2</v>
      </c>
      <c r="AD715" s="375">
        <v>1</v>
      </c>
      <c r="AE715" s="375" t="s">
        <v>2623</v>
      </c>
      <c r="AF715" s="375">
        <v>0.5</v>
      </c>
      <c r="AG715" s="375"/>
      <c r="AH715" s="375"/>
      <c r="AI715" s="375"/>
      <c r="AJ715" s="375"/>
      <c r="AK715" s="375"/>
      <c r="AL715" s="375"/>
      <c r="AM715" s="375"/>
      <c r="AN715" s="375"/>
      <c r="AO715" s="375"/>
      <c r="AP715" s="375">
        <v>2580</v>
      </c>
      <c r="AQ715" s="375" t="s">
        <v>136</v>
      </c>
      <c r="AR715" s="375"/>
      <c r="AS715" s="375" t="s">
        <v>2624</v>
      </c>
      <c r="AT715" s="375"/>
      <c r="AU715" s="375"/>
      <c r="AV715" s="375"/>
      <c r="AW715" s="375"/>
      <c r="AX715" s="375"/>
      <c r="AY715" s="375"/>
      <c r="AZ715" s="375"/>
      <c r="BA715" s="375"/>
      <c r="BB715" s="375"/>
      <c r="BC715" s="375"/>
    </row>
    <row r="716" s="43" customFormat="1" spans="1:55">
      <c r="A716" s="362">
        <v>712</v>
      </c>
      <c r="B716" s="362" t="s">
        <v>2608</v>
      </c>
      <c r="C716" s="362" t="s">
        <v>1231</v>
      </c>
      <c r="D716" s="362">
        <v>1</v>
      </c>
      <c r="E716" s="362">
        <v>0</v>
      </c>
      <c r="F716" s="362"/>
      <c r="G716" s="362">
        <v>1</v>
      </c>
      <c r="H716" s="275" t="s">
        <v>2625</v>
      </c>
      <c r="I716" s="31">
        <f>52/30</f>
        <v>1.73333333333333</v>
      </c>
      <c r="J716" s="31">
        <f>52/30</f>
        <v>1.73333333333333</v>
      </c>
      <c r="K716" s="362"/>
      <c r="L716" s="362">
        <v>0</v>
      </c>
      <c r="M716" s="31">
        <f t="shared" si="42"/>
        <v>1.33333333333333</v>
      </c>
      <c r="N716" s="362" t="s">
        <v>2626</v>
      </c>
      <c r="O716" s="375">
        <v>1</v>
      </c>
      <c r="P716" s="375">
        <v>4.7</v>
      </c>
      <c r="Q716" s="375">
        <v>0</v>
      </c>
      <c r="R716" s="375"/>
      <c r="S716" s="375">
        <v>0</v>
      </c>
      <c r="T716" s="375">
        <v>-0.3</v>
      </c>
      <c r="U716" s="375">
        <v>2.9</v>
      </c>
      <c r="V716" s="375">
        <v>1</v>
      </c>
      <c r="W716" s="375">
        <v>0</v>
      </c>
      <c r="X716" s="375">
        <v>2</v>
      </c>
      <c r="Y716" s="42">
        <v>-0.1</v>
      </c>
      <c r="Z716" s="375">
        <v>0</v>
      </c>
      <c r="AA716" s="375"/>
      <c r="AB716" s="375"/>
      <c r="AC716" s="375"/>
      <c r="AD716" s="375"/>
      <c r="AE716" s="375"/>
      <c r="AF716" s="375"/>
      <c r="AG716" s="375"/>
      <c r="AH716" s="375"/>
      <c r="AI716" s="375"/>
      <c r="AJ716" s="375"/>
      <c r="AK716" s="375"/>
      <c r="AL716" s="375"/>
      <c r="AM716" s="375"/>
      <c r="AN716" s="375"/>
      <c r="AO716" s="375"/>
      <c r="AP716" s="375">
        <v>2582</v>
      </c>
      <c r="AQ716" s="375" t="s">
        <v>136</v>
      </c>
      <c r="AR716" s="375"/>
      <c r="AS716" s="375"/>
      <c r="AT716" s="375"/>
      <c r="AU716" s="375"/>
      <c r="AV716" s="375"/>
      <c r="AW716" s="375"/>
      <c r="AX716" s="375"/>
      <c r="AY716" s="375"/>
      <c r="AZ716" s="375"/>
      <c r="BA716" s="375"/>
      <c r="BB716" s="375"/>
      <c r="BC716" s="375"/>
    </row>
    <row r="717" s="43" customFormat="1" spans="1:55">
      <c r="A717" s="362">
        <v>713</v>
      </c>
      <c r="B717" s="362" t="s">
        <v>2608</v>
      </c>
      <c r="C717" s="362" t="s">
        <v>2627</v>
      </c>
      <c r="D717" s="362">
        <v>1</v>
      </c>
      <c r="E717" s="362">
        <v>0</v>
      </c>
      <c r="F717" s="362"/>
      <c r="G717" s="362">
        <v>1</v>
      </c>
      <c r="H717" s="275" t="s">
        <v>2628</v>
      </c>
      <c r="I717" s="31">
        <f>125/30</f>
        <v>4.16666666666667</v>
      </c>
      <c r="J717" s="31">
        <f>125/30</f>
        <v>4.16666666666667</v>
      </c>
      <c r="K717" s="362"/>
      <c r="L717" s="362">
        <v>1</v>
      </c>
      <c r="M717" s="31">
        <f t="shared" si="42"/>
        <v>3.76666666666667</v>
      </c>
      <c r="N717" s="362" t="s">
        <v>2629</v>
      </c>
      <c r="O717" s="375">
        <v>1</v>
      </c>
      <c r="P717" s="375">
        <v>4.7</v>
      </c>
      <c r="Q717" s="375">
        <v>0</v>
      </c>
      <c r="R717" s="375"/>
      <c r="S717" s="375">
        <v>-0.5</v>
      </c>
      <c r="T717" s="375">
        <v>-0.3</v>
      </c>
      <c r="U717" s="375">
        <v>3.6</v>
      </c>
      <c r="V717" s="375">
        <v>1</v>
      </c>
      <c r="W717" s="375">
        <v>6</v>
      </c>
      <c r="X717" s="375">
        <v>6</v>
      </c>
      <c r="Y717" s="42">
        <v>-0.1</v>
      </c>
      <c r="Z717" s="375">
        <v>0</v>
      </c>
      <c r="AA717" s="375"/>
      <c r="AB717" s="375"/>
      <c r="AC717" s="375"/>
      <c r="AD717" s="375"/>
      <c r="AE717" s="375"/>
      <c r="AF717" s="375"/>
      <c r="AG717" s="375"/>
      <c r="AH717" s="375"/>
      <c r="AI717" s="375"/>
      <c r="AJ717" s="375"/>
      <c r="AK717" s="375"/>
      <c r="AL717" s="375"/>
      <c r="AM717" s="375"/>
      <c r="AN717" s="375"/>
      <c r="AO717" s="375"/>
      <c r="AP717" s="375">
        <v>2584</v>
      </c>
      <c r="AQ717" s="375" t="s">
        <v>136</v>
      </c>
      <c r="AR717" s="375"/>
      <c r="AS717" s="375"/>
      <c r="AT717" s="375"/>
      <c r="AU717" s="375"/>
      <c r="AV717" s="375"/>
      <c r="AW717" s="375"/>
      <c r="AX717" s="375"/>
      <c r="AY717" s="375"/>
      <c r="AZ717" s="375"/>
      <c r="BA717" s="375"/>
      <c r="BB717" s="375"/>
      <c r="BC717" s="375"/>
    </row>
    <row r="718" s="43" customFormat="1" spans="1:55">
      <c r="A718" s="362">
        <v>714</v>
      </c>
      <c r="B718" s="362" t="s">
        <v>2608</v>
      </c>
      <c r="C718" s="362" t="s">
        <v>2630</v>
      </c>
      <c r="D718" s="362">
        <v>1</v>
      </c>
      <c r="E718" s="362">
        <v>0</v>
      </c>
      <c r="F718" s="362"/>
      <c r="G718" s="362">
        <v>1</v>
      </c>
      <c r="H718" s="275" t="s">
        <v>2631</v>
      </c>
      <c r="I718" s="31">
        <f>290/30</f>
        <v>9.66666666666667</v>
      </c>
      <c r="J718" s="31">
        <f>290/30</f>
        <v>9.66666666666667</v>
      </c>
      <c r="K718" s="362"/>
      <c r="L718" s="362">
        <v>1</v>
      </c>
      <c r="M718" s="31">
        <f t="shared" si="42"/>
        <v>9.26666666666667</v>
      </c>
      <c r="N718" s="362" t="s">
        <v>2632</v>
      </c>
      <c r="O718" s="375">
        <v>3</v>
      </c>
      <c r="P718" s="375">
        <v>-15</v>
      </c>
      <c r="Q718" s="375">
        <v>0</v>
      </c>
      <c r="R718" s="375"/>
      <c r="S718" s="375"/>
      <c r="T718" s="375"/>
      <c r="U718" s="375"/>
      <c r="V718" s="375">
        <v>1</v>
      </c>
      <c r="W718" s="375">
        <v>6</v>
      </c>
      <c r="X718" s="375">
        <v>11</v>
      </c>
      <c r="Y718" s="42">
        <v>-0.1</v>
      </c>
      <c r="Z718" s="375">
        <v>0</v>
      </c>
      <c r="AA718" s="375"/>
      <c r="AB718" s="375">
        <f t="shared" si="43"/>
        <v>9.36666666666667</v>
      </c>
      <c r="AC718" s="375">
        <v>1</v>
      </c>
      <c r="AD718" s="375">
        <v>1</v>
      </c>
      <c r="AE718" s="375" t="s">
        <v>2633</v>
      </c>
      <c r="AF718" s="375">
        <v>0.5</v>
      </c>
      <c r="AG718" s="375"/>
      <c r="AH718" s="375"/>
      <c r="AI718" s="375"/>
      <c r="AJ718" s="375"/>
      <c r="AK718" s="375"/>
      <c r="AL718" s="375"/>
      <c r="AM718" s="375"/>
      <c r="AN718" s="375" t="s">
        <v>2634</v>
      </c>
      <c r="AO718" s="375" t="s">
        <v>2635</v>
      </c>
      <c r="AP718" s="375">
        <v>2589</v>
      </c>
      <c r="AQ718" s="375" t="s">
        <v>136</v>
      </c>
      <c r="AR718" s="375"/>
      <c r="AS718" s="375"/>
      <c r="AT718" s="375"/>
      <c r="AU718" s="375"/>
      <c r="AV718" s="375"/>
      <c r="AW718" s="375"/>
      <c r="AX718" s="375"/>
      <c r="AY718" s="375"/>
      <c r="AZ718" s="375"/>
      <c r="BA718" s="375"/>
      <c r="BB718" s="375"/>
      <c r="BC718" s="375"/>
    </row>
    <row r="719" s="43" customFormat="1" spans="1:55">
      <c r="A719" s="362">
        <v>715</v>
      </c>
      <c r="B719" s="362" t="s">
        <v>2608</v>
      </c>
      <c r="C719" s="362" t="s">
        <v>2636</v>
      </c>
      <c r="D719" s="362">
        <v>1</v>
      </c>
      <c r="E719" s="362">
        <v>0</v>
      </c>
      <c r="F719" s="362"/>
      <c r="G719" s="362">
        <v>1</v>
      </c>
      <c r="H719" s="275" t="s">
        <v>2637</v>
      </c>
      <c r="I719" s="31">
        <f>255/30</f>
        <v>8.5</v>
      </c>
      <c r="J719" s="31">
        <f>255/30</f>
        <v>8.5</v>
      </c>
      <c r="K719" s="362"/>
      <c r="L719" s="362">
        <v>1</v>
      </c>
      <c r="M719" s="31">
        <f t="shared" si="42"/>
        <v>8.1</v>
      </c>
      <c r="N719" s="362" t="s">
        <v>2638</v>
      </c>
      <c r="O719" s="375">
        <v>3</v>
      </c>
      <c r="P719" s="375">
        <v>-15</v>
      </c>
      <c r="Q719" s="375">
        <v>0</v>
      </c>
      <c r="R719" s="375"/>
      <c r="S719" s="375"/>
      <c r="T719" s="375"/>
      <c r="U719" s="375"/>
      <c r="V719" s="375">
        <v>1</v>
      </c>
      <c r="W719" s="375">
        <v>6</v>
      </c>
      <c r="X719" s="375">
        <v>5</v>
      </c>
      <c r="Y719" s="42">
        <v>-0.1</v>
      </c>
      <c r="Z719" s="375">
        <v>0</v>
      </c>
      <c r="AA719" s="375"/>
      <c r="AB719" s="375">
        <f t="shared" si="43"/>
        <v>8.2</v>
      </c>
      <c r="AC719" s="375">
        <v>1</v>
      </c>
      <c r="AD719" s="375">
        <v>1</v>
      </c>
      <c r="AE719" s="375" t="s">
        <v>2639</v>
      </c>
      <c r="AF719" s="375">
        <v>0.5</v>
      </c>
      <c r="AG719" s="375"/>
      <c r="AH719" s="375"/>
      <c r="AI719" s="375"/>
      <c r="AJ719" s="375"/>
      <c r="AK719" s="375"/>
      <c r="AL719" s="375"/>
      <c r="AM719" s="375"/>
      <c r="AN719" s="375" t="s">
        <v>2640</v>
      </c>
      <c r="AO719" s="375" t="s">
        <v>2641</v>
      </c>
      <c r="AP719" s="375">
        <v>2596</v>
      </c>
      <c r="AQ719" s="375" t="s">
        <v>136</v>
      </c>
      <c r="AR719" s="375"/>
      <c r="AS719" s="375"/>
      <c r="AT719" s="375"/>
      <c r="AU719" s="375"/>
      <c r="AV719" s="375"/>
      <c r="AW719" s="375"/>
      <c r="AX719" s="375"/>
      <c r="AY719" s="375"/>
      <c r="AZ719" s="375"/>
      <c r="BA719" s="375"/>
      <c r="BB719" s="375"/>
      <c r="BC719" s="375"/>
    </row>
    <row r="720" s="43" customFormat="1" spans="1:55">
      <c r="A720" s="362">
        <v>716</v>
      </c>
      <c r="B720" s="362" t="s">
        <v>2608</v>
      </c>
      <c r="C720" s="362" t="s">
        <v>2642</v>
      </c>
      <c r="D720" s="362">
        <v>1</v>
      </c>
      <c r="E720" s="362">
        <v>0</v>
      </c>
      <c r="F720" s="362"/>
      <c r="G720" s="362">
        <v>1</v>
      </c>
      <c r="H720" s="275" t="s">
        <v>2643</v>
      </c>
      <c r="I720" s="31">
        <f>255/30</f>
        <v>8.5</v>
      </c>
      <c r="J720" s="31">
        <f>255/30</f>
        <v>8.5</v>
      </c>
      <c r="K720" s="362"/>
      <c r="L720" s="362">
        <v>1</v>
      </c>
      <c r="M720" s="31">
        <f t="shared" si="42"/>
        <v>8.1</v>
      </c>
      <c r="N720" s="362"/>
      <c r="O720" s="375">
        <v>1</v>
      </c>
      <c r="P720" s="375">
        <v>4.5</v>
      </c>
      <c r="Q720" s="375">
        <v>0</v>
      </c>
      <c r="R720" s="375"/>
      <c r="S720" s="375"/>
      <c r="T720" s="375"/>
      <c r="U720" s="375"/>
      <c r="V720" s="375">
        <v>1</v>
      </c>
      <c r="W720" s="375">
        <v>6</v>
      </c>
      <c r="X720" s="375">
        <v>1</v>
      </c>
      <c r="Y720" s="42">
        <v>-0.1</v>
      </c>
      <c r="Z720" s="375">
        <v>0</v>
      </c>
      <c r="AA720" s="375"/>
      <c r="AB720" s="375"/>
      <c r="AC720" s="375"/>
      <c r="AD720" s="375"/>
      <c r="AE720" s="375"/>
      <c r="AF720" s="375"/>
      <c r="AG720" s="375"/>
      <c r="AH720" s="375"/>
      <c r="AI720" s="375"/>
      <c r="AJ720" s="375"/>
      <c r="AK720" s="375"/>
      <c r="AL720" s="375"/>
      <c r="AM720" s="375"/>
      <c r="AN720" s="375"/>
      <c r="AO720" s="375"/>
      <c r="AP720" s="375"/>
      <c r="AQ720" s="375"/>
      <c r="AR720" s="375"/>
      <c r="AS720" s="375"/>
      <c r="AT720" s="375"/>
      <c r="AU720" s="375"/>
      <c r="AV720" s="375"/>
      <c r="AW720" s="375"/>
      <c r="AX720" s="375"/>
      <c r="AY720" s="375"/>
      <c r="AZ720" s="375"/>
      <c r="BA720" s="375"/>
      <c r="BB720" s="375"/>
      <c r="BC720" s="375"/>
    </row>
    <row r="721" s="44" customFormat="1" spans="1:55">
      <c r="A721" s="363">
        <v>717</v>
      </c>
      <c r="B721" s="363" t="s">
        <v>2644</v>
      </c>
      <c r="C721" s="363" t="s">
        <v>526</v>
      </c>
      <c r="D721" s="363">
        <v>1</v>
      </c>
      <c r="E721" s="363">
        <v>0</v>
      </c>
      <c r="F721" s="363"/>
      <c r="G721" s="363">
        <v>1</v>
      </c>
      <c r="H721" s="5" t="s">
        <v>2645</v>
      </c>
      <c r="I721" s="44">
        <f>120/30</f>
        <v>4</v>
      </c>
      <c r="J721" s="44">
        <f>120/30</f>
        <v>4</v>
      </c>
      <c r="K721" s="363"/>
      <c r="L721" s="363">
        <v>0</v>
      </c>
      <c r="M721" s="44">
        <f t="shared" si="42"/>
        <v>3.6</v>
      </c>
      <c r="N721" s="363" t="s">
        <v>2646</v>
      </c>
      <c r="O721" s="376">
        <v>1</v>
      </c>
      <c r="P721" s="10">
        <v>3.1</v>
      </c>
      <c r="Q721" s="376">
        <v>0</v>
      </c>
      <c r="R721" s="363"/>
      <c r="S721" s="363">
        <v>1.02</v>
      </c>
      <c r="T721" s="363">
        <v>0.35</v>
      </c>
      <c r="U721" s="363">
        <v>1</v>
      </c>
      <c r="V721" s="363">
        <v>1</v>
      </c>
      <c r="W721" s="363">
        <v>0</v>
      </c>
      <c r="X721" s="376">
        <v>3</v>
      </c>
      <c r="Y721" s="42">
        <v>-0.1</v>
      </c>
      <c r="Z721" s="376">
        <v>0</v>
      </c>
      <c r="AA721" s="363"/>
      <c r="AB721" s="363"/>
      <c r="AC721" s="363"/>
      <c r="AD721" s="363"/>
      <c r="AE721" s="363"/>
      <c r="AF721" s="363"/>
      <c r="AG721" s="363"/>
      <c r="AH721" s="363"/>
      <c r="AI721" s="363"/>
      <c r="AJ721" s="363"/>
      <c r="AK721" s="363"/>
      <c r="AL721" s="363"/>
      <c r="AM721" s="363"/>
      <c r="AN721" s="363"/>
      <c r="AO721" s="363"/>
      <c r="AP721" s="363">
        <v>2629</v>
      </c>
      <c r="AQ721" s="363" t="s">
        <v>136</v>
      </c>
      <c r="AR721" s="363"/>
      <c r="AS721" s="363"/>
      <c r="AT721" s="363"/>
      <c r="AU721" s="363"/>
      <c r="AV721" s="363"/>
      <c r="AW721" s="363"/>
      <c r="AX721" s="363"/>
      <c r="AY721" s="363"/>
      <c r="AZ721" s="363"/>
      <c r="BA721" s="363"/>
      <c r="BB721" s="363"/>
      <c r="BC721" s="363"/>
    </row>
    <row r="722" s="44" customFormat="1" spans="1:55">
      <c r="A722" s="363">
        <v>718</v>
      </c>
      <c r="B722" s="363" t="s">
        <v>2644</v>
      </c>
      <c r="C722" s="363" t="s">
        <v>2647</v>
      </c>
      <c r="D722" s="363">
        <v>1</v>
      </c>
      <c r="E722" s="363">
        <v>0</v>
      </c>
      <c r="F722" s="363"/>
      <c r="G722" s="363">
        <v>1</v>
      </c>
      <c r="H722" s="5" t="s">
        <v>2648</v>
      </c>
      <c r="I722" s="44">
        <f>90/30</f>
        <v>3</v>
      </c>
      <c r="J722" s="44">
        <f>90/30</f>
        <v>3</v>
      </c>
      <c r="K722" s="363"/>
      <c r="L722" s="363">
        <v>1</v>
      </c>
      <c r="M722" s="44">
        <f t="shared" ref="M722:M744" si="44">I722-0.4</f>
        <v>2.6</v>
      </c>
      <c r="N722" s="363" t="s">
        <v>2649</v>
      </c>
      <c r="O722" s="376">
        <v>1</v>
      </c>
      <c r="P722" s="10">
        <v>3.1</v>
      </c>
      <c r="Q722" s="376">
        <v>0</v>
      </c>
      <c r="R722" s="363"/>
      <c r="S722" s="363">
        <v>1.02</v>
      </c>
      <c r="T722" s="363">
        <v>0.65</v>
      </c>
      <c r="U722" s="363">
        <v>1</v>
      </c>
      <c r="V722" s="363">
        <v>1</v>
      </c>
      <c r="W722" s="363">
        <v>0</v>
      </c>
      <c r="X722" s="376">
        <v>2</v>
      </c>
      <c r="Y722" s="42">
        <v>-0.1</v>
      </c>
      <c r="Z722" s="376">
        <v>0</v>
      </c>
      <c r="AA722" s="363"/>
      <c r="AB722" s="363"/>
      <c r="AC722" s="363"/>
      <c r="AD722" s="363"/>
      <c r="AE722" s="363"/>
      <c r="AF722" s="363"/>
      <c r="AG722" s="363"/>
      <c r="AH722" s="363"/>
      <c r="AI722" s="363"/>
      <c r="AJ722" s="363"/>
      <c r="AK722" s="363"/>
      <c r="AL722" s="363"/>
      <c r="AM722" s="363"/>
      <c r="AN722" s="363" t="s">
        <v>2650</v>
      </c>
      <c r="AO722" s="363" t="s">
        <v>2651</v>
      </c>
      <c r="AP722" s="10">
        <v>2631</v>
      </c>
      <c r="AQ722" s="363" t="s">
        <v>136</v>
      </c>
      <c r="AR722" s="363"/>
      <c r="AS722" s="363"/>
      <c r="AT722" s="363"/>
      <c r="AU722" s="363"/>
      <c r="AV722" s="363"/>
      <c r="AW722" s="363"/>
      <c r="AX722" s="363"/>
      <c r="AY722" s="363"/>
      <c r="AZ722" s="363"/>
      <c r="BA722" s="363"/>
      <c r="BB722" s="363"/>
      <c r="BC722" s="363"/>
    </row>
    <row r="723" s="44" customFormat="1" spans="1:55">
      <c r="A723" s="363">
        <v>719</v>
      </c>
      <c r="B723" s="363" t="s">
        <v>2644</v>
      </c>
      <c r="C723" s="363" t="s">
        <v>2652</v>
      </c>
      <c r="D723" s="363">
        <v>1</v>
      </c>
      <c r="E723" s="363">
        <v>0</v>
      </c>
      <c r="F723" s="363"/>
      <c r="G723" s="363">
        <v>1</v>
      </c>
      <c r="H723" s="5" t="s">
        <v>2653</v>
      </c>
      <c r="I723" s="44">
        <f>60/30</f>
        <v>2</v>
      </c>
      <c r="J723" s="44">
        <f>60/30</f>
        <v>2</v>
      </c>
      <c r="K723" s="363"/>
      <c r="L723" s="363">
        <v>1</v>
      </c>
      <c r="M723" s="44">
        <f t="shared" si="44"/>
        <v>1.6</v>
      </c>
      <c r="N723" s="363" t="s">
        <v>2654</v>
      </c>
      <c r="O723" s="376">
        <v>1</v>
      </c>
      <c r="P723" s="10">
        <v>3.1</v>
      </c>
      <c r="Q723" s="376">
        <v>0</v>
      </c>
      <c r="R723" s="363"/>
      <c r="S723" s="363">
        <v>0.95</v>
      </c>
      <c r="T723" s="363">
        <v>0</v>
      </c>
      <c r="U723" s="363">
        <v>1.5</v>
      </c>
      <c r="V723" s="363">
        <v>1</v>
      </c>
      <c r="W723" s="363">
        <v>4</v>
      </c>
      <c r="X723" s="376">
        <v>2</v>
      </c>
      <c r="Y723" s="42">
        <v>-0.1</v>
      </c>
      <c r="Z723" s="376">
        <v>0</v>
      </c>
      <c r="AA723" s="363"/>
      <c r="AB723" s="363"/>
      <c r="AC723" s="363"/>
      <c r="AD723" s="363"/>
      <c r="AE723" s="363"/>
      <c r="AF723" s="363"/>
      <c r="AG723" s="363"/>
      <c r="AH723" s="363"/>
      <c r="AI723" s="363"/>
      <c r="AJ723" s="363"/>
      <c r="AK723" s="363"/>
      <c r="AL723" s="363"/>
      <c r="AM723" s="363"/>
      <c r="AN723" s="363" t="s">
        <v>2655</v>
      </c>
      <c r="AO723" s="363" t="s">
        <v>2656</v>
      </c>
      <c r="AP723" s="363">
        <v>2623</v>
      </c>
      <c r="AQ723" s="363" t="s">
        <v>136</v>
      </c>
      <c r="AR723" s="363"/>
      <c r="AS723" s="363"/>
      <c r="AT723" s="363"/>
      <c r="AU723" s="363"/>
      <c r="AV723" s="363"/>
      <c r="AW723" s="363"/>
      <c r="AX723" s="363"/>
      <c r="AY723" s="363"/>
      <c r="AZ723" s="363"/>
      <c r="BA723" s="363"/>
      <c r="BB723" s="363"/>
      <c r="BC723" s="363"/>
    </row>
    <row r="724" s="44" customFormat="1" spans="1:55">
      <c r="A724" s="363">
        <v>720</v>
      </c>
      <c r="B724" s="363" t="s">
        <v>2644</v>
      </c>
      <c r="C724" s="363" t="s">
        <v>2657</v>
      </c>
      <c r="D724" s="363">
        <v>1</v>
      </c>
      <c r="E724" s="363">
        <v>0</v>
      </c>
      <c r="F724" s="363"/>
      <c r="G724" s="363">
        <v>1</v>
      </c>
      <c r="H724" s="5" t="s">
        <v>2658</v>
      </c>
      <c r="I724" s="44">
        <f>150/30</f>
        <v>5</v>
      </c>
      <c r="J724" s="44">
        <f>150/30</f>
        <v>5</v>
      </c>
      <c r="K724" s="363"/>
      <c r="L724" s="363">
        <v>1</v>
      </c>
      <c r="M724" s="44">
        <f t="shared" si="44"/>
        <v>4.6</v>
      </c>
      <c r="N724" s="363" t="s">
        <v>2659</v>
      </c>
      <c r="O724" s="376">
        <v>1</v>
      </c>
      <c r="P724" s="10">
        <v>15</v>
      </c>
      <c r="Q724" s="376">
        <v>0</v>
      </c>
      <c r="R724" s="363"/>
      <c r="S724" s="363"/>
      <c r="T724" s="363"/>
      <c r="U724" s="363"/>
      <c r="V724" s="363">
        <v>1</v>
      </c>
      <c r="W724" s="363">
        <v>0</v>
      </c>
      <c r="X724" s="376">
        <v>3</v>
      </c>
      <c r="Y724" s="42">
        <v>-0.1</v>
      </c>
      <c r="Z724" s="376">
        <v>0</v>
      </c>
      <c r="AA724" s="363"/>
      <c r="AB724" s="363">
        <f>I724-0.3</f>
        <v>4.7</v>
      </c>
      <c r="AC724" s="363">
        <v>2</v>
      </c>
      <c r="AD724" s="363">
        <v>1</v>
      </c>
      <c r="AE724" s="363" t="s">
        <v>2660</v>
      </c>
      <c r="AF724" s="363">
        <v>0.5</v>
      </c>
      <c r="AG724" s="363"/>
      <c r="AH724" s="363"/>
      <c r="AI724" s="363"/>
      <c r="AJ724" s="363"/>
      <c r="AK724" s="363"/>
      <c r="AL724" s="363"/>
      <c r="AM724" s="363"/>
      <c r="AN724" s="363"/>
      <c r="AO724" s="363"/>
      <c r="AP724" s="363">
        <v>2649</v>
      </c>
      <c r="AQ724" s="363" t="s">
        <v>136</v>
      </c>
      <c r="AR724" s="363"/>
      <c r="AS724" s="363"/>
      <c r="AT724" s="363"/>
      <c r="AU724" s="363"/>
      <c r="AV724" s="363"/>
      <c r="AW724" s="363"/>
      <c r="AX724" s="363"/>
      <c r="AY724" s="363"/>
      <c r="AZ724" s="363"/>
      <c r="BA724" s="363"/>
      <c r="BB724" s="363"/>
      <c r="BC724" s="363"/>
    </row>
    <row r="725" s="44" customFormat="1" spans="1:55">
      <c r="A725" s="363">
        <v>721</v>
      </c>
      <c r="B725" s="363" t="s">
        <v>2661</v>
      </c>
      <c r="C725" s="363" t="s">
        <v>526</v>
      </c>
      <c r="D725" s="363">
        <v>1</v>
      </c>
      <c r="E725" s="363">
        <v>0</v>
      </c>
      <c r="F725" s="363"/>
      <c r="G725" s="363">
        <v>1</v>
      </c>
      <c r="H725" s="5" t="s">
        <v>2662</v>
      </c>
      <c r="I725" s="44">
        <f>110/30</f>
        <v>3.66666666666667</v>
      </c>
      <c r="J725" s="44">
        <f>110/30</f>
        <v>3.66666666666667</v>
      </c>
      <c r="K725" s="363"/>
      <c r="L725" s="363">
        <v>0</v>
      </c>
      <c r="M725" s="44">
        <f t="shared" si="44"/>
        <v>3.26666666666667</v>
      </c>
      <c r="N725" s="363" t="s">
        <v>2663</v>
      </c>
      <c r="O725" s="376">
        <v>1</v>
      </c>
      <c r="P725" s="10">
        <v>2.5</v>
      </c>
      <c r="Q725" s="376">
        <v>0</v>
      </c>
      <c r="R725" s="363"/>
      <c r="S725" s="363">
        <v>0.2</v>
      </c>
      <c r="T725" s="363">
        <v>0.3</v>
      </c>
      <c r="U725" s="363">
        <v>0.5</v>
      </c>
      <c r="V725" s="363">
        <v>1</v>
      </c>
      <c r="W725" s="363">
        <v>0</v>
      </c>
      <c r="X725" s="376">
        <v>4</v>
      </c>
      <c r="Y725" s="42">
        <v>-0.1</v>
      </c>
      <c r="Z725" s="376">
        <v>0</v>
      </c>
      <c r="AA725" s="363"/>
      <c r="AB725" s="363"/>
      <c r="AC725" s="363"/>
      <c r="AD725" s="363"/>
      <c r="AE725" s="363"/>
      <c r="AF725" s="363"/>
      <c r="AG725" s="363"/>
      <c r="AH725" s="363"/>
      <c r="AI725" s="363"/>
      <c r="AJ725" s="363"/>
      <c r="AK725" s="363"/>
      <c r="AL725" s="363"/>
      <c r="AM725" s="363"/>
      <c r="AN725" s="363"/>
      <c r="AO725" s="363"/>
      <c r="AP725" s="363">
        <v>2634</v>
      </c>
      <c r="AQ725" s="363" t="s">
        <v>136</v>
      </c>
      <c r="AR725" s="363"/>
      <c r="AS725" s="363"/>
      <c r="AT725" s="363"/>
      <c r="AU725" s="363"/>
      <c r="AV725" s="363"/>
      <c r="AW725" s="363"/>
      <c r="AX725" s="363"/>
      <c r="AY725" s="363"/>
      <c r="AZ725" s="363"/>
      <c r="BA725" s="363"/>
      <c r="BB725" s="363"/>
      <c r="BC725" s="363"/>
    </row>
    <row r="726" s="44" customFormat="1" spans="1:55">
      <c r="A726" s="363">
        <v>722</v>
      </c>
      <c r="B726" s="363" t="s">
        <v>2661</v>
      </c>
      <c r="C726" s="363" t="s">
        <v>2664</v>
      </c>
      <c r="D726" s="363">
        <v>1</v>
      </c>
      <c r="E726" s="363">
        <v>0</v>
      </c>
      <c r="F726" s="363"/>
      <c r="G726" s="363">
        <v>1</v>
      </c>
      <c r="H726" s="5" t="s">
        <v>2665</v>
      </c>
      <c r="I726" s="44">
        <f>97/30</f>
        <v>3.23333333333333</v>
      </c>
      <c r="J726" s="44">
        <f>97/30</f>
        <v>3.23333333333333</v>
      </c>
      <c r="K726" s="363"/>
      <c r="L726" s="363">
        <v>1</v>
      </c>
      <c r="M726" s="44">
        <f t="shared" si="44"/>
        <v>2.83333333333333</v>
      </c>
      <c r="N726" s="363" t="s">
        <v>2666</v>
      </c>
      <c r="O726" s="376">
        <v>1</v>
      </c>
      <c r="P726" s="363">
        <v>2.5</v>
      </c>
      <c r="Q726" s="376">
        <v>0</v>
      </c>
      <c r="R726" s="363"/>
      <c r="S726" s="363">
        <v>0.8</v>
      </c>
      <c r="T726" s="363">
        <v>0.5</v>
      </c>
      <c r="U726" s="363">
        <v>0.5</v>
      </c>
      <c r="V726" s="363">
        <v>1</v>
      </c>
      <c r="W726" s="363">
        <v>0</v>
      </c>
      <c r="X726" s="376">
        <v>3</v>
      </c>
      <c r="Y726" s="42">
        <v>-0.1</v>
      </c>
      <c r="Z726" s="376">
        <v>0</v>
      </c>
      <c r="AA726" s="363"/>
      <c r="AB726" s="363"/>
      <c r="AC726" s="363"/>
      <c r="AD726" s="363"/>
      <c r="AE726" s="363"/>
      <c r="AF726" s="363"/>
      <c r="AG726" s="363"/>
      <c r="AH726" s="363"/>
      <c r="AI726" s="363"/>
      <c r="AJ726" s="363"/>
      <c r="AK726" s="363"/>
      <c r="AL726" s="363"/>
      <c r="AM726" s="363"/>
      <c r="AN726" s="363"/>
      <c r="AO726" s="363"/>
      <c r="AP726" s="363">
        <v>2635</v>
      </c>
      <c r="AQ726" s="363" t="s">
        <v>136</v>
      </c>
      <c r="AR726" s="363"/>
      <c r="AS726" s="363"/>
      <c r="AT726" s="363"/>
      <c r="AU726" s="363"/>
      <c r="AV726" s="363"/>
      <c r="AW726" s="363"/>
      <c r="AX726" s="363"/>
      <c r="AY726" s="363"/>
      <c r="AZ726" s="363"/>
      <c r="BA726" s="363"/>
      <c r="BB726" s="363"/>
      <c r="BC726" s="363"/>
    </row>
    <row r="727" s="44" customFormat="1" spans="1:55">
      <c r="A727" s="363">
        <v>723</v>
      </c>
      <c r="B727" s="363" t="s">
        <v>2661</v>
      </c>
      <c r="C727" s="363" t="s">
        <v>2667</v>
      </c>
      <c r="D727" s="363">
        <v>1</v>
      </c>
      <c r="E727" s="363">
        <v>0</v>
      </c>
      <c r="F727" s="363"/>
      <c r="G727" s="363">
        <v>1</v>
      </c>
      <c r="H727" s="5" t="s">
        <v>2668</v>
      </c>
      <c r="I727" s="44">
        <f>95/30</f>
        <v>3.16666666666667</v>
      </c>
      <c r="J727" s="44">
        <f>95/30</f>
        <v>3.16666666666667</v>
      </c>
      <c r="K727" s="363"/>
      <c r="L727" s="363">
        <v>1</v>
      </c>
      <c r="M727" s="44">
        <f t="shared" si="44"/>
        <v>2.76666666666667</v>
      </c>
      <c r="N727" s="363" t="s">
        <v>2669</v>
      </c>
      <c r="O727" s="376">
        <v>1</v>
      </c>
      <c r="P727" s="10">
        <v>2.5</v>
      </c>
      <c r="Q727" s="376">
        <v>0</v>
      </c>
      <c r="R727" s="363"/>
      <c r="S727" s="363">
        <v>4</v>
      </c>
      <c r="T727" s="363">
        <v>-0.5</v>
      </c>
      <c r="U727" s="363">
        <v>0.5</v>
      </c>
      <c r="V727" s="363">
        <v>1</v>
      </c>
      <c r="W727" s="363">
        <v>6</v>
      </c>
      <c r="X727" s="376">
        <v>2</v>
      </c>
      <c r="Y727" s="42">
        <v>-0.1</v>
      </c>
      <c r="Z727" s="376">
        <v>0</v>
      </c>
      <c r="AA727" s="363"/>
      <c r="AB727" s="363"/>
      <c r="AC727" s="363"/>
      <c r="AD727" s="363"/>
      <c r="AE727" s="363"/>
      <c r="AF727" s="363"/>
      <c r="AG727" s="363"/>
      <c r="AH727" s="363"/>
      <c r="AI727" s="363"/>
      <c r="AJ727" s="363"/>
      <c r="AK727" s="363"/>
      <c r="AL727" s="363"/>
      <c r="AM727" s="363"/>
      <c r="AN727" s="363"/>
      <c r="AO727" s="363"/>
      <c r="AP727" s="363">
        <v>2636</v>
      </c>
      <c r="AQ727" s="363" t="s">
        <v>136</v>
      </c>
      <c r="AR727" s="363"/>
      <c r="AS727" s="363"/>
      <c r="AT727" s="363"/>
      <c r="AU727" s="363"/>
      <c r="AV727" s="363"/>
      <c r="AW727" s="363"/>
      <c r="AX727" s="363"/>
      <c r="AY727" s="363"/>
      <c r="AZ727" s="363"/>
      <c r="BA727" s="363"/>
      <c r="BB727" s="363"/>
      <c r="BC727" s="363"/>
    </row>
    <row r="728" s="44" customFormat="1" spans="1:55">
      <c r="A728" s="363">
        <v>724</v>
      </c>
      <c r="B728" s="363" t="s">
        <v>2661</v>
      </c>
      <c r="C728" s="363" t="s">
        <v>2670</v>
      </c>
      <c r="D728" s="363">
        <v>1</v>
      </c>
      <c r="E728" s="363">
        <v>0</v>
      </c>
      <c r="F728" s="363"/>
      <c r="G728" s="363">
        <v>1</v>
      </c>
      <c r="H728" s="5" t="s">
        <v>2671</v>
      </c>
      <c r="I728" s="44">
        <f>310/30</f>
        <v>10.3333333333333</v>
      </c>
      <c r="J728" s="44">
        <f>280/30</f>
        <v>9.33333333333333</v>
      </c>
      <c r="K728" s="363"/>
      <c r="L728" s="363">
        <v>1</v>
      </c>
      <c r="M728" s="44">
        <f t="shared" si="44"/>
        <v>9.93333333333333</v>
      </c>
      <c r="N728" s="363" t="s">
        <v>2672</v>
      </c>
      <c r="O728" s="376">
        <v>1</v>
      </c>
      <c r="P728" s="363">
        <v>27</v>
      </c>
      <c r="Q728" s="376">
        <v>0</v>
      </c>
      <c r="R728" s="363"/>
      <c r="S728" s="363"/>
      <c r="T728" s="363"/>
      <c r="U728" s="363"/>
      <c r="V728" s="363">
        <v>1</v>
      </c>
      <c r="W728" s="363">
        <v>0</v>
      </c>
      <c r="X728" s="376">
        <v>7</v>
      </c>
      <c r="Y728" s="42">
        <v>-0.1</v>
      </c>
      <c r="Z728" s="376">
        <v>0</v>
      </c>
      <c r="AA728" s="363"/>
      <c r="AB728" s="363">
        <f>I728-0.3</f>
        <v>10.0333333333333</v>
      </c>
      <c r="AC728" s="363">
        <v>1</v>
      </c>
      <c r="AD728" s="363">
        <v>1</v>
      </c>
      <c r="AE728" s="363" t="s">
        <v>2673</v>
      </c>
      <c r="AF728" s="363">
        <v>0.5</v>
      </c>
      <c r="AG728" s="363"/>
      <c r="AH728" s="363"/>
      <c r="AI728" s="363"/>
      <c r="AJ728" s="363"/>
      <c r="AK728" s="363"/>
      <c r="AL728" s="363"/>
      <c r="AM728" s="363"/>
      <c r="AN728" s="363" t="s">
        <v>2674</v>
      </c>
      <c r="AO728" s="363" t="s">
        <v>2675</v>
      </c>
      <c r="AP728" s="363">
        <v>2638</v>
      </c>
      <c r="AQ728" s="363" t="s">
        <v>136</v>
      </c>
      <c r="AR728" s="363"/>
      <c r="AS728" s="363"/>
      <c r="AT728" s="363"/>
      <c r="AU728" s="363"/>
      <c r="AV728" s="363"/>
      <c r="AW728" s="363"/>
      <c r="AX728" s="363"/>
      <c r="AY728" s="363"/>
      <c r="AZ728" s="363"/>
      <c r="BA728" s="363"/>
      <c r="BB728" s="363"/>
      <c r="BC728" s="363"/>
    </row>
    <row r="729" s="44" customFormat="1" spans="1:55">
      <c r="A729" s="363">
        <v>725</v>
      </c>
      <c r="B729" s="363" t="s">
        <v>2661</v>
      </c>
      <c r="C729" s="10" t="s">
        <v>2676</v>
      </c>
      <c r="D729" s="363">
        <v>1</v>
      </c>
      <c r="E729" s="363">
        <v>0</v>
      </c>
      <c r="F729" s="363"/>
      <c r="G729" s="363">
        <v>1</v>
      </c>
      <c r="H729" s="5" t="s">
        <v>2677</v>
      </c>
      <c r="I729" s="44">
        <f>403/30</f>
        <v>13.4333333333333</v>
      </c>
      <c r="J729" s="44">
        <f>403/30</f>
        <v>13.4333333333333</v>
      </c>
      <c r="K729" s="363"/>
      <c r="L729" s="363">
        <v>1</v>
      </c>
      <c r="M729" s="44">
        <f t="shared" si="44"/>
        <v>13.0333333333333</v>
      </c>
      <c r="N729" s="363" t="s">
        <v>2678</v>
      </c>
      <c r="O729" s="376">
        <v>1</v>
      </c>
      <c r="P729" s="10">
        <v>10</v>
      </c>
      <c r="Q729" s="376">
        <v>0</v>
      </c>
      <c r="R729" s="363"/>
      <c r="S729" s="363"/>
      <c r="T729" s="363"/>
      <c r="U729" s="363"/>
      <c r="V729" s="363">
        <v>1</v>
      </c>
      <c r="W729" s="363">
        <v>0</v>
      </c>
      <c r="X729" s="376">
        <v>3</v>
      </c>
      <c r="Y729" s="42">
        <v>-0.1</v>
      </c>
      <c r="Z729" s="376">
        <v>0</v>
      </c>
      <c r="AA729" s="363"/>
      <c r="AB729" s="363">
        <f>I729-0.3</f>
        <v>13.1333333333333</v>
      </c>
      <c r="AC729" s="363">
        <v>2</v>
      </c>
      <c r="AD729" s="363">
        <v>1</v>
      </c>
      <c r="AE729" s="381" t="s">
        <v>2679</v>
      </c>
      <c r="AF729" s="363">
        <v>0.5</v>
      </c>
      <c r="AG729" s="363"/>
      <c r="AH729" s="363"/>
      <c r="AI729" s="363"/>
      <c r="AJ729" s="363"/>
      <c r="AK729" s="363"/>
      <c r="AL729" s="363"/>
      <c r="AM729" s="363"/>
      <c r="AN729" s="10" t="s">
        <v>2680</v>
      </c>
      <c r="AO729" s="10" t="s">
        <v>2681</v>
      </c>
      <c r="AP729" s="363">
        <v>2642</v>
      </c>
      <c r="AQ729" s="363" t="s">
        <v>136</v>
      </c>
      <c r="AR729" s="363"/>
      <c r="AS729" s="363"/>
      <c r="AT729" s="363"/>
      <c r="AU729" s="363"/>
      <c r="AV729" s="363"/>
      <c r="AW729" s="363"/>
      <c r="AX729" s="363"/>
      <c r="AY729" s="363"/>
      <c r="AZ729" s="363"/>
      <c r="BA729" s="363"/>
      <c r="BB729" s="363"/>
      <c r="BC729" s="363"/>
    </row>
    <row r="730" s="44" customFormat="1" ht="16.5" spans="1:55">
      <c r="A730" s="363">
        <v>726</v>
      </c>
      <c r="B730" s="364" t="s">
        <v>2682</v>
      </c>
      <c r="C730" s="364" t="s">
        <v>526</v>
      </c>
      <c r="D730" s="364">
        <v>1</v>
      </c>
      <c r="E730" s="364">
        <v>0</v>
      </c>
      <c r="F730" s="364"/>
      <c r="G730" s="364">
        <v>1</v>
      </c>
      <c r="H730" s="273" t="s">
        <v>2683</v>
      </c>
      <c r="I730" s="17">
        <f>82/30</f>
        <v>2.73333333333333</v>
      </c>
      <c r="J730" s="17">
        <f>82/30</f>
        <v>2.73333333333333</v>
      </c>
      <c r="K730" s="364"/>
      <c r="L730" s="364">
        <v>0</v>
      </c>
      <c r="M730" s="17">
        <f t="shared" si="44"/>
        <v>2.33333333333333</v>
      </c>
      <c r="N730" s="364" t="s">
        <v>2684</v>
      </c>
      <c r="O730" s="376">
        <v>1</v>
      </c>
      <c r="P730" s="363">
        <v>2.4</v>
      </c>
      <c r="Q730" s="376">
        <v>0</v>
      </c>
      <c r="R730" s="363"/>
      <c r="S730" s="39">
        <v>1</v>
      </c>
      <c r="T730" s="39">
        <v>0.5</v>
      </c>
      <c r="U730" s="39">
        <v>0.75</v>
      </c>
      <c r="V730" s="363">
        <v>1</v>
      </c>
      <c r="W730" s="363">
        <v>0</v>
      </c>
      <c r="X730" s="376">
        <v>4</v>
      </c>
      <c r="Y730" s="42">
        <v>-0.1</v>
      </c>
      <c r="Z730" s="376">
        <v>0</v>
      </c>
      <c r="AA730" s="363"/>
      <c r="AB730" s="363"/>
      <c r="AC730" s="363"/>
      <c r="AD730" s="363"/>
      <c r="AE730" s="363"/>
      <c r="AF730" s="363"/>
      <c r="AG730" s="363"/>
      <c r="AH730" s="363"/>
      <c r="AI730" s="363"/>
      <c r="AJ730" s="363"/>
      <c r="AK730" s="363"/>
      <c r="AL730" s="363"/>
      <c r="AM730" s="363"/>
      <c r="AN730" s="267">
        <v>2763</v>
      </c>
      <c r="AO730" s="10" t="s">
        <v>2511</v>
      </c>
      <c r="AP730" s="267">
        <v>2761</v>
      </c>
      <c r="AQ730" s="363" t="s">
        <v>136</v>
      </c>
      <c r="AR730" s="363"/>
      <c r="AS730" s="363"/>
      <c r="AT730" s="363"/>
      <c r="AU730" s="363"/>
      <c r="AV730" s="363"/>
      <c r="AW730" s="363"/>
      <c r="AX730" s="363"/>
      <c r="AY730" s="363"/>
      <c r="AZ730" s="363"/>
      <c r="BA730" s="363"/>
      <c r="BB730" s="363"/>
      <c r="BC730" s="363"/>
    </row>
    <row r="731" s="44" customFormat="1" ht="16.5" spans="1:55">
      <c r="A731" s="363">
        <v>727</v>
      </c>
      <c r="B731" s="364" t="s">
        <v>2682</v>
      </c>
      <c r="C731" s="364" t="s">
        <v>1925</v>
      </c>
      <c r="D731" s="364">
        <v>1</v>
      </c>
      <c r="E731" s="364">
        <v>0</v>
      </c>
      <c r="F731" s="364"/>
      <c r="G731" s="364">
        <v>1</v>
      </c>
      <c r="H731" s="273" t="s">
        <v>2685</v>
      </c>
      <c r="I731" s="17">
        <f>140/30</f>
        <v>4.66666666666667</v>
      </c>
      <c r="J731" s="17">
        <f>140/30</f>
        <v>4.66666666666667</v>
      </c>
      <c r="K731" s="364"/>
      <c r="L731" s="364">
        <v>1</v>
      </c>
      <c r="M731" s="17">
        <f t="shared" si="44"/>
        <v>4.26666666666667</v>
      </c>
      <c r="N731" s="364" t="s">
        <v>2686</v>
      </c>
      <c r="O731" s="376">
        <v>1</v>
      </c>
      <c r="P731" s="10">
        <v>2.4</v>
      </c>
      <c r="Q731" s="376">
        <v>0</v>
      </c>
      <c r="R731" s="363"/>
      <c r="S731" s="39">
        <v>1.65</v>
      </c>
      <c r="T731" s="39">
        <v>0.5</v>
      </c>
      <c r="U731" s="39">
        <v>1.2</v>
      </c>
      <c r="V731" s="363">
        <v>1</v>
      </c>
      <c r="W731" s="363">
        <v>0</v>
      </c>
      <c r="X731" s="376">
        <v>5</v>
      </c>
      <c r="Y731" s="42">
        <v>-0.1</v>
      </c>
      <c r="Z731" s="376">
        <v>0</v>
      </c>
      <c r="AA731" s="363"/>
      <c r="AB731" s="363"/>
      <c r="AC731" s="363"/>
      <c r="AD731" s="363"/>
      <c r="AE731" s="363"/>
      <c r="AF731" s="363"/>
      <c r="AG731" s="363"/>
      <c r="AH731" s="363"/>
      <c r="AI731" s="363"/>
      <c r="AJ731" s="363"/>
      <c r="AK731" s="363"/>
      <c r="AL731" s="363"/>
      <c r="AM731" s="363"/>
      <c r="AN731" s="267">
        <v>2763</v>
      </c>
      <c r="AO731" s="10" t="s">
        <v>2511</v>
      </c>
      <c r="AP731" s="267">
        <v>2764</v>
      </c>
      <c r="AQ731" s="363" t="s">
        <v>136</v>
      </c>
      <c r="AR731" s="363"/>
      <c r="AS731" s="363"/>
      <c r="AT731" s="363"/>
      <c r="AU731" s="363"/>
      <c r="AV731" s="363"/>
      <c r="AW731" s="363"/>
      <c r="AX731" s="363"/>
      <c r="AY731" s="363"/>
      <c r="AZ731" s="363"/>
      <c r="BA731" s="363"/>
      <c r="BB731" s="363"/>
      <c r="BC731" s="363"/>
    </row>
    <row r="732" s="44" customFormat="1" ht="16.5" spans="1:55">
      <c r="A732" s="363">
        <v>728</v>
      </c>
      <c r="B732" s="364" t="s">
        <v>2682</v>
      </c>
      <c r="C732" s="364" t="s">
        <v>2687</v>
      </c>
      <c r="D732" s="364">
        <v>1</v>
      </c>
      <c r="E732" s="364">
        <v>0</v>
      </c>
      <c r="F732" s="364"/>
      <c r="G732" s="364">
        <v>1</v>
      </c>
      <c r="H732" s="273" t="s">
        <v>2688</v>
      </c>
      <c r="I732" s="17">
        <f>55/30</f>
        <v>1.83333333333333</v>
      </c>
      <c r="J732" s="17">
        <f>55/30</f>
        <v>1.83333333333333</v>
      </c>
      <c r="K732" s="364"/>
      <c r="L732" s="364">
        <v>1</v>
      </c>
      <c r="M732" s="17">
        <f t="shared" si="44"/>
        <v>1.43333333333333</v>
      </c>
      <c r="N732" s="364" t="s">
        <v>2689</v>
      </c>
      <c r="O732" s="376">
        <v>1</v>
      </c>
      <c r="P732" s="363">
        <v>2.4</v>
      </c>
      <c r="Q732" s="376">
        <v>0</v>
      </c>
      <c r="R732" s="363"/>
      <c r="S732" s="39">
        <v>0.8</v>
      </c>
      <c r="T732" s="39">
        <v>0.5</v>
      </c>
      <c r="U732" s="39">
        <v>0.5</v>
      </c>
      <c r="V732" s="363">
        <v>1</v>
      </c>
      <c r="W732" s="363">
        <v>0</v>
      </c>
      <c r="X732" s="376">
        <v>2</v>
      </c>
      <c r="Y732" s="42">
        <v>-0.1</v>
      </c>
      <c r="Z732" s="376">
        <v>0</v>
      </c>
      <c r="AA732" s="363"/>
      <c r="AB732" s="363"/>
      <c r="AC732" s="363"/>
      <c r="AD732" s="363"/>
      <c r="AE732" s="363"/>
      <c r="AF732" s="363"/>
      <c r="AG732" s="363"/>
      <c r="AH732" s="363"/>
      <c r="AI732" s="363"/>
      <c r="AJ732" s="363"/>
      <c r="AK732" s="363"/>
      <c r="AL732" s="363"/>
      <c r="AM732" s="363"/>
      <c r="AN732" s="363"/>
      <c r="AO732" s="363"/>
      <c r="AP732" s="267">
        <v>2765</v>
      </c>
      <c r="AQ732" s="363" t="s">
        <v>136</v>
      </c>
      <c r="AR732" s="363"/>
      <c r="AS732" s="363"/>
      <c r="AT732" s="363"/>
      <c r="AU732" s="363"/>
      <c r="AV732" s="363"/>
      <c r="AW732" s="363"/>
      <c r="AX732" s="363"/>
      <c r="AY732" s="363"/>
      <c r="AZ732" s="363"/>
      <c r="BA732" s="363"/>
      <c r="BB732" s="363"/>
      <c r="BC732" s="363"/>
    </row>
    <row r="733" s="44" customFormat="1" ht="16.5" spans="1:55">
      <c r="A733" s="363">
        <v>729</v>
      </c>
      <c r="B733" s="364" t="s">
        <v>2682</v>
      </c>
      <c r="C733" s="364" t="s">
        <v>2690</v>
      </c>
      <c r="D733" s="364">
        <v>1</v>
      </c>
      <c r="E733" s="364">
        <v>0</v>
      </c>
      <c r="F733" s="364"/>
      <c r="G733" s="364">
        <v>1</v>
      </c>
      <c r="H733" s="273" t="s">
        <v>2691</v>
      </c>
      <c r="I733" s="17">
        <f>91/30</f>
        <v>3.03333333333333</v>
      </c>
      <c r="J733" s="17">
        <f>91/30</f>
        <v>3.03333333333333</v>
      </c>
      <c r="K733" s="364"/>
      <c r="L733" s="364">
        <v>1</v>
      </c>
      <c r="M733" s="17">
        <f t="shared" si="44"/>
        <v>2.63333333333333</v>
      </c>
      <c r="N733" s="364" t="s">
        <v>2692</v>
      </c>
      <c r="O733" s="376">
        <v>1</v>
      </c>
      <c r="P733" s="10">
        <v>2.4</v>
      </c>
      <c r="Q733" s="376">
        <v>0</v>
      </c>
      <c r="R733" s="363"/>
      <c r="S733" s="39">
        <v>1.45</v>
      </c>
      <c r="T733" s="39">
        <v>-0.2</v>
      </c>
      <c r="U733" s="39">
        <v>1.5</v>
      </c>
      <c r="V733" s="363">
        <v>1</v>
      </c>
      <c r="W733" s="363">
        <v>6</v>
      </c>
      <c r="X733" s="376">
        <v>3</v>
      </c>
      <c r="Y733" s="42">
        <v>-0.1</v>
      </c>
      <c r="Z733" s="376">
        <v>0</v>
      </c>
      <c r="AA733" s="363"/>
      <c r="AB733" s="363"/>
      <c r="AC733" s="363"/>
      <c r="AD733" s="363"/>
      <c r="AE733" s="363"/>
      <c r="AF733" s="363"/>
      <c r="AG733" s="363"/>
      <c r="AH733" s="363"/>
      <c r="AI733" s="363"/>
      <c r="AJ733" s="363"/>
      <c r="AK733" s="363"/>
      <c r="AL733" s="363"/>
      <c r="AM733" s="363"/>
      <c r="AN733" s="267">
        <v>2763</v>
      </c>
      <c r="AO733" s="10" t="s">
        <v>2511</v>
      </c>
      <c r="AP733" s="267">
        <v>2767</v>
      </c>
      <c r="AQ733" s="363" t="s">
        <v>136</v>
      </c>
      <c r="AR733" s="363"/>
      <c r="AS733" s="363"/>
      <c r="AT733" s="363"/>
      <c r="AU733" s="363"/>
      <c r="AV733" s="363"/>
      <c r="AW733" s="363"/>
      <c r="AX733" s="363"/>
      <c r="AY733" s="363"/>
      <c r="AZ733" s="363"/>
      <c r="BA733" s="363"/>
      <c r="BB733" s="363"/>
      <c r="BC733" s="363"/>
    </row>
    <row r="734" s="44" customFormat="1" ht="16.5" spans="1:55">
      <c r="A734" s="363">
        <v>730</v>
      </c>
      <c r="B734" s="364" t="s">
        <v>2682</v>
      </c>
      <c r="C734" s="364" t="s">
        <v>2693</v>
      </c>
      <c r="D734" s="364">
        <v>1</v>
      </c>
      <c r="E734" s="364">
        <v>0</v>
      </c>
      <c r="F734" s="364"/>
      <c r="G734" s="364">
        <v>1</v>
      </c>
      <c r="H734" s="273" t="s">
        <v>2694</v>
      </c>
      <c r="I734" s="17">
        <f>80/30</f>
        <v>2.66666666666667</v>
      </c>
      <c r="J734" s="17">
        <f>80/30</f>
        <v>2.66666666666667</v>
      </c>
      <c r="K734" s="364"/>
      <c r="L734" s="364">
        <v>1</v>
      </c>
      <c r="M734" s="17">
        <f t="shared" si="44"/>
        <v>2.26666666666667</v>
      </c>
      <c r="N734" s="364" t="s">
        <v>2695</v>
      </c>
      <c r="O734" s="376">
        <v>1</v>
      </c>
      <c r="P734" s="363">
        <v>2.4</v>
      </c>
      <c r="Q734" s="376">
        <v>0</v>
      </c>
      <c r="R734" s="363"/>
      <c r="S734" s="39">
        <v>1.5</v>
      </c>
      <c r="T734" s="39">
        <v>-0.1</v>
      </c>
      <c r="U734" s="39">
        <v>2.12</v>
      </c>
      <c r="V734" s="363">
        <v>1</v>
      </c>
      <c r="W734" s="363">
        <v>6</v>
      </c>
      <c r="X734" s="376">
        <v>3</v>
      </c>
      <c r="Y734" s="42">
        <v>-0.1</v>
      </c>
      <c r="Z734" s="376">
        <v>0</v>
      </c>
      <c r="AA734" s="363"/>
      <c r="AB734" s="363"/>
      <c r="AC734" s="363"/>
      <c r="AD734" s="363"/>
      <c r="AE734" s="363"/>
      <c r="AF734" s="363"/>
      <c r="AG734" s="363"/>
      <c r="AH734" s="363"/>
      <c r="AI734" s="363"/>
      <c r="AJ734" s="363"/>
      <c r="AK734" s="363"/>
      <c r="AL734" s="363"/>
      <c r="AM734" s="363"/>
      <c r="AN734" s="267">
        <v>2763</v>
      </c>
      <c r="AO734" s="10" t="s">
        <v>2511</v>
      </c>
      <c r="AP734" s="267">
        <v>2769</v>
      </c>
      <c r="AQ734" s="363" t="s">
        <v>136</v>
      </c>
      <c r="AR734" s="363"/>
      <c r="AS734" s="363"/>
      <c r="AT734" s="363"/>
      <c r="AU734" s="363"/>
      <c r="AV734" s="363"/>
      <c r="AW734" s="363"/>
      <c r="AX734" s="363"/>
      <c r="AY734" s="363"/>
      <c r="AZ734" s="363"/>
      <c r="BA734" s="363"/>
      <c r="BB734" s="363"/>
      <c r="BC734" s="363"/>
    </row>
    <row r="735" s="44" customFormat="1" ht="16.5" spans="1:55">
      <c r="A735" s="363">
        <v>731</v>
      </c>
      <c r="B735" s="364" t="s">
        <v>2682</v>
      </c>
      <c r="C735" s="364" t="s">
        <v>2696</v>
      </c>
      <c r="D735" s="364">
        <v>1</v>
      </c>
      <c r="E735" s="364">
        <v>0</v>
      </c>
      <c r="F735" s="364"/>
      <c r="G735" s="364">
        <v>1</v>
      </c>
      <c r="H735" s="273" t="s">
        <v>2697</v>
      </c>
      <c r="I735" s="17">
        <f>245/30</f>
        <v>8.16666666666667</v>
      </c>
      <c r="J735" s="17">
        <f>245/30</f>
        <v>8.16666666666667</v>
      </c>
      <c r="K735" s="364"/>
      <c r="L735" s="364">
        <v>1</v>
      </c>
      <c r="M735" s="17">
        <f t="shared" si="44"/>
        <v>7.76666666666667</v>
      </c>
      <c r="N735" s="364" t="s">
        <v>2698</v>
      </c>
      <c r="O735" s="376">
        <v>1</v>
      </c>
      <c r="P735" s="10">
        <v>11.5</v>
      </c>
      <c r="Q735" s="376">
        <v>0</v>
      </c>
      <c r="R735" s="363"/>
      <c r="S735" s="363"/>
      <c r="T735" s="363"/>
      <c r="U735" s="363"/>
      <c r="V735" s="363">
        <v>1</v>
      </c>
      <c r="W735" s="363">
        <v>6</v>
      </c>
      <c r="X735" s="376">
        <v>4</v>
      </c>
      <c r="Y735" s="42">
        <v>-0.1</v>
      </c>
      <c r="Z735" s="376">
        <v>0</v>
      </c>
      <c r="AA735" s="363"/>
      <c r="AB735" s="363">
        <f>I735-0.3</f>
        <v>7.86666666666667</v>
      </c>
      <c r="AC735" s="363">
        <v>2</v>
      </c>
      <c r="AD735" s="363">
        <v>1</v>
      </c>
      <c r="AE735" s="363" t="s">
        <v>2699</v>
      </c>
      <c r="AF735" s="363">
        <v>0.5</v>
      </c>
      <c r="AG735" s="363"/>
      <c r="AH735" s="363"/>
      <c r="AI735" s="363"/>
      <c r="AJ735" s="363"/>
      <c r="AK735" s="363"/>
      <c r="AL735" s="363"/>
      <c r="AM735" s="363"/>
      <c r="AN735" s="267">
        <v>2772</v>
      </c>
      <c r="AO735" s="10" t="s">
        <v>2511</v>
      </c>
      <c r="AP735" s="267">
        <v>2771</v>
      </c>
      <c r="AQ735" s="363" t="s">
        <v>136</v>
      </c>
      <c r="AR735" s="363"/>
      <c r="AS735" s="363"/>
      <c r="AT735" s="363"/>
      <c r="AU735" s="363"/>
      <c r="AV735" s="363"/>
      <c r="AW735" s="363"/>
      <c r="AX735" s="363"/>
      <c r="AY735" s="363"/>
      <c r="AZ735" s="363"/>
      <c r="BA735" s="363"/>
      <c r="BB735" s="363"/>
      <c r="BC735" s="363"/>
    </row>
    <row r="736" s="44" customFormat="1" spans="1:55">
      <c r="A736" s="363">
        <v>732</v>
      </c>
      <c r="B736" s="364" t="s">
        <v>2682</v>
      </c>
      <c r="C736" s="364" t="s">
        <v>2700</v>
      </c>
      <c r="D736" s="364">
        <v>1</v>
      </c>
      <c r="E736" s="364">
        <v>0</v>
      </c>
      <c r="F736" s="364"/>
      <c r="G736" s="364">
        <v>1</v>
      </c>
      <c r="H736" s="273" t="s">
        <v>2701</v>
      </c>
      <c r="I736" s="17">
        <f>282/30</f>
        <v>9.4</v>
      </c>
      <c r="J736" s="17">
        <f>282/30</f>
        <v>9.4</v>
      </c>
      <c r="K736" s="364"/>
      <c r="L736" s="364">
        <v>1</v>
      </c>
      <c r="M736" s="17">
        <f t="shared" si="44"/>
        <v>9</v>
      </c>
      <c r="N736" s="364" t="s">
        <v>2702</v>
      </c>
      <c r="O736" s="376">
        <v>3</v>
      </c>
      <c r="P736" s="363">
        <v>-8</v>
      </c>
      <c r="Q736" s="376">
        <v>0</v>
      </c>
      <c r="R736" s="363"/>
      <c r="S736" s="363"/>
      <c r="T736" s="363"/>
      <c r="U736" s="363"/>
      <c r="V736" s="363">
        <v>1</v>
      </c>
      <c r="W736" s="363">
        <v>6</v>
      </c>
      <c r="X736" s="376">
        <v>3</v>
      </c>
      <c r="Y736" s="42">
        <v>-0.1</v>
      </c>
      <c r="Z736" s="376">
        <v>0</v>
      </c>
      <c r="AA736" s="363"/>
      <c r="AB736" s="363">
        <f>I736-0.3</f>
        <v>9.1</v>
      </c>
      <c r="AC736" s="363">
        <v>2</v>
      </c>
      <c r="AD736" s="363">
        <v>1</v>
      </c>
      <c r="AE736" s="363" t="s">
        <v>2703</v>
      </c>
      <c r="AF736" s="363">
        <v>0.5</v>
      </c>
      <c r="AG736" s="363"/>
      <c r="AH736" s="363"/>
      <c r="AI736" s="363"/>
      <c r="AJ736" s="363"/>
      <c r="AK736" s="363"/>
      <c r="AL736" s="363"/>
      <c r="AM736" s="363"/>
      <c r="AN736" s="363">
        <v>2774</v>
      </c>
      <c r="AO736" s="10" t="s">
        <v>2511</v>
      </c>
      <c r="AP736" s="363">
        <v>2773</v>
      </c>
      <c r="AQ736" s="363" t="s">
        <v>136</v>
      </c>
      <c r="AR736" s="363"/>
      <c r="AS736" s="363"/>
      <c r="AT736" s="363"/>
      <c r="AU736" s="363"/>
      <c r="AV736" s="363"/>
      <c r="AW736" s="363"/>
      <c r="AX736" s="363"/>
      <c r="AY736" s="363"/>
      <c r="AZ736" s="363"/>
      <c r="BA736" s="363"/>
      <c r="BB736" s="363"/>
      <c r="BC736" s="363"/>
    </row>
    <row r="737" s="44" customFormat="1" spans="1:55">
      <c r="A737" s="363">
        <v>733</v>
      </c>
      <c r="B737" s="364" t="s">
        <v>2682</v>
      </c>
      <c r="C737" s="364" t="s">
        <v>2704</v>
      </c>
      <c r="D737" s="364">
        <v>1</v>
      </c>
      <c r="E737" s="364">
        <v>0</v>
      </c>
      <c r="F737" s="364"/>
      <c r="G737" s="364">
        <v>1</v>
      </c>
      <c r="H737" s="273" t="s">
        <v>2705</v>
      </c>
      <c r="I737" s="17">
        <f>378/30</f>
        <v>12.6</v>
      </c>
      <c r="J737" s="17">
        <f>378/30</f>
        <v>12.6</v>
      </c>
      <c r="K737" s="364"/>
      <c r="L737" s="364">
        <v>1</v>
      </c>
      <c r="M737" s="17">
        <f t="shared" si="44"/>
        <v>12.2</v>
      </c>
      <c r="N737" s="364" t="s">
        <v>2706</v>
      </c>
      <c r="O737" s="376">
        <v>1</v>
      </c>
      <c r="P737" s="10">
        <v>4.5</v>
      </c>
      <c r="Q737" s="376">
        <v>0</v>
      </c>
      <c r="R737" s="363"/>
      <c r="S737" s="363"/>
      <c r="T737" s="363"/>
      <c r="U737" s="363"/>
      <c r="V737" s="363">
        <v>1</v>
      </c>
      <c r="W737" s="363">
        <v>0</v>
      </c>
      <c r="X737" s="376">
        <v>7</v>
      </c>
      <c r="Y737" s="42">
        <v>-0.1</v>
      </c>
      <c r="Z737" s="376">
        <v>0</v>
      </c>
      <c r="AA737" s="363"/>
      <c r="AB737" s="363">
        <f>I737-0.3</f>
        <v>12.3</v>
      </c>
      <c r="AC737" s="363">
        <v>2</v>
      </c>
      <c r="AD737" s="363">
        <v>1</v>
      </c>
      <c r="AE737" s="363" t="s">
        <v>2707</v>
      </c>
      <c r="AF737" s="363">
        <v>0.5</v>
      </c>
      <c r="AG737" s="363"/>
      <c r="AH737" s="363"/>
      <c r="AI737" s="363"/>
      <c r="AJ737" s="363"/>
      <c r="AK737" s="363"/>
      <c r="AL737" s="363"/>
      <c r="AM737" s="363"/>
      <c r="AN737" s="363">
        <v>2778</v>
      </c>
      <c r="AO737" s="10" t="s">
        <v>2511</v>
      </c>
      <c r="AP737" s="363">
        <v>2777</v>
      </c>
      <c r="AQ737" s="363" t="s">
        <v>136</v>
      </c>
      <c r="AR737" s="363"/>
      <c r="AS737" s="363"/>
      <c r="AT737" s="363"/>
      <c r="AU737" s="363"/>
      <c r="AV737" s="363"/>
      <c r="AW737" s="363"/>
      <c r="AX737" s="363"/>
      <c r="AY737" s="363"/>
      <c r="AZ737" s="363"/>
      <c r="BA737" s="363"/>
      <c r="BB737" s="363"/>
      <c r="BC737" s="363"/>
    </row>
    <row r="738" ht="16.5" spans="1:44">
      <c r="A738" s="363">
        <v>734</v>
      </c>
      <c r="B738" s="334" t="s">
        <v>2500</v>
      </c>
      <c r="C738" s="334" t="s">
        <v>2708</v>
      </c>
      <c r="D738">
        <v>1</v>
      </c>
      <c r="E738">
        <v>0</v>
      </c>
      <c r="G738">
        <v>1</v>
      </c>
      <c r="H738" s="5" t="s">
        <v>2709</v>
      </c>
      <c r="I738">
        <f>70/30</f>
        <v>2.33333333333333</v>
      </c>
      <c r="J738">
        <f>70/30</f>
        <v>2.33333333333333</v>
      </c>
      <c r="L738">
        <v>0</v>
      </c>
      <c r="M738">
        <f t="shared" si="44"/>
        <v>1.93333333333333</v>
      </c>
      <c r="N738" t="s">
        <v>2503</v>
      </c>
      <c r="O738">
        <v>1</v>
      </c>
      <c r="P738">
        <v>4.2</v>
      </c>
      <c r="Q738">
        <v>0</v>
      </c>
      <c r="S738">
        <v>1.3</v>
      </c>
      <c r="T738">
        <v>0.6</v>
      </c>
      <c r="U738">
        <v>0.4</v>
      </c>
      <c r="V738">
        <v>1</v>
      </c>
      <c r="W738">
        <v>0</v>
      </c>
      <c r="X738" s="7">
        <v>4</v>
      </c>
      <c r="Y738">
        <v>-0.1</v>
      </c>
      <c r="Z738">
        <v>0</v>
      </c>
      <c r="AN738" s="154"/>
      <c r="AO738" s="8"/>
      <c r="AP738" s="267">
        <v>2426</v>
      </c>
      <c r="AQ738" t="s">
        <v>136</v>
      </c>
      <c r="AR738" s="11"/>
    </row>
    <row r="739" ht="16.5" spans="1:44">
      <c r="A739" s="363">
        <v>735</v>
      </c>
      <c r="B739" s="334" t="s">
        <v>2500</v>
      </c>
      <c r="C739" s="334" t="s">
        <v>2710</v>
      </c>
      <c r="D739">
        <v>1</v>
      </c>
      <c r="E739">
        <v>0</v>
      </c>
      <c r="G739">
        <v>1</v>
      </c>
      <c r="H739" s="5" t="s">
        <v>2711</v>
      </c>
      <c r="I739">
        <f>108/30</f>
        <v>3.6</v>
      </c>
      <c r="J739">
        <f>108/30</f>
        <v>3.6</v>
      </c>
      <c r="L739">
        <v>1</v>
      </c>
      <c r="M739">
        <f t="shared" si="44"/>
        <v>3.2</v>
      </c>
      <c r="N739" t="s">
        <v>2506</v>
      </c>
      <c r="O739">
        <v>1</v>
      </c>
      <c r="P739">
        <v>4.2</v>
      </c>
      <c r="Q739">
        <v>0</v>
      </c>
      <c r="S739">
        <v>1.3</v>
      </c>
      <c r="T739">
        <v>0.6</v>
      </c>
      <c r="U739">
        <v>0.5</v>
      </c>
      <c r="V739">
        <v>1</v>
      </c>
      <c r="W739">
        <v>0</v>
      </c>
      <c r="X739" s="7">
        <v>3</v>
      </c>
      <c r="Y739">
        <v>-0.1</v>
      </c>
      <c r="Z739">
        <v>0</v>
      </c>
      <c r="AN739" s="10" t="s">
        <v>2507</v>
      </c>
      <c r="AO739" t="s">
        <v>2157</v>
      </c>
      <c r="AP739" s="267">
        <v>2429</v>
      </c>
      <c r="AQ739" t="s">
        <v>136</v>
      </c>
      <c r="AR739" s="11"/>
    </row>
    <row r="740" ht="16.5" spans="1:44">
      <c r="A740" s="363">
        <v>736</v>
      </c>
      <c r="B740" s="334" t="s">
        <v>2500</v>
      </c>
      <c r="C740" s="334" t="s">
        <v>2712</v>
      </c>
      <c r="D740">
        <v>1</v>
      </c>
      <c r="E740">
        <v>0</v>
      </c>
      <c r="G740">
        <v>1</v>
      </c>
      <c r="H740" s="5" t="s">
        <v>2713</v>
      </c>
      <c r="I740">
        <f>81/30</f>
        <v>2.7</v>
      </c>
      <c r="J740">
        <f>81/30</f>
        <v>2.7</v>
      </c>
      <c r="L740">
        <v>1</v>
      </c>
      <c r="M740">
        <f t="shared" si="44"/>
        <v>2.3</v>
      </c>
      <c r="N740" t="s">
        <v>2510</v>
      </c>
      <c r="O740">
        <v>1</v>
      </c>
      <c r="P740">
        <v>4.2</v>
      </c>
      <c r="Q740">
        <v>0</v>
      </c>
      <c r="S740">
        <v>1.5</v>
      </c>
      <c r="T740">
        <v>0.5</v>
      </c>
      <c r="U740">
        <v>0.5</v>
      </c>
      <c r="V740">
        <v>1</v>
      </c>
      <c r="W740">
        <v>0</v>
      </c>
      <c r="X740" s="7">
        <v>3</v>
      </c>
      <c r="Y740">
        <v>-0.1</v>
      </c>
      <c r="Z740">
        <v>0</v>
      </c>
      <c r="AN740" s="10">
        <v>2437</v>
      </c>
      <c r="AO740" t="s">
        <v>2511</v>
      </c>
      <c r="AP740" s="267">
        <v>2434</v>
      </c>
      <c r="AQ740" t="s">
        <v>136</v>
      </c>
      <c r="AR740" s="11"/>
    </row>
    <row r="741" ht="16.5" spans="1:44">
      <c r="A741" s="363">
        <v>737</v>
      </c>
      <c r="B741" s="334" t="s">
        <v>2500</v>
      </c>
      <c r="C741" s="334" t="s">
        <v>2714</v>
      </c>
      <c r="D741">
        <v>1</v>
      </c>
      <c r="E741">
        <v>0</v>
      </c>
      <c r="G741">
        <v>1</v>
      </c>
      <c r="H741" s="5" t="s">
        <v>2715</v>
      </c>
      <c r="I741">
        <f>280/30</f>
        <v>9.33333333333333</v>
      </c>
      <c r="J741">
        <f>280/30</f>
        <v>9.33333333333333</v>
      </c>
      <c r="L741">
        <v>1</v>
      </c>
      <c r="M741">
        <f t="shared" si="44"/>
        <v>8.93333333333333</v>
      </c>
      <c r="N741" t="s">
        <v>2514</v>
      </c>
      <c r="O741">
        <v>3</v>
      </c>
      <c r="P741">
        <v>-4</v>
      </c>
      <c r="Q741">
        <v>0</v>
      </c>
      <c r="V741">
        <v>1</v>
      </c>
      <c r="W741" s="185">
        <v>6</v>
      </c>
      <c r="X741" s="7">
        <v>9</v>
      </c>
      <c r="Y741">
        <v>-0.1</v>
      </c>
      <c r="Z741">
        <v>0</v>
      </c>
      <c r="AB741">
        <v>9</v>
      </c>
      <c r="AC741">
        <v>2</v>
      </c>
      <c r="AD741">
        <v>1</v>
      </c>
      <c r="AE741" t="s">
        <v>2515</v>
      </c>
      <c r="AF741">
        <v>0.5</v>
      </c>
      <c r="AN741" s="267" t="s">
        <v>2516</v>
      </c>
      <c r="AO741" t="s">
        <v>2517</v>
      </c>
      <c r="AP741" s="267">
        <v>2559</v>
      </c>
      <c r="AQ741" t="s">
        <v>136</v>
      </c>
      <c r="AR741" s="11"/>
    </row>
    <row r="742" ht="16.5" spans="1:44">
      <c r="A742" s="363">
        <v>738</v>
      </c>
      <c r="B742" s="334" t="s">
        <v>2500</v>
      </c>
      <c r="C742" t="s">
        <v>2716</v>
      </c>
      <c r="D742">
        <v>1</v>
      </c>
      <c r="E742">
        <v>0</v>
      </c>
      <c r="G742">
        <v>1</v>
      </c>
      <c r="H742" s="5" t="s">
        <v>2717</v>
      </c>
      <c r="I742">
        <f>246/30</f>
        <v>8.2</v>
      </c>
      <c r="J742">
        <f>246/30</f>
        <v>8.2</v>
      </c>
      <c r="L742">
        <v>1</v>
      </c>
      <c r="M742">
        <f t="shared" si="44"/>
        <v>7.8</v>
      </c>
      <c r="N742" t="s">
        <v>2520</v>
      </c>
      <c r="O742">
        <v>3</v>
      </c>
      <c r="P742">
        <v>-6</v>
      </c>
      <c r="Q742">
        <v>0</v>
      </c>
      <c r="V742">
        <v>1</v>
      </c>
      <c r="W742" s="185">
        <v>6</v>
      </c>
      <c r="X742" s="7">
        <v>4</v>
      </c>
      <c r="Y742">
        <v>-0.1</v>
      </c>
      <c r="Z742">
        <v>0</v>
      </c>
      <c r="AB742">
        <f>I742-0.3</f>
        <v>7.9</v>
      </c>
      <c r="AC742">
        <v>1</v>
      </c>
      <c r="AD742">
        <v>1</v>
      </c>
      <c r="AE742" t="s">
        <v>2521</v>
      </c>
      <c r="AF742">
        <v>0.5</v>
      </c>
      <c r="AN742" s="10"/>
      <c r="AP742" s="267">
        <v>2562</v>
      </c>
      <c r="AQ742" t="s">
        <v>136</v>
      </c>
      <c r="AR742" s="11"/>
    </row>
    <row r="743" s="41" customFormat="1" ht="16.5" spans="1:44">
      <c r="A743" s="363">
        <v>739</v>
      </c>
      <c r="B743" s="336" t="s">
        <v>2534</v>
      </c>
      <c r="C743" s="336" t="s">
        <v>2718</v>
      </c>
      <c r="D743" s="41">
        <v>1</v>
      </c>
      <c r="E743" s="41">
        <v>0</v>
      </c>
      <c r="G743" s="41">
        <v>1</v>
      </c>
      <c r="H743" s="337" t="s">
        <v>2554</v>
      </c>
      <c r="I743" s="41">
        <v>8.33333333333333</v>
      </c>
      <c r="J743" s="41">
        <v>8.33333333333333</v>
      </c>
      <c r="L743" s="41">
        <v>1</v>
      </c>
      <c r="M743" s="41">
        <f t="shared" si="44"/>
        <v>7.93333333333333</v>
      </c>
      <c r="N743" s="41" t="s">
        <v>2555</v>
      </c>
      <c r="O743" s="41">
        <v>1</v>
      </c>
      <c r="P743" s="41">
        <v>10.5</v>
      </c>
      <c r="Q743" s="41">
        <v>0</v>
      </c>
      <c r="V743" s="41">
        <v>1</v>
      </c>
      <c r="W743" s="378">
        <v>6</v>
      </c>
      <c r="X743" s="348">
        <v>7</v>
      </c>
      <c r="Y743" s="41">
        <v>-0.1</v>
      </c>
      <c r="Z743" s="41">
        <v>0</v>
      </c>
      <c r="AB743" s="41">
        <f>I743-0.3</f>
        <v>8.03333333333333</v>
      </c>
      <c r="AC743" s="41">
        <v>1</v>
      </c>
      <c r="AD743" s="41">
        <v>1</v>
      </c>
      <c r="AE743" s="41" t="s">
        <v>2556</v>
      </c>
      <c r="AF743" s="41">
        <v>0.5</v>
      </c>
      <c r="AN743" s="356" t="s">
        <v>2557</v>
      </c>
      <c r="AO743" s="41" t="s">
        <v>2558</v>
      </c>
      <c r="AP743" s="359">
        <v>2486</v>
      </c>
      <c r="AQ743" s="41" t="s">
        <v>136</v>
      </c>
      <c r="AR743" s="337" t="s">
        <v>2326</v>
      </c>
    </row>
    <row r="744" s="41" customFormat="1" ht="16.5" spans="1:45">
      <c r="A744" s="363">
        <v>740</v>
      </c>
      <c r="B744" s="336" t="s">
        <v>2534</v>
      </c>
      <c r="C744" s="336" t="s">
        <v>2719</v>
      </c>
      <c r="D744" s="41">
        <v>1</v>
      </c>
      <c r="E744" s="41">
        <v>0</v>
      </c>
      <c r="G744" s="41">
        <v>1</v>
      </c>
      <c r="H744" s="337" t="s">
        <v>2560</v>
      </c>
      <c r="I744" s="41">
        <v>10.4333333333333</v>
      </c>
      <c r="J744" s="41">
        <v>10.4333333333333</v>
      </c>
      <c r="L744" s="41">
        <v>1</v>
      </c>
      <c r="M744" s="41">
        <f t="shared" si="44"/>
        <v>10.0333333333333</v>
      </c>
      <c r="N744" s="41" t="s">
        <v>2561</v>
      </c>
      <c r="O744" s="41">
        <v>1</v>
      </c>
      <c r="P744" s="41">
        <v>2.4</v>
      </c>
      <c r="Q744" s="41">
        <v>0</v>
      </c>
      <c r="V744" s="41">
        <v>1</v>
      </c>
      <c r="W744" s="378">
        <v>6</v>
      </c>
      <c r="X744" s="348">
        <v>9</v>
      </c>
      <c r="Y744" s="41">
        <v>-0.1</v>
      </c>
      <c r="Z744" s="41">
        <v>0</v>
      </c>
      <c r="AB744" s="41">
        <f>I744-0.3</f>
        <v>10.1333333333333</v>
      </c>
      <c r="AC744" s="41">
        <v>2</v>
      </c>
      <c r="AD744" s="41">
        <v>1</v>
      </c>
      <c r="AE744" s="41" t="s">
        <v>2562</v>
      </c>
      <c r="AF744" s="41">
        <v>0.5</v>
      </c>
      <c r="AN744" s="356"/>
      <c r="AP744" s="359">
        <v>2499</v>
      </c>
      <c r="AQ744" s="41" t="s">
        <v>136</v>
      </c>
      <c r="AR744" s="337" t="s">
        <v>2326</v>
      </c>
      <c r="AS744" s="41" t="s">
        <v>2563</v>
      </c>
    </row>
    <row r="745" s="41" customFormat="1" ht="16.5" spans="1:44">
      <c r="A745" s="363">
        <v>741</v>
      </c>
      <c r="B745" s="365" t="s">
        <v>2720</v>
      </c>
      <c r="C745" s="365" t="s">
        <v>526</v>
      </c>
      <c r="D745" s="366">
        <v>1</v>
      </c>
      <c r="E745" s="366">
        <v>0</v>
      </c>
      <c r="F745" s="366"/>
      <c r="G745" s="366">
        <v>1</v>
      </c>
      <c r="H745" s="367" t="s">
        <v>2721</v>
      </c>
      <c r="I745" s="366">
        <f>114/30</f>
        <v>3.8</v>
      </c>
      <c r="J745" s="366">
        <v>3.8</v>
      </c>
      <c r="K745" s="366"/>
      <c r="L745" s="366">
        <v>0</v>
      </c>
      <c r="M745" s="366">
        <f t="shared" ref="M745:M752" si="45">I745-0.4</f>
        <v>3.4</v>
      </c>
      <c r="N745" s="377" t="s">
        <v>2722</v>
      </c>
      <c r="O745" s="41">
        <v>1</v>
      </c>
      <c r="P745" s="375">
        <v>4.3</v>
      </c>
      <c r="Q745" s="41">
        <v>0</v>
      </c>
      <c r="S745" s="375">
        <v>0.55</v>
      </c>
      <c r="T745" s="375">
        <v>0.3</v>
      </c>
      <c r="U745" s="375">
        <v>2.6</v>
      </c>
      <c r="V745" s="41">
        <v>1</v>
      </c>
      <c r="W745" s="375">
        <v>0</v>
      </c>
      <c r="X745" s="348">
        <v>3</v>
      </c>
      <c r="Y745" s="41">
        <v>-0.1</v>
      </c>
      <c r="Z745" s="41">
        <v>0</v>
      </c>
      <c r="AN745" s="356"/>
      <c r="AP745" s="267">
        <v>2659</v>
      </c>
      <c r="AQ745" s="41" t="s">
        <v>136</v>
      </c>
      <c r="AR745" s="337"/>
    </row>
    <row r="746" s="41" customFormat="1" ht="16.5" spans="1:44">
      <c r="A746" s="363">
        <v>742</v>
      </c>
      <c r="B746" s="365" t="s">
        <v>2720</v>
      </c>
      <c r="C746" s="365" t="s">
        <v>2723</v>
      </c>
      <c r="D746" s="366">
        <v>1</v>
      </c>
      <c r="E746" s="366">
        <v>0</v>
      </c>
      <c r="F746" s="366"/>
      <c r="G746" s="366">
        <v>1</v>
      </c>
      <c r="H746" s="367" t="s">
        <v>2724</v>
      </c>
      <c r="I746" s="366">
        <f>115/30</f>
        <v>3.83333333333333</v>
      </c>
      <c r="J746" s="366">
        <v>3.83333333333333</v>
      </c>
      <c r="K746" s="366"/>
      <c r="L746" s="366">
        <v>1</v>
      </c>
      <c r="M746" s="366">
        <f t="shared" si="45"/>
        <v>3.43333333333333</v>
      </c>
      <c r="N746" s="377" t="s">
        <v>2725</v>
      </c>
      <c r="O746" s="41">
        <v>1</v>
      </c>
      <c r="P746" s="375">
        <v>4.3</v>
      </c>
      <c r="Q746" s="41">
        <v>0</v>
      </c>
      <c r="S746" s="375">
        <v>-0.9</v>
      </c>
      <c r="T746" s="375">
        <v>-1.1</v>
      </c>
      <c r="U746" s="375">
        <v>3</v>
      </c>
      <c r="V746" s="41">
        <v>1</v>
      </c>
      <c r="W746" s="375">
        <v>6</v>
      </c>
      <c r="X746" s="348">
        <v>3</v>
      </c>
      <c r="Y746" s="41">
        <v>-0.1</v>
      </c>
      <c r="Z746" s="41">
        <v>0</v>
      </c>
      <c r="AN746" s="267">
        <v>2668</v>
      </c>
      <c r="AO746" s="41" t="s">
        <v>2726</v>
      </c>
      <c r="AP746" s="267">
        <v>2666</v>
      </c>
      <c r="AQ746" s="41" t="s">
        <v>136</v>
      </c>
      <c r="AR746" s="337"/>
    </row>
    <row r="747" s="41" customFormat="1" ht="16.5" spans="1:44">
      <c r="A747" s="363">
        <v>743</v>
      </c>
      <c r="B747" s="365" t="s">
        <v>2720</v>
      </c>
      <c r="C747" s="365" t="s">
        <v>2727</v>
      </c>
      <c r="D747" s="366">
        <v>1</v>
      </c>
      <c r="E747" s="366">
        <v>0</v>
      </c>
      <c r="F747" s="366"/>
      <c r="G747" s="366">
        <v>1</v>
      </c>
      <c r="H747" s="367" t="s">
        <v>2728</v>
      </c>
      <c r="I747" s="366">
        <f>141/30</f>
        <v>4.7</v>
      </c>
      <c r="J747" s="366">
        <v>4.7</v>
      </c>
      <c r="K747" s="366"/>
      <c r="L747" s="366">
        <v>1</v>
      </c>
      <c r="M747" s="366">
        <f t="shared" si="45"/>
        <v>4.3</v>
      </c>
      <c r="N747" s="377" t="s">
        <v>2729</v>
      </c>
      <c r="O747" s="41">
        <v>1</v>
      </c>
      <c r="P747" s="375">
        <v>4.3</v>
      </c>
      <c r="Q747" s="41">
        <v>0</v>
      </c>
      <c r="S747" s="375">
        <v>-0.9</v>
      </c>
      <c r="T747" s="375">
        <v>-1.1</v>
      </c>
      <c r="U747" s="375">
        <v>3</v>
      </c>
      <c r="V747" s="41">
        <v>1</v>
      </c>
      <c r="W747" s="375">
        <v>6</v>
      </c>
      <c r="X747" s="348">
        <v>3</v>
      </c>
      <c r="Y747" s="41">
        <v>-0.1</v>
      </c>
      <c r="Z747" s="41">
        <v>0</v>
      </c>
      <c r="AN747" s="356"/>
      <c r="AP747" s="267">
        <v>2669</v>
      </c>
      <c r="AQ747" s="41" t="s">
        <v>136</v>
      </c>
      <c r="AR747" s="337"/>
    </row>
    <row r="748" s="41" customFormat="1" ht="16.5" spans="1:44">
      <c r="A748" s="363">
        <v>744</v>
      </c>
      <c r="B748" s="365" t="s">
        <v>2720</v>
      </c>
      <c r="C748" s="365" t="s">
        <v>2730</v>
      </c>
      <c r="D748" s="366">
        <v>1</v>
      </c>
      <c r="E748" s="366">
        <v>0</v>
      </c>
      <c r="F748" s="366"/>
      <c r="G748" s="366">
        <v>1</v>
      </c>
      <c r="H748" s="367" t="s">
        <v>2731</v>
      </c>
      <c r="I748" s="366">
        <v>3.76666666666667</v>
      </c>
      <c r="J748" s="366">
        <v>3.76666666666667</v>
      </c>
      <c r="K748" s="366"/>
      <c r="L748" s="366">
        <v>1</v>
      </c>
      <c r="M748" s="366">
        <f t="shared" si="45"/>
        <v>3.36666666666667</v>
      </c>
      <c r="N748" s="377" t="s">
        <v>2732</v>
      </c>
      <c r="O748" s="41">
        <v>1</v>
      </c>
      <c r="P748" s="375">
        <v>4.3</v>
      </c>
      <c r="Q748" s="41">
        <v>0</v>
      </c>
      <c r="S748" s="375">
        <v>-0.9</v>
      </c>
      <c r="T748" s="375">
        <v>-1.1</v>
      </c>
      <c r="U748" s="375">
        <v>3</v>
      </c>
      <c r="V748" s="41">
        <v>1</v>
      </c>
      <c r="W748" s="375">
        <v>6</v>
      </c>
      <c r="X748" s="348">
        <v>2</v>
      </c>
      <c r="Y748" s="41">
        <v>-0.1</v>
      </c>
      <c r="Z748" s="41">
        <v>0</v>
      </c>
      <c r="AN748" s="267">
        <v>2662</v>
      </c>
      <c r="AO748" s="41" t="s">
        <v>2726</v>
      </c>
      <c r="AP748" s="267">
        <v>2660</v>
      </c>
      <c r="AQ748" s="41" t="s">
        <v>136</v>
      </c>
      <c r="AR748" s="337"/>
    </row>
    <row r="749" s="41" customFormat="1" ht="16.5" spans="1:44">
      <c r="A749" s="363">
        <v>745</v>
      </c>
      <c r="B749" s="365" t="s">
        <v>2720</v>
      </c>
      <c r="C749" s="365" t="s">
        <v>2733</v>
      </c>
      <c r="D749" s="366">
        <v>1</v>
      </c>
      <c r="E749" s="366">
        <v>0</v>
      </c>
      <c r="F749" s="366"/>
      <c r="G749" s="366">
        <v>1</v>
      </c>
      <c r="H749" s="367" t="s">
        <v>2734</v>
      </c>
      <c r="I749" s="366">
        <v>4.16666666666667</v>
      </c>
      <c r="J749" s="366">
        <v>4.16666666666667</v>
      </c>
      <c r="K749" s="366"/>
      <c r="L749" s="366">
        <v>1</v>
      </c>
      <c r="M749" s="366">
        <f t="shared" si="45"/>
        <v>3.76666666666667</v>
      </c>
      <c r="N749" s="377" t="s">
        <v>2735</v>
      </c>
      <c r="O749" s="41">
        <v>1</v>
      </c>
      <c r="P749" s="375">
        <v>4.3</v>
      </c>
      <c r="Q749" s="41">
        <v>0</v>
      </c>
      <c r="S749" s="375">
        <v>-0.9</v>
      </c>
      <c r="T749" s="375">
        <v>-1.1</v>
      </c>
      <c r="U749" s="375">
        <v>3</v>
      </c>
      <c r="V749" s="41">
        <v>1</v>
      </c>
      <c r="W749" s="375">
        <v>6</v>
      </c>
      <c r="X749" s="348">
        <v>3</v>
      </c>
      <c r="Y749" s="41">
        <v>-0.1</v>
      </c>
      <c r="Z749" s="41">
        <v>0</v>
      </c>
      <c r="AN749" s="267"/>
      <c r="AP749" s="267">
        <v>2663</v>
      </c>
      <c r="AQ749" s="41" t="s">
        <v>136</v>
      </c>
      <c r="AR749" s="337"/>
    </row>
    <row r="750" s="41" customFormat="1" ht="16.5" spans="1:44">
      <c r="A750" s="363">
        <v>746</v>
      </c>
      <c r="B750" s="365" t="s">
        <v>2720</v>
      </c>
      <c r="C750" s="365" t="s">
        <v>2736</v>
      </c>
      <c r="D750" s="366">
        <v>1</v>
      </c>
      <c r="E750" s="366">
        <v>0</v>
      </c>
      <c r="F750" s="366"/>
      <c r="G750" s="366">
        <v>1</v>
      </c>
      <c r="H750" s="367" t="s">
        <v>2737</v>
      </c>
      <c r="I750" s="366">
        <f>408/30</f>
        <v>13.6</v>
      </c>
      <c r="J750" s="366">
        <f>408/30</f>
        <v>13.6</v>
      </c>
      <c r="K750" s="366"/>
      <c r="L750" s="366">
        <v>1</v>
      </c>
      <c r="M750" s="366">
        <f t="shared" si="45"/>
        <v>13.2</v>
      </c>
      <c r="N750" s="377" t="s">
        <v>2738</v>
      </c>
      <c r="O750" s="41">
        <v>1</v>
      </c>
      <c r="P750" s="375">
        <v>4.1</v>
      </c>
      <c r="Q750" s="41">
        <v>0</v>
      </c>
      <c r="V750" s="41">
        <v>1</v>
      </c>
      <c r="W750" s="375">
        <v>6</v>
      </c>
      <c r="X750" s="348">
        <v>2</v>
      </c>
      <c r="Y750" s="41">
        <v>-0.1</v>
      </c>
      <c r="Z750" s="41">
        <v>0</v>
      </c>
      <c r="AB750" s="41">
        <f>I750-0.3</f>
        <v>13.3</v>
      </c>
      <c r="AC750" s="41">
        <v>2</v>
      </c>
      <c r="AD750" s="41">
        <v>1</v>
      </c>
      <c r="AE750" s="41" t="s">
        <v>2739</v>
      </c>
      <c r="AF750" s="41">
        <v>0.5</v>
      </c>
      <c r="AN750" s="356"/>
      <c r="AP750" s="267">
        <v>2665</v>
      </c>
      <c r="AQ750" s="41" t="s">
        <v>136</v>
      </c>
      <c r="AR750" s="337"/>
    </row>
    <row r="751" s="41" customFormat="1" ht="16.5" spans="1:44">
      <c r="A751" s="363">
        <v>747</v>
      </c>
      <c r="B751" s="365" t="s">
        <v>2720</v>
      </c>
      <c r="C751" s="365" t="s">
        <v>2740</v>
      </c>
      <c r="D751" s="366">
        <v>1</v>
      </c>
      <c r="E751" s="366">
        <v>0</v>
      </c>
      <c r="F751" s="366"/>
      <c r="G751" s="366">
        <v>1</v>
      </c>
      <c r="H751" s="367" t="s">
        <v>2741</v>
      </c>
      <c r="I751" s="366">
        <f>440/30</f>
        <v>14.6666666666667</v>
      </c>
      <c r="J751" s="366">
        <f>440/30</f>
        <v>14.6666666666667</v>
      </c>
      <c r="K751" s="366"/>
      <c r="L751" s="366">
        <v>1</v>
      </c>
      <c r="M751" s="366">
        <f t="shared" si="45"/>
        <v>14.2666666666667</v>
      </c>
      <c r="N751" s="377" t="s">
        <v>2742</v>
      </c>
      <c r="O751" s="41">
        <v>1</v>
      </c>
      <c r="P751" s="375">
        <v>25</v>
      </c>
      <c r="Q751" s="41">
        <v>0</v>
      </c>
      <c r="V751" s="41">
        <v>1</v>
      </c>
      <c r="W751" s="375">
        <v>6</v>
      </c>
      <c r="X751" s="348">
        <v>8</v>
      </c>
      <c r="Y751" s="41">
        <v>-0.1</v>
      </c>
      <c r="Z751" s="41">
        <v>0</v>
      </c>
      <c r="AB751" s="41">
        <f>I751-0.3</f>
        <v>14.3666666666667</v>
      </c>
      <c r="AC751" s="41">
        <v>1</v>
      </c>
      <c r="AD751" s="41">
        <v>1</v>
      </c>
      <c r="AE751" s="382" t="s">
        <v>2743</v>
      </c>
      <c r="AF751" s="41">
        <v>0.5</v>
      </c>
      <c r="AN751" s="356"/>
      <c r="AP751" s="267">
        <v>2671</v>
      </c>
      <c r="AQ751" s="41" t="s">
        <v>136</v>
      </c>
      <c r="AR751" s="337"/>
    </row>
    <row r="752" s="41" customFormat="1" ht="16.5" spans="1:44">
      <c r="A752" s="363">
        <v>748</v>
      </c>
      <c r="B752" s="365" t="s">
        <v>2720</v>
      </c>
      <c r="C752" s="365" t="s">
        <v>2744</v>
      </c>
      <c r="D752" s="366">
        <v>1</v>
      </c>
      <c r="E752" s="366">
        <v>0</v>
      </c>
      <c r="F752" s="366"/>
      <c r="G752" s="366">
        <v>1</v>
      </c>
      <c r="H752" s="367" t="s">
        <v>2745</v>
      </c>
      <c r="I752" s="366">
        <f>(50+360)/30</f>
        <v>13.6666666666667</v>
      </c>
      <c r="J752" s="366">
        <v>13.66667</v>
      </c>
      <c r="K752" s="366"/>
      <c r="L752" s="366">
        <v>1</v>
      </c>
      <c r="M752" s="366">
        <f t="shared" si="45"/>
        <v>13.2666666666667</v>
      </c>
      <c r="N752" s="377" t="s">
        <v>2746</v>
      </c>
      <c r="O752" s="41">
        <v>1</v>
      </c>
      <c r="P752" s="375">
        <v>5</v>
      </c>
      <c r="Q752" s="41">
        <v>0</v>
      </c>
      <c r="V752" s="41">
        <v>1</v>
      </c>
      <c r="W752" s="375">
        <v>6</v>
      </c>
      <c r="X752" s="348">
        <v>5</v>
      </c>
      <c r="Y752" s="41">
        <v>-0.1</v>
      </c>
      <c r="Z752" s="41">
        <v>0</v>
      </c>
      <c r="AB752" s="41">
        <f>I752-0.3</f>
        <v>13.3666666666667</v>
      </c>
      <c r="AC752" s="41">
        <v>2</v>
      </c>
      <c r="AD752" s="41">
        <v>1</v>
      </c>
      <c r="AE752" s="382" t="s">
        <v>2747</v>
      </c>
      <c r="AF752" s="41">
        <v>0.5</v>
      </c>
      <c r="AN752" s="356">
        <v>2674</v>
      </c>
      <c r="AO752" s="41" t="s">
        <v>2726</v>
      </c>
      <c r="AP752" s="267">
        <v>2672</v>
      </c>
      <c r="AQ752" s="41" t="s">
        <v>136</v>
      </c>
      <c r="AR752" s="337"/>
    </row>
    <row r="753" s="17" customFormat="1" ht="16.5" spans="1:44">
      <c r="A753" s="364">
        <v>749</v>
      </c>
      <c r="B753" s="368" t="s">
        <v>2748</v>
      </c>
      <c r="C753" s="368" t="s">
        <v>526</v>
      </c>
      <c r="D753" s="17">
        <v>1</v>
      </c>
      <c r="E753" s="17">
        <v>0</v>
      </c>
      <c r="G753" s="17">
        <v>1</v>
      </c>
      <c r="H753" s="210">
        <v>9201</v>
      </c>
      <c r="I753" s="17">
        <f>77/30</f>
        <v>2.56666666666667</v>
      </c>
      <c r="J753" s="17">
        <f>77/30</f>
        <v>2.56666666666667</v>
      </c>
      <c r="L753" s="17">
        <v>1</v>
      </c>
      <c r="M753" s="17">
        <f t="shared" ref="M753:M772" si="46">I753-0.4</f>
        <v>2.16666666666667</v>
      </c>
      <c r="N753" s="17" t="s">
        <v>2749</v>
      </c>
      <c r="O753" s="17">
        <v>1</v>
      </c>
      <c r="P753" s="364">
        <v>2.2</v>
      </c>
      <c r="Q753" s="17">
        <v>0</v>
      </c>
      <c r="S753" s="17">
        <v>1.4</v>
      </c>
      <c r="T753" s="17">
        <v>0.5</v>
      </c>
      <c r="U753" s="17">
        <v>0.2</v>
      </c>
      <c r="V753" s="17">
        <v>1</v>
      </c>
      <c r="W753" s="364">
        <v>0</v>
      </c>
      <c r="X753" s="116">
        <v>3</v>
      </c>
      <c r="Y753" s="17">
        <v>-0.1</v>
      </c>
      <c r="Z753" s="17">
        <v>0</v>
      </c>
      <c r="AE753" s="383"/>
      <c r="AN753" s="98"/>
      <c r="AP753" s="267">
        <v>2741</v>
      </c>
      <c r="AQ753" s="17" t="s">
        <v>136</v>
      </c>
      <c r="AR753" s="388"/>
    </row>
    <row r="754" s="17" customFormat="1" ht="16.5" spans="1:44">
      <c r="A754" s="364">
        <v>750</v>
      </c>
      <c r="B754" s="368" t="s">
        <v>2748</v>
      </c>
      <c r="C754" s="368" t="s">
        <v>2750</v>
      </c>
      <c r="D754" s="17">
        <v>1</v>
      </c>
      <c r="E754" s="17">
        <v>0</v>
      </c>
      <c r="G754" s="17">
        <v>1</v>
      </c>
      <c r="H754" s="210">
        <v>9202</v>
      </c>
      <c r="I754" s="17">
        <f>67/30</f>
        <v>2.23333333333333</v>
      </c>
      <c r="J754" s="17">
        <f>67/30</f>
        <v>2.23333333333333</v>
      </c>
      <c r="L754" s="17">
        <v>1</v>
      </c>
      <c r="M754" s="17">
        <f t="shared" si="46"/>
        <v>1.83333333333333</v>
      </c>
      <c r="N754" s="17" t="s">
        <v>2751</v>
      </c>
      <c r="O754" s="17">
        <v>1</v>
      </c>
      <c r="P754" s="364">
        <v>2.2</v>
      </c>
      <c r="Q754" s="17">
        <v>0</v>
      </c>
      <c r="S754" s="363">
        <v>1.5</v>
      </c>
      <c r="T754" s="363">
        <v>0.5</v>
      </c>
      <c r="U754" s="363">
        <v>0</v>
      </c>
      <c r="V754" s="17">
        <v>1</v>
      </c>
      <c r="W754" s="364">
        <v>0</v>
      </c>
      <c r="X754" s="116">
        <v>3</v>
      </c>
      <c r="Y754" s="17">
        <v>-0.1</v>
      </c>
      <c r="Z754" s="17">
        <v>0</v>
      </c>
      <c r="AE754" s="383"/>
      <c r="AN754" s="98"/>
      <c r="AP754" s="389">
        <v>2750</v>
      </c>
      <c r="AQ754" s="17" t="s">
        <v>136</v>
      </c>
      <c r="AR754" s="388"/>
    </row>
    <row r="755" s="17" customFormat="1" ht="16.5" spans="1:44">
      <c r="A755" s="364">
        <v>751</v>
      </c>
      <c r="B755" s="368" t="s">
        <v>2748</v>
      </c>
      <c r="C755" s="368" t="s">
        <v>2752</v>
      </c>
      <c r="D755" s="17">
        <v>1</v>
      </c>
      <c r="E755" s="17">
        <v>0</v>
      </c>
      <c r="G755" s="17">
        <v>1</v>
      </c>
      <c r="H755" s="210">
        <v>9203</v>
      </c>
      <c r="I755" s="17">
        <f>73/30</f>
        <v>2.43333333333333</v>
      </c>
      <c r="J755" s="17">
        <f>73/30</f>
        <v>2.43333333333333</v>
      </c>
      <c r="L755" s="17">
        <v>1</v>
      </c>
      <c r="M755" s="17">
        <f t="shared" si="46"/>
        <v>2.03333333333333</v>
      </c>
      <c r="O755" s="17">
        <v>1</v>
      </c>
      <c r="P755" s="364">
        <v>2.2</v>
      </c>
      <c r="Q755" s="17">
        <v>0</v>
      </c>
      <c r="S755" s="363">
        <v>1.5</v>
      </c>
      <c r="T755" s="363">
        <v>0.5</v>
      </c>
      <c r="U755" s="363">
        <v>0</v>
      </c>
      <c r="V755" s="17">
        <v>1</v>
      </c>
      <c r="W755" s="364">
        <v>0</v>
      </c>
      <c r="X755" s="116">
        <v>1</v>
      </c>
      <c r="Y755" s="17">
        <v>-0.1</v>
      </c>
      <c r="Z755" s="17">
        <v>0</v>
      </c>
      <c r="AE755" s="383"/>
      <c r="AN755" s="98"/>
      <c r="AP755" s="389"/>
      <c r="AR755" s="388"/>
    </row>
    <row r="756" s="17" customFormat="1" ht="16.5" spans="1:44">
      <c r="A756" s="364">
        <v>752</v>
      </c>
      <c r="B756" s="368" t="s">
        <v>2748</v>
      </c>
      <c r="C756" s="368" t="s">
        <v>2753</v>
      </c>
      <c r="D756" s="17">
        <v>1</v>
      </c>
      <c r="E756" s="17">
        <v>0</v>
      </c>
      <c r="G756" s="17">
        <v>1</v>
      </c>
      <c r="H756" s="210">
        <v>9204</v>
      </c>
      <c r="I756" s="17">
        <f>256/30</f>
        <v>8.53333333333333</v>
      </c>
      <c r="J756" s="17">
        <f>256/30</f>
        <v>8.53333333333333</v>
      </c>
      <c r="L756" s="17">
        <v>1</v>
      </c>
      <c r="M756" s="17">
        <f t="shared" si="46"/>
        <v>8.13333333333333</v>
      </c>
      <c r="O756" s="17">
        <v>1</v>
      </c>
      <c r="P756" s="364">
        <v>2.2</v>
      </c>
      <c r="Q756" s="17">
        <v>0</v>
      </c>
      <c r="S756" s="363">
        <v>1.5</v>
      </c>
      <c r="T756" s="363">
        <v>1.5</v>
      </c>
      <c r="U756" s="363">
        <v>0</v>
      </c>
      <c r="V756" s="17">
        <v>1</v>
      </c>
      <c r="W756" s="364">
        <v>0</v>
      </c>
      <c r="X756" s="116">
        <v>1</v>
      </c>
      <c r="Y756" s="17">
        <v>-0.1</v>
      </c>
      <c r="Z756" s="17">
        <v>0</v>
      </c>
      <c r="AE756" s="383"/>
      <c r="AN756" s="98"/>
      <c r="AP756" s="389"/>
      <c r="AR756" s="388"/>
    </row>
    <row r="757" s="17" customFormat="1" ht="16.5" spans="1:44">
      <c r="A757" s="364">
        <v>753</v>
      </c>
      <c r="B757" s="368" t="s">
        <v>2748</v>
      </c>
      <c r="C757" s="368" t="s">
        <v>2754</v>
      </c>
      <c r="D757" s="17">
        <v>1</v>
      </c>
      <c r="E757" s="17">
        <v>0</v>
      </c>
      <c r="G757" s="17">
        <v>1</v>
      </c>
      <c r="H757" s="210">
        <v>9205</v>
      </c>
      <c r="I757" s="17">
        <f>232/30</f>
        <v>7.73333333333333</v>
      </c>
      <c r="J757" s="17">
        <f>232/30</f>
        <v>7.73333333333333</v>
      </c>
      <c r="L757" s="17">
        <v>1</v>
      </c>
      <c r="M757" s="17">
        <f t="shared" si="46"/>
        <v>7.33333333333333</v>
      </c>
      <c r="N757" s="17" t="s">
        <v>2755</v>
      </c>
      <c r="O757" s="17">
        <v>1</v>
      </c>
      <c r="P757" s="364">
        <v>-2</v>
      </c>
      <c r="Q757" s="17">
        <v>0</v>
      </c>
      <c r="V757" s="17">
        <v>1</v>
      </c>
      <c r="W757" s="364">
        <v>6</v>
      </c>
      <c r="X757" s="116">
        <v>6</v>
      </c>
      <c r="Y757" s="17">
        <v>-0.1</v>
      </c>
      <c r="Z757" s="17">
        <v>0</v>
      </c>
      <c r="AB757" s="41">
        <f>I757-0.3</f>
        <v>7.43333333333333</v>
      </c>
      <c r="AC757" s="17">
        <v>2</v>
      </c>
      <c r="AD757" s="17">
        <v>1</v>
      </c>
      <c r="AE757" s="383" t="s">
        <v>2756</v>
      </c>
      <c r="AN757" s="98"/>
      <c r="AP757" s="389">
        <v>2744</v>
      </c>
      <c r="AQ757" s="17" t="s">
        <v>136</v>
      </c>
      <c r="AR757" s="388"/>
    </row>
    <row r="758" s="17" customFormat="1" ht="16.5" spans="1:44">
      <c r="A758" s="364">
        <v>754</v>
      </c>
      <c r="B758" s="368" t="s">
        <v>2748</v>
      </c>
      <c r="C758" s="368" t="s">
        <v>1231</v>
      </c>
      <c r="D758" s="17">
        <v>1</v>
      </c>
      <c r="E758" s="17">
        <v>0</v>
      </c>
      <c r="G758" s="17">
        <v>1</v>
      </c>
      <c r="H758" s="210">
        <v>3004206</v>
      </c>
      <c r="I758" s="17">
        <f>68/30</f>
        <v>2.26666666666667</v>
      </c>
      <c r="J758" s="17">
        <f>68/30</f>
        <v>2.26666666666667</v>
      </c>
      <c r="L758" s="17">
        <v>1</v>
      </c>
      <c r="M758" s="17">
        <f t="shared" si="46"/>
        <v>1.86666666666667</v>
      </c>
      <c r="N758" s="17" t="s">
        <v>2757</v>
      </c>
      <c r="O758" s="17">
        <v>1</v>
      </c>
      <c r="P758" s="364">
        <v>2.2</v>
      </c>
      <c r="Q758" s="17">
        <v>0</v>
      </c>
      <c r="S758" s="17">
        <v>1.2</v>
      </c>
      <c r="T758" s="17">
        <v>-0.1</v>
      </c>
      <c r="U758" s="17">
        <v>0.55</v>
      </c>
      <c r="V758" s="17">
        <v>1</v>
      </c>
      <c r="W758" s="364">
        <v>0</v>
      </c>
      <c r="X758" s="116">
        <v>3</v>
      </c>
      <c r="Y758" s="17">
        <v>-0.1</v>
      </c>
      <c r="Z758" s="17">
        <v>0</v>
      </c>
      <c r="AE758" s="383"/>
      <c r="AN758" s="98"/>
      <c r="AP758" s="389">
        <v>2745</v>
      </c>
      <c r="AQ758" s="17" t="s">
        <v>136</v>
      </c>
      <c r="AR758" s="388"/>
    </row>
    <row r="759" s="17" customFormat="1" ht="16.5" spans="1:44">
      <c r="A759" s="364">
        <v>755</v>
      </c>
      <c r="B759" s="368" t="s">
        <v>2748</v>
      </c>
      <c r="C759" s="368" t="s">
        <v>2758</v>
      </c>
      <c r="D759" s="17">
        <v>1</v>
      </c>
      <c r="E759" s="17">
        <v>0</v>
      </c>
      <c r="G759" s="17">
        <v>1</v>
      </c>
      <c r="H759" s="210">
        <v>3004207</v>
      </c>
      <c r="I759" s="17">
        <f>120/30</f>
        <v>4</v>
      </c>
      <c r="J759" s="17">
        <f>120/30</f>
        <v>4</v>
      </c>
      <c r="L759" s="17">
        <v>1</v>
      </c>
      <c r="M759" s="17">
        <f t="shared" si="46"/>
        <v>3.6</v>
      </c>
      <c r="N759" s="17" t="s">
        <v>2759</v>
      </c>
      <c r="O759" s="17">
        <v>1</v>
      </c>
      <c r="P759" s="364">
        <v>2.2</v>
      </c>
      <c r="Q759" s="17">
        <v>0</v>
      </c>
      <c r="S759" s="363">
        <v>1.3</v>
      </c>
      <c r="T759" s="363">
        <v>0.4</v>
      </c>
      <c r="U759" s="363">
        <v>1.9</v>
      </c>
      <c r="V759" s="17">
        <v>1</v>
      </c>
      <c r="W759" s="364">
        <v>6</v>
      </c>
      <c r="X759" s="116">
        <v>5</v>
      </c>
      <c r="Y759" s="17">
        <v>-0.1</v>
      </c>
      <c r="Z759" s="17">
        <v>0</v>
      </c>
      <c r="AE759" s="383"/>
      <c r="AN759" s="98"/>
      <c r="AP759" s="389">
        <v>2747</v>
      </c>
      <c r="AQ759" s="17" t="s">
        <v>136</v>
      </c>
      <c r="AR759" s="388"/>
    </row>
    <row r="760" s="17" customFormat="1" ht="16.5" spans="1:44">
      <c r="A760" s="364">
        <v>756</v>
      </c>
      <c r="B760" s="368" t="s">
        <v>2748</v>
      </c>
      <c r="C760" s="368" t="s">
        <v>2760</v>
      </c>
      <c r="D760" s="17">
        <v>1</v>
      </c>
      <c r="E760" s="17">
        <v>0</v>
      </c>
      <c r="G760" s="17">
        <v>1</v>
      </c>
      <c r="H760" s="210">
        <v>3004208</v>
      </c>
      <c r="I760" s="17">
        <f>65/30</f>
        <v>2.16666666666667</v>
      </c>
      <c r="J760" s="17">
        <f>65/30</f>
        <v>2.16666666666667</v>
      </c>
      <c r="L760" s="17">
        <v>1</v>
      </c>
      <c r="M760" s="17">
        <f t="shared" si="46"/>
        <v>1.76666666666667</v>
      </c>
      <c r="O760" s="17">
        <v>1</v>
      </c>
      <c r="P760" s="364">
        <v>2.2</v>
      </c>
      <c r="Q760" s="17">
        <v>0</v>
      </c>
      <c r="S760" s="363">
        <v>1.5</v>
      </c>
      <c r="T760" s="363">
        <v>0.8</v>
      </c>
      <c r="U760" s="363">
        <v>0.2</v>
      </c>
      <c r="V760" s="17">
        <v>1</v>
      </c>
      <c r="W760" s="364">
        <v>6</v>
      </c>
      <c r="X760" s="116">
        <v>1</v>
      </c>
      <c r="Y760" s="17">
        <v>-0.1</v>
      </c>
      <c r="Z760" s="17">
        <v>0</v>
      </c>
      <c r="AE760" s="383"/>
      <c r="AN760" s="98"/>
      <c r="AP760" s="389"/>
      <c r="AR760" s="388"/>
    </row>
    <row r="761" s="17" customFormat="1" ht="16.5" spans="1:44">
      <c r="A761" s="364">
        <v>757</v>
      </c>
      <c r="B761" s="368" t="s">
        <v>2748</v>
      </c>
      <c r="C761" s="368" t="s">
        <v>2761</v>
      </c>
      <c r="D761" s="17">
        <v>1</v>
      </c>
      <c r="E761" s="17">
        <v>0</v>
      </c>
      <c r="G761" s="17">
        <v>1</v>
      </c>
      <c r="H761" s="210">
        <v>3004209</v>
      </c>
      <c r="I761" s="17">
        <f>226/30</f>
        <v>7.53333333333333</v>
      </c>
      <c r="J761" s="17">
        <f>226/30</f>
        <v>7.53333333333333</v>
      </c>
      <c r="L761" s="17">
        <v>1</v>
      </c>
      <c r="M761" s="17">
        <f t="shared" si="46"/>
        <v>7.13333333333333</v>
      </c>
      <c r="N761" s="17" t="s">
        <v>2762</v>
      </c>
      <c r="O761" s="17">
        <v>1</v>
      </c>
      <c r="P761" s="364">
        <v>8</v>
      </c>
      <c r="Q761" s="17">
        <v>0</v>
      </c>
      <c r="V761" s="17">
        <v>1</v>
      </c>
      <c r="W761" s="364">
        <v>6</v>
      </c>
      <c r="X761" s="116">
        <v>8</v>
      </c>
      <c r="Y761" s="17">
        <v>-0.1</v>
      </c>
      <c r="Z761" s="17">
        <v>0</v>
      </c>
      <c r="AB761" s="41">
        <f>I761-0.3</f>
        <v>7.23333333333333</v>
      </c>
      <c r="AC761" s="17">
        <v>2</v>
      </c>
      <c r="AD761" s="17">
        <v>1</v>
      </c>
      <c r="AE761" s="383" t="s">
        <v>2763</v>
      </c>
      <c r="AN761" s="98"/>
      <c r="AP761" s="389">
        <v>2749</v>
      </c>
      <c r="AQ761" s="17" t="s">
        <v>136</v>
      </c>
      <c r="AR761" s="388"/>
    </row>
    <row r="762" s="45" customFormat="1" ht="16.5" spans="1:44">
      <c r="A762" s="369">
        <v>758</v>
      </c>
      <c r="B762" s="370" t="s">
        <v>1948</v>
      </c>
      <c r="C762" s="370" t="s">
        <v>2764</v>
      </c>
      <c r="D762" s="45">
        <v>1</v>
      </c>
      <c r="E762" s="45">
        <v>0</v>
      </c>
      <c r="G762" s="45">
        <v>1</v>
      </c>
      <c r="H762" s="5" t="s">
        <v>2765</v>
      </c>
      <c r="I762" s="45">
        <f>268/30</f>
        <v>8.93333333333333</v>
      </c>
      <c r="J762" s="45">
        <f>268/30</f>
        <v>8.93333333333333</v>
      </c>
      <c r="L762" s="45">
        <v>1</v>
      </c>
      <c r="M762" s="17">
        <f t="shared" si="46"/>
        <v>8.53333333333333</v>
      </c>
      <c r="N762" s="45" t="s">
        <v>2766</v>
      </c>
      <c r="O762" s="45">
        <v>1</v>
      </c>
      <c r="P762" s="369">
        <v>18</v>
      </c>
      <c r="Q762" s="45">
        <v>0</v>
      </c>
      <c r="V762" s="45">
        <v>1</v>
      </c>
      <c r="W762" s="369">
        <v>0</v>
      </c>
      <c r="X762" s="379">
        <v>3</v>
      </c>
      <c r="Y762" s="45">
        <v>-0.1</v>
      </c>
      <c r="Z762" s="45">
        <v>0</v>
      </c>
      <c r="AB762" s="41">
        <f t="shared" ref="AB762:AB764" si="47">I762-0.3</f>
        <v>8.63333333333333</v>
      </c>
      <c r="AC762" s="45">
        <v>2</v>
      </c>
      <c r="AD762" s="45">
        <v>1</v>
      </c>
      <c r="AE762" s="384" t="s">
        <v>2767</v>
      </c>
      <c r="AF762" s="45">
        <v>0.5</v>
      </c>
      <c r="AG762" s="757" t="s">
        <v>2768</v>
      </c>
      <c r="AN762" s="386"/>
      <c r="AP762" s="390">
        <v>2753</v>
      </c>
      <c r="AQ762" s="45" t="s">
        <v>136</v>
      </c>
      <c r="AR762" s="391"/>
    </row>
    <row r="763" s="45" customFormat="1" ht="16.5" spans="1:44">
      <c r="A763" s="369">
        <v>759</v>
      </c>
      <c r="B763" s="370" t="s">
        <v>2769</v>
      </c>
      <c r="C763" s="370" t="s">
        <v>2764</v>
      </c>
      <c r="D763" s="45">
        <v>1</v>
      </c>
      <c r="E763" s="45">
        <v>0</v>
      </c>
      <c r="G763" s="45">
        <v>1</v>
      </c>
      <c r="H763" s="371">
        <v>7809</v>
      </c>
      <c r="I763" s="45">
        <f>185/30</f>
        <v>6.16666666666667</v>
      </c>
      <c r="J763" s="45">
        <f>185/30</f>
        <v>6.16666666666667</v>
      </c>
      <c r="L763" s="45">
        <v>1</v>
      </c>
      <c r="M763" s="17">
        <f t="shared" si="46"/>
        <v>5.76666666666667</v>
      </c>
      <c r="N763" s="45" t="s">
        <v>2770</v>
      </c>
      <c r="O763" s="45">
        <v>1</v>
      </c>
      <c r="P763" s="45">
        <v>3.5</v>
      </c>
      <c r="Q763" s="45">
        <v>0</v>
      </c>
      <c r="V763" s="45">
        <v>1</v>
      </c>
      <c r="W763" s="369">
        <v>6</v>
      </c>
      <c r="X763" s="379">
        <v>5</v>
      </c>
      <c r="Y763" s="45">
        <v>-0.1</v>
      </c>
      <c r="Z763" s="45">
        <v>0</v>
      </c>
      <c r="AB763" s="41">
        <f t="shared" si="47"/>
        <v>5.86666666666667</v>
      </c>
      <c r="AC763" s="45">
        <v>1</v>
      </c>
      <c r="AD763" s="45">
        <v>1</v>
      </c>
      <c r="AE763" s="384" t="s">
        <v>2771</v>
      </c>
      <c r="AF763" s="45">
        <v>0.5</v>
      </c>
      <c r="AN763" s="386" t="s">
        <v>2772</v>
      </c>
      <c r="AO763" s="45" t="s">
        <v>524</v>
      </c>
      <c r="AP763" s="390">
        <v>2754</v>
      </c>
      <c r="AQ763" s="45" t="s">
        <v>136</v>
      </c>
      <c r="AR763" s="391"/>
    </row>
    <row r="764" s="45" customFormat="1" ht="16.5" spans="1:45">
      <c r="A764" s="369">
        <v>760</v>
      </c>
      <c r="B764" s="369" t="s">
        <v>2608</v>
      </c>
      <c r="C764" s="370" t="s">
        <v>2764</v>
      </c>
      <c r="D764" s="45">
        <v>1</v>
      </c>
      <c r="E764" s="45">
        <v>0</v>
      </c>
      <c r="G764" s="45">
        <v>1</v>
      </c>
      <c r="H764" s="5" t="s">
        <v>2773</v>
      </c>
      <c r="I764" s="45">
        <v>11.6</v>
      </c>
      <c r="J764" s="45">
        <v>11.6</v>
      </c>
      <c r="L764" s="45">
        <v>1</v>
      </c>
      <c r="M764" s="17">
        <v>11.2</v>
      </c>
      <c r="N764" s="370" t="s">
        <v>2774</v>
      </c>
      <c r="O764" s="45">
        <v>1</v>
      </c>
      <c r="P764" s="369">
        <v>0</v>
      </c>
      <c r="Q764" s="45">
        <v>0</v>
      </c>
      <c r="V764" s="45">
        <v>1</v>
      </c>
      <c r="W764" s="369">
        <v>6</v>
      </c>
      <c r="X764" s="379">
        <v>3</v>
      </c>
      <c r="Y764" s="45">
        <v>-0.1</v>
      </c>
      <c r="Z764" s="45">
        <v>0</v>
      </c>
      <c r="AB764" s="41">
        <v>11.3</v>
      </c>
      <c r="AC764" s="45">
        <v>2</v>
      </c>
      <c r="AD764" s="45">
        <v>1</v>
      </c>
      <c r="AE764" s="384" t="s">
        <v>2775</v>
      </c>
      <c r="AF764" s="45">
        <v>0.5</v>
      </c>
      <c r="AN764" s="386"/>
      <c r="AP764" s="390">
        <v>2755</v>
      </c>
      <c r="AQ764" s="45" t="s">
        <v>136</v>
      </c>
      <c r="AR764" s="391"/>
      <c r="AS764" s="392" t="s">
        <v>2776</v>
      </c>
    </row>
    <row r="765" s="46" customFormat="1" ht="16.5" spans="1:45">
      <c r="A765" s="372">
        <v>761</v>
      </c>
      <c r="B765" s="372" t="s">
        <v>2777</v>
      </c>
      <c r="C765" s="373" t="s">
        <v>526</v>
      </c>
      <c r="D765" s="46">
        <v>1</v>
      </c>
      <c r="E765" s="46">
        <v>0</v>
      </c>
      <c r="G765" s="46">
        <v>1</v>
      </c>
      <c r="H765" s="374" t="s">
        <v>2778</v>
      </c>
      <c r="I765" s="46">
        <f>105/30</f>
        <v>3.5</v>
      </c>
      <c r="J765" s="46">
        <f>105/30</f>
        <v>3.5</v>
      </c>
      <c r="L765" s="46">
        <v>0</v>
      </c>
      <c r="M765" s="17">
        <f t="shared" si="46"/>
        <v>3.1</v>
      </c>
      <c r="N765" s="46" t="s">
        <v>2779</v>
      </c>
      <c r="O765" s="46">
        <v>1</v>
      </c>
      <c r="P765" s="372">
        <v>1.8</v>
      </c>
      <c r="Q765" s="46">
        <v>0</v>
      </c>
      <c r="S765" s="46">
        <v>0.7</v>
      </c>
      <c r="T765" s="46">
        <v>0.6</v>
      </c>
      <c r="U765" s="46">
        <v>0.6</v>
      </c>
      <c r="V765" s="46">
        <v>6</v>
      </c>
      <c r="W765" s="372">
        <v>0</v>
      </c>
      <c r="X765" s="380">
        <v>3</v>
      </c>
      <c r="Y765" s="46">
        <v>-0.1</v>
      </c>
      <c r="Z765" s="46">
        <v>0</v>
      </c>
      <c r="AE765" s="385"/>
      <c r="AP765" s="267">
        <v>2784</v>
      </c>
      <c r="AQ765" s="46" t="s">
        <v>136</v>
      </c>
      <c r="AR765" s="374"/>
      <c r="AS765" s="393"/>
    </row>
    <row r="766" s="46" customFormat="1" ht="16.5" spans="1:45">
      <c r="A766" s="372">
        <v>762</v>
      </c>
      <c r="B766" s="372" t="s">
        <v>2777</v>
      </c>
      <c r="C766" s="373" t="s">
        <v>2780</v>
      </c>
      <c r="D766" s="46">
        <v>1</v>
      </c>
      <c r="E766" s="46">
        <v>0</v>
      </c>
      <c r="G766" s="46">
        <v>1</v>
      </c>
      <c r="H766" s="374" t="s">
        <v>2781</v>
      </c>
      <c r="I766" s="46">
        <f>130/30</f>
        <v>4.33333333333333</v>
      </c>
      <c r="J766" s="46">
        <f>130/30</f>
        <v>4.33333333333333</v>
      </c>
      <c r="L766" s="46">
        <v>1</v>
      </c>
      <c r="M766" s="17">
        <f t="shared" si="46"/>
        <v>3.93333333333333</v>
      </c>
      <c r="N766" s="46" t="s">
        <v>2782</v>
      </c>
      <c r="O766" s="46">
        <v>1</v>
      </c>
      <c r="P766" s="372">
        <v>1.8</v>
      </c>
      <c r="Q766" s="46">
        <v>0</v>
      </c>
      <c r="S766" s="46">
        <v>1.5</v>
      </c>
      <c r="T766" s="46">
        <v>0.45</v>
      </c>
      <c r="U766" s="46">
        <v>0.4</v>
      </c>
      <c r="V766" s="46">
        <v>6</v>
      </c>
      <c r="W766" s="372">
        <v>0</v>
      </c>
      <c r="X766" s="380">
        <v>11</v>
      </c>
      <c r="Y766" s="46">
        <v>-0.1</v>
      </c>
      <c r="Z766" s="46">
        <v>0</v>
      </c>
      <c r="AE766" s="385"/>
      <c r="AP766" s="267">
        <v>2786</v>
      </c>
      <c r="AQ766" s="46" t="s">
        <v>136</v>
      </c>
      <c r="AR766" s="374"/>
      <c r="AS766" s="393"/>
    </row>
    <row r="767" s="46" customFormat="1" ht="16.5" spans="1:45">
      <c r="A767" s="372">
        <v>763</v>
      </c>
      <c r="B767" s="372" t="s">
        <v>2777</v>
      </c>
      <c r="C767" s="373" t="s">
        <v>2783</v>
      </c>
      <c r="D767" s="46">
        <v>1</v>
      </c>
      <c r="E767" s="46">
        <v>0</v>
      </c>
      <c r="G767" s="46">
        <v>1</v>
      </c>
      <c r="H767" s="374" t="s">
        <v>2784</v>
      </c>
      <c r="I767" s="46">
        <f>97/30</f>
        <v>3.23333333333333</v>
      </c>
      <c r="J767" s="46">
        <f>97/30</f>
        <v>3.23333333333333</v>
      </c>
      <c r="L767" s="46">
        <v>1</v>
      </c>
      <c r="M767" s="17">
        <f t="shared" si="46"/>
        <v>2.83333333333333</v>
      </c>
      <c r="N767" s="46" t="s">
        <v>2785</v>
      </c>
      <c r="O767" s="46">
        <v>1</v>
      </c>
      <c r="P767" s="372">
        <v>1.8</v>
      </c>
      <c r="Q767" s="46">
        <v>0</v>
      </c>
      <c r="S767" s="46">
        <v>3</v>
      </c>
      <c r="T767" s="46">
        <v>0.5</v>
      </c>
      <c r="U767" s="46">
        <v>1</v>
      </c>
      <c r="V767" s="46">
        <v>6</v>
      </c>
      <c r="W767" s="372">
        <v>0</v>
      </c>
      <c r="X767" s="380">
        <v>6</v>
      </c>
      <c r="Y767" s="46">
        <v>-0.1</v>
      </c>
      <c r="Z767" s="46">
        <v>0</v>
      </c>
      <c r="AE767" s="385"/>
      <c r="AP767" s="267">
        <v>2787</v>
      </c>
      <c r="AQ767" s="46" t="s">
        <v>136</v>
      </c>
      <c r="AR767" s="374"/>
      <c r="AS767" s="393"/>
    </row>
    <row r="768" s="46" customFormat="1" ht="16.5" spans="1:45">
      <c r="A768" s="372">
        <v>764</v>
      </c>
      <c r="B768" s="372" t="s">
        <v>2777</v>
      </c>
      <c r="C768" s="373" t="s">
        <v>2786</v>
      </c>
      <c r="D768" s="46">
        <v>1</v>
      </c>
      <c r="E768" s="46">
        <v>0</v>
      </c>
      <c r="G768" s="46">
        <v>1</v>
      </c>
      <c r="H768" s="374" t="s">
        <v>2787</v>
      </c>
      <c r="I768" s="46">
        <f>76/30</f>
        <v>2.53333333333333</v>
      </c>
      <c r="J768" s="46">
        <f>76/30</f>
        <v>2.53333333333333</v>
      </c>
      <c r="L768" s="46">
        <v>1</v>
      </c>
      <c r="M768" s="17">
        <f t="shared" si="46"/>
        <v>2.13333333333333</v>
      </c>
      <c r="N768" s="46" t="s">
        <v>2788</v>
      </c>
      <c r="O768" s="46">
        <v>1</v>
      </c>
      <c r="P768" s="372">
        <v>1.8</v>
      </c>
      <c r="Q768" s="46">
        <v>0</v>
      </c>
      <c r="S768" s="46">
        <v>0.5</v>
      </c>
      <c r="T768" s="46">
        <v>0.6</v>
      </c>
      <c r="U768" s="46">
        <v>0.45</v>
      </c>
      <c r="V768" s="46">
        <v>6</v>
      </c>
      <c r="W768" s="372">
        <v>0</v>
      </c>
      <c r="X768" s="380">
        <v>3</v>
      </c>
      <c r="Y768" s="46">
        <v>-0.1</v>
      </c>
      <c r="Z768" s="46">
        <v>0</v>
      </c>
      <c r="AE768" s="385"/>
      <c r="AN768" s="46">
        <v>2790</v>
      </c>
      <c r="AO768" s="46" t="s">
        <v>2537</v>
      </c>
      <c r="AP768" s="267">
        <v>2788</v>
      </c>
      <c r="AQ768" s="46" t="s">
        <v>136</v>
      </c>
      <c r="AR768" s="374"/>
      <c r="AS768" s="393"/>
    </row>
    <row r="769" s="46" customFormat="1" ht="16.5" spans="1:45">
      <c r="A769" s="372">
        <v>765</v>
      </c>
      <c r="B769" s="372" t="s">
        <v>2777</v>
      </c>
      <c r="C769" s="373" t="s">
        <v>2789</v>
      </c>
      <c r="D769" s="46">
        <v>1</v>
      </c>
      <c r="E769" s="46">
        <v>0</v>
      </c>
      <c r="G769" s="46">
        <v>1</v>
      </c>
      <c r="H769" s="374" t="s">
        <v>2790</v>
      </c>
      <c r="I769" s="46">
        <f>140/30</f>
        <v>4.66666666666667</v>
      </c>
      <c r="J769" s="46">
        <f>140/30</f>
        <v>4.66666666666667</v>
      </c>
      <c r="L769" s="46">
        <v>1</v>
      </c>
      <c r="M769" s="17">
        <f t="shared" si="46"/>
        <v>4.26666666666667</v>
      </c>
      <c r="N769" s="46" t="s">
        <v>2791</v>
      </c>
      <c r="O769" s="46">
        <v>1</v>
      </c>
      <c r="P769" s="372">
        <v>1.8</v>
      </c>
      <c r="Q769" s="46">
        <v>0</v>
      </c>
      <c r="S769" s="46">
        <v>1.5</v>
      </c>
      <c r="T769" s="46">
        <v>0</v>
      </c>
      <c r="U769" s="46">
        <v>1.5</v>
      </c>
      <c r="V769" s="46">
        <v>6</v>
      </c>
      <c r="W769" s="372">
        <v>6</v>
      </c>
      <c r="X769" s="380">
        <v>4</v>
      </c>
      <c r="Y769" s="46">
        <v>-0.1</v>
      </c>
      <c r="Z769" s="46">
        <v>0</v>
      </c>
      <c r="AE769" s="385"/>
      <c r="AP769" s="422">
        <v>2791</v>
      </c>
      <c r="AQ769" s="46" t="s">
        <v>136</v>
      </c>
      <c r="AR769" s="374"/>
      <c r="AS769" s="393"/>
    </row>
    <row r="770" s="46" customFormat="1" ht="16.5" spans="1:45">
      <c r="A770" s="372">
        <v>766</v>
      </c>
      <c r="B770" s="372" t="s">
        <v>2777</v>
      </c>
      <c r="C770" s="373" t="s">
        <v>2792</v>
      </c>
      <c r="D770" s="46">
        <v>1</v>
      </c>
      <c r="E770" s="46">
        <v>0</v>
      </c>
      <c r="G770" s="46">
        <v>1</v>
      </c>
      <c r="H770" s="374" t="s">
        <v>2793</v>
      </c>
      <c r="I770" s="46">
        <f>340/30</f>
        <v>11.3333333333333</v>
      </c>
      <c r="J770" s="46">
        <f>340/30</f>
        <v>11.3333333333333</v>
      </c>
      <c r="L770" s="46">
        <v>1</v>
      </c>
      <c r="M770" s="17">
        <f t="shared" si="46"/>
        <v>10.9333333333333</v>
      </c>
      <c r="N770" s="46" t="s">
        <v>2794</v>
      </c>
      <c r="O770" s="46">
        <v>1</v>
      </c>
      <c r="P770" s="372">
        <v>5</v>
      </c>
      <c r="Q770" s="46">
        <v>0</v>
      </c>
      <c r="V770" s="46">
        <v>6</v>
      </c>
      <c r="W770" s="372">
        <v>0</v>
      </c>
      <c r="X770" s="380">
        <v>7</v>
      </c>
      <c r="Y770" s="46">
        <v>-0.1</v>
      </c>
      <c r="Z770" s="46">
        <v>0</v>
      </c>
      <c r="AB770" s="41">
        <f t="shared" ref="AB770:AB772" si="48">I770-0.3</f>
        <v>11.0333333333333</v>
      </c>
      <c r="AC770" s="46">
        <v>1</v>
      </c>
      <c r="AD770" s="46">
        <v>1</v>
      </c>
      <c r="AE770" s="385" t="s">
        <v>2795</v>
      </c>
      <c r="AF770" s="46">
        <v>0.5</v>
      </c>
      <c r="AN770" s="267">
        <v>2794</v>
      </c>
      <c r="AO770" s="46" t="s">
        <v>690</v>
      </c>
      <c r="AP770" s="267">
        <v>2793</v>
      </c>
      <c r="AQ770" s="46" t="s">
        <v>136</v>
      </c>
      <c r="AR770" s="374"/>
      <c r="AS770" s="393"/>
    </row>
    <row r="771" s="46" customFormat="1" ht="16.5" spans="1:45">
      <c r="A771" s="372">
        <v>767</v>
      </c>
      <c r="B771" s="372" t="s">
        <v>2777</v>
      </c>
      <c r="C771" s="373" t="s">
        <v>2796</v>
      </c>
      <c r="D771" s="46">
        <v>1</v>
      </c>
      <c r="E771" s="46">
        <v>0</v>
      </c>
      <c r="G771" s="46">
        <v>1</v>
      </c>
      <c r="H771" s="374" t="s">
        <v>2797</v>
      </c>
      <c r="I771" s="46">
        <f>360/30</f>
        <v>12</v>
      </c>
      <c r="J771" s="46">
        <f>360/30</f>
        <v>12</v>
      </c>
      <c r="L771" s="46">
        <v>1</v>
      </c>
      <c r="M771" s="17">
        <f t="shared" si="46"/>
        <v>11.6</v>
      </c>
      <c r="N771" s="46" t="s">
        <v>2798</v>
      </c>
      <c r="O771" s="46">
        <v>3</v>
      </c>
      <c r="P771" s="372">
        <v>-14</v>
      </c>
      <c r="Q771" s="46">
        <v>0</v>
      </c>
      <c r="V771" s="46">
        <v>6</v>
      </c>
      <c r="W771" s="372">
        <v>6</v>
      </c>
      <c r="X771" s="380">
        <v>2</v>
      </c>
      <c r="Y771" s="46">
        <v>-0.1</v>
      </c>
      <c r="Z771" s="46">
        <v>0</v>
      </c>
      <c r="AB771" s="41">
        <f t="shared" si="48"/>
        <v>11.7</v>
      </c>
      <c r="AC771" s="46">
        <v>1</v>
      </c>
      <c r="AD771" s="46">
        <v>1</v>
      </c>
      <c r="AE771" s="385" t="s">
        <v>2799</v>
      </c>
      <c r="AF771" s="46">
        <v>0.5</v>
      </c>
      <c r="AP771" s="422">
        <v>2795</v>
      </c>
      <c r="AQ771" s="46" t="s">
        <v>136</v>
      </c>
      <c r="AR771" s="374"/>
      <c r="AS771" s="393"/>
    </row>
    <row r="772" s="46" customFormat="1" ht="16.5" spans="1:45">
      <c r="A772" s="372">
        <v>768</v>
      </c>
      <c r="B772" s="372" t="s">
        <v>2777</v>
      </c>
      <c r="C772" s="373" t="s">
        <v>650</v>
      </c>
      <c r="D772" s="46">
        <v>1</v>
      </c>
      <c r="E772" s="46">
        <v>0</v>
      </c>
      <c r="G772" s="46">
        <v>1</v>
      </c>
      <c r="H772" s="374" t="s">
        <v>2800</v>
      </c>
      <c r="I772" s="46">
        <f>408/30</f>
        <v>13.6</v>
      </c>
      <c r="J772" s="46">
        <f>408/30</f>
        <v>13.6</v>
      </c>
      <c r="L772" s="46">
        <v>1</v>
      </c>
      <c r="M772" s="17">
        <f t="shared" si="46"/>
        <v>13.2</v>
      </c>
      <c r="N772" s="46" t="s">
        <v>2801</v>
      </c>
      <c r="O772" s="46">
        <v>3</v>
      </c>
      <c r="P772" s="372">
        <v>-10</v>
      </c>
      <c r="Q772" s="46">
        <v>0</v>
      </c>
      <c r="V772" s="46">
        <v>6</v>
      </c>
      <c r="W772" s="413">
        <v>6</v>
      </c>
      <c r="X772" s="380">
        <v>3</v>
      </c>
      <c r="Y772" s="46">
        <v>-0.1</v>
      </c>
      <c r="Z772" s="46">
        <v>0</v>
      </c>
      <c r="AB772" s="41">
        <f t="shared" si="48"/>
        <v>13.3</v>
      </c>
      <c r="AC772" s="46">
        <v>1</v>
      </c>
      <c r="AD772" s="46">
        <v>1</v>
      </c>
      <c r="AE772" s="385" t="s">
        <v>2802</v>
      </c>
      <c r="AF772" s="46">
        <v>0.5</v>
      </c>
      <c r="AG772" s="46" t="s">
        <v>2803</v>
      </c>
      <c r="AP772" s="422">
        <v>2798</v>
      </c>
      <c r="AQ772" s="46" t="s">
        <v>136</v>
      </c>
      <c r="AR772" s="374"/>
      <c r="AS772" s="393"/>
    </row>
    <row r="773" s="28" customFormat="1" ht="16.5" spans="1:45">
      <c r="A773" s="229">
        <v>769</v>
      </c>
      <c r="B773" s="229" t="s">
        <v>2804</v>
      </c>
      <c r="C773" s="394" t="s">
        <v>526</v>
      </c>
      <c r="D773" s="28">
        <v>1</v>
      </c>
      <c r="E773" s="28">
        <v>0</v>
      </c>
      <c r="G773" s="28">
        <v>1</v>
      </c>
      <c r="H773" s="245" t="s">
        <v>2805</v>
      </c>
      <c r="I773" s="28">
        <f>98/30</f>
        <v>3.26666666666667</v>
      </c>
      <c r="J773" s="28">
        <f>98/30</f>
        <v>3.26666666666667</v>
      </c>
      <c r="L773" s="28">
        <v>0</v>
      </c>
      <c r="M773" s="17">
        <f t="shared" ref="M773:M826" si="49">I773-0.4</f>
        <v>2.86666666666667</v>
      </c>
      <c r="N773" s="28" t="s">
        <v>2806</v>
      </c>
      <c r="O773" s="28">
        <v>1</v>
      </c>
      <c r="P773" s="229">
        <v>2.1</v>
      </c>
      <c r="Q773" s="28">
        <v>0</v>
      </c>
      <c r="S773" s="18">
        <v>0.5</v>
      </c>
      <c r="T773" s="18">
        <v>0.1</v>
      </c>
      <c r="U773" s="18">
        <v>0.3</v>
      </c>
      <c r="V773" s="28">
        <v>1</v>
      </c>
      <c r="W773" s="229">
        <v>0</v>
      </c>
      <c r="X773" s="218">
        <v>4</v>
      </c>
      <c r="Y773" s="46">
        <v>-0.1</v>
      </c>
      <c r="Z773" s="46">
        <v>0</v>
      </c>
      <c r="AE773" s="243"/>
      <c r="AN773" s="221"/>
      <c r="AP773" s="423">
        <v>2807</v>
      </c>
      <c r="AQ773" s="28" t="s">
        <v>136</v>
      </c>
      <c r="AR773" s="245"/>
      <c r="AS773" s="424"/>
    </row>
    <row r="774" s="28" customFormat="1" spans="1:45">
      <c r="A774" s="229">
        <v>770</v>
      </c>
      <c r="B774" s="229" t="s">
        <v>2804</v>
      </c>
      <c r="C774" s="394" t="s">
        <v>2807</v>
      </c>
      <c r="D774" s="28">
        <v>1</v>
      </c>
      <c r="E774" s="28">
        <v>0</v>
      </c>
      <c r="G774" s="28">
        <v>1</v>
      </c>
      <c r="H774" s="245" t="s">
        <v>2808</v>
      </c>
      <c r="I774" s="28">
        <f>131/30</f>
        <v>4.36666666666667</v>
      </c>
      <c r="J774" s="28">
        <f>131/30</f>
        <v>4.36666666666667</v>
      </c>
      <c r="L774" s="28">
        <v>1</v>
      </c>
      <c r="M774" s="17">
        <f t="shared" si="49"/>
        <v>3.96666666666667</v>
      </c>
      <c r="N774" s="28" t="s">
        <v>2809</v>
      </c>
      <c r="O774" s="28">
        <v>1</v>
      </c>
      <c r="P774" s="229">
        <v>2.1</v>
      </c>
      <c r="Q774" s="28">
        <v>0</v>
      </c>
      <c r="S774" s="375">
        <v>0</v>
      </c>
      <c r="T774" s="375">
        <v>-0.1</v>
      </c>
      <c r="U774" s="375">
        <v>1.6</v>
      </c>
      <c r="V774" s="28">
        <v>1</v>
      </c>
      <c r="W774" s="229">
        <v>6</v>
      </c>
      <c r="X774" s="218">
        <v>10</v>
      </c>
      <c r="Y774" s="46">
        <v>-0.1</v>
      </c>
      <c r="Z774" s="46">
        <v>0</v>
      </c>
      <c r="AE774" s="243"/>
      <c r="AN774" s="221"/>
      <c r="AP774" s="28">
        <v>2831</v>
      </c>
      <c r="AQ774" s="28" t="s">
        <v>136</v>
      </c>
      <c r="AR774" s="245"/>
      <c r="AS774" s="424"/>
    </row>
    <row r="775" s="28" customFormat="1" ht="16.5" spans="1:45">
      <c r="A775" s="229">
        <v>771</v>
      </c>
      <c r="B775" s="229" t="s">
        <v>2804</v>
      </c>
      <c r="C775" s="394" t="s">
        <v>2810</v>
      </c>
      <c r="D775" s="28">
        <v>1</v>
      </c>
      <c r="E775" s="28">
        <v>0</v>
      </c>
      <c r="G775" s="28">
        <v>1</v>
      </c>
      <c r="H775" s="245" t="s">
        <v>2811</v>
      </c>
      <c r="I775" s="28">
        <f>108/30</f>
        <v>3.6</v>
      </c>
      <c r="J775" s="28">
        <f>108/30</f>
        <v>3.6</v>
      </c>
      <c r="L775" s="28">
        <v>1</v>
      </c>
      <c r="M775" s="17">
        <f t="shared" si="49"/>
        <v>3.2</v>
      </c>
      <c r="N775" s="28" t="s">
        <v>2812</v>
      </c>
      <c r="O775" s="28">
        <v>1</v>
      </c>
      <c r="P775" s="229">
        <v>2.1</v>
      </c>
      <c r="Q775" s="28">
        <v>0</v>
      </c>
      <c r="S775" s="363">
        <v>0.8</v>
      </c>
      <c r="T775" s="363">
        <v>-0.5</v>
      </c>
      <c r="U775" s="363">
        <v>0.6</v>
      </c>
      <c r="V775" s="28">
        <v>1</v>
      </c>
      <c r="W775" s="229">
        <v>4</v>
      </c>
      <c r="X775" s="218">
        <v>3</v>
      </c>
      <c r="Y775" s="46">
        <v>-0.1</v>
      </c>
      <c r="Z775" s="46">
        <v>0</v>
      </c>
      <c r="AE775" s="243"/>
      <c r="AN775" s="221"/>
      <c r="AP775" s="423">
        <v>2810</v>
      </c>
      <c r="AQ775" s="28" t="s">
        <v>136</v>
      </c>
      <c r="AR775" s="245"/>
      <c r="AS775" s="424"/>
    </row>
    <row r="776" s="28" customFormat="1" ht="16.5" spans="1:45">
      <c r="A776" s="229">
        <v>772</v>
      </c>
      <c r="B776" s="229" t="s">
        <v>2804</v>
      </c>
      <c r="C776" s="394" t="s">
        <v>2813</v>
      </c>
      <c r="D776" s="28">
        <v>1</v>
      </c>
      <c r="E776" s="28">
        <v>0</v>
      </c>
      <c r="G776" s="28">
        <v>1</v>
      </c>
      <c r="H776" s="245" t="s">
        <v>2814</v>
      </c>
      <c r="I776" s="28">
        <f>137/30</f>
        <v>4.56666666666667</v>
      </c>
      <c r="J776" s="28">
        <f>137/30</f>
        <v>4.56666666666667</v>
      </c>
      <c r="L776" s="28">
        <v>1</v>
      </c>
      <c r="M776" s="17">
        <f t="shared" si="49"/>
        <v>4.16666666666667</v>
      </c>
      <c r="N776" s="28" t="s">
        <v>2815</v>
      </c>
      <c r="O776" s="28">
        <v>1</v>
      </c>
      <c r="P776" s="229">
        <v>2.1</v>
      </c>
      <c r="Q776" s="28">
        <v>0</v>
      </c>
      <c r="S776" s="1">
        <v>-0.2</v>
      </c>
      <c r="T776" s="363">
        <v>-0.5</v>
      </c>
      <c r="U776" s="1">
        <v>1</v>
      </c>
      <c r="V776" s="28">
        <v>1</v>
      </c>
      <c r="W776" s="229">
        <v>6</v>
      </c>
      <c r="X776" s="218">
        <v>3</v>
      </c>
      <c r="Y776" s="46">
        <v>-0.1</v>
      </c>
      <c r="Z776" s="46">
        <v>0</v>
      </c>
      <c r="AE776" s="243"/>
      <c r="AN776" s="221" t="s">
        <v>2816</v>
      </c>
      <c r="AO776" s="28" t="s">
        <v>2817</v>
      </c>
      <c r="AP776" s="423">
        <v>2812</v>
      </c>
      <c r="AQ776" s="28" t="s">
        <v>136</v>
      </c>
      <c r="AR776" s="245"/>
      <c r="AS776" s="424"/>
    </row>
    <row r="777" s="28" customFormat="1" ht="16.5" spans="1:45">
      <c r="A777" s="229">
        <v>773</v>
      </c>
      <c r="B777" s="229" t="s">
        <v>2804</v>
      </c>
      <c r="C777" s="394" t="s">
        <v>2818</v>
      </c>
      <c r="D777" s="28">
        <v>1</v>
      </c>
      <c r="E777" s="28">
        <v>0</v>
      </c>
      <c r="G777" s="28">
        <v>1</v>
      </c>
      <c r="H777" s="245" t="s">
        <v>2819</v>
      </c>
      <c r="I777" s="28">
        <v>2.9</v>
      </c>
      <c r="J777" s="28">
        <v>2.9</v>
      </c>
      <c r="L777" s="28">
        <v>1</v>
      </c>
      <c r="M777" s="17">
        <f t="shared" si="49"/>
        <v>2.5</v>
      </c>
      <c r="N777" s="28" t="s">
        <v>2820</v>
      </c>
      <c r="O777" s="28">
        <v>1</v>
      </c>
      <c r="P777" s="229">
        <v>2.1</v>
      </c>
      <c r="Q777" s="28">
        <v>0</v>
      </c>
      <c r="S777" s="363">
        <v>-0.5</v>
      </c>
      <c r="T777" s="363">
        <v>-0.8</v>
      </c>
      <c r="U777" s="363">
        <v>0.8</v>
      </c>
      <c r="V777" s="28">
        <v>1</v>
      </c>
      <c r="W777" s="229">
        <v>6</v>
      </c>
      <c r="X777" s="218">
        <v>1</v>
      </c>
      <c r="Y777" s="46">
        <v>-0.1</v>
      </c>
      <c r="Z777" s="46">
        <v>0</v>
      </c>
      <c r="AE777" s="243"/>
      <c r="AN777" s="221" t="s">
        <v>2821</v>
      </c>
      <c r="AO777" s="28" t="s">
        <v>2822</v>
      </c>
      <c r="AP777" s="423">
        <v>2823</v>
      </c>
      <c r="AQ777" s="28" t="s">
        <v>136</v>
      </c>
      <c r="AR777" s="245"/>
      <c r="AS777" s="424"/>
    </row>
    <row r="778" s="28" customFormat="1" ht="16.5" spans="1:45">
      <c r="A778" s="229">
        <v>774</v>
      </c>
      <c r="B778" s="229" t="s">
        <v>2804</v>
      </c>
      <c r="C778" s="394" t="s">
        <v>1069</v>
      </c>
      <c r="D778" s="28">
        <v>1</v>
      </c>
      <c r="E778" s="28">
        <v>0</v>
      </c>
      <c r="G778" s="28">
        <v>1</v>
      </c>
      <c r="H778" s="245" t="s">
        <v>2823</v>
      </c>
      <c r="I778" s="28">
        <f>320/30</f>
        <v>10.6666666666667</v>
      </c>
      <c r="J778" s="28">
        <f>320/30</f>
        <v>10.6666666666667</v>
      </c>
      <c r="L778" s="28">
        <v>1</v>
      </c>
      <c r="M778" s="17">
        <f t="shared" si="49"/>
        <v>10.2666666666667</v>
      </c>
      <c r="N778" s="28" t="s">
        <v>2824</v>
      </c>
      <c r="O778" s="28">
        <v>3</v>
      </c>
      <c r="P778" s="229">
        <v>-7</v>
      </c>
      <c r="Q778" s="28">
        <v>0</v>
      </c>
      <c r="V778" s="28">
        <v>1</v>
      </c>
      <c r="W778" s="229">
        <v>6</v>
      </c>
      <c r="X778" s="218">
        <v>3</v>
      </c>
      <c r="Y778" s="46">
        <v>-0.1</v>
      </c>
      <c r="Z778" s="46">
        <v>0</v>
      </c>
      <c r="AB778" s="41">
        <f>I778-0.3</f>
        <v>10.3666666666667</v>
      </c>
      <c r="AC778" s="28">
        <v>2</v>
      </c>
      <c r="AD778" s="28">
        <v>1</v>
      </c>
      <c r="AE778" s="243" t="s">
        <v>2825</v>
      </c>
      <c r="AF778" s="28">
        <v>0.5</v>
      </c>
      <c r="AN778" s="221"/>
      <c r="AP778" s="423">
        <v>2816</v>
      </c>
      <c r="AQ778" s="28" t="s">
        <v>136</v>
      </c>
      <c r="AR778" s="245"/>
      <c r="AS778" s="424"/>
    </row>
    <row r="779" s="28" customFormat="1" ht="16.5" spans="1:45">
      <c r="A779" s="229">
        <v>775</v>
      </c>
      <c r="B779" s="229" t="s">
        <v>2804</v>
      </c>
      <c r="C779" s="394" t="s">
        <v>1063</v>
      </c>
      <c r="D779" s="28">
        <v>1</v>
      </c>
      <c r="E779" s="28">
        <v>0</v>
      </c>
      <c r="G779" s="28">
        <v>1</v>
      </c>
      <c r="H779" s="245" t="s">
        <v>2826</v>
      </c>
      <c r="I779" s="28">
        <f>424/30</f>
        <v>14.1333333333333</v>
      </c>
      <c r="J779" s="28">
        <f>424/30</f>
        <v>14.1333333333333</v>
      </c>
      <c r="L779" s="28">
        <v>1</v>
      </c>
      <c r="M779" s="17">
        <f t="shared" si="49"/>
        <v>13.7333333333333</v>
      </c>
      <c r="N779" s="28" t="s">
        <v>2827</v>
      </c>
      <c r="O779" s="28">
        <v>1</v>
      </c>
      <c r="P779" s="229">
        <v>7</v>
      </c>
      <c r="Q779" s="28">
        <v>0</v>
      </c>
      <c r="V779" s="28">
        <v>1</v>
      </c>
      <c r="W779" s="229">
        <v>6</v>
      </c>
      <c r="X779" s="218">
        <v>8</v>
      </c>
      <c r="Y779" s="46">
        <v>-0.1</v>
      </c>
      <c r="Z779" s="46">
        <v>0</v>
      </c>
      <c r="AB779" s="41">
        <f>I779-0.3</f>
        <v>13.8333333333333</v>
      </c>
      <c r="AC779" s="28">
        <v>2</v>
      </c>
      <c r="AD779" s="28">
        <v>1</v>
      </c>
      <c r="AE779" s="243" t="s">
        <v>2828</v>
      </c>
      <c r="AF779" s="28">
        <v>0.5</v>
      </c>
      <c r="AN779" s="221" t="s">
        <v>2829</v>
      </c>
      <c r="AO779" s="28" t="s">
        <v>2817</v>
      </c>
      <c r="AP779" s="423">
        <v>2817</v>
      </c>
      <c r="AQ779" s="28" t="s">
        <v>136</v>
      </c>
      <c r="AR779" s="245"/>
      <c r="AS779" s="424"/>
    </row>
    <row r="780" s="28" customFormat="1" ht="16.5" spans="1:45">
      <c r="A780" s="229">
        <v>776</v>
      </c>
      <c r="B780" s="229" t="s">
        <v>2804</v>
      </c>
      <c r="C780" s="394" t="s">
        <v>2830</v>
      </c>
      <c r="D780" s="28">
        <v>1</v>
      </c>
      <c r="E780" s="28">
        <v>0</v>
      </c>
      <c r="G780" s="28">
        <v>1</v>
      </c>
      <c r="H780" s="5" t="s">
        <v>2831</v>
      </c>
      <c r="I780" s="28">
        <v>9.7</v>
      </c>
      <c r="J780" s="28">
        <v>9.7</v>
      </c>
      <c r="L780" s="28">
        <v>1</v>
      </c>
      <c r="M780" s="17">
        <f t="shared" si="49"/>
        <v>9.3</v>
      </c>
      <c r="N780" s="28" t="s">
        <v>2832</v>
      </c>
      <c r="O780" s="28">
        <v>1</v>
      </c>
      <c r="P780" s="229">
        <v>7</v>
      </c>
      <c r="Q780" s="28">
        <v>0</v>
      </c>
      <c r="V780" s="28">
        <v>1</v>
      </c>
      <c r="W780" s="229">
        <v>6</v>
      </c>
      <c r="X780" s="218">
        <v>4</v>
      </c>
      <c r="Y780" s="46">
        <v>-0.1</v>
      </c>
      <c r="Z780" s="46">
        <v>0</v>
      </c>
      <c r="AB780" s="41">
        <f>I780-0.3</f>
        <v>9.4</v>
      </c>
      <c r="AC780" s="28">
        <v>1</v>
      </c>
      <c r="AD780" s="28">
        <v>1</v>
      </c>
      <c r="AE780" s="243" t="s">
        <v>2833</v>
      </c>
      <c r="AF780" s="28">
        <v>0.5</v>
      </c>
      <c r="AN780" s="221" t="s">
        <v>2834</v>
      </c>
      <c r="AO780" s="28" t="s">
        <v>2835</v>
      </c>
      <c r="AP780" s="423">
        <v>2820</v>
      </c>
      <c r="AQ780" s="28" t="s">
        <v>136</v>
      </c>
      <c r="AR780" s="245"/>
      <c r="AS780" s="424"/>
    </row>
    <row r="781" s="47" customFormat="1" ht="16.5" spans="1:45">
      <c r="A781" s="229">
        <v>777</v>
      </c>
      <c r="B781" s="246" t="s">
        <v>2836</v>
      </c>
      <c r="C781" s="47" t="s">
        <v>526</v>
      </c>
      <c r="D781" s="47">
        <v>1</v>
      </c>
      <c r="E781" s="47">
        <v>0</v>
      </c>
      <c r="G781" s="47">
        <v>1</v>
      </c>
      <c r="H781" s="5" t="s">
        <v>2837</v>
      </c>
      <c r="I781" s="47">
        <f>101/30</f>
        <v>3.36666666666667</v>
      </c>
      <c r="J781" s="47">
        <f>101/30</f>
        <v>3.36666666666667</v>
      </c>
      <c r="L781" s="47">
        <v>0</v>
      </c>
      <c r="M781" s="17">
        <f t="shared" si="49"/>
        <v>2.96666666666667</v>
      </c>
      <c r="N781" s="395" t="s">
        <v>2838</v>
      </c>
      <c r="O781" s="47">
        <v>1</v>
      </c>
      <c r="P781" s="246">
        <v>1.38</v>
      </c>
      <c r="Q781" s="47">
        <v>0</v>
      </c>
      <c r="S781" s="47">
        <v>1.5</v>
      </c>
      <c r="T781" s="47">
        <v>0</v>
      </c>
      <c r="U781" s="47">
        <v>0.45</v>
      </c>
      <c r="V781" s="28">
        <v>6</v>
      </c>
      <c r="W781" s="246">
        <v>0</v>
      </c>
      <c r="X781" s="218">
        <v>3</v>
      </c>
      <c r="Y781" s="46">
        <v>-0.1</v>
      </c>
      <c r="Z781" s="46">
        <v>0</v>
      </c>
      <c r="AE781" s="109"/>
      <c r="AN781" s="419"/>
      <c r="AP781" s="425">
        <v>2902</v>
      </c>
      <c r="AQ781" s="28" t="s">
        <v>136</v>
      </c>
      <c r="AR781" s="426"/>
      <c r="AS781" s="427"/>
    </row>
    <row r="782" s="47" customFormat="1" ht="16.5" spans="1:45">
      <c r="A782" s="229">
        <v>778</v>
      </c>
      <c r="B782" s="246" t="s">
        <v>2836</v>
      </c>
      <c r="C782" s="395" t="s">
        <v>2839</v>
      </c>
      <c r="D782" s="47">
        <v>1</v>
      </c>
      <c r="E782" s="47">
        <v>0</v>
      </c>
      <c r="G782" s="47">
        <v>1</v>
      </c>
      <c r="H782" s="5" t="s">
        <v>2840</v>
      </c>
      <c r="I782" s="47">
        <f>153/30</f>
        <v>5.1</v>
      </c>
      <c r="J782" s="47">
        <f>153/30</f>
        <v>5.1</v>
      </c>
      <c r="L782" s="47">
        <v>1</v>
      </c>
      <c r="M782" s="17">
        <f t="shared" si="49"/>
        <v>4.7</v>
      </c>
      <c r="N782" s="395" t="s">
        <v>2841</v>
      </c>
      <c r="O782" s="47">
        <v>1</v>
      </c>
      <c r="P782" s="246">
        <v>1.38</v>
      </c>
      <c r="Q782" s="47">
        <v>0</v>
      </c>
      <c r="S782" s="47">
        <v>0.9</v>
      </c>
      <c r="T782" s="47">
        <v>0.8</v>
      </c>
      <c r="U782" s="47">
        <v>0.87</v>
      </c>
      <c r="V782" s="28">
        <v>6</v>
      </c>
      <c r="W782" s="246">
        <v>6</v>
      </c>
      <c r="X782" s="218">
        <v>4</v>
      </c>
      <c r="Y782" s="46">
        <v>-0.1</v>
      </c>
      <c r="Z782" s="46">
        <v>0</v>
      </c>
      <c r="AE782" s="109"/>
      <c r="AN782" s="419" t="s">
        <v>2842</v>
      </c>
      <c r="AO782" s="47" t="s">
        <v>2843</v>
      </c>
      <c r="AP782" s="425">
        <v>2904</v>
      </c>
      <c r="AQ782" s="28" t="s">
        <v>136</v>
      </c>
      <c r="AR782" s="426"/>
      <c r="AS782" s="427"/>
    </row>
    <row r="783" s="47" customFormat="1" ht="16.5" spans="1:45">
      <c r="A783" s="229">
        <v>779</v>
      </c>
      <c r="B783" s="246" t="s">
        <v>2836</v>
      </c>
      <c r="C783" s="395" t="s">
        <v>2844</v>
      </c>
      <c r="D783" s="47">
        <v>1</v>
      </c>
      <c r="E783" s="47">
        <v>0</v>
      </c>
      <c r="G783" s="47">
        <v>1</v>
      </c>
      <c r="H783" s="5" t="s">
        <v>2845</v>
      </c>
      <c r="I783" s="47">
        <f>127/30</f>
        <v>4.23333333333333</v>
      </c>
      <c r="J783" s="47">
        <f>127/30</f>
        <v>4.23333333333333</v>
      </c>
      <c r="L783" s="47">
        <v>1</v>
      </c>
      <c r="M783" s="17">
        <f t="shared" si="49"/>
        <v>3.83333333333333</v>
      </c>
      <c r="N783" s="395" t="s">
        <v>2846</v>
      </c>
      <c r="O783" s="47">
        <v>1</v>
      </c>
      <c r="P783" s="246">
        <v>1.38</v>
      </c>
      <c r="Q783" s="47">
        <v>0</v>
      </c>
      <c r="S783" s="47">
        <v>0.7</v>
      </c>
      <c r="T783" s="47">
        <v>0.5</v>
      </c>
      <c r="U783" s="47">
        <v>0.85</v>
      </c>
      <c r="V783" s="28">
        <v>6</v>
      </c>
      <c r="W783" s="246">
        <v>6</v>
      </c>
      <c r="X783" s="218">
        <v>3</v>
      </c>
      <c r="Y783" s="46">
        <v>-0.1</v>
      </c>
      <c r="Z783" s="46">
        <v>0</v>
      </c>
      <c r="AE783" s="109"/>
      <c r="AN783" s="419"/>
      <c r="AP783" s="425">
        <v>2906</v>
      </c>
      <c r="AQ783" s="28" t="s">
        <v>136</v>
      </c>
      <c r="AR783" s="426"/>
      <c r="AS783" s="427"/>
    </row>
    <row r="784" s="47" customFormat="1" ht="16.5" spans="1:45">
      <c r="A784" s="229">
        <v>780</v>
      </c>
      <c r="B784" s="246" t="s">
        <v>2836</v>
      </c>
      <c r="C784" s="395" t="s">
        <v>2847</v>
      </c>
      <c r="D784" s="47">
        <v>1</v>
      </c>
      <c r="E784" s="47">
        <v>0</v>
      </c>
      <c r="G784" s="47">
        <v>1</v>
      </c>
      <c r="H784" s="5" t="s">
        <v>2848</v>
      </c>
      <c r="I784" s="47">
        <f>124/30</f>
        <v>4.13333333333333</v>
      </c>
      <c r="J784" s="47">
        <f>124/30</f>
        <v>4.13333333333333</v>
      </c>
      <c r="L784" s="47">
        <v>1</v>
      </c>
      <c r="M784" s="17">
        <f t="shared" si="49"/>
        <v>3.73333333333333</v>
      </c>
      <c r="N784" s="395" t="s">
        <v>2849</v>
      </c>
      <c r="O784" s="47">
        <v>1</v>
      </c>
      <c r="P784" s="246">
        <v>1.38</v>
      </c>
      <c r="Q784" s="47">
        <v>0</v>
      </c>
      <c r="S784" s="47">
        <v>0.5</v>
      </c>
      <c r="T784" s="47">
        <v>0.4</v>
      </c>
      <c r="U784" s="47">
        <v>0.8</v>
      </c>
      <c r="V784" s="28">
        <v>6</v>
      </c>
      <c r="W784" s="246">
        <v>6</v>
      </c>
      <c r="X784" s="218">
        <v>3</v>
      </c>
      <c r="Y784" s="46">
        <v>-0.1</v>
      </c>
      <c r="Z784" s="46">
        <v>0</v>
      </c>
      <c r="AE784" s="109"/>
      <c r="AN784" s="419"/>
      <c r="AP784" s="425">
        <v>2908</v>
      </c>
      <c r="AQ784" s="28" t="s">
        <v>136</v>
      </c>
      <c r="AR784" s="426"/>
      <c r="AS784" s="427"/>
    </row>
    <row r="785" s="47" customFormat="1" ht="28.5" spans="1:45">
      <c r="A785" s="229">
        <v>781</v>
      </c>
      <c r="B785" s="246" t="s">
        <v>2836</v>
      </c>
      <c r="C785" s="396" t="s">
        <v>2850</v>
      </c>
      <c r="D785" s="47">
        <v>1</v>
      </c>
      <c r="E785" s="47">
        <v>0</v>
      </c>
      <c r="G785" s="47">
        <v>1</v>
      </c>
      <c r="H785" s="5" t="s">
        <v>2851</v>
      </c>
      <c r="I785" s="47">
        <f>89/30</f>
        <v>2.96666666666667</v>
      </c>
      <c r="J785" s="47">
        <f>89/30</f>
        <v>2.96666666666667</v>
      </c>
      <c r="L785" s="47">
        <v>1</v>
      </c>
      <c r="M785" s="17">
        <f t="shared" si="49"/>
        <v>2.56666666666667</v>
      </c>
      <c r="N785" s="395" t="s">
        <v>2852</v>
      </c>
      <c r="O785" s="47">
        <v>1</v>
      </c>
      <c r="P785" s="246">
        <v>1.38</v>
      </c>
      <c r="Q785" s="47">
        <v>0</v>
      </c>
      <c r="S785" s="47">
        <v>0.35</v>
      </c>
      <c r="T785" s="47">
        <v>0.1</v>
      </c>
      <c r="U785" s="47">
        <v>0.22</v>
      </c>
      <c r="V785" s="28">
        <v>6</v>
      </c>
      <c r="W785" s="246">
        <v>7</v>
      </c>
      <c r="X785" s="218">
        <v>2</v>
      </c>
      <c r="Y785" s="46">
        <v>-0.1</v>
      </c>
      <c r="Z785" s="46">
        <v>0</v>
      </c>
      <c r="AE785" s="109"/>
      <c r="AN785" s="419"/>
      <c r="AP785" s="425">
        <v>2909</v>
      </c>
      <c r="AQ785" s="28" t="s">
        <v>136</v>
      </c>
      <c r="AR785" s="426"/>
      <c r="AS785" s="427"/>
    </row>
    <row r="786" s="47" customFormat="1" ht="16.5" spans="1:45">
      <c r="A786" s="229">
        <v>782</v>
      </c>
      <c r="B786" s="246" t="s">
        <v>2836</v>
      </c>
      <c r="C786" s="395" t="s">
        <v>2853</v>
      </c>
      <c r="D786" s="47">
        <v>1</v>
      </c>
      <c r="E786" s="47">
        <v>0</v>
      </c>
      <c r="G786" s="47">
        <v>1</v>
      </c>
      <c r="H786" s="5" t="s">
        <v>2854</v>
      </c>
      <c r="I786" s="47">
        <f>330/30</f>
        <v>11</v>
      </c>
      <c r="J786" s="47">
        <f>330/30</f>
        <v>11</v>
      </c>
      <c r="L786" s="47">
        <v>1</v>
      </c>
      <c r="M786" s="17">
        <f t="shared" si="49"/>
        <v>10.6</v>
      </c>
      <c r="N786" s="395" t="s">
        <v>2855</v>
      </c>
      <c r="O786" s="47">
        <v>1</v>
      </c>
      <c r="P786" s="246">
        <v>5</v>
      </c>
      <c r="Q786" s="47">
        <v>0</v>
      </c>
      <c r="V786" s="28">
        <v>6</v>
      </c>
      <c r="W786" s="246">
        <v>0</v>
      </c>
      <c r="X786" s="218">
        <v>5</v>
      </c>
      <c r="Y786" s="46">
        <v>-0.1</v>
      </c>
      <c r="Z786" s="46">
        <v>0</v>
      </c>
      <c r="AB786" s="41">
        <f t="shared" ref="AB786:AB789" si="50">I786-0.3</f>
        <v>10.7</v>
      </c>
      <c r="AC786" s="47">
        <v>2</v>
      </c>
      <c r="AD786" s="47">
        <v>1</v>
      </c>
      <c r="AE786" s="109" t="s">
        <v>2856</v>
      </c>
      <c r="AF786" s="28">
        <v>0.5</v>
      </c>
      <c r="AN786" s="419"/>
      <c r="AP786" s="425">
        <v>2910</v>
      </c>
      <c r="AQ786" s="28" t="s">
        <v>136</v>
      </c>
      <c r="AR786" s="426"/>
      <c r="AS786" s="427"/>
    </row>
    <row r="787" s="47" customFormat="1" ht="16.5" spans="1:45">
      <c r="A787" s="229">
        <v>783</v>
      </c>
      <c r="B787" s="246" t="s">
        <v>2836</v>
      </c>
      <c r="C787" s="395" t="s">
        <v>2857</v>
      </c>
      <c r="D787" s="47">
        <v>1</v>
      </c>
      <c r="E787" s="47">
        <v>0</v>
      </c>
      <c r="G787" s="47">
        <v>1</v>
      </c>
      <c r="H787" s="5" t="s">
        <v>2858</v>
      </c>
      <c r="I787" s="47">
        <f>290/30</f>
        <v>9.66666666666667</v>
      </c>
      <c r="J787" s="47">
        <f>290/30</f>
        <v>9.66666666666667</v>
      </c>
      <c r="L787" s="47">
        <v>1</v>
      </c>
      <c r="M787" s="17">
        <f t="shared" si="49"/>
        <v>9.26666666666667</v>
      </c>
      <c r="N787" s="395" t="s">
        <v>2859</v>
      </c>
      <c r="O787" s="47">
        <v>1</v>
      </c>
      <c r="P787" s="246">
        <v>5</v>
      </c>
      <c r="Q787" s="47">
        <v>0</v>
      </c>
      <c r="V787" s="28">
        <v>6</v>
      </c>
      <c r="W787" s="246">
        <v>6</v>
      </c>
      <c r="X787" s="218">
        <v>15</v>
      </c>
      <c r="Y787" s="46">
        <v>-0.1</v>
      </c>
      <c r="Z787" s="46">
        <v>0</v>
      </c>
      <c r="AB787" s="41">
        <f t="shared" si="50"/>
        <v>9.36666666666667</v>
      </c>
      <c r="AC787" s="47">
        <v>2</v>
      </c>
      <c r="AD787" s="47">
        <v>1</v>
      </c>
      <c r="AE787" s="109" t="s">
        <v>2860</v>
      </c>
      <c r="AF787" s="28">
        <v>0.5</v>
      </c>
      <c r="AN787" s="419"/>
      <c r="AP787" s="425">
        <v>2911</v>
      </c>
      <c r="AQ787" s="28" t="s">
        <v>136</v>
      </c>
      <c r="AR787" s="426"/>
      <c r="AS787" s="427"/>
    </row>
    <row r="788" s="47" customFormat="1" ht="28.5" spans="1:45">
      <c r="A788" s="229">
        <v>784</v>
      </c>
      <c r="B788" s="246" t="s">
        <v>2836</v>
      </c>
      <c r="C788" s="396" t="s">
        <v>2861</v>
      </c>
      <c r="D788" s="47">
        <v>1</v>
      </c>
      <c r="E788" s="47">
        <v>0</v>
      </c>
      <c r="G788" s="47">
        <v>1</v>
      </c>
      <c r="H788" s="5" t="s">
        <v>2862</v>
      </c>
      <c r="I788" s="47">
        <f>225/30</f>
        <v>7.5</v>
      </c>
      <c r="J788" s="47">
        <f>225/30</f>
        <v>7.5</v>
      </c>
      <c r="L788" s="47">
        <v>1</v>
      </c>
      <c r="M788" s="17">
        <f t="shared" si="49"/>
        <v>7.1</v>
      </c>
      <c r="N788" s="395" t="s">
        <v>2863</v>
      </c>
      <c r="O788" s="47">
        <v>1</v>
      </c>
      <c r="P788" s="246">
        <v>5</v>
      </c>
      <c r="Q788" s="47">
        <v>0</v>
      </c>
      <c r="V788" s="28">
        <v>6</v>
      </c>
      <c r="W788" s="246">
        <v>6</v>
      </c>
      <c r="X788" s="218">
        <v>3</v>
      </c>
      <c r="Y788" s="46">
        <v>-0.1</v>
      </c>
      <c r="Z788" s="46">
        <v>0</v>
      </c>
      <c r="AB788" s="41">
        <f t="shared" si="50"/>
        <v>7.2</v>
      </c>
      <c r="AC788" s="47">
        <v>2</v>
      </c>
      <c r="AD788" s="47">
        <v>1</v>
      </c>
      <c r="AE788" s="109" t="s">
        <v>2864</v>
      </c>
      <c r="AF788" s="28">
        <v>0.5</v>
      </c>
      <c r="AN788" s="419">
        <v>2924</v>
      </c>
      <c r="AO788" s="47" t="s">
        <v>2865</v>
      </c>
      <c r="AP788" s="425">
        <v>2913</v>
      </c>
      <c r="AQ788" s="28" t="s">
        <v>136</v>
      </c>
      <c r="AR788" s="426"/>
      <c r="AS788" s="427"/>
    </row>
    <row r="789" s="48" customFormat="1" ht="16.5" spans="1:45">
      <c r="A789" s="397">
        <v>785</v>
      </c>
      <c r="B789" s="398" t="s">
        <v>1473</v>
      </c>
      <c r="C789" s="399" t="s">
        <v>2866</v>
      </c>
      <c r="D789" s="48">
        <v>1</v>
      </c>
      <c r="E789" s="48">
        <v>0</v>
      </c>
      <c r="G789" s="48">
        <v>1</v>
      </c>
      <c r="H789" s="5" t="s">
        <v>2867</v>
      </c>
      <c r="I789" s="48">
        <f>315/30</f>
        <v>10.5</v>
      </c>
      <c r="J789" s="48">
        <f>315/30</f>
        <v>10.5</v>
      </c>
      <c r="L789" s="48">
        <v>1</v>
      </c>
      <c r="M789" s="17">
        <f t="shared" si="49"/>
        <v>10.1</v>
      </c>
      <c r="N789" s="48" t="s">
        <v>2868</v>
      </c>
      <c r="O789" s="48">
        <v>3</v>
      </c>
      <c r="P789" s="398">
        <v>-3</v>
      </c>
      <c r="Q789" s="48">
        <v>0</v>
      </c>
      <c r="V789" s="414">
        <v>1</v>
      </c>
      <c r="W789" s="398">
        <v>6</v>
      </c>
      <c r="X789" s="415">
        <v>11</v>
      </c>
      <c r="Y789" s="46">
        <v>-0.1</v>
      </c>
      <c r="Z789" s="46">
        <v>0</v>
      </c>
      <c r="AB789" s="41">
        <f t="shared" si="50"/>
        <v>10.2</v>
      </c>
      <c r="AC789" s="48">
        <v>2</v>
      </c>
      <c r="AD789" s="48">
        <v>1</v>
      </c>
      <c r="AE789" s="418" t="s">
        <v>2869</v>
      </c>
      <c r="AF789" s="48">
        <v>0.5</v>
      </c>
      <c r="AN789" s="420"/>
      <c r="AP789" s="267">
        <v>2852</v>
      </c>
      <c r="AQ789" s="48" t="s">
        <v>136</v>
      </c>
      <c r="AR789" s="428"/>
      <c r="AS789" s="429"/>
    </row>
    <row r="790" s="17" customFormat="1" ht="16.5" spans="1:45">
      <c r="A790" s="400">
        <v>786</v>
      </c>
      <c r="B790" s="401" t="s">
        <v>2870</v>
      </c>
      <c r="C790" s="214" t="s">
        <v>526</v>
      </c>
      <c r="D790" s="214">
        <v>1</v>
      </c>
      <c r="E790" s="214">
        <v>0</v>
      </c>
      <c r="F790" s="214"/>
      <c r="G790" s="214">
        <v>1</v>
      </c>
      <c r="H790" s="402" t="s">
        <v>2871</v>
      </c>
      <c r="I790" s="214">
        <v>3.833333333</v>
      </c>
      <c r="J790" s="214">
        <v>3.833333333</v>
      </c>
      <c r="K790" s="214"/>
      <c r="L790" s="214">
        <v>0</v>
      </c>
      <c r="M790" s="214">
        <f t="shared" si="49"/>
        <v>3.433333333</v>
      </c>
      <c r="N790" s="214" t="s">
        <v>2872</v>
      </c>
      <c r="O790" s="17">
        <v>1</v>
      </c>
      <c r="P790" s="272">
        <v>2.1</v>
      </c>
      <c r="Q790" s="17">
        <v>0</v>
      </c>
      <c r="S790" s="17">
        <v>0.8</v>
      </c>
      <c r="T790" s="17">
        <v>0.2</v>
      </c>
      <c r="U790" s="17">
        <v>0.2</v>
      </c>
      <c r="V790" s="17">
        <v>6</v>
      </c>
      <c r="W790" s="272">
        <v>0</v>
      </c>
      <c r="X790" s="116">
        <v>3</v>
      </c>
      <c r="Y790" s="17">
        <v>-0.1</v>
      </c>
      <c r="Z790" s="17">
        <v>0</v>
      </c>
      <c r="AE790" s="383"/>
      <c r="AN790" s="121"/>
      <c r="AP790" s="430">
        <v>2932</v>
      </c>
      <c r="AQ790" s="17" t="s">
        <v>136</v>
      </c>
      <c r="AR790" s="388"/>
      <c r="AS790" s="431"/>
    </row>
    <row r="791" s="17" customFormat="1" ht="16.5" spans="1:45">
      <c r="A791" s="400">
        <v>787</v>
      </c>
      <c r="B791" s="401" t="s">
        <v>2870</v>
      </c>
      <c r="C791" s="214" t="s">
        <v>656</v>
      </c>
      <c r="D791" s="214">
        <v>1</v>
      </c>
      <c r="E791" s="214">
        <v>0</v>
      </c>
      <c r="F791" s="214"/>
      <c r="G791" s="214">
        <v>1</v>
      </c>
      <c r="H791" s="402" t="s">
        <v>2873</v>
      </c>
      <c r="I791" s="214">
        <v>2.7</v>
      </c>
      <c r="J791" s="214">
        <v>2.7</v>
      </c>
      <c r="K791" s="214"/>
      <c r="L791" s="214">
        <v>1</v>
      </c>
      <c r="M791" s="214">
        <f t="shared" si="49"/>
        <v>2.3</v>
      </c>
      <c r="N791" s="214" t="s">
        <v>2874</v>
      </c>
      <c r="O791" s="17">
        <v>1</v>
      </c>
      <c r="P791" s="272">
        <v>2.1</v>
      </c>
      <c r="Q791" s="17">
        <v>0</v>
      </c>
      <c r="S791" s="17">
        <v>2</v>
      </c>
      <c r="T791" s="17">
        <v>0</v>
      </c>
      <c r="U791" s="17">
        <v>0.3</v>
      </c>
      <c r="V791" s="17">
        <v>6</v>
      </c>
      <c r="W791" s="272">
        <v>0</v>
      </c>
      <c r="X791" s="116">
        <v>2</v>
      </c>
      <c r="Y791" s="17">
        <v>-0.1</v>
      </c>
      <c r="Z791" s="17">
        <v>0</v>
      </c>
      <c r="AE791" s="383"/>
      <c r="AN791" s="121"/>
      <c r="AP791" s="430">
        <v>2934</v>
      </c>
      <c r="AQ791" s="17" t="s">
        <v>136</v>
      </c>
      <c r="AR791" s="388"/>
      <c r="AS791" s="431"/>
    </row>
    <row r="792" s="17" customFormat="1" ht="16.5" spans="1:45">
      <c r="A792" s="400">
        <v>788</v>
      </c>
      <c r="B792" s="401" t="s">
        <v>2870</v>
      </c>
      <c r="C792" s="214" t="s">
        <v>2875</v>
      </c>
      <c r="D792" s="214">
        <v>1</v>
      </c>
      <c r="E792" s="214">
        <v>0</v>
      </c>
      <c r="F792" s="214"/>
      <c r="G792" s="214">
        <v>1</v>
      </c>
      <c r="H792" s="402" t="s">
        <v>2876</v>
      </c>
      <c r="I792" s="214">
        <v>3.1</v>
      </c>
      <c r="J792" s="214">
        <v>3.1</v>
      </c>
      <c r="K792" s="214"/>
      <c r="L792" s="214">
        <v>1</v>
      </c>
      <c r="M792" s="214">
        <f t="shared" si="49"/>
        <v>2.7</v>
      </c>
      <c r="N792" s="214" t="s">
        <v>2877</v>
      </c>
      <c r="O792" s="17">
        <v>1</v>
      </c>
      <c r="P792" s="272">
        <v>2.1</v>
      </c>
      <c r="Q792" s="17">
        <v>0</v>
      </c>
      <c r="S792" s="17">
        <v>2</v>
      </c>
      <c r="T792" s="17">
        <v>0.5</v>
      </c>
      <c r="U792" s="17">
        <v>0.3</v>
      </c>
      <c r="V792" s="17">
        <v>6</v>
      </c>
      <c r="W792" s="272">
        <v>0</v>
      </c>
      <c r="X792" s="116">
        <v>7</v>
      </c>
      <c r="Y792" s="17">
        <v>-0.1</v>
      </c>
      <c r="Z792" s="17">
        <v>0</v>
      </c>
      <c r="AE792" s="383"/>
      <c r="AN792" s="121"/>
      <c r="AP792" s="430">
        <v>2936</v>
      </c>
      <c r="AQ792" s="17" t="s">
        <v>136</v>
      </c>
      <c r="AR792" s="388"/>
      <c r="AS792" s="431"/>
    </row>
    <row r="793" s="17" customFormat="1" ht="16.5" spans="1:45">
      <c r="A793" s="400">
        <v>789</v>
      </c>
      <c r="B793" s="401" t="s">
        <v>2870</v>
      </c>
      <c r="C793" s="214" t="s">
        <v>2878</v>
      </c>
      <c r="D793" s="214">
        <v>1</v>
      </c>
      <c r="E793" s="214">
        <v>0</v>
      </c>
      <c r="F793" s="214"/>
      <c r="G793" s="214">
        <v>1</v>
      </c>
      <c r="H793" s="402" t="s">
        <v>2879</v>
      </c>
      <c r="I793" s="214">
        <v>3.066666667</v>
      </c>
      <c r="J793" s="214">
        <v>3.066666667</v>
      </c>
      <c r="K793" s="214"/>
      <c r="L793" s="214">
        <v>1</v>
      </c>
      <c r="M793" s="214">
        <f t="shared" si="49"/>
        <v>2.666666667</v>
      </c>
      <c r="N793" s="214" t="s">
        <v>2880</v>
      </c>
      <c r="O793" s="17">
        <v>1</v>
      </c>
      <c r="P793" s="272">
        <v>2.1</v>
      </c>
      <c r="Q793" s="17">
        <v>0</v>
      </c>
      <c r="S793" s="17">
        <v>1.5</v>
      </c>
      <c r="T793" s="17">
        <v>0</v>
      </c>
      <c r="U793" s="17">
        <v>0.7</v>
      </c>
      <c r="V793" s="17">
        <v>6</v>
      </c>
      <c r="W793" s="272">
        <v>4</v>
      </c>
      <c r="X793" s="116">
        <v>7</v>
      </c>
      <c r="Y793" s="17">
        <v>-0.1</v>
      </c>
      <c r="Z793" s="17">
        <v>0</v>
      </c>
      <c r="AE793" s="383"/>
      <c r="AN793" s="121"/>
      <c r="AP793" s="430">
        <v>2938</v>
      </c>
      <c r="AQ793" s="17" t="s">
        <v>136</v>
      </c>
      <c r="AR793" s="388"/>
      <c r="AS793" s="431"/>
    </row>
    <row r="794" s="17" customFormat="1" ht="16.5" spans="1:45">
      <c r="A794" s="400">
        <v>790</v>
      </c>
      <c r="B794" s="401" t="s">
        <v>2870</v>
      </c>
      <c r="C794" s="214" t="s">
        <v>2881</v>
      </c>
      <c r="D794" s="214">
        <v>1</v>
      </c>
      <c r="E794" s="214">
        <v>0</v>
      </c>
      <c r="F794" s="214"/>
      <c r="G794" s="214">
        <v>1</v>
      </c>
      <c r="H794" s="402" t="s">
        <v>2882</v>
      </c>
      <c r="I794" s="214">
        <v>3.2</v>
      </c>
      <c r="J794" s="214">
        <v>3.2</v>
      </c>
      <c r="K794" s="214"/>
      <c r="L794" s="214">
        <v>1</v>
      </c>
      <c r="M794" s="214">
        <f t="shared" si="49"/>
        <v>2.8</v>
      </c>
      <c r="N794" s="214" t="s">
        <v>2883</v>
      </c>
      <c r="O794" s="17">
        <v>1</v>
      </c>
      <c r="P794" s="272">
        <v>2.1</v>
      </c>
      <c r="Q794" s="17">
        <v>0</v>
      </c>
      <c r="S794" s="17">
        <v>0.5</v>
      </c>
      <c r="T794" s="17">
        <v>0</v>
      </c>
      <c r="U794" s="17">
        <v>0.45</v>
      </c>
      <c r="V794" s="17">
        <v>6</v>
      </c>
      <c r="W794" s="272">
        <v>0</v>
      </c>
      <c r="X794" s="116">
        <v>3</v>
      </c>
      <c r="Y794" s="17">
        <v>-0.1</v>
      </c>
      <c r="Z794" s="17">
        <v>0</v>
      </c>
      <c r="AE794" s="383"/>
      <c r="AN794" s="121"/>
      <c r="AP794" s="430">
        <v>2940</v>
      </c>
      <c r="AQ794" s="17" t="s">
        <v>136</v>
      </c>
      <c r="AR794" s="388"/>
      <c r="AS794" s="431"/>
    </row>
    <row r="795" s="17" customFormat="1" ht="16.5" spans="1:45">
      <c r="A795" s="400">
        <v>791</v>
      </c>
      <c r="B795" s="401" t="s">
        <v>2870</v>
      </c>
      <c r="C795" s="214" t="s">
        <v>2884</v>
      </c>
      <c r="D795" s="214">
        <v>1</v>
      </c>
      <c r="E795" s="214">
        <v>0</v>
      </c>
      <c r="F795" s="214"/>
      <c r="G795" s="214">
        <v>1</v>
      </c>
      <c r="H795" s="402" t="s">
        <v>2885</v>
      </c>
      <c r="I795" s="214">
        <f>181/30</f>
        <v>6.03333333333333</v>
      </c>
      <c r="J795" s="214">
        <f>181/30</f>
        <v>6.03333333333333</v>
      </c>
      <c r="K795" s="214"/>
      <c r="L795" s="214">
        <v>1</v>
      </c>
      <c r="M795" s="214">
        <f t="shared" si="49"/>
        <v>5.63333333333333</v>
      </c>
      <c r="N795" s="214" t="s">
        <v>2886</v>
      </c>
      <c r="O795" s="17">
        <v>1</v>
      </c>
      <c r="P795" s="272">
        <v>-2.5</v>
      </c>
      <c r="Q795" s="17">
        <v>0</v>
      </c>
      <c r="V795" s="17">
        <v>6</v>
      </c>
      <c r="W795" s="272">
        <v>0</v>
      </c>
      <c r="X795" s="116">
        <v>3</v>
      </c>
      <c r="Y795" s="17">
        <v>-0.1</v>
      </c>
      <c r="Z795" s="17">
        <v>0</v>
      </c>
      <c r="AB795" s="41">
        <f t="shared" ref="AB795:AB798" si="51">I795-0.3</f>
        <v>5.73333333333333</v>
      </c>
      <c r="AC795" s="17">
        <v>2</v>
      </c>
      <c r="AD795" s="17">
        <v>1</v>
      </c>
      <c r="AE795" s="383" t="s">
        <v>2887</v>
      </c>
      <c r="AF795" s="17">
        <v>0.5</v>
      </c>
      <c r="AN795" s="121"/>
      <c r="AP795" s="430">
        <v>2942</v>
      </c>
      <c r="AQ795" s="17" t="s">
        <v>136</v>
      </c>
      <c r="AR795" s="388"/>
      <c r="AS795" s="392" t="s">
        <v>2888</v>
      </c>
    </row>
    <row r="796" s="17" customFormat="1" ht="16.5" spans="1:45">
      <c r="A796" s="400">
        <v>792</v>
      </c>
      <c r="B796" s="401" t="s">
        <v>2870</v>
      </c>
      <c r="C796" s="214" t="s">
        <v>2889</v>
      </c>
      <c r="D796" s="214">
        <v>1</v>
      </c>
      <c r="E796" s="214">
        <v>0</v>
      </c>
      <c r="F796" s="214"/>
      <c r="G796" s="214">
        <v>1</v>
      </c>
      <c r="H796" s="402" t="s">
        <v>2890</v>
      </c>
      <c r="I796" s="214">
        <f>193/30</f>
        <v>6.43333333333333</v>
      </c>
      <c r="J796" s="214">
        <f>193/30</f>
        <v>6.43333333333333</v>
      </c>
      <c r="K796" s="214"/>
      <c r="L796" s="214">
        <v>1</v>
      </c>
      <c r="M796" s="214">
        <f t="shared" si="49"/>
        <v>6.03333333333333</v>
      </c>
      <c r="N796" s="214" t="s">
        <v>2891</v>
      </c>
      <c r="O796" s="17">
        <v>3</v>
      </c>
      <c r="P796" s="272">
        <v>-21.8</v>
      </c>
      <c r="Q796" s="17">
        <v>0</v>
      </c>
      <c r="V796" s="17">
        <v>6</v>
      </c>
      <c r="W796" s="272">
        <v>6</v>
      </c>
      <c r="X796" s="116">
        <v>3</v>
      </c>
      <c r="Y796" s="17">
        <v>-0.1</v>
      </c>
      <c r="Z796" s="17">
        <v>0</v>
      </c>
      <c r="AB796" s="41">
        <f t="shared" si="51"/>
        <v>6.13333333333333</v>
      </c>
      <c r="AC796" s="17">
        <v>2</v>
      </c>
      <c r="AD796" s="17">
        <v>1</v>
      </c>
      <c r="AE796" s="383" t="s">
        <v>2892</v>
      </c>
      <c r="AF796" s="17">
        <v>0.5</v>
      </c>
      <c r="AN796" s="121" t="s">
        <v>2893</v>
      </c>
      <c r="AO796" s="17" t="s">
        <v>2894</v>
      </c>
      <c r="AP796" s="430">
        <v>2943</v>
      </c>
      <c r="AQ796" s="17" t="s">
        <v>136</v>
      </c>
      <c r="AR796" s="388"/>
      <c r="AS796" s="431"/>
    </row>
    <row r="797" s="17" customFormat="1" ht="16.5" spans="1:45">
      <c r="A797" s="400">
        <v>793</v>
      </c>
      <c r="B797" s="401" t="s">
        <v>2870</v>
      </c>
      <c r="C797" s="214" t="s">
        <v>2895</v>
      </c>
      <c r="D797" s="214">
        <v>1</v>
      </c>
      <c r="E797" s="214">
        <v>0</v>
      </c>
      <c r="F797" s="214"/>
      <c r="G797" s="214">
        <v>1</v>
      </c>
      <c r="H797" s="402" t="s">
        <v>2896</v>
      </c>
      <c r="I797" s="214">
        <f>328/30</f>
        <v>10.9333333333333</v>
      </c>
      <c r="J797" s="214">
        <f>328/30</f>
        <v>10.9333333333333</v>
      </c>
      <c r="K797" s="214"/>
      <c r="L797" s="214">
        <v>1</v>
      </c>
      <c r="M797" s="214">
        <f t="shared" si="49"/>
        <v>10.5333333333333</v>
      </c>
      <c r="N797" s="214" t="s">
        <v>2897</v>
      </c>
      <c r="O797" s="17">
        <v>1</v>
      </c>
      <c r="P797" s="272">
        <v>5</v>
      </c>
      <c r="Q797" s="17">
        <v>0</v>
      </c>
      <c r="V797" s="17">
        <v>6</v>
      </c>
      <c r="W797" s="272">
        <v>0</v>
      </c>
      <c r="X797" s="116">
        <v>6</v>
      </c>
      <c r="Y797" s="17">
        <v>-0.1</v>
      </c>
      <c r="Z797" s="17">
        <v>0</v>
      </c>
      <c r="AB797" s="41">
        <f t="shared" si="51"/>
        <v>10.6333333333333</v>
      </c>
      <c r="AC797" s="17">
        <v>2</v>
      </c>
      <c r="AD797" s="17">
        <v>1</v>
      </c>
      <c r="AE797" s="383" t="s">
        <v>2898</v>
      </c>
      <c r="AF797" s="17">
        <v>0.5</v>
      </c>
      <c r="AN797" s="121"/>
      <c r="AP797" s="430">
        <v>2946</v>
      </c>
      <c r="AQ797" s="17" t="s">
        <v>136</v>
      </c>
      <c r="AR797" s="388"/>
      <c r="AS797" s="431"/>
    </row>
    <row r="798" s="17" customFormat="1" ht="16.5" spans="1:45">
      <c r="A798" s="364">
        <v>794</v>
      </c>
      <c r="B798" s="272" t="s">
        <v>2870</v>
      </c>
      <c r="C798" s="17" t="s">
        <v>2764</v>
      </c>
      <c r="D798" s="17">
        <v>1</v>
      </c>
      <c r="E798" s="17">
        <v>0</v>
      </c>
      <c r="G798" s="17">
        <v>1</v>
      </c>
      <c r="H798" s="273" t="s">
        <v>2899</v>
      </c>
      <c r="I798" s="17">
        <v>6.433333333</v>
      </c>
      <c r="J798" s="17">
        <v>6.433333333</v>
      </c>
      <c r="L798" s="17">
        <v>1</v>
      </c>
      <c r="M798" s="17">
        <f t="shared" si="49"/>
        <v>6.033333333</v>
      </c>
      <c r="N798" s="17" t="s">
        <v>2900</v>
      </c>
      <c r="O798" s="17">
        <v>1</v>
      </c>
      <c r="P798" s="272">
        <v>0</v>
      </c>
      <c r="Q798" s="17">
        <v>0</v>
      </c>
      <c r="V798" s="17">
        <v>6</v>
      </c>
      <c r="W798" s="272">
        <v>6</v>
      </c>
      <c r="X798" s="116">
        <v>1</v>
      </c>
      <c r="Y798" s="17">
        <v>-0.1</v>
      </c>
      <c r="Z798" s="17">
        <v>0</v>
      </c>
      <c r="AB798" s="17">
        <f t="shared" si="51"/>
        <v>6.133333333</v>
      </c>
      <c r="AC798" s="17">
        <v>2</v>
      </c>
      <c r="AD798" s="17">
        <v>1</v>
      </c>
      <c r="AE798" s="383" t="s">
        <v>2901</v>
      </c>
      <c r="AF798" s="17">
        <v>0.5</v>
      </c>
      <c r="AN798" s="121"/>
      <c r="AP798" s="430">
        <v>2947</v>
      </c>
      <c r="AQ798" s="17" t="s">
        <v>136</v>
      </c>
      <c r="AR798" s="388"/>
      <c r="AS798" s="431"/>
    </row>
    <row r="799" s="49" customFormat="1" ht="16.5" spans="1:45">
      <c r="A799" s="403">
        <v>795</v>
      </c>
      <c r="B799" s="404" t="s">
        <v>2902</v>
      </c>
      <c r="C799" s="49" t="s">
        <v>526</v>
      </c>
      <c r="D799" s="49">
        <v>1</v>
      </c>
      <c r="E799" s="49">
        <v>0</v>
      </c>
      <c r="G799" s="49">
        <v>1</v>
      </c>
      <c r="H799" s="405" t="s">
        <v>2903</v>
      </c>
      <c r="I799" s="49">
        <v>3</v>
      </c>
      <c r="J799" s="49">
        <v>3</v>
      </c>
      <c r="L799" s="49">
        <v>0</v>
      </c>
      <c r="M799" s="49">
        <f t="shared" si="49"/>
        <v>2.6</v>
      </c>
      <c r="N799" s="49" t="s">
        <v>2904</v>
      </c>
      <c r="O799" s="49">
        <v>1</v>
      </c>
      <c r="P799" s="404">
        <v>1.8</v>
      </c>
      <c r="Q799" s="49">
        <v>0</v>
      </c>
      <c r="S799" s="49">
        <v>0.5</v>
      </c>
      <c r="T799" s="49">
        <v>0.2</v>
      </c>
      <c r="U799" s="49">
        <v>0.2</v>
      </c>
      <c r="V799" s="49">
        <v>6</v>
      </c>
      <c r="W799" s="404">
        <v>0</v>
      </c>
      <c r="X799" s="416">
        <v>3</v>
      </c>
      <c r="Y799" s="49">
        <v>-0.1</v>
      </c>
      <c r="Z799" s="49">
        <v>0</v>
      </c>
      <c r="AE799" s="103"/>
      <c r="AN799" s="421"/>
      <c r="AP799" s="432">
        <v>2970</v>
      </c>
      <c r="AQ799" s="433" t="s">
        <v>136</v>
      </c>
      <c r="AR799" s="434"/>
      <c r="AS799" s="435"/>
    </row>
    <row r="800" s="49" customFormat="1" spans="1:45">
      <c r="A800" s="403">
        <v>796</v>
      </c>
      <c r="B800" s="404" t="s">
        <v>2902</v>
      </c>
      <c r="C800" s="49" t="s">
        <v>2905</v>
      </c>
      <c r="D800" s="49">
        <v>1</v>
      </c>
      <c r="E800" s="49">
        <v>0</v>
      </c>
      <c r="G800" s="49">
        <v>1</v>
      </c>
      <c r="H800" s="405" t="s">
        <v>2906</v>
      </c>
      <c r="I800" s="49">
        <v>3.833333</v>
      </c>
      <c r="J800" s="49">
        <v>3.833333</v>
      </c>
      <c r="L800" s="49">
        <v>1</v>
      </c>
      <c r="M800" s="49">
        <f t="shared" si="49"/>
        <v>3.433333</v>
      </c>
      <c r="N800" s="49" t="s">
        <v>2907</v>
      </c>
      <c r="O800" s="49">
        <v>1</v>
      </c>
      <c r="P800" s="404">
        <v>1.8</v>
      </c>
      <c r="Q800" s="49">
        <v>0</v>
      </c>
      <c r="S800" s="49">
        <v>0.5</v>
      </c>
      <c r="T800" s="49">
        <v>0.2</v>
      </c>
      <c r="U800" s="49">
        <v>0.2</v>
      </c>
      <c r="V800" s="49">
        <v>6</v>
      </c>
      <c r="W800" s="404">
        <v>0</v>
      </c>
      <c r="X800" s="416">
        <v>11</v>
      </c>
      <c r="Y800" s="49">
        <v>-0.1</v>
      </c>
      <c r="Z800" s="49">
        <v>0</v>
      </c>
      <c r="AE800" s="103"/>
      <c r="AN800" s="421"/>
      <c r="AP800" s="49">
        <v>2972</v>
      </c>
      <c r="AQ800" s="49" t="s">
        <v>136</v>
      </c>
      <c r="AR800" s="434"/>
      <c r="AS800" s="435"/>
    </row>
    <row r="801" s="49" customFormat="1" spans="1:45">
      <c r="A801" s="403">
        <v>797</v>
      </c>
      <c r="B801" s="404" t="s">
        <v>2902</v>
      </c>
      <c r="C801" s="49" t="s">
        <v>2908</v>
      </c>
      <c r="D801" s="49">
        <v>1</v>
      </c>
      <c r="E801" s="49">
        <v>0</v>
      </c>
      <c r="G801" s="49">
        <v>1</v>
      </c>
      <c r="H801" s="405" t="s">
        <v>2909</v>
      </c>
      <c r="I801" s="49">
        <v>3.4</v>
      </c>
      <c r="J801" s="49">
        <v>3.4</v>
      </c>
      <c r="L801" s="49">
        <v>1</v>
      </c>
      <c r="M801" s="49">
        <f t="shared" si="49"/>
        <v>3</v>
      </c>
      <c r="N801" s="49" t="s">
        <v>2910</v>
      </c>
      <c r="O801" s="49">
        <v>1</v>
      </c>
      <c r="P801" s="404">
        <v>1.8</v>
      </c>
      <c r="Q801" s="49">
        <v>0</v>
      </c>
      <c r="S801" s="49">
        <v>0.5</v>
      </c>
      <c r="T801" s="49">
        <v>0.2</v>
      </c>
      <c r="U801" s="49">
        <v>0.2</v>
      </c>
      <c r="V801" s="49">
        <v>6</v>
      </c>
      <c r="W801" s="404">
        <v>0</v>
      </c>
      <c r="X801" s="416">
        <v>6</v>
      </c>
      <c r="Y801" s="49">
        <v>-0.1</v>
      </c>
      <c r="Z801" s="49">
        <v>0</v>
      </c>
      <c r="AE801" s="103"/>
      <c r="AN801" s="421"/>
      <c r="AP801" s="49">
        <v>2974</v>
      </c>
      <c r="AQ801" s="49" t="s">
        <v>136</v>
      </c>
      <c r="AR801" s="434"/>
      <c r="AS801" s="435"/>
    </row>
    <row r="802" s="49" customFormat="1" spans="1:44">
      <c r="A802" s="403">
        <v>798</v>
      </c>
      <c r="B802" s="404" t="s">
        <v>2902</v>
      </c>
      <c r="C802" s="49" t="s">
        <v>2911</v>
      </c>
      <c r="D802" s="49">
        <v>1</v>
      </c>
      <c r="E802" s="49">
        <v>0</v>
      </c>
      <c r="G802" s="49">
        <v>1</v>
      </c>
      <c r="H802" s="405" t="s">
        <v>2912</v>
      </c>
      <c r="I802" s="49">
        <v>4.9</v>
      </c>
      <c r="J802" s="49">
        <v>4.9</v>
      </c>
      <c r="L802" s="49">
        <v>1</v>
      </c>
      <c r="M802" s="49">
        <f t="shared" si="49"/>
        <v>4.5</v>
      </c>
      <c r="N802" s="49" t="s">
        <v>2913</v>
      </c>
      <c r="O802" s="49">
        <v>1</v>
      </c>
      <c r="P802" s="404">
        <v>1.8</v>
      </c>
      <c r="Q802" s="49">
        <v>0</v>
      </c>
      <c r="S802" s="49">
        <v>0.75</v>
      </c>
      <c r="T802" s="49">
        <v>0.2</v>
      </c>
      <c r="U802" s="49">
        <v>0.65</v>
      </c>
      <c r="V802" s="49">
        <v>6</v>
      </c>
      <c r="W802" s="404">
        <v>6</v>
      </c>
      <c r="X802" s="416">
        <v>3</v>
      </c>
      <c r="Y802" s="49">
        <v>-0.1</v>
      </c>
      <c r="Z802" s="49">
        <v>0</v>
      </c>
      <c r="AE802" s="103"/>
      <c r="AN802" s="421"/>
      <c r="AP802" s="49">
        <v>2976</v>
      </c>
      <c r="AQ802" s="49" t="s">
        <v>136</v>
      </c>
      <c r="AR802" s="434"/>
    </row>
    <row r="803" s="49" customFormat="1" spans="1:45">
      <c r="A803" s="403">
        <v>799</v>
      </c>
      <c r="B803" s="404" t="s">
        <v>2902</v>
      </c>
      <c r="C803" s="49" t="s">
        <v>2914</v>
      </c>
      <c r="D803" s="49">
        <v>1</v>
      </c>
      <c r="E803" s="49">
        <v>0</v>
      </c>
      <c r="G803" s="49">
        <v>1</v>
      </c>
      <c r="H803" s="405" t="s">
        <v>2915</v>
      </c>
      <c r="I803" s="49">
        <v>10</v>
      </c>
      <c r="J803" s="49">
        <v>10</v>
      </c>
      <c r="L803" s="49">
        <v>1</v>
      </c>
      <c r="M803" s="49">
        <f t="shared" si="49"/>
        <v>9.6</v>
      </c>
      <c r="N803" s="49" t="s">
        <v>2916</v>
      </c>
      <c r="O803" s="49">
        <v>1</v>
      </c>
      <c r="P803" s="404">
        <v>9</v>
      </c>
      <c r="Q803" s="49">
        <v>0</v>
      </c>
      <c r="V803" s="49">
        <v>6</v>
      </c>
      <c r="W803" s="404">
        <v>4</v>
      </c>
      <c r="X803" s="416">
        <v>6</v>
      </c>
      <c r="Y803" s="49">
        <v>-0.1</v>
      </c>
      <c r="Z803" s="49">
        <v>0</v>
      </c>
      <c r="AB803" s="49">
        <f t="shared" ref="AB803:AB806" si="52">I803-0.3</f>
        <v>9.7</v>
      </c>
      <c r="AC803" s="49">
        <v>2</v>
      </c>
      <c r="AD803" s="49">
        <v>1</v>
      </c>
      <c r="AE803" s="103" t="s">
        <v>2917</v>
      </c>
      <c r="AF803" s="49">
        <v>0.5</v>
      </c>
      <c r="AN803" s="421"/>
      <c r="AP803" s="49">
        <v>2977</v>
      </c>
      <c r="AQ803" s="49" t="s">
        <v>136</v>
      </c>
      <c r="AR803" s="434"/>
      <c r="AS803" s="435" t="s">
        <v>2918</v>
      </c>
    </row>
    <row r="804" s="49" customFormat="1" spans="1:45">
      <c r="A804" s="403">
        <v>800</v>
      </c>
      <c r="B804" s="404" t="s">
        <v>2902</v>
      </c>
      <c r="C804" s="49" t="s">
        <v>2919</v>
      </c>
      <c r="D804" s="49">
        <v>1</v>
      </c>
      <c r="E804" s="49">
        <v>0</v>
      </c>
      <c r="G804" s="49">
        <v>1</v>
      </c>
      <c r="H804" s="405" t="s">
        <v>2920</v>
      </c>
      <c r="I804" s="49">
        <v>7.333333</v>
      </c>
      <c r="J804" s="49">
        <v>7.333333</v>
      </c>
      <c r="L804" s="49">
        <v>1</v>
      </c>
      <c r="M804" s="49">
        <f t="shared" si="49"/>
        <v>6.933333</v>
      </c>
      <c r="N804" s="49" t="s">
        <v>2921</v>
      </c>
      <c r="O804" s="49">
        <v>1</v>
      </c>
      <c r="P804" s="404">
        <v>9</v>
      </c>
      <c r="Q804" s="49">
        <v>0</v>
      </c>
      <c r="V804" s="49">
        <v>6</v>
      </c>
      <c r="W804" s="404">
        <v>6</v>
      </c>
      <c r="X804" s="416">
        <v>4</v>
      </c>
      <c r="Y804" s="49">
        <v>-0.1</v>
      </c>
      <c r="Z804" s="49">
        <v>0</v>
      </c>
      <c r="AB804" s="49">
        <f t="shared" si="52"/>
        <v>7.033333</v>
      </c>
      <c r="AC804" s="49">
        <v>2</v>
      </c>
      <c r="AD804" s="49">
        <v>1</v>
      </c>
      <c r="AE804" s="103" t="s">
        <v>2922</v>
      </c>
      <c r="AF804" s="49">
        <v>0.5</v>
      </c>
      <c r="AN804" s="421"/>
      <c r="AP804" s="49">
        <v>2979</v>
      </c>
      <c r="AQ804" s="49" t="s">
        <v>136</v>
      </c>
      <c r="AR804" s="434"/>
      <c r="AS804" s="435" t="s">
        <v>2918</v>
      </c>
    </row>
    <row r="805" s="49" customFormat="1" spans="1:45">
      <c r="A805" s="403">
        <v>801</v>
      </c>
      <c r="B805" s="404" t="s">
        <v>2902</v>
      </c>
      <c r="C805" s="49" t="s">
        <v>2923</v>
      </c>
      <c r="D805" s="49">
        <v>1</v>
      </c>
      <c r="E805" s="49">
        <v>0</v>
      </c>
      <c r="G805" s="49">
        <v>1</v>
      </c>
      <c r="H805" s="405" t="s">
        <v>2924</v>
      </c>
      <c r="I805" s="49">
        <v>7.433333</v>
      </c>
      <c r="J805" s="49">
        <v>7.433333</v>
      </c>
      <c r="L805" s="49">
        <v>1</v>
      </c>
      <c r="M805" s="49">
        <f t="shared" si="49"/>
        <v>7.033333</v>
      </c>
      <c r="N805" s="49" t="s">
        <v>2925</v>
      </c>
      <c r="O805" s="49">
        <v>1</v>
      </c>
      <c r="P805" s="404">
        <v>9</v>
      </c>
      <c r="Q805" s="49">
        <v>0</v>
      </c>
      <c r="V805" s="49">
        <v>6</v>
      </c>
      <c r="W805" s="404">
        <v>0</v>
      </c>
      <c r="X805" s="416">
        <v>9</v>
      </c>
      <c r="Y805" s="49">
        <v>-0.1</v>
      </c>
      <c r="Z805" s="49">
        <v>0</v>
      </c>
      <c r="AB805" s="49">
        <f t="shared" si="52"/>
        <v>7.133333</v>
      </c>
      <c r="AC805" s="49">
        <v>2</v>
      </c>
      <c r="AD805" s="49">
        <v>1</v>
      </c>
      <c r="AE805" s="103" t="s">
        <v>2926</v>
      </c>
      <c r="AF805" s="49">
        <v>0.5</v>
      </c>
      <c r="AN805" s="421">
        <v>2983</v>
      </c>
      <c r="AO805" s="49" t="s">
        <v>2927</v>
      </c>
      <c r="AP805" s="49">
        <v>2982</v>
      </c>
      <c r="AQ805" s="49" t="s">
        <v>136</v>
      </c>
      <c r="AR805" s="434"/>
      <c r="AS805" s="435"/>
    </row>
    <row r="806" s="49" customFormat="1" spans="1:45">
      <c r="A806" s="403">
        <v>802</v>
      </c>
      <c r="B806" s="404" t="s">
        <v>2902</v>
      </c>
      <c r="C806" s="49" t="s">
        <v>2928</v>
      </c>
      <c r="D806" s="49">
        <v>1</v>
      </c>
      <c r="E806" s="49">
        <v>0</v>
      </c>
      <c r="G806" s="49">
        <v>1</v>
      </c>
      <c r="H806" s="405" t="s">
        <v>2929</v>
      </c>
      <c r="I806" s="49">
        <v>8.766667</v>
      </c>
      <c r="J806" s="49">
        <v>8.766667</v>
      </c>
      <c r="L806" s="49">
        <v>1</v>
      </c>
      <c r="M806" s="49">
        <f t="shared" si="49"/>
        <v>8.366667</v>
      </c>
      <c r="N806" s="37" t="s">
        <v>2930</v>
      </c>
      <c r="O806" s="49">
        <v>1</v>
      </c>
      <c r="P806" s="404">
        <v>0</v>
      </c>
      <c r="Q806" s="49">
        <v>0</v>
      </c>
      <c r="V806" s="49">
        <v>6</v>
      </c>
      <c r="W806" s="404">
        <v>0</v>
      </c>
      <c r="X806" s="416">
        <v>8</v>
      </c>
      <c r="Y806" s="49">
        <v>-0.1</v>
      </c>
      <c r="Z806" s="49">
        <v>0</v>
      </c>
      <c r="AB806" s="49">
        <f t="shared" si="52"/>
        <v>8.466667</v>
      </c>
      <c r="AC806" s="49">
        <v>1</v>
      </c>
      <c r="AD806" s="49">
        <v>1</v>
      </c>
      <c r="AE806" s="103" t="s">
        <v>2931</v>
      </c>
      <c r="AF806" s="49">
        <v>0.5</v>
      </c>
      <c r="AN806" s="421"/>
      <c r="AP806" s="49">
        <v>2985</v>
      </c>
      <c r="AQ806" s="49" t="s">
        <v>136</v>
      </c>
      <c r="AR806" s="434"/>
      <c r="AS806" s="435"/>
    </row>
    <row r="807" s="28" customFormat="1" ht="16.5" spans="1:45">
      <c r="A807" s="406">
        <v>803</v>
      </c>
      <c r="B807" s="407" t="s">
        <v>2932</v>
      </c>
      <c r="C807" s="65" t="s">
        <v>526</v>
      </c>
      <c r="D807" s="65">
        <v>1</v>
      </c>
      <c r="E807" s="65">
        <v>0</v>
      </c>
      <c r="F807" s="65"/>
      <c r="G807" s="65">
        <v>1</v>
      </c>
      <c r="H807" s="408" t="s">
        <v>2933</v>
      </c>
      <c r="I807" s="65">
        <f>100/30</f>
        <v>3.33333333333333</v>
      </c>
      <c r="J807" s="65">
        <f>100/30</f>
        <v>3.33333333333333</v>
      </c>
      <c r="K807" s="65"/>
      <c r="L807" s="65">
        <v>0</v>
      </c>
      <c r="M807" s="65">
        <f t="shared" si="49"/>
        <v>2.93333333333333</v>
      </c>
      <c r="N807" s="65" t="s">
        <v>2934</v>
      </c>
      <c r="O807" s="28">
        <v>1</v>
      </c>
      <c r="P807" s="229">
        <v>1.95</v>
      </c>
      <c r="Q807" s="28">
        <v>0</v>
      </c>
      <c r="S807" s="28">
        <v>0.65</v>
      </c>
      <c r="T807" s="28">
        <v>0.2</v>
      </c>
      <c r="U807" s="28">
        <v>0.3</v>
      </c>
      <c r="V807" s="28">
        <v>1</v>
      </c>
      <c r="W807" s="229">
        <v>0</v>
      </c>
      <c r="X807" s="218">
        <v>3</v>
      </c>
      <c r="Y807" s="28">
        <v>-0.1</v>
      </c>
      <c r="Z807" s="28">
        <v>0</v>
      </c>
      <c r="AE807" s="243"/>
      <c r="AN807" s="221"/>
      <c r="AP807" s="423">
        <v>2951</v>
      </c>
      <c r="AQ807" s="17" t="s">
        <v>136</v>
      </c>
      <c r="AR807" s="245"/>
      <c r="AS807" s="424"/>
    </row>
    <row r="808" s="28" customFormat="1" ht="16.5" spans="1:45">
      <c r="A808" s="406">
        <v>804</v>
      </c>
      <c r="B808" s="407" t="s">
        <v>2932</v>
      </c>
      <c r="C808" s="65" t="s">
        <v>2935</v>
      </c>
      <c r="D808" s="65">
        <v>1</v>
      </c>
      <c r="E808" s="65">
        <v>0</v>
      </c>
      <c r="F808" s="65"/>
      <c r="G808" s="65">
        <v>1</v>
      </c>
      <c r="H808" s="408" t="s">
        <v>2936</v>
      </c>
      <c r="I808" s="65">
        <f>96/30</f>
        <v>3.2</v>
      </c>
      <c r="J808" s="65">
        <f>96/30</f>
        <v>3.2</v>
      </c>
      <c r="K808" s="65"/>
      <c r="L808" s="65">
        <v>1</v>
      </c>
      <c r="M808" s="65">
        <f t="shared" si="49"/>
        <v>2.8</v>
      </c>
      <c r="N808" s="62" t="s">
        <v>2937</v>
      </c>
      <c r="O808" s="28">
        <v>1</v>
      </c>
      <c r="P808" s="229">
        <v>1.95</v>
      </c>
      <c r="Q808" s="28">
        <v>0</v>
      </c>
      <c r="S808" s="47">
        <v>-0.28</v>
      </c>
      <c r="T808" s="47">
        <v>-0.6</v>
      </c>
      <c r="U808" s="47">
        <v>0.75</v>
      </c>
      <c r="V808" s="28">
        <v>1</v>
      </c>
      <c r="W808" s="229">
        <v>6</v>
      </c>
      <c r="X808" s="218">
        <v>1</v>
      </c>
      <c r="Y808" s="28">
        <v>-0.1</v>
      </c>
      <c r="Z808" s="28">
        <v>0</v>
      </c>
      <c r="AN808" s="221">
        <v>3040</v>
      </c>
      <c r="AO808" s="28" t="s">
        <v>2938</v>
      </c>
      <c r="AP808" s="423">
        <v>2953</v>
      </c>
      <c r="AQ808" s="28" t="s">
        <v>136</v>
      </c>
      <c r="AR808" s="245"/>
      <c r="AS808" s="424"/>
    </row>
    <row r="809" s="28" customFormat="1" ht="16.5" spans="1:45">
      <c r="A809" s="406">
        <v>805</v>
      </c>
      <c r="B809" s="407" t="s">
        <v>2932</v>
      </c>
      <c r="C809" s="65" t="s">
        <v>2939</v>
      </c>
      <c r="D809" s="65">
        <v>1</v>
      </c>
      <c r="E809" s="65">
        <v>0</v>
      </c>
      <c r="F809" s="65"/>
      <c r="G809" s="65">
        <v>1</v>
      </c>
      <c r="H809" s="408" t="s">
        <v>2940</v>
      </c>
      <c r="I809" s="65">
        <f>80/30</f>
        <v>2.66666666666667</v>
      </c>
      <c r="J809" s="65">
        <f>80/30</f>
        <v>2.66666666666667</v>
      </c>
      <c r="K809" s="65"/>
      <c r="L809" s="65">
        <v>1</v>
      </c>
      <c r="M809" s="65">
        <f t="shared" si="49"/>
        <v>2.26666666666667</v>
      </c>
      <c r="N809" s="62" t="s">
        <v>2941</v>
      </c>
      <c r="O809" s="28">
        <v>1</v>
      </c>
      <c r="P809" s="229">
        <v>1.95</v>
      </c>
      <c r="Q809" s="28">
        <v>0</v>
      </c>
      <c r="S809" s="47">
        <v>1.5</v>
      </c>
      <c r="T809" s="47">
        <v>0.2</v>
      </c>
      <c r="U809" s="47">
        <v>0.8</v>
      </c>
      <c r="V809" s="28">
        <v>1</v>
      </c>
      <c r="W809" s="229">
        <v>4</v>
      </c>
      <c r="X809" s="218">
        <v>1</v>
      </c>
      <c r="Y809" s="28">
        <v>-0.1</v>
      </c>
      <c r="Z809" s="28">
        <v>0</v>
      </c>
      <c r="AE809" s="243"/>
      <c r="AN809" s="221"/>
      <c r="AP809" s="423">
        <v>2954</v>
      </c>
      <c r="AQ809" s="28" t="s">
        <v>136</v>
      </c>
      <c r="AR809" s="245"/>
      <c r="AS809" s="424"/>
    </row>
    <row r="810" s="28" customFormat="1" ht="16.5" spans="1:45">
      <c r="A810" s="406">
        <v>806</v>
      </c>
      <c r="B810" s="409" t="s">
        <v>2932</v>
      </c>
      <c r="C810" s="65" t="s">
        <v>2942</v>
      </c>
      <c r="D810" s="65">
        <v>1</v>
      </c>
      <c r="E810" s="65">
        <v>0</v>
      </c>
      <c r="F810" s="65"/>
      <c r="G810" s="65">
        <v>1</v>
      </c>
      <c r="H810" s="408" t="s">
        <v>2943</v>
      </c>
      <c r="I810" s="65">
        <f>100/30</f>
        <v>3.33333333333333</v>
      </c>
      <c r="J810" s="65">
        <f>100/30</f>
        <v>3.33333333333333</v>
      </c>
      <c r="K810" s="65"/>
      <c r="L810" s="65">
        <v>1</v>
      </c>
      <c r="M810" s="65">
        <f t="shared" si="49"/>
        <v>2.93333333333333</v>
      </c>
      <c r="N810" s="65" t="s">
        <v>2944</v>
      </c>
      <c r="O810" s="28">
        <v>1</v>
      </c>
      <c r="P810" s="229">
        <v>1.95</v>
      </c>
      <c r="Q810" s="28">
        <v>0</v>
      </c>
      <c r="S810" s="28">
        <v>1.5</v>
      </c>
      <c r="T810" s="28">
        <v>-2.5</v>
      </c>
      <c r="U810" s="28">
        <v>0.9</v>
      </c>
      <c r="V810" s="28">
        <v>1</v>
      </c>
      <c r="W810" s="229">
        <v>6</v>
      </c>
      <c r="X810" s="218">
        <v>1</v>
      </c>
      <c r="Y810" s="28">
        <v>-0.1</v>
      </c>
      <c r="Z810" s="28">
        <v>0</v>
      </c>
      <c r="AE810" s="243"/>
      <c r="AN810" s="221"/>
      <c r="AP810" s="423">
        <v>2955</v>
      </c>
      <c r="AQ810" s="28" t="s">
        <v>136</v>
      </c>
      <c r="AR810" s="245"/>
      <c r="AS810" s="424"/>
    </row>
    <row r="811" s="28" customFormat="1" ht="16.5" spans="1:45">
      <c r="A811" s="406">
        <v>807</v>
      </c>
      <c r="B811" s="407" t="s">
        <v>2932</v>
      </c>
      <c r="C811" s="65" t="s">
        <v>2945</v>
      </c>
      <c r="D811" s="65">
        <v>1</v>
      </c>
      <c r="E811" s="65">
        <v>0</v>
      </c>
      <c r="F811" s="65"/>
      <c r="G811" s="65">
        <v>1</v>
      </c>
      <c r="H811" s="408" t="s">
        <v>2946</v>
      </c>
      <c r="I811" s="65">
        <f>70/30</f>
        <v>2.33333333333333</v>
      </c>
      <c r="J811" s="65">
        <f>70/30</f>
        <v>2.33333333333333</v>
      </c>
      <c r="K811" s="65"/>
      <c r="L811" s="65">
        <v>1</v>
      </c>
      <c r="M811" s="65">
        <f t="shared" si="49"/>
        <v>1.93333333333333</v>
      </c>
      <c r="N811" s="65" t="s">
        <v>2947</v>
      </c>
      <c r="O811" s="28">
        <v>1</v>
      </c>
      <c r="P811" s="229">
        <v>1.95</v>
      </c>
      <c r="Q811" s="28">
        <v>1</v>
      </c>
      <c r="S811" s="28">
        <v>1.65</v>
      </c>
      <c r="T811" s="28">
        <v>-0.3</v>
      </c>
      <c r="U811" s="28">
        <v>0.15</v>
      </c>
      <c r="V811" s="28">
        <v>1</v>
      </c>
      <c r="W811" s="229">
        <v>0</v>
      </c>
      <c r="X811" s="218">
        <v>2</v>
      </c>
      <c r="Y811" s="28">
        <v>-0.1</v>
      </c>
      <c r="Z811" s="28">
        <v>0</v>
      </c>
      <c r="AE811" s="243"/>
      <c r="AN811" s="221"/>
      <c r="AP811" s="267">
        <v>2956</v>
      </c>
      <c r="AQ811" s="28" t="s">
        <v>136</v>
      </c>
      <c r="AR811" s="245"/>
      <c r="AS811" s="424"/>
    </row>
    <row r="812" s="28" customFormat="1" ht="16.5" spans="1:45">
      <c r="A812" s="406">
        <v>808</v>
      </c>
      <c r="B812" s="407" t="s">
        <v>2932</v>
      </c>
      <c r="C812" s="65" t="s">
        <v>2948</v>
      </c>
      <c r="D812" s="65">
        <v>1</v>
      </c>
      <c r="E812" s="65">
        <v>0</v>
      </c>
      <c r="F812" s="65"/>
      <c r="G812" s="65">
        <v>1</v>
      </c>
      <c r="H812" s="408" t="s">
        <v>2949</v>
      </c>
      <c r="I812" s="65">
        <f>313/30</f>
        <v>10.4333333333333</v>
      </c>
      <c r="J812" s="65">
        <f>313/30</f>
        <v>10.4333333333333</v>
      </c>
      <c r="K812" s="65"/>
      <c r="L812" s="65">
        <v>1</v>
      </c>
      <c r="M812" s="65">
        <f t="shared" si="49"/>
        <v>10.0333333333333</v>
      </c>
      <c r="N812" s="65" t="s">
        <v>2950</v>
      </c>
      <c r="O812" s="28">
        <v>1</v>
      </c>
      <c r="P812" s="229">
        <v>6.7</v>
      </c>
      <c r="Q812" s="28">
        <v>0</v>
      </c>
      <c r="V812" s="28">
        <v>1</v>
      </c>
      <c r="W812" s="229">
        <v>6</v>
      </c>
      <c r="X812" s="218">
        <v>5</v>
      </c>
      <c r="Y812" s="28">
        <v>-0.1</v>
      </c>
      <c r="Z812" s="28">
        <v>0</v>
      </c>
      <c r="AB812" s="41">
        <f>I812-0.3</f>
        <v>10.1333333333333</v>
      </c>
      <c r="AC812" s="28">
        <v>2</v>
      </c>
      <c r="AD812" s="28">
        <v>1</v>
      </c>
      <c r="AE812" s="243" t="s">
        <v>2951</v>
      </c>
      <c r="AF812" s="28">
        <v>0.5</v>
      </c>
      <c r="AN812" s="221" t="s">
        <v>2952</v>
      </c>
      <c r="AO812" s="28" t="s">
        <v>2953</v>
      </c>
      <c r="AP812" s="423">
        <v>2964</v>
      </c>
      <c r="AQ812" s="28" t="s">
        <v>136</v>
      </c>
      <c r="AR812" s="245"/>
      <c r="AS812" s="424"/>
    </row>
    <row r="813" s="28" customFormat="1" ht="16.5" spans="1:45">
      <c r="A813" s="406">
        <v>809</v>
      </c>
      <c r="B813" s="407" t="s">
        <v>2932</v>
      </c>
      <c r="C813" s="65" t="s">
        <v>2954</v>
      </c>
      <c r="D813" s="65">
        <v>1</v>
      </c>
      <c r="E813" s="65">
        <v>0</v>
      </c>
      <c r="F813" s="65"/>
      <c r="G813" s="65">
        <v>1</v>
      </c>
      <c r="H813" s="408" t="s">
        <v>2955</v>
      </c>
      <c r="I813" s="65">
        <f>328/30</f>
        <v>10.9333333333333</v>
      </c>
      <c r="J813" s="65">
        <f>328/30</f>
        <v>10.9333333333333</v>
      </c>
      <c r="K813" s="65"/>
      <c r="L813" s="65">
        <v>1</v>
      </c>
      <c r="M813" s="65">
        <f t="shared" si="49"/>
        <v>10.5333333333333</v>
      </c>
      <c r="N813" s="65" t="s">
        <v>2956</v>
      </c>
      <c r="O813" s="28">
        <v>1</v>
      </c>
      <c r="P813" s="229">
        <v>8</v>
      </c>
      <c r="Q813" s="28">
        <v>0</v>
      </c>
      <c r="V813" s="28">
        <v>1</v>
      </c>
      <c r="W813" s="229">
        <v>6</v>
      </c>
      <c r="X813" s="218">
        <v>1</v>
      </c>
      <c r="Y813" s="28">
        <v>-0.1</v>
      </c>
      <c r="Z813" s="28">
        <v>0</v>
      </c>
      <c r="AB813" s="41">
        <f>I813-0.3</f>
        <v>10.6333333333333</v>
      </c>
      <c r="AC813" s="28">
        <v>2</v>
      </c>
      <c r="AD813" s="28">
        <v>1</v>
      </c>
      <c r="AE813" s="243" t="s">
        <v>2957</v>
      </c>
      <c r="AF813" s="28">
        <v>0.5</v>
      </c>
      <c r="AN813" s="221"/>
      <c r="AP813" s="423">
        <v>2958</v>
      </c>
      <c r="AQ813" s="28" t="s">
        <v>136</v>
      </c>
      <c r="AR813" s="245"/>
      <c r="AS813" s="424"/>
    </row>
    <row r="814" s="28" customFormat="1" ht="16.5" spans="1:45">
      <c r="A814" s="406">
        <v>810</v>
      </c>
      <c r="B814" s="407" t="s">
        <v>2932</v>
      </c>
      <c r="C814" s="65" t="s">
        <v>2958</v>
      </c>
      <c r="D814" s="65">
        <v>1</v>
      </c>
      <c r="E814" s="65">
        <v>0</v>
      </c>
      <c r="F814" s="65"/>
      <c r="G814" s="65">
        <v>1</v>
      </c>
      <c r="H814" s="408" t="s">
        <v>2959</v>
      </c>
      <c r="I814" s="65">
        <f>350/30</f>
        <v>11.6666666666667</v>
      </c>
      <c r="J814" s="65">
        <f>350/30</f>
        <v>11.6666666666667</v>
      </c>
      <c r="K814" s="65"/>
      <c r="L814" s="65">
        <v>1</v>
      </c>
      <c r="M814" s="65">
        <f t="shared" si="49"/>
        <v>11.2666666666667</v>
      </c>
      <c r="N814" s="65" t="s">
        <v>2960</v>
      </c>
      <c r="O814" s="28">
        <v>1</v>
      </c>
      <c r="P814" s="229">
        <v>5</v>
      </c>
      <c r="Q814" s="28">
        <v>0</v>
      </c>
      <c r="V814" s="28">
        <v>1</v>
      </c>
      <c r="W814" s="229">
        <v>0</v>
      </c>
      <c r="X814" s="218">
        <v>3</v>
      </c>
      <c r="Y814" s="28">
        <v>-0.1</v>
      </c>
      <c r="Z814" s="28">
        <v>0</v>
      </c>
      <c r="AB814" s="41">
        <f>I814-0.3</f>
        <v>11.3666666666667</v>
      </c>
      <c r="AC814" s="28">
        <v>2</v>
      </c>
      <c r="AD814" s="28">
        <v>1</v>
      </c>
      <c r="AE814" s="243" t="s">
        <v>2961</v>
      </c>
      <c r="AF814" s="28">
        <v>0.5</v>
      </c>
      <c r="AG814" s="46" t="s">
        <v>2962</v>
      </c>
      <c r="AN814" s="221">
        <v>2960</v>
      </c>
      <c r="AO814" s="28" t="s">
        <v>690</v>
      </c>
      <c r="AP814" s="423">
        <v>2959</v>
      </c>
      <c r="AQ814" s="28" t="s">
        <v>136</v>
      </c>
      <c r="AR814" s="245"/>
      <c r="AS814" s="424"/>
    </row>
    <row r="815" s="47" customFormat="1" ht="16.5" spans="1:45">
      <c r="A815" s="410">
        <v>811</v>
      </c>
      <c r="B815" s="246" t="s">
        <v>2870</v>
      </c>
      <c r="C815" s="47" t="s">
        <v>2884</v>
      </c>
      <c r="D815" s="47">
        <v>1</v>
      </c>
      <c r="E815" s="47">
        <v>0</v>
      </c>
      <c r="G815" s="47">
        <v>1</v>
      </c>
      <c r="H815" s="247" t="s">
        <v>2885</v>
      </c>
      <c r="I815" s="47">
        <f>181/30</f>
        <v>6.03333333333333</v>
      </c>
      <c r="J815" s="47">
        <f>181/30</f>
        <v>6.03333333333333</v>
      </c>
      <c r="L815" s="47">
        <v>1</v>
      </c>
      <c r="M815" s="47">
        <f t="shared" si="49"/>
        <v>5.63333333333333</v>
      </c>
      <c r="N815" s="214" t="s">
        <v>2886</v>
      </c>
      <c r="O815" s="47">
        <v>1</v>
      </c>
      <c r="P815" s="246">
        <v>-2.5</v>
      </c>
      <c r="Q815" s="47">
        <v>0</v>
      </c>
      <c r="V815" s="47">
        <v>6</v>
      </c>
      <c r="W815" s="246">
        <v>29</v>
      </c>
      <c r="X815" s="417">
        <v>3</v>
      </c>
      <c r="Y815" s="47">
        <v>-0.1</v>
      </c>
      <c r="Z815" s="47">
        <v>0</v>
      </c>
      <c r="AB815" s="47">
        <f>I815-0.3</f>
        <v>5.73333333333333</v>
      </c>
      <c r="AC815" s="47">
        <v>2</v>
      </c>
      <c r="AD815" s="47">
        <v>1</v>
      </c>
      <c r="AE815" s="109" t="s">
        <v>2887</v>
      </c>
      <c r="AF815" s="47">
        <v>0.5</v>
      </c>
      <c r="AN815" s="419"/>
      <c r="AP815" s="425">
        <v>2942</v>
      </c>
      <c r="AQ815" s="47" t="s">
        <v>136</v>
      </c>
      <c r="AR815" s="426"/>
      <c r="AS815" s="427" t="s">
        <v>2888</v>
      </c>
    </row>
    <row r="816" s="17" customFormat="1" ht="17" customHeight="1" spans="1:45">
      <c r="A816" s="411">
        <v>812</v>
      </c>
      <c r="B816" s="272" t="s">
        <v>2963</v>
      </c>
      <c r="C816" s="17" t="s">
        <v>526</v>
      </c>
      <c r="D816" s="17">
        <v>1</v>
      </c>
      <c r="E816" s="17">
        <v>0</v>
      </c>
      <c r="G816" s="17">
        <v>1</v>
      </c>
      <c r="H816" s="388" t="s">
        <v>2964</v>
      </c>
      <c r="I816" s="17">
        <f>72/30</f>
        <v>2.4</v>
      </c>
      <c r="J816" s="17">
        <f>72/30</f>
        <v>2.4</v>
      </c>
      <c r="L816" s="17">
        <v>0</v>
      </c>
      <c r="M816" s="17">
        <f t="shared" si="49"/>
        <v>2</v>
      </c>
      <c r="N816" s="17" t="s">
        <v>2965</v>
      </c>
      <c r="O816" s="17">
        <v>1</v>
      </c>
      <c r="P816" s="272">
        <v>1.32</v>
      </c>
      <c r="Q816" s="17">
        <v>0</v>
      </c>
      <c r="S816" s="49">
        <v>1</v>
      </c>
      <c r="T816" s="49">
        <v>0.1</v>
      </c>
      <c r="U816" s="49">
        <v>0.5</v>
      </c>
      <c r="V816" s="17">
        <v>6</v>
      </c>
      <c r="W816" s="272">
        <v>0</v>
      </c>
      <c r="X816" s="116">
        <v>3</v>
      </c>
      <c r="Y816" s="17">
        <v>-0.1</v>
      </c>
      <c r="Z816" s="17">
        <v>0</v>
      </c>
      <c r="AB816" s="41"/>
      <c r="AC816" s="17">
        <v>2</v>
      </c>
      <c r="AE816" s="383"/>
      <c r="AN816" s="121"/>
      <c r="AP816" s="267">
        <v>3012</v>
      </c>
      <c r="AQ816" s="17" t="s">
        <v>136</v>
      </c>
      <c r="AR816" s="388"/>
      <c r="AS816" s="392"/>
    </row>
    <row r="817" s="17" customFormat="1" ht="16.5" spans="1:45">
      <c r="A817" s="411">
        <v>813</v>
      </c>
      <c r="B817" s="272" t="s">
        <v>2963</v>
      </c>
      <c r="C817" s="17" t="s">
        <v>2966</v>
      </c>
      <c r="D817" s="17">
        <v>1</v>
      </c>
      <c r="E817" s="17">
        <v>0</v>
      </c>
      <c r="G817" s="17">
        <v>1</v>
      </c>
      <c r="H817" s="388" t="s">
        <v>2967</v>
      </c>
      <c r="I817" s="17">
        <f>114/30</f>
        <v>3.8</v>
      </c>
      <c r="J817" s="17">
        <f>114/30</f>
        <v>3.8</v>
      </c>
      <c r="L817" s="17">
        <v>1</v>
      </c>
      <c r="M817" s="17">
        <f t="shared" si="49"/>
        <v>3.4</v>
      </c>
      <c r="N817" s="17" t="s">
        <v>2968</v>
      </c>
      <c r="O817" s="17">
        <v>1</v>
      </c>
      <c r="P817" s="272">
        <v>1.32</v>
      </c>
      <c r="Q817" s="17">
        <v>0</v>
      </c>
      <c r="R817" s="17">
        <v>1</v>
      </c>
      <c r="S817" s="17">
        <v>0.6</v>
      </c>
      <c r="T817" s="17">
        <v>0.6</v>
      </c>
      <c r="U817" s="17">
        <v>0.5</v>
      </c>
      <c r="V817" s="17">
        <v>6</v>
      </c>
      <c r="W817" s="272">
        <v>0</v>
      </c>
      <c r="X817" s="116">
        <v>3</v>
      </c>
      <c r="Y817" s="17">
        <v>-0.1</v>
      </c>
      <c r="Z817" s="17">
        <v>0</v>
      </c>
      <c r="AB817" s="41"/>
      <c r="AC817" s="17">
        <v>2</v>
      </c>
      <c r="AE817" s="383"/>
      <c r="AN817" s="121"/>
      <c r="AP817" s="267">
        <v>3014</v>
      </c>
      <c r="AQ817" s="17" t="s">
        <v>136</v>
      </c>
      <c r="AR817" s="388"/>
      <c r="AS817" s="392"/>
    </row>
    <row r="818" s="17" customFormat="1" ht="16.5" spans="1:45">
      <c r="A818" s="411">
        <v>814</v>
      </c>
      <c r="B818" s="272" t="s">
        <v>2963</v>
      </c>
      <c r="C818" s="17" t="s">
        <v>2969</v>
      </c>
      <c r="D818" s="17">
        <v>1</v>
      </c>
      <c r="E818" s="17">
        <v>0</v>
      </c>
      <c r="G818" s="17">
        <v>1</v>
      </c>
      <c r="H818" s="388" t="s">
        <v>2970</v>
      </c>
      <c r="I818" s="17">
        <f>65/30</f>
        <v>2.16666666666667</v>
      </c>
      <c r="J818" s="17">
        <f>65/30</f>
        <v>2.16666666666667</v>
      </c>
      <c r="L818" s="17">
        <v>1</v>
      </c>
      <c r="M818" s="17">
        <f t="shared" si="49"/>
        <v>1.76666666666667</v>
      </c>
      <c r="N818" s="62"/>
      <c r="O818" s="17">
        <v>1</v>
      </c>
      <c r="P818" s="272">
        <v>1.32</v>
      </c>
      <c r="Q818" s="17">
        <v>0</v>
      </c>
      <c r="S818" s="49">
        <v>1.6</v>
      </c>
      <c r="T818" s="49">
        <v>0.2</v>
      </c>
      <c r="U818" s="49">
        <v>0.5</v>
      </c>
      <c r="V818" s="17">
        <v>6</v>
      </c>
      <c r="W818" s="272">
        <v>0</v>
      </c>
      <c r="X818" s="116">
        <v>6</v>
      </c>
      <c r="Y818" s="17">
        <v>-0.1</v>
      </c>
      <c r="Z818" s="17">
        <v>0</v>
      </c>
      <c r="AB818" s="41"/>
      <c r="AC818" s="17">
        <v>2</v>
      </c>
      <c r="AE818" s="383"/>
      <c r="AN818" s="121"/>
      <c r="AP818" s="267">
        <v>3015</v>
      </c>
      <c r="AQ818" s="17" t="s">
        <v>136</v>
      </c>
      <c r="AR818" s="388"/>
      <c r="AS818" s="392"/>
    </row>
    <row r="819" s="17" customFormat="1" ht="16.5" spans="1:45">
      <c r="A819" s="411">
        <v>815</v>
      </c>
      <c r="B819" s="272" t="s">
        <v>2963</v>
      </c>
      <c r="C819" s="17" t="s">
        <v>2971</v>
      </c>
      <c r="D819" s="17">
        <v>1</v>
      </c>
      <c r="E819" s="17">
        <v>0</v>
      </c>
      <c r="G819" s="17">
        <v>1</v>
      </c>
      <c r="H819" s="388" t="s">
        <v>2972</v>
      </c>
      <c r="I819" s="17">
        <f>117/30</f>
        <v>3.9</v>
      </c>
      <c r="J819" s="17">
        <f>117/30</f>
        <v>3.9</v>
      </c>
      <c r="L819" s="17">
        <v>1</v>
      </c>
      <c r="M819" s="17">
        <f t="shared" si="49"/>
        <v>3.5</v>
      </c>
      <c r="N819" s="17" t="s">
        <v>2973</v>
      </c>
      <c r="O819" s="17">
        <v>1</v>
      </c>
      <c r="P819" s="272">
        <v>1.32</v>
      </c>
      <c r="Q819" s="17">
        <v>0</v>
      </c>
      <c r="S819" s="17">
        <v>1.95</v>
      </c>
      <c r="T819" s="17">
        <v>0.4</v>
      </c>
      <c r="U819" s="17">
        <v>0.6</v>
      </c>
      <c r="V819" s="17">
        <v>6</v>
      </c>
      <c r="W819" s="272">
        <v>0</v>
      </c>
      <c r="X819" s="116">
        <v>10</v>
      </c>
      <c r="Y819" s="17">
        <v>-0.1</v>
      </c>
      <c r="Z819" s="17">
        <v>0</v>
      </c>
      <c r="AB819" s="41"/>
      <c r="AC819" s="17">
        <v>2</v>
      </c>
      <c r="AE819" s="383"/>
      <c r="AN819" s="121"/>
      <c r="AP819" s="267">
        <v>3016</v>
      </c>
      <c r="AQ819" s="17" t="s">
        <v>136</v>
      </c>
      <c r="AR819" s="388"/>
      <c r="AS819" s="392"/>
    </row>
    <row r="820" s="17" customFormat="1" ht="16.5" spans="1:45">
      <c r="A820" s="411">
        <v>816</v>
      </c>
      <c r="B820" s="272" t="s">
        <v>2963</v>
      </c>
      <c r="C820" s="17" t="s">
        <v>2974</v>
      </c>
      <c r="D820" s="17">
        <v>1</v>
      </c>
      <c r="E820" s="17">
        <v>0</v>
      </c>
      <c r="G820" s="17">
        <v>1</v>
      </c>
      <c r="H820" s="388" t="s">
        <v>2975</v>
      </c>
      <c r="I820" s="17">
        <f>125/30</f>
        <v>4.16666666666667</v>
      </c>
      <c r="J820" s="17">
        <f>125/30</f>
        <v>4.16666666666667</v>
      </c>
      <c r="L820" s="17">
        <v>1</v>
      </c>
      <c r="M820" s="17">
        <f t="shared" si="49"/>
        <v>3.76666666666667</v>
      </c>
      <c r="N820" s="17" t="s">
        <v>2976</v>
      </c>
      <c r="O820" s="17">
        <v>1</v>
      </c>
      <c r="P820" s="272">
        <v>1.32</v>
      </c>
      <c r="Q820" s="17">
        <v>0</v>
      </c>
      <c r="S820" s="17">
        <v>3.7</v>
      </c>
      <c r="T820" s="17">
        <v>0.2</v>
      </c>
      <c r="U820" s="17">
        <v>1.37</v>
      </c>
      <c r="V820" s="17">
        <v>6</v>
      </c>
      <c r="W820" s="272">
        <v>0</v>
      </c>
      <c r="X820" s="116">
        <v>2</v>
      </c>
      <c r="Y820" s="17">
        <v>-0.1</v>
      </c>
      <c r="Z820" s="17">
        <v>0</v>
      </c>
      <c r="AC820" s="17">
        <v>2</v>
      </c>
      <c r="AE820" s="383"/>
      <c r="AN820" s="121"/>
      <c r="AP820" s="267">
        <v>3017</v>
      </c>
      <c r="AQ820" s="17" t="s">
        <v>136</v>
      </c>
      <c r="AR820" s="388"/>
      <c r="AS820" s="392"/>
    </row>
    <row r="821" s="17" customFormat="1" ht="16.5" spans="1:45">
      <c r="A821" s="411">
        <v>817</v>
      </c>
      <c r="B821" s="272" t="s">
        <v>2963</v>
      </c>
      <c r="C821" s="17" t="s">
        <v>2977</v>
      </c>
      <c r="D821" s="17">
        <v>1</v>
      </c>
      <c r="E821" s="17">
        <v>0</v>
      </c>
      <c r="G821" s="17">
        <v>1</v>
      </c>
      <c r="H821" s="388" t="s">
        <v>2978</v>
      </c>
      <c r="I821" s="17">
        <f>289/30</f>
        <v>9.63333333333333</v>
      </c>
      <c r="J821" s="17">
        <f>289/30</f>
        <v>9.63333333333333</v>
      </c>
      <c r="L821" s="17">
        <v>1</v>
      </c>
      <c r="M821" s="17">
        <f t="shared" si="49"/>
        <v>9.23333333333333</v>
      </c>
      <c r="N821" s="17" t="s">
        <v>2979</v>
      </c>
      <c r="O821" s="17">
        <v>1</v>
      </c>
      <c r="P821" s="272">
        <v>15</v>
      </c>
      <c r="Q821" s="17">
        <v>0</v>
      </c>
      <c r="V821" s="17">
        <v>6</v>
      </c>
      <c r="W821" s="272">
        <v>0</v>
      </c>
      <c r="X821" s="116">
        <v>9</v>
      </c>
      <c r="Y821" s="17">
        <v>-0.1</v>
      </c>
      <c r="Z821" s="17">
        <v>0</v>
      </c>
      <c r="AB821" s="41">
        <f t="shared" ref="AB821:AB823" si="53">I821-0.3</f>
        <v>9.33333333333333</v>
      </c>
      <c r="AC821" s="17">
        <v>2</v>
      </c>
      <c r="AD821" s="17">
        <v>1</v>
      </c>
      <c r="AE821" s="243" t="s">
        <v>2980</v>
      </c>
      <c r="AF821" s="17">
        <v>0.5</v>
      </c>
      <c r="AN821" s="121" t="s">
        <v>2981</v>
      </c>
      <c r="AO821" s="17" t="s">
        <v>2982</v>
      </c>
      <c r="AP821" s="267">
        <v>2995</v>
      </c>
      <c r="AQ821" s="17" t="s">
        <v>136</v>
      </c>
      <c r="AR821" s="388"/>
      <c r="AS821" s="392"/>
    </row>
    <row r="822" s="17" customFormat="1" ht="16.5" spans="1:45">
      <c r="A822" s="411">
        <v>818</v>
      </c>
      <c r="B822" s="272" t="s">
        <v>2963</v>
      </c>
      <c r="C822" s="17" t="s">
        <v>2983</v>
      </c>
      <c r="D822" s="17">
        <v>1</v>
      </c>
      <c r="E822" s="17">
        <v>0</v>
      </c>
      <c r="G822" s="17">
        <v>1</v>
      </c>
      <c r="H822" s="388" t="s">
        <v>2984</v>
      </c>
      <c r="I822" s="17">
        <f>238/30</f>
        <v>7.93333333333333</v>
      </c>
      <c r="J822" s="17">
        <f>238/30</f>
        <v>7.93333333333333</v>
      </c>
      <c r="L822" s="17">
        <v>1</v>
      </c>
      <c r="M822" s="17">
        <f t="shared" si="49"/>
        <v>7.53333333333333</v>
      </c>
      <c r="N822" s="17" t="s">
        <v>2985</v>
      </c>
      <c r="O822" s="17">
        <v>1</v>
      </c>
      <c r="P822" s="272">
        <v>5</v>
      </c>
      <c r="Q822" s="17">
        <v>0</v>
      </c>
      <c r="V822" s="17">
        <v>6</v>
      </c>
      <c r="W822" s="272">
        <v>6</v>
      </c>
      <c r="X822" s="116">
        <v>3</v>
      </c>
      <c r="Y822" s="17">
        <v>-0.1</v>
      </c>
      <c r="Z822" s="17">
        <v>0</v>
      </c>
      <c r="AB822" s="41">
        <f t="shared" si="53"/>
        <v>7.63333333333333</v>
      </c>
      <c r="AC822" s="17">
        <v>2</v>
      </c>
      <c r="AD822" s="17">
        <v>1</v>
      </c>
      <c r="AE822" s="383" t="s">
        <v>2986</v>
      </c>
      <c r="AF822" s="17">
        <v>0.5</v>
      </c>
      <c r="AN822" s="121" t="s">
        <v>2987</v>
      </c>
      <c r="AO822" s="17" t="s">
        <v>2988</v>
      </c>
      <c r="AP822" s="267">
        <v>2996</v>
      </c>
      <c r="AQ822" s="17" t="s">
        <v>136</v>
      </c>
      <c r="AR822" s="388"/>
      <c r="AS822" s="392"/>
    </row>
    <row r="823" s="17" customFormat="1" ht="16.5" spans="1:45">
      <c r="A823" s="411">
        <v>819</v>
      </c>
      <c r="B823" s="272" t="s">
        <v>2963</v>
      </c>
      <c r="C823" s="17" t="s">
        <v>2989</v>
      </c>
      <c r="D823" s="17">
        <v>1</v>
      </c>
      <c r="E823" s="17">
        <v>0</v>
      </c>
      <c r="G823" s="17">
        <v>1</v>
      </c>
      <c r="H823" s="388" t="s">
        <v>2990</v>
      </c>
      <c r="I823" s="17">
        <v>8</v>
      </c>
      <c r="J823" s="17">
        <v>8</v>
      </c>
      <c r="L823" s="17">
        <v>1</v>
      </c>
      <c r="M823" s="17">
        <f t="shared" si="49"/>
        <v>7.6</v>
      </c>
      <c r="N823" s="17" t="s">
        <v>2991</v>
      </c>
      <c r="O823" s="17">
        <v>1</v>
      </c>
      <c r="P823" s="272">
        <v>5</v>
      </c>
      <c r="Q823" s="17">
        <v>0</v>
      </c>
      <c r="V823" s="17">
        <v>6</v>
      </c>
      <c r="W823" s="272">
        <v>0</v>
      </c>
      <c r="X823" s="116">
        <v>5</v>
      </c>
      <c r="Y823" s="17">
        <v>-0.1</v>
      </c>
      <c r="Z823" s="17">
        <v>0</v>
      </c>
      <c r="AB823" s="41">
        <f t="shared" si="53"/>
        <v>7.7</v>
      </c>
      <c r="AC823" s="17">
        <v>2</v>
      </c>
      <c r="AD823" s="17">
        <v>1</v>
      </c>
      <c r="AE823" s="383" t="s">
        <v>2992</v>
      </c>
      <c r="AF823" s="17">
        <v>0.5</v>
      </c>
      <c r="AN823" s="121" t="s">
        <v>2981</v>
      </c>
      <c r="AO823" s="17" t="s">
        <v>2982</v>
      </c>
      <c r="AP823" s="267">
        <v>3005</v>
      </c>
      <c r="AQ823" s="17" t="s">
        <v>136</v>
      </c>
      <c r="AR823" s="388"/>
      <c r="AS823" s="392"/>
    </row>
    <row r="824" s="17" customFormat="1" ht="16.5" spans="1:45">
      <c r="A824" s="411">
        <v>820</v>
      </c>
      <c r="B824" s="272" t="s">
        <v>2963</v>
      </c>
      <c r="C824" s="17" t="s">
        <v>1231</v>
      </c>
      <c r="D824" s="17">
        <v>1</v>
      </c>
      <c r="E824" s="17">
        <v>0</v>
      </c>
      <c r="G824" s="17">
        <v>1</v>
      </c>
      <c r="H824" s="388" t="s">
        <v>2993</v>
      </c>
      <c r="I824" s="17">
        <f>93/30</f>
        <v>3.1</v>
      </c>
      <c r="J824" s="17">
        <f>93/30</f>
        <v>3.1</v>
      </c>
      <c r="L824" s="17">
        <v>0</v>
      </c>
      <c r="M824" s="17">
        <f t="shared" si="49"/>
        <v>2.7</v>
      </c>
      <c r="N824" s="17" t="s">
        <v>2994</v>
      </c>
      <c r="O824" s="17">
        <v>1</v>
      </c>
      <c r="P824" s="272">
        <v>1.5</v>
      </c>
      <c r="Q824" s="17">
        <v>0</v>
      </c>
      <c r="S824" s="49">
        <v>1.55</v>
      </c>
      <c r="T824" s="49">
        <v>0.1</v>
      </c>
      <c r="U824" s="49">
        <v>0.5</v>
      </c>
      <c r="V824" s="17">
        <v>6</v>
      </c>
      <c r="W824" s="272">
        <v>0</v>
      </c>
      <c r="X824" s="116">
        <v>3</v>
      </c>
      <c r="Y824" s="17">
        <v>-0.1</v>
      </c>
      <c r="Z824" s="17">
        <v>0</v>
      </c>
      <c r="AB824" s="41"/>
      <c r="AE824" s="383"/>
      <c r="AN824" s="121"/>
      <c r="AP824" s="267">
        <v>3007</v>
      </c>
      <c r="AQ824" s="17" t="s">
        <v>136</v>
      </c>
      <c r="AR824" s="388"/>
      <c r="AS824" s="392"/>
    </row>
    <row r="825" s="17" customFormat="1" ht="16.5" spans="1:45">
      <c r="A825" s="411">
        <v>821</v>
      </c>
      <c r="B825" s="272" t="s">
        <v>2963</v>
      </c>
      <c r="C825" s="17" t="s">
        <v>2969</v>
      </c>
      <c r="D825" s="17">
        <v>1</v>
      </c>
      <c r="E825" s="17">
        <v>0</v>
      </c>
      <c r="G825" s="17">
        <v>1</v>
      </c>
      <c r="H825" s="388" t="s">
        <v>2995</v>
      </c>
      <c r="I825" s="17">
        <f>94/30</f>
        <v>3.13333333333333</v>
      </c>
      <c r="J825" s="17">
        <f>94/30</f>
        <v>3.13333333333333</v>
      </c>
      <c r="L825" s="17">
        <v>1</v>
      </c>
      <c r="M825" s="17">
        <f t="shared" si="49"/>
        <v>2.73333333333333</v>
      </c>
      <c r="N825" s="17" t="s">
        <v>2996</v>
      </c>
      <c r="O825" s="17">
        <v>1</v>
      </c>
      <c r="P825" s="272">
        <v>1.5</v>
      </c>
      <c r="Q825" s="17">
        <v>0</v>
      </c>
      <c r="S825" s="49">
        <v>2.7</v>
      </c>
      <c r="T825" s="49">
        <v>0.25</v>
      </c>
      <c r="U825" s="49">
        <v>0.6</v>
      </c>
      <c r="V825" s="17">
        <v>6</v>
      </c>
      <c r="W825" s="272">
        <v>0</v>
      </c>
      <c r="X825" s="116">
        <v>7</v>
      </c>
      <c r="Y825" s="17">
        <v>-0.1</v>
      </c>
      <c r="Z825" s="17">
        <v>0</v>
      </c>
      <c r="AB825" s="41"/>
      <c r="AE825" s="383"/>
      <c r="AN825" s="121"/>
      <c r="AP825" s="267">
        <v>3009</v>
      </c>
      <c r="AQ825" s="17" t="s">
        <v>136</v>
      </c>
      <c r="AR825" s="388"/>
      <c r="AS825" s="392"/>
    </row>
    <row r="826" s="17" customFormat="1" ht="16.5" spans="1:45">
      <c r="A826" s="411">
        <v>822</v>
      </c>
      <c r="B826" s="270" t="s">
        <v>2997</v>
      </c>
      <c r="C826" s="65" t="s">
        <v>526</v>
      </c>
      <c r="D826" s="65">
        <v>1</v>
      </c>
      <c r="E826" s="65">
        <v>0</v>
      </c>
      <c r="F826" s="65"/>
      <c r="G826" s="65">
        <v>1</v>
      </c>
      <c r="H826" s="412">
        <v>10001</v>
      </c>
      <c r="I826" s="65">
        <f>70/30</f>
        <v>2.33333333333333</v>
      </c>
      <c r="J826" s="65">
        <f>70/30</f>
        <v>2.33333333333333</v>
      </c>
      <c r="K826" s="65"/>
      <c r="L826" s="65">
        <v>1</v>
      </c>
      <c r="M826" s="65">
        <f t="shared" si="49"/>
        <v>1.93333333333333</v>
      </c>
      <c r="N826" s="65" t="s">
        <v>2998</v>
      </c>
      <c r="O826" s="17">
        <v>1</v>
      </c>
      <c r="P826" s="272">
        <v>2.3</v>
      </c>
      <c r="Q826" s="17">
        <v>0</v>
      </c>
      <c r="S826" s="49">
        <v>1.1</v>
      </c>
      <c r="T826" s="49">
        <v>0.35</v>
      </c>
      <c r="U826" s="49">
        <v>0.35</v>
      </c>
      <c r="V826" s="17">
        <v>6</v>
      </c>
      <c r="W826" s="272">
        <v>0</v>
      </c>
      <c r="X826" s="116">
        <v>2</v>
      </c>
      <c r="Y826" s="17">
        <v>-0.1</v>
      </c>
      <c r="Z826" s="17">
        <v>0</v>
      </c>
      <c r="AB826" s="41"/>
      <c r="AE826" s="383"/>
      <c r="AN826" s="121"/>
      <c r="AP826" s="436">
        <v>3041</v>
      </c>
      <c r="AQ826" s="17" t="s">
        <v>136</v>
      </c>
      <c r="AR826" s="388"/>
      <c r="AS826" s="392"/>
    </row>
    <row r="827" s="17" customFormat="1" ht="16.5" spans="1:45">
      <c r="A827" s="411">
        <v>823</v>
      </c>
      <c r="B827" s="270" t="s">
        <v>2997</v>
      </c>
      <c r="C827" s="65" t="s">
        <v>2999</v>
      </c>
      <c r="D827" s="65">
        <v>1</v>
      </c>
      <c r="E827" s="65">
        <v>0</v>
      </c>
      <c r="F827" s="65"/>
      <c r="G827" s="65">
        <v>1</v>
      </c>
      <c r="H827" s="412">
        <v>10002</v>
      </c>
      <c r="I827" s="65">
        <f>125/30</f>
        <v>4.16666666666667</v>
      </c>
      <c r="J827" s="65">
        <f>125/30</f>
        <v>4.16666666666667</v>
      </c>
      <c r="K827" s="65"/>
      <c r="L827" s="65">
        <v>1</v>
      </c>
      <c r="M827" s="65">
        <f t="shared" ref="M827:M834" si="54">I827-0.4</f>
        <v>3.76666666666667</v>
      </c>
      <c r="N827" s="65" t="s">
        <v>3000</v>
      </c>
      <c r="O827" s="17">
        <v>1</v>
      </c>
      <c r="P827" s="272">
        <v>2.3</v>
      </c>
      <c r="Q827" s="17">
        <v>0</v>
      </c>
      <c r="S827" s="49">
        <v>0.6</v>
      </c>
      <c r="T827" s="49">
        <v>0</v>
      </c>
      <c r="U827" s="49">
        <v>1.5</v>
      </c>
      <c r="V827" s="17">
        <v>6</v>
      </c>
      <c r="W827" s="272">
        <v>4</v>
      </c>
      <c r="X827" s="116">
        <v>3</v>
      </c>
      <c r="Y827" s="17">
        <v>-0.1</v>
      </c>
      <c r="Z827" s="17">
        <v>0</v>
      </c>
      <c r="AB827" s="41"/>
      <c r="AE827" s="383"/>
      <c r="AN827" s="121">
        <v>3046</v>
      </c>
      <c r="AO827" s="17" t="s">
        <v>1695</v>
      </c>
      <c r="AP827" s="267">
        <v>3044</v>
      </c>
      <c r="AQ827" s="17" t="s">
        <v>136</v>
      </c>
      <c r="AR827" s="388"/>
      <c r="AS827" s="392"/>
    </row>
    <row r="828" s="17" customFormat="1" ht="16.5" spans="1:45">
      <c r="A828" s="411">
        <v>824</v>
      </c>
      <c r="B828" s="270" t="s">
        <v>2997</v>
      </c>
      <c r="C828" s="65" t="s">
        <v>3001</v>
      </c>
      <c r="D828" s="65">
        <v>1</v>
      </c>
      <c r="E828" s="65">
        <v>0</v>
      </c>
      <c r="F828" s="65"/>
      <c r="G828" s="65">
        <v>1</v>
      </c>
      <c r="H828" s="412">
        <v>10003</v>
      </c>
      <c r="I828" s="65">
        <f>73/30</f>
        <v>2.43333333333333</v>
      </c>
      <c r="J828" s="65">
        <f>73/30</f>
        <v>2.43333333333333</v>
      </c>
      <c r="K828" s="65"/>
      <c r="L828" s="65">
        <v>1</v>
      </c>
      <c r="M828" s="65">
        <f t="shared" si="54"/>
        <v>2.03333333333333</v>
      </c>
      <c r="N828" s="65" t="s">
        <v>3002</v>
      </c>
      <c r="O828" s="17">
        <v>1</v>
      </c>
      <c r="P828" s="272">
        <v>2.3</v>
      </c>
      <c r="Q828" s="17">
        <v>0</v>
      </c>
      <c r="R828" s="17">
        <v>1</v>
      </c>
      <c r="S828" s="49">
        <v>1.15</v>
      </c>
      <c r="T828" s="49">
        <v>0</v>
      </c>
      <c r="U828" s="49">
        <v>0.9</v>
      </c>
      <c r="V828" s="17">
        <v>6</v>
      </c>
      <c r="W828" s="272">
        <v>0</v>
      </c>
      <c r="X828" s="116">
        <v>2</v>
      </c>
      <c r="Y828" s="17">
        <v>-0.1</v>
      </c>
      <c r="Z828" s="17">
        <v>0</v>
      </c>
      <c r="AB828" s="41"/>
      <c r="AE828" s="383"/>
      <c r="AN828" s="121"/>
      <c r="AP828" s="267">
        <v>3062</v>
      </c>
      <c r="AQ828" s="17" t="s">
        <v>136</v>
      </c>
      <c r="AR828" s="388"/>
      <c r="AS828" s="392"/>
    </row>
    <row r="829" s="17" customFormat="1" ht="16.5" spans="1:45">
      <c r="A829" s="411">
        <v>825</v>
      </c>
      <c r="B829" s="270" t="s">
        <v>2997</v>
      </c>
      <c r="C829" s="65" t="s">
        <v>3003</v>
      </c>
      <c r="D829" s="65">
        <v>1</v>
      </c>
      <c r="E829" s="65">
        <v>0</v>
      </c>
      <c r="F829" s="65"/>
      <c r="G829" s="65">
        <v>1</v>
      </c>
      <c r="H829" s="412">
        <v>10004</v>
      </c>
      <c r="I829" s="65">
        <f>100/30</f>
        <v>3.33333333333333</v>
      </c>
      <c r="J829" s="65">
        <f>100/30</f>
        <v>3.33333333333333</v>
      </c>
      <c r="K829" s="65"/>
      <c r="L829" s="65">
        <v>1</v>
      </c>
      <c r="M829" s="65">
        <f t="shared" si="54"/>
        <v>2.93333333333333</v>
      </c>
      <c r="N829" s="65" t="s">
        <v>3004</v>
      </c>
      <c r="O829" s="17">
        <v>1</v>
      </c>
      <c r="P829" s="272">
        <v>2.3</v>
      </c>
      <c r="Q829" s="17">
        <v>0</v>
      </c>
      <c r="S829" s="49">
        <v>-0.6</v>
      </c>
      <c r="T829" s="49">
        <v>-0.1</v>
      </c>
      <c r="U829" s="49">
        <v>1.4</v>
      </c>
      <c r="V829" s="17">
        <v>6</v>
      </c>
      <c r="W829" s="272">
        <v>6</v>
      </c>
      <c r="X829" s="116">
        <v>4</v>
      </c>
      <c r="Y829" s="17">
        <v>-0.1</v>
      </c>
      <c r="Z829" s="17">
        <v>0</v>
      </c>
      <c r="AB829" s="41"/>
      <c r="AE829" s="383"/>
      <c r="AN829" s="121"/>
      <c r="AP829" s="267">
        <v>3047</v>
      </c>
      <c r="AQ829" s="17" t="s">
        <v>136</v>
      </c>
      <c r="AR829" s="388"/>
      <c r="AS829" s="392"/>
    </row>
    <row r="830" s="17" customFormat="1" ht="16.5" spans="1:45">
      <c r="A830" s="411">
        <v>826</v>
      </c>
      <c r="B830" s="270" t="s">
        <v>2997</v>
      </c>
      <c r="C830" s="65" t="s">
        <v>3005</v>
      </c>
      <c r="D830" s="65">
        <v>1</v>
      </c>
      <c r="E830" s="65">
        <v>0</v>
      </c>
      <c r="F830" s="65"/>
      <c r="G830" s="65">
        <v>1</v>
      </c>
      <c r="H830" s="412">
        <v>10005</v>
      </c>
      <c r="I830" s="65">
        <f>110/30</f>
        <v>3.66666666666667</v>
      </c>
      <c r="J830" s="65">
        <f>110/30</f>
        <v>3.66666666666667</v>
      </c>
      <c r="K830" s="65"/>
      <c r="L830" s="65">
        <v>1</v>
      </c>
      <c r="M830" s="65">
        <f t="shared" si="54"/>
        <v>3.26666666666667</v>
      </c>
      <c r="N830" s="65" t="s">
        <v>3006</v>
      </c>
      <c r="O830" s="17">
        <v>1</v>
      </c>
      <c r="P830" s="272">
        <v>2.3</v>
      </c>
      <c r="Q830" s="17">
        <v>0</v>
      </c>
      <c r="S830" s="49">
        <v>1.5</v>
      </c>
      <c r="T830" s="49"/>
      <c r="U830" s="49"/>
      <c r="V830" s="17">
        <v>6</v>
      </c>
      <c r="W830" s="272">
        <v>0</v>
      </c>
      <c r="X830" s="116">
        <v>5</v>
      </c>
      <c r="Y830" s="17">
        <v>-0.1</v>
      </c>
      <c r="Z830" s="17">
        <v>0</v>
      </c>
      <c r="AB830" s="41"/>
      <c r="AE830" s="383"/>
      <c r="AN830" s="121">
        <v>3052</v>
      </c>
      <c r="AO830" s="17" t="s">
        <v>1695</v>
      </c>
      <c r="AP830" s="267">
        <v>3049</v>
      </c>
      <c r="AQ830" s="17" t="s">
        <v>136</v>
      </c>
      <c r="AR830" s="388"/>
      <c r="AS830" s="392"/>
    </row>
    <row r="831" s="17" customFormat="1" ht="16.5" spans="1:45">
      <c r="A831" s="411">
        <v>827</v>
      </c>
      <c r="B831" s="270" t="s">
        <v>2997</v>
      </c>
      <c r="C831" s="65" t="s">
        <v>3007</v>
      </c>
      <c r="D831" s="65">
        <v>1</v>
      </c>
      <c r="E831" s="65">
        <v>0</v>
      </c>
      <c r="F831" s="65"/>
      <c r="G831" s="65">
        <v>1</v>
      </c>
      <c r="H831" s="412">
        <v>10006</v>
      </c>
      <c r="I831" s="65">
        <f>215/30</f>
        <v>7.16666666666667</v>
      </c>
      <c r="J831" s="65">
        <f>215/30</f>
        <v>7.16666666666667</v>
      </c>
      <c r="K831" s="65"/>
      <c r="L831" s="65">
        <v>1</v>
      </c>
      <c r="M831" s="65">
        <f t="shared" si="54"/>
        <v>6.76666666666667</v>
      </c>
      <c r="N831" s="65" t="s">
        <v>3008</v>
      </c>
      <c r="O831" s="17">
        <v>1</v>
      </c>
      <c r="P831" s="272">
        <v>17.5</v>
      </c>
      <c r="Q831" s="17">
        <v>0</v>
      </c>
      <c r="S831" s="49"/>
      <c r="T831" s="49"/>
      <c r="U831" s="49"/>
      <c r="V831" s="17">
        <v>6</v>
      </c>
      <c r="W831" s="272">
        <v>0</v>
      </c>
      <c r="X831" s="116">
        <v>3</v>
      </c>
      <c r="Y831" s="17">
        <v>-0.1</v>
      </c>
      <c r="Z831" s="17">
        <v>0</v>
      </c>
      <c r="AB831" s="41">
        <f t="shared" ref="AB831:AB836" si="55">I831-0.3</f>
        <v>6.86666666666667</v>
      </c>
      <c r="AC831" s="17">
        <v>2</v>
      </c>
      <c r="AD831" s="17">
        <v>1</v>
      </c>
      <c r="AE831" s="383" t="s">
        <v>3009</v>
      </c>
      <c r="AF831" s="17">
        <v>0.5</v>
      </c>
      <c r="AN831" s="121">
        <v>3063</v>
      </c>
      <c r="AO831" s="17" t="s">
        <v>1695</v>
      </c>
      <c r="AP831" s="267">
        <v>3053</v>
      </c>
      <c r="AQ831" s="17" t="s">
        <v>136</v>
      </c>
      <c r="AR831" s="388"/>
      <c r="AS831" s="392"/>
    </row>
    <row r="832" s="17" customFormat="1" ht="16.5" spans="1:45">
      <c r="A832" s="411">
        <v>828</v>
      </c>
      <c r="B832" s="270" t="s">
        <v>2997</v>
      </c>
      <c r="C832" s="65" t="s">
        <v>3010</v>
      </c>
      <c r="D832" s="65">
        <v>1</v>
      </c>
      <c r="E832" s="65">
        <v>0</v>
      </c>
      <c r="F832" s="65"/>
      <c r="G832" s="65">
        <v>1</v>
      </c>
      <c r="H832" s="412">
        <v>10009</v>
      </c>
      <c r="I832" s="65">
        <f>270/30</f>
        <v>9</v>
      </c>
      <c r="J832" s="65">
        <f>270/30</f>
        <v>9</v>
      </c>
      <c r="K832" s="65"/>
      <c r="L832" s="65">
        <v>1</v>
      </c>
      <c r="M832" s="65">
        <f t="shared" si="54"/>
        <v>8.6</v>
      </c>
      <c r="N832" s="65" t="s">
        <v>3011</v>
      </c>
      <c r="O832" s="17">
        <v>3</v>
      </c>
      <c r="P832" s="272">
        <v>-2</v>
      </c>
      <c r="Q832" s="17">
        <v>0</v>
      </c>
      <c r="S832" s="49"/>
      <c r="T832" s="49"/>
      <c r="U832" s="49"/>
      <c r="V832" s="17">
        <v>6</v>
      </c>
      <c r="W832" s="272">
        <v>6</v>
      </c>
      <c r="X832" s="116">
        <v>8</v>
      </c>
      <c r="Y832" s="17">
        <v>-0.1</v>
      </c>
      <c r="Z832" s="17">
        <v>0</v>
      </c>
      <c r="AB832" s="41">
        <f t="shared" si="55"/>
        <v>8.7</v>
      </c>
      <c r="AC832" s="17">
        <v>2</v>
      </c>
      <c r="AD832" s="17">
        <v>1</v>
      </c>
      <c r="AE832" s="383" t="s">
        <v>3012</v>
      </c>
      <c r="AF832" s="17">
        <v>0.5</v>
      </c>
      <c r="AN832" s="121"/>
      <c r="AP832" s="267">
        <v>3054</v>
      </c>
      <c r="AQ832" s="17" t="s">
        <v>136</v>
      </c>
      <c r="AR832" s="388"/>
      <c r="AS832" s="392"/>
    </row>
    <row r="833" s="17" customFormat="1" ht="16.5" spans="1:45">
      <c r="A833" s="411">
        <v>829</v>
      </c>
      <c r="B833" s="270" t="s">
        <v>2997</v>
      </c>
      <c r="C833" s="65" t="s">
        <v>3013</v>
      </c>
      <c r="D833" s="65">
        <v>1</v>
      </c>
      <c r="E833" s="65">
        <v>0</v>
      </c>
      <c r="F833" s="65"/>
      <c r="G833" s="65">
        <v>1</v>
      </c>
      <c r="H833" s="412">
        <v>10008</v>
      </c>
      <c r="I833" s="65">
        <f>378/30</f>
        <v>12.6</v>
      </c>
      <c r="J833" s="65">
        <f>378/30</f>
        <v>12.6</v>
      </c>
      <c r="K833" s="65"/>
      <c r="L833" s="65">
        <v>1</v>
      </c>
      <c r="M833" s="65">
        <f t="shared" si="54"/>
        <v>12.2</v>
      </c>
      <c r="N833" s="65" t="s">
        <v>3014</v>
      </c>
      <c r="O833" s="17">
        <v>3</v>
      </c>
      <c r="P833" s="272">
        <v>-1</v>
      </c>
      <c r="Q833" s="17">
        <v>0</v>
      </c>
      <c r="S833" s="49"/>
      <c r="T833" s="49"/>
      <c r="U833" s="49"/>
      <c r="V833" s="17">
        <v>6</v>
      </c>
      <c r="W833" s="272">
        <v>6</v>
      </c>
      <c r="X833" s="116">
        <v>2</v>
      </c>
      <c r="Y833" s="17">
        <v>-0.1</v>
      </c>
      <c r="Z833" s="17">
        <v>0</v>
      </c>
      <c r="AB833" s="41">
        <f t="shared" si="55"/>
        <v>12.3</v>
      </c>
      <c r="AC833" s="17">
        <v>2</v>
      </c>
      <c r="AD833" s="17">
        <v>1</v>
      </c>
      <c r="AE833" s="383" t="s">
        <v>3015</v>
      </c>
      <c r="AF833" s="17">
        <v>0.5</v>
      </c>
      <c r="AN833" s="121" t="s">
        <v>3016</v>
      </c>
      <c r="AO833" s="470" t="s">
        <v>3017</v>
      </c>
      <c r="AP833" s="267">
        <v>3055</v>
      </c>
      <c r="AQ833" s="17" t="s">
        <v>136</v>
      </c>
      <c r="AR833" s="388"/>
      <c r="AS833" s="392"/>
    </row>
    <row r="834" s="45" customFormat="1" ht="16.5" spans="1:45">
      <c r="A834" s="369">
        <v>830</v>
      </c>
      <c r="B834" s="437" t="s">
        <v>3018</v>
      </c>
      <c r="C834" s="438" t="s">
        <v>3019</v>
      </c>
      <c r="D834" s="45">
        <v>1</v>
      </c>
      <c r="E834" s="45">
        <v>0</v>
      </c>
      <c r="G834" s="45">
        <v>1</v>
      </c>
      <c r="H834" s="371">
        <v>5009</v>
      </c>
      <c r="I834" s="45">
        <f>450/30</f>
        <v>15</v>
      </c>
      <c r="J834" s="45">
        <f>450/30</f>
        <v>15</v>
      </c>
      <c r="L834" s="45">
        <v>1</v>
      </c>
      <c r="M834" s="17">
        <f t="shared" si="54"/>
        <v>14.6</v>
      </c>
      <c r="N834" s="462" t="s">
        <v>3020</v>
      </c>
      <c r="O834" s="45">
        <v>1</v>
      </c>
      <c r="P834" s="437">
        <v>13.5</v>
      </c>
      <c r="Q834" s="45">
        <v>0</v>
      </c>
      <c r="V834" s="45">
        <v>0</v>
      </c>
      <c r="W834" s="437">
        <v>6</v>
      </c>
      <c r="X834" s="379">
        <v>1</v>
      </c>
      <c r="Y834" s="17">
        <v>-0.1</v>
      </c>
      <c r="Z834" s="17">
        <v>0</v>
      </c>
      <c r="AB834" s="41">
        <f t="shared" si="55"/>
        <v>14.7</v>
      </c>
      <c r="AC834" s="45">
        <v>2</v>
      </c>
      <c r="AD834" s="45">
        <v>1</v>
      </c>
      <c r="AE834" s="384" t="s">
        <v>3021</v>
      </c>
      <c r="AF834" s="45">
        <v>0.5</v>
      </c>
      <c r="AN834" s="354" t="s">
        <v>3022</v>
      </c>
      <c r="AO834" s="45" t="s">
        <v>3023</v>
      </c>
      <c r="AP834" s="267">
        <v>3547</v>
      </c>
      <c r="AQ834" s="45" t="s">
        <v>136</v>
      </c>
      <c r="AR834" s="391"/>
      <c r="AS834" s="471"/>
    </row>
    <row r="835" s="45" customFormat="1" ht="16.5" spans="1:45">
      <c r="A835" s="369">
        <v>831</v>
      </c>
      <c r="B835" s="437" t="s">
        <v>3024</v>
      </c>
      <c r="C835" s="45" t="s">
        <v>3025</v>
      </c>
      <c r="D835" s="45">
        <v>1</v>
      </c>
      <c r="E835" s="45">
        <v>0</v>
      </c>
      <c r="G835" s="45">
        <v>1</v>
      </c>
      <c r="H835" s="371"/>
      <c r="M835" s="17"/>
      <c r="P835" s="437"/>
      <c r="W835" s="437"/>
      <c r="X835" s="379"/>
      <c r="AE835" s="384"/>
      <c r="AN835" s="354"/>
      <c r="AP835" s="390"/>
      <c r="AR835" s="391"/>
      <c r="AS835" s="471"/>
    </row>
    <row r="836" s="45" customFormat="1" ht="16.5" spans="1:45">
      <c r="A836" s="369">
        <v>832</v>
      </c>
      <c r="B836" s="437" t="s">
        <v>3026</v>
      </c>
      <c r="C836" s="45" t="s">
        <v>3027</v>
      </c>
      <c r="D836" s="45">
        <v>1</v>
      </c>
      <c r="E836" s="45">
        <v>0</v>
      </c>
      <c r="G836" s="45">
        <v>1</v>
      </c>
      <c r="H836" s="371">
        <v>3509</v>
      </c>
      <c r="I836" s="45">
        <f>316/30</f>
        <v>10.5333333333333</v>
      </c>
      <c r="J836" s="45">
        <f>316/30</f>
        <v>10.5333333333333</v>
      </c>
      <c r="L836" s="45">
        <v>1</v>
      </c>
      <c r="M836" s="17">
        <f>I836-0.4</f>
        <v>10.1333333333333</v>
      </c>
      <c r="N836" s="45" t="s">
        <v>3028</v>
      </c>
      <c r="O836" s="45">
        <v>1</v>
      </c>
      <c r="P836" s="437">
        <v>5.5</v>
      </c>
      <c r="Q836" s="45">
        <v>0</v>
      </c>
      <c r="V836" s="45">
        <v>1</v>
      </c>
      <c r="W836" s="437">
        <v>0</v>
      </c>
      <c r="X836" s="45">
        <v>8</v>
      </c>
      <c r="Y836" s="17">
        <v>-0.1</v>
      </c>
      <c r="Z836" s="45">
        <v>0</v>
      </c>
      <c r="AB836" s="41">
        <f t="shared" si="55"/>
        <v>10.2333333333333</v>
      </c>
      <c r="AC836" s="45">
        <v>2</v>
      </c>
      <c r="AD836" s="45">
        <v>1</v>
      </c>
      <c r="AE836" s="384" t="s">
        <v>3029</v>
      </c>
      <c r="AF836" s="45">
        <v>0.5</v>
      </c>
      <c r="AN836" s="354" t="s">
        <v>3030</v>
      </c>
      <c r="AO836" s="45" t="s">
        <v>3031</v>
      </c>
      <c r="AP836" s="390">
        <v>3657</v>
      </c>
      <c r="AQ836" s="45" t="s">
        <v>136</v>
      </c>
      <c r="AR836" s="391"/>
      <c r="AS836" s="471"/>
    </row>
    <row r="837" s="45" customFormat="1" ht="16.5" spans="1:45">
      <c r="A837" s="439">
        <v>833</v>
      </c>
      <c r="B837" s="440" t="s">
        <v>2748</v>
      </c>
      <c r="C837" s="53" t="s">
        <v>526</v>
      </c>
      <c r="D837" s="53">
        <v>1</v>
      </c>
      <c r="E837" s="53">
        <v>0</v>
      </c>
      <c r="F837" s="53"/>
      <c r="G837" s="53">
        <v>1</v>
      </c>
      <c r="H837" s="441">
        <v>10201</v>
      </c>
      <c r="I837" s="53">
        <v>2.56666666666667</v>
      </c>
      <c r="J837" s="53">
        <v>2.56666666666667</v>
      </c>
      <c r="K837" s="53"/>
      <c r="L837" s="53">
        <v>0</v>
      </c>
      <c r="M837" s="53">
        <f t="shared" ref="M837:M851" si="56">I837-0.4</f>
        <v>2.16666666666667</v>
      </c>
      <c r="N837" s="53" t="s">
        <v>3032</v>
      </c>
      <c r="O837" s="45">
        <v>1</v>
      </c>
      <c r="P837" s="437">
        <v>2.3</v>
      </c>
      <c r="Q837" s="45">
        <v>0</v>
      </c>
      <c r="S837" s="45">
        <v>1.1</v>
      </c>
      <c r="U837" s="45">
        <v>0.35</v>
      </c>
      <c r="V837" s="45">
        <v>6</v>
      </c>
      <c r="W837" s="437">
        <v>0</v>
      </c>
      <c r="X837" s="379">
        <v>3</v>
      </c>
      <c r="Y837" s="17">
        <v>-0.1</v>
      </c>
      <c r="Z837" s="45">
        <v>0</v>
      </c>
      <c r="AE837" s="384"/>
      <c r="AN837" s="354"/>
      <c r="AP837" s="390">
        <v>3084</v>
      </c>
      <c r="AQ837" s="45" t="s">
        <v>136</v>
      </c>
      <c r="AR837" s="391"/>
      <c r="AS837" s="471"/>
    </row>
    <row r="838" s="45" customFormat="1" ht="16.5" spans="1:45">
      <c r="A838" s="439">
        <v>834</v>
      </c>
      <c r="B838" s="440" t="s">
        <v>2748</v>
      </c>
      <c r="C838" s="53" t="s">
        <v>2750</v>
      </c>
      <c r="D838" s="53">
        <v>1</v>
      </c>
      <c r="E838" s="53">
        <v>0</v>
      </c>
      <c r="F838" s="53"/>
      <c r="G838" s="53">
        <v>1</v>
      </c>
      <c r="H838" s="441">
        <v>10202</v>
      </c>
      <c r="I838" s="53">
        <v>2.23333333333333</v>
      </c>
      <c r="J838" s="53">
        <v>2.23333333333333</v>
      </c>
      <c r="K838" s="53"/>
      <c r="L838" s="53">
        <v>1</v>
      </c>
      <c r="M838" s="53">
        <f t="shared" si="56"/>
        <v>1.83333333333333</v>
      </c>
      <c r="N838" s="53" t="s">
        <v>3033</v>
      </c>
      <c r="O838" s="45">
        <v>1</v>
      </c>
      <c r="P838" s="437">
        <v>2.3</v>
      </c>
      <c r="Q838" s="45">
        <v>0</v>
      </c>
      <c r="S838" s="45">
        <v>1.25</v>
      </c>
      <c r="T838" s="45">
        <v>0.05</v>
      </c>
      <c r="U838" s="45">
        <v>0.35</v>
      </c>
      <c r="V838" s="45">
        <v>6</v>
      </c>
      <c r="W838" s="437">
        <v>0</v>
      </c>
      <c r="X838" s="379">
        <v>5</v>
      </c>
      <c r="Y838" s="17">
        <v>-0.1</v>
      </c>
      <c r="Z838" s="45">
        <v>0</v>
      </c>
      <c r="AE838" s="384"/>
      <c r="AN838" s="354"/>
      <c r="AP838" s="390">
        <v>3085</v>
      </c>
      <c r="AQ838" s="45" t="s">
        <v>136</v>
      </c>
      <c r="AR838" s="391"/>
      <c r="AS838" s="471"/>
    </row>
    <row r="839" s="45" customFormat="1" ht="16.5" spans="1:45">
      <c r="A839" s="439">
        <v>835</v>
      </c>
      <c r="B839" s="440" t="s">
        <v>2748</v>
      </c>
      <c r="C839" s="53" t="s">
        <v>2752</v>
      </c>
      <c r="D839" s="53">
        <v>1</v>
      </c>
      <c r="E839" s="53">
        <v>0</v>
      </c>
      <c r="F839" s="53"/>
      <c r="G839" s="53">
        <v>1</v>
      </c>
      <c r="H839" s="441">
        <v>10203</v>
      </c>
      <c r="I839" s="53">
        <v>2.43333333333333</v>
      </c>
      <c r="J839" s="53">
        <v>2.43333333333333</v>
      </c>
      <c r="K839" s="53"/>
      <c r="L839" s="53">
        <v>1</v>
      </c>
      <c r="M839" s="53">
        <f t="shared" si="56"/>
        <v>2.03333333333333</v>
      </c>
      <c r="N839" s="53" t="s">
        <v>3034</v>
      </c>
      <c r="O839" s="45">
        <v>1</v>
      </c>
      <c r="P839" s="437">
        <v>2.3</v>
      </c>
      <c r="Q839" s="45">
        <v>0</v>
      </c>
      <c r="R839" s="45">
        <v>1</v>
      </c>
      <c r="S839" s="49">
        <v>1.15</v>
      </c>
      <c r="T839" s="49">
        <v>0</v>
      </c>
      <c r="U839" s="49">
        <v>0.9</v>
      </c>
      <c r="V839" s="45">
        <v>6</v>
      </c>
      <c r="W839" s="437">
        <v>0</v>
      </c>
      <c r="X839" s="379">
        <v>3</v>
      </c>
      <c r="Y839" s="17">
        <v>-0.1</v>
      </c>
      <c r="Z839" s="45">
        <v>0</v>
      </c>
      <c r="AE839" s="384"/>
      <c r="AN839" s="354"/>
      <c r="AP839" s="390">
        <v>3088</v>
      </c>
      <c r="AQ839" s="45" t="s">
        <v>136</v>
      </c>
      <c r="AR839" s="391"/>
      <c r="AS839" s="471"/>
    </row>
    <row r="840" s="45" customFormat="1" ht="16.5" spans="1:45">
      <c r="A840" s="439">
        <v>836</v>
      </c>
      <c r="B840" s="440" t="s">
        <v>2748</v>
      </c>
      <c r="C840" s="53" t="s">
        <v>2753</v>
      </c>
      <c r="D840" s="53">
        <v>1</v>
      </c>
      <c r="E840" s="53">
        <v>0</v>
      </c>
      <c r="F840" s="53"/>
      <c r="G840" s="53">
        <v>1</v>
      </c>
      <c r="H840" s="441">
        <v>10204</v>
      </c>
      <c r="I840" s="53">
        <v>9</v>
      </c>
      <c r="J840" s="53">
        <v>9</v>
      </c>
      <c r="K840" s="53"/>
      <c r="L840" s="53">
        <v>1</v>
      </c>
      <c r="M840" s="53">
        <f t="shared" si="56"/>
        <v>8.6</v>
      </c>
      <c r="N840" s="53" t="s">
        <v>3035</v>
      </c>
      <c r="O840" s="45">
        <v>1</v>
      </c>
      <c r="P840" s="437">
        <v>5</v>
      </c>
      <c r="Q840" s="45">
        <v>0</v>
      </c>
      <c r="V840" s="45">
        <v>6</v>
      </c>
      <c r="W840" s="437">
        <v>0</v>
      </c>
      <c r="X840" s="379">
        <v>1</v>
      </c>
      <c r="Y840" s="17">
        <v>-0.1</v>
      </c>
      <c r="Z840" s="45">
        <v>0</v>
      </c>
      <c r="AB840" s="45">
        <v>8.7</v>
      </c>
      <c r="AC840" s="45">
        <v>2</v>
      </c>
      <c r="AD840" s="45">
        <v>1</v>
      </c>
      <c r="AE840" s="467" t="s">
        <v>3036</v>
      </c>
      <c r="AF840" s="45">
        <v>0.5</v>
      </c>
      <c r="AN840" s="354"/>
      <c r="AP840" s="390">
        <v>3090</v>
      </c>
      <c r="AQ840" s="45" t="s">
        <v>136</v>
      </c>
      <c r="AR840" s="391"/>
      <c r="AS840" s="471"/>
    </row>
    <row r="841" s="45" customFormat="1" ht="16.5" spans="1:45">
      <c r="A841" s="439">
        <v>837</v>
      </c>
      <c r="B841" s="440" t="s">
        <v>2748</v>
      </c>
      <c r="C841" s="53" t="s">
        <v>2754</v>
      </c>
      <c r="D841" s="53">
        <v>1</v>
      </c>
      <c r="E841" s="53">
        <v>0</v>
      </c>
      <c r="F841" s="53"/>
      <c r="G841" s="53">
        <v>1</v>
      </c>
      <c r="H841" s="441">
        <v>10205</v>
      </c>
      <c r="I841" s="53">
        <v>6.93333333333333</v>
      </c>
      <c r="J841" s="53">
        <v>6.93333333333333</v>
      </c>
      <c r="K841" s="53"/>
      <c r="L841" s="53">
        <v>1</v>
      </c>
      <c r="M841" s="53">
        <f t="shared" si="56"/>
        <v>6.53333333333333</v>
      </c>
      <c r="N841" s="53" t="s">
        <v>3037</v>
      </c>
      <c r="O841" s="45">
        <v>1</v>
      </c>
      <c r="P841" s="437">
        <v>2.3</v>
      </c>
      <c r="Q841" s="45">
        <v>0</v>
      </c>
      <c r="V841" s="45">
        <v>6</v>
      </c>
      <c r="W841" s="437">
        <v>0</v>
      </c>
      <c r="X841" s="379">
        <v>10</v>
      </c>
      <c r="Y841" s="17">
        <v>-0.1</v>
      </c>
      <c r="Z841" s="45">
        <v>0</v>
      </c>
      <c r="AB841" s="45">
        <v>6.63333333333333</v>
      </c>
      <c r="AC841" s="45">
        <v>2</v>
      </c>
      <c r="AD841" s="45">
        <v>1</v>
      </c>
      <c r="AE841" s="467" t="s">
        <v>3038</v>
      </c>
      <c r="AF841" s="45">
        <v>0.5</v>
      </c>
      <c r="AN841" s="354"/>
      <c r="AP841" s="390">
        <v>3091</v>
      </c>
      <c r="AQ841" s="45" t="s">
        <v>136</v>
      </c>
      <c r="AR841" s="391"/>
      <c r="AS841" s="471"/>
    </row>
    <row r="842" s="45" customFormat="1" ht="16.5" spans="1:45">
      <c r="A842" s="439">
        <v>838</v>
      </c>
      <c r="B842" s="440" t="s">
        <v>2748</v>
      </c>
      <c r="C842" s="53" t="s">
        <v>1231</v>
      </c>
      <c r="D842" s="53">
        <v>1</v>
      </c>
      <c r="E842" s="53">
        <v>0</v>
      </c>
      <c r="F842" s="53"/>
      <c r="G842" s="53">
        <v>1</v>
      </c>
      <c r="H842" s="442" t="s">
        <v>3039</v>
      </c>
      <c r="I842" s="53">
        <v>2.26666666666667</v>
      </c>
      <c r="J842" s="53">
        <v>2.26666666666667</v>
      </c>
      <c r="K842" s="53"/>
      <c r="L842" s="53">
        <v>0</v>
      </c>
      <c r="M842" s="53">
        <f t="shared" si="56"/>
        <v>1.86666666666667</v>
      </c>
      <c r="N842" s="53" t="s">
        <v>3040</v>
      </c>
      <c r="O842" s="45">
        <v>1</v>
      </c>
      <c r="P842" s="437">
        <v>2.05</v>
      </c>
      <c r="Q842" s="45">
        <v>0</v>
      </c>
      <c r="S842" s="45">
        <v>0.9</v>
      </c>
      <c r="V842" s="45">
        <v>6</v>
      </c>
      <c r="W842" s="437">
        <v>0</v>
      </c>
      <c r="X842" s="379">
        <v>4</v>
      </c>
      <c r="Y842" s="17">
        <v>-0.1</v>
      </c>
      <c r="Z842" s="45">
        <v>0</v>
      </c>
      <c r="AE842" s="384"/>
      <c r="AN842" s="354"/>
      <c r="AP842" s="390">
        <v>3092</v>
      </c>
      <c r="AQ842" s="45" t="s">
        <v>136</v>
      </c>
      <c r="AR842" s="391"/>
      <c r="AS842" s="471"/>
    </row>
    <row r="843" s="45" customFormat="1" ht="16.5" spans="1:45">
      <c r="A843" s="439">
        <v>839</v>
      </c>
      <c r="B843" s="440" t="s">
        <v>2748</v>
      </c>
      <c r="C843" s="53" t="s">
        <v>2758</v>
      </c>
      <c r="D843" s="53">
        <v>1</v>
      </c>
      <c r="E843" s="53">
        <v>0</v>
      </c>
      <c r="F843" s="53"/>
      <c r="G843" s="53">
        <v>1</v>
      </c>
      <c r="H843" s="442" t="s">
        <v>3041</v>
      </c>
      <c r="I843" s="53">
        <v>4.63333333333333</v>
      </c>
      <c r="J843" s="53">
        <v>4.63333333333333</v>
      </c>
      <c r="K843" s="53"/>
      <c r="L843" s="53">
        <v>1</v>
      </c>
      <c r="M843" s="53">
        <f t="shared" si="56"/>
        <v>4.23333333333333</v>
      </c>
      <c r="N843" s="53" t="s">
        <v>3042</v>
      </c>
      <c r="O843" s="45">
        <v>1</v>
      </c>
      <c r="P843" s="437">
        <v>2.05</v>
      </c>
      <c r="Q843" s="45">
        <v>0</v>
      </c>
      <c r="S843" s="45">
        <v>0.6</v>
      </c>
      <c r="T843" s="45">
        <v>0.3</v>
      </c>
      <c r="U843" s="45">
        <v>1</v>
      </c>
      <c r="V843" s="45">
        <v>6</v>
      </c>
      <c r="W843" s="437">
        <v>6</v>
      </c>
      <c r="X843" s="379">
        <v>7</v>
      </c>
      <c r="Y843" s="17">
        <v>-0.1</v>
      </c>
      <c r="Z843" s="45">
        <v>0</v>
      </c>
      <c r="AE843" s="467"/>
      <c r="AN843" s="354"/>
      <c r="AP843" s="390">
        <v>3093</v>
      </c>
      <c r="AQ843" s="45" t="s">
        <v>136</v>
      </c>
      <c r="AR843" s="391"/>
      <c r="AS843" s="471"/>
    </row>
    <row r="844" s="45" customFormat="1" ht="16.5" spans="1:45">
      <c r="A844" s="439">
        <v>840</v>
      </c>
      <c r="B844" s="440" t="s">
        <v>2748</v>
      </c>
      <c r="C844" s="53" t="s">
        <v>2760</v>
      </c>
      <c r="D844" s="53">
        <v>1</v>
      </c>
      <c r="E844" s="53">
        <v>0</v>
      </c>
      <c r="F844" s="53"/>
      <c r="G844" s="53">
        <v>1</v>
      </c>
      <c r="H844" s="442" t="s">
        <v>3043</v>
      </c>
      <c r="I844" s="53">
        <v>2.16666666666667</v>
      </c>
      <c r="J844" s="53">
        <v>2.16666666666667</v>
      </c>
      <c r="K844" s="53"/>
      <c r="L844" s="53">
        <v>1</v>
      </c>
      <c r="M844" s="53">
        <f t="shared" si="56"/>
        <v>1.76666666666667</v>
      </c>
      <c r="N844" s="17" t="s">
        <v>3044</v>
      </c>
      <c r="O844" s="45">
        <v>1</v>
      </c>
      <c r="P844" s="437">
        <v>2.05</v>
      </c>
      <c r="Q844" s="45">
        <v>0</v>
      </c>
      <c r="S844" s="45">
        <v>0.6</v>
      </c>
      <c r="T844" s="45">
        <v>0.1</v>
      </c>
      <c r="U844" s="45">
        <v>1</v>
      </c>
      <c r="V844" s="45">
        <v>6</v>
      </c>
      <c r="W844" s="437">
        <v>6</v>
      </c>
      <c r="X844" s="379">
        <v>2</v>
      </c>
      <c r="Y844" s="17">
        <v>-0.1</v>
      </c>
      <c r="Z844" s="45">
        <v>0</v>
      </c>
      <c r="AE844" s="467"/>
      <c r="AN844" s="354"/>
      <c r="AP844" s="390">
        <v>3094</v>
      </c>
      <c r="AQ844" s="45" t="s">
        <v>136</v>
      </c>
      <c r="AR844" s="391"/>
      <c r="AS844" s="471"/>
    </row>
    <row r="845" s="45" customFormat="1" ht="16.5" spans="1:45">
      <c r="A845" s="439">
        <v>841</v>
      </c>
      <c r="B845" s="440" t="s">
        <v>2748</v>
      </c>
      <c r="C845" s="53" t="s">
        <v>2761</v>
      </c>
      <c r="D845" s="53">
        <v>1</v>
      </c>
      <c r="E845" s="53">
        <v>0</v>
      </c>
      <c r="F845" s="53"/>
      <c r="G845" s="53">
        <v>1</v>
      </c>
      <c r="H845" s="442" t="s">
        <v>3045</v>
      </c>
      <c r="I845" s="53">
        <v>8.36666666666667</v>
      </c>
      <c r="J845" s="53">
        <v>8.36666666666667</v>
      </c>
      <c r="K845" s="53"/>
      <c r="L845" s="53">
        <v>1</v>
      </c>
      <c r="M845" s="53">
        <f t="shared" si="56"/>
        <v>7.96666666666667</v>
      </c>
      <c r="N845" s="53" t="s">
        <v>3046</v>
      </c>
      <c r="O845" s="45">
        <v>1</v>
      </c>
      <c r="P845" s="437">
        <v>7</v>
      </c>
      <c r="Q845" s="45">
        <v>0</v>
      </c>
      <c r="V845" s="45">
        <v>6</v>
      </c>
      <c r="W845" s="437">
        <v>6</v>
      </c>
      <c r="X845" s="379">
        <v>13</v>
      </c>
      <c r="Y845" s="17">
        <v>-0.1</v>
      </c>
      <c r="Z845" s="45">
        <v>0</v>
      </c>
      <c r="AB845" s="45">
        <v>8.06666666666667</v>
      </c>
      <c r="AC845" s="45">
        <v>2</v>
      </c>
      <c r="AD845" s="45">
        <v>1</v>
      </c>
      <c r="AE845" s="467" t="s">
        <v>3047</v>
      </c>
      <c r="AF845" s="45">
        <v>0.5</v>
      </c>
      <c r="AN845" s="354"/>
      <c r="AP845" s="390">
        <v>3096</v>
      </c>
      <c r="AQ845" s="45" t="s">
        <v>136</v>
      </c>
      <c r="AR845" s="391"/>
      <c r="AS845" s="471"/>
    </row>
    <row r="846" s="50" customFormat="1" ht="16.5" spans="1:45">
      <c r="A846" s="443">
        <v>842</v>
      </c>
      <c r="B846" s="444" t="s">
        <v>3048</v>
      </c>
      <c r="C846" s="445" t="s">
        <v>526</v>
      </c>
      <c r="D846" s="445">
        <v>1</v>
      </c>
      <c r="E846" s="445">
        <v>0</v>
      </c>
      <c r="F846" s="445"/>
      <c r="G846" s="445">
        <v>1</v>
      </c>
      <c r="H846" s="446">
        <v>10101</v>
      </c>
      <c r="I846" s="445">
        <f>145/30</f>
        <v>4.83333333333333</v>
      </c>
      <c r="J846" s="445">
        <v>4.83333333333333</v>
      </c>
      <c r="K846" s="445"/>
      <c r="L846" s="445">
        <v>0</v>
      </c>
      <c r="M846" s="445">
        <f t="shared" si="56"/>
        <v>4.43333333333333</v>
      </c>
      <c r="N846" s="445" t="s">
        <v>3049</v>
      </c>
      <c r="O846" s="50">
        <v>1</v>
      </c>
      <c r="P846" s="463">
        <v>2.55</v>
      </c>
      <c r="Q846" s="50">
        <v>0</v>
      </c>
      <c r="V846" s="50">
        <v>6</v>
      </c>
      <c r="W846" s="463">
        <v>0</v>
      </c>
      <c r="X846" s="466">
        <v>4</v>
      </c>
      <c r="Y846" s="50">
        <v>-0.1</v>
      </c>
      <c r="Z846" s="50">
        <v>0</v>
      </c>
      <c r="AE846" s="468"/>
      <c r="AN846" s="469"/>
      <c r="AP846" s="472">
        <v>3110</v>
      </c>
      <c r="AQ846" s="45" t="s">
        <v>136</v>
      </c>
      <c r="AR846" s="473"/>
      <c r="AS846" s="474"/>
    </row>
    <row r="847" s="50" customFormat="1" ht="16.5" spans="1:45">
      <c r="A847" s="443">
        <v>843</v>
      </c>
      <c r="B847" s="444" t="s">
        <v>3048</v>
      </c>
      <c r="C847" s="445" t="s">
        <v>3050</v>
      </c>
      <c r="D847" s="445">
        <v>1</v>
      </c>
      <c r="E847" s="445">
        <v>0</v>
      </c>
      <c r="F847" s="445"/>
      <c r="G847" s="445">
        <v>1</v>
      </c>
      <c r="H847" s="447" t="s">
        <v>3051</v>
      </c>
      <c r="I847" s="445">
        <f>110/30</f>
        <v>3.66666666666667</v>
      </c>
      <c r="J847" s="445">
        <v>3.66666666666667</v>
      </c>
      <c r="K847" s="445"/>
      <c r="L847" s="445">
        <v>1</v>
      </c>
      <c r="M847" s="445">
        <f t="shared" si="56"/>
        <v>3.26666666666667</v>
      </c>
      <c r="N847" s="445" t="s">
        <v>3052</v>
      </c>
      <c r="O847" s="50">
        <v>1</v>
      </c>
      <c r="P847" s="463">
        <v>2.55</v>
      </c>
      <c r="Q847" s="50">
        <v>0</v>
      </c>
      <c r="S847" s="50">
        <v>1</v>
      </c>
      <c r="V847" s="50">
        <v>6</v>
      </c>
      <c r="W847" s="463">
        <v>0</v>
      </c>
      <c r="X847" s="466">
        <v>3</v>
      </c>
      <c r="Y847" s="50">
        <v>-0.1</v>
      </c>
      <c r="Z847" s="50">
        <v>0</v>
      </c>
      <c r="AE847" s="468"/>
      <c r="AN847" s="469"/>
      <c r="AP847" s="472">
        <v>3112</v>
      </c>
      <c r="AQ847" s="45" t="s">
        <v>136</v>
      </c>
      <c r="AR847" s="473"/>
      <c r="AS847" s="474"/>
    </row>
    <row r="848" s="50" customFormat="1" ht="16.5" spans="1:45">
      <c r="A848" s="443">
        <v>844</v>
      </c>
      <c r="B848" s="444" t="s">
        <v>3048</v>
      </c>
      <c r="C848" s="445" t="s">
        <v>3053</v>
      </c>
      <c r="D848" s="445">
        <v>1</v>
      </c>
      <c r="E848" s="445">
        <v>0</v>
      </c>
      <c r="F848" s="445"/>
      <c r="G848" s="445">
        <v>1</v>
      </c>
      <c r="H848" s="447" t="s">
        <v>3054</v>
      </c>
      <c r="I848" s="445">
        <f>54/30</f>
        <v>1.8</v>
      </c>
      <c r="J848" s="445">
        <f>54/30</f>
        <v>1.8</v>
      </c>
      <c r="K848" s="445"/>
      <c r="L848" s="445">
        <v>1</v>
      </c>
      <c r="M848" s="445">
        <f t="shared" si="56"/>
        <v>1.4</v>
      </c>
      <c r="N848" s="65" t="s">
        <v>3055</v>
      </c>
      <c r="O848" s="50">
        <v>1</v>
      </c>
      <c r="P848" s="463">
        <v>2.55</v>
      </c>
      <c r="Q848" s="50">
        <v>0</v>
      </c>
      <c r="S848" s="50">
        <v>0.5</v>
      </c>
      <c r="U848" s="50">
        <v>0.3</v>
      </c>
      <c r="V848" s="50">
        <v>6</v>
      </c>
      <c r="W848" s="463">
        <v>4</v>
      </c>
      <c r="X848" s="466">
        <v>1</v>
      </c>
      <c r="Y848" s="50">
        <v>-0.1</v>
      </c>
      <c r="Z848" s="50">
        <v>0</v>
      </c>
      <c r="AE848" s="468"/>
      <c r="AN848" s="469"/>
      <c r="AP848" s="472">
        <v>3114</v>
      </c>
      <c r="AQ848" s="45" t="s">
        <v>136</v>
      </c>
      <c r="AR848" s="473"/>
      <c r="AS848" s="474"/>
    </row>
    <row r="849" s="50" customFormat="1" ht="16.5" spans="1:45">
      <c r="A849" s="443">
        <v>845</v>
      </c>
      <c r="B849" s="444" t="s">
        <v>3048</v>
      </c>
      <c r="C849" s="445" t="s">
        <v>3056</v>
      </c>
      <c r="D849" s="445">
        <v>1</v>
      </c>
      <c r="E849" s="445">
        <v>0</v>
      </c>
      <c r="F849" s="445"/>
      <c r="G849" s="445">
        <v>1</v>
      </c>
      <c r="H849" s="447" t="s">
        <v>3057</v>
      </c>
      <c r="I849" s="445">
        <f>110/30</f>
        <v>3.66666666666667</v>
      </c>
      <c r="J849" s="445">
        <v>3.66666666666667</v>
      </c>
      <c r="K849" s="445"/>
      <c r="L849" s="445">
        <v>1</v>
      </c>
      <c r="M849" s="445">
        <f t="shared" si="56"/>
        <v>3.26666666666667</v>
      </c>
      <c r="N849" s="65" t="s">
        <v>3058</v>
      </c>
      <c r="O849" s="50">
        <v>1</v>
      </c>
      <c r="P849" s="463">
        <v>2.55</v>
      </c>
      <c r="Q849" s="50">
        <v>0</v>
      </c>
      <c r="S849" s="50">
        <v>0.3</v>
      </c>
      <c r="U849" s="50">
        <v>0.1</v>
      </c>
      <c r="V849" s="50">
        <v>6</v>
      </c>
      <c r="W849" s="463">
        <v>6</v>
      </c>
      <c r="X849" s="466">
        <v>3</v>
      </c>
      <c r="Y849" s="50">
        <v>-0.1</v>
      </c>
      <c r="Z849" s="50">
        <v>0</v>
      </c>
      <c r="AE849" s="468"/>
      <c r="AN849" s="469"/>
      <c r="AP849" s="472">
        <v>3116</v>
      </c>
      <c r="AQ849" s="45" t="s">
        <v>136</v>
      </c>
      <c r="AR849" s="473"/>
      <c r="AS849" s="474"/>
    </row>
    <row r="850" s="50" customFormat="1" ht="16.5" spans="1:45">
      <c r="A850" s="443">
        <v>846</v>
      </c>
      <c r="B850" s="444" t="s">
        <v>3048</v>
      </c>
      <c r="C850" s="445" t="s">
        <v>3059</v>
      </c>
      <c r="D850" s="445">
        <v>3</v>
      </c>
      <c r="E850" s="445">
        <v>1</v>
      </c>
      <c r="F850" s="445"/>
      <c r="G850" s="445">
        <v>1</v>
      </c>
      <c r="H850" s="447" t="s">
        <v>3060</v>
      </c>
      <c r="I850" s="445">
        <v>3.66666666666667</v>
      </c>
      <c r="J850" s="445">
        <v>3.66666666666667</v>
      </c>
      <c r="K850" s="445"/>
      <c r="L850" s="445">
        <v>0</v>
      </c>
      <c r="M850" s="445">
        <f t="shared" si="56"/>
        <v>3.26666666666667</v>
      </c>
      <c r="N850" s="445" t="s">
        <v>3061</v>
      </c>
      <c r="O850" s="50">
        <v>5</v>
      </c>
      <c r="P850" s="463">
        <v>2.55</v>
      </c>
      <c r="Q850" s="50">
        <v>0</v>
      </c>
      <c r="V850" s="50">
        <v>6</v>
      </c>
      <c r="W850" s="463">
        <v>0</v>
      </c>
      <c r="X850" s="466">
        <v>0</v>
      </c>
      <c r="Y850" s="50">
        <v>-0.1</v>
      </c>
      <c r="Z850" s="50">
        <v>0</v>
      </c>
      <c r="AE850" s="468"/>
      <c r="AN850" s="469"/>
      <c r="AP850" s="472">
        <v>3117</v>
      </c>
      <c r="AQ850" s="45" t="s">
        <v>136</v>
      </c>
      <c r="AR850" s="473"/>
      <c r="AS850" s="474"/>
    </row>
    <row r="851" s="50" customFormat="1" ht="16.5" spans="1:45">
      <c r="A851" s="443">
        <v>847</v>
      </c>
      <c r="B851" s="444" t="s">
        <v>3048</v>
      </c>
      <c r="C851" s="445" t="s">
        <v>3062</v>
      </c>
      <c r="D851" s="445">
        <v>1</v>
      </c>
      <c r="E851" s="445">
        <v>0</v>
      </c>
      <c r="F851" s="445"/>
      <c r="G851" s="445">
        <v>1</v>
      </c>
      <c r="H851" s="447" t="s">
        <v>3063</v>
      </c>
      <c r="I851" s="445">
        <f>378/30</f>
        <v>12.6</v>
      </c>
      <c r="J851" s="445">
        <f>378/30</f>
        <v>12.6</v>
      </c>
      <c r="K851" s="445"/>
      <c r="L851" s="445">
        <v>1</v>
      </c>
      <c r="M851" s="445">
        <f t="shared" si="56"/>
        <v>12.2</v>
      </c>
      <c r="N851" s="445" t="s">
        <v>3064</v>
      </c>
      <c r="O851" s="50">
        <v>1</v>
      </c>
      <c r="P851" s="463">
        <v>8.5</v>
      </c>
      <c r="Q851" s="50">
        <v>0</v>
      </c>
      <c r="V851" s="50">
        <v>6</v>
      </c>
      <c r="W851" s="463">
        <v>6</v>
      </c>
      <c r="X851" s="466">
        <v>2</v>
      </c>
      <c r="Y851" s="50">
        <v>-0.1</v>
      </c>
      <c r="Z851" s="50">
        <v>0</v>
      </c>
      <c r="AB851" s="50">
        <f t="shared" ref="AB851:AB853" si="57">I851-0.3</f>
        <v>12.3</v>
      </c>
      <c r="AC851" s="50">
        <v>2</v>
      </c>
      <c r="AD851" s="50">
        <v>1</v>
      </c>
      <c r="AE851" s="467" t="s">
        <v>3065</v>
      </c>
      <c r="AF851" s="50">
        <v>0.5</v>
      </c>
      <c r="AN851" s="469"/>
      <c r="AP851" s="472">
        <v>3118</v>
      </c>
      <c r="AQ851" s="45" t="s">
        <v>136</v>
      </c>
      <c r="AR851" s="473"/>
      <c r="AS851" s="474"/>
    </row>
    <row r="852" s="50" customFormat="1" ht="16.5" spans="1:45">
      <c r="A852" s="443">
        <v>848</v>
      </c>
      <c r="B852" s="444" t="s">
        <v>3048</v>
      </c>
      <c r="C852" s="445" t="s">
        <v>3066</v>
      </c>
      <c r="D852" s="445">
        <v>1</v>
      </c>
      <c r="E852" s="445">
        <v>0</v>
      </c>
      <c r="F852" s="445"/>
      <c r="G852" s="445">
        <v>1</v>
      </c>
      <c r="H852" s="447" t="s">
        <v>3067</v>
      </c>
      <c r="I852" s="445">
        <f>296/30</f>
        <v>9.86666666666667</v>
      </c>
      <c r="J852" s="445">
        <f>296/30</f>
        <v>9.86666666666667</v>
      </c>
      <c r="K852" s="445"/>
      <c r="L852" s="445">
        <v>1</v>
      </c>
      <c r="M852" s="445">
        <f t="shared" ref="M852:M869" si="58">I852-0.4</f>
        <v>9.46666666666667</v>
      </c>
      <c r="N852" s="445" t="s">
        <v>3068</v>
      </c>
      <c r="O852" s="50">
        <v>1</v>
      </c>
      <c r="P852" s="463">
        <v>2.45</v>
      </c>
      <c r="Q852" s="50">
        <v>0</v>
      </c>
      <c r="V852" s="50">
        <v>6</v>
      </c>
      <c r="W852" s="463">
        <v>0</v>
      </c>
      <c r="X852" s="466">
        <v>1</v>
      </c>
      <c r="Y852" s="50">
        <v>-0.1</v>
      </c>
      <c r="Z852" s="50">
        <v>0</v>
      </c>
      <c r="AB852" s="50">
        <f t="shared" si="57"/>
        <v>9.56666666666667</v>
      </c>
      <c r="AC852" s="50">
        <v>2</v>
      </c>
      <c r="AD852" s="50">
        <v>1</v>
      </c>
      <c r="AE852" s="467" t="s">
        <v>3069</v>
      </c>
      <c r="AF852" s="50">
        <v>0.5</v>
      </c>
      <c r="AN852" s="469">
        <v>3134</v>
      </c>
      <c r="AO852" s="475" t="s">
        <v>3070</v>
      </c>
      <c r="AP852" s="472">
        <v>3119</v>
      </c>
      <c r="AQ852" s="45" t="s">
        <v>136</v>
      </c>
      <c r="AR852" s="473"/>
      <c r="AS852" s="474" t="s">
        <v>3071</v>
      </c>
    </row>
    <row r="853" s="50" customFormat="1" ht="16.5" spans="1:45">
      <c r="A853" s="443">
        <v>849</v>
      </c>
      <c r="B853" s="444" t="s">
        <v>3048</v>
      </c>
      <c r="C853" s="445" t="s">
        <v>3072</v>
      </c>
      <c r="D853" s="445">
        <v>1</v>
      </c>
      <c r="E853" s="445">
        <v>0</v>
      </c>
      <c r="F853" s="445"/>
      <c r="G853" s="445">
        <v>1</v>
      </c>
      <c r="H853" s="447" t="s">
        <v>3073</v>
      </c>
      <c r="I853" s="445">
        <f>202/30</f>
        <v>6.73333333333333</v>
      </c>
      <c r="J853" s="445">
        <f>202/30</f>
        <v>6.73333333333333</v>
      </c>
      <c r="K853" s="445"/>
      <c r="L853" s="445">
        <v>1</v>
      </c>
      <c r="M853" s="445">
        <f t="shared" si="58"/>
        <v>6.33333333333333</v>
      </c>
      <c r="N853" s="445" t="s">
        <v>3074</v>
      </c>
      <c r="O853" s="50">
        <v>1</v>
      </c>
      <c r="P853" s="463">
        <v>14</v>
      </c>
      <c r="Q853" s="50">
        <v>0</v>
      </c>
      <c r="V853" s="50">
        <v>6</v>
      </c>
      <c r="W853" s="463">
        <v>6</v>
      </c>
      <c r="X853" s="466">
        <v>1</v>
      </c>
      <c r="Y853" s="50">
        <v>-0.1</v>
      </c>
      <c r="Z853" s="50">
        <v>0</v>
      </c>
      <c r="AB853" s="50">
        <f t="shared" si="57"/>
        <v>6.43333333333333</v>
      </c>
      <c r="AC853" s="50">
        <v>2</v>
      </c>
      <c r="AD853" s="50">
        <v>1</v>
      </c>
      <c r="AE853" s="467" t="s">
        <v>3075</v>
      </c>
      <c r="AF853" s="50">
        <v>0.5</v>
      </c>
      <c r="AG853" s="50" t="s">
        <v>3076</v>
      </c>
      <c r="AN853" s="469"/>
      <c r="AP853" s="472">
        <v>3120</v>
      </c>
      <c r="AQ853" s="45" t="s">
        <v>136</v>
      </c>
      <c r="AR853" s="473"/>
      <c r="AS853" s="474"/>
    </row>
    <row r="854" s="50" customFormat="1" ht="16.5" spans="1:45">
      <c r="A854" s="448">
        <v>850</v>
      </c>
      <c r="B854" s="449" t="s">
        <v>3077</v>
      </c>
      <c r="C854" s="35" t="s">
        <v>526</v>
      </c>
      <c r="D854" s="35">
        <v>1</v>
      </c>
      <c r="E854" s="35">
        <v>0</v>
      </c>
      <c r="F854" s="35"/>
      <c r="G854" s="35">
        <v>1</v>
      </c>
      <c r="H854" s="322" t="s">
        <v>3078</v>
      </c>
      <c r="I854" s="35">
        <v>2.63333333333333</v>
      </c>
      <c r="J854" s="35">
        <v>2.63333333333333</v>
      </c>
      <c r="K854" s="35"/>
      <c r="L854" s="35">
        <v>0</v>
      </c>
      <c r="M854" s="35">
        <f t="shared" si="58"/>
        <v>2.23333333333333</v>
      </c>
      <c r="N854" s="35" t="s">
        <v>3079</v>
      </c>
      <c r="O854" s="50">
        <v>1</v>
      </c>
      <c r="P854" s="463">
        <v>2.4</v>
      </c>
      <c r="Q854" s="50">
        <v>0</v>
      </c>
      <c r="S854" s="50">
        <v>0.5</v>
      </c>
      <c r="U854" s="50">
        <v>0.5</v>
      </c>
      <c r="V854" s="50">
        <v>6</v>
      </c>
      <c r="W854" s="463">
        <v>0</v>
      </c>
      <c r="X854" s="466">
        <v>3</v>
      </c>
      <c r="Y854" s="50">
        <v>-0.1</v>
      </c>
      <c r="Z854" s="50">
        <v>0</v>
      </c>
      <c r="AE854" s="467"/>
      <c r="AN854" s="469"/>
      <c r="AP854" s="472">
        <v>3136</v>
      </c>
      <c r="AQ854" s="45" t="s">
        <v>136</v>
      </c>
      <c r="AR854" s="473"/>
      <c r="AS854" s="474"/>
    </row>
    <row r="855" s="50" customFormat="1" ht="16.5" spans="1:45">
      <c r="A855" s="448">
        <v>851</v>
      </c>
      <c r="B855" s="449" t="s">
        <v>3077</v>
      </c>
      <c r="C855" s="35" t="s">
        <v>3080</v>
      </c>
      <c r="D855" s="35">
        <v>1</v>
      </c>
      <c r="E855" s="35">
        <v>0</v>
      </c>
      <c r="F855" s="35"/>
      <c r="G855" s="35">
        <v>1</v>
      </c>
      <c r="H855" s="322" t="s">
        <v>3081</v>
      </c>
      <c r="I855" s="35">
        <v>4.2</v>
      </c>
      <c r="J855" s="35">
        <v>4.2</v>
      </c>
      <c r="K855" s="35"/>
      <c r="L855" s="35">
        <v>1</v>
      </c>
      <c r="M855" s="35">
        <f t="shared" si="58"/>
        <v>3.8</v>
      </c>
      <c r="N855" s="35" t="s">
        <v>3082</v>
      </c>
      <c r="O855" s="50">
        <v>1</v>
      </c>
      <c r="P855" s="463">
        <v>2.4</v>
      </c>
      <c r="Q855" s="50">
        <v>0</v>
      </c>
      <c r="S855" s="50">
        <v>0.5</v>
      </c>
      <c r="U855" s="50">
        <v>0.5</v>
      </c>
      <c r="V855" s="50">
        <v>6</v>
      </c>
      <c r="W855" s="463">
        <v>0</v>
      </c>
      <c r="X855" s="466">
        <v>5</v>
      </c>
      <c r="Y855" s="50">
        <v>-0.1</v>
      </c>
      <c r="Z855" s="50">
        <v>0</v>
      </c>
      <c r="AE855" s="467"/>
      <c r="AN855" s="469"/>
      <c r="AP855" s="472">
        <v>3138</v>
      </c>
      <c r="AQ855" s="45" t="s">
        <v>136</v>
      </c>
      <c r="AR855" s="473"/>
      <c r="AS855" s="474"/>
    </row>
    <row r="856" s="50" customFormat="1" ht="16.5" spans="1:45">
      <c r="A856" s="448">
        <v>852</v>
      </c>
      <c r="B856" s="449" t="s">
        <v>3077</v>
      </c>
      <c r="C856" s="35" t="s">
        <v>3083</v>
      </c>
      <c r="D856" s="35">
        <v>1</v>
      </c>
      <c r="E856" s="35">
        <v>0</v>
      </c>
      <c r="F856" s="35"/>
      <c r="G856" s="35">
        <v>1</v>
      </c>
      <c r="H856" s="322" t="s">
        <v>3084</v>
      </c>
      <c r="I856" s="35">
        <v>3.56666666666667</v>
      </c>
      <c r="J856" s="35">
        <v>3.56666666666667</v>
      </c>
      <c r="K856" s="35"/>
      <c r="L856" s="35">
        <v>1</v>
      </c>
      <c r="M856" s="35">
        <f t="shared" si="58"/>
        <v>3.16666666666667</v>
      </c>
      <c r="N856" s="35" t="s">
        <v>3085</v>
      </c>
      <c r="O856" s="50">
        <v>1</v>
      </c>
      <c r="P856" s="463">
        <v>2.4</v>
      </c>
      <c r="Q856" s="50">
        <v>0</v>
      </c>
      <c r="S856" s="49">
        <v>0.6</v>
      </c>
      <c r="T856" s="49">
        <v>0</v>
      </c>
      <c r="U856" s="49">
        <v>1.5</v>
      </c>
      <c r="V856" s="50">
        <v>6</v>
      </c>
      <c r="W856" s="463">
        <v>6</v>
      </c>
      <c r="X856" s="466">
        <v>10</v>
      </c>
      <c r="Y856" s="50">
        <v>-0.1</v>
      </c>
      <c r="Z856" s="50">
        <v>0</v>
      </c>
      <c r="AE856" s="467"/>
      <c r="AN856" s="469"/>
      <c r="AP856" s="472">
        <v>3168</v>
      </c>
      <c r="AQ856" s="45" t="s">
        <v>136</v>
      </c>
      <c r="AR856" s="473"/>
      <c r="AS856" s="474"/>
    </row>
    <row r="857" s="50" customFormat="1" ht="16.5" spans="1:45">
      <c r="A857" s="448">
        <v>853</v>
      </c>
      <c r="B857" s="449" t="s">
        <v>3077</v>
      </c>
      <c r="C857" s="35" t="s">
        <v>3086</v>
      </c>
      <c r="D857" s="35">
        <v>1</v>
      </c>
      <c r="E857" s="35">
        <v>0</v>
      </c>
      <c r="F857" s="35"/>
      <c r="G857" s="35">
        <v>1</v>
      </c>
      <c r="H857" s="322" t="s">
        <v>3087</v>
      </c>
      <c r="I857" s="35">
        <v>3.96666666666667</v>
      </c>
      <c r="J857" s="35">
        <v>3.96666666666667</v>
      </c>
      <c r="K857" s="35"/>
      <c r="L857" s="35">
        <v>1</v>
      </c>
      <c r="M857" s="35">
        <f t="shared" si="58"/>
        <v>3.56666666666667</v>
      </c>
      <c r="N857" s="464" t="s">
        <v>3088</v>
      </c>
      <c r="O857" s="50">
        <v>1</v>
      </c>
      <c r="P857" s="463">
        <v>2.4</v>
      </c>
      <c r="Q857" s="50">
        <v>0</v>
      </c>
      <c r="U857" s="50">
        <v>0.7</v>
      </c>
      <c r="V857" s="50">
        <v>6</v>
      </c>
      <c r="W857" s="463">
        <v>18</v>
      </c>
      <c r="X857" s="466">
        <v>11</v>
      </c>
      <c r="Y857" s="50">
        <v>-0.1</v>
      </c>
      <c r="Z857" s="50">
        <v>0</v>
      </c>
      <c r="AE857" s="467"/>
      <c r="AN857" s="469"/>
      <c r="AP857" s="472">
        <v>3141</v>
      </c>
      <c r="AQ857" s="45" t="s">
        <v>136</v>
      </c>
      <c r="AR857" s="473"/>
      <c r="AS857" s="474"/>
    </row>
    <row r="858" s="50" customFormat="1" ht="16.5" spans="1:45">
      <c r="A858" s="448">
        <v>854</v>
      </c>
      <c r="B858" s="449" t="s">
        <v>3077</v>
      </c>
      <c r="C858" s="35" t="s">
        <v>3089</v>
      </c>
      <c r="D858" s="35">
        <v>1</v>
      </c>
      <c r="E858" s="35">
        <v>0</v>
      </c>
      <c r="F858" s="35"/>
      <c r="G858" s="35">
        <v>1</v>
      </c>
      <c r="H858" s="322" t="s">
        <v>3090</v>
      </c>
      <c r="I858" s="35">
        <v>3.7</v>
      </c>
      <c r="J858" s="35">
        <v>3.7</v>
      </c>
      <c r="K858" s="35"/>
      <c r="L858" s="35">
        <v>1</v>
      </c>
      <c r="M858" s="35">
        <f t="shared" si="58"/>
        <v>3.3</v>
      </c>
      <c r="N858" s="35" t="s">
        <v>3091</v>
      </c>
      <c r="O858" s="50">
        <v>1</v>
      </c>
      <c r="P858" s="463">
        <v>2.4</v>
      </c>
      <c r="Q858" s="50">
        <v>0</v>
      </c>
      <c r="R858" s="50">
        <v>1</v>
      </c>
      <c r="S858" s="50">
        <v>0.8</v>
      </c>
      <c r="T858" s="50">
        <v>0</v>
      </c>
      <c r="U858" s="50">
        <v>1</v>
      </c>
      <c r="V858" s="50">
        <v>6</v>
      </c>
      <c r="W858" s="463">
        <v>0</v>
      </c>
      <c r="X858" s="466">
        <v>3</v>
      </c>
      <c r="Y858" s="50">
        <v>-0.1</v>
      </c>
      <c r="Z858" s="50">
        <v>0</v>
      </c>
      <c r="AE858" s="467"/>
      <c r="AN858" s="469"/>
      <c r="AP858" s="472">
        <v>3144</v>
      </c>
      <c r="AQ858" s="45" t="s">
        <v>136</v>
      </c>
      <c r="AR858" s="473"/>
      <c r="AS858" s="474"/>
    </row>
    <row r="859" s="50" customFormat="1" ht="16.5" spans="1:45">
      <c r="A859" s="448">
        <v>855</v>
      </c>
      <c r="B859" s="449" t="s">
        <v>3077</v>
      </c>
      <c r="C859" s="35" t="s">
        <v>3092</v>
      </c>
      <c r="D859" s="35">
        <v>1</v>
      </c>
      <c r="E859" s="35">
        <v>0</v>
      </c>
      <c r="F859" s="35"/>
      <c r="G859" s="35">
        <v>1</v>
      </c>
      <c r="H859" s="322" t="s">
        <v>3093</v>
      </c>
      <c r="I859" s="35">
        <v>10.5333333333333</v>
      </c>
      <c r="J859" s="35">
        <v>10.5333333333333</v>
      </c>
      <c r="K859" s="35"/>
      <c r="L859" s="35">
        <v>1</v>
      </c>
      <c r="M859" s="35">
        <f t="shared" si="58"/>
        <v>10.1333333333333</v>
      </c>
      <c r="N859" s="465" t="s">
        <v>3094</v>
      </c>
      <c r="O859" s="50">
        <v>1</v>
      </c>
      <c r="P859" s="463">
        <v>4</v>
      </c>
      <c r="Q859" s="50">
        <v>0</v>
      </c>
      <c r="V859" s="50">
        <v>6</v>
      </c>
      <c r="W859" s="463">
        <v>0</v>
      </c>
      <c r="X859" s="466">
        <v>2</v>
      </c>
      <c r="Y859" s="50">
        <v>-0.1</v>
      </c>
      <c r="Z859" s="50">
        <v>0</v>
      </c>
      <c r="AB859" s="50">
        <f>I859-0.3</f>
        <v>10.2333333333333</v>
      </c>
      <c r="AC859" s="50">
        <v>2</v>
      </c>
      <c r="AD859" s="50">
        <v>1</v>
      </c>
      <c r="AE859" s="467" t="s">
        <v>3095</v>
      </c>
      <c r="AF859" s="50">
        <v>0.5</v>
      </c>
      <c r="AN859" s="469"/>
      <c r="AP859" s="472">
        <v>3145</v>
      </c>
      <c r="AQ859" s="45" t="s">
        <v>136</v>
      </c>
      <c r="AR859" s="473"/>
      <c r="AS859" s="474"/>
    </row>
    <row r="860" s="50" customFormat="1" ht="16.5" spans="1:45">
      <c r="A860" s="448">
        <v>856</v>
      </c>
      <c r="B860" s="449" t="s">
        <v>3077</v>
      </c>
      <c r="C860" s="35" t="s">
        <v>3096</v>
      </c>
      <c r="D860" s="35">
        <v>1</v>
      </c>
      <c r="E860" s="35">
        <v>0</v>
      </c>
      <c r="F860" s="35"/>
      <c r="G860" s="35">
        <v>1</v>
      </c>
      <c r="H860" s="322" t="s">
        <v>3097</v>
      </c>
      <c r="I860" s="35">
        <v>13.2333333333333</v>
      </c>
      <c r="J860" s="35">
        <v>13.2333333333333</v>
      </c>
      <c r="K860" s="35"/>
      <c r="L860" s="35">
        <v>1</v>
      </c>
      <c r="M860" s="35">
        <f t="shared" si="58"/>
        <v>12.8333333333333</v>
      </c>
      <c r="N860" s="35" t="s">
        <v>3098</v>
      </c>
      <c r="O860" s="50">
        <v>3</v>
      </c>
      <c r="P860" s="463">
        <v>-5</v>
      </c>
      <c r="Q860" s="50">
        <v>0</v>
      </c>
      <c r="V860" s="50">
        <v>6</v>
      </c>
      <c r="W860" s="463">
        <v>6</v>
      </c>
      <c r="X860" s="466">
        <v>11</v>
      </c>
      <c r="Y860" s="50">
        <v>-0.1</v>
      </c>
      <c r="Z860" s="50">
        <v>0</v>
      </c>
      <c r="AB860" s="50">
        <f>I860-0.3</f>
        <v>12.9333333333333</v>
      </c>
      <c r="AC860" s="50">
        <v>2</v>
      </c>
      <c r="AD860" s="50">
        <v>1</v>
      </c>
      <c r="AE860" s="467" t="s">
        <v>3099</v>
      </c>
      <c r="AF860" s="50">
        <v>0.5</v>
      </c>
      <c r="AN860" s="469"/>
      <c r="AP860" s="472">
        <v>3146</v>
      </c>
      <c r="AQ860" s="45" t="s">
        <v>136</v>
      </c>
      <c r="AR860" s="473"/>
      <c r="AS860" s="474"/>
    </row>
    <row r="861" s="50" customFormat="1" ht="16.5" spans="1:45">
      <c r="A861" s="448">
        <v>857</v>
      </c>
      <c r="B861" s="449" t="s">
        <v>3077</v>
      </c>
      <c r="C861" s="35" t="s">
        <v>3100</v>
      </c>
      <c r="D861" s="35">
        <v>1</v>
      </c>
      <c r="E861" s="35">
        <v>0</v>
      </c>
      <c r="F861" s="35"/>
      <c r="G861" s="35">
        <v>1</v>
      </c>
      <c r="H861" s="322" t="s">
        <v>3101</v>
      </c>
      <c r="I861" s="35">
        <v>9.46666666666667</v>
      </c>
      <c r="J861" s="35">
        <v>9.46666666666667</v>
      </c>
      <c r="K861" s="35"/>
      <c r="L861" s="35">
        <v>1</v>
      </c>
      <c r="M861" s="35">
        <f t="shared" si="58"/>
        <v>9.06666666666667</v>
      </c>
      <c r="N861" s="35" t="s">
        <v>3102</v>
      </c>
      <c r="O861" s="50">
        <v>1</v>
      </c>
      <c r="P861" s="463">
        <v>10</v>
      </c>
      <c r="Q861" s="50">
        <v>0</v>
      </c>
      <c r="V861" s="50">
        <v>6</v>
      </c>
      <c r="W861" s="463">
        <v>6</v>
      </c>
      <c r="X861" s="466">
        <v>3</v>
      </c>
      <c r="Y861" s="50">
        <v>-0.1</v>
      </c>
      <c r="Z861" s="50">
        <v>0</v>
      </c>
      <c r="AB861" s="50">
        <f>I861-0.3</f>
        <v>9.16666666666667</v>
      </c>
      <c r="AC861" s="50">
        <v>2</v>
      </c>
      <c r="AD861" s="50">
        <v>1</v>
      </c>
      <c r="AE861" s="467" t="s">
        <v>3103</v>
      </c>
      <c r="AF861" s="50">
        <v>0.5</v>
      </c>
      <c r="AN861" s="469"/>
      <c r="AP861" s="472">
        <v>3149</v>
      </c>
      <c r="AQ861" s="45" t="s">
        <v>136</v>
      </c>
      <c r="AR861" s="473"/>
      <c r="AS861" s="474"/>
    </row>
    <row r="862" s="50" customFormat="1" ht="16.5" spans="1:45">
      <c r="A862" s="450">
        <v>858</v>
      </c>
      <c r="B862" s="451" t="s">
        <v>3104</v>
      </c>
      <c r="C862" s="77" t="s">
        <v>526</v>
      </c>
      <c r="D862" s="77">
        <v>1</v>
      </c>
      <c r="E862" s="77">
        <v>0</v>
      </c>
      <c r="F862" s="77"/>
      <c r="G862" s="77">
        <v>1</v>
      </c>
      <c r="H862" s="452" t="s">
        <v>3105</v>
      </c>
      <c r="I862" s="77">
        <f>78/30</f>
        <v>2.6</v>
      </c>
      <c r="J862" s="77">
        <f>78/30</f>
        <v>2.6</v>
      </c>
      <c r="K862" s="77"/>
      <c r="L862" s="77">
        <v>0</v>
      </c>
      <c r="M862" s="77">
        <f t="shared" si="58"/>
        <v>2.2</v>
      </c>
      <c r="N862" s="77" t="s">
        <v>3106</v>
      </c>
      <c r="O862" s="50">
        <v>1</v>
      </c>
      <c r="P862" s="463">
        <v>1.95</v>
      </c>
      <c r="Q862" s="50">
        <v>0</v>
      </c>
      <c r="S862" s="50">
        <v>0.35</v>
      </c>
      <c r="U862" s="50">
        <v>0.35</v>
      </c>
      <c r="V862" s="50">
        <v>6</v>
      </c>
      <c r="W862" s="463">
        <v>0</v>
      </c>
      <c r="X862" s="466">
        <v>4</v>
      </c>
      <c r="Y862" s="50">
        <v>-0.1</v>
      </c>
      <c r="Z862" s="50">
        <v>0</v>
      </c>
      <c r="AE862" s="467"/>
      <c r="AN862" s="469"/>
      <c r="AP862" s="472">
        <v>3196</v>
      </c>
      <c r="AQ862" s="45" t="s">
        <v>136</v>
      </c>
      <c r="AR862" s="473"/>
      <c r="AS862" s="474"/>
    </row>
    <row r="863" s="50" customFormat="1" ht="16.5" spans="1:45">
      <c r="A863" s="450">
        <v>859</v>
      </c>
      <c r="B863" s="451" t="s">
        <v>3104</v>
      </c>
      <c r="C863" s="77" t="s">
        <v>3086</v>
      </c>
      <c r="D863" s="77">
        <v>1</v>
      </c>
      <c r="E863" s="77">
        <v>0</v>
      </c>
      <c r="F863" s="77"/>
      <c r="G863" s="77">
        <v>1</v>
      </c>
      <c r="H863" s="452" t="s">
        <v>3107</v>
      </c>
      <c r="I863" s="77">
        <f>100/30</f>
        <v>3.33333333333333</v>
      </c>
      <c r="J863" s="77">
        <f>100/30</f>
        <v>3.33333333333333</v>
      </c>
      <c r="K863" s="77"/>
      <c r="L863" s="77">
        <v>1</v>
      </c>
      <c r="M863" s="77">
        <f t="shared" si="58"/>
        <v>2.93333333333333</v>
      </c>
      <c r="N863" s="49" t="s">
        <v>3108</v>
      </c>
      <c r="O863" s="50">
        <v>1</v>
      </c>
      <c r="P863" s="463">
        <v>1.95</v>
      </c>
      <c r="Q863" s="50">
        <v>0</v>
      </c>
      <c r="S863" s="50">
        <v>0.5</v>
      </c>
      <c r="T863" s="50">
        <v>0</v>
      </c>
      <c r="U863" s="50">
        <v>1</v>
      </c>
      <c r="V863" s="50">
        <v>6</v>
      </c>
      <c r="W863" s="463">
        <v>4</v>
      </c>
      <c r="X863" s="466">
        <v>1</v>
      </c>
      <c r="Y863" s="50">
        <v>-0.1</v>
      </c>
      <c r="Z863" s="50">
        <v>0</v>
      </c>
      <c r="AE863" s="467"/>
      <c r="AN863" s="469"/>
      <c r="AP863" s="472">
        <v>3198</v>
      </c>
      <c r="AQ863" s="45" t="s">
        <v>136</v>
      </c>
      <c r="AR863" s="473"/>
      <c r="AS863" s="474"/>
    </row>
    <row r="864" s="50" customFormat="1" ht="16.5" spans="1:45">
      <c r="A864" s="450">
        <v>860</v>
      </c>
      <c r="B864" s="451" t="s">
        <v>3104</v>
      </c>
      <c r="C864" s="77" t="s">
        <v>3109</v>
      </c>
      <c r="D864" s="77">
        <v>1</v>
      </c>
      <c r="E864" s="77">
        <v>0</v>
      </c>
      <c r="F864" s="77"/>
      <c r="G864" s="77">
        <v>1</v>
      </c>
      <c r="H864" s="452" t="s">
        <v>3110</v>
      </c>
      <c r="I864" s="77">
        <f>90/30</f>
        <v>3</v>
      </c>
      <c r="J864" s="77">
        <f>90/30</f>
        <v>3</v>
      </c>
      <c r="K864" s="77"/>
      <c r="L864" s="77">
        <v>1</v>
      </c>
      <c r="M864" s="77">
        <f t="shared" si="58"/>
        <v>2.6</v>
      </c>
      <c r="N864" s="77" t="s">
        <v>3111</v>
      </c>
      <c r="O864" s="50">
        <v>1</v>
      </c>
      <c r="P864" s="463">
        <v>1.95</v>
      </c>
      <c r="Q864" s="50">
        <v>0</v>
      </c>
      <c r="R864" s="50">
        <v>1</v>
      </c>
      <c r="S864" s="50">
        <v>1</v>
      </c>
      <c r="T864" s="50">
        <v>0</v>
      </c>
      <c r="U864" s="50">
        <v>0.8</v>
      </c>
      <c r="V864" s="50">
        <v>6</v>
      </c>
      <c r="W864" s="463">
        <v>2</v>
      </c>
      <c r="X864" s="466">
        <v>3</v>
      </c>
      <c r="Y864" s="50">
        <v>-0.1</v>
      </c>
      <c r="Z864" s="50">
        <v>0</v>
      </c>
      <c r="AE864" s="467"/>
      <c r="AN864" s="469"/>
      <c r="AP864" s="472">
        <v>3211</v>
      </c>
      <c r="AQ864" s="45" t="s">
        <v>136</v>
      </c>
      <c r="AR864" s="473"/>
      <c r="AS864" s="474"/>
    </row>
    <row r="865" s="50" customFormat="1" ht="16.5" spans="1:45">
      <c r="A865" s="450">
        <v>861</v>
      </c>
      <c r="B865" s="451" t="s">
        <v>3104</v>
      </c>
      <c r="C865" s="77" t="s">
        <v>3112</v>
      </c>
      <c r="D865" s="77">
        <v>1</v>
      </c>
      <c r="E865" s="77">
        <v>0</v>
      </c>
      <c r="F865" s="77"/>
      <c r="G865" s="77">
        <v>1</v>
      </c>
      <c r="H865" s="452" t="s">
        <v>3113</v>
      </c>
      <c r="I865" s="77">
        <f>107/30</f>
        <v>3.56666666666667</v>
      </c>
      <c r="J865" s="77">
        <f>107/30</f>
        <v>3.56666666666667</v>
      </c>
      <c r="K865" s="77"/>
      <c r="L865" s="77">
        <v>1</v>
      </c>
      <c r="M865" s="77">
        <f t="shared" si="58"/>
        <v>3.16666666666667</v>
      </c>
      <c r="N865" s="27" t="s">
        <v>3114</v>
      </c>
      <c r="O865" s="50">
        <v>1</v>
      </c>
      <c r="P865" s="463">
        <v>1.95</v>
      </c>
      <c r="Q865" s="50">
        <v>0</v>
      </c>
      <c r="S865" s="50">
        <v>0.5</v>
      </c>
      <c r="U865" s="50">
        <v>0.5</v>
      </c>
      <c r="V865" s="50">
        <v>6</v>
      </c>
      <c r="W865" s="463">
        <v>7</v>
      </c>
      <c r="X865" s="466">
        <v>12</v>
      </c>
      <c r="Y865" s="50">
        <v>-0.1</v>
      </c>
      <c r="Z865" s="50">
        <v>0</v>
      </c>
      <c r="AE865" s="467"/>
      <c r="AN865" s="469"/>
      <c r="AP865" s="472">
        <v>3200</v>
      </c>
      <c r="AQ865" s="45" t="s">
        <v>136</v>
      </c>
      <c r="AR865" s="473"/>
      <c r="AS865" s="474"/>
    </row>
    <row r="866" s="50" customFormat="1" ht="16.5" spans="1:45">
      <c r="A866" s="450">
        <v>862</v>
      </c>
      <c r="B866" s="451" t="s">
        <v>3104</v>
      </c>
      <c r="C866" s="77" t="s">
        <v>3115</v>
      </c>
      <c r="D866" s="77">
        <v>1</v>
      </c>
      <c r="E866" s="77">
        <v>0</v>
      </c>
      <c r="F866" s="77"/>
      <c r="G866" s="77">
        <v>1</v>
      </c>
      <c r="H866" s="452" t="s">
        <v>3116</v>
      </c>
      <c r="I866" s="77">
        <f>84/30</f>
        <v>2.8</v>
      </c>
      <c r="J866" s="77">
        <f>84/30</f>
        <v>2.8</v>
      </c>
      <c r="K866" s="77"/>
      <c r="L866" s="77">
        <v>1</v>
      </c>
      <c r="M866" s="77">
        <f t="shared" si="58"/>
        <v>2.4</v>
      </c>
      <c r="N866" s="77" t="s">
        <v>3117</v>
      </c>
      <c r="O866" s="50">
        <v>1</v>
      </c>
      <c r="P866" s="463">
        <v>1.95</v>
      </c>
      <c r="Q866" s="50">
        <v>0</v>
      </c>
      <c r="S866" s="50">
        <v>0.5</v>
      </c>
      <c r="U866" s="50">
        <v>0.5</v>
      </c>
      <c r="V866" s="50">
        <v>6</v>
      </c>
      <c r="W866" s="463">
        <v>0</v>
      </c>
      <c r="X866" s="466">
        <v>3</v>
      </c>
      <c r="Y866" s="50">
        <v>-0.1</v>
      </c>
      <c r="Z866" s="50">
        <v>0</v>
      </c>
      <c r="AE866" s="467"/>
      <c r="AN866" s="469"/>
      <c r="AP866" s="472">
        <v>3203</v>
      </c>
      <c r="AQ866" s="45" t="s">
        <v>136</v>
      </c>
      <c r="AR866" s="473"/>
      <c r="AS866" s="474"/>
    </row>
    <row r="867" s="50" customFormat="1" ht="33" spans="1:45">
      <c r="A867" s="450">
        <v>863</v>
      </c>
      <c r="B867" s="451" t="s">
        <v>3104</v>
      </c>
      <c r="C867" s="77" t="s">
        <v>3118</v>
      </c>
      <c r="D867" s="77">
        <v>1</v>
      </c>
      <c r="E867" s="77">
        <v>0</v>
      </c>
      <c r="F867" s="77"/>
      <c r="G867" s="77">
        <v>1</v>
      </c>
      <c r="H867" s="452" t="s">
        <v>3119</v>
      </c>
      <c r="I867" s="77">
        <f>270/30</f>
        <v>9</v>
      </c>
      <c r="J867" s="77">
        <f>270/30</f>
        <v>9</v>
      </c>
      <c r="K867" s="77"/>
      <c r="L867" s="77">
        <v>1</v>
      </c>
      <c r="M867" s="77">
        <f t="shared" si="58"/>
        <v>8.6</v>
      </c>
      <c r="N867" s="77" t="s">
        <v>3120</v>
      </c>
      <c r="O867" s="50">
        <v>3</v>
      </c>
      <c r="P867" s="463">
        <v>-4.5</v>
      </c>
      <c r="Q867" s="50">
        <v>0</v>
      </c>
      <c r="V867" s="50">
        <v>6</v>
      </c>
      <c r="W867" s="463">
        <v>6</v>
      </c>
      <c r="X867" s="466">
        <v>5</v>
      </c>
      <c r="Y867" s="50">
        <v>-0.1</v>
      </c>
      <c r="Z867" s="50">
        <v>0</v>
      </c>
      <c r="AB867" s="50">
        <f>I867-0.3</f>
        <v>8.7</v>
      </c>
      <c r="AC867" s="50">
        <v>2</v>
      </c>
      <c r="AD867" s="50">
        <v>1</v>
      </c>
      <c r="AE867" s="467" t="s">
        <v>3121</v>
      </c>
      <c r="AF867" s="50">
        <v>0.5</v>
      </c>
      <c r="AN867" s="469"/>
      <c r="AP867" s="472">
        <v>3206</v>
      </c>
      <c r="AQ867" s="45" t="s">
        <v>136</v>
      </c>
      <c r="AR867" s="476" t="s">
        <v>2326</v>
      </c>
      <c r="AS867" s="474"/>
    </row>
    <row r="868" s="50" customFormat="1" ht="33" spans="1:45">
      <c r="A868" s="450">
        <v>864</v>
      </c>
      <c r="B868" s="451" t="s">
        <v>3104</v>
      </c>
      <c r="C868" s="77" t="s">
        <v>3122</v>
      </c>
      <c r="D868" s="77">
        <v>1</v>
      </c>
      <c r="E868" s="77">
        <v>0</v>
      </c>
      <c r="F868" s="77"/>
      <c r="G868" s="77">
        <v>1</v>
      </c>
      <c r="H868" s="452" t="s">
        <v>3123</v>
      </c>
      <c r="I868" s="77">
        <f>309/30</f>
        <v>10.3</v>
      </c>
      <c r="J868" s="77">
        <f>309/30</f>
        <v>10.3</v>
      </c>
      <c r="K868" s="77"/>
      <c r="L868" s="77">
        <v>1</v>
      </c>
      <c r="M868" s="77">
        <f t="shared" si="58"/>
        <v>9.9</v>
      </c>
      <c r="N868" s="77" t="s">
        <v>3124</v>
      </c>
      <c r="O868" s="50">
        <v>1</v>
      </c>
      <c r="P868" s="463">
        <v>5</v>
      </c>
      <c r="Q868" s="50">
        <v>0</v>
      </c>
      <c r="V868" s="50">
        <v>6</v>
      </c>
      <c r="W868" s="463">
        <v>0</v>
      </c>
      <c r="X868" s="466">
        <v>10</v>
      </c>
      <c r="Y868" s="50">
        <v>-0.1</v>
      </c>
      <c r="Z868" s="50">
        <v>0</v>
      </c>
      <c r="AB868" s="50">
        <f>I868-0.3</f>
        <v>10</v>
      </c>
      <c r="AC868" s="50">
        <v>2</v>
      </c>
      <c r="AD868" s="50">
        <v>1</v>
      </c>
      <c r="AE868" s="467" t="s">
        <v>3125</v>
      </c>
      <c r="AF868" s="50">
        <v>0.5</v>
      </c>
      <c r="AN868" s="469"/>
      <c r="AP868" s="472">
        <v>3207</v>
      </c>
      <c r="AQ868" s="45" t="s">
        <v>136</v>
      </c>
      <c r="AR868" s="473"/>
      <c r="AS868" s="474"/>
    </row>
    <row r="869" s="50" customFormat="1" ht="33" spans="1:45">
      <c r="A869" s="450">
        <v>865</v>
      </c>
      <c r="B869" s="451" t="s">
        <v>3104</v>
      </c>
      <c r="C869" s="77" t="s">
        <v>3126</v>
      </c>
      <c r="D869" s="77">
        <v>1</v>
      </c>
      <c r="E869" s="77">
        <v>0</v>
      </c>
      <c r="F869" s="77"/>
      <c r="G869" s="77">
        <v>1</v>
      </c>
      <c r="H869" s="452" t="s">
        <v>3127</v>
      </c>
      <c r="I869" s="77">
        <f>290/30</f>
        <v>9.66666666666667</v>
      </c>
      <c r="J869" s="77">
        <f>290/30</f>
        <v>9.66666666666667</v>
      </c>
      <c r="K869" s="77"/>
      <c r="L869" s="77">
        <v>1</v>
      </c>
      <c r="M869" s="77">
        <f t="shared" si="58"/>
        <v>9.26666666666667</v>
      </c>
      <c r="N869" s="77" t="s">
        <v>3128</v>
      </c>
      <c r="O869" s="50">
        <v>1</v>
      </c>
      <c r="P869" s="239">
        <v>7</v>
      </c>
      <c r="Q869" s="50">
        <v>0</v>
      </c>
      <c r="V869" s="50">
        <v>6</v>
      </c>
      <c r="W869" s="463">
        <v>0</v>
      </c>
      <c r="X869" s="466">
        <v>6</v>
      </c>
      <c r="Y869" s="50">
        <v>-0.1</v>
      </c>
      <c r="Z869" s="50">
        <v>0</v>
      </c>
      <c r="AB869" s="50">
        <f>I869-0.3</f>
        <v>9.36666666666667</v>
      </c>
      <c r="AC869" s="50">
        <v>2</v>
      </c>
      <c r="AD869" s="50">
        <v>1</v>
      </c>
      <c r="AE869" s="467" t="s">
        <v>3129</v>
      </c>
      <c r="AF869" s="50">
        <v>0.5</v>
      </c>
      <c r="AN869" s="469" t="s">
        <v>3130</v>
      </c>
      <c r="AO869" s="50" t="s">
        <v>3131</v>
      </c>
      <c r="AP869" s="472">
        <v>3215</v>
      </c>
      <c r="AQ869" s="45" t="s">
        <v>136</v>
      </c>
      <c r="AR869" s="473"/>
      <c r="AS869" s="474"/>
    </row>
    <row r="870" s="50" customFormat="1" ht="16.5" spans="1:45">
      <c r="A870" s="453">
        <v>866</v>
      </c>
      <c r="B870" s="454" t="s">
        <v>3132</v>
      </c>
      <c r="C870" s="455" t="s">
        <v>526</v>
      </c>
      <c r="D870" s="455">
        <v>1</v>
      </c>
      <c r="E870" s="455">
        <v>0</v>
      </c>
      <c r="F870" s="455"/>
      <c r="G870" s="455">
        <v>1</v>
      </c>
      <c r="H870" s="456" t="s">
        <v>3133</v>
      </c>
      <c r="I870" s="455">
        <v>3.43333333333333</v>
      </c>
      <c r="J870" s="455">
        <v>3.43333333333333</v>
      </c>
      <c r="K870" s="455"/>
      <c r="L870" s="455">
        <v>0</v>
      </c>
      <c r="M870" s="455">
        <v>3.03333333333333</v>
      </c>
      <c r="N870" s="455" t="s">
        <v>3134</v>
      </c>
      <c r="O870" s="50">
        <v>1</v>
      </c>
      <c r="P870" s="239">
        <v>1.9</v>
      </c>
      <c r="Q870" s="50">
        <v>0</v>
      </c>
      <c r="S870" s="50">
        <v>0.3</v>
      </c>
      <c r="T870" s="50">
        <v>-0.1</v>
      </c>
      <c r="U870" s="50">
        <v>0.1</v>
      </c>
      <c r="V870" s="50">
        <v>6</v>
      </c>
      <c r="W870" s="463">
        <v>0</v>
      </c>
      <c r="X870" s="466">
        <v>3</v>
      </c>
      <c r="Y870" s="50">
        <v>-0.1</v>
      </c>
      <c r="Z870" s="50">
        <v>0</v>
      </c>
      <c r="AE870" s="467"/>
      <c r="AN870" s="469"/>
      <c r="AP870" s="472">
        <v>3224</v>
      </c>
      <c r="AQ870" s="45" t="s">
        <v>136</v>
      </c>
      <c r="AR870" s="473"/>
      <c r="AS870" s="474"/>
    </row>
    <row r="871" s="50" customFormat="1" ht="16.5" spans="1:45">
      <c r="A871" s="453">
        <v>867</v>
      </c>
      <c r="B871" s="454" t="s">
        <v>3132</v>
      </c>
      <c r="C871" s="455" t="s">
        <v>3135</v>
      </c>
      <c r="D871" s="455">
        <v>1</v>
      </c>
      <c r="E871" s="455">
        <v>0</v>
      </c>
      <c r="F871" s="455"/>
      <c r="G871" s="455">
        <v>1</v>
      </c>
      <c r="H871" s="456" t="s">
        <v>3136</v>
      </c>
      <c r="I871" s="455">
        <v>2.33333333333333</v>
      </c>
      <c r="J871" s="455">
        <v>2.33333333333333</v>
      </c>
      <c r="K871" s="455"/>
      <c r="L871" s="455">
        <v>1</v>
      </c>
      <c r="M871" s="455">
        <v>1.93333333333333</v>
      </c>
      <c r="N871" s="455" t="s">
        <v>3137</v>
      </c>
      <c r="O871" s="50">
        <v>1</v>
      </c>
      <c r="P871" s="239">
        <v>1.9</v>
      </c>
      <c r="Q871" s="50">
        <v>0</v>
      </c>
      <c r="R871" s="50">
        <v>1</v>
      </c>
      <c r="S871" s="50">
        <v>0.5</v>
      </c>
      <c r="T871" s="50">
        <v>-0.1</v>
      </c>
      <c r="U871" s="50">
        <v>0.4</v>
      </c>
      <c r="V871" s="50">
        <v>6</v>
      </c>
      <c r="W871" s="463">
        <v>0</v>
      </c>
      <c r="X871" s="466">
        <v>1</v>
      </c>
      <c r="Y871" s="50">
        <v>-0.1</v>
      </c>
      <c r="Z871" s="50">
        <v>0</v>
      </c>
      <c r="AE871" s="467"/>
      <c r="AN871" s="469" t="s">
        <v>3138</v>
      </c>
      <c r="AO871" s="50" t="s">
        <v>524</v>
      </c>
      <c r="AP871" s="472">
        <v>3226</v>
      </c>
      <c r="AQ871" s="45" t="s">
        <v>136</v>
      </c>
      <c r="AR871" s="473"/>
      <c r="AS871" s="474"/>
    </row>
    <row r="872" s="50" customFormat="1" ht="16.5" spans="1:45">
      <c r="A872" s="453">
        <v>868</v>
      </c>
      <c r="B872" s="454" t="s">
        <v>3132</v>
      </c>
      <c r="C872" s="455" t="s">
        <v>3139</v>
      </c>
      <c r="D872" s="455">
        <v>1</v>
      </c>
      <c r="E872" s="455">
        <v>0</v>
      </c>
      <c r="F872" s="455"/>
      <c r="G872" s="455">
        <v>1</v>
      </c>
      <c r="H872" s="456" t="s">
        <v>3140</v>
      </c>
      <c r="I872" s="455">
        <v>3.3</v>
      </c>
      <c r="J872" s="455">
        <v>3.3</v>
      </c>
      <c r="K872" s="455"/>
      <c r="L872" s="455">
        <v>1</v>
      </c>
      <c r="M872" s="455">
        <v>2.9</v>
      </c>
      <c r="N872" s="455" t="s">
        <v>3141</v>
      </c>
      <c r="O872" s="50">
        <v>1</v>
      </c>
      <c r="P872" s="239">
        <v>1.9</v>
      </c>
      <c r="Q872" s="50">
        <v>0</v>
      </c>
      <c r="S872" s="50">
        <v>0.2</v>
      </c>
      <c r="U872" s="50">
        <v>0.3</v>
      </c>
      <c r="V872" s="50">
        <v>6</v>
      </c>
      <c r="W872" s="463">
        <v>6</v>
      </c>
      <c r="X872" s="466">
        <v>4</v>
      </c>
      <c r="Y872" s="50">
        <v>-0.1</v>
      </c>
      <c r="Z872" s="50">
        <v>0</v>
      </c>
      <c r="AE872" s="467"/>
      <c r="AN872" s="469">
        <v>3230</v>
      </c>
      <c r="AO872" s="50" t="s">
        <v>690</v>
      </c>
      <c r="AP872" s="472">
        <v>3229</v>
      </c>
      <c r="AQ872" s="45" t="s">
        <v>136</v>
      </c>
      <c r="AR872" s="473"/>
      <c r="AS872" s="474"/>
    </row>
    <row r="873" s="50" customFormat="1" ht="16.5" spans="1:45">
      <c r="A873" s="453">
        <v>869</v>
      </c>
      <c r="B873" s="454" t="s">
        <v>3132</v>
      </c>
      <c r="C873" s="455" t="s">
        <v>3142</v>
      </c>
      <c r="D873" s="455">
        <v>1</v>
      </c>
      <c r="E873" s="455">
        <v>0</v>
      </c>
      <c r="F873" s="455"/>
      <c r="G873" s="455">
        <v>1</v>
      </c>
      <c r="H873" s="456" t="s">
        <v>3143</v>
      </c>
      <c r="I873" s="455">
        <v>4.06666666666667</v>
      </c>
      <c r="J873" s="455">
        <v>4.06666666666667</v>
      </c>
      <c r="K873" s="455"/>
      <c r="L873" s="455">
        <v>1</v>
      </c>
      <c r="M873" s="455">
        <v>3.66666666666667</v>
      </c>
      <c r="N873" s="455" t="s">
        <v>3144</v>
      </c>
      <c r="O873" s="50">
        <v>1</v>
      </c>
      <c r="P873" s="239">
        <v>1.9</v>
      </c>
      <c r="Q873" s="50">
        <v>0</v>
      </c>
      <c r="R873" s="50">
        <v>1</v>
      </c>
      <c r="S873" s="50">
        <v>0.6</v>
      </c>
      <c r="T873" s="50">
        <v>-0.1</v>
      </c>
      <c r="U873" s="50">
        <v>0.5</v>
      </c>
      <c r="V873" s="50">
        <v>6</v>
      </c>
      <c r="W873" s="463">
        <v>0</v>
      </c>
      <c r="X873" s="466">
        <v>2</v>
      </c>
      <c r="Y873" s="50">
        <v>-0.1</v>
      </c>
      <c r="Z873" s="50">
        <v>0</v>
      </c>
      <c r="AE873" s="467"/>
      <c r="AN873" s="469" t="s">
        <v>3145</v>
      </c>
      <c r="AO873" s="50" t="s">
        <v>3146</v>
      </c>
      <c r="AP873" s="472">
        <v>3232</v>
      </c>
      <c r="AQ873" s="45" t="s">
        <v>136</v>
      </c>
      <c r="AR873" s="473"/>
      <c r="AS873" s="474"/>
    </row>
    <row r="874" s="50" customFormat="1" ht="15" customHeight="1" spans="1:45">
      <c r="A874" s="453">
        <v>870</v>
      </c>
      <c r="B874" s="454" t="s">
        <v>3132</v>
      </c>
      <c r="C874" s="455" t="s">
        <v>3147</v>
      </c>
      <c r="D874" s="455">
        <v>1</v>
      </c>
      <c r="E874" s="455">
        <v>0</v>
      </c>
      <c r="F874" s="455"/>
      <c r="G874" s="455">
        <v>1</v>
      </c>
      <c r="H874" s="456" t="s">
        <v>3148</v>
      </c>
      <c r="I874" s="455">
        <v>8.33333333333333</v>
      </c>
      <c r="J874" s="455">
        <v>8.33333333333333</v>
      </c>
      <c r="K874" s="455"/>
      <c r="L874" s="455">
        <v>1</v>
      </c>
      <c r="M874" s="455">
        <v>7.93333333333333</v>
      </c>
      <c r="N874" s="455" t="s">
        <v>3149</v>
      </c>
      <c r="O874" s="50">
        <v>1</v>
      </c>
      <c r="P874" s="239">
        <v>3.5</v>
      </c>
      <c r="Q874" s="50">
        <v>0</v>
      </c>
      <c r="V874" s="50">
        <v>6</v>
      </c>
      <c r="W874" s="463">
        <v>0</v>
      </c>
      <c r="X874" s="466">
        <v>2</v>
      </c>
      <c r="Y874" s="50">
        <v>-0.1</v>
      </c>
      <c r="Z874" s="50">
        <v>0</v>
      </c>
      <c r="AB874" s="50">
        <v>8.03333333333333</v>
      </c>
      <c r="AC874" s="50">
        <v>2</v>
      </c>
      <c r="AD874" s="50">
        <v>1</v>
      </c>
      <c r="AE874" s="467" t="s">
        <v>3150</v>
      </c>
      <c r="AF874" s="50">
        <v>0.5</v>
      </c>
      <c r="AN874" s="469">
        <v>3247</v>
      </c>
      <c r="AO874" s="50" t="s">
        <v>3151</v>
      </c>
      <c r="AP874" s="472">
        <v>3246</v>
      </c>
      <c r="AQ874" s="45" t="s">
        <v>136</v>
      </c>
      <c r="AR874" s="473"/>
      <c r="AS874" s="474" t="s">
        <v>3152</v>
      </c>
    </row>
    <row r="875" s="50" customFormat="1" ht="16.5" spans="1:45">
      <c r="A875" s="453">
        <v>871</v>
      </c>
      <c r="B875" s="454" t="s">
        <v>3132</v>
      </c>
      <c r="C875" s="455" t="s">
        <v>3153</v>
      </c>
      <c r="D875" s="455">
        <v>1</v>
      </c>
      <c r="E875" s="455">
        <v>0</v>
      </c>
      <c r="F875" s="455"/>
      <c r="G875" s="455">
        <v>1</v>
      </c>
      <c r="H875" s="456" t="s">
        <v>3154</v>
      </c>
      <c r="I875" s="455">
        <v>11.4</v>
      </c>
      <c r="J875" s="455">
        <v>11.4</v>
      </c>
      <c r="K875" s="455"/>
      <c r="L875" s="455">
        <v>1</v>
      </c>
      <c r="M875" s="455">
        <v>11</v>
      </c>
      <c r="N875" s="455" t="s">
        <v>3155</v>
      </c>
      <c r="O875" s="50">
        <v>1</v>
      </c>
      <c r="P875" s="239">
        <v>15</v>
      </c>
      <c r="Q875" s="50">
        <v>0</v>
      </c>
      <c r="V875" s="50">
        <v>6</v>
      </c>
      <c r="W875" s="463">
        <v>6</v>
      </c>
      <c r="X875" s="466">
        <v>9</v>
      </c>
      <c r="Y875" s="50">
        <v>-0.1</v>
      </c>
      <c r="Z875" s="50">
        <v>0</v>
      </c>
      <c r="AB875" s="50">
        <v>11.1</v>
      </c>
      <c r="AC875" s="50">
        <v>2</v>
      </c>
      <c r="AD875" s="50">
        <v>1</v>
      </c>
      <c r="AE875" s="467" t="s">
        <v>3156</v>
      </c>
      <c r="AF875" s="50">
        <v>0.5</v>
      </c>
      <c r="AN875" s="469">
        <v>3257</v>
      </c>
      <c r="AO875" s="50" t="s">
        <v>1726</v>
      </c>
      <c r="AP875" s="472">
        <v>3255</v>
      </c>
      <c r="AQ875" s="45" t="s">
        <v>136</v>
      </c>
      <c r="AR875" s="473"/>
      <c r="AS875" s="474"/>
    </row>
    <row r="876" s="50" customFormat="1" ht="16.5" spans="1:45">
      <c r="A876" s="453">
        <v>872</v>
      </c>
      <c r="B876" s="454" t="s">
        <v>3132</v>
      </c>
      <c r="C876" s="455" t="s">
        <v>1231</v>
      </c>
      <c r="D876" s="455">
        <v>1</v>
      </c>
      <c r="E876" s="455">
        <v>0</v>
      </c>
      <c r="F876" s="455"/>
      <c r="G876" s="455">
        <v>1</v>
      </c>
      <c r="H876" s="456" t="s">
        <v>3157</v>
      </c>
      <c r="I876" s="455">
        <v>2.83333333333333</v>
      </c>
      <c r="J876" s="455">
        <v>2.83333333333333</v>
      </c>
      <c r="K876" s="455"/>
      <c r="L876" s="455">
        <v>0</v>
      </c>
      <c r="M876" s="455">
        <v>2.43333333333333</v>
      </c>
      <c r="N876" s="455" t="s">
        <v>3158</v>
      </c>
      <c r="O876" s="50">
        <v>1</v>
      </c>
      <c r="P876" s="239">
        <v>1.7</v>
      </c>
      <c r="Q876" s="50">
        <v>0</v>
      </c>
      <c r="S876" s="50">
        <v>0.5</v>
      </c>
      <c r="T876" s="50">
        <v>-0.1</v>
      </c>
      <c r="U876" s="50">
        <v>0.5</v>
      </c>
      <c r="V876" s="50">
        <v>6</v>
      </c>
      <c r="W876" s="463">
        <v>0</v>
      </c>
      <c r="X876" s="466">
        <v>3</v>
      </c>
      <c r="Y876" s="50">
        <v>-0.1</v>
      </c>
      <c r="Z876" s="50">
        <v>0</v>
      </c>
      <c r="AE876" s="467"/>
      <c r="AN876" s="469"/>
      <c r="AP876" s="472">
        <v>3236</v>
      </c>
      <c r="AQ876" s="45" t="s">
        <v>136</v>
      </c>
      <c r="AR876" s="473"/>
      <c r="AS876" s="474"/>
    </row>
    <row r="877" s="50" customFormat="1" ht="16.5" spans="1:45">
      <c r="A877" s="453">
        <v>873</v>
      </c>
      <c r="B877" s="454" t="s">
        <v>3132</v>
      </c>
      <c r="C877" s="455" t="s">
        <v>3159</v>
      </c>
      <c r="D877" s="455">
        <v>1</v>
      </c>
      <c r="E877" s="455">
        <v>0</v>
      </c>
      <c r="F877" s="455"/>
      <c r="G877" s="455">
        <v>1</v>
      </c>
      <c r="H877" s="456" t="s">
        <v>3160</v>
      </c>
      <c r="I877" s="455">
        <v>4.26666666666667</v>
      </c>
      <c r="J877" s="455">
        <v>4.26666666666667</v>
      </c>
      <c r="K877" s="455"/>
      <c r="L877" s="455">
        <v>1</v>
      </c>
      <c r="M877" s="455">
        <v>3.86666666666667</v>
      </c>
      <c r="N877" s="455" t="s">
        <v>3161</v>
      </c>
      <c r="O877" s="50">
        <v>1</v>
      </c>
      <c r="P877" s="239">
        <v>1.7</v>
      </c>
      <c r="Q877" s="50">
        <v>0</v>
      </c>
      <c r="S877" s="50">
        <v>0.4</v>
      </c>
      <c r="T877" s="50">
        <v>-0.1</v>
      </c>
      <c r="U877" s="50">
        <v>0.4</v>
      </c>
      <c r="V877" s="50">
        <v>6</v>
      </c>
      <c r="W877" s="463">
        <v>0</v>
      </c>
      <c r="X877" s="466">
        <v>4</v>
      </c>
      <c r="Y877" s="50">
        <v>-0.1</v>
      </c>
      <c r="Z877" s="50">
        <v>0</v>
      </c>
      <c r="AE877" s="467"/>
      <c r="AN877" s="469" t="s">
        <v>3162</v>
      </c>
      <c r="AO877" s="50" t="s">
        <v>524</v>
      </c>
      <c r="AP877" s="472">
        <v>3239</v>
      </c>
      <c r="AQ877" s="45" t="s">
        <v>136</v>
      </c>
      <c r="AR877" s="473"/>
      <c r="AS877" s="474"/>
    </row>
    <row r="878" s="50" customFormat="1" ht="16.5" spans="1:45">
      <c r="A878" s="453">
        <v>874</v>
      </c>
      <c r="B878" s="454" t="s">
        <v>3132</v>
      </c>
      <c r="C878" s="455" t="s">
        <v>3163</v>
      </c>
      <c r="D878" s="455">
        <v>1</v>
      </c>
      <c r="E878" s="455">
        <v>0</v>
      </c>
      <c r="F878" s="455"/>
      <c r="G878" s="455">
        <v>1</v>
      </c>
      <c r="H878" s="456" t="s">
        <v>3164</v>
      </c>
      <c r="I878" s="455">
        <v>16.5</v>
      </c>
      <c r="J878" s="455">
        <v>16.5</v>
      </c>
      <c r="K878" s="455"/>
      <c r="L878" s="455">
        <v>1</v>
      </c>
      <c r="M878" s="455">
        <v>16.1</v>
      </c>
      <c r="N878" s="455" t="s">
        <v>3165</v>
      </c>
      <c r="O878" s="50">
        <v>1</v>
      </c>
      <c r="P878" s="239">
        <v>5</v>
      </c>
      <c r="Q878" s="50">
        <v>0</v>
      </c>
      <c r="V878" s="50">
        <v>6</v>
      </c>
      <c r="W878" s="463">
        <v>6</v>
      </c>
      <c r="X878" s="466">
        <v>3</v>
      </c>
      <c r="Y878" s="50">
        <v>-0.1</v>
      </c>
      <c r="Z878" s="50">
        <v>0</v>
      </c>
      <c r="AB878" s="50">
        <v>16.2</v>
      </c>
      <c r="AC878" s="50">
        <v>1</v>
      </c>
      <c r="AD878" s="50">
        <v>1</v>
      </c>
      <c r="AE878" s="467" t="s">
        <v>3166</v>
      </c>
      <c r="AF878" s="50">
        <v>0.5</v>
      </c>
      <c r="AN878" s="469" t="s">
        <v>3167</v>
      </c>
      <c r="AO878" s="50" t="s">
        <v>3168</v>
      </c>
      <c r="AP878" s="472">
        <v>3251</v>
      </c>
      <c r="AQ878" s="45" t="s">
        <v>136</v>
      </c>
      <c r="AR878" s="473"/>
      <c r="AS878" s="474"/>
    </row>
    <row r="879" s="50" customFormat="1" ht="16.5" spans="1:45">
      <c r="A879" s="448">
        <v>875</v>
      </c>
      <c r="B879" s="449" t="s">
        <v>3169</v>
      </c>
      <c r="C879" s="35" t="s">
        <v>526</v>
      </c>
      <c r="D879" s="35">
        <v>1</v>
      </c>
      <c r="E879" s="35">
        <v>0</v>
      </c>
      <c r="F879" s="35"/>
      <c r="G879" s="35">
        <v>1</v>
      </c>
      <c r="H879" s="322" t="s">
        <v>3170</v>
      </c>
      <c r="I879" s="35">
        <v>2.36666666666667</v>
      </c>
      <c r="J879" s="35">
        <v>2.36666666666667</v>
      </c>
      <c r="K879" s="35"/>
      <c r="L879" s="35">
        <v>0</v>
      </c>
      <c r="M879" s="35">
        <v>1.96666666666667</v>
      </c>
      <c r="N879" s="35" t="s">
        <v>3171</v>
      </c>
      <c r="O879" s="50">
        <v>1</v>
      </c>
      <c r="P879" s="239">
        <v>2.1</v>
      </c>
      <c r="Q879" s="50">
        <v>0</v>
      </c>
      <c r="S879" s="50">
        <v>0.6</v>
      </c>
      <c r="U879" s="50">
        <v>0.3</v>
      </c>
      <c r="V879" s="50">
        <v>6</v>
      </c>
      <c r="W879" s="463">
        <v>0</v>
      </c>
      <c r="X879" s="466">
        <v>2</v>
      </c>
      <c r="Y879" s="50">
        <v>-0.1</v>
      </c>
      <c r="Z879" s="50">
        <v>0</v>
      </c>
      <c r="AE879" s="467"/>
      <c r="AN879" s="469"/>
      <c r="AP879" s="472">
        <v>3286</v>
      </c>
      <c r="AQ879" s="45" t="s">
        <v>136</v>
      </c>
      <c r="AR879" s="473"/>
      <c r="AS879" s="474"/>
    </row>
    <row r="880" s="50" customFormat="1" ht="16.5" spans="1:45">
      <c r="A880" s="448">
        <v>876</v>
      </c>
      <c r="B880" s="449" t="s">
        <v>3169</v>
      </c>
      <c r="C880" s="35" t="s">
        <v>3172</v>
      </c>
      <c r="D880" s="35">
        <v>1</v>
      </c>
      <c r="E880" s="35">
        <v>0</v>
      </c>
      <c r="F880" s="35"/>
      <c r="G880" s="35">
        <v>1</v>
      </c>
      <c r="H880" s="322" t="s">
        <v>3173</v>
      </c>
      <c r="I880" s="35">
        <v>2.83333333333333</v>
      </c>
      <c r="J880" s="35">
        <v>2.83333333333333</v>
      </c>
      <c r="K880" s="35"/>
      <c r="L880" s="35">
        <v>1</v>
      </c>
      <c r="M880" s="35">
        <v>2.43333333333333</v>
      </c>
      <c r="N880" s="35" t="s">
        <v>3174</v>
      </c>
      <c r="O880" s="50">
        <v>1</v>
      </c>
      <c r="P880" s="239">
        <v>2.1</v>
      </c>
      <c r="Q880" s="50">
        <v>0</v>
      </c>
      <c r="S880" s="50">
        <v>0.6</v>
      </c>
      <c r="U880" s="50">
        <v>0.3</v>
      </c>
      <c r="V880" s="50">
        <v>6</v>
      </c>
      <c r="W880" s="463">
        <v>0</v>
      </c>
      <c r="X880" s="466">
        <v>6</v>
      </c>
      <c r="Y880" s="50">
        <v>-0.1</v>
      </c>
      <c r="Z880" s="50">
        <v>0</v>
      </c>
      <c r="AE880" s="467"/>
      <c r="AN880" s="469"/>
      <c r="AP880" s="472">
        <v>3288</v>
      </c>
      <c r="AQ880" s="45" t="s">
        <v>136</v>
      </c>
      <c r="AR880" s="473"/>
      <c r="AS880" s="474"/>
    </row>
    <row r="881" s="50" customFormat="1" ht="16.5" spans="1:45">
      <c r="A881" s="448">
        <v>877</v>
      </c>
      <c r="B881" s="449" t="s">
        <v>3169</v>
      </c>
      <c r="C881" s="35" t="s">
        <v>3175</v>
      </c>
      <c r="D881" s="35">
        <v>1</v>
      </c>
      <c r="E881" s="35">
        <v>0</v>
      </c>
      <c r="F881" s="35"/>
      <c r="G881" s="35">
        <v>1</v>
      </c>
      <c r="H881" s="322" t="s">
        <v>3176</v>
      </c>
      <c r="I881" s="35">
        <v>3.23333333333333</v>
      </c>
      <c r="J881" s="35">
        <v>3.23333333333333</v>
      </c>
      <c r="K881" s="35"/>
      <c r="L881" s="35">
        <v>1</v>
      </c>
      <c r="M881" s="35">
        <v>2.83333333333333</v>
      </c>
      <c r="N881" s="35" t="s">
        <v>3177</v>
      </c>
      <c r="O881" s="50">
        <v>1</v>
      </c>
      <c r="P881" s="239">
        <v>2.1</v>
      </c>
      <c r="Q881" s="50">
        <v>0</v>
      </c>
      <c r="S881" s="50">
        <v>0.2</v>
      </c>
      <c r="U881" s="50">
        <v>0.1</v>
      </c>
      <c r="V881" s="50">
        <v>6</v>
      </c>
      <c r="W881" s="463">
        <v>0</v>
      </c>
      <c r="X881" s="466">
        <v>4</v>
      </c>
      <c r="Y881" s="50">
        <v>-0.1</v>
      </c>
      <c r="Z881" s="50">
        <v>0</v>
      </c>
      <c r="AE881" s="467"/>
      <c r="AN881" s="469"/>
      <c r="AP881" s="472">
        <v>3289</v>
      </c>
      <c r="AQ881" s="45" t="s">
        <v>136</v>
      </c>
      <c r="AR881" s="473"/>
      <c r="AS881" s="474"/>
    </row>
    <row r="882" s="50" customFormat="1" ht="16.5" spans="1:45">
      <c r="A882" s="448">
        <v>878</v>
      </c>
      <c r="B882" s="449" t="s">
        <v>3169</v>
      </c>
      <c r="C882" s="35" t="s">
        <v>3178</v>
      </c>
      <c r="D882" s="35">
        <v>1</v>
      </c>
      <c r="E882" s="35">
        <v>0</v>
      </c>
      <c r="F882" s="35"/>
      <c r="G882" s="35">
        <v>1</v>
      </c>
      <c r="H882" s="322" t="s">
        <v>3179</v>
      </c>
      <c r="I882" s="35">
        <v>3.83333333333333</v>
      </c>
      <c r="J882" s="35">
        <v>3.83333333333333</v>
      </c>
      <c r="K882" s="35"/>
      <c r="L882" s="35">
        <v>1</v>
      </c>
      <c r="M882" s="35">
        <v>3.43333333333333</v>
      </c>
      <c r="N882" s="35" t="s">
        <v>3180</v>
      </c>
      <c r="O882" s="50">
        <v>1</v>
      </c>
      <c r="P882" s="239">
        <v>2.1</v>
      </c>
      <c r="Q882" s="50">
        <v>0</v>
      </c>
      <c r="S882" s="50">
        <v>0.6</v>
      </c>
      <c r="T882" s="50">
        <v>0</v>
      </c>
      <c r="U882" s="50">
        <v>1</v>
      </c>
      <c r="V882" s="50">
        <v>6</v>
      </c>
      <c r="W882" s="463">
        <v>6</v>
      </c>
      <c r="X882" s="466">
        <v>1</v>
      </c>
      <c r="Y882" s="50">
        <v>-0.1</v>
      </c>
      <c r="Z882" s="50">
        <v>0</v>
      </c>
      <c r="AE882" s="467"/>
      <c r="AN882" s="469"/>
      <c r="AP882" s="472">
        <v>3290</v>
      </c>
      <c r="AQ882" s="45" t="s">
        <v>136</v>
      </c>
      <c r="AR882" s="473"/>
      <c r="AS882" s="474"/>
    </row>
    <row r="883" s="50" customFormat="1" ht="16.5" spans="1:45">
      <c r="A883" s="448">
        <v>879</v>
      </c>
      <c r="B883" s="449" t="s">
        <v>3169</v>
      </c>
      <c r="C883" s="35" t="s">
        <v>3181</v>
      </c>
      <c r="D883" s="35">
        <v>1</v>
      </c>
      <c r="E883" s="35">
        <v>0</v>
      </c>
      <c r="F883" s="35"/>
      <c r="G883" s="35">
        <v>1</v>
      </c>
      <c r="H883" s="322" t="s">
        <v>3182</v>
      </c>
      <c r="I883" s="35">
        <v>3.66666666666667</v>
      </c>
      <c r="J883" s="35">
        <v>3.66666666666667</v>
      </c>
      <c r="K883" s="35"/>
      <c r="L883" s="35">
        <v>1</v>
      </c>
      <c r="M883" s="35">
        <v>3.26666666666667</v>
      </c>
      <c r="N883" s="37" t="s">
        <v>3183</v>
      </c>
      <c r="O883" s="50">
        <v>1</v>
      </c>
      <c r="P883" s="239">
        <v>2.1</v>
      </c>
      <c r="Q883" s="50">
        <v>0</v>
      </c>
      <c r="S883" s="50">
        <v>0.6</v>
      </c>
      <c r="T883" s="50">
        <v>0</v>
      </c>
      <c r="U883" s="50">
        <v>1</v>
      </c>
      <c r="V883" s="50">
        <v>6</v>
      </c>
      <c r="W883" s="463">
        <v>6</v>
      </c>
      <c r="X883" s="466">
        <v>4</v>
      </c>
      <c r="Y883" s="50">
        <v>-0.1</v>
      </c>
      <c r="Z883" s="50">
        <v>0</v>
      </c>
      <c r="AE883" s="467"/>
      <c r="AN883" s="469"/>
      <c r="AP883" s="472">
        <v>3292</v>
      </c>
      <c r="AQ883" s="45" t="s">
        <v>136</v>
      </c>
      <c r="AR883" s="473"/>
      <c r="AS883" s="474"/>
    </row>
    <row r="884" s="50" customFormat="1" ht="16.5" spans="1:45">
      <c r="A884" s="448">
        <v>880</v>
      </c>
      <c r="B884" s="449" t="s">
        <v>3169</v>
      </c>
      <c r="C884" s="35" t="s">
        <v>3184</v>
      </c>
      <c r="D884" s="35">
        <v>1</v>
      </c>
      <c r="E884" s="35">
        <v>0</v>
      </c>
      <c r="F884" s="35"/>
      <c r="G884" s="35">
        <v>1</v>
      </c>
      <c r="H884" s="322" t="s">
        <v>3185</v>
      </c>
      <c r="I884" s="35">
        <v>9.93333333333333</v>
      </c>
      <c r="J884" s="35">
        <v>9.93333333333333</v>
      </c>
      <c r="K884" s="35"/>
      <c r="L884" s="35">
        <v>1</v>
      </c>
      <c r="M884" s="35">
        <v>9.53333333333333</v>
      </c>
      <c r="N884" s="35" t="s">
        <v>3186</v>
      </c>
      <c r="O884" s="50">
        <v>1</v>
      </c>
      <c r="P884" s="239">
        <v>2</v>
      </c>
      <c r="Q884" s="50">
        <v>0</v>
      </c>
      <c r="V884" s="50">
        <v>6</v>
      </c>
      <c r="W884" s="463">
        <v>0</v>
      </c>
      <c r="X884" s="466">
        <v>1</v>
      </c>
      <c r="Y884" s="50">
        <v>-0.1</v>
      </c>
      <c r="Z884" s="50">
        <v>0</v>
      </c>
      <c r="AB884" s="414">
        <v>9.81333333333333</v>
      </c>
      <c r="AC884" s="50">
        <v>1</v>
      </c>
      <c r="AD884" s="50">
        <v>1</v>
      </c>
      <c r="AE884" s="467" t="s">
        <v>3187</v>
      </c>
      <c r="AF884" s="50">
        <v>0.5</v>
      </c>
      <c r="AN884" s="469"/>
      <c r="AP884" s="472">
        <v>3294</v>
      </c>
      <c r="AQ884" s="45" t="s">
        <v>136</v>
      </c>
      <c r="AR884" s="473"/>
      <c r="AS884" s="474" t="s">
        <v>3188</v>
      </c>
    </row>
    <row r="885" s="50" customFormat="1" ht="16.5" spans="1:45">
      <c r="A885" s="448">
        <v>881</v>
      </c>
      <c r="B885" s="449" t="s">
        <v>3169</v>
      </c>
      <c r="C885" s="35" t="s">
        <v>3189</v>
      </c>
      <c r="D885" s="35">
        <v>1</v>
      </c>
      <c r="E885" s="35">
        <v>0</v>
      </c>
      <c r="F885" s="35"/>
      <c r="G885" s="35">
        <v>1</v>
      </c>
      <c r="H885" s="322" t="s">
        <v>3190</v>
      </c>
      <c r="I885" s="35">
        <v>10.0666666666667</v>
      </c>
      <c r="J885" s="35">
        <v>10.0666666666667</v>
      </c>
      <c r="K885" s="35"/>
      <c r="L885" s="35">
        <v>1</v>
      </c>
      <c r="M885" s="35">
        <v>9.6666666666667</v>
      </c>
      <c r="N885" s="35" t="s">
        <v>3191</v>
      </c>
      <c r="O885" s="50">
        <v>1</v>
      </c>
      <c r="P885" s="239">
        <v>2</v>
      </c>
      <c r="Q885" s="50">
        <v>0</v>
      </c>
      <c r="V885" s="50">
        <v>6</v>
      </c>
      <c r="W885" s="463">
        <v>6</v>
      </c>
      <c r="X885" s="466">
        <v>2</v>
      </c>
      <c r="Y885" s="50">
        <v>-0.1</v>
      </c>
      <c r="Z885" s="50">
        <v>0</v>
      </c>
      <c r="AB885" s="50">
        <v>9.76666666666667</v>
      </c>
      <c r="AC885" s="50">
        <v>1</v>
      </c>
      <c r="AD885" s="50">
        <v>1</v>
      </c>
      <c r="AE885" s="467" t="s">
        <v>3192</v>
      </c>
      <c r="AF885" s="50">
        <v>0.5</v>
      </c>
      <c r="AN885" s="469"/>
      <c r="AP885" s="472">
        <v>3299</v>
      </c>
      <c r="AQ885" s="45" t="s">
        <v>136</v>
      </c>
      <c r="AR885" s="473"/>
      <c r="AS885" s="474" t="s">
        <v>3193</v>
      </c>
    </row>
    <row r="886" s="50" customFormat="1" ht="16.5" spans="1:45">
      <c r="A886" s="448">
        <v>882</v>
      </c>
      <c r="B886" s="449" t="s">
        <v>3169</v>
      </c>
      <c r="C886" s="35" t="s">
        <v>3194</v>
      </c>
      <c r="D886" s="35">
        <v>1</v>
      </c>
      <c r="E886" s="35">
        <v>0</v>
      </c>
      <c r="F886" s="35"/>
      <c r="G886" s="35">
        <v>1</v>
      </c>
      <c r="H886" s="322" t="s">
        <v>3195</v>
      </c>
      <c r="I886" s="35">
        <v>14</v>
      </c>
      <c r="J886" s="35">
        <v>14</v>
      </c>
      <c r="K886" s="35"/>
      <c r="L886" s="35">
        <v>1</v>
      </c>
      <c r="M886" s="35">
        <v>13.6</v>
      </c>
      <c r="N886" s="35" t="s">
        <v>3196</v>
      </c>
      <c r="O886" s="50">
        <v>1</v>
      </c>
      <c r="P886" s="239">
        <v>2</v>
      </c>
      <c r="Q886" s="50">
        <v>0</v>
      </c>
      <c r="V886" s="50">
        <v>6</v>
      </c>
      <c r="W886" s="463">
        <v>0</v>
      </c>
      <c r="X886" s="466">
        <v>2</v>
      </c>
      <c r="Y886" s="50">
        <v>-0.1</v>
      </c>
      <c r="Z886" s="50">
        <v>0</v>
      </c>
      <c r="AB886" s="50">
        <v>13.7</v>
      </c>
      <c r="AC886" s="50">
        <v>2</v>
      </c>
      <c r="AD886" s="50">
        <v>1</v>
      </c>
      <c r="AE886" s="467" t="s">
        <v>3197</v>
      </c>
      <c r="AF886" s="50">
        <v>0.5</v>
      </c>
      <c r="AN886" s="469"/>
      <c r="AP886" s="472">
        <v>3295</v>
      </c>
      <c r="AQ886" s="45" t="s">
        <v>136</v>
      </c>
      <c r="AR886" s="473"/>
      <c r="AS886" s="474" t="s">
        <v>3198</v>
      </c>
    </row>
    <row r="887" s="50" customFormat="1" ht="16.5" spans="1:45">
      <c r="A887" s="457">
        <v>883</v>
      </c>
      <c r="B887" s="458" t="s">
        <v>3199</v>
      </c>
      <c r="C887" s="341" t="s">
        <v>526</v>
      </c>
      <c r="D887" s="42">
        <v>1</v>
      </c>
      <c r="E887" s="42">
        <v>0</v>
      </c>
      <c r="F887" s="42"/>
      <c r="G887" s="42">
        <v>1</v>
      </c>
      <c r="H887" s="342" t="s">
        <v>3200</v>
      </c>
      <c r="I887" s="42">
        <v>2.33333333333333</v>
      </c>
      <c r="J887" s="42">
        <v>2.33333333333333</v>
      </c>
      <c r="K887" s="42"/>
      <c r="L887" s="42">
        <v>0</v>
      </c>
      <c r="M887" s="77">
        <f t="shared" ref="M887:M929" si="59">I887-0.4</f>
        <v>1.93333333333333</v>
      </c>
      <c r="N887" s="42" t="s">
        <v>3201</v>
      </c>
      <c r="O887" s="42">
        <v>1</v>
      </c>
      <c r="P887" s="42">
        <v>2</v>
      </c>
      <c r="Q887" s="42">
        <v>0</v>
      </c>
      <c r="R887" s="42"/>
      <c r="S887" s="42">
        <v>0.8</v>
      </c>
      <c r="T887" s="42"/>
      <c r="U887" s="42">
        <v>0.2</v>
      </c>
      <c r="V887" s="42">
        <v>6</v>
      </c>
      <c r="W887" s="42">
        <v>0</v>
      </c>
      <c r="X887" s="350">
        <v>3</v>
      </c>
      <c r="Y887" s="42">
        <v>-0.1</v>
      </c>
      <c r="Z887" s="42">
        <v>0</v>
      </c>
      <c r="AA887" s="42"/>
      <c r="AB887" s="42"/>
      <c r="AC887" s="42"/>
      <c r="AD887" s="42"/>
      <c r="AE887" s="42"/>
      <c r="AF887" s="42"/>
      <c r="AG887" s="42"/>
      <c r="AH887" s="42"/>
      <c r="AI887" s="42"/>
      <c r="AJ887" s="42"/>
      <c r="AK887" s="42"/>
      <c r="AL887" s="42"/>
      <c r="AM887" s="42"/>
      <c r="AN887" s="42"/>
      <c r="AO887" s="42"/>
      <c r="AP887" s="361">
        <v>3268</v>
      </c>
      <c r="AQ887" s="45" t="s">
        <v>136</v>
      </c>
      <c r="AR887" s="42"/>
      <c r="AS887" s="42"/>
    </row>
    <row r="888" s="50" customFormat="1" ht="16.5" spans="1:45">
      <c r="A888" s="457">
        <v>884</v>
      </c>
      <c r="B888" s="458" t="s">
        <v>3199</v>
      </c>
      <c r="C888" s="341" t="s">
        <v>2597</v>
      </c>
      <c r="D888" s="42">
        <v>1</v>
      </c>
      <c r="E888" s="42">
        <v>0</v>
      </c>
      <c r="F888" s="42"/>
      <c r="G888" s="42">
        <v>1</v>
      </c>
      <c r="H888" s="342" t="s">
        <v>3202</v>
      </c>
      <c r="I888" s="42">
        <v>2.16666666666667</v>
      </c>
      <c r="J888" s="42">
        <v>2.16666666666667</v>
      </c>
      <c r="K888" s="42"/>
      <c r="L888" s="42">
        <v>1</v>
      </c>
      <c r="M888" s="77">
        <f t="shared" si="59"/>
        <v>1.76666666666667</v>
      </c>
      <c r="N888" s="42" t="s">
        <v>3203</v>
      </c>
      <c r="O888" s="42">
        <v>1</v>
      </c>
      <c r="P888" s="42">
        <v>2</v>
      </c>
      <c r="Q888" s="42">
        <v>0</v>
      </c>
      <c r="R888" s="42"/>
      <c r="S888" s="42">
        <v>0.5</v>
      </c>
      <c r="T888" s="42"/>
      <c r="U888" s="42">
        <v>0.8</v>
      </c>
      <c r="V888" s="42">
        <v>6</v>
      </c>
      <c r="W888" s="42">
        <v>4</v>
      </c>
      <c r="X888" s="350">
        <v>3</v>
      </c>
      <c r="Y888" s="42">
        <v>-0.1</v>
      </c>
      <c r="Z888" s="42">
        <v>0</v>
      </c>
      <c r="AA888" s="42"/>
      <c r="AB888" s="42"/>
      <c r="AC888" s="42"/>
      <c r="AD888" s="42"/>
      <c r="AE888" s="42"/>
      <c r="AF888" s="42"/>
      <c r="AG888" s="42"/>
      <c r="AH888" s="42"/>
      <c r="AI888" s="42"/>
      <c r="AJ888" s="42"/>
      <c r="AK888" s="42"/>
      <c r="AL888" s="42"/>
      <c r="AM888" s="42"/>
      <c r="AN888" s="42"/>
      <c r="AO888" s="42"/>
      <c r="AP888" s="361">
        <v>3271</v>
      </c>
      <c r="AQ888" s="45" t="s">
        <v>136</v>
      </c>
      <c r="AR888" s="42"/>
      <c r="AS888" s="42"/>
    </row>
    <row r="889" s="50" customFormat="1" ht="16.5" spans="1:45">
      <c r="A889" s="457">
        <v>885</v>
      </c>
      <c r="B889" s="458" t="s">
        <v>3199</v>
      </c>
      <c r="C889" s="341" t="s">
        <v>2598</v>
      </c>
      <c r="D889" s="42">
        <v>1</v>
      </c>
      <c r="E889" s="42">
        <v>0</v>
      </c>
      <c r="F889" s="42"/>
      <c r="G889" s="42">
        <v>1</v>
      </c>
      <c r="H889" s="342" t="s">
        <v>3204</v>
      </c>
      <c r="I889" s="42">
        <v>3.4</v>
      </c>
      <c r="J889" s="42">
        <v>3.4</v>
      </c>
      <c r="K889" s="42"/>
      <c r="L889" s="42">
        <v>1</v>
      </c>
      <c r="M889" s="77">
        <f t="shared" si="59"/>
        <v>3</v>
      </c>
      <c r="N889" s="42" t="s">
        <v>3205</v>
      </c>
      <c r="O889" s="42">
        <v>1</v>
      </c>
      <c r="P889" s="42">
        <v>2</v>
      </c>
      <c r="Q889" s="42">
        <v>0</v>
      </c>
      <c r="R889" s="42"/>
      <c r="S889" s="42">
        <v>0.8</v>
      </c>
      <c r="T889" s="42"/>
      <c r="U889" s="42">
        <v>0.2</v>
      </c>
      <c r="V889" s="42">
        <v>6</v>
      </c>
      <c r="W889" s="42">
        <v>0</v>
      </c>
      <c r="X889" s="350">
        <v>3</v>
      </c>
      <c r="Y889" s="42">
        <v>-0.1</v>
      </c>
      <c r="Z889" s="42">
        <v>0</v>
      </c>
      <c r="AA889" s="42"/>
      <c r="AB889" s="42"/>
      <c r="AC889" s="42"/>
      <c r="AD889" s="42"/>
      <c r="AE889" s="42"/>
      <c r="AF889" s="42"/>
      <c r="AG889" s="42"/>
      <c r="AH889" s="42"/>
      <c r="AI889" s="42"/>
      <c r="AJ889" s="42"/>
      <c r="AK889" s="42"/>
      <c r="AL889" s="42"/>
      <c r="AM889" s="42"/>
      <c r="AN889" s="42"/>
      <c r="AO889" s="42"/>
      <c r="AP889" s="361">
        <v>3273</v>
      </c>
      <c r="AQ889" s="45" t="s">
        <v>136</v>
      </c>
      <c r="AR889" s="42"/>
      <c r="AS889" s="42"/>
    </row>
    <row r="890" s="50" customFormat="1" ht="16.5" spans="1:45">
      <c r="A890" s="457">
        <v>886</v>
      </c>
      <c r="B890" s="458" t="s">
        <v>3199</v>
      </c>
      <c r="C890" s="341" t="s">
        <v>2599</v>
      </c>
      <c r="D890" s="42">
        <v>1</v>
      </c>
      <c r="E890" s="42">
        <v>0</v>
      </c>
      <c r="F890" s="42"/>
      <c r="G890" s="42">
        <v>1</v>
      </c>
      <c r="H890" s="342" t="s">
        <v>3206</v>
      </c>
      <c r="I890" s="42">
        <v>2.83333333333333</v>
      </c>
      <c r="J890" s="42">
        <v>2.83333333333333</v>
      </c>
      <c r="K890" s="42"/>
      <c r="L890" s="42">
        <v>1</v>
      </c>
      <c r="M890" s="77">
        <f t="shared" si="59"/>
        <v>2.43333333333333</v>
      </c>
      <c r="N890" s="42" t="s">
        <v>3207</v>
      </c>
      <c r="O890" s="42">
        <v>1</v>
      </c>
      <c r="P890" s="42">
        <v>2</v>
      </c>
      <c r="Q890" s="42">
        <v>0</v>
      </c>
      <c r="R890" s="42"/>
      <c r="S890" s="42">
        <v>2.5</v>
      </c>
      <c r="T890" s="42">
        <v>-0.5</v>
      </c>
      <c r="U890" s="42">
        <v>0.8</v>
      </c>
      <c r="V890" s="42">
        <v>6</v>
      </c>
      <c r="W890" s="42">
        <v>6</v>
      </c>
      <c r="X890" s="350">
        <v>1</v>
      </c>
      <c r="Y890" s="42">
        <v>-0.1</v>
      </c>
      <c r="Z890" s="42">
        <v>0</v>
      </c>
      <c r="AA890" s="42"/>
      <c r="AB890" s="42"/>
      <c r="AC890" s="42"/>
      <c r="AD890" s="42"/>
      <c r="AE890" s="42"/>
      <c r="AF890" s="42"/>
      <c r="AG890" s="42"/>
      <c r="AH890" s="42"/>
      <c r="AI890" s="42"/>
      <c r="AJ890" s="42"/>
      <c r="AK890" s="42"/>
      <c r="AL890" s="42"/>
      <c r="AM890" s="42"/>
      <c r="AN890" s="42"/>
      <c r="AO890" s="42"/>
      <c r="AP890" s="361">
        <v>3275</v>
      </c>
      <c r="AQ890" s="45" t="s">
        <v>136</v>
      </c>
      <c r="AR890" s="42"/>
      <c r="AS890" s="42"/>
    </row>
    <row r="891" s="50" customFormat="1" spans="1:45">
      <c r="A891" s="457">
        <v>887</v>
      </c>
      <c r="B891" s="458" t="s">
        <v>3199</v>
      </c>
      <c r="C891" s="341" t="s">
        <v>2600</v>
      </c>
      <c r="D891" s="42">
        <v>1</v>
      </c>
      <c r="E891" s="42">
        <v>0</v>
      </c>
      <c r="F891" s="42"/>
      <c r="G891" s="42">
        <v>1</v>
      </c>
      <c r="H891" s="342" t="s">
        <v>3208</v>
      </c>
      <c r="I891" s="42">
        <v>3.33333333333333</v>
      </c>
      <c r="J891" s="42">
        <v>3.33333333333333</v>
      </c>
      <c r="K891" s="42"/>
      <c r="L891" s="42">
        <v>1</v>
      </c>
      <c r="M891" s="77">
        <f t="shared" si="59"/>
        <v>2.93333333333333</v>
      </c>
      <c r="N891" s="42" t="s">
        <v>3209</v>
      </c>
      <c r="O891" s="42">
        <v>1</v>
      </c>
      <c r="P891" s="42">
        <v>2</v>
      </c>
      <c r="Q891" s="42">
        <v>0</v>
      </c>
      <c r="R891" s="42"/>
      <c r="S891" s="42">
        <v>2.5</v>
      </c>
      <c r="T891" s="42">
        <v>-0.5</v>
      </c>
      <c r="U891" s="42">
        <v>1.1</v>
      </c>
      <c r="V891" s="42">
        <v>6</v>
      </c>
      <c r="W891" s="42">
        <v>18</v>
      </c>
      <c r="X891" s="350">
        <v>4</v>
      </c>
      <c r="Y891" s="42">
        <v>-0.1</v>
      </c>
      <c r="Z891" s="42">
        <v>0</v>
      </c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>
        <v>3280</v>
      </c>
      <c r="AO891" s="42" t="s">
        <v>2601</v>
      </c>
      <c r="AP891" s="50">
        <v>3278</v>
      </c>
      <c r="AQ891" s="45" t="s">
        <v>136</v>
      </c>
      <c r="AR891" s="42"/>
      <c r="AS891" s="42"/>
    </row>
    <row r="892" s="50" customFormat="1" ht="16.5" spans="1:45">
      <c r="A892" s="457">
        <v>888</v>
      </c>
      <c r="B892" s="458" t="s">
        <v>3199</v>
      </c>
      <c r="C892" s="341" t="s">
        <v>2602</v>
      </c>
      <c r="D892" s="42">
        <v>1</v>
      </c>
      <c r="E892" s="42">
        <v>0</v>
      </c>
      <c r="F892" s="42"/>
      <c r="G892" s="42">
        <v>1</v>
      </c>
      <c r="H892" s="342" t="s">
        <v>3210</v>
      </c>
      <c r="I892" s="42">
        <v>8.83333333333333</v>
      </c>
      <c r="J892" s="42">
        <v>8.83333333333333</v>
      </c>
      <c r="K892" s="42"/>
      <c r="L892" s="42">
        <v>1</v>
      </c>
      <c r="M892" s="77">
        <f t="shared" si="59"/>
        <v>8.43333333333333</v>
      </c>
      <c r="N892" s="42" t="s">
        <v>3211</v>
      </c>
      <c r="O892" s="42">
        <v>1</v>
      </c>
      <c r="P892" s="42">
        <v>9.5</v>
      </c>
      <c r="Q892" s="42">
        <v>0</v>
      </c>
      <c r="R892" s="42"/>
      <c r="S892" s="42"/>
      <c r="T892" s="42"/>
      <c r="U892" s="42"/>
      <c r="V892" s="42">
        <v>6</v>
      </c>
      <c r="W892" s="42">
        <v>6</v>
      </c>
      <c r="X892" s="350">
        <v>9</v>
      </c>
      <c r="Y892" s="42">
        <v>-0.1</v>
      </c>
      <c r="Z892" s="42">
        <v>0</v>
      </c>
      <c r="AA892" s="42"/>
      <c r="AB892" s="42">
        <v>8.53333333333333</v>
      </c>
      <c r="AC892" s="42">
        <v>2</v>
      </c>
      <c r="AD892" s="42">
        <v>1</v>
      </c>
      <c r="AE892" s="42" t="s">
        <v>3212</v>
      </c>
      <c r="AF892" s="42">
        <v>0.5</v>
      </c>
      <c r="AG892" s="42"/>
      <c r="AH892" s="42"/>
      <c r="AI892" s="42"/>
      <c r="AJ892" s="42"/>
      <c r="AK892" s="42"/>
      <c r="AL892" s="42"/>
      <c r="AM892" s="42"/>
      <c r="AN892" s="42"/>
      <c r="AO892" s="42"/>
      <c r="AP892" s="361">
        <v>3281</v>
      </c>
      <c r="AQ892" s="45" t="s">
        <v>136</v>
      </c>
      <c r="AR892" s="40"/>
      <c r="AS892" s="42"/>
    </row>
    <row r="893" s="50" customFormat="1" ht="16.5" spans="1:45">
      <c r="A893" s="457">
        <v>889</v>
      </c>
      <c r="B893" s="458" t="s">
        <v>3199</v>
      </c>
      <c r="C893" s="341" t="s">
        <v>2604</v>
      </c>
      <c r="D893" s="42">
        <v>2</v>
      </c>
      <c r="E893" s="42">
        <v>1</v>
      </c>
      <c r="F893" s="42"/>
      <c r="G893" s="42">
        <v>1</v>
      </c>
      <c r="H893" s="342" t="s">
        <v>3213</v>
      </c>
      <c r="I893" s="42">
        <v>10.3333333333333</v>
      </c>
      <c r="J893" s="42">
        <v>10.3333333333333</v>
      </c>
      <c r="K893" s="42"/>
      <c r="L893" s="42">
        <v>0</v>
      </c>
      <c r="M893" s="77">
        <f t="shared" si="59"/>
        <v>9.9333333333333</v>
      </c>
      <c r="N893" s="42" t="s">
        <v>3214</v>
      </c>
      <c r="O893" s="42">
        <v>1</v>
      </c>
      <c r="P893" s="42">
        <v>2</v>
      </c>
      <c r="Q893" s="42">
        <v>0</v>
      </c>
      <c r="R893" s="42"/>
      <c r="S893" s="42"/>
      <c r="T893" s="42"/>
      <c r="U893" s="42"/>
      <c r="V893" s="42">
        <v>6</v>
      </c>
      <c r="W893" s="42">
        <v>0</v>
      </c>
      <c r="X893" s="350">
        <v>0</v>
      </c>
      <c r="Y893" s="42">
        <v>-0.1</v>
      </c>
      <c r="Z893" s="42">
        <v>0</v>
      </c>
      <c r="AA893" s="42"/>
      <c r="AB893" s="42">
        <v>10.0333333333333</v>
      </c>
      <c r="AC893" s="42">
        <v>2</v>
      </c>
      <c r="AD893" s="42">
        <v>1</v>
      </c>
      <c r="AE893" s="42" t="s">
        <v>3215</v>
      </c>
      <c r="AF893" s="42">
        <v>0.5</v>
      </c>
      <c r="AG893" s="42"/>
      <c r="AH893" s="42"/>
      <c r="AI893" s="42"/>
      <c r="AJ893" s="42"/>
      <c r="AK893" s="42"/>
      <c r="AL893" s="42"/>
      <c r="AM893" s="42"/>
      <c r="AN893" s="42"/>
      <c r="AO893" s="42"/>
      <c r="AP893" s="361">
        <v>3282</v>
      </c>
      <c r="AQ893" s="45" t="s">
        <v>136</v>
      </c>
      <c r="AR893" s="42"/>
      <c r="AS893" s="42"/>
    </row>
    <row r="894" s="50" customFormat="1" ht="16.5" spans="1:45">
      <c r="A894" s="457">
        <v>890</v>
      </c>
      <c r="B894" s="458" t="s">
        <v>3199</v>
      </c>
      <c r="C894" s="341" t="s">
        <v>2606</v>
      </c>
      <c r="D894" s="42">
        <v>1</v>
      </c>
      <c r="E894" s="42">
        <v>0</v>
      </c>
      <c r="F894" s="42"/>
      <c r="G894" s="42">
        <v>1</v>
      </c>
      <c r="H894" s="342" t="s">
        <v>3216</v>
      </c>
      <c r="I894" s="42">
        <v>7</v>
      </c>
      <c r="J894" s="42">
        <v>7</v>
      </c>
      <c r="K894" s="42"/>
      <c r="L894" s="42">
        <v>1</v>
      </c>
      <c r="M894" s="77">
        <f t="shared" si="59"/>
        <v>6.6</v>
      </c>
      <c r="N894" s="42" t="s">
        <v>3217</v>
      </c>
      <c r="O894" s="42">
        <v>3</v>
      </c>
      <c r="P894" s="42">
        <v>-8</v>
      </c>
      <c r="Q894" s="42">
        <v>0</v>
      </c>
      <c r="R894" s="42"/>
      <c r="S894" s="42"/>
      <c r="T894" s="42"/>
      <c r="U894" s="42"/>
      <c r="V894" s="42">
        <v>6</v>
      </c>
      <c r="W894" s="42">
        <v>6</v>
      </c>
      <c r="X894" s="350">
        <v>5</v>
      </c>
      <c r="Y894" s="42">
        <v>-0.1</v>
      </c>
      <c r="Z894" s="42">
        <v>0</v>
      </c>
      <c r="AA894" s="42"/>
      <c r="AB894" s="42">
        <v>6.7</v>
      </c>
      <c r="AC894" s="42">
        <v>1</v>
      </c>
      <c r="AD894" s="42">
        <v>1</v>
      </c>
      <c r="AE894" s="42" t="s">
        <v>3218</v>
      </c>
      <c r="AF894" s="42">
        <v>0.5</v>
      </c>
      <c r="AG894" s="42"/>
      <c r="AH894" s="42"/>
      <c r="AI894" s="42"/>
      <c r="AJ894" s="42"/>
      <c r="AK894" s="42"/>
      <c r="AL894" s="42"/>
      <c r="AM894" s="42"/>
      <c r="AN894" s="42"/>
      <c r="AO894" s="42"/>
      <c r="AP894" s="361">
        <v>3283</v>
      </c>
      <c r="AQ894" s="45" t="s">
        <v>136</v>
      </c>
      <c r="AR894" s="42"/>
      <c r="AS894" s="42"/>
    </row>
    <row r="895" s="27" customFormat="1" spans="1:52">
      <c r="A895" s="459">
        <v>891</v>
      </c>
      <c r="B895" s="460" t="s">
        <v>3219</v>
      </c>
      <c r="C895" s="460" t="s">
        <v>526</v>
      </c>
      <c r="D895" s="459">
        <v>1</v>
      </c>
      <c r="E895" s="461">
        <v>0</v>
      </c>
      <c r="F895" s="460"/>
      <c r="G895" s="461">
        <v>1</v>
      </c>
      <c r="H895" s="460" t="s">
        <v>3220</v>
      </c>
      <c r="I895" s="27">
        <v>3.2</v>
      </c>
      <c r="J895" s="27">
        <v>3.2</v>
      </c>
      <c r="K895" s="460"/>
      <c r="L895" s="461">
        <v>0</v>
      </c>
      <c r="M895" s="77">
        <f t="shared" si="59"/>
        <v>2.8</v>
      </c>
      <c r="N895" s="460" t="s">
        <v>3221</v>
      </c>
      <c r="O895" s="461">
        <v>1</v>
      </c>
      <c r="P895" s="461">
        <v>3.4</v>
      </c>
      <c r="Q895" s="461">
        <v>0</v>
      </c>
      <c r="R895" s="460"/>
      <c r="S895" s="459" t="s">
        <v>3222</v>
      </c>
      <c r="T895" s="460"/>
      <c r="U895" s="461">
        <v>0.7</v>
      </c>
      <c r="V895" s="461">
        <v>1</v>
      </c>
      <c r="W895" s="461">
        <v>0</v>
      </c>
      <c r="X895" s="461">
        <v>3</v>
      </c>
      <c r="Y895" s="50">
        <v>-0.1</v>
      </c>
      <c r="Z895" s="50">
        <v>0</v>
      </c>
      <c r="AA895" s="460"/>
      <c r="AB895" s="460"/>
      <c r="AC895" s="460"/>
      <c r="AD895" s="460"/>
      <c r="AE895" s="460"/>
      <c r="AF895" s="460"/>
      <c r="AG895" s="460"/>
      <c r="AH895" s="460"/>
      <c r="AI895" s="460"/>
      <c r="AJ895" s="460"/>
      <c r="AK895" s="460"/>
      <c r="AL895" s="460"/>
      <c r="AM895" s="460"/>
      <c r="AN895" s="460"/>
      <c r="AO895" s="460"/>
      <c r="AP895" s="461">
        <v>3307</v>
      </c>
      <c r="AQ895" s="45" t="s">
        <v>136</v>
      </c>
      <c r="AR895" s="460"/>
      <c r="AS895" s="460"/>
      <c r="AT895" s="460"/>
      <c r="AU895" s="460"/>
      <c r="AV895" s="460"/>
      <c r="AW895" s="460"/>
      <c r="AX895" s="460"/>
      <c r="AY895" s="460"/>
      <c r="AZ895" s="460"/>
    </row>
    <row r="896" s="27" customFormat="1" spans="1:52">
      <c r="A896" s="459">
        <v>892</v>
      </c>
      <c r="B896" s="460" t="s">
        <v>3219</v>
      </c>
      <c r="C896" s="460" t="s">
        <v>3223</v>
      </c>
      <c r="D896" s="459">
        <v>1</v>
      </c>
      <c r="E896" s="461">
        <v>0</v>
      </c>
      <c r="F896" s="460"/>
      <c r="G896" s="461">
        <v>1</v>
      </c>
      <c r="H896" s="460" t="s">
        <v>3224</v>
      </c>
      <c r="I896" s="27">
        <v>3.33333333333333</v>
      </c>
      <c r="J896" s="27">
        <v>3.33333333333333</v>
      </c>
      <c r="K896" s="460"/>
      <c r="L896" s="461">
        <v>1</v>
      </c>
      <c r="M896" s="77">
        <f t="shared" si="59"/>
        <v>2.93333333333333</v>
      </c>
      <c r="N896" s="394" t="s">
        <v>3225</v>
      </c>
      <c r="O896" s="461">
        <v>1</v>
      </c>
      <c r="P896" s="461">
        <v>3.4</v>
      </c>
      <c r="Q896" s="461">
        <v>0</v>
      </c>
      <c r="R896" s="460"/>
      <c r="S896" s="459" t="s">
        <v>3222</v>
      </c>
      <c r="T896" s="460"/>
      <c r="U896" s="461">
        <v>0.7</v>
      </c>
      <c r="V896" s="461">
        <v>1</v>
      </c>
      <c r="W896" s="461">
        <v>4</v>
      </c>
      <c r="X896" s="461">
        <v>1</v>
      </c>
      <c r="Y896" s="50">
        <v>-0.1</v>
      </c>
      <c r="Z896" s="50">
        <v>0</v>
      </c>
      <c r="AA896" s="460"/>
      <c r="AB896" s="460"/>
      <c r="AC896" s="460"/>
      <c r="AD896" s="460"/>
      <c r="AE896" s="460"/>
      <c r="AF896" s="460"/>
      <c r="AG896" s="460"/>
      <c r="AH896" s="460"/>
      <c r="AI896" s="460"/>
      <c r="AJ896" s="460"/>
      <c r="AK896" s="460"/>
      <c r="AL896" s="460"/>
      <c r="AM896" s="460"/>
      <c r="AN896" s="461">
        <v>3310</v>
      </c>
      <c r="AO896" s="460" t="s">
        <v>1103</v>
      </c>
      <c r="AP896" s="461">
        <v>3309</v>
      </c>
      <c r="AQ896" s="45" t="s">
        <v>136</v>
      </c>
      <c r="AR896" s="460"/>
      <c r="AS896" s="460"/>
      <c r="AT896" s="460"/>
      <c r="AU896" s="460"/>
      <c r="AV896" s="460"/>
      <c r="AW896" s="460"/>
      <c r="AX896" s="460"/>
      <c r="AY896" s="460"/>
      <c r="AZ896" s="460"/>
    </row>
    <row r="897" s="27" customFormat="1" spans="1:52">
      <c r="A897" s="459">
        <v>893</v>
      </c>
      <c r="B897" s="460" t="s">
        <v>3219</v>
      </c>
      <c r="C897" s="460" t="s">
        <v>3226</v>
      </c>
      <c r="D897" s="459">
        <v>1</v>
      </c>
      <c r="E897" s="461">
        <v>0</v>
      </c>
      <c r="F897" s="460"/>
      <c r="G897" s="461">
        <v>1</v>
      </c>
      <c r="H897" s="460" t="s">
        <v>3227</v>
      </c>
      <c r="I897" s="27">
        <v>3.73333333333333</v>
      </c>
      <c r="J897" s="27">
        <v>3.73333333333333</v>
      </c>
      <c r="K897" s="460"/>
      <c r="L897" s="461" t="s">
        <v>3228</v>
      </c>
      <c r="M897" s="77">
        <f t="shared" si="59"/>
        <v>3.33333333333333</v>
      </c>
      <c r="N897" s="460" t="s">
        <v>3229</v>
      </c>
      <c r="O897" s="461">
        <v>1</v>
      </c>
      <c r="P897" s="461">
        <v>3.4</v>
      </c>
      <c r="Q897" s="461">
        <v>0</v>
      </c>
      <c r="R897" s="460"/>
      <c r="S897" s="459" t="s">
        <v>3222</v>
      </c>
      <c r="T897" s="460"/>
      <c r="U897" s="459" t="s">
        <v>3230</v>
      </c>
      <c r="V897" s="461">
        <v>1</v>
      </c>
      <c r="W897" s="461">
        <v>0</v>
      </c>
      <c r="X897" s="461">
        <v>4</v>
      </c>
      <c r="Y897" s="50">
        <v>-0.1</v>
      </c>
      <c r="Z897" s="50">
        <v>0</v>
      </c>
      <c r="AA897" s="460"/>
      <c r="AB897" s="460"/>
      <c r="AC897" s="460"/>
      <c r="AD897" s="460"/>
      <c r="AE897" s="460"/>
      <c r="AF897" s="460"/>
      <c r="AG897" s="460"/>
      <c r="AH897" s="460"/>
      <c r="AI897" s="460"/>
      <c r="AJ897" s="460"/>
      <c r="AK897" s="460"/>
      <c r="AL897" s="460"/>
      <c r="AM897" s="460"/>
      <c r="AN897" s="459"/>
      <c r="AO897" s="460"/>
      <c r="AP897" s="461">
        <v>3311</v>
      </c>
      <c r="AQ897" s="45" t="s">
        <v>136</v>
      </c>
      <c r="AR897" s="460"/>
      <c r="AS897" s="460"/>
      <c r="AT897" s="460"/>
      <c r="AU897" s="460"/>
      <c r="AV897" s="460"/>
      <c r="AW897" s="460"/>
      <c r="AX897" s="460"/>
      <c r="AY897" s="460"/>
      <c r="AZ897" s="460"/>
    </row>
    <row r="898" s="27" customFormat="1" spans="1:52">
      <c r="A898" s="459">
        <v>894</v>
      </c>
      <c r="B898" s="460" t="s">
        <v>3219</v>
      </c>
      <c r="C898" s="460" t="s">
        <v>3231</v>
      </c>
      <c r="D898" s="459">
        <v>1</v>
      </c>
      <c r="E898" s="461">
        <v>0</v>
      </c>
      <c r="F898" s="460"/>
      <c r="G898" s="461">
        <v>1</v>
      </c>
      <c r="H898" s="460" t="s">
        <v>3232</v>
      </c>
      <c r="I898" s="27">
        <v>3.86666666666667</v>
      </c>
      <c r="J898" s="27">
        <v>3.86666666666667</v>
      </c>
      <c r="K898" s="460"/>
      <c r="L898" s="461" t="s">
        <v>3228</v>
      </c>
      <c r="M898" s="77">
        <f t="shared" si="59"/>
        <v>3.46666666666667</v>
      </c>
      <c r="N898" s="460" t="s">
        <v>3233</v>
      </c>
      <c r="O898" s="461">
        <v>1</v>
      </c>
      <c r="P898" s="461">
        <v>3.4</v>
      </c>
      <c r="Q898" s="461">
        <v>0</v>
      </c>
      <c r="R898" s="460"/>
      <c r="S898" s="459" t="s">
        <v>3222</v>
      </c>
      <c r="T898" s="460"/>
      <c r="U898" s="459" t="s">
        <v>3230</v>
      </c>
      <c r="V898" s="461">
        <v>1</v>
      </c>
      <c r="W898" s="461">
        <v>6</v>
      </c>
      <c r="X898" s="461">
        <v>1</v>
      </c>
      <c r="Y898" s="50">
        <v>-0.1</v>
      </c>
      <c r="Z898" s="50">
        <v>0</v>
      </c>
      <c r="AA898" s="460"/>
      <c r="AB898" s="460"/>
      <c r="AC898" s="460"/>
      <c r="AD898" s="460"/>
      <c r="AE898" s="460"/>
      <c r="AF898" s="460"/>
      <c r="AG898" s="460"/>
      <c r="AH898" s="460"/>
      <c r="AI898" s="460"/>
      <c r="AJ898" s="460"/>
      <c r="AK898" s="460"/>
      <c r="AL898" s="460"/>
      <c r="AM898" s="460"/>
      <c r="AN898" s="461">
        <v>3314</v>
      </c>
      <c r="AO898" s="460" t="s">
        <v>1695</v>
      </c>
      <c r="AP898" s="461">
        <v>3313</v>
      </c>
      <c r="AQ898" s="45" t="s">
        <v>136</v>
      </c>
      <c r="AR898" s="460"/>
      <c r="AS898" s="460"/>
      <c r="AT898" s="460"/>
      <c r="AU898" s="460"/>
      <c r="AV898" s="460"/>
      <c r="AW898" s="460"/>
      <c r="AX898" s="460"/>
      <c r="AY898" s="460"/>
      <c r="AZ898" s="460"/>
    </row>
    <row r="899" s="27" customFormat="1" spans="1:52">
      <c r="A899" s="459">
        <v>895</v>
      </c>
      <c r="B899" s="460" t="s">
        <v>3219</v>
      </c>
      <c r="C899" s="460" t="s">
        <v>3234</v>
      </c>
      <c r="D899" s="459">
        <v>1</v>
      </c>
      <c r="E899" s="461">
        <v>0</v>
      </c>
      <c r="F899" s="460"/>
      <c r="G899" s="461">
        <v>1</v>
      </c>
      <c r="H899" s="460" t="s">
        <v>3235</v>
      </c>
      <c r="I899" s="27">
        <v>4.4</v>
      </c>
      <c r="J899" s="27">
        <v>4.4</v>
      </c>
      <c r="K899" s="460"/>
      <c r="L899" s="461" t="s">
        <v>3228</v>
      </c>
      <c r="M899" s="77">
        <f t="shared" si="59"/>
        <v>4</v>
      </c>
      <c r="N899" s="460" t="s">
        <v>3236</v>
      </c>
      <c r="O899" s="461">
        <v>1</v>
      </c>
      <c r="P899" s="461">
        <v>3.4</v>
      </c>
      <c r="Q899" s="461">
        <v>1</v>
      </c>
      <c r="R899" s="460"/>
      <c r="S899" s="459" t="s">
        <v>3222</v>
      </c>
      <c r="T899" s="460"/>
      <c r="U899" s="459" t="s">
        <v>3230</v>
      </c>
      <c r="V899" s="461">
        <v>1</v>
      </c>
      <c r="W899" s="461">
        <v>7</v>
      </c>
      <c r="X899" s="461">
        <v>2</v>
      </c>
      <c r="Y899" s="50">
        <v>-0.1</v>
      </c>
      <c r="Z899" s="50">
        <v>0</v>
      </c>
      <c r="AA899" s="460"/>
      <c r="AB899" s="460"/>
      <c r="AC899" s="460"/>
      <c r="AD899" s="460"/>
      <c r="AE899" s="460"/>
      <c r="AF899" s="460"/>
      <c r="AG899" s="460"/>
      <c r="AH899" s="460"/>
      <c r="AI899" s="460"/>
      <c r="AJ899" s="460"/>
      <c r="AK899" s="460"/>
      <c r="AL899" s="460"/>
      <c r="AM899" s="460"/>
      <c r="AN899" s="461">
        <v>3316</v>
      </c>
      <c r="AO899" s="460" t="s">
        <v>1103</v>
      </c>
      <c r="AP899" s="461">
        <v>3315</v>
      </c>
      <c r="AQ899" s="45" t="s">
        <v>136</v>
      </c>
      <c r="AR899" s="460"/>
      <c r="AS899" s="460"/>
      <c r="AT899" s="460"/>
      <c r="AU899" s="460"/>
      <c r="AV899" s="460"/>
      <c r="AW899" s="460"/>
      <c r="AX899" s="460"/>
      <c r="AY899" s="460"/>
      <c r="AZ899" s="460"/>
    </row>
    <row r="900" s="27" customFormat="1" spans="1:52">
      <c r="A900" s="459">
        <v>896</v>
      </c>
      <c r="B900" s="460" t="s">
        <v>3219</v>
      </c>
      <c r="C900" s="460" t="s">
        <v>3237</v>
      </c>
      <c r="D900" s="459">
        <v>1</v>
      </c>
      <c r="E900" s="461">
        <v>0</v>
      </c>
      <c r="F900" s="460"/>
      <c r="G900" s="461">
        <v>1</v>
      </c>
      <c r="H900" s="460" t="s">
        <v>3238</v>
      </c>
      <c r="I900" s="27">
        <v>9.5</v>
      </c>
      <c r="J900" s="27">
        <v>9.5</v>
      </c>
      <c r="K900" s="460"/>
      <c r="L900" s="461" t="s">
        <v>3228</v>
      </c>
      <c r="M900" s="77">
        <f t="shared" si="59"/>
        <v>9.1</v>
      </c>
      <c r="N900" s="460" t="s">
        <v>3239</v>
      </c>
      <c r="O900" s="461">
        <v>1</v>
      </c>
      <c r="P900" s="461">
        <v>6.5</v>
      </c>
      <c r="Q900" s="461">
        <v>0</v>
      </c>
      <c r="R900" s="460"/>
      <c r="S900" s="459" t="s">
        <v>3222</v>
      </c>
      <c r="T900" s="460"/>
      <c r="U900" s="459" t="s">
        <v>3230</v>
      </c>
      <c r="V900" s="461">
        <v>1</v>
      </c>
      <c r="W900" s="461">
        <v>0</v>
      </c>
      <c r="X900" s="461">
        <v>5</v>
      </c>
      <c r="Y900" s="50">
        <v>-0.1</v>
      </c>
      <c r="Z900" s="50">
        <v>0</v>
      </c>
      <c r="AA900" s="460"/>
      <c r="AB900" s="50">
        <v>9.2</v>
      </c>
      <c r="AC900" s="50">
        <v>2</v>
      </c>
      <c r="AD900" s="50">
        <v>1</v>
      </c>
      <c r="AE900" s="460" t="s">
        <v>3240</v>
      </c>
      <c r="AF900" s="50">
        <v>0.5</v>
      </c>
      <c r="AG900" s="460"/>
      <c r="AH900" s="460"/>
      <c r="AI900" s="460"/>
      <c r="AJ900" s="460"/>
      <c r="AK900" s="460"/>
      <c r="AL900" s="460"/>
      <c r="AM900" s="460"/>
      <c r="AN900" s="461">
        <v>3318</v>
      </c>
      <c r="AO900" s="460" t="s">
        <v>1103</v>
      </c>
      <c r="AP900" s="461">
        <v>3317</v>
      </c>
      <c r="AQ900" s="45" t="s">
        <v>136</v>
      </c>
      <c r="AR900" s="460"/>
      <c r="AS900" s="460"/>
      <c r="AT900" s="460"/>
      <c r="AU900" s="460"/>
      <c r="AV900" s="460"/>
      <c r="AW900" s="460"/>
      <c r="AX900" s="460"/>
      <c r="AY900" s="460"/>
      <c r="AZ900" s="460"/>
    </row>
    <row r="901" s="27" customFormat="1" spans="1:52">
      <c r="A901" s="459">
        <v>897</v>
      </c>
      <c r="B901" s="460" t="s">
        <v>3219</v>
      </c>
      <c r="C901" s="460" t="s">
        <v>3241</v>
      </c>
      <c r="D901" s="459">
        <v>1</v>
      </c>
      <c r="E901" s="461">
        <v>0</v>
      </c>
      <c r="F901" s="460"/>
      <c r="G901" s="461">
        <v>1</v>
      </c>
      <c r="H901" s="460" t="s">
        <v>3242</v>
      </c>
      <c r="I901" s="27">
        <v>12</v>
      </c>
      <c r="J901" s="27">
        <v>12</v>
      </c>
      <c r="K901" s="460"/>
      <c r="L901" s="461" t="s">
        <v>3228</v>
      </c>
      <c r="M901" s="77">
        <f t="shared" si="59"/>
        <v>11.6</v>
      </c>
      <c r="N901" s="460" t="s">
        <v>3243</v>
      </c>
      <c r="O901" s="461">
        <v>1</v>
      </c>
      <c r="P901" s="461">
        <v>27.5</v>
      </c>
      <c r="Q901" s="461">
        <v>0</v>
      </c>
      <c r="R901" s="460"/>
      <c r="S901" s="459" t="s">
        <v>3222</v>
      </c>
      <c r="T901" s="460"/>
      <c r="U901" s="459" t="s">
        <v>3230</v>
      </c>
      <c r="V901" s="461">
        <v>1</v>
      </c>
      <c r="W901" s="461">
        <v>0</v>
      </c>
      <c r="X901" s="461">
        <v>5</v>
      </c>
      <c r="Y901" s="50">
        <v>-0.1</v>
      </c>
      <c r="Z901" s="50">
        <v>0</v>
      </c>
      <c r="AA901" s="460"/>
      <c r="AB901" s="50">
        <v>11.7</v>
      </c>
      <c r="AC901" s="50">
        <v>2</v>
      </c>
      <c r="AD901" s="50">
        <v>1</v>
      </c>
      <c r="AE901" s="460" t="s">
        <v>3244</v>
      </c>
      <c r="AF901" s="50">
        <v>0.5</v>
      </c>
      <c r="AG901" s="460"/>
      <c r="AH901" s="460"/>
      <c r="AI901" s="460"/>
      <c r="AJ901" s="460"/>
      <c r="AK901" s="460"/>
      <c r="AL901" s="460"/>
      <c r="AM901" s="460"/>
      <c r="AN901" s="460"/>
      <c r="AO901" s="460"/>
      <c r="AP901" s="461">
        <v>3319</v>
      </c>
      <c r="AQ901" s="45" t="s">
        <v>136</v>
      </c>
      <c r="AR901" s="460"/>
      <c r="AS901" s="460" t="s">
        <v>3245</v>
      </c>
      <c r="AT901" s="460"/>
      <c r="AU901" s="460"/>
      <c r="AV901" s="460"/>
      <c r="AW901" s="460"/>
      <c r="AX901" s="460"/>
      <c r="AY901" s="460"/>
      <c r="AZ901" s="460"/>
    </row>
    <row r="902" s="27" customFormat="1" spans="1:52">
      <c r="A902" s="459">
        <v>898</v>
      </c>
      <c r="B902" s="460" t="s">
        <v>3219</v>
      </c>
      <c r="C902" s="460" t="s">
        <v>3246</v>
      </c>
      <c r="D902" s="459">
        <v>1</v>
      </c>
      <c r="E902" s="461">
        <v>0</v>
      </c>
      <c r="F902" s="460"/>
      <c r="G902" s="461">
        <v>1</v>
      </c>
      <c r="H902" s="460" t="s">
        <v>3247</v>
      </c>
      <c r="I902" s="27">
        <v>12.9</v>
      </c>
      <c r="J902" s="27">
        <v>12.9</v>
      </c>
      <c r="K902" s="460"/>
      <c r="L902" s="461" t="s">
        <v>3228</v>
      </c>
      <c r="M902" s="77">
        <f t="shared" si="59"/>
        <v>12.5</v>
      </c>
      <c r="N902" s="460" t="s">
        <v>3248</v>
      </c>
      <c r="O902" s="461">
        <v>1</v>
      </c>
      <c r="P902" s="461">
        <v>3.4</v>
      </c>
      <c r="Q902" s="461">
        <v>0</v>
      </c>
      <c r="R902" s="460"/>
      <c r="S902" s="459" t="s">
        <v>3222</v>
      </c>
      <c r="T902" s="460"/>
      <c r="U902" s="459" t="s">
        <v>3230</v>
      </c>
      <c r="V902" s="461">
        <v>1</v>
      </c>
      <c r="W902" s="461">
        <v>0</v>
      </c>
      <c r="X902" s="461">
        <v>3</v>
      </c>
      <c r="Y902" s="50">
        <v>-0.1</v>
      </c>
      <c r="Z902" s="50">
        <v>0</v>
      </c>
      <c r="AA902" s="460"/>
      <c r="AB902" s="50">
        <v>12.7</v>
      </c>
      <c r="AC902" s="50">
        <v>2</v>
      </c>
      <c r="AD902" s="50">
        <v>1</v>
      </c>
      <c r="AE902" s="460" t="s">
        <v>3249</v>
      </c>
      <c r="AF902" s="50">
        <v>0.5</v>
      </c>
      <c r="AG902" s="460"/>
      <c r="AH902" s="460"/>
      <c r="AI902" s="460"/>
      <c r="AJ902" s="460"/>
      <c r="AK902" s="460"/>
      <c r="AL902" s="460"/>
      <c r="AM902" s="460"/>
      <c r="AN902" s="461">
        <v>3324</v>
      </c>
      <c r="AO902" s="460" t="s">
        <v>1695</v>
      </c>
      <c r="AP902" s="461">
        <v>3323</v>
      </c>
      <c r="AQ902" s="45" t="s">
        <v>136</v>
      </c>
      <c r="AR902" s="460"/>
      <c r="AS902" s="460" t="s">
        <v>3250</v>
      </c>
      <c r="AT902" s="460"/>
      <c r="AU902" s="460"/>
      <c r="AV902" s="460"/>
      <c r="AW902" s="460"/>
      <c r="AX902" s="460"/>
      <c r="AY902" s="460"/>
      <c r="AZ902" s="460"/>
    </row>
    <row r="903" s="39" customFormat="1" spans="1:52">
      <c r="A903" s="477">
        <v>899</v>
      </c>
      <c r="B903" s="338" t="s">
        <v>3251</v>
      </c>
      <c r="C903" s="338" t="s">
        <v>526</v>
      </c>
      <c r="D903" s="477" t="s">
        <v>3228</v>
      </c>
      <c r="E903" s="478">
        <v>0</v>
      </c>
      <c r="F903" s="338"/>
      <c r="G903" s="478">
        <v>1</v>
      </c>
      <c r="H903" s="338" t="s">
        <v>3252</v>
      </c>
      <c r="I903" s="39">
        <v>1.66666666666667</v>
      </c>
      <c r="J903" s="39">
        <v>2.25</v>
      </c>
      <c r="K903" s="338"/>
      <c r="L903" s="478">
        <v>0</v>
      </c>
      <c r="M903" s="77">
        <f t="shared" si="59"/>
        <v>1.26666666666667</v>
      </c>
      <c r="N903" s="338" t="s">
        <v>3253</v>
      </c>
      <c r="O903" s="478">
        <v>1</v>
      </c>
      <c r="P903" s="478">
        <v>3</v>
      </c>
      <c r="Q903" s="478">
        <v>0</v>
      </c>
      <c r="R903" s="338"/>
      <c r="S903" s="477" t="s">
        <v>3254</v>
      </c>
      <c r="T903" s="478">
        <v>0.25</v>
      </c>
      <c r="U903" s="478">
        <v>0.3</v>
      </c>
      <c r="V903" s="477">
        <v>6</v>
      </c>
      <c r="W903" s="478">
        <v>0</v>
      </c>
      <c r="X903" s="478">
        <v>2</v>
      </c>
      <c r="Y903" s="39">
        <v>-0.1</v>
      </c>
      <c r="Z903" s="39">
        <v>0</v>
      </c>
      <c r="AA903" s="338"/>
      <c r="AE903" s="338"/>
      <c r="AG903" s="338"/>
      <c r="AH903" s="338"/>
      <c r="AI903" s="338"/>
      <c r="AJ903" s="338"/>
      <c r="AK903" s="338"/>
      <c r="AL903" s="338"/>
      <c r="AM903" s="338"/>
      <c r="AN903" s="478"/>
      <c r="AO903" s="338"/>
      <c r="AP903" s="478">
        <v>3333</v>
      </c>
      <c r="AQ903" s="45" t="s">
        <v>136</v>
      </c>
      <c r="AR903" s="338"/>
      <c r="AS903" s="338"/>
      <c r="AT903" s="338"/>
      <c r="AU903" s="338"/>
      <c r="AV903" s="338"/>
      <c r="AW903" s="338"/>
      <c r="AX903" s="338"/>
      <c r="AY903" s="338"/>
      <c r="AZ903" s="338"/>
    </row>
    <row r="904" s="39" customFormat="1" spans="1:52">
      <c r="A904" s="477">
        <v>900</v>
      </c>
      <c r="B904" s="338" t="s">
        <v>3251</v>
      </c>
      <c r="C904" s="338" t="s">
        <v>3255</v>
      </c>
      <c r="D904" s="477" t="s">
        <v>3228</v>
      </c>
      <c r="E904" s="478">
        <v>0</v>
      </c>
      <c r="F904" s="338"/>
      <c r="G904" s="478">
        <v>1</v>
      </c>
      <c r="H904" s="338" t="s">
        <v>3256</v>
      </c>
      <c r="I904" s="39">
        <v>2.13333333333333</v>
      </c>
      <c r="J904" s="39">
        <v>2.4</v>
      </c>
      <c r="K904" s="338"/>
      <c r="L904" s="478">
        <v>1</v>
      </c>
      <c r="M904" s="77">
        <f t="shared" si="59"/>
        <v>1.73333333333333</v>
      </c>
      <c r="N904" s="460" t="s">
        <v>3257</v>
      </c>
      <c r="O904" s="478">
        <v>1</v>
      </c>
      <c r="P904" s="478">
        <v>3</v>
      </c>
      <c r="Q904" s="478">
        <v>1</v>
      </c>
      <c r="R904" s="338"/>
      <c r="S904" s="477" t="s">
        <v>3254</v>
      </c>
      <c r="T904" s="478">
        <v>0.5</v>
      </c>
      <c r="U904" s="478">
        <v>0.75</v>
      </c>
      <c r="V904" s="477">
        <v>6</v>
      </c>
      <c r="W904" s="478">
        <v>4</v>
      </c>
      <c r="X904" s="478">
        <v>1</v>
      </c>
      <c r="Y904" s="39">
        <v>-0.1</v>
      </c>
      <c r="Z904" s="39">
        <v>0</v>
      </c>
      <c r="AA904" s="338"/>
      <c r="AE904" s="338"/>
      <c r="AG904" s="338"/>
      <c r="AH904" s="338"/>
      <c r="AI904" s="338"/>
      <c r="AJ904" s="338"/>
      <c r="AK904" s="338"/>
      <c r="AL904" s="338"/>
      <c r="AM904" s="338"/>
      <c r="AN904" s="478"/>
      <c r="AO904" s="338"/>
      <c r="AP904" s="478">
        <v>3335</v>
      </c>
      <c r="AQ904" s="45" t="s">
        <v>136</v>
      </c>
      <c r="AR904" s="338"/>
      <c r="AS904" s="338"/>
      <c r="AT904" s="338"/>
      <c r="AU904" s="338"/>
      <c r="AV904" s="338"/>
      <c r="AW904" s="338"/>
      <c r="AX904" s="338"/>
      <c r="AY904" s="338"/>
      <c r="AZ904" s="338"/>
    </row>
    <row r="905" s="39" customFormat="1" spans="1:52">
      <c r="A905" s="477">
        <v>901</v>
      </c>
      <c r="B905" s="338" t="s">
        <v>3251</v>
      </c>
      <c r="C905" s="338" t="s">
        <v>3258</v>
      </c>
      <c r="D905" s="477" t="s">
        <v>3228</v>
      </c>
      <c r="E905" s="478">
        <v>0</v>
      </c>
      <c r="F905" s="338"/>
      <c r="G905" s="478">
        <v>1</v>
      </c>
      <c r="H905" s="338" t="s">
        <v>3259</v>
      </c>
      <c r="I905" s="39">
        <v>4.9</v>
      </c>
      <c r="J905" s="39">
        <v>4.9</v>
      </c>
      <c r="K905" s="338"/>
      <c r="L905" s="478">
        <v>1</v>
      </c>
      <c r="M905" s="77">
        <f t="shared" si="59"/>
        <v>4.5</v>
      </c>
      <c r="N905" s="460" t="s">
        <v>3260</v>
      </c>
      <c r="O905" s="478">
        <v>1</v>
      </c>
      <c r="P905" s="478">
        <v>3</v>
      </c>
      <c r="Q905" s="478">
        <v>0</v>
      </c>
      <c r="R905" s="338"/>
      <c r="S905" s="477" t="s">
        <v>3254</v>
      </c>
      <c r="T905" s="478">
        <v>0.5</v>
      </c>
      <c r="U905" s="478">
        <v>0.75</v>
      </c>
      <c r="V905" s="477">
        <v>6</v>
      </c>
      <c r="W905" s="478">
        <v>4</v>
      </c>
      <c r="X905" s="478">
        <v>2</v>
      </c>
      <c r="Y905" s="39">
        <v>-0.1</v>
      </c>
      <c r="Z905" s="39">
        <v>0</v>
      </c>
      <c r="AA905" s="338"/>
      <c r="AE905" s="338"/>
      <c r="AG905" s="338"/>
      <c r="AH905" s="338"/>
      <c r="AI905" s="338"/>
      <c r="AJ905" s="338"/>
      <c r="AK905" s="338"/>
      <c r="AL905" s="338"/>
      <c r="AM905" s="338"/>
      <c r="AN905" s="478"/>
      <c r="AO905" s="338"/>
      <c r="AP905" s="478">
        <v>3337</v>
      </c>
      <c r="AQ905" s="45" t="s">
        <v>136</v>
      </c>
      <c r="AR905" s="338"/>
      <c r="AS905" s="338"/>
      <c r="AT905" s="338"/>
      <c r="AU905" s="338"/>
      <c r="AV905" s="338"/>
      <c r="AW905" s="338"/>
      <c r="AX905" s="338"/>
      <c r="AY905" s="338"/>
      <c r="AZ905" s="338"/>
    </row>
    <row r="906" s="39" customFormat="1" spans="1:52">
      <c r="A906" s="477">
        <v>902</v>
      </c>
      <c r="B906" s="338" t="s">
        <v>3251</v>
      </c>
      <c r="C906" s="338" t="s">
        <v>3261</v>
      </c>
      <c r="D906" s="477" t="s">
        <v>3228</v>
      </c>
      <c r="E906" s="478">
        <v>0</v>
      </c>
      <c r="F906" s="338"/>
      <c r="G906" s="478">
        <v>1</v>
      </c>
      <c r="H906" s="338" t="s">
        <v>3262</v>
      </c>
      <c r="I906" s="39">
        <v>2.96666666666667</v>
      </c>
      <c r="J906" s="39">
        <v>2.96666666666667</v>
      </c>
      <c r="K906" s="338"/>
      <c r="L906" s="478">
        <v>1</v>
      </c>
      <c r="M906" s="77">
        <f t="shared" si="59"/>
        <v>2.56666666666667</v>
      </c>
      <c r="N906" s="338" t="s">
        <v>3263</v>
      </c>
      <c r="O906" s="478">
        <v>1</v>
      </c>
      <c r="P906" s="478">
        <v>3</v>
      </c>
      <c r="Q906" s="478">
        <v>0</v>
      </c>
      <c r="R906" s="338"/>
      <c r="S906" s="477" t="s">
        <v>3264</v>
      </c>
      <c r="T906" s="478">
        <v>-0.51</v>
      </c>
      <c r="U906" s="478">
        <v>0.97</v>
      </c>
      <c r="V906" s="477">
        <v>6</v>
      </c>
      <c r="W906" s="478">
        <v>6</v>
      </c>
      <c r="X906" s="478">
        <v>1</v>
      </c>
      <c r="Y906" s="39">
        <v>-0.1</v>
      </c>
      <c r="Z906" s="39">
        <v>0</v>
      </c>
      <c r="AA906" s="338"/>
      <c r="AE906" s="338"/>
      <c r="AG906" s="338"/>
      <c r="AH906" s="338"/>
      <c r="AI906" s="338"/>
      <c r="AJ906" s="338"/>
      <c r="AK906" s="338"/>
      <c r="AL906" s="338"/>
      <c r="AM906" s="338"/>
      <c r="AN906" s="478"/>
      <c r="AO906" s="338"/>
      <c r="AP906" s="478">
        <v>3339</v>
      </c>
      <c r="AQ906" s="45" t="s">
        <v>136</v>
      </c>
      <c r="AR906" s="338"/>
      <c r="AS906" s="338"/>
      <c r="AT906" s="338"/>
      <c r="AU906" s="338"/>
      <c r="AV906" s="338"/>
      <c r="AW906" s="338"/>
      <c r="AX906" s="338"/>
      <c r="AY906" s="338"/>
      <c r="AZ906" s="338"/>
    </row>
    <row r="907" s="39" customFormat="1" spans="1:52">
      <c r="A907" s="477">
        <v>903</v>
      </c>
      <c r="B907" s="338" t="s">
        <v>3251</v>
      </c>
      <c r="C907" s="338" t="s">
        <v>3265</v>
      </c>
      <c r="D907" s="477" t="s">
        <v>3228</v>
      </c>
      <c r="E907" s="478">
        <v>0</v>
      </c>
      <c r="F907" s="338"/>
      <c r="G907" s="478">
        <v>1</v>
      </c>
      <c r="H907" s="338" t="s">
        <v>3266</v>
      </c>
      <c r="I907" s="39">
        <v>4.23333333333333</v>
      </c>
      <c r="J907" s="39">
        <v>4.23333333333333</v>
      </c>
      <c r="K907" s="338"/>
      <c r="L907" s="478">
        <v>1</v>
      </c>
      <c r="M907" s="77">
        <f t="shared" si="59"/>
        <v>3.83333333333333</v>
      </c>
      <c r="N907" s="338" t="s">
        <v>3267</v>
      </c>
      <c r="O907" s="478">
        <v>1</v>
      </c>
      <c r="P907" s="478">
        <v>3</v>
      </c>
      <c r="Q907" s="478">
        <v>0</v>
      </c>
      <c r="R907" s="338"/>
      <c r="S907" s="477" t="s">
        <v>3254</v>
      </c>
      <c r="T907" s="478">
        <v>0.3</v>
      </c>
      <c r="U907" s="478">
        <v>0.75</v>
      </c>
      <c r="V907" s="477">
        <v>6</v>
      </c>
      <c r="W907" s="478">
        <v>18</v>
      </c>
      <c r="X907" s="478">
        <v>4</v>
      </c>
      <c r="Y907" s="39">
        <v>-0.1</v>
      </c>
      <c r="Z907" s="39">
        <v>0</v>
      </c>
      <c r="AA907" s="338"/>
      <c r="AE907" s="338"/>
      <c r="AG907" s="338"/>
      <c r="AH907" s="338"/>
      <c r="AI907" s="338"/>
      <c r="AJ907" s="338"/>
      <c r="AK907" s="338"/>
      <c r="AL907" s="338"/>
      <c r="AM907" s="338"/>
      <c r="AN907" s="478"/>
      <c r="AO907" s="338"/>
      <c r="AP907" s="478">
        <v>3341</v>
      </c>
      <c r="AQ907" s="45" t="s">
        <v>136</v>
      </c>
      <c r="AR907" s="338"/>
      <c r="AS907" s="338"/>
      <c r="AT907" s="338"/>
      <c r="AU907" s="338"/>
      <c r="AV907" s="338"/>
      <c r="AW907" s="338"/>
      <c r="AX907" s="338"/>
      <c r="AY907" s="338"/>
      <c r="AZ907" s="338"/>
    </row>
    <row r="908" s="39" customFormat="1" spans="1:52">
      <c r="A908" s="477">
        <v>904</v>
      </c>
      <c r="B908" s="338" t="s">
        <v>3251</v>
      </c>
      <c r="C908" s="338" t="s">
        <v>3268</v>
      </c>
      <c r="D908" s="477" t="s">
        <v>3228</v>
      </c>
      <c r="E908" s="478">
        <v>0</v>
      </c>
      <c r="F908" s="338"/>
      <c r="G908" s="478">
        <v>1</v>
      </c>
      <c r="H908" s="338" t="s">
        <v>3269</v>
      </c>
      <c r="I908" s="39">
        <v>17.6666666666667</v>
      </c>
      <c r="J908" s="39">
        <v>17.6666666666667</v>
      </c>
      <c r="K908" s="338"/>
      <c r="L908" s="478">
        <v>1</v>
      </c>
      <c r="M908" s="77">
        <f t="shared" si="59"/>
        <v>17.2666666666667</v>
      </c>
      <c r="N908" s="338" t="s">
        <v>3270</v>
      </c>
      <c r="O908" s="478">
        <v>1</v>
      </c>
      <c r="P908" s="478">
        <v>8</v>
      </c>
      <c r="Q908" s="478">
        <v>0</v>
      </c>
      <c r="R908" s="338"/>
      <c r="S908" s="477"/>
      <c r="T908" s="478"/>
      <c r="U908" s="478"/>
      <c r="V908" s="477">
        <v>6</v>
      </c>
      <c r="W908" s="478">
        <v>6</v>
      </c>
      <c r="X908" s="478">
        <v>8</v>
      </c>
      <c r="Y908" s="39">
        <v>-0.1</v>
      </c>
      <c r="Z908" s="39">
        <v>0</v>
      </c>
      <c r="AA908" s="338"/>
      <c r="AB908" s="414">
        <v>17.5466666666667</v>
      </c>
      <c r="AC908" s="39">
        <v>2</v>
      </c>
      <c r="AD908" s="39">
        <v>1</v>
      </c>
      <c r="AE908" s="338" t="s">
        <v>3271</v>
      </c>
      <c r="AF908" s="39">
        <v>0.5</v>
      </c>
      <c r="AG908" s="338"/>
      <c r="AH908" s="338"/>
      <c r="AI908" s="338"/>
      <c r="AJ908" s="338"/>
      <c r="AK908" s="338"/>
      <c r="AL908" s="338"/>
      <c r="AM908" s="338"/>
      <c r="AN908" s="478"/>
      <c r="AO908" s="338"/>
      <c r="AP908" s="478">
        <v>3342</v>
      </c>
      <c r="AQ908" s="45" t="s">
        <v>136</v>
      </c>
      <c r="AR908" s="338"/>
      <c r="AS908" s="338"/>
      <c r="AT908" s="338"/>
      <c r="AU908" s="338"/>
      <c r="AV908" s="338"/>
      <c r="AW908" s="338" t="s">
        <v>3272</v>
      </c>
      <c r="AX908" s="338"/>
      <c r="AY908" s="338"/>
      <c r="AZ908" s="338"/>
    </row>
    <row r="909" s="39" customFormat="1" spans="1:52">
      <c r="A909" s="477">
        <v>905</v>
      </c>
      <c r="B909" s="338" t="s">
        <v>3251</v>
      </c>
      <c r="C909" s="338" t="s">
        <v>3273</v>
      </c>
      <c r="D909" s="477" t="s">
        <v>3228</v>
      </c>
      <c r="E909" s="478">
        <v>0</v>
      </c>
      <c r="F909" s="338"/>
      <c r="G909" s="478">
        <v>1</v>
      </c>
      <c r="H909" s="338" t="s">
        <v>3274</v>
      </c>
      <c r="I909" s="39">
        <v>8.8</v>
      </c>
      <c r="J909" s="39">
        <v>8.8</v>
      </c>
      <c r="K909" s="338"/>
      <c r="L909" s="478">
        <v>1</v>
      </c>
      <c r="M909" s="77">
        <f t="shared" si="59"/>
        <v>8.4</v>
      </c>
      <c r="N909" s="338" t="s">
        <v>3275</v>
      </c>
      <c r="O909" s="478">
        <v>1</v>
      </c>
      <c r="P909" s="478">
        <v>3</v>
      </c>
      <c r="Q909" s="478">
        <v>0</v>
      </c>
      <c r="R909" s="338"/>
      <c r="S909" s="477"/>
      <c r="T909" s="478"/>
      <c r="U909" s="478"/>
      <c r="V909" s="478">
        <v>6</v>
      </c>
      <c r="W909" s="478">
        <v>16</v>
      </c>
      <c r="X909" s="478">
        <v>5</v>
      </c>
      <c r="Y909" s="39">
        <v>-0.1</v>
      </c>
      <c r="Z909" s="39">
        <v>0</v>
      </c>
      <c r="AA909" s="338"/>
      <c r="AB909" s="50">
        <v>8.5</v>
      </c>
      <c r="AC909" s="39">
        <v>2</v>
      </c>
      <c r="AD909" s="39">
        <v>1</v>
      </c>
      <c r="AE909" s="338" t="s">
        <v>3276</v>
      </c>
      <c r="AF909" s="39">
        <v>0.5</v>
      </c>
      <c r="AG909" s="338"/>
      <c r="AH909" s="338"/>
      <c r="AI909" s="338"/>
      <c r="AJ909" s="338"/>
      <c r="AK909" s="338"/>
      <c r="AL909" s="338"/>
      <c r="AM909" s="338"/>
      <c r="AN909" s="478"/>
      <c r="AO909" s="338"/>
      <c r="AP909" s="478">
        <v>3344</v>
      </c>
      <c r="AQ909" s="45" t="s">
        <v>136</v>
      </c>
      <c r="AR909" s="338"/>
      <c r="AS909" s="338"/>
      <c r="AT909" s="338"/>
      <c r="AU909" s="338"/>
      <c r="AV909" s="338"/>
      <c r="AW909" s="338" t="s">
        <v>3277</v>
      </c>
      <c r="AX909" s="338"/>
      <c r="AY909" s="338"/>
      <c r="AZ909" s="338"/>
    </row>
    <row r="910" s="39" customFormat="1" spans="1:52">
      <c r="A910" s="477">
        <v>906</v>
      </c>
      <c r="B910" s="338" t="s">
        <v>3251</v>
      </c>
      <c r="C910" s="338" t="s">
        <v>3278</v>
      </c>
      <c r="D910" s="477" t="s">
        <v>3228</v>
      </c>
      <c r="E910" s="478">
        <v>0</v>
      </c>
      <c r="F910" s="338"/>
      <c r="G910" s="478">
        <v>1</v>
      </c>
      <c r="H910" s="338" t="s">
        <v>3279</v>
      </c>
      <c r="I910" s="39">
        <v>16.2</v>
      </c>
      <c r="J910" s="39">
        <v>16.2</v>
      </c>
      <c r="K910" s="338"/>
      <c r="L910" s="478">
        <v>1</v>
      </c>
      <c r="M910" s="77">
        <f t="shared" si="59"/>
        <v>15.8</v>
      </c>
      <c r="N910" s="338" t="s">
        <v>3280</v>
      </c>
      <c r="O910" s="478">
        <v>1</v>
      </c>
      <c r="P910" s="478">
        <v>3.2</v>
      </c>
      <c r="Q910" s="478">
        <v>0</v>
      </c>
      <c r="R910" s="338"/>
      <c r="S910" s="477"/>
      <c r="T910" s="478"/>
      <c r="U910" s="478"/>
      <c r="V910" s="477">
        <v>6</v>
      </c>
      <c r="W910" s="478">
        <v>6</v>
      </c>
      <c r="X910" s="478">
        <v>1</v>
      </c>
      <c r="Y910" s="39">
        <v>-0.1</v>
      </c>
      <c r="Z910" s="39">
        <v>0</v>
      </c>
      <c r="AA910" s="338"/>
      <c r="AB910" s="50">
        <v>15.9</v>
      </c>
      <c r="AC910" s="39">
        <v>2</v>
      </c>
      <c r="AD910" s="39">
        <v>1</v>
      </c>
      <c r="AE910" s="338" t="s">
        <v>3281</v>
      </c>
      <c r="AF910" s="39">
        <v>0.5</v>
      </c>
      <c r="AG910" s="338"/>
      <c r="AH910" s="338"/>
      <c r="AI910" s="338"/>
      <c r="AJ910" s="338"/>
      <c r="AK910" s="338"/>
      <c r="AL910" s="338"/>
      <c r="AM910" s="338"/>
      <c r="AN910" s="478"/>
      <c r="AO910" s="338"/>
      <c r="AP910" s="478">
        <v>3346</v>
      </c>
      <c r="AQ910" s="45" t="s">
        <v>136</v>
      </c>
      <c r="AR910" s="338"/>
      <c r="AS910" s="338"/>
      <c r="AT910" s="338"/>
      <c r="AU910" s="338"/>
      <c r="AV910" s="338"/>
      <c r="AW910" s="338" t="s">
        <v>3282</v>
      </c>
      <c r="AX910" s="338"/>
      <c r="AY910" s="338"/>
      <c r="AZ910" s="338"/>
    </row>
    <row r="911" s="51" customFormat="1" spans="1:52">
      <c r="A911" s="479">
        <v>907</v>
      </c>
      <c r="B911" s="480" t="s">
        <v>3283</v>
      </c>
      <c r="C911" s="480" t="s">
        <v>526</v>
      </c>
      <c r="D911" s="481" t="s">
        <v>3228</v>
      </c>
      <c r="E911" s="479">
        <v>0</v>
      </c>
      <c r="F911" s="480"/>
      <c r="G911" s="479">
        <v>1</v>
      </c>
      <c r="H911" s="480" t="s">
        <v>3284</v>
      </c>
      <c r="I911" s="51">
        <v>3.33333333333333</v>
      </c>
      <c r="J911" s="51">
        <v>3.33333333333333</v>
      </c>
      <c r="K911" s="480"/>
      <c r="L911" s="479">
        <v>0</v>
      </c>
      <c r="M911" s="77">
        <f t="shared" si="59"/>
        <v>2.93333333333333</v>
      </c>
      <c r="N911" s="480" t="s">
        <v>3285</v>
      </c>
      <c r="O911" s="478">
        <v>1</v>
      </c>
      <c r="P911" s="51">
        <v>1.52</v>
      </c>
      <c r="Q911" s="479">
        <v>0</v>
      </c>
      <c r="R911" s="480"/>
      <c r="S911" s="51">
        <v>0.35</v>
      </c>
      <c r="T911" s="479"/>
      <c r="U911" s="479"/>
      <c r="V911" s="479">
        <v>1</v>
      </c>
      <c r="W911" s="479">
        <v>0</v>
      </c>
      <c r="X911" s="479">
        <v>3</v>
      </c>
      <c r="Y911" s="39">
        <v>-0.1</v>
      </c>
      <c r="Z911" s="39">
        <v>0</v>
      </c>
      <c r="AA911" s="480"/>
      <c r="AE911" s="480"/>
      <c r="AG911" s="480"/>
      <c r="AH911" s="480"/>
      <c r="AI911" s="480"/>
      <c r="AJ911" s="480"/>
      <c r="AK911" s="480"/>
      <c r="AL911" s="480"/>
      <c r="AM911" s="480"/>
      <c r="AN911" s="479">
        <v>3355</v>
      </c>
      <c r="AO911" s="480" t="s">
        <v>690</v>
      </c>
      <c r="AP911" s="479">
        <v>3354</v>
      </c>
      <c r="AQ911" s="51" t="s">
        <v>136</v>
      </c>
      <c r="AR911" s="480"/>
      <c r="AS911" s="480"/>
      <c r="AT911" s="480"/>
      <c r="AU911" s="480"/>
      <c r="AV911" s="480"/>
      <c r="AW911" s="480"/>
      <c r="AX911" s="480"/>
      <c r="AY911" s="480"/>
      <c r="AZ911" s="480"/>
    </row>
    <row r="912" s="51" customFormat="1" spans="1:52">
      <c r="A912" s="479">
        <v>908</v>
      </c>
      <c r="B912" s="480" t="s">
        <v>3283</v>
      </c>
      <c r="C912" s="480" t="s">
        <v>3286</v>
      </c>
      <c r="D912" s="481" t="s">
        <v>3228</v>
      </c>
      <c r="E912" s="479">
        <v>0</v>
      </c>
      <c r="F912" s="480"/>
      <c r="G912" s="479">
        <v>1</v>
      </c>
      <c r="H912" s="480" t="s">
        <v>3287</v>
      </c>
      <c r="I912" s="51">
        <v>1.66666666666667</v>
      </c>
      <c r="J912" s="51">
        <v>2.4</v>
      </c>
      <c r="K912" s="480"/>
      <c r="L912" s="479">
        <v>1</v>
      </c>
      <c r="M912" s="77">
        <f t="shared" si="59"/>
        <v>1.26666666666667</v>
      </c>
      <c r="N912" s="480" t="s">
        <v>3288</v>
      </c>
      <c r="O912" s="478">
        <v>1</v>
      </c>
      <c r="P912" s="51">
        <v>1.52</v>
      </c>
      <c r="Q912" s="479">
        <v>0</v>
      </c>
      <c r="R912" s="480"/>
      <c r="S912" s="51">
        <v>-0.1</v>
      </c>
      <c r="T912" s="479">
        <v>-0.2</v>
      </c>
      <c r="U912" s="479">
        <v>1.2</v>
      </c>
      <c r="V912" s="479">
        <v>1</v>
      </c>
      <c r="W912" s="479">
        <v>4</v>
      </c>
      <c r="X912" s="479">
        <v>1</v>
      </c>
      <c r="Y912" s="39">
        <v>-0.1</v>
      </c>
      <c r="Z912" s="39">
        <v>0</v>
      </c>
      <c r="AA912" s="480"/>
      <c r="AE912" s="480"/>
      <c r="AG912" s="480"/>
      <c r="AH912" s="480"/>
      <c r="AI912" s="480"/>
      <c r="AJ912" s="480"/>
      <c r="AK912" s="480"/>
      <c r="AL912" s="480"/>
      <c r="AM912" s="480"/>
      <c r="AN912" s="479">
        <v>3358</v>
      </c>
      <c r="AO912" s="480" t="s">
        <v>1103</v>
      </c>
      <c r="AP912" s="479">
        <v>3357</v>
      </c>
      <c r="AQ912" s="51" t="s">
        <v>136</v>
      </c>
      <c r="AR912" s="480"/>
      <c r="AS912" s="480"/>
      <c r="AT912" s="480"/>
      <c r="AU912" s="480"/>
      <c r="AV912" s="480"/>
      <c r="AW912" s="480"/>
      <c r="AX912" s="480"/>
      <c r="AY912" s="480"/>
      <c r="AZ912" s="480"/>
    </row>
    <row r="913" s="51" customFormat="1" spans="1:52">
      <c r="A913" s="479">
        <v>909</v>
      </c>
      <c r="B913" s="480" t="s">
        <v>3283</v>
      </c>
      <c r="C913" s="480" t="s">
        <v>3289</v>
      </c>
      <c r="D913" s="481" t="s">
        <v>3228</v>
      </c>
      <c r="E913" s="479">
        <v>0</v>
      </c>
      <c r="F913" s="480"/>
      <c r="G913" s="479">
        <v>1</v>
      </c>
      <c r="H913" s="480" t="s">
        <v>3290</v>
      </c>
      <c r="I913" s="51">
        <v>2.6</v>
      </c>
      <c r="J913" s="51">
        <v>2.6</v>
      </c>
      <c r="K913" s="480"/>
      <c r="L913" s="479">
        <v>1</v>
      </c>
      <c r="M913" s="77">
        <f t="shared" si="59"/>
        <v>2.2</v>
      </c>
      <c r="N913" s="480" t="s">
        <v>3291</v>
      </c>
      <c r="O913" s="478">
        <v>1</v>
      </c>
      <c r="P913" s="51">
        <v>1.52</v>
      </c>
      <c r="Q913" s="479">
        <v>0</v>
      </c>
      <c r="R913" s="480" t="s">
        <v>3228</v>
      </c>
      <c r="S913" s="51">
        <v>0</v>
      </c>
      <c r="T913" s="479"/>
      <c r="U913" s="479"/>
      <c r="V913" s="479">
        <v>1</v>
      </c>
      <c r="W913" s="479">
        <v>0</v>
      </c>
      <c r="X913" s="479">
        <v>2</v>
      </c>
      <c r="Y913" s="39">
        <v>-0.1</v>
      </c>
      <c r="Z913" s="39">
        <v>0</v>
      </c>
      <c r="AA913" s="480"/>
      <c r="AE913" s="480"/>
      <c r="AG913" s="480"/>
      <c r="AH913" s="480"/>
      <c r="AI913" s="480"/>
      <c r="AJ913" s="480"/>
      <c r="AK913" s="480"/>
      <c r="AL913" s="480"/>
      <c r="AM913" s="480"/>
      <c r="AN913" s="479"/>
      <c r="AO913" s="480"/>
      <c r="AP913" s="479">
        <v>3360</v>
      </c>
      <c r="AQ913" s="51" t="s">
        <v>136</v>
      </c>
      <c r="AR913" s="480"/>
      <c r="AS913" s="480"/>
      <c r="AT913" s="480"/>
      <c r="AU913" s="480"/>
      <c r="AV913" s="480"/>
      <c r="AW913" s="480"/>
      <c r="AX913" s="480"/>
      <c r="AY913" s="480"/>
      <c r="AZ913" s="480"/>
    </row>
    <row r="914" s="51" customFormat="1" spans="1:52">
      <c r="A914" s="479">
        <v>910</v>
      </c>
      <c r="B914" s="480" t="s">
        <v>3283</v>
      </c>
      <c r="C914" s="480" t="s">
        <v>3292</v>
      </c>
      <c r="D914" s="481" t="s">
        <v>3228</v>
      </c>
      <c r="E914" s="479">
        <v>0</v>
      </c>
      <c r="F914" s="480"/>
      <c r="G914" s="479">
        <v>1</v>
      </c>
      <c r="H914" s="480" t="s">
        <v>3293</v>
      </c>
      <c r="I914" s="51">
        <v>2.8</v>
      </c>
      <c r="J914" s="51">
        <v>2.8</v>
      </c>
      <c r="K914" s="480"/>
      <c r="L914" s="479">
        <v>1</v>
      </c>
      <c r="M914" s="77">
        <f t="shared" si="59"/>
        <v>2.4</v>
      </c>
      <c r="N914" s="480" t="s">
        <v>3294</v>
      </c>
      <c r="O914" s="478">
        <v>1</v>
      </c>
      <c r="P914" s="51">
        <v>1.52</v>
      </c>
      <c r="Q914" s="479">
        <v>0</v>
      </c>
      <c r="R914" s="480"/>
      <c r="S914" s="51">
        <v>0.7</v>
      </c>
      <c r="T914" s="479"/>
      <c r="U914" s="479">
        <v>-0.1</v>
      </c>
      <c r="V914" s="479">
        <v>1</v>
      </c>
      <c r="W914" s="479">
        <v>0</v>
      </c>
      <c r="X914" s="479">
        <v>6</v>
      </c>
      <c r="Y914" s="39">
        <v>-0.1</v>
      </c>
      <c r="Z914" s="39">
        <v>0</v>
      </c>
      <c r="AA914" s="480"/>
      <c r="AE914" s="480"/>
      <c r="AG914" s="480"/>
      <c r="AH914" s="480"/>
      <c r="AI914" s="480"/>
      <c r="AJ914" s="480"/>
      <c r="AK914" s="480"/>
      <c r="AL914" s="480"/>
      <c r="AM914" s="480"/>
      <c r="AN914" s="479">
        <v>3364</v>
      </c>
      <c r="AO914" s="480" t="s">
        <v>690</v>
      </c>
      <c r="AP914" s="479">
        <v>3363</v>
      </c>
      <c r="AQ914" s="51" t="s">
        <v>136</v>
      </c>
      <c r="AR914" s="480"/>
      <c r="AS914" s="480"/>
      <c r="AT914" s="480"/>
      <c r="AU914" s="480"/>
      <c r="AV914" s="480"/>
      <c r="AW914" s="480"/>
      <c r="AX914" s="480"/>
      <c r="AY914" s="480"/>
      <c r="AZ914" s="480"/>
    </row>
    <row r="915" s="51" customFormat="1" spans="1:52">
      <c r="A915" s="479">
        <v>911</v>
      </c>
      <c r="B915" s="480" t="s">
        <v>3283</v>
      </c>
      <c r="C915" s="480" t="s">
        <v>3295</v>
      </c>
      <c r="D915" s="481" t="s">
        <v>3228</v>
      </c>
      <c r="E915" s="479">
        <v>0</v>
      </c>
      <c r="F915" s="480"/>
      <c r="G915" s="479">
        <v>1</v>
      </c>
      <c r="H915" s="480" t="s">
        <v>3296</v>
      </c>
      <c r="I915" s="51">
        <v>2.36666666666667</v>
      </c>
      <c r="J915" s="51">
        <v>2.36666666666667</v>
      </c>
      <c r="K915" s="480"/>
      <c r="L915" s="479">
        <v>1</v>
      </c>
      <c r="M915" s="77">
        <f t="shared" si="59"/>
        <v>1.96666666666667</v>
      </c>
      <c r="N915" s="480" t="s">
        <v>3297</v>
      </c>
      <c r="O915" s="478">
        <v>1</v>
      </c>
      <c r="P915" s="51">
        <v>1.52</v>
      </c>
      <c r="Q915" s="479">
        <v>0</v>
      </c>
      <c r="R915" s="480"/>
      <c r="S915" s="51">
        <v>0.8</v>
      </c>
      <c r="T915" s="479">
        <v>0.5</v>
      </c>
      <c r="U915" s="479">
        <v>0.3</v>
      </c>
      <c r="V915" s="479">
        <v>1</v>
      </c>
      <c r="W915" s="479">
        <v>7</v>
      </c>
      <c r="X915" s="479">
        <v>2</v>
      </c>
      <c r="Y915" s="39">
        <v>-0.1</v>
      </c>
      <c r="Z915" s="39">
        <v>0</v>
      </c>
      <c r="AA915" s="480"/>
      <c r="AE915" s="480"/>
      <c r="AG915" s="480"/>
      <c r="AH915" s="480"/>
      <c r="AI915" s="480"/>
      <c r="AJ915" s="480"/>
      <c r="AK915" s="480"/>
      <c r="AL915" s="480"/>
      <c r="AM915" s="480"/>
      <c r="AN915" s="479"/>
      <c r="AO915" s="480"/>
      <c r="AP915" s="479">
        <v>3367</v>
      </c>
      <c r="AQ915" s="51" t="s">
        <v>136</v>
      </c>
      <c r="AR915" s="480"/>
      <c r="AS915" s="480"/>
      <c r="AT915" s="480"/>
      <c r="AU915" s="480"/>
      <c r="AV915" s="480"/>
      <c r="AW915" s="480"/>
      <c r="AX915" s="480"/>
      <c r="AY915" s="480"/>
      <c r="AZ915" s="480"/>
    </row>
    <row r="916" s="51" customFormat="1" spans="1:52">
      <c r="A916" s="479">
        <v>912</v>
      </c>
      <c r="B916" s="480" t="s">
        <v>3283</v>
      </c>
      <c r="C916" s="480" t="s">
        <v>3298</v>
      </c>
      <c r="D916" s="481" t="s">
        <v>3228</v>
      </c>
      <c r="E916" s="479">
        <v>0</v>
      </c>
      <c r="F916" s="480"/>
      <c r="G916" s="479">
        <v>1</v>
      </c>
      <c r="H916" s="480" t="s">
        <v>3299</v>
      </c>
      <c r="I916" s="51">
        <v>11</v>
      </c>
      <c r="J916" s="51">
        <v>11</v>
      </c>
      <c r="K916" s="480"/>
      <c r="L916" s="479">
        <v>1</v>
      </c>
      <c r="M916" s="77">
        <f t="shared" si="59"/>
        <v>10.6</v>
      </c>
      <c r="N916" s="480" t="s">
        <v>3300</v>
      </c>
      <c r="O916" s="478">
        <v>1</v>
      </c>
      <c r="P916" s="51">
        <v>1.5</v>
      </c>
      <c r="Q916" s="479">
        <v>0</v>
      </c>
      <c r="R916" s="480"/>
      <c r="S916" s="51">
        <v>0</v>
      </c>
      <c r="T916" s="479"/>
      <c r="U916" s="479"/>
      <c r="V916" s="479">
        <v>1</v>
      </c>
      <c r="W916" s="479">
        <v>0</v>
      </c>
      <c r="X916" s="479">
        <v>2</v>
      </c>
      <c r="Y916" s="39">
        <v>-0.1</v>
      </c>
      <c r="Z916" s="39">
        <v>0</v>
      </c>
      <c r="AA916" s="480"/>
      <c r="AB916" s="414">
        <v>10.88</v>
      </c>
      <c r="AC916" s="51">
        <v>2</v>
      </c>
      <c r="AD916" s="51">
        <v>1</v>
      </c>
      <c r="AE916" s="480" t="s">
        <v>3301</v>
      </c>
      <c r="AF916" s="39">
        <v>0.5</v>
      </c>
      <c r="AG916" s="480"/>
      <c r="AH916" s="480"/>
      <c r="AI916" s="480"/>
      <c r="AJ916" s="480"/>
      <c r="AK916" s="480"/>
      <c r="AL916" s="480"/>
      <c r="AM916" s="480"/>
      <c r="AN916" s="479">
        <v>3371</v>
      </c>
      <c r="AO916" s="480" t="s">
        <v>690</v>
      </c>
      <c r="AP916" s="479">
        <v>3370</v>
      </c>
      <c r="AQ916" s="51" t="s">
        <v>136</v>
      </c>
      <c r="AR916" s="480"/>
      <c r="AS916" s="480"/>
      <c r="AT916" s="480"/>
      <c r="AU916" s="480"/>
      <c r="AV916" s="480"/>
      <c r="AW916" s="480"/>
      <c r="AX916" s="480"/>
      <c r="AY916" s="480"/>
      <c r="AZ916" s="480"/>
    </row>
    <row r="917" s="51" customFormat="1" spans="1:52">
      <c r="A917" s="479">
        <v>913</v>
      </c>
      <c r="B917" s="480" t="s">
        <v>3283</v>
      </c>
      <c r="C917" s="480" t="s">
        <v>3302</v>
      </c>
      <c r="D917" s="481" t="s">
        <v>3228</v>
      </c>
      <c r="E917" s="479">
        <v>0</v>
      </c>
      <c r="F917" s="480"/>
      <c r="G917" s="479">
        <v>1</v>
      </c>
      <c r="H917" s="480" t="s">
        <v>3303</v>
      </c>
      <c r="I917" s="51">
        <v>11.1666666666667</v>
      </c>
      <c r="J917" s="51">
        <v>11.1666666666667</v>
      </c>
      <c r="K917" s="480"/>
      <c r="L917" s="479">
        <v>1</v>
      </c>
      <c r="M917" s="77">
        <f t="shared" si="59"/>
        <v>10.7666666666667</v>
      </c>
      <c r="N917" s="480" t="s">
        <v>3304</v>
      </c>
      <c r="O917" s="478">
        <v>1</v>
      </c>
      <c r="P917" s="51">
        <v>6</v>
      </c>
      <c r="Q917" s="479">
        <v>0</v>
      </c>
      <c r="R917" s="480"/>
      <c r="S917" s="51">
        <v>0</v>
      </c>
      <c r="T917" s="479"/>
      <c r="U917" s="479"/>
      <c r="V917" s="479">
        <v>1</v>
      </c>
      <c r="W917" s="479">
        <v>6</v>
      </c>
      <c r="X917" s="479">
        <v>2</v>
      </c>
      <c r="Y917" s="39">
        <v>-0.1</v>
      </c>
      <c r="Z917" s="39">
        <v>0</v>
      </c>
      <c r="AA917" s="480"/>
      <c r="AB917" s="50">
        <v>10.8666666666667</v>
      </c>
      <c r="AC917" s="51">
        <v>2</v>
      </c>
      <c r="AD917" s="51">
        <v>1</v>
      </c>
      <c r="AE917" s="480" t="s">
        <v>3305</v>
      </c>
      <c r="AF917" s="39">
        <v>0.5</v>
      </c>
      <c r="AG917" s="480"/>
      <c r="AH917" s="480"/>
      <c r="AI917" s="480"/>
      <c r="AJ917" s="480"/>
      <c r="AK917" s="480"/>
      <c r="AL917" s="480"/>
      <c r="AM917" s="480"/>
      <c r="AN917" s="479">
        <v>3373</v>
      </c>
      <c r="AO917" s="480" t="s">
        <v>690</v>
      </c>
      <c r="AP917" s="479">
        <v>3372</v>
      </c>
      <c r="AQ917" s="51" t="s">
        <v>136</v>
      </c>
      <c r="AR917" s="480"/>
      <c r="AS917" s="480"/>
      <c r="AT917" s="480"/>
      <c r="AU917" s="480"/>
      <c r="AV917" s="480"/>
      <c r="AW917" s="480"/>
      <c r="AX917" s="480"/>
      <c r="AY917" s="480"/>
      <c r="AZ917" s="480"/>
    </row>
    <row r="918" s="51" customFormat="1" spans="1:52">
      <c r="A918" s="479">
        <v>914</v>
      </c>
      <c r="B918" s="480" t="s">
        <v>3283</v>
      </c>
      <c r="C918" s="480" t="s">
        <v>3306</v>
      </c>
      <c r="D918" s="481" t="s">
        <v>3228</v>
      </c>
      <c r="E918" s="479">
        <v>0</v>
      </c>
      <c r="F918" s="480"/>
      <c r="G918" s="479">
        <v>1</v>
      </c>
      <c r="H918" s="480" t="s">
        <v>3307</v>
      </c>
      <c r="I918" s="51">
        <v>14.5</v>
      </c>
      <c r="J918" s="51">
        <v>14.5</v>
      </c>
      <c r="K918" s="480"/>
      <c r="L918" s="479">
        <v>1</v>
      </c>
      <c r="M918" s="77">
        <f t="shared" si="59"/>
        <v>14.1</v>
      </c>
      <c r="N918" s="480" t="s">
        <v>3308</v>
      </c>
      <c r="O918" s="478">
        <v>1</v>
      </c>
      <c r="P918" s="51">
        <v>22</v>
      </c>
      <c r="Q918" s="479">
        <v>0</v>
      </c>
      <c r="R918" s="480"/>
      <c r="S918" s="51">
        <v>0</v>
      </c>
      <c r="T918" s="479"/>
      <c r="U918" s="479"/>
      <c r="V918" s="479">
        <v>1</v>
      </c>
      <c r="W918" s="479">
        <v>6</v>
      </c>
      <c r="X918" s="479">
        <v>1</v>
      </c>
      <c r="Y918" s="39">
        <v>-0.1</v>
      </c>
      <c r="Z918" s="39">
        <v>0</v>
      </c>
      <c r="AA918" s="480"/>
      <c r="AB918" s="50">
        <v>14.2</v>
      </c>
      <c r="AD918" s="51">
        <v>1</v>
      </c>
      <c r="AE918" s="480" t="s">
        <v>3309</v>
      </c>
      <c r="AF918" s="39">
        <v>0.5</v>
      </c>
      <c r="AG918" s="480"/>
      <c r="AH918" s="480"/>
      <c r="AI918" s="480"/>
      <c r="AJ918" s="480"/>
      <c r="AK918" s="480"/>
      <c r="AL918" s="480"/>
      <c r="AM918" s="480"/>
      <c r="AN918" s="479"/>
      <c r="AO918" s="480"/>
      <c r="AP918" s="479">
        <v>3376</v>
      </c>
      <c r="AQ918" s="51" t="s">
        <v>136</v>
      </c>
      <c r="AR918" s="480"/>
      <c r="AS918" s="480" t="s">
        <v>3310</v>
      </c>
      <c r="AT918" s="480"/>
      <c r="AU918" s="480"/>
      <c r="AV918" s="480"/>
      <c r="AW918" s="480"/>
      <c r="AX918" s="480"/>
      <c r="AY918" s="480"/>
      <c r="AZ918" s="480"/>
    </row>
    <row r="919" s="37" customFormat="1" spans="1:52">
      <c r="A919" s="482">
        <v>915</v>
      </c>
      <c r="B919" s="483" t="s">
        <v>3311</v>
      </c>
      <c r="C919" s="483" t="s">
        <v>3312</v>
      </c>
      <c r="D919" s="484" t="s">
        <v>3228</v>
      </c>
      <c r="E919" s="482">
        <v>0</v>
      </c>
      <c r="F919" s="483"/>
      <c r="G919" s="482">
        <v>1</v>
      </c>
      <c r="H919" s="483" t="s">
        <v>3313</v>
      </c>
      <c r="I919" s="37">
        <f>64/30</f>
        <v>2.13333333333333</v>
      </c>
      <c r="J919" s="37">
        <f>64/30</f>
        <v>2.13333333333333</v>
      </c>
      <c r="K919" s="483"/>
      <c r="L919" s="482">
        <v>1</v>
      </c>
      <c r="M919" s="37">
        <f t="shared" si="59"/>
        <v>1.73333333333333</v>
      </c>
      <c r="N919" s="483" t="s">
        <v>3314</v>
      </c>
      <c r="O919" s="482">
        <v>1</v>
      </c>
      <c r="P919" s="37">
        <v>2.5</v>
      </c>
      <c r="Q919" s="482">
        <v>0</v>
      </c>
      <c r="R919" s="483"/>
      <c r="S919" s="37">
        <v>0.5</v>
      </c>
      <c r="T919" s="482"/>
      <c r="U919" s="482">
        <v>1.5</v>
      </c>
      <c r="V919" s="482">
        <v>6</v>
      </c>
      <c r="W919" s="37">
        <v>6</v>
      </c>
      <c r="X919" s="482">
        <v>5</v>
      </c>
      <c r="Y919" s="37">
        <v>-0.1</v>
      </c>
      <c r="Z919" s="37">
        <v>0</v>
      </c>
      <c r="AA919" s="483"/>
      <c r="AE919" s="483"/>
      <c r="AG919" s="483"/>
      <c r="AH919" s="483"/>
      <c r="AI919" s="483"/>
      <c r="AJ919" s="483"/>
      <c r="AK919" s="483"/>
      <c r="AL919" s="483"/>
      <c r="AM919" s="483"/>
      <c r="AN919" s="482"/>
      <c r="AO919" s="483"/>
      <c r="AP919" s="482">
        <v>3437</v>
      </c>
      <c r="AQ919" s="37" t="s">
        <v>136</v>
      </c>
      <c r="AR919" s="483"/>
      <c r="AS919" s="483"/>
      <c r="AT919" s="483"/>
      <c r="AU919" s="483"/>
      <c r="AV919" s="483"/>
      <c r="AW919" s="483"/>
      <c r="AX919" s="483"/>
      <c r="AY919" s="483"/>
      <c r="AZ919" s="483"/>
    </row>
    <row r="920" s="37" customFormat="1" spans="1:52">
      <c r="A920" s="482">
        <v>916</v>
      </c>
      <c r="B920" s="483" t="s">
        <v>3311</v>
      </c>
      <c r="C920" s="483" t="s">
        <v>3315</v>
      </c>
      <c r="D920" s="484" t="s">
        <v>3228</v>
      </c>
      <c r="E920" s="482">
        <v>0</v>
      </c>
      <c r="F920" s="483"/>
      <c r="G920" s="482">
        <v>1</v>
      </c>
      <c r="H920" s="483" t="s">
        <v>3316</v>
      </c>
      <c r="I920" s="37">
        <f>520/30</f>
        <v>17.3333333333333</v>
      </c>
      <c r="J920" s="37">
        <f>520/30</f>
        <v>17.3333333333333</v>
      </c>
      <c r="K920" s="483"/>
      <c r="L920" s="482">
        <v>1</v>
      </c>
      <c r="M920" s="37">
        <f t="shared" si="59"/>
        <v>16.9333333333333</v>
      </c>
      <c r="N920" s="483" t="s">
        <v>3317</v>
      </c>
      <c r="O920" s="482">
        <v>1</v>
      </c>
      <c r="P920" s="37">
        <v>5</v>
      </c>
      <c r="Q920" s="482">
        <v>0</v>
      </c>
      <c r="R920" s="483"/>
      <c r="T920" s="482"/>
      <c r="U920" s="482"/>
      <c r="V920" s="482">
        <v>6</v>
      </c>
      <c r="W920" s="37">
        <v>0</v>
      </c>
      <c r="X920" s="482">
        <v>5</v>
      </c>
      <c r="Y920" s="37">
        <v>-0.1</v>
      </c>
      <c r="Z920" s="37">
        <v>0</v>
      </c>
      <c r="AA920" s="483"/>
      <c r="AB920" s="37">
        <f>I920-0.3</f>
        <v>17.0333333333333</v>
      </c>
      <c r="AC920" s="37">
        <v>2</v>
      </c>
      <c r="AD920" s="37">
        <v>1</v>
      </c>
      <c r="AE920" s="483" t="s">
        <v>3318</v>
      </c>
      <c r="AF920" s="37">
        <v>0.5</v>
      </c>
      <c r="AG920" s="483"/>
      <c r="AH920" s="483"/>
      <c r="AI920" s="483"/>
      <c r="AJ920" s="483"/>
      <c r="AK920" s="483"/>
      <c r="AL920" s="483"/>
      <c r="AM920" s="483"/>
      <c r="AN920" s="482" t="s">
        <v>3319</v>
      </c>
      <c r="AO920" s="483" t="s">
        <v>3320</v>
      </c>
      <c r="AP920" s="482">
        <v>3440</v>
      </c>
      <c r="AQ920" s="37" t="s">
        <v>136</v>
      </c>
      <c r="AR920" s="483"/>
      <c r="AS920" s="483"/>
      <c r="AT920" s="483"/>
      <c r="AU920" s="483" t="s">
        <v>3228</v>
      </c>
      <c r="AV920" s="483"/>
      <c r="AW920" s="483"/>
      <c r="AX920" s="483"/>
      <c r="AY920" s="483"/>
      <c r="AZ920" s="483"/>
    </row>
    <row r="921" s="37" customFormat="1" spans="1:44">
      <c r="A921" s="482">
        <v>917</v>
      </c>
      <c r="B921" s="290" t="s">
        <v>2180</v>
      </c>
      <c r="C921" s="290" t="s">
        <v>2184</v>
      </c>
      <c r="D921" s="37">
        <v>1</v>
      </c>
      <c r="E921" s="37">
        <v>0</v>
      </c>
      <c r="F921" s="290"/>
      <c r="G921" s="290">
        <v>1</v>
      </c>
      <c r="H921" s="485" t="s">
        <v>2185</v>
      </c>
      <c r="I921" s="37">
        <v>1.93333333333333</v>
      </c>
      <c r="J921" s="37">
        <v>1.93333333333333</v>
      </c>
      <c r="K921" s="290"/>
      <c r="L921" s="37">
        <v>1</v>
      </c>
      <c r="M921" s="37">
        <f t="shared" si="59"/>
        <v>1.53333333333333</v>
      </c>
      <c r="N921" s="290" t="s">
        <v>2186</v>
      </c>
      <c r="O921" s="37">
        <v>1</v>
      </c>
      <c r="P921" s="37">
        <v>1.7</v>
      </c>
      <c r="Q921" s="37">
        <v>0</v>
      </c>
      <c r="R921" s="37">
        <v>1</v>
      </c>
      <c r="S921" s="37">
        <v>1.5</v>
      </c>
      <c r="U921" s="37">
        <v>0.5</v>
      </c>
      <c r="V921" s="37">
        <v>1</v>
      </c>
      <c r="W921" s="507">
        <v>0</v>
      </c>
      <c r="X921" s="303">
        <v>4</v>
      </c>
      <c r="Y921" s="37">
        <v>-0.1</v>
      </c>
      <c r="Z921" s="37">
        <v>0</v>
      </c>
      <c r="AN921" s="311">
        <v>2007</v>
      </c>
      <c r="AO921" s="37" t="s">
        <v>2187</v>
      </c>
      <c r="AP921" s="510">
        <v>2006</v>
      </c>
      <c r="AQ921" s="37" t="s">
        <v>2183</v>
      </c>
      <c r="AR921" s="485"/>
    </row>
    <row r="922" s="28" customFormat="1" spans="1:44">
      <c r="A922" s="486">
        <v>918</v>
      </c>
      <c r="B922" s="229" t="s">
        <v>3321</v>
      </c>
      <c r="C922" s="229" t="s">
        <v>526</v>
      </c>
      <c r="D922" s="28">
        <v>1</v>
      </c>
      <c r="E922" s="28">
        <v>0</v>
      </c>
      <c r="F922" s="229"/>
      <c r="G922" s="229">
        <v>1</v>
      </c>
      <c r="H922" s="245" t="s">
        <v>3322</v>
      </c>
      <c r="I922" s="28">
        <f t="shared" ref="I922:M922" si="60">62/30</f>
        <v>2.06666666666667</v>
      </c>
      <c r="J922" s="28">
        <f t="shared" si="60"/>
        <v>2.06666666666667</v>
      </c>
      <c r="K922" s="229"/>
      <c r="L922" s="28">
        <v>0</v>
      </c>
      <c r="M922" s="28">
        <f t="shared" si="59"/>
        <v>1.66666666666667</v>
      </c>
      <c r="N922" s="229" t="s">
        <v>3323</v>
      </c>
      <c r="O922" s="28">
        <v>1</v>
      </c>
      <c r="P922" s="28">
        <v>2.35</v>
      </c>
      <c r="Q922" s="28">
        <v>0</v>
      </c>
      <c r="S922" s="28">
        <v>0.9</v>
      </c>
      <c r="U922" s="28">
        <v>0.8</v>
      </c>
      <c r="V922" s="28">
        <v>1</v>
      </c>
      <c r="W922" s="28">
        <v>0</v>
      </c>
      <c r="X922" s="218">
        <v>3</v>
      </c>
      <c r="Y922" s="37">
        <v>-0.1</v>
      </c>
      <c r="Z922" s="37">
        <v>0</v>
      </c>
      <c r="AN922" s="221" t="s">
        <v>3324</v>
      </c>
      <c r="AO922" s="28" t="s">
        <v>524</v>
      </c>
      <c r="AP922" s="511">
        <v>3450</v>
      </c>
      <c r="AQ922" s="28" t="s">
        <v>136</v>
      </c>
      <c r="AR922" s="245"/>
    </row>
    <row r="923" s="28" customFormat="1" spans="1:44">
      <c r="A923" s="486">
        <v>919</v>
      </c>
      <c r="B923" s="229" t="s">
        <v>3321</v>
      </c>
      <c r="C923" s="487" t="s">
        <v>3325</v>
      </c>
      <c r="D923" s="28">
        <v>1</v>
      </c>
      <c r="E923" s="28">
        <v>0</v>
      </c>
      <c r="F923" s="229"/>
      <c r="G923" s="229">
        <v>1</v>
      </c>
      <c r="H923" s="245" t="s">
        <v>3326</v>
      </c>
      <c r="I923" s="28">
        <f t="shared" ref="I923:M923" si="61">80/30</f>
        <v>2.66666666666667</v>
      </c>
      <c r="J923" s="28">
        <f t="shared" si="61"/>
        <v>2.66666666666667</v>
      </c>
      <c r="K923" s="229"/>
      <c r="L923" s="28">
        <v>1</v>
      </c>
      <c r="M923" s="28">
        <f t="shared" si="59"/>
        <v>2.26666666666667</v>
      </c>
      <c r="N923" s="229" t="s">
        <v>3327</v>
      </c>
      <c r="O923" s="28">
        <v>1</v>
      </c>
      <c r="P923" s="28">
        <v>2.35</v>
      </c>
      <c r="Q923" s="28">
        <v>1</v>
      </c>
      <c r="S923" s="459" t="s">
        <v>3222</v>
      </c>
      <c r="T923" s="460"/>
      <c r="U923" s="459" t="s">
        <v>3230</v>
      </c>
      <c r="V923" s="28">
        <v>1</v>
      </c>
      <c r="W923" s="28">
        <v>7</v>
      </c>
      <c r="X923" s="218">
        <v>6</v>
      </c>
      <c r="Y923" s="37">
        <v>-0.1</v>
      </c>
      <c r="Z923" s="37">
        <v>0</v>
      </c>
      <c r="AN923" s="221"/>
      <c r="AP923" s="511">
        <v>3456</v>
      </c>
      <c r="AQ923" s="28" t="s">
        <v>136</v>
      </c>
      <c r="AR923" s="245"/>
    </row>
    <row r="924" s="28" customFormat="1" spans="1:44">
      <c r="A924" s="486">
        <v>920</v>
      </c>
      <c r="B924" s="229" t="s">
        <v>3321</v>
      </c>
      <c r="C924" s="487" t="s">
        <v>3328</v>
      </c>
      <c r="D924" s="28">
        <v>1</v>
      </c>
      <c r="E924" s="28">
        <v>0</v>
      </c>
      <c r="F924" s="229"/>
      <c r="G924" s="229">
        <v>1</v>
      </c>
      <c r="H924" s="245" t="s">
        <v>3329</v>
      </c>
      <c r="I924" s="28">
        <f t="shared" ref="I924:M924" si="62">80/30</f>
        <v>2.66666666666667</v>
      </c>
      <c r="J924" s="28">
        <f t="shared" si="62"/>
        <v>2.66666666666667</v>
      </c>
      <c r="K924" s="229"/>
      <c r="L924" s="28">
        <v>1</v>
      </c>
      <c r="M924" s="28">
        <f t="shared" si="59"/>
        <v>2.26666666666667</v>
      </c>
      <c r="N924" s="229" t="s">
        <v>3330</v>
      </c>
      <c r="O924" s="28">
        <v>1</v>
      </c>
      <c r="P924" s="28">
        <v>2.35</v>
      </c>
      <c r="Q924" s="28">
        <v>0</v>
      </c>
      <c r="S924" s="459" t="s">
        <v>3254</v>
      </c>
      <c r="T924" s="460" t="s">
        <v>3331</v>
      </c>
      <c r="U924" s="459" t="s">
        <v>3228</v>
      </c>
      <c r="V924" s="28">
        <v>1</v>
      </c>
      <c r="W924" s="28">
        <v>6</v>
      </c>
      <c r="X924" s="218">
        <v>4</v>
      </c>
      <c r="Y924" s="37">
        <v>-0.1</v>
      </c>
      <c r="Z924" s="37">
        <v>0</v>
      </c>
      <c r="AN924" s="221">
        <v>3460</v>
      </c>
      <c r="AO924" s="28" t="s">
        <v>690</v>
      </c>
      <c r="AP924" s="511">
        <v>3459</v>
      </c>
      <c r="AQ924" s="28" t="s">
        <v>136</v>
      </c>
      <c r="AR924" s="245"/>
    </row>
    <row r="925" s="28" customFormat="1" spans="1:44">
      <c r="A925" s="486">
        <v>921</v>
      </c>
      <c r="B925" s="229" t="s">
        <v>3321</v>
      </c>
      <c r="C925" s="229" t="s">
        <v>3332</v>
      </c>
      <c r="D925" s="28">
        <v>1</v>
      </c>
      <c r="E925" s="28">
        <v>0</v>
      </c>
      <c r="F925" s="229"/>
      <c r="G925" s="229">
        <v>1</v>
      </c>
      <c r="H925" s="245" t="s">
        <v>3333</v>
      </c>
      <c r="I925" s="28">
        <f t="shared" ref="I925:M925" si="63">112/30</f>
        <v>3.73333333333333</v>
      </c>
      <c r="J925" s="28">
        <f t="shared" si="63"/>
        <v>3.73333333333333</v>
      </c>
      <c r="K925" s="229"/>
      <c r="L925" s="28">
        <v>1</v>
      </c>
      <c r="M925" s="28">
        <f t="shared" si="59"/>
        <v>3.33333333333333</v>
      </c>
      <c r="N925" s="229" t="s">
        <v>3334</v>
      </c>
      <c r="O925" s="28">
        <v>1</v>
      </c>
      <c r="P925" s="28">
        <v>2.35</v>
      </c>
      <c r="Q925" s="28">
        <v>0</v>
      </c>
      <c r="R925" s="38">
        <v>1</v>
      </c>
      <c r="S925" s="38">
        <v>1</v>
      </c>
      <c r="T925" s="38">
        <v>0.5</v>
      </c>
      <c r="U925" s="38">
        <v>0.5</v>
      </c>
      <c r="V925" s="28">
        <v>1</v>
      </c>
      <c r="W925" s="28">
        <v>0</v>
      </c>
      <c r="X925" s="218">
        <v>8</v>
      </c>
      <c r="Y925" s="37">
        <v>-0.1</v>
      </c>
      <c r="Z925" s="37">
        <v>0</v>
      </c>
      <c r="AN925" s="221">
        <v>3463</v>
      </c>
      <c r="AO925" s="28" t="s">
        <v>3335</v>
      </c>
      <c r="AP925" s="511">
        <v>3462</v>
      </c>
      <c r="AQ925" s="28" t="s">
        <v>136</v>
      </c>
      <c r="AR925" s="245"/>
    </row>
    <row r="926" s="28" customFormat="1" spans="1:44">
      <c r="A926" s="486">
        <v>922</v>
      </c>
      <c r="B926" s="229" t="s">
        <v>3321</v>
      </c>
      <c r="C926" s="487" t="s">
        <v>3336</v>
      </c>
      <c r="D926" s="28">
        <v>1</v>
      </c>
      <c r="E926" s="28">
        <v>0</v>
      </c>
      <c r="F926" s="229"/>
      <c r="G926" s="229">
        <v>1</v>
      </c>
      <c r="H926" s="245" t="s">
        <v>3337</v>
      </c>
      <c r="I926" s="28">
        <f t="shared" ref="I926:M926" si="64">70/30</f>
        <v>2.33333333333333</v>
      </c>
      <c r="J926" s="28">
        <f t="shared" si="64"/>
        <v>2.33333333333333</v>
      </c>
      <c r="K926" s="229"/>
      <c r="L926" s="28">
        <v>1</v>
      </c>
      <c r="M926" s="28">
        <f t="shared" si="59"/>
        <v>1.93333333333333</v>
      </c>
      <c r="N926" s="503" t="s">
        <v>3338</v>
      </c>
      <c r="O926" s="28">
        <v>1</v>
      </c>
      <c r="P926" s="28">
        <v>2.35</v>
      </c>
      <c r="Q926" s="28">
        <v>0</v>
      </c>
      <c r="S926" s="459" t="s">
        <v>3222</v>
      </c>
      <c r="T926" s="460"/>
      <c r="U926" s="459" t="s">
        <v>3230</v>
      </c>
      <c r="V926" s="28">
        <v>1</v>
      </c>
      <c r="W926" s="28">
        <v>6</v>
      </c>
      <c r="X926" s="218">
        <v>2</v>
      </c>
      <c r="Y926" s="37">
        <v>-0.1</v>
      </c>
      <c r="Z926" s="37">
        <v>0</v>
      </c>
      <c r="AN926" s="221"/>
      <c r="AP926" s="511">
        <v>3466</v>
      </c>
      <c r="AQ926" s="28" t="s">
        <v>136</v>
      </c>
      <c r="AR926" s="245"/>
    </row>
    <row r="927" s="28" customFormat="1" spans="1:47">
      <c r="A927" s="486">
        <v>923</v>
      </c>
      <c r="B927" s="229" t="s">
        <v>3321</v>
      </c>
      <c r="C927" s="487" t="s">
        <v>3339</v>
      </c>
      <c r="D927" s="28">
        <v>1</v>
      </c>
      <c r="E927" s="28">
        <v>0</v>
      </c>
      <c r="F927" s="229"/>
      <c r="G927" s="229">
        <v>1</v>
      </c>
      <c r="H927" s="245" t="s">
        <v>3340</v>
      </c>
      <c r="I927" s="28">
        <f>235/30</f>
        <v>7.83333333333333</v>
      </c>
      <c r="J927" s="28">
        <f>235/30</f>
        <v>7.83333333333333</v>
      </c>
      <c r="K927" s="229"/>
      <c r="L927" s="28">
        <v>1</v>
      </c>
      <c r="M927" s="28">
        <f t="shared" ref="M927:M960" si="65">I927-0.4</f>
        <v>7.43333333333333</v>
      </c>
      <c r="N927" s="229" t="s">
        <v>3341</v>
      </c>
      <c r="O927" s="28">
        <v>1</v>
      </c>
      <c r="P927" s="28">
        <v>3</v>
      </c>
      <c r="Q927" s="28">
        <v>0</v>
      </c>
      <c r="V927" s="28">
        <v>1</v>
      </c>
      <c r="W927" s="28">
        <v>0</v>
      </c>
      <c r="X927" s="218">
        <v>6</v>
      </c>
      <c r="Y927" s="37">
        <v>-0.1</v>
      </c>
      <c r="Z927" s="37">
        <v>0</v>
      </c>
      <c r="AB927" s="50">
        <f>I927-0.3</f>
        <v>7.53333333333333</v>
      </c>
      <c r="AC927" s="28">
        <v>2</v>
      </c>
      <c r="AD927" s="28">
        <v>1</v>
      </c>
      <c r="AE927" s="28" t="s">
        <v>3342</v>
      </c>
      <c r="AF927" s="28">
        <v>0.5</v>
      </c>
      <c r="AN927" s="221">
        <v>3469</v>
      </c>
      <c r="AO927" s="28" t="s">
        <v>690</v>
      </c>
      <c r="AP927" s="511">
        <v>3468</v>
      </c>
      <c r="AQ927" s="28" t="s">
        <v>136</v>
      </c>
      <c r="AR927" s="245"/>
      <c r="AU927" s="28">
        <v>1</v>
      </c>
    </row>
    <row r="928" s="28" customFormat="1" spans="1:47">
      <c r="A928" s="486">
        <v>924</v>
      </c>
      <c r="B928" s="229" t="s">
        <v>3321</v>
      </c>
      <c r="C928" s="487" t="s">
        <v>3343</v>
      </c>
      <c r="D928" s="28">
        <v>1</v>
      </c>
      <c r="E928" s="28">
        <v>0</v>
      </c>
      <c r="F928" s="229"/>
      <c r="G928" s="229">
        <v>1</v>
      </c>
      <c r="H928" s="245" t="s">
        <v>3344</v>
      </c>
      <c r="I928" s="28">
        <f>350/30</f>
        <v>11.6666666666667</v>
      </c>
      <c r="J928" s="28">
        <f>350/30</f>
        <v>11.6666666666667</v>
      </c>
      <c r="K928" s="229"/>
      <c r="L928" s="28">
        <v>1</v>
      </c>
      <c r="M928" s="28">
        <f t="shared" si="65"/>
        <v>11.2666666666667</v>
      </c>
      <c r="N928" s="229" t="s">
        <v>3345</v>
      </c>
      <c r="O928" s="28">
        <v>1</v>
      </c>
      <c r="P928" s="28">
        <v>5</v>
      </c>
      <c r="Q928" s="28">
        <v>0</v>
      </c>
      <c r="V928" s="28">
        <v>1</v>
      </c>
      <c r="W928" s="28">
        <v>6</v>
      </c>
      <c r="X928" s="218">
        <v>4</v>
      </c>
      <c r="Y928" s="37">
        <v>-0.1</v>
      </c>
      <c r="Z928" s="37">
        <v>0</v>
      </c>
      <c r="AB928" s="50">
        <f>I928-0.3</f>
        <v>11.3666666666667</v>
      </c>
      <c r="AC928" s="28">
        <v>2</v>
      </c>
      <c r="AD928" s="28">
        <v>1</v>
      </c>
      <c r="AE928" s="28" t="s">
        <v>3346</v>
      </c>
      <c r="AF928" s="28">
        <v>0.5</v>
      </c>
      <c r="AN928" s="221" t="s">
        <v>3347</v>
      </c>
      <c r="AO928" s="28" t="s">
        <v>524</v>
      </c>
      <c r="AP928" s="511">
        <v>3470</v>
      </c>
      <c r="AQ928" s="28" t="s">
        <v>136</v>
      </c>
      <c r="AR928" s="245"/>
      <c r="AU928" s="28">
        <v>1</v>
      </c>
    </row>
    <row r="929" s="28" customFormat="1" spans="1:47">
      <c r="A929" s="486">
        <v>925</v>
      </c>
      <c r="B929" s="229" t="s">
        <v>3321</v>
      </c>
      <c r="C929" s="487" t="s">
        <v>3348</v>
      </c>
      <c r="D929" s="28">
        <v>1</v>
      </c>
      <c r="E929" s="28">
        <v>0</v>
      </c>
      <c r="F929" s="229"/>
      <c r="G929" s="229">
        <v>1</v>
      </c>
      <c r="H929" s="245" t="s">
        <v>3349</v>
      </c>
      <c r="I929" s="28">
        <f>450/30</f>
        <v>15</v>
      </c>
      <c r="J929" s="28">
        <f>450/30</f>
        <v>15</v>
      </c>
      <c r="K929" s="229"/>
      <c r="L929" s="28">
        <v>1</v>
      </c>
      <c r="M929" s="28">
        <f t="shared" si="65"/>
        <v>14.6</v>
      </c>
      <c r="N929" s="229" t="s">
        <v>3350</v>
      </c>
      <c r="O929" s="28">
        <v>1</v>
      </c>
      <c r="P929" s="28">
        <v>15</v>
      </c>
      <c r="Q929" s="28">
        <v>0</v>
      </c>
      <c r="V929" s="28">
        <v>1</v>
      </c>
      <c r="W929" s="28">
        <v>6</v>
      </c>
      <c r="X929" s="218">
        <v>12</v>
      </c>
      <c r="Y929" s="37">
        <v>-0.1</v>
      </c>
      <c r="Z929" s="37">
        <v>0</v>
      </c>
      <c r="AB929" s="50"/>
      <c r="AD929" s="28">
        <v>1</v>
      </c>
      <c r="AE929" s="28" t="s">
        <v>3351</v>
      </c>
      <c r="AN929" s="221" t="s">
        <v>3352</v>
      </c>
      <c r="AO929" s="28" t="s">
        <v>524</v>
      </c>
      <c r="AP929" s="511">
        <v>3473</v>
      </c>
      <c r="AQ929" s="28" t="s">
        <v>136</v>
      </c>
      <c r="AR929" s="245"/>
      <c r="AU929" s="28">
        <v>1</v>
      </c>
    </row>
    <row r="930" s="2" customFormat="1" spans="1:44">
      <c r="A930" s="488">
        <v>926</v>
      </c>
      <c r="B930" s="489" t="s">
        <v>3353</v>
      </c>
      <c r="C930" s="490" t="s">
        <v>526</v>
      </c>
      <c r="D930" s="2">
        <v>1</v>
      </c>
      <c r="E930" s="2">
        <v>0</v>
      </c>
      <c r="F930" s="489"/>
      <c r="G930" s="489">
        <v>1</v>
      </c>
      <c r="H930" s="491" t="s">
        <v>3354</v>
      </c>
      <c r="I930" s="2">
        <v>3.7</v>
      </c>
      <c r="J930" s="2">
        <v>3.7</v>
      </c>
      <c r="K930" s="489"/>
      <c r="L930" s="2">
        <v>0</v>
      </c>
      <c r="M930" s="28">
        <f t="shared" si="65"/>
        <v>3.3</v>
      </c>
      <c r="N930" s="504" t="s">
        <v>3355</v>
      </c>
      <c r="O930" s="2">
        <v>1</v>
      </c>
      <c r="P930" s="2">
        <v>2.35</v>
      </c>
      <c r="Q930" s="2">
        <v>0</v>
      </c>
      <c r="R930" s="2">
        <v>0</v>
      </c>
      <c r="S930" s="2">
        <v>0.7</v>
      </c>
      <c r="T930" s="2">
        <v>0.1</v>
      </c>
      <c r="U930" s="2">
        <v>0.05</v>
      </c>
      <c r="V930" s="2">
        <v>1</v>
      </c>
      <c r="W930" s="2">
        <v>0</v>
      </c>
      <c r="X930" s="508">
        <v>3</v>
      </c>
      <c r="Y930" s="37">
        <v>-0.1</v>
      </c>
      <c r="Z930" s="2">
        <v>0</v>
      </c>
      <c r="AN930" s="509"/>
      <c r="AP930" s="512">
        <v>3487</v>
      </c>
      <c r="AQ930" s="28" t="s">
        <v>136</v>
      </c>
      <c r="AR930" s="491"/>
    </row>
    <row r="931" s="2" customFormat="1" spans="1:44">
      <c r="A931" s="488">
        <v>927</v>
      </c>
      <c r="B931" s="489" t="s">
        <v>3353</v>
      </c>
      <c r="C931" s="490" t="s">
        <v>3356</v>
      </c>
      <c r="D931" s="2">
        <v>1</v>
      </c>
      <c r="E931" s="2">
        <v>0</v>
      </c>
      <c r="F931" s="489"/>
      <c r="G931" s="489">
        <v>1</v>
      </c>
      <c r="H931" s="491" t="s">
        <v>3357</v>
      </c>
      <c r="I931" s="2">
        <v>2.1</v>
      </c>
      <c r="J931" s="2">
        <v>2.1</v>
      </c>
      <c r="K931" s="489"/>
      <c r="L931" s="2">
        <v>1</v>
      </c>
      <c r="M931" s="28">
        <f t="shared" si="65"/>
        <v>1.7</v>
      </c>
      <c r="N931" s="504" t="s">
        <v>3358</v>
      </c>
      <c r="O931" s="2">
        <v>1</v>
      </c>
      <c r="P931" s="2">
        <v>2.35</v>
      </c>
      <c r="Q931" s="2">
        <v>0</v>
      </c>
      <c r="R931" s="2">
        <v>1</v>
      </c>
      <c r="S931" s="2">
        <v>0.7</v>
      </c>
      <c r="T931" s="2">
        <v>0.2</v>
      </c>
      <c r="U931" s="2">
        <v>1</v>
      </c>
      <c r="V931" s="2">
        <v>1</v>
      </c>
      <c r="W931" s="2">
        <v>7</v>
      </c>
      <c r="X931" s="508">
        <v>1</v>
      </c>
      <c r="Y931" s="37">
        <v>-0.1</v>
      </c>
      <c r="Z931" s="2">
        <v>0</v>
      </c>
      <c r="AN931" s="509"/>
      <c r="AP931" s="512">
        <v>3489</v>
      </c>
      <c r="AQ931" s="28" t="s">
        <v>136</v>
      </c>
      <c r="AR931" s="491"/>
    </row>
    <row r="932" s="2" customFormat="1" spans="1:44">
      <c r="A932" s="488">
        <v>928</v>
      </c>
      <c r="B932" s="489" t="s">
        <v>3353</v>
      </c>
      <c r="C932" s="490" t="s">
        <v>3359</v>
      </c>
      <c r="D932" s="2">
        <v>1</v>
      </c>
      <c r="E932" s="2">
        <v>0</v>
      </c>
      <c r="F932" s="489"/>
      <c r="G932" s="489">
        <v>1</v>
      </c>
      <c r="H932" s="491" t="s">
        <v>3360</v>
      </c>
      <c r="I932" s="2">
        <v>2.96666666666667</v>
      </c>
      <c r="J932" s="2">
        <v>2.96666666666667</v>
      </c>
      <c r="K932" s="489"/>
      <c r="L932" s="2">
        <v>1</v>
      </c>
      <c r="M932" s="28">
        <f t="shared" si="65"/>
        <v>2.56666666666667</v>
      </c>
      <c r="N932" s="504" t="s">
        <v>3361</v>
      </c>
      <c r="O932" s="2">
        <v>1</v>
      </c>
      <c r="P932" s="2">
        <v>2.35</v>
      </c>
      <c r="Q932" s="2">
        <v>1</v>
      </c>
      <c r="R932" s="2">
        <v>0</v>
      </c>
      <c r="S932" s="2">
        <v>5</v>
      </c>
      <c r="T932" s="2">
        <v>0.3</v>
      </c>
      <c r="U932" s="2">
        <v>0.4</v>
      </c>
      <c r="V932" s="2">
        <v>1</v>
      </c>
      <c r="W932" s="2">
        <v>7</v>
      </c>
      <c r="X932" s="508">
        <v>1</v>
      </c>
      <c r="Y932" s="37">
        <v>-0.1</v>
      </c>
      <c r="Z932" s="2">
        <v>0</v>
      </c>
      <c r="AN932" s="509">
        <v>3493</v>
      </c>
      <c r="AO932" s="2" t="s">
        <v>3362</v>
      </c>
      <c r="AP932" s="512">
        <v>3491</v>
      </c>
      <c r="AQ932" s="28" t="s">
        <v>136</v>
      </c>
      <c r="AR932" s="491"/>
    </row>
    <row r="933" s="2" customFormat="1" spans="1:44">
      <c r="A933" s="488">
        <v>929</v>
      </c>
      <c r="B933" s="489" t="s">
        <v>3353</v>
      </c>
      <c r="C933" s="490" t="s">
        <v>3363</v>
      </c>
      <c r="D933" s="2">
        <v>1</v>
      </c>
      <c r="E933" s="2">
        <v>0</v>
      </c>
      <c r="F933" s="489"/>
      <c r="G933" s="489">
        <v>1</v>
      </c>
      <c r="H933" s="491" t="s">
        <v>3364</v>
      </c>
      <c r="I933" s="2">
        <v>2.9</v>
      </c>
      <c r="J933" s="2">
        <v>2.9</v>
      </c>
      <c r="K933" s="489"/>
      <c r="L933" s="2">
        <v>1</v>
      </c>
      <c r="M933" s="28">
        <f t="shared" si="65"/>
        <v>2.5</v>
      </c>
      <c r="N933" s="504" t="s">
        <v>3365</v>
      </c>
      <c r="O933" s="2">
        <v>1</v>
      </c>
      <c r="P933" s="2">
        <v>2.35</v>
      </c>
      <c r="Q933" s="2">
        <v>0</v>
      </c>
      <c r="R933" s="2">
        <v>0</v>
      </c>
      <c r="S933" s="2">
        <v>1.8</v>
      </c>
      <c r="T933" s="2">
        <v>1.5</v>
      </c>
      <c r="U933" s="2">
        <v>0.6</v>
      </c>
      <c r="V933" s="2">
        <v>1</v>
      </c>
      <c r="W933" s="2">
        <v>4</v>
      </c>
      <c r="X933" s="508">
        <v>1</v>
      </c>
      <c r="Y933" s="37">
        <v>-0.1</v>
      </c>
      <c r="Z933" s="2">
        <v>0</v>
      </c>
      <c r="AN933" s="509"/>
      <c r="AP933" s="512">
        <v>3494</v>
      </c>
      <c r="AQ933" s="28" t="s">
        <v>136</v>
      </c>
      <c r="AR933" s="491"/>
    </row>
    <row r="934" s="2" customFormat="1" spans="1:44">
      <c r="A934" s="488">
        <v>930</v>
      </c>
      <c r="B934" s="489" t="s">
        <v>3353</v>
      </c>
      <c r="C934" s="490" t="s">
        <v>1231</v>
      </c>
      <c r="D934" s="2">
        <v>1</v>
      </c>
      <c r="E934" s="2">
        <v>0</v>
      </c>
      <c r="F934" s="489"/>
      <c r="G934" s="489">
        <v>1</v>
      </c>
      <c r="H934" s="491" t="s">
        <v>3366</v>
      </c>
      <c r="I934" s="2">
        <v>2.73333333333333</v>
      </c>
      <c r="J934" s="2">
        <v>2.73333333333333</v>
      </c>
      <c r="K934" s="489"/>
      <c r="L934" s="2">
        <v>0</v>
      </c>
      <c r="M934" s="28">
        <f t="shared" si="65"/>
        <v>2.33333333333333</v>
      </c>
      <c r="N934" s="504" t="s">
        <v>3367</v>
      </c>
      <c r="O934" s="2">
        <v>1</v>
      </c>
      <c r="P934" s="2">
        <v>3.1</v>
      </c>
      <c r="Q934" s="2">
        <v>0</v>
      </c>
      <c r="R934" s="2">
        <v>0</v>
      </c>
      <c r="S934" s="2">
        <v>0.5</v>
      </c>
      <c r="T934" s="2">
        <v>0.1</v>
      </c>
      <c r="U934" s="2">
        <v>1</v>
      </c>
      <c r="V934" s="2">
        <v>1</v>
      </c>
      <c r="W934" s="2">
        <v>0</v>
      </c>
      <c r="X934" s="508">
        <v>3</v>
      </c>
      <c r="Y934" s="37">
        <v>-0.1</v>
      </c>
      <c r="Z934" s="2">
        <v>0</v>
      </c>
      <c r="AN934" s="509"/>
      <c r="AP934" s="512">
        <v>3496</v>
      </c>
      <c r="AQ934" s="28" t="s">
        <v>136</v>
      </c>
      <c r="AR934" s="491"/>
    </row>
    <row r="935" s="2" customFormat="1" spans="1:44">
      <c r="A935" s="488">
        <v>931</v>
      </c>
      <c r="B935" s="489" t="s">
        <v>3353</v>
      </c>
      <c r="C935" s="490" t="s">
        <v>3368</v>
      </c>
      <c r="D935" s="2">
        <v>1</v>
      </c>
      <c r="E935" s="2">
        <v>0</v>
      </c>
      <c r="F935" s="489"/>
      <c r="G935" s="489">
        <v>1</v>
      </c>
      <c r="H935" s="491" t="s">
        <v>3369</v>
      </c>
      <c r="I935" s="2">
        <v>3.56666666666667</v>
      </c>
      <c r="J935" s="2">
        <v>3.56666666666667</v>
      </c>
      <c r="K935" s="489"/>
      <c r="L935" s="2">
        <v>1</v>
      </c>
      <c r="M935" s="28">
        <f t="shared" si="65"/>
        <v>3.16666666666667</v>
      </c>
      <c r="N935" s="504" t="s">
        <v>3370</v>
      </c>
      <c r="O935" s="2">
        <v>1</v>
      </c>
      <c r="P935" s="2">
        <v>3.1</v>
      </c>
      <c r="Q935" s="2">
        <v>0</v>
      </c>
      <c r="R935" s="2">
        <v>0</v>
      </c>
      <c r="S935" s="2">
        <v>1</v>
      </c>
      <c r="T935" s="2">
        <v>-0.2</v>
      </c>
      <c r="U935" s="2">
        <v>1.4</v>
      </c>
      <c r="V935" s="2">
        <v>1</v>
      </c>
      <c r="W935" s="2">
        <v>6</v>
      </c>
      <c r="X935" s="508">
        <v>1</v>
      </c>
      <c r="Y935" s="37">
        <v>-0.1</v>
      </c>
      <c r="Z935" s="2">
        <v>0</v>
      </c>
      <c r="AN935" s="509" t="s">
        <v>3371</v>
      </c>
      <c r="AO935" s="2" t="s">
        <v>2127</v>
      </c>
      <c r="AP935" s="512">
        <v>3498</v>
      </c>
      <c r="AQ935" s="2" t="s">
        <v>136</v>
      </c>
      <c r="AR935" s="491"/>
    </row>
    <row r="936" s="2" customFormat="1" spans="1:47">
      <c r="A936" s="488">
        <v>932</v>
      </c>
      <c r="B936" s="489" t="s">
        <v>3353</v>
      </c>
      <c r="C936" s="490" t="s">
        <v>3372</v>
      </c>
      <c r="D936" s="2">
        <v>1</v>
      </c>
      <c r="E936" s="2">
        <v>0</v>
      </c>
      <c r="F936" s="489"/>
      <c r="G936" s="489">
        <v>1</v>
      </c>
      <c r="H936" s="491" t="s">
        <v>3373</v>
      </c>
      <c r="I936" s="2">
        <v>11.0333333333333</v>
      </c>
      <c r="J936" s="2">
        <v>11.0333333333333</v>
      </c>
      <c r="K936" s="489"/>
      <c r="L936" s="2">
        <v>1</v>
      </c>
      <c r="M936" s="28">
        <f t="shared" si="65"/>
        <v>10.6333333333333</v>
      </c>
      <c r="N936" s="504" t="s">
        <v>3374</v>
      </c>
      <c r="O936" s="2">
        <v>1</v>
      </c>
      <c r="P936" s="2">
        <v>2.1</v>
      </c>
      <c r="Q936" s="2">
        <v>0</v>
      </c>
      <c r="R936" s="2">
        <v>0</v>
      </c>
      <c r="V936" s="2">
        <v>1</v>
      </c>
      <c r="W936" s="2">
        <v>6</v>
      </c>
      <c r="X936" s="508">
        <v>9</v>
      </c>
      <c r="Y936" s="37">
        <v>-0.1</v>
      </c>
      <c r="Z936" s="2">
        <v>0</v>
      </c>
      <c r="AB936" s="50">
        <f>I936-0.3</f>
        <v>10.7333333333333</v>
      </c>
      <c r="AC936" s="2">
        <v>2</v>
      </c>
      <c r="AD936" s="2">
        <v>1</v>
      </c>
      <c r="AE936" s="2" t="s">
        <v>3375</v>
      </c>
      <c r="AF936" s="2">
        <v>0.5</v>
      </c>
      <c r="AN936" s="509"/>
      <c r="AP936" s="512">
        <v>3502</v>
      </c>
      <c r="AQ936" s="2" t="s">
        <v>136</v>
      </c>
      <c r="AR936" s="491"/>
      <c r="AU936" s="2">
        <v>1</v>
      </c>
    </row>
    <row r="937" s="2" customFormat="1" spans="1:47">
      <c r="A937" s="488">
        <v>933</v>
      </c>
      <c r="B937" s="489" t="s">
        <v>3353</v>
      </c>
      <c r="C937" s="490" t="s">
        <v>3376</v>
      </c>
      <c r="D937" s="2">
        <v>1</v>
      </c>
      <c r="E937" s="2">
        <v>0</v>
      </c>
      <c r="F937" s="489"/>
      <c r="G937" s="489">
        <v>1</v>
      </c>
      <c r="H937" s="491" t="s">
        <v>3377</v>
      </c>
      <c r="I937" s="2">
        <v>13.6666666666667</v>
      </c>
      <c r="J937" s="2">
        <v>13.6666666666667</v>
      </c>
      <c r="K937" s="489"/>
      <c r="L937" s="2">
        <v>1</v>
      </c>
      <c r="M937" s="28">
        <f t="shared" si="65"/>
        <v>13.2666666666667</v>
      </c>
      <c r="N937" s="504" t="s">
        <v>3378</v>
      </c>
      <c r="O937" s="2">
        <v>1</v>
      </c>
      <c r="P937" s="2">
        <v>2</v>
      </c>
      <c r="Q937" s="2">
        <v>0</v>
      </c>
      <c r="R937" s="2">
        <v>0</v>
      </c>
      <c r="V937" s="2">
        <v>1</v>
      </c>
      <c r="W937" s="2">
        <v>0</v>
      </c>
      <c r="X937" s="508">
        <v>5</v>
      </c>
      <c r="Y937" s="37">
        <v>-0.1</v>
      </c>
      <c r="Z937" s="2">
        <v>0</v>
      </c>
      <c r="AB937" s="50">
        <f>I937-0.3</f>
        <v>13.3666666666667</v>
      </c>
      <c r="AC937" s="2">
        <v>2</v>
      </c>
      <c r="AD937" s="2">
        <v>1</v>
      </c>
      <c r="AE937" s="2" t="s">
        <v>3379</v>
      </c>
      <c r="AF937" s="2">
        <v>0.5</v>
      </c>
      <c r="AN937" s="509" t="s">
        <v>3380</v>
      </c>
      <c r="AO937" s="2" t="s">
        <v>3381</v>
      </c>
      <c r="AP937" s="512">
        <v>3503</v>
      </c>
      <c r="AQ937" s="2" t="s">
        <v>136</v>
      </c>
      <c r="AR937" s="491"/>
      <c r="AU937" s="2">
        <v>1</v>
      </c>
    </row>
    <row r="938" s="2" customFormat="1" spans="1:44">
      <c r="A938" s="488">
        <v>934</v>
      </c>
      <c r="B938" s="489" t="s">
        <v>3353</v>
      </c>
      <c r="C938" s="490" t="s">
        <v>3382</v>
      </c>
      <c r="D938" s="2">
        <v>1</v>
      </c>
      <c r="E938" s="2">
        <v>0</v>
      </c>
      <c r="F938" s="489"/>
      <c r="G938" s="489">
        <v>1</v>
      </c>
      <c r="H938" s="491" t="s">
        <v>3383</v>
      </c>
      <c r="I938" s="2">
        <v>12.6666666666667</v>
      </c>
      <c r="J938" s="2">
        <v>12.6666666666667</v>
      </c>
      <c r="K938" s="489"/>
      <c r="L938" s="2">
        <v>1</v>
      </c>
      <c r="M938" s="28">
        <f t="shared" si="65"/>
        <v>12.2666666666667</v>
      </c>
      <c r="N938" s="504" t="s">
        <v>3384</v>
      </c>
      <c r="O938" s="2">
        <v>1</v>
      </c>
      <c r="P938" s="2">
        <v>3</v>
      </c>
      <c r="Q938" s="2">
        <v>0</v>
      </c>
      <c r="R938" s="2">
        <v>0</v>
      </c>
      <c r="V938" s="2">
        <v>1</v>
      </c>
      <c r="W938" s="2">
        <v>0</v>
      </c>
      <c r="X938" s="508">
        <v>4</v>
      </c>
      <c r="Y938" s="37">
        <v>-0.1</v>
      </c>
      <c r="Z938" s="2">
        <v>0</v>
      </c>
      <c r="AB938" s="50">
        <f>I938-0.3</f>
        <v>12.3666666666667</v>
      </c>
      <c r="AC938" s="2">
        <v>2</v>
      </c>
      <c r="AD938" s="2">
        <v>1</v>
      </c>
      <c r="AE938" s="2" t="s">
        <v>3385</v>
      </c>
      <c r="AF938" s="2">
        <v>0.5</v>
      </c>
      <c r="AN938" s="509"/>
      <c r="AP938" s="512">
        <v>3506</v>
      </c>
      <c r="AQ938" s="2" t="s">
        <v>136</v>
      </c>
      <c r="AR938" s="491"/>
    </row>
    <row r="939" s="27" customFormat="1" spans="1:44">
      <c r="A939" s="461">
        <v>935</v>
      </c>
      <c r="B939" s="492" t="s">
        <v>3386</v>
      </c>
      <c r="C939" s="493" t="s">
        <v>526</v>
      </c>
      <c r="D939" s="27">
        <v>1</v>
      </c>
      <c r="E939" s="27">
        <v>0</v>
      </c>
      <c r="F939" s="492"/>
      <c r="G939" s="492">
        <v>1</v>
      </c>
      <c r="H939" s="5" t="s">
        <v>3387</v>
      </c>
      <c r="I939" s="27">
        <v>3</v>
      </c>
      <c r="J939" s="27">
        <v>3</v>
      </c>
      <c r="K939" s="492"/>
      <c r="L939" s="27">
        <v>0</v>
      </c>
      <c r="M939" s="28">
        <f t="shared" si="65"/>
        <v>2.6</v>
      </c>
      <c r="N939" s="492" t="s">
        <v>3388</v>
      </c>
      <c r="O939" s="27">
        <v>1</v>
      </c>
      <c r="P939" s="27">
        <v>2.5</v>
      </c>
      <c r="Q939" s="27">
        <v>0</v>
      </c>
      <c r="R939" s="27">
        <v>0</v>
      </c>
      <c r="S939" s="2">
        <v>0.8</v>
      </c>
      <c r="T939" s="2">
        <v>0.1</v>
      </c>
      <c r="U939" s="2">
        <v>0.1</v>
      </c>
      <c r="V939" s="27">
        <v>6</v>
      </c>
      <c r="W939" s="27">
        <v>0</v>
      </c>
      <c r="X939" s="217">
        <v>3</v>
      </c>
      <c r="Y939" s="37">
        <v>-0.1</v>
      </c>
      <c r="Z939" s="2">
        <v>0</v>
      </c>
      <c r="AN939" s="213"/>
      <c r="AP939" s="81">
        <v>3512</v>
      </c>
      <c r="AQ939" s="2" t="s">
        <v>136</v>
      </c>
      <c r="AR939" s="494"/>
    </row>
    <row r="940" s="27" customFormat="1" spans="1:44">
      <c r="A940" s="461">
        <v>936</v>
      </c>
      <c r="B940" s="492" t="s">
        <v>3386</v>
      </c>
      <c r="C940" s="493" t="s">
        <v>3389</v>
      </c>
      <c r="D940" s="27">
        <v>1</v>
      </c>
      <c r="E940" s="27">
        <v>0</v>
      </c>
      <c r="F940" s="492"/>
      <c r="G940" s="492">
        <v>1</v>
      </c>
      <c r="H940" s="5" t="s">
        <v>3390</v>
      </c>
      <c r="I940" s="27">
        <v>3.4</v>
      </c>
      <c r="J940" s="27">
        <v>3.4</v>
      </c>
      <c r="K940" s="492"/>
      <c r="L940" s="27">
        <v>1</v>
      </c>
      <c r="M940" s="28">
        <f t="shared" si="65"/>
        <v>3</v>
      </c>
      <c r="N940" s="492" t="s">
        <v>3391</v>
      </c>
      <c r="O940" s="27">
        <v>1</v>
      </c>
      <c r="P940" s="27">
        <v>2.5</v>
      </c>
      <c r="Q940" s="27">
        <v>0</v>
      </c>
      <c r="R940" s="27">
        <v>0</v>
      </c>
      <c r="S940" s="2">
        <v>0.7</v>
      </c>
      <c r="T940" s="2">
        <v>0.2</v>
      </c>
      <c r="U940" s="2">
        <v>1</v>
      </c>
      <c r="V940" s="27">
        <v>6</v>
      </c>
      <c r="W940" s="27">
        <v>0</v>
      </c>
      <c r="X940" s="217">
        <v>3</v>
      </c>
      <c r="Y940" s="37">
        <v>-0.1</v>
      </c>
      <c r="Z940" s="2">
        <v>0</v>
      </c>
      <c r="AN940" s="213"/>
      <c r="AP940" s="81">
        <v>3514</v>
      </c>
      <c r="AQ940" s="2" t="s">
        <v>136</v>
      </c>
      <c r="AR940" s="494"/>
    </row>
    <row r="941" s="27" customFormat="1" spans="1:44">
      <c r="A941" s="461">
        <v>937</v>
      </c>
      <c r="B941" s="492" t="s">
        <v>3386</v>
      </c>
      <c r="C941" s="493" t="s">
        <v>3392</v>
      </c>
      <c r="D941" s="27">
        <v>1</v>
      </c>
      <c r="E941" s="27">
        <v>0</v>
      </c>
      <c r="F941" s="492"/>
      <c r="G941" s="492">
        <v>1</v>
      </c>
      <c r="H941" s="5" t="s">
        <v>3393</v>
      </c>
      <c r="I941" s="27">
        <v>2.53333333333333</v>
      </c>
      <c r="J941" s="27">
        <v>2.53333333333333</v>
      </c>
      <c r="K941" s="492"/>
      <c r="L941" s="27">
        <v>1</v>
      </c>
      <c r="M941" s="28">
        <f t="shared" si="65"/>
        <v>2.13333333333333</v>
      </c>
      <c r="N941" s="492" t="s">
        <v>3394</v>
      </c>
      <c r="O941" s="27">
        <v>1</v>
      </c>
      <c r="P941" s="27">
        <v>2.5</v>
      </c>
      <c r="Q941" s="27">
        <v>0</v>
      </c>
      <c r="R941" s="27">
        <v>0</v>
      </c>
      <c r="S941" s="2">
        <v>2.5</v>
      </c>
      <c r="T941" s="2">
        <v>1.4</v>
      </c>
      <c r="U941" s="2">
        <v>0.7</v>
      </c>
      <c r="V941" s="27">
        <v>6</v>
      </c>
      <c r="W941" s="27">
        <v>8</v>
      </c>
      <c r="X941" s="217">
        <v>2</v>
      </c>
      <c r="Y941" s="37">
        <v>-0.1</v>
      </c>
      <c r="Z941" s="2">
        <v>0</v>
      </c>
      <c r="AN941" s="213"/>
      <c r="AP941" s="81">
        <v>3517</v>
      </c>
      <c r="AQ941" s="2" t="s">
        <v>136</v>
      </c>
      <c r="AR941" s="494"/>
    </row>
    <row r="942" s="27" customFormat="1" spans="1:44">
      <c r="A942" s="461">
        <v>938</v>
      </c>
      <c r="B942" s="492" t="s">
        <v>3386</v>
      </c>
      <c r="C942" s="493" t="s">
        <v>1231</v>
      </c>
      <c r="D942" s="27">
        <v>1</v>
      </c>
      <c r="E942" s="27">
        <v>0</v>
      </c>
      <c r="F942" s="492"/>
      <c r="G942" s="492">
        <v>1</v>
      </c>
      <c r="H942" s="5" t="s">
        <v>3395</v>
      </c>
      <c r="I942" s="27">
        <v>2.63333333333333</v>
      </c>
      <c r="J942" s="27">
        <v>2.63333333333333</v>
      </c>
      <c r="K942" s="492"/>
      <c r="L942" s="27">
        <v>0</v>
      </c>
      <c r="M942" s="28">
        <f t="shared" si="65"/>
        <v>2.23333333333333</v>
      </c>
      <c r="N942" s="492" t="s">
        <v>3396</v>
      </c>
      <c r="O942" s="27">
        <v>1</v>
      </c>
      <c r="P942" s="27">
        <v>4.5</v>
      </c>
      <c r="Q942" s="27">
        <v>0</v>
      </c>
      <c r="R942" s="27">
        <v>0</v>
      </c>
      <c r="S942" s="2">
        <v>1.8</v>
      </c>
      <c r="T942" s="2">
        <v>1</v>
      </c>
      <c r="U942" s="2">
        <v>0.9</v>
      </c>
      <c r="V942" s="27">
        <v>6</v>
      </c>
      <c r="W942" s="27">
        <v>7</v>
      </c>
      <c r="X942" s="217">
        <v>3</v>
      </c>
      <c r="Y942" s="37">
        <v>-0.1</v>
      </c>
      <c r="Z942" s="2">
        <v>0</v>
      </c>
      <c r="AN942" s="213"/>
      <c r="AP942" s="81">
        <v>3519</v>
      </c>
      <c r="AQ942" s="2" t="s">
        <v>136</v>
      </c>
      <c r="AR942" s="494"/>
    </row>
    <row r="943" s="27" customFormat="1" spans="1:44">
      <c r="A943" s="461">
        <v>939</v>
      </c>
      <c r="B943" s="492" t="s">
        <v>3386</v>
      </c>
      <c r="C943" s="493" t="s">
        <v>3397</v>
      </c>
      <c r="D943" s="27">
        <v>1</v>
      </c>
      <c r="E943" s="27">
        <v>0</v>
      </c>
      <c r="F943" s="492"/>
      <c r="G943" s="492">
        <v>1</v>
      </c>
      <c r="H943" s="5" t="s">
        <v>3398</v>
      </c>
      <c r="I943" s="27">
        <v>2.66666666666667</v>
      </c>
      <c r="J943" s="27">
        <v>2.66666666666667</v>
      </c>
      <c r="K943" s="492"/>
      <c r="L943" s="27">
        <v>1</v>
      </c>
      <c r="M943" s="28">
        <f t="shared" si="65"/>
        <v>2.26666666666667</v>
      </c>
      <c r="N943" s="229" t="s">
        <v>3399</v>
      </c>
      <c r="O943" s="27">
        <v>1</v>
      </c>
      <c r="P943" s="27">
        <v>4.5</v>
      </c>
      <c r="Q943" s="27">
        <v>0</v>
      </c>
      <c r="R943" s="27">
        <v>0</v>
      </c>
      <c r="S943" s="2">
        <v>0.5</v>
      </c>
      <c r="T943" s="2">
        <v>0.1</v>
      </c>
      <c r="U943" s="2">
        <v>1</v>
      </c>
      <c r="V943" s="27">
        <v>6</v>
      </c>
      <c r="W943" s="27">
        <v>6</v>
      </c>
      <c r="X943" s="217">
        <v>1</v>
      </c>
      <c r="Y943" s="37">
        <v>-0.1</v>
      </c>
      <c r="Z943" s="2">
        <v>0</v>
      </c>
      <c r="AN943" s="213"/>
      <c r="AP943" s="81">
        <v>3523</v>
      </c>
      <c r="AQ943" s="2" t="s">
        <v>136</v>
      </c>
      <c r="AR943" s="494"/>
    </row>
    <row r="944" s="27" customFormat="1" spans="1:44">
      <c r="A944" s="461">
        <v>940</v>
      </c>
      <c r="B944" s="492" t="s">
        <v>3386</v>
      </c>
      <c r="C944" s="493" t="s">
        <v>3400</v>
      </c>
      <c r="D944" s="27">
        <v>1</v>
      </c>
      <c r="E944" s="27">
        <v>0</v>
      </c>
      <c r="F944" s="492"/>
      <c r="G944" s="492">
        <v>1</v>
      </c>
      <c r="H944" s="5" t="s">
        <v>3401</v>
      </c>
      <c r="I944" s="27">
        <v>2.26666666666667</v>
      </c>
      <c r="J944" s="27">
        <v>2.26666666666667</v>
      </c>
      <c r="K944" s="492"/>
      <c r="L944" s="27">
        <v>1</v>
      </c>
      <c r="M944" s="28">
        <f t="shared" si="65"/>
        <v>1.86666666666667</v>
      </c>
      <c r="N944" s="492" t="s">
        <v>3402</v>
      </c>
      <c r="O944" s="27">
        <v>1</v>
      </c>
      <c r="P944" s="27">
        <v>4.5</v>
      </c>
      <c r="Q944" s="27">
        <v>0</v>
      </c>
      <c r="R944" s="27">
        <v>0</v>
      </c>
      <c r="S944" s="2">
        <v>1</v>
      </c>
      <c r="T944" s="2">
        <v>-0.2</v>
      </c>
      <c r="U944" s="2">
        <v>1.4</v>
      </c>
      <c r="V944" s="27">
        <v>6</v>
      </c>
      <c r="W944" s="27">
        <v>7</v>
      </c>
      <c r="X944" s="217">
        <v>2</v>
      </c>
      <c r="Y944" s="37">
        <v>-0.1</v>
      </c>
      <c r="Z944" s="2">
        <v>0</v>
      </c>
      <c r="AN944" s="213">
        <v>3526</v>
      </c>
      <c r="AO944" s="27" t="s">
        <v>3403</v>
      </c>
      <c r="AP944" s="81">
        <v>3525</v>
      </c>
      <c r="AQ944" s="2" t="s">
        <v>136</v>
      </c>
      <c r="AR944" s="494"/>
    </row>
    <row r="945" s="27" customFormat="1" spans="1:47">
      <c r="A945" s="461">
        <v>941</v>
      </c>
      <c r="B945" s="492" t="s">
        <v>3386</v>
      </c>
      <c r="C945" s="493" t="s">
        <v>3404</v>
      </c>
      <c r="D945" s="27">
        <v>1</v>
      </c>
      <c r="E945" s="27">
        <v>0</v>
      </c>
      <c r="F945" s="492"/>
      <c r="G945" s="492">
        <v>1</v>
      </c>
      <c r="H945" s="5" t="s">
        <v>3405</v>
      </c>
      <c r="I945" s="27">
        <f t="shared" ref="I945:M945" si="66">400/30</f>
        <v>13.3333333333333</v>
      </c>
      <c r="J945" s="27">
        <f t="shared" si="66"/>
        <v>13.3333333333333</v>
      </c>
      <c r="K945" s="492"/>
      <c r="L945" s="27">
        <v>1</v>
      </c>
      <c r="M945" s="28">
        <f t="shared" si="65"/>
        <v>12.9333333333333</v>
      </c>
      <c r="N945" s="492" t="s">
        <v>3406</v>
      </c>
      <c r="O945" s="27">
        <v>1</v>
      </c>
      <c r="P945" s="27">
        <v>5</v>
      </c>
      <c r="Q945" s="27">
        <v>0</v>
      </c>
      <c r="R945" s="27">
        <v>0</v>
      </c>
      <c r="V945" s="27">
        <v>6</v>
      </c>
      <c r="W945" s="27">
        <v>0</v>
      </c>
      <c r="X945" s="217">
        <v>8</v>
      </c>
      <c r="Y945" s="37">
        <v>-0.1</v>
      </c>
      <c r="Z945" s="2">
        <v>0</v>
      </c>
      <c r="AB945" s="50">
        <f>I945-0.3</f>
        <v>13.0333333333333</v>
      </c>
      <c r="AC945" s="27">
        <v>2</v>
      </c>
      <c r="AD945" s="27">
        <v>1</v>
      </c>
      <c r="AE945" s="27" t="s">
        <v>3407</v>
      </c>
      <c r="AF945" s="27">
        <v>0.5</v>
      </c>
      <c r="AN945" s="213" t="s">
        <v>3408</v>
      </c>
      <c r="AO945" s="27" t="s">
        <v>3409</v>
      </c>
      <c r="AP945" s="81">
        <v>3533</v>
      </c>
      <c r="AQ945" s="2" t="s">
        <v>136</v>
      </c>
      <c r="AR945" s="494"/>
      <c r="AU945" s="27">
        <v>1</v>
      </c>
    </row>
    <row r="946" s="27" customFormat="1" spans="1:47">
      <c r="A946" s="461">
        <v>942</v>
      </c>
      <c r="B946" s="492" t="s">
        <v>3386</v>
      </c>
      <c r="C946" s="493" t="s">
        <v>3410</v>
      </c>
      <c r="D946" s="27">
        <v>1</v>
      </c>
      <c r="E946" s="27">
        <v>0</v>
      </c>
      <c r="F946" s="492"/>
      <c r="G946" s="492">
        <v>1</v>
      </c>
      <c r="H946" s="5" t="s">
        <v>3411</v>
      </c>
      <c r="I946" s="27">
        <v>9.56666666666667</v>
      </c>
      <c r="J946" s="27">
        <v>9.56666666666667</v>
      </c>
      <c r="K946" s="492"/>
      <c r="L946" s="27">
        <v>1</v>
      </c>
      <c r="M946" s="28">
        <f t="shared" si="65"/>
        <v>9.16666666666667</v>
      </c>
      <c r="N946" s="492" t="s">
        <v>3412</v>
      </c>
      <c r="O946" s="27">
        <v>3</v>
      </c>
      <c r="P946" s="27">
        <v>-15</v>
      </c>
      <c r="Q946" s="27">
        <v>0</v>
      </c>
      <c r="R946" s="27">
        <v>0</v>
      </c>
      <c r="V946" s="27">
        <v>6</v>
      </c>
      <c r="W946" s="27">
        <v>6</v>
      </c>
      <c r="X946" s="217">
        <v>1</v>
      </c>
      <c r="Y946" s="37">
        <v>-0.1</v>
      </c>
      <c r="Z946" s="2">
        <v>0</v>
      </c>
      <c r="AB946" s="50">
        <f>I946-0.3</f>
        <v>9.26666666666667</v>
      </c>
      <c r="AC946" s="27">
        <v>2</v>
      </c>
      <c r="AD946" s="27">
        <v>1</v>
      </c>
      <c r="AE946" s="27" t="s">
        <v>3413</v>
      </c>
      <c r="AF946" s="27">
        <v>0.5</v>
      </c>
      <c r="AN946" s="213"/>
      <c r="AP946" s="81">
        <v>3528</v>
      </c>
      <c r="AQ946" s="2" t="s">
        <v>136</v>
      </c>
      <c r="AR946" s="494"/>
      <c r="AS946" s="480" t="s">
        <v>3414</v>
      </c>
      <c r="AU946" s="27">
        <v>1</v>
      </c>
    </row>
    <row r="947" s="27" customFormat="1" spans="1:47">
      <c r="A947" s="461">
        <v>943</v>
      </c>
      <c r="B947" s="492" t="s">
        <v>3386</v>
      </c>
      <c r="C947" s="493" t="s">
        <v>3415</v>
      </c>
      <c r="D947" s="27">
        <v>1</v>
      </c>
      <c r="E947" s="27">
        <v>0</v>
      </c>
      <c r="F947" s="492"/>
      <c r="G947" s="492">
        <v>1</v>
      </c>
      <c r="H947" s="494" t="s">
        <v>3416</v>
      </c>
      <c r="I947" s="27">
        <v>11.3333333333333</v>
      </c>
      <c r="J947" s="27">
        <v>11.3333333333333</v>
      </c>
      <c r="K947" s="492"/>
      <c r="L947" s="27">
        <v>1</v>
      </c>
      <c r="M947" s="28">
        <f t="shared" si="65"/>
        <v>10.9333333333333</v>
      </c>
      <c r="N947" s="492" t="s">
        <v>3417</v>
      </c>
      <c r="O947" s="27">
        <v>1</v>
      </c>
      <c r="P947" s="27">
        <v>5</v>
      </c>
      <c r="Q947" s="27">
        <v>0</v>
      </c>
      <c r="R947" s="27">
        <v>0</v>
      </c>
      <c r="V947" s="27">
        <v>6</v>
      </c>
      <c r="W947" s="27">
        <v>0</v>
      </c>
      <c r="X947" s="217">
        <v>5</v>
      </c>
      <c r="Y947" s="37">
        <v>-0.1</v>
      </c>
      <c r="Z947" s="2">
        <v>0</v>
      </c>
      <c r="AB947" s="50">
        <f>I947-0.3</f>
        <v>11.0333333333333</v>
      </c>
      <c r="AC947" s="27">
        <v>2</v>
      </c>
      <c r="AD947" s="27">
        <v>1</v>
      </c>
      <c r="AE947" s="27" t="s">
        <v>3418</v>
      </c>
      <c r="AF947" s="27">
        <v>0.5</v>
      </c>
      <c r="AN947" s="213">
        <v>3530</v>
      </c>
      <c r="AO947" s="27" t="s">
        <v>966</v>
      </c>
      <c r="AP947" s="81">
        <v>3529</v>
      </c>
      <c r="AQ947" s="2" t="s">
        <v>136</v>
      </c>
      <c r="AR947" s="494"/>
      <c r="AU947" s="27">
        <v>1</v>
      </c>
    </row>
    <row r="948" s="27" customFormat="1" spans="1:47">
      <c r="A948" s="461">
        <v>944</v>
      </c>
      <c r="B948" s="492" t="s">
        <v>3386</v>
      </c>
      <c r="C948" s="493" t="s">
        <v>3419</v>
      </c>
      <c r="D948" s="27">
        <v>1</v>
      </c>
      <c r="E948" s="27">
        <v>0</v>
      </c>
      <c r="F948" s="492"/>
      <c r="G948" s="492">
        <v>1</v>
      </c>
      <c r="H948" s="5" t="s">
        <v>3411</v>
      </c>
      <c r="I948" s="27">
        <v>9.56666666666667</v>
      </c>
      <c r="J948" s="27">
        <v>9.56666666666667</v>
      </c>
      <c r="K948" s="492"/>
      <c r="L948" s="27">
        <v>1</v>
      </c>
      <c r="M948" s="28">
        <f t="shared" si="65"/>
        <v>9.16666666666667</v>
      </c>
      <c r="N948" s="492" t="s">
        <v>3412</v>
      </c>
      <c r="O948" s="27">
        <v>1</v>
      </c>
      <c r="P948" s="27">
        <v>5</v>
      </c>
      <c r="Q948" s="27">
        <v>0</v>
      </c>
      <c r="R948" s="27">
        <v>0</v>
      </c>
      <c r="V948" s="27">
        <v>6</v>
      </c>
      <c r="W948" s="27">
        <v>0</v>
      </c>
      <c r="X948" s="217">
        <v>1</v>
      </c>
      <c r="Y948" s="37">
        <v>-0.1</v>
      </c>
      <c r="Z948" s="2">
        <v>0</v>
      </c>
      <c r="AB948" s="50">
        <f>I948-0.3</f>
        <v>9.26666666666667</v>
      </c>
      <c r="AC948" s="27">
        <v>2</v>
      </c>
      <c r="AD948" s="27">
        <v>1</v>
      </c>
      <c r="AE948" s="27" t="s">
        <v>3413</v>
      </c>
      <c r="AF948" s="27">
        <v>0.5</v>
      </c>
      <c r="AN948" s="213"/>
      <c r="AP948" s="81">
        <v>3528</v>
      </c>
      <c r="AQ948" s="2" t="s">
        <v>136</v>
      </c>
      <c r="AR948" s="494"/>
      <c r="AS948" s="480" t="s">
        <v>3414</v>
      </c>
      <c r="AU948" s="27">
        <v>1</v>
      </c>
    </row>
    <row r="949" s="45" customFormat="1" spans="1:45">
      <c r="A949" s="495">
        <v>945</v>
      </c>
      <c r="B949" s="437" t="s">
        <v>3420</v>
      </c>
      <c r="C949" s="496" t="s">
        <v>3421</v>
      </c>
      <c r="D949" s="45">
        <v>1</v>
      </c>
      <c r="E949" s="45">
        <v>0</v>
      </c>
      <c r="F949" s="437"/>
      <c r="G949" s="437">
        <v>1</v>
      </c>
      <c r="H949" s="391" t="s">
        <v>3422</v>
      </c>
      <c r="I949" s="45">
        <v>2.5</v>
      </c>
      <c r="J949" s="45">
        <v>2.5</v>
      </c>
      <c r="K949" s="437"/>
      <c r="L949" s="45">
        <v>1</v>
      </c>
      <c r="M949" s="28">
        <f t="shared" si="65"/>
        <v>2.1</v>
      </c>
      <c r="N949" s="505" t="s">
        <v>3423</v>
      </c>
      <c r="O949" s="45">
        <v>1</v>
      </c>
      <c r="P949" s="45">
        <v>5</v>
      </c>
      <c r="Q949" s="45">
        <v>0</v>
      </c>
      <c r="S949" s="20">
        <v>-2.92</v>
      </c>
      <c r="T949" s="20">
        <v>-1.85</v>
      </c>
      <c r="U949" s="20">
        <v>1.1</v>
      </c>
      <c r="V949" s="45">
        <v>1</v>
      </c>
      <c r="W949" s="45">
        <v>6</v>
      </c>
      <c r="X949" s="379">
        <v>1</v>
      </c>
      <c r="Y949" s="17">
        <v>-0.1</v>
      </c>
      <c r="Z949" s="45">
        <v>0</v>
      </c>
      <c r="AF949" s="45">
        <v>0</v>
      </c>
      <c r="AN949" s="354">
        <v>3546</v>
      </c>
      <c r="AO949" s="45" t="s">
        <v>690</v>
      </c>
      <c r="AP949" s="386">
        <v>3544</v>
      </c>
      <c r="AQ949" s="45" t="s">
        <v>136</v>
      </c>
      <c r="AR949" s="391"/>
      <c r="AS949" s="370"/>
    </row>
    <row r="950" s="27" customFormat="1" spans="1:49">
      <c r="A950" s="497">
        <v>946</v>
      </c>
      <c r="B950" s="498" t="s">
        <v>3424</v>
      </c>
      <c r="C950" s="499" t="s">
        <v>526</v>
      </c>
      <c r="D950" s="445">
        <v>1</v>
      </c>
      <c r="E950" s="445">
        <v>0</v>
      </c>
      <c r="F950" s="498"/>
      <c r="G950" s="498">
        <v>1</v>
      </c>
      <c r="H950" s="447" t="s">
        <v>3425</v>
      </c>
      <c r="I950" s="445">
        <f>69/30</f>
        <v>2.3</v>
      </c>
      <c r="J950" s="445">
        <f>69/30</f>
        <v>2.3</v>
      </c>
      <c r="K950" s="498"/>
      <c r="L950" s="445">
        <v>0</v>
      </c>
      <c r="M950" s="445">
        <f t="shared" si="65"/>
        <v>1.9</v>
      </c>
      <c r="N950" s="498" t="s">
        <v>3426</v>
      </c>
      <c r="O950" s="27">
        <v>1</v>
      </c>
      <c r="P950" s="27">
        <v>4.5</v>
      </c>
      <c r="Q950" s="27">
        <v>0</v>
      </c>
      <c r="R950" s="27">
        <v>0</v>
      </c>
      <c r="S950" s="27" t="s">
        <v>3427</v>
      </c>
      <c r="T950" s="27">
        <v>0.05</v>
      </c>
      <c r="U950" s="27">
        <v>0.3</v>
      </c>
      <c r="V950" s="27">
        <v>6</v>
      </c>
      <c r="W950" s="27">
        <v>0</v>
      </c>
      <c r="X950" s="217">
        <v>1</v>
      </c>
      <c r="Y950" s="17">
        <v>-0.1</v>
      </c>
      <c r="Z950" s="27">
        <v>0</v>
      </c>
      <c r="AN950" s="213"/>
      <c r="AP950" s="81">
        <v>3552</v>
      </c>
      <c r="AQ950" s="27" t="s">
        <v>136</v>
      </c>
      <c r="AR950" s="494"/>
      <c r="AS950" s="460"/>
      <c r="AW950" s="27">
        <v>5</v>
      </c>
    </row>
    <row r="951" s="27" customFormat="1" spans="1:49">
      <c r="A951" s="497">
        <v>947</v>
      </c>
      <c r="B951" s="498" t="s">
        <v>3424</v>
      </c>
      <c r="C951" s="445" t="s">
        <v>3428</v>
      </c>
      <c r="D951" s="445">
        <v>2</v>
      </c>
      <c r="E951" s="445">
        <v>1</v>
      </c>
      <c r="F951" s="498"/>
      <c r="G951" s="498">
        <v>1</v>
      </c>
      <c r="H951" s="447" t="s">
        <v>3429</v>
      </c>
      <c r="I951" s="445">
        <f>81/30</f>
        <v>2.7</v>
      </c>
      <c r="J951" s="445">
        <f>81/30</f>
        <v>2.7</v>
      </c>
      <c r="K951" s="498"/>
      <c r="L951" s="445">
        <v>0</v>
      </c>
      <c r="M951" s="445">
        <f t="shared" si="65"/>
        <v>2.3</v>
      </c>
      <c r="N951" s="498" t="s">
        <v>3430</v>
      </c>
      <c r="O951" s="27">
        <v>5</v>
      </c>
      <c r="P951" s="27">
        <v>4.5</v>
      </c>
      <c r="Q951" s="27">
        <v>0</v>
      </c>
      <c r="R951" s="27">
        <v>0</v>
      </c>
      <c r="S951" s="27">
        <v>-2</v>
      </c>
      <c r="T951" s="27">
        <v>1.4</v>
      </c>
      <c r="U951" s="27">
        <v>1.5</v>
      </c>
      <c r="V951" s="27">
        <v>101</v>
      </c>
      <c r="W951" s="27">
        <v>6</v>
      </c>
      <c r="X951" s="217">
        <v>0</v>
      </c>
      <c r="Y951" s="17">
        <v>-0.1</v>
      </c>
      <c r="Z951" s="27">
        <v>0</v>
      </c>
      <c r="AN951" s="213">
        <v>3571</v>
      </c>
      <c r="AO951" s="27" t="s">
        <v>3431</v>
      </c>
      <c r="AP951" s="81">
        <v>3554</v>
      </c>
      <c r="AQ951" s="27" t="s">
        <v>136</v>
      </c>
      <c r="AR951" s="494"/>
      <c r="AS951" s="460"/>
      <c r="AW951" s="27">
        <v>5</v>
      </c>
    </row>
    <row r="952" s="27" customFormat="1" spans="1:49">
      <c r="A952" s="497">
        <v>948</v>
      </c>
      <c r="B952" s="498" t="s">
        <v>3424</v>
      </c>
      <c r="C952" s="445" t="s">
        <v>3432</v>
      </c>
      <c r="D952" s="445">
        <v>1</v>
      </c>
      <c r="E952" s="445">
        <v>0</v>
      </c>
      <c r="F952" s="498"/>
      <c r="G952" s="498">
        <v>1</v>
      </c>
      <c r="H952" s="447" t="s">
        <v>3433</v>
      </c>
      <c r="I952" s="445">
        <f>77/30</f>
        <v>2.56666666666667</v>
      </c>
      <c r="J952" s="445">
        <f>77/30</f>
        <v>2.56666666666667</v>
      </c>
      <c r="K952" s="498"/>
      <c r="L952" s="445">
        <v>1</v>
      </c>
      <c r="M952" s="445">
        <f t="shared" si="65"/>
        <v>2.16666666666667</v>
      </c>
      <c r="N952" s="498" t="s">
        <v>3434</v>
      </c>
      <c r="O952" s="27">
        <v>1</v>
      </c>
      <c r="P952" s="27">
        <v>4.5</v>
      </c>
      <c r="Q952" s="27">
        <v>0</v>
      </c>
      <c r="R952" s="27">
        <v>0</v>
      </c>
      <c r="S952" s="27" t="s">
        <v>3435</v>
      </c>
      <c r="T952" s="27">
        <v>0.05</v>
      </c>
      <c r="U952" s="27">
        <v>0.3</v>
      </c>
      <c r="V952" s="27">
        <v>6</v>
      </c>
      <c r="W952" s="27">
        <v>0</v>
      </c>
      <c r="X952" s="217">
        <v>2</v>
      </c>
      <c r="Y952" s="17">
        <v>-0.1</v>
      </c>
      <c r="Z952" s="27">
        <v>0</v>
      </c>
      <c r="AN952" s="213"/>
      <c r="AP952" s="81">
        <v>3575</v>
      </c>
      <c r="AQ952" s="27" t="s">
        <v>136</v>
      </c>
      <c r="AR952" s="494"/>
      <c r="AS952" s="460"/>
      <c r="AW952" s="27">
        <v>5</v>
      </c>
    </row>
    <row r="953" s="27" customFormat="1" spans="1:49">
      <c r="A953" s="497">
        <v>949</v>
      </c>
      <c r="B953" s="498" t="s">
        <v>3424</v>
      </c>
      <c r="C953" s="499" t="s">
        <v>3436</v>
      </c>
      <c r="D953" s="445">
        <v>1</v>
      </c>
      <c r="E953" s="445">
        <v>0</v>
      </c>
      <c r="F953" s="498"/>
      <c r="G953" s="498">
        <v>1</v>
      </c>
      <c r="H953" s="447" t="s">
        <v>3437</v>
      </c>
      <c r="I953" s="445">
        <f>77/30</f>
        <v>2.56666666666667</v>
      </c>
      <c r="J953" s="445">
        <f>77/30</f>
        <v>2.56666666666667</v>
      </c>
      <c r="K953" s="498"/>
      <c r="L953" s="445">
        <v>1</v>
      </c>
      <c r="M953" s="445">
        <f t="shared" si="65"/>
        <v>2.16666666666667</v>
      </c>
      <c r="N953" s="498" t="s">
        <v>3438</v>
      </c>
      <c r="O953" s="27">
        <v>1</v>
      </c>
      <c r="P953" s="27">
        <v>4.5</v>
      </c>
      <c r="Q953" s="27">
        <v>0</v>
      </c>
      <c r="R953" s="27">
        <v>0</v>
      </c>
      <c r="S953" s="27" t="s">
        <v>3439</v>
      </c>
      <c r="T953" s="27">
        <v>-0.8</v>
      </c>
      <c r="U953" s="27" t="s">
        <v>3254</v>
      </c>
      <c r="V953" s="27">
        <v>6</v>
      </c>
      <c r="W953" s="27">
        <v>6</v>
      </c>
      <c r="X953" s="217">
        <v>1</v>
      </c>
      <c r="Y953" s="17">
        <v>-0.1</v>
      </c>
      <c r="Z953" s="27">
        <v>0</v>
      </c>
      <c r="AN953" s="213">
        <v>3557</v>
      </c>
      <c r="AO953" s="27" t="s">
        <v>1531</v>
      </c>
      <c r="AP953" s="81">
        <v>3556</v>
      </c>
      <c r="AQ953" s="27" t="s">
        <v>136</v>
      </c>
      <c r="AR953" s="494"/>
      <c r="AS953" s="460"/>
      <c r="AW953" s="27">
        <v>5</v>
      </c>
    </row>
    <row r="954" s="27" customFormat="1" spans="1:49">
      <c r="A954" s="497">
        <v>950</v>
      </c>
      <c r="B954" s="498" t="s">
        <v>3424</v>
      </c>
      <c r="C954" s="499" t="s">
        <v>3440</v>
      </c>
      <c r="D954" s="445">
        <v>1</v>
      </c>
      <c r="E954" s="445">
        <v>0</v>
      </c>
      <c r="F954" s="498"/>
      <c r="G954" s="498">
        <v>1</v>
      </c>
      <c r="H954" s="447" t="s">
        <v>3441</v>
      </c>
      <c r="I954" s="445">
        <f>303/30</f>
        <v>10.1</v>
      </c>
      <c r="J954" s="445">
        <f>303/30</f>
        <v>10.1</v>
      </c>
      <c r="K954" s="498"/>
      <c r="L954" s="445">
        <v>1</v>
      </c>
      <c r="M954" s="445">
        <f t="shared" si="65"/>
        <v>9.7</v>
      </c>
      <c r="N954" s="498" t="s">
        <v>3442</v>
      </c>
      <c r="O954" s="27">
        <v>1</v>
      </c>
      <c r="P954" s="27">
        <v>2.5</v>
      </c>
      <c r="Q954" s="27">
        <v>0</v>
      </c>
      <c r="R954" s="27">
        <v>0</v>
      </c>
      <c r="S954" s="230"/>
      <c r="T954" s="230"/>
      <c r="U954" s="230"/>
      <c r="V954" s="27">
        <v>6</v>
      </c>
      <c r="W954" s="27">
        <v>0</v>
      </c>
      <c r="X954" s="217">
        <v>2</v>
      </c>
      <c r="Y954" s="17">
        <v>-0.1</v>
      </c>
      <c r="Z954" s="27">
        <v>0</v>
      </c>
      <c r="AB954" s="50">
        <f t="shared" ref="AB954:AB956" si="67">I954-0.3</f>
        <v>9.8</v>
      </c>
      <c r="AC954" s="27">
        <v>2</v>
      </c>
      <c r="AD954" s="27">
        <v>1</v>
      </c>
      <c r="AE954" s="27" t="s">
        <v>3443</v>
      </c>
      <c r="AF954" s="27">
        <v>0.5</v>
      </c>
      <c r="AN954" s="213"/>
      <c r="AP954" s="81">
        <v>3559</v>
      </c>
      <c r="AQ954" s="27" t="s">
        <v>136</v>
      </c>
      <c r="AR954" s="494"/>
      <c r="AS954" s="460"/>
      <c r="AU954" s="27">
        <v>1</v>
      </c>
      <c r="AW954" s="27">
        <v>5</v>
      </c>
    </row>
    <row r="955" s="27" customFormat="1" spans="1:49">
      <c r="A955" s="497">
        <v>951</v>
      </c>
      <c r="B955" s="498" t="s">
        <v>3424</v>
      </c>
      <c r="C955" s="499" t="s">
        <v>3444</v>
      </c>
      <c r="D955" s="445">
        <v>2</v>
      </c>
      <c r="E955" s="445">
        <v>1</v>
      </c>
      <c r="F955" s="498"/>
      <c r="G955" s="498">
        <v>1</v>
      </c>
      <c r="H955" s="447" t="s">
        <v>3445</v>
      </c>
      <c r="I955" s="445">
        <f>395/30</f>
        <v>13.1666666666667</v>
      </c>
      <c r="J955" s="445">
        <f>395/30</f>
        <v>13.1666666666667</v>
      </c>
      <c r="K955" s="498"/>
      <c r="L955" s="445">
        <v>0</v>
      </c>
      <c r="M955" s="445">
        <f t="shared" si="65"/>
        <v>12.7666666666667</v>
      </c>
      <c r="N955" s="498" t="s">
        <v>3446</v>
      </c>
      <c r="O955" s="27">
        <v>3</v>
      </c>
      <c r="P955" s="27">
        <v>10</v>
      </c>
      <c r="Q955" s="27">
        <v>0</v>
      </c>
      <c r="R955" s="27">
        <v>0</v>
      </c>
      <c r="S955" s="230"/>
      <c r="T955" s="230"/>
      <c r="U955" s="230"/>
      <c r="V955" s="27">
        <v>101</v>
      </c>
      <c r="W955" s="27">
        <v>6</v>
      </c>
      <c r="X955" s="217">
        <v>0</v>
      </c>
      <c r="Y955" s="17">
        <v>-0.1</v>
      </c>
      <c r="Z955" s="27">
        <v>0</v>
      </c>
      <c r="AB955" s="50">
        <f t="shared" si="67"/>
        <v>12.8666666666667</v>
      </c>
      <c r="AC955" s="27">
        <v>2</v>
      </c>
      <c r="AD955" s="27">
        <v>1</v>
      </c>
      <c r="AE955" s="27" t="s">
        <v>3447</v>
      </c>
      <c r="AF955" s="27">
        <v>0.5</v>
      </c>
      <c r="AG955" s="27" t="s">
        <v>3448</v>
      </c>
      <c r="AP955" s="81">
        <v>3560</v>
      </c>
      <c r="AQ955" s="27" t="s">
        <v>136</v>
      </c>
      <c r="AR955" s="494"/>
      <c r="AS955" s="460"/>
      <c r="AU955" s="27">
        <v>1</v>
      </c>
      <c r="AW955" s="27">
        <v>5</v>
      </c>
    </row>
    <row r="956" s="27" customFormat="1" spans="1:49">
      <c r="A956" s="497">
        <v>952</v>
      </c>
      <c r="B956" s="498" t="s">
        <v>3424</v>
      </c>
      <c r="C956" s="500" t="s">
        <v>3449</v>
      </c>
      <c r="D956" s="445">
        <v>1</v>
      </c>
      <c r="E956" s="445">
        <v>0</v>
      </c>
      <c r="F956" s="498"/>
      <c r="G956" s="498">
        <v>1</v>
      </c>
      <c r="H956" s="447" t="s">
        <v>3450</v>
      </c>
      <c r="I956" s="445">
        <f>385/30</f>
        <v>12.8333333333333</v>
      </c>
      <c r="J956" s="445">
        <f>385/30</f>
        <v>12.8333333333333</v>
      </c>
      <c r="K956" s="498"/>
      <c r="L956" s="445">
        <v>1</v>
      </c>
      <c r="M956" s="445">
        <f t="shared" si="65"/>
        <v>12.4333333333333</v>
      </c>
      <c r="N956" s="498" t="s">
        <v>3451</v>
      </c>
      <c r="O956" s="27">
        <v>1</v>
      </c>
      <c r="P956" s="27">
        <v>4.5</v>
      </c>
      <c r="Q956" s="27">
        <v>0</v>
      </c>
      <c r="R956" s="27">
        <v>0</v>
      </c>
      <c r="S956" s="230"/>
      <c r="T956" s="230"/>
      <c r="U956" s="230"/>
      <c r="V956" s="27">
        <v>6</v>
      </c>
      <c r="W956" s="27">
        <v>6</v>
      </c>
      <c r="X956" s="217">
        <v>7</v>
      </c>
      <c r="Y956" s="17">
        <v>-0.1</v>
      </c>
      <c r="Z956" s="27">
        <v>0</v>
      </c>
      <c r="AB956" s="50">
        <f t="shared" si="67"/>
        <v>12.5333333333333</v>
      </c>
      <c r="AC956" s="27">
        <v>2</v>
      </c>
      <c r="AD956" s="27">
        <v>1</v>
      </c>
      <c r="AE956" s="27" t="s">
        <v>3452</v>
      </c>
      <c r="AF956" s="27">
        <v>0.5</v>
      </c>
      <c r="AN956" s="213" t="s">
        <v>3453</v>
      </c>
      <c r="AO956" s="27" t="s">
        <v>524</v>
      </c>
      <c r="AP956" s="81">
        <v>3572</v>
      </c>
      <c r="AQ956" s="27" t="s">
        <v>136</v>
      </c>
      <c r="AR956" s="494"/>
      <c r="AS956" s="460"/>
      <c r="AU956" s="27">
        <v>1</v>
      </c>
      <c r="AW956" s="27">
        <v>5</v>
      </c>
    </row>
    <row r="957" s="27" customFormat="1" spans="1:45">
      <c r="A957" s="461">
        <v>953</v>
      </c>
      <c r="B957" s="492" t="s">
        <v>3454</v>
      </c>
      <c r="C957" s="501" t="s">
        <v>3025</v>
      </c>
      <c r="D957" s="27">
        <v>1</v>
      </c>
      <c r="E957" s="27">
        <v>0</v>
      </c>
      <c r="F957" s="492"/>
      <c r="G957" s="492">
        <v>1</v>
      </c>
      <c r="H957" s="502" t="s">
        <v>3455</v>
      </c>
      <c r="I957" s="27">
        <f>560/30</f>
        <v>18.6666666666667</v>
      </c>
      <c r="J957" s="27">
        <f>560/30</f>
        <v>18.6666666666667</v>
      </c>
      <c r="K957" s="492"/>
      <c r="L957" s="27">
        <v>1</v>
      </c>
      <c r="M957" s="27">
        <f t="shared" si="65"/>
        <v>18.2666666666667</v>
      </c>
      <c r="N957" s="27" t="s">
        <v>3456</v>
      </c>
      <c r="O957" s="27">
        <v>2</v>
      </c>
      <c r="P957" s="27">
        <v>-30</v>
      </c>
      <c r="Q957" s="27">
        <v>0</v>
      </c>
      <c r="R957" s="27">
        <v>0</v>
      </c>
      <c r="S957" s="230">
        <v>0</v>
      </c>
      <c r="T957" s="230"/>
      <c r="U957" s="230">
        <v>1</v>
      </c>
      <c r="V957" s="27">
        <v>6</v>
      </c>
      <c r="W957" s="27">
        <v>6</v>
      </c>
      <c r="X957" s="217">
        <v>4</v>
      </c>
      <c r="Y957" s="17">
        <v>-0.1</v>
      </c>
      <c r="Z957" s="27">
        <v>0</v>
      </c>
      <c r="AB957" s="50">
        <f>560/30-0.3</f>
        <v>18.3666666666667</v>
      </c>
      <c r="AC957" s="27">
        <v>1</v>
      </c>
      <c r="AD957" s="27">
        <v>1</v>
      </c>
      <c r="AE957" s="27" t="s">
        <v>3457</v>
      </c>
      <c r="AF957" s="27">
        <v>0.5</v>
      </c>
      <c r="AN957" s="27" t="s">
        <v>3458</v>
      </c>
      <c r="AO957" s="27" t="s">
        <v>3459</v>
      </c>
      <c r="AP957" s="81">
        <v>3579</v>
      </c>
      <c r="AQ957" s="27" t="s">
        <v>136</v>
      </c>
      <c r="AR957" s="494"/>
      <c r="AS957" s="460"/>
    </row>
    <row r="958" s="24" customFormat="1" spans="1:41">
      <c r="A958" s="461">
        <v>954</v>
      </c>
      <c r="B958" s="492" t="s">
        <v>3454</v>
      </c>
      <c r="C958" s="24" t="s">
        <v>3460</v>
      </c>
      <c r="D958" s="24">
        <v>4</v>
      </c>
      <c r="E958" s="24">
        <v>0</v>
      </c>
      <c r="G958" s="24">
        <v>2</v>
      </c>
      <c r="H958" s="187">
        <v>300804</v>
      </c>
      <c r="I958" s="24">
        <v>14.5</v>
      </c>
      <c r="J958" s="24">
        <v>14.5</v>
      </c>
      <c r="L958" s="24">
        <v>1</v>
      </c>
      <c r="M958" s="24">
        <f t="shared" si="65"/>
        <v>14.1</v>
      </c>
      <c r="N958" s="24" t="s">
        <v>979</v>
      </c>
      <c r="O958" s="24">
        <v>3</v>
      </c>
      <c r="P958" s="24">
        <v>-12</v>
      </c>
      <c r="Q958" s="24">
        <v>0</v>
      </c>
      <c r="S958" s="24">
        <v>0</v>
      </c>
      <c r="V958" s="24">
        <v>2</v>
      </c>
      <c r="W958" s="24">
        <v>0</v>
      </c>
      <c r="X958" s="151">
        <v>12</v>
      </c>
      <c r="Y958" s="24">
        <v>-0.1</v>
      </c>
      <c r="Z958" s="24">
        <v>0</v>
      </c>
      <c r="AD958" s="24">
        <v>1</v>
      </c>
      <c r="AE958" s="24" t="s">
        <v>980</v>
      </c>
      <c r="AF958" s="24">
        <f>IF(AD958=--1,0.5,0)</f>
        <v>0.5</v>
      </c>
      <c r="AH958" s="24">
        <v>0</v>
      </c>
      <c r="AN958" s="157" t="s">
        <v>981</v>
      </c>
      <c r="AO958" s="24" t="s">
        <v>982</v>
      </c>
    </row>
    <row r="959" s="24" customFormat="1" spans="1:43">
      <c r="A959" s="461">
        <v>955</v>
      </c>
      <c r="B959" s="492" t="s">
        <v>3461</v>
      </c>
      <c r="C959" s="24" t="s">
        <v>3462</v>
      </c>
      <c r="D959" s="24">
        <v>1</v>
      </c>
      <c r="E959" s="24">
        <v>0</v>
      </c>
      <c r="G959" s="24">
        <v>2</v>
      </c>
      <c r="H959" s="758" t="s">
        <v>3463</v>
      </c>
      <c r="I959" s="24">
        <f>74/30</f>
        <v>2.46666666666667</v>
      </c>
      <c r="J959" s="24">
        <f>74/30</f>
        <v>2.46666666666667</v>
      </c>
      <c r="L959" s="24">
        <v>1</v>
      </c>
      <c r="M959" s="24">
        <f t="shared" si="65"/>
        <v>2.06666666666667</v>
      </c>
      <c r="N959" s="24" t="s">
        <v>3464</v>
      </c>
      <c r="O959" s="24">
        <v>5</v>
      </c>
      <c r="P959" s="24">
        <v>0</v>
      </c>
      <c r="Q959" s="24">
        <v>0</v>
      </c>
      <c r="R959" s="24">
        <v>1</v>
      </c>
      <c r="S959" s="24">
        <v>-2</v>
      </c>
      <c r="T959" s="24">
        <v>-2</v>
      </c>
      <c r="U959" s="24">
        <v>2</v>
      </c>
      <c r="V959" s="24">
        <v>6</v>
      </c>
      <c r="W959" s="24">
        <v>6</v>
      </c>
      <c r="X959" s="151">
        <v>1</v>
      </c>
      <c r="Y959" s="24">
        <v>-0.1</v>
      </c>
      <c r="Z959" s="24">
        <v>0</v>
      </c>
      <c r="AN959" s="157"/>
      <c r="AP959" s="24">
        <v>3610</v>
      </c>
      <c r="AQ959" s="24" t="s">
        <v>136</v>
      </c>
    </row>
    <row r="960" s="2" customFormat="1" spans="1:43">
      <c r="A960" s="489">
        <v>956</v>
      </c>
      <c r="B960" s="489" t="s">
        <v>3465</v>
      </c>
      <c r="C960" s="2" t="s">
        <v>526</v>
      </c>
      <c r="D960" s="2">
        <v>1</v>
      </c>
      <c r="E960" s="2">
        <v>0</v>
      </c>
      <c r="G960" s="2">
        <v>1</v>
      </c>
      <c r="H960" s="5" t="s">
        <v>3466</v>
      </c>
      <c r="I960" s="2">
        <f>117/30</f>
        <v>3.9</v>
      </c>
      <c r="J960" s="2">
        <f>117/30</f>
        <v>3.9</v>
      </c>
      <c r="L960" s="2">
        <v>0</v>
      </c>
      <c r="M960" s="24">
        <f t="shared" ref="M960:M984" si="68">I960-0.4</f>
        <v>3.5</v>
      </c>
      <c r="N960" s="506" t="s">
        <v>3467</v>
      </c>
      <c r="O960" s="2">
        <v>1</v>
      </c>
      <c r="P960" s="2">
        <v>2</v>
      </c>
      <c r="Q960" s="2">
        <v>0</v>
      </c>
      <c r="U960" s="2">
        <v>0.3</v>
      </c>
      <c r="V960" s="2">
        <v>1</v>
      </c>
      <c r="W960" s="2">
        <v>0</v>
      </c>
      <c r="X960" s="508">
        <v>3</v>
      </c>
      <c r="Y960" s="24">
        <v>-0.1</v>
      </c>
      <c r="Z960" s="24">
        <v>0</v>
      </c>
      <c r="AN960" s="509"/>
      <c r="AP960" s="2">
        <v>3645</v>
      </c>
      <c r="AQ960" s="2" t="s">
        <v>136</v>
      </c>
    </row>
    <row r="961" s="2" customFormat="1" spans="1:43">
      <c r="A961" s="489">
        <v>957</v>
      </c>
      <c r="B961" s="489" t="s">
        <v>3465</v>
      </c>
      <c r="C961" s="2" t="s">
        <v>3468</v>
      </c>
      <c r="D961" s="2">
        <v>2</v>
      </c>
      <c r="E961" s="2">
        <v>1</v>
      </c>
      <c r="G961" s="2">
        <v>1</v>
      </c>
      <c r="H961" s="5" t="s">
        <v>3469</v>
      </c>
      <c r="I961" s="2">
        <f>88/30</f>
        <v>2.93333333333333</v>
      </c>
      <c r="J961" s="2">
        <f>116/30</f>
        <v>3.86666666666667</v>
      </c>
      <c r="L961" s="2">
        <v>0</v>
      </c>
      <c r="M961" s="24">
        <f t="shared" si="68"/>
        <v>2.53333333333333</v>
      </c>
      <c r="N961" s="506" t="s">
        <v>3470</v>
      </c>
      <c r="O961" s="2">
        <v>5</v>
      </c>
      <c r="P961" s="2">
        <v>2</v>
      </c>
      <c r="Q961" s="2">
        <v>1</v>
      </c>
      <c r="U961" s="2">
        <v>0.3</v>
      </c>
      <c r="V961" s="2">
        <v>1000</v>
      </c>
      <c r="W961" s="2">
        <v>0</v>
      </c>
      <c r="X961" s="508">
        <v>0</v>
      </c>
      <c r="Y961" s="24">
        <v>-0.1</v>
      </c>
      <c r="Z961" s="24">
        <v>0</v>
      </c>
      <c r="AN961" s="509"/>
      <c r="AP961" s="2">
        <v>3643</v>
      </c>
      <c r="AQ961" s="2" t="s">
        <v>136</v>
      </c>
    </row>
    <row r="962" s="2" customFormat="1" spans="1:43">
      <c r="A962" s="489">
        <v>958</v>
      </c>
      <c r="B962" s="489" t="s">
        <v>3465</v>
      </c>
      <c r="C962" s="2" t="s">
        <v>3471</v>
      </c>
      <c r="D962" s="2">
        <v>2</v>
      </c>
      <c r="E962" s="2">
        <v>1</v>
      </c>
      <c r="G962" s="2">
        <v>1</v>
      </c>
      <c r="H962" s="5" t="s">
        <v>3472</v>
      </c>
      <c r="I962" s="2">
        <f>176/30</f>
        <v>5.86666666666667</v>
      </c>
      <c r="J962" s="2">
        <f>176/30</f>
        <v>5.86666666666667</v>
      </c>
      <c r="L962" s="2">
        <v>0</v>
      </c>
      <c r="M962" s="24">
        <f t="shared" si="68"/>
        <v>5.46666666666667</v>
      </c>
      <c r="N962" s="506" t="s">
        <v>3473</v>
      </c>
      <c r="O962" s="2">
        <v>5</v>
      </c>
      <c r="P962" s="2">
        <v>2</v>
      </c>
      <c r="Q962" s="2">
        <v>1</v>
      </c>
      <c r="U962" s="2">
        <v>0.3</v>
      </c>
      <c r="V962" s="2">
        <v>1000</v>
      </c>
      <c r="W962" s="2">
        <v>0</v>
      </c>
      <c r="X962" s="508">
        <v>0</v>
      </c>
      <c r="Y962" s="24">
        <v>-0.1</v>
      </c>
      <c r="Z962" s="24">
        <v>0</v>
      </c>
      <c r="AN962" s="509"/>
      <c r="AP962" s="2">
        <v>3644</v>
      </c>
      <c r="AQ962" s="2" t="s">
        <v>136</v>
      </c>
    </row>
    <row r="963" s="2" customFormat="1" spans="1:43">
      <c r="A963" s="489">
        <v>959</v>
      </c>
      <c r="B963" s="489" t="s">
        <v>3465</v>
      </c>
      <c r="C963" s="2" t="s">
        <v>3474</v>
      </c>
      <c r="D963" s="2">
        <v>2</v>
      </c>
      <c r="E963" s="2">
        <v>1</v>
      </c>
      <c r="G963" s="2">
        <v>1</v>
      </c>
      <c r="H963" s="5" t="s">
        <v>3475</v>
      </c>
      <c r="I963" s="2">
        <f>139/30</f>
        <v>4.63333333333333</v>
      </c>
      <c r="J963" s="2">
        <f>139/30</f>
        <v>4.63333333333333</v>
      </c>
      <c r="L963" s="2">
        <v>0</v>
      </c>
      <c r="M963" s="24">
        <f t="shared" si="68"/>
        <v>4.23333333333333</v>
      </c>
      <c r="N963" s="506" t="s">
        <v>3476</v>
      </c>
      <c r="O963" s="2">
        <v>5</v>
      </c>
      <c r="P963" s="2">
        <v>2</v>
      </c>
      <c r="Q963" s="2">
        <v>1</v>
      </c>
      <c r="U963" s="2">
        <v>0.3</v>
      </c>
      <c r="V963" s="2">
        <v>1000</v>
      </c>
      <c r="W963" s="2">
        <v>0</v>
      </c>
      <c r="X963" s="508">
        <v>0</v>
      </c>
      <c r="Y963" s="24">
        <v>-0.1</v>
      </c>
      <c r="Z963" s="24">
        <v>0</v>
      </c>
      <c r="AN963" s="509"/>
      <c r="AP963" s="2">
        <v>3632</v>
      </c>
      <c r="AQ963" s="2" t="s">
        <v>136</v>
      </c>
    </row>
    <row r="964" s="2" customFormat="1" spans="1:43">
      <c r="A964" s="489">
        <v>960</v>
      </c>
      <c r="B964" s="489" t="s">
        <v>3465</v>
      </c>
      <c r="C964" s="2" t="s">
        <v>3477</v>
      </c>
      <c r="D964" s="2">
        <v>2</v>
      </c>
      <c r="E964" s="2">
        <v>0</v>
      </c>
      <c r="G964" s="2">
        <v>1</v>
      </c>
      <c r="H964" s="5" t="s">
        <v>3478</v>
      </c>
      <c r="I964" s="2">
        <f>63/30</f>
        <v>2.1</v>
      </c>
      <c r="J964" s="2">
        <f>63/30</f>
        <v>2.1</v>
      </c>
      <c r="L964" s="2">
        <v>0</v>
      </c>
      <c r="M964" s="24">
        <f t="shared" si="68"/>
        <v>1.7</v>
      </c>
      <c r="N964" s="506" t="s">
        <v>3479</v>
      </c>
      <c r="O964" s="2">
        <v>1</v>
      </c>
      <c r="P964" s="2">
        <v>2</v>
      </c>
      <c r="Q964" s="2">
        <v>0</v>
      </c>
      <c r="S964" s="2">
        <v>0.5</v>
      </c>
      <c r="T964" s="2">
        <v>-2</v>
      </c>
      <c r="U964" s="2">
        <v>0.5</v>
      </c>
      <c r="V964" s="2">
        <v>101</v>
      </c>
      <c r="W964" s="2">
        <v>0</v>
      </c>
      <c r="X964" s="508">
        <v>0</v>
      </c>
      <c r="Y964" s="24">
        <v>-0.1</v>
      </c>
      <c r="Z964" s="24">
        <v>0</v>
      </c>
      <c r="AN964" s="509"/>
      <c r="AP964" s="2">
        <v>3647</v>
      </c>
      <c r="AQ964" s="2" t="s">
        <v>136</v>
      </c>
    </row>
    <row r="965" s="2" customFormat="1" spans="1:43">
      <c r="A965" s="489">
        <v>961</v>
      </c>
      <c r="B965" s="489" t="s">
        <v>3465</v>
      </c>
      <c r="C965" s="2" t="s">
        <v>3480</v>
      </c>
      <c r="D965" s="2">
        <v>1</v>
      </c>
      <c r="E965" s="2">
        <v>0</v>
      </c>
      <c r="G965" s="2">
        <v>1</v>
      </c>
      <c r="H965" s="5" t="s">
        <v>3481</v>
      </c>
      <c r="I965" s="2">
        <f>71/60</f>
        <v>1.18333333333333</v>
      </c>
      <c r="J965" s="2">
        <f>71/60</f>
        <v>1.18333333333333</v>
      </c>
      <c r="L965" s="2">
        <v>1</v>
      </c>
      <c r="M965" s="24">
        <f t="shared" si="68"/>
        <v>0.783333333333333</v>
      </c>
      <c r="N965" s="506" t="s">
        <v>3482</v>
      </c>
      <c r="O965" s="2">
        <v>1</v>
      </c>
      <c r="P965" s="2">
        <v>2</v>
      </c>
      <c r="Q965" s="2">
        <v>0</v>
      </c>
      <c r="S965" s="2">
        <v>1</v>
      </c>
      <c r="U965" s="2">
        <v>1</v>
      </c>
      <c r="V965" s="2">
        <v>1</v>
      </c>
      <c r="W965" s="2">
        <v>4</v>
      </c>
      <c r="X965" s="508">
        <v>1</v>
      </c>
      <c r="Y965" s="24">
        <v>-0.1</v>
      </c>
      <c r="Z965" s="24">
        <v>0</v>
      </c>
      <c r="AN965" s="509"/>
      <c r="AP965" s="2">
        <v>3634</v>
      </c>
      <c r="AQ965" s="2" t="s">
        <v>3483</v>
      </c>
    </row>
    <row r="966" s="2" customFormat="1" spans="1:43">
      <c r="A966" s="489">
        <v>962</v>
      </c>
      <c r="B966" s="489" t="s">
        <v>3465</v>
      </c>
      <c r="C966" s="2" t="s">
        <v>3484</v>
      </c>
      <c r="D966" s="2">
        <v>2</v>
      </c>
      <c r="E966" s="2">
        <v>0</v>
      </c>
      <c r="G966" s="2">
        <v>1</v>
      </c>
      <c r="H966" s="5" t="s">
        <v>3485</v>
      </c>
      <c r="I966" s="2">
        <f>63/30</f>
        <v>2.1</v>
      </c>
      <c r="J966" s="2">
        <f>63/30</f>
        <v>2.1</v>
      </c>
      <c r="L966" s="2">
        <v>0</v>
      </c>
      <c r="M966" s="24">
        <f t="shared" si="68"/>
        <v>1.7</v>
      </c>
      <c r="N966" s="506" t="s">
        <v>3486</v>
      </c>
      <c r="O966" s="2">
        <v>5</v>
      </c>
      <c r="P966" s="2">
        <v>2</v>
      </c>
      <c r="Q966" s="2">
        <v>0</v>
      </c>
      <c r="R966" s="2">
        <v>1</v>
      </c>
      <c r="S966" s="2">
        <v>1</v>
      </c>
      <c r="T966" s="2">
        <v>-2</v>
      </c>
      <c r="U966" s="2">
        <v>0.5</v>
      </c>
      <c r="V966" s="2">
        <v>101</v>
      </c>
      <c r="W966" s="2">
        <v>0</v>
      </c>
      <c r="X966" s="508">
        <v>0</v>
      </c>
      <c r="Y966" s="24">
        <v>-0.1</v>
      </c>
      <c r="Z966" s="24">
        <v>0</v>
      </c>
      <c r="AN966" s="509"/>
      <c r="AP966" s="2">
        <v>3641</v>
      </c>
      <c r="AQ966" s="2" t="s">
        <v>136</v>
      </c>
    </row>
    <row r="967" s="2" customFormat="1" spans="1:43">
      <c r="A967" s="489">
        <v>963</v>
      </c>
      <c r="B967" s="489" t="s">
        <v>3465</v>
      </c>
      <c r="C967" s="2" t="s">
        <v>3487</v>
      </c>
      <c r="D967" s="2">
        <v>1</v>
      </c>
      <c r="E967" s="2">
        <v>0</v>
      </c>
      <c r="G967" s="2">
        <v>1</v>
      </c>
      <c r="H967" s="5" t="s">
        <v>3488</v>
      </c>
      <c r="I967" s="2">
        <f>77/30</f>
        <v>2.56666666666667</v>
      </c>
      <c r="J967" s="2">
        <f>77/30</f>
        <v>2.56666666666667</v>
      </c>
      <c r="L967" s="2">
        <v>1</v>
      </c>
      <c r="M967" s="24">
        <f t="shared" si="68"/>
        <v>2.16666666666667</v>
      </c>
      <c r="N967" s="506" t="s">
        <v>3489</v>
      </c>
      <c r="O967" s="2">
        <v>1</v>
      </c>
      <c r="P967" s="2">
        <v>2</v>
      </c>
      <c r="Q967" s="2">
        <v>0</v>
      </c>
      <c r="S967" s="2">
        <v>1</v>
      </c>
      <c r="U967" s="2">
        <v>0.5</v>
      </c>
      <c r="V967" s="2">
        <v>2</v>
      </c>
      <c r="W967" s="2">
        <v>0</v>
      </c>
      <c r="X967" s="508">
        <v>1</v>
      </c>
      <c r="Y967" s="24">
        <v>-0.1</v>
      </c>
      <c r="Z967" s="24">
        <v>0</v>
      </c>
      <c r="AN967" s="509">
        <v>3637</v>
      </c>
      <c r="AO967" s="2" t="s">
        <v>3490</v>
      </c>
      <c r="AP967" s="2">
        <v>3636</v>
      </c>
      <c r="AQ967" s="2" t="s">
        <v>136</v>
      </c>
    </row>
    <row r="968" s="2" customFormat="1" spans="1:47">
      <c r="A968" s="489">
        <v>964</v>
      </c>
      <c r="B968" s="489" t="s">
        <v>3465</v>
      </c>
      <c r="C968" s="2" t="s">
        <v>3491</v>
      </c>
      <c r="D968" s="2">
        <v>2</v>
      </c>
      <c r="E968" s="2">
        <v>1</v>
      </c>
      <c r="G968" s="2">
        <v>1</v>
      </c>
      <c r="H968" s="5" t="s">
        <v>3492</v>
      </c>
      <c r="I968" s="2">
        <f>270/30</f>
        <v>9</v>
      </c>
      <c r="J968" s="2">
        <f>270/30</f>
        <v>9</v>
      </c>
      <c r="L968" s="2">
        <v>0</v>
      </c>
      <c r="M968" s="24">
        <f t="shared" si="68"/>
        <v>8.6</v>
      </c>
      <c r="N968" s="506" t="s">
        <v>3493</v>
      </c>
      <c r="O968" s="2">
        <v>5</v>
      </c>
      <c r="P968" s="2">
        <v>0</v>
      </c>
      <c r="Q968" s="2">
        <v>0</v>
      </c>
      <c r="V968" s="2">
        <v>1000</v>
      </c>
      <c r="W968" s="2">
        <v>0</v>
      </c>
      <c r="X968" s="508">
        <v>0</v>
      </c>
      <c r="Y968" s="24">
        <v>-0.1</v>
      </c>
      <c r="Z968" s="24">
        <v>0</v>
      </c>
      <c r="AD968" s="2">
        <v>1</v>
      </c>
      <c r="AE968" s="2" t="s">
        <v>3494</v>
      </c>
      <c r="AN968" s="509"/>
      <c r="AP968" s="2">
        <v>3649</v>
      </c>
      <c r="AQ968" s="2" t="s">
        <v>136</v>
      </c>
      <c r="AU968" s="2">
        <v>1</v>
      </c>
    </row>
    <row r="969" s="2" customFormat="1" spans="1:47">
      <c r="A969" s="489">
        <v>965</v>
      </c>
      <c r="B969" s="489" t="s">
        <v>3465</v>
      </c>
      <c r="C969" s="2" t="s">
        <v>3495</v>
      </c>
      <c r="D969" s="2">
        <v>1</v>
      </c>
      <c r="E969" s="2">
        <v>0</v>
      </c>
      <c r="G969" s="2">
        <v>1</v>
      </c>
      <c r="H969" s="5" t="s">
        <v>3496</v>
      </c>
      <c r="I969" s="2">
        <f>414/30</f>
        <v>13.8</v>
      </c>
      <c r="J969" s="2">
        <f>414/30</f>
        <v>13.8</v>
      </c>
      <c r="L969" s="2">
        <v>1</v>
      </c>
      <c r="M969" s="24">
        <f t="shared" si="68"/>
        <v>13.4</v>
      </c>
      <c r="N969" s="506" t="s">
        <v>3497</v>
      </c>
      <c r="O969" s="2">
        <v>3</v>
      </c>
      <c r="P969" s="2">
        <v>0</v>
      </c>
      <c r="Q969" s="2">
        <v>0</v>
      </c>
      <c r="V969" s="2">
        <v>6</v>
      </c>
      <c r="W969" s="2">
        <v>6</v>
      </c>
      <c r="X969" s="508">
        <v>1</v>
      </c>
      <c r="Y969" s="24">
        <v>-0.1</v>
      </c>
      <c r="Z969" s="24">
        <v>0</v>
      </c>
      <c r="AD969" s="2">
        <v>1</v>
      </c>
      <c r="AE969" s="2" t="s">
        <v>3498</v>
      </c>
      <c r="AN969" s="509"/>
      <c r="AP969" s="2">
        <v>3642</v>
      </c>
      <c r="AQ969" s="2" t="s">
        <v>136</v>
      </c>
      <c r="AU969" s="2">
        <v>1</v>
      </c>
    </row>
    <row r="970" s="2" customFormat="1" spans="1:47">
      <c r="A970" s="489">
        <v>966</v>
      </c>
      <c r="B970" s="489" t="s">
        <v>3465</v>
      </c>
      <c r="C970" s="2" t="s">
        <v>3499</v>
      </c>
      <c r="D970" s="2">
        <v>1</v>
      </c>
      <c r="E970" s="2">
        <v>0</v>
      </c>
      <c r="G970" s="2">
        <v>1</v>
      </c>
      <c r="H970" s="5" t="s">
        <v>3500</v>
      </c>
      <c r="I970" s="2">
        <f>350/30</f>
        <v>11.6666666666667</v>
      </c>
      <c r="J970" s="2">
        <f>350/30</f>
        <v>11.6666666666667</v>
      </c>
      <c r="L970" s="2">
        <v>1</v>
      </c>
      <c r="M970" s="24">
        <f t="shared" si="68"/>
        <v>11.2666666666667</v>
      </c>
      <c r="N970" s="506" t="s">
        <v>3501</v>
      </c>
      <c r="O970" s="2">
        <v>3</v>
      </c>
      <c r="P970" s="2">
        <v>-15</v>
      </c>
      <c r="Q970" s="2">
        <v>0</v>
      </c>
      <c r="V970" s="2">
        <v>6</v>
      </c>
      <c r="W970" s="2">
        <v>6</v>
      </c>
      <c r="X970" s="508">
        <v>1</v>
      </c>
      <c r="Y970" s="24">
        <v>-0.1</v>
      </c>
      <c r="Z970" s="24">
        <v>0</v>
      </c>
      <c r="AD970" s="2">
        <v>1</v>
      </c>
      <c r="AE970" s="2" t="s">
        <v>3502</v>
      </c>
      <c r="AN970" s="509"/>
      <c r="AP970" s="2">
        <v>3656</v>
      </c>
      <c r="AQ970" s="2" t="s">
        <v>136</v>
      </c>
      <c r="AU970" s="2">
        <v>1</v>
      </c>
    </row>
    <row r="971" s="28" customFormat="1" spans="1:43">
      <c r="A971" s="489">
        <v>967</v>
      </c>
      <c r="B971" s="229" t="s">
        <v>3503</v>
      </c>
      <c r="C971" s="28" t="s">
        <v>2966</v>
      </c>
      <c r="D971" s="28">
        <v>1</v>
      </c>
      <c r="E971" s="28">
        <v>0</v>
      </c>
      <c r="G971" s="28">
        <v>1</v>
      </c>
      <c r="H971" s="245" t="s">
        <v>3504</v>
      </c>
      <c r="I971" s="28">
        <f>102/30</f>
        <v>3.4</v>
      </c>
      <c r="J971" s="28">
        <f>102/30</f>
        <v>3.4</v>
      </c>
      <c r="L971" s="28">
        <v>1</v>
      </c>
      <c r="M971" s="28">
        <f t="shared" si="68"/>
        <v>3</v>
      </c>
      <c r="O971" s="28">
        <v>1</v>
      </c>
      <c r="P971" s="28">
        <v>1.8</v>
      </c>
      <c r="Q971" s="28">
        <v>0</v>
      </c>
      <c r="V971" s="28">
        <v>1</v>
      </c>
      <c r="W971" s="28">
        <v>0</v>
      </c>
      <c r="X971" s="218">
        <v>4</v>
      </c>
      <c r="Y971" s="28">
        <v>-0.1</v>
      </c>
      <c r="Z971" s="28">
        <v>0</v>
      </c>
      <c r="AN971" s="221"/>
      <c r="AP971" s="28">
        <v>3631</v>
      </c>
      <c r="AQ971" s="28" t="s">
        <v>136</v>
      </c>
    </row>
    <row r="972" s="45" customFormat="1" spans="1:40">
      <c r="A972" s="437">
        <v>968</v>
      </c>
      <c r="B972" s="437" t="s">
        <v>3505</v>
      </c>
      <c r="C972" s="45" t="s">
        <v>526</v>
      </c>
      <c r="D972" s="45">
        <v>1</v>
      </c>
      <c r="E972" s="45">
        <v>0</v>
      </c>
      <c r="G972" s="45">
        <v>1</v>
      </c>
      <c r="H972" s="391" t="s">
        <v>3506</v>
      </c>
      <c r="I972" s="45">
        <f>73/30</f>
        <v>2.43333333333333</v>
      </c>
      <c r="J972" s="45">
        <f>73/30</f>
        <v>2.43333333333333</v>
      </c>
      <c r="L972" s="45">
        <v>0</v>
      </c>
      <c r="M972" s="28">
        <f t="shared" si="68"/>
        <v>2.03333333333333</v>
      </c>
      <c r="O972" s="45">
        <v>0</v>
      </c>
      <c r="P972" s="45">
        <v>0</v>
      </c>
      <c r="Q972" s="45">
        <v>1</v>
      </c>
      <c r="R972" s="45">
        <v>0</v>
      </c>
      <c r="S972" s="45">
        <v>10</v>
      </c>
      <c r="T972" s="45">
        <v>10</v>
      </c>
      <c r="U972" s="45">
        <v>10</v>
      </c>
      <c r="V972" s="45">
        <v>1</v>
      </c>
      <c r="W972" s="45">
        <v>0</v>
      </c>
      <c r="X972" s="379">
        <v>0</v>
      </c>
      <c r="Y972" s="28">
        <v>-0.1</v>
      </c>
      <c r="Z972" s="45">
        <v>0</v>
      </c>
      <c r="AN972" s="354"/>
    </row>
    <row r="973" s="28" customFormat="1" spans="1:45">
      <c r="A973" s="229">
        <v>969</v>
      </c>
      <c r="B973" s="229" t="s">
        <v>2902</v>
      </c>
      <c r="C973" s="28" t="s">
        <v>3507</v>
      </c>
      <c r="D973" s="28">
        <v>1</v>
      </c>
      <c r="E973" s="28">
        <v>0</v>
      </c>
      <c r="G973" s="28">
        <v>1</v>
      </c>
      <c r="H973" s="513" t="s">
        <v>2920</v>
      </c>
      <c r="I973" s="28">
        <v>7.333333</v>
      </c>
      <c r="J973" s="28">
        <v>7.333333</v>
      </c>
      <c r="L973" s="28">
        <v>1</v>
      </c>
      <c r="M973" s="28">
        <f t="shared" si="68"/>
        <v>6.933333</v>
      </c>
      <c r="N973" s="28" t="s">
        <v>2921</v>
      </c>
      <c r="O973" s="28">
        <v>1</v>
      </c>
      <c r="P973" s="229">
        <v>9</v>
      </c>
      <c r="Q973" s="28">
        <v>0</v>
      </c>
      <c r="V973" s="28">
        <v>6</v>
      </c>
      <c r="W973" s="229">
        <v>29</v>
      </c>
      <c r="X973" s="218">
        <v>4</v>
      </c>
      <c r="Y973" s="28">
        <v>-0.1</v>
      </c>
      <c r="Z973" s="28">
        <v>0</v>
      </c>
      <c r="AB973" s="28">
        <f>I973-0.3</f>
        <v>7.033333</v>
      </c>
      <c r="AC973" s="28">
        <v>2</v>
      </c>
      <c r="AD973" s="28">
        <v>1</v>
      </c>
      <c r="AE973" s="243" t="s">
        <v>2922</v>
      </c>
      <c r="AF973" s="28">
        <v>0.5</v>
      </c>
      <c r="AN973" s="221"/>
      <c r="AP973" s="28">
        <v>2979</v>
      </c>
      <c r="AQ973" s="28" t="s">
        <v>136</v>
      </c>
      <c r="AR973" s="245"/>
      <c r="AS973" s="424" t="s">
        <v>2918</v>
      </c>
    </row>
    <row r="974" s="27" customFormat="1" spans="1:45">
      <c r="A974" s="229">
        <v>970</v>
      </c>
      <c r="B974" s="492" t="s">
        <v>3508</v>
      </c>
      <c r="C974" s="27" t="s">
        <v>526</v>
      </c>
      <c r="D974" s="27">
        <v>1</v>
      </c>
      <c r="E974" s="27">
        <v>0</v>
      </c>
      <c r="G974" s="27">
        <v>1</v>
      </c>
      <c r="H974" s="494" t="s">
        <v>3509</v>
      </c>
      <c r="I974" s="27">
        <f>50/30</f>
        <v>1.66666666666667</v>
      </c>
      <c r="J974" s="27">
        <f>50/30</f>
        <v>1.66666666666667</v>
      </c>
      <c r="L974" s="27">
        <v>0</v>
      </c>
      <c r="M974" s="28">
        <f t="shared" si="68"/>
        <v>1.26666666666667</v>
      </c>
      <c r="N974" s="518" t="s">
        <v>3510</v>
      </c>
      <c r="O974" s="27">
        <v>1</v>
      </c>
      <c r="P974" s="492">
        <v>2.2</v>
      </c>
      <c r="Q974" s="27">
        <v>0</v>
      </c>
      <c r="S974" s="27">
        <v>0.2</v>
      </c>
      <c r="T974" s="27">
        <v>-0.1</v>
      </c>
      <c r="U974" s="27">
        <v>0.1</v>
      </c>
      <c r="V974" s="27">
        <v>6</v>
      </c>
      <c r="W974" s="492">
        <v>0</v>
      </c>
      <c r="X974" s="217">
        <v>2</v>
      </c>
      <c r="Y974" s="28">
        <v>-0.1</v>
      </c>
      <c r="Z974" s="28">
        <v>0</v>
      </c>
      <c r="AB974" s="28"/>
      <c r="AE974" s="520"/>
      <c r="AN974" s="213"/>
      <c r="AP974" s="27">
        <v>3662</v>
      </c>
      <c r="AQ974" s="27" t="s">
        <v>136</v>
      </c>
      <c r="AR974" s="494"/>
      <c r="AS974" s="519"/>
    </row>
    <row r="975" s="27" customFormat="1" spans="1:45">
      <c r="A975" s="229">
        <v>971</v>
      </c>
      <c r="B975" s="492" t="s">
        <v>3508</v>
      </c>
      <c r="C975" s="27" t="s">
        <v>3511</v>
      </c>
      <c r="D975" s="27">
        <v>1</v>
      </c>
      <c r="E975" s="27">
        <v>0</v>
      </c>
      <c r="G975" s="27">
        <v>1</v>
      </c>
      <c r="H975" s="494" t="s">
        <v>3512</v>
      </c>
      <c r="I975" s="27">
        <f>74/30</f>
        <v>2.46666666666667</v>
      </c>
      <c r="J975" s="27">
        <f>74/30</f>
        <v>2.46666666666667</v>
      </c>
      <c r="L975" s="27">
        <v>1</v>
      </c>
      <c r="M975" s="28">
        <f t="shared" si="68"/>
        <v>2.06666666666667</v>
      </c>
      <c r="N975" s="518" t="s">
        <v>3513</v>
      </c>
      <c r="O975" s="27">
        <v>1</v>
      </c>
      <c r="P975" s="492">
        <v>2.2</v>
      </c>
      <c r="Q975" s="27">
        <v>0</v>
      </c>
      <c r="S975" s="27">
        <v>1</v>
      </c>
      <c r="T975" s="27">
        <v>-0.4</v>
      </c>
      <c r="U975" s="27">
        <v>2</v>
      </c>
      <c r="V975" s="27">
        <v>6</v>
      </c>
      <c r="W975" s="27">
        <v>6</v>
      </c>
      <c r="X975" s="217">
        <v>1</v>
      </c>
      <c r="Y975" s="28">
        <v>-0.1</v>
      </c>
      <c r="Z975" s="28">
        <v>0</v>
      </c>
      <c r="AB975" s="28"/>
      <c r="AE975" s="520"/>
      <c r="AN975" s="213"/>
      <c r="AP975" s="27">
        <v>3664</v>
      </c>
      <c r="AQ975" s="27" t="s">
        <v>136</v>
      </c>
      <c r="AR975" s="494"/>
      <c r="AS975" s="519"/>
    </row>
    <row r="976" s="27" customFormat="1" spans="1:45">
      <c r="A976" s="229">
        <v>972</v>
      </c>
      <c r="B976" s="492" t="s">
        <v>3508</v>
      </c>
      <c r="C976" s="27" t="s">
        <v>3514</v>
      </c>
      <c r="D976" s="27">
        <v>1</v>
      </c>
      <c r="E976" s="27">
        <v>0</v>
      </c>
      <c r="G976" s="27">
        <v>1</v>
      </c>
      <c r="H976" s="494" t="s">
        <v>3515</v>
      </c>
      <c r="I976" s="27">
        <f>111/30</f>
        <v>3.7</v>
      </c>
      <c r="J976" s="27">
        <f>111/30</f>
        <v>3.7</v>
      </c>
      <c r="L976" s="27">
        <v>1</v>
      </c>
      <c r="M976" s="28">
        <f t="shared" si="68"/>
        <v>3.3</v>
      </c>
      <c r="N976" s="518" t="s">
        <v>3516</v>
      </c>
      <c r="O976" s="27">
        <v>1</v>
      </c>
      <c r="P976" s="492">
        <v>2.2</v>
      </c>
      <c r="Q976" s="27">
        <v>0</v>
      </c>
      <c r="S976" s="27">
        <v>0.2</v>
      </c>
      <c r="T976" s="27">
        <v>-0.1</v>
      </c>
      <c r="U976" s="27">
        <v>0.1</v>
      </c>
      <c r="V976" s="27">
        <v>6</v>
      </c>
      <c r="W976" s="492">
        <v>0</v>
      </c>
      <c r="X976" s="217">
        <v>3</v>
      </c>
      <c r="Y976" s="28">
        <v>-0.1</v>
      </c>
      <c r="Z976" s="28">
        <v>0</v>
      </c>
      <c r="AB976" s="28"/>
      <c r="AE976" s="520"/>
      <c r="AN976" s="213"/>
      <c r="AP976" s="27">
        <v>3666</v>
      </c>
      <c r="AQ976" s="27" t="s">
        <v>136</v>
      </c>
      <c r="AR976" s="494"/>
      <c r="AS976" s="519"/>
    </row>
    <row r="977" s="27" customFormat="1" spans="1:45">
      <c r="A977" s="229">
        <v>973</v>
      </c>
      <c r="B977" s="492" t="s">
        <v>3508</v>
      </c>
      <c r="C977" s="27" t="s">
        <v>3517</v>
      </c>
      <c r="D977" s="27">
        <v>1</v>
      </c>
      <c r="E977" s="27">
        <v>0</v>
      </c>
      <c r="G977" s="27">
        <v>1</v>
      </c>
      <c r="H977" s="494" t="s">
        <v>3518</v>
      </c>
      <c r="I977" s="27">
        <f>83/30</f>
        <v>2.76666666666667</v>
      </c>
      <c r="J977" s="27">
        <f>83/30</f>
        <v>2.76666666666667</v>
      </c>
      <c r="L977" s="27">
        <v>1</v>
      </c>
      <c r="M977" s="28">
        <f t="shared" si="68"/>
        <v>2.36666666666667</v>
      </c>
      <c r="N977" s="518" t="s">
        <v>3519</v>
      </c>
      <c r="O977" s="27">
        <v>1</v>
      </c>
      <c r="P977" s="492">
        <v>2.2</v>
      </c>
      <c r="Q977" s="27">
        <v>0</v>
      </c>
      <c r="S977" s="27">
        <v>0.7</v>
      </c>
      <c r="T977" s="27">
        <v>-0.1</v>
      </c>
      <c r="U977" s="27">
        <v>1.5</v>
      </c>
      <c r="V977" s="27">
        <v>6</v>
      </c>
      <c r="W977" s="492">
        <v>6</v>
      </c>
      <c r="X977" s="217">
        <v>1</v>
      </c>
      <c r="Y977" s="28">
        <v>-0.1</v>
      </c>
      <c r="Z977" s="28">
        <v>0</v>
      </c>
      <c r="AB977" s="28"/>
      <c r="AE977" s="520"/>
      <c r="AN977" s="213"/>
      <c r="AP977" s="27">
        <v>3670</v>
      </c>
      <c r="AQ977" s="27" t="s">
        <v>136</v>
      </c>
      <c r="AR977" s="494"/>
      <c r="AS977" s="519"/>
    </row>
    <row r="978" s="27" customFormat="1" spans="1:47">
      <c r="A978" s="229">
        <v>974</v>
      </c>
      <c r="B978" s="492" t="s">
        <v>3508</v>
      </c>
      <c r="C978" s="27" t="s">
        <v>3520</v>
      </c>
      <c r="D978" s="27">
        <v>1</v>
      </c>
      <c r="E978" s="27">
        <v>0</v>
      </c>
      <c r="G978" s="27">
        <v>1</v>
      </c>
      <c r="H978" s="494" t="s">
        <v>3521</v>
      </c>
      <c r="I978" s="27">
        <f>310/30</f>
        <v>10.3333333333333</v>
      </c>
      <c r="J978" s="27">
        <f>310/30</f>
        <v>10.3333333333333</v>
      </c>
      <c r="L978" s="27">
        <v>1</v>
      </c>
      <c r="M978" s="28">
        <f t="shared" si="68"/>
        <v>9.93333333333333</v>
      </c>
      <c r="N978" s="518" t="s">
        <v>3522</v>
      </c>
      <c r="O978" s="27">
        <v>1</v>
      </c>
      <c r="P978" s="492">
        <v>6</v>
      </c>
      <c r="Q978" s="27">
        <v>0</v>
      </c>
      <c r="V978" s="27">
        <v>6</v>
      </c>
      <c r="W978" s="492">
        <v>0</v>
      </c>
      <c r="X978" s="217">
        <v>6</v>
      </c>
      <c r="Y978" s="28">
        <v>-0.1</v>
      </c>
      <c r="Z978" s="28">
        <v>0</v>
      </c>
      <c r="AB978" s="28">
        <f>I978-0.3</f>
        <v>10.0333333333333</v>
      </c>
      <c r="AC978" s="27">
        <v>2</v>
      </c>
      <c r="AD978" s="27">
        <v>1</v>
      </c>
      <c r="AE978" s="520" t="s">
        <v>3523</v>
      </c>
      <c r="AF978" s="27">
        <v>0.5</v>
      </c>
      <c r="AN978" s="213"/>
      <c r="AP978" s="27">
        <v>3696</v>
      </c>
      <c r="AQ978" s="27" t="s">
        <v>136</v>
      </c>
      <c r="AR978" s="494"/>
      <c r="AS978" s="519" t="s">
        <v>3524</v>
      </c>
      <c r="AU978" s="27">
        <v>1</v>
      </c>
    </row>
    <row r="979" s="27" customFormat="1" spans="1:47">
      <c r="A979" s="229">
        <v>975</v>
      </c>
      <c r="B979" s="492" t="s">
        <v>3508</v>
      </c>
      <c r="C979" s="27" t="s">
        <v>3525</v>
      </c>
      <c r="D979" s="27">
        <v>1</v>
      </c>
      <c r="E979" s="27">
        <v>0</v>
      </c>
      <c r="G979" s="27">
        <v>1</v>
      </c>
      <c r="H979" s="494" t="s">
        <v>3526</v>
      </c>
      <c r="I979" s="27">
        <f>370/30</f>
        <v>12.3333333333333</v>
      </c>
      <c r="J979" s="27">
        <f>370/30</f>
        <v>12.3333333333333</v>
      </c>
      <c r="L979" s="27">
        <v>1</v>
      </c>
      <c r="M979" s="28">
        <f t="shared" si="68"/>
        <v>11.9333333333333</v>
      </c>
      <c r="N979" s="518" t="s">
        <v>3527</v>
      </c>
      <c r="O979" s="27">
        <v>1</v>
      </c>
      <c r="P979" s="492">
        <v>4</v>
      </c>
      <c r="Q979" s="27">
        <v>0</v>
      </c>
      <c r="V979" s="27">
        <v>6</v>
      </c>
      <c r="W979" s="492">
        <v>6</v>
      </c>
      <c r="X979" s="217">
        <v>4</v>
      </c>
      <c r="Y979" s="28">
        <v>-0.1</v>
      </c>
      <c r="Z979" s="28">
        <v>0</v>
      </c>
      <c r="AB979" s="28">
        <f>I979-0.3</f>
        <v>12.0333333333333</v>
      </c>
      <c r="AC979" s="27">
        <v>2</v>
      </c>
      <c r="AD979" s="27">
        <v>1</v>
      </c>
      <c r="AE979" s="520" t="s">
        <v>3528</v>
      </c>
      <c r="AF979" s="27">
        <v>0.5</v>
      </c>
      <c r="AN979" s="213"/>
      <c r="AP979" s="27">
        <v>3695</v>
      </c>
      <c r="AQ979" s="27" t="s">
        <v>136</v>
      </c>
      <c r="AR979" s="494"/>
      <c r="AS979" s="519"/>
      <c r="AU979" s="27">
        <v>1</v>
      </c>
    </row>
    <row r="980" s="27" customFormat="1" spans="1:45">
      <c r="A980" s="229">
        <v>976</v>
      </c>
      <c r="B980" s="492" t="s">
        <v>3508</v>
      </c>
      <c r="C980" s="27" t="s">
        <v>526</v>
      </c>
      <c r="D980" s="27">
        <v>1</v>
      </c>
      <c r="E980" s="27">
        <v>0</v>
      </c>
      <c r="G980" s="27">
        <v>1</v>
      </c>
      <c r="H980" s="494" t="s">
        <v>3529</v>
      </c>
      <c r="I980" s="27">
        <f>117/30</f>
        <v>3.9</v>
      </c>
      <c r="J980" s="27">
        <f>117/30</f>
        <v>3.9</v>
      </c>
      <c r="L980" s="27">
        <v>0</v>
      </c>
      <c r="M980" s="28">
        <f t="shared" si="68"/>
        <v>3.5</v>
      </c>
      <c r="N980" s="518" t="s">
        <v>3530</v>
      </c>
      <c r="O980" s="27">
        <v>1</v>
      </c>
      <c r="P980" s="492">
        <v>2.3</v>
      </c>
      <c r="Q980" s="27">
        <v>0</v>
      </c>
      <c r="S980" s="27">
        <v>0.2</v>
      </c>
      <c r="T980" s="27">
        <v>-0.1</v>
      </c>
      <c r="U980" s="27">
        <v>0.1</v>
      </c>
      <c r="V980" s="27">
        <v>6</v>
      </c>
      <c r="W980" s="492">
        <v>0</v>
      </c>
      <c r="X980" s="217">
        <v>3</v>
      </c>
      <c r="Y980" s="28">
        <v>-0.1</v>
      </c>
      <c r="Z980" s="28">
        <v>0</v>
      </c>
      <c r="AB980" s="28"/>
      <c r="AE980" s="520"/>
      <c r="AN980" s="213"/>
      <c r="AP980" s="27">
        <v>3672</v>
      </c>
      <c r="AQ980" s="27" t="s">
        <v>136</v>
      </c>
      <c r="AR980" s="494"/>
      <c r="AS980" s="519"/>
    </row>
    <row r="981" s="27" customFormat="1" spans="1:45">
      <c r="A981" s="229">
        <v>977</v>
      </c>
      <c r="B981" s="492" t="s">
        <v>3508</v>
      </c>
      <c r="C981" s="27" t="s">
        <v>3531</v>
      </c>
      <c r="D981" s="27">
        <v>1</v>
      </c>
      <c r="E981" s="27">
        <v>0</v>
      </c>
      <c r="G981" s="27">
        <v>1</v>
      </c>
      <c r="H981" s="494" t="s">
        <v>3532</v>
      </c>
      <c r="I981" s="27">
        <f>114/30</f>
        <v>3.8</v>
      </c>
      <c r="J981" s="27">
        <f>114/30</f>
        <v>3.8</v>
      </c>
      <c r="L981" s="27">
        <v>1</v>
      </c>
      <c r="M981" s="28">
        <f t="shared" si="68"/>
        <v>3.4</v>
      </c>
      <c r="N981" s="518" t="s">
        <v>3533</v>
      </c>
      <c r="O981" s="27">
        <v>1</v>
      </c>
      <c r="P981" s="492">
        <v>2.3</v>
      </c>
      <c r="Q981" s="27">
        <v>0</v>
      </c>
      <c r="R981" s="27">
        <v>1</v>
      </c>
      <c r="S981" s="27">
        <v>0.3</v>
      </c>
      <c r="U981" s="27">
        <v>0.2</v>
      </c>
      <c r="V981" s="27">
        <v>6</v>
      </c>
      <c r="W981" s="492">
        <v>0</v>
      </c>
      <c r="X981" s="217">
        <v>1</v>
      </c>
      <c r="Y981" s="28">
        <v>-0.1</v>
      </c>
      <c r="Z981" s="28">
        <v>0</v>
      </c>
      <c r="AB981" s="28"/>
      <c r="AE981" s="520"/>
      <c r="AN981" s="213"/>
      <c r="AP981" s="27">
        <v>3675</v>
      </c>
      <c r="AQ981" s="27" t="s">
        <v>136</v>
      </c>
      <c r="AR981" s="494"/>
      <c r="AS981" s="519"/>
    </row>
    <row r="982" s="27" customFormat="1" spans="1:47">
      <c r="A982" s="229">
        <v>978</v>
      </c>
      <c r="B982" s="492" t="s">
        <v>3508</v>
      </c>
      <c r="C982" s="27" t="s">
        <v>3534</v>
      </c>
      <c r="D982" s="27">
        <v>1</v>
      </c>
      <c r="E982" s="27">
        <v>0</v>
      </c>
      <c r="G982" s="27">
        <v>1</v>
      </c>
      <c r="H982" s="494" t="s">
        <v>3535</v>
      </c>
      <c r="I982" s="27">
        <f>232/30</f>
        <v>7.73333333333333</v>
      </c>
      <c r="J982" s="27">
        <f>232/30</f>
        <v>7.73333333333333</v>
      </c>
      <c r="L982" s="27">
        <v>1</v>
      </c>
      <c r="M982" s="28">
        <f t="shared" si="68"/>
        <v>7.33333333333333</v>
      </c>
      <c r="N982" s="518" t="s">
        <v>3536</v>
      </c>
      <c r="O982" s="27">
        <v>1</v>
      </c>
      <c r="P982" s="492">
        <v>7</v>
      </c>
      <c r="Q982" s="27">
        <v>0</v>
      </c>
      <c r="V982" s="27">
        <v>6</v>
      </c>
      <c r="W982" s="492">
        <v>6</v>
      </c>
      <c r="X982" s="217">
        <v>1</v>
      </c>
      <c r="Y982" s="28">
        <v>-0.1</v>
      </c>
      <c r="Z982" s="28">
        <v>0</v>
      </c>
      <c r="AB982" s="28">
        <f>I982-0.3</f>
        <v>7.43333333333333</v>
      </c>
      <c r="AC982" s="27">
        <v>2</v>
      </c>
      <c r="AD982" s="27">
        <v>1</v>
      </c>
      <c r="AE982" s="520" t="s">
        <v>3537</v>
      </c>
      <c r="AF982" s="27">
        <v>0.05</v>
      </c>
      <c r="AN982" s="27" t="s">
        <v>3538</v>
      </c>
      <c r="AO982" s="27" t="s">
        <v>3539</v>
      </c>
      <c r="AP982" s="27">
        <v>3679</v>
      </c>
      <c r="AQ982" s="27" t="s">
        <v>136</v>
      </c>
      <c r="AR982" s="494"/>
      <c r="AS982" s="519"/>
      <c r="AU982" s="27">
        <v>1</v>
      </c>
    </row>
    <row r="983" s="28" customFormat="1" spans="1:45">
      <c r="A983" s="229">
        <v>979</v>
      </c>
      <c r="B983" s="229" t="s">
        <v>3540</v>
      </c>
      <c r="C983" s="28" t="s">
        <v>3541</v>
      </c>
      <c r="D983" s="28">
        <v>1</v>
      </c>
      <c r="E983" s="28">
        <v>0</v>
      </c>
      <c r="G983" s="28">
        <v>1</v>
      </c>
      <c r="H983" s="245" t="s">
        <v>3542</v>
      </c>
      <c r="I983" s="28">
        <f>115/30</f>
        <v>3.83333333333333</v>
      </c>
      <c r="J983" s="28">
        <f>115/30</f>
        <v>3.83333333333333</v>
      </c>
      <c r="L983" s="28">
        <v>1</v>
      </c>
      <c r="M983" s="28">
        <f t="shared" si="68"/>
        <v>3.43333333333333</v>
      </c>
      <c r="N983" s="28" t="s">
        <v>3543</v>
      </c>
      <c r="O983" s="28">
        <v>1</v>
      </c>
      <c r="P983" s="229">
        <v>5</v>
      </c>
      <c r="Q983" s="28">
        <v>0</v>
      </c>
      <c r="S983" s="28">
        <v>0.96</v>
      </c>
      <c r="U983" s="28">
        <v>0.78</v>
      </c>
      <c r="V983" s="28">
        <v>1</v>
      </c>
      <c r="W983" s="229">
        <v>0</v>
      </c>
      <c r="X983" s="218">
        <v>1</v>
      </c>
      <c r="Y983" s="28">
        <v>-0.1</v>
      </c>
      <c r="Z983" s="28">
        <v>0</v>
      </c>
      <c r="AE983" s="243"/>
      <c r="AN983" s="221"/>
      <c r="AP983" s="28">
        <v>3697</v>
      </c>
      <c r="AQ983" s="27" t="s">
        <v>136</v>
      </c>
      <c r="AR983" s="245"/>
      <c r="AS983" s="424"/>
    </row>
    <row r="984" s="28" customFormat="1" spans="1:55">
      <c r="A984" s="514">
        <v>980</v>
      </c>
      <c r="B984" s="514" t="s">
        <v>3544</v>
      </c>
      <c r="C984" s="22" t="s">
        <v>526</v>
      </c>
      <c r="D984" s="22">
        <v>1</v>
      </c>
      <c r="E984" s="22">
        <v>0</v>
      </c>
      <c r="F984" s="22"/>
      <c r="G984" s="22">
        <v>1</v>
      </c>
      <c r="H984" s="515" t="s">
        <v>3545</v>
      </c>
      <c r="I984" s="28">
        <v>3.9</v>
      </c>
      <c r="J984" s="28">
        <v>3.9</v>
      </c>
      <c r="K984" s="22"/>
      <c r="L984" s="28">
        <v>0</v>
      </c>
      <c r="M984" s="28">
        <v>3.5</v>
      </c>
      <c r="N984" s="28" t="s">
        <v>3546</v>
      </c>
      <c r="O984" s="22">
        <v>1</v>
      </c>
      <c r="P984" s="514">
        <v>2.4</v>
      </c>
      <c r="Q984" s="22">
        <v>0</v>
      </c>
      <c r="R984" s="22"/>
      <c r="S984" s="22">
        <v>0.45</v>
      </c>
      <c r="T984" s="22">
        <v>0.1</v>
      </c>
      <c r="U984" s="22">
        <v>0.3</v>
      </c>
      <c r="V984" s="22">
        <v>1</v>
      </c>
      <c r="W984" s="514">
        <v>0</v>
      </c>
      <c r="X984" s="28">
        <v>3</v>
      </c>
      <c r="Y984" s="22">
        <v>-0.1</v>
      </c>
      <c r="Z984" s="22">
        <v>0</v>
      </c>
      <c r="AA984" s="22"/>
      <c r="AB984" s="22"/>
      <c r="AC984" s="22"/>
      <c r="AD984" s="22"/>
      <c r="AE984" s="521"/>
      <c r="AF984" s="22"/>
      <c r="AG984" s="22"/>
      <c r="AH984" s="22"/>
      <c r="AI984" s="22"/>
      <c r="AJ984" s="22"/>
      <c r="AK984" s="22"/>
      <c r="AL984" s="22"/>
      <c r="AM984" s="22"/>
      <c r="AN984" s="153"/>
      <c r="AO984" s="22"/>
      <c r="AP984" s="22">
        <v>3705</v>
      </c>
      <c r="AQ984" s="22" t="s">
        <v>136</v>
      </c>
      <c r="AR984" s="515"/>
      <c r="AS984" s="523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</row>
    <row r="985" spans="1:45">
      <c r="A985" s="514">
        <v>981</v>
      </c>
      <c r="B985" s="514" t="s">
        <v>3544</v>
      </c>
      <c r="C985" s="22" t="s">
        <v>3547</v>
      </c>
      <c r="D985" s="22">
        <v>1</v>
      </c>
      <c r="E985" s="22">
        <v>0</v>
      </c>
      <c r="G985" s="22">
        <v>1</v>
      </c>
      <c r="H985" s="515" t="s">
        <v>3548</v>
      </c>
      <c r="I985">
        <v>5</v>
      </c>
      <c r="J985">
        <v>5</v>
      </c>
      <c r="L985">
        <v>1</v>
      </c>
      <c r="M985" s="28">
        <v>4.6</v>
      </c>
      <c r="N985" s="28" t="s">
        <v>3549</v>
      </c>
      <c r="O985" s="22">
        <v>1</v>
      </c>
      <c r="P985" s="514">
        <v>2.4</v>
      </c>
      <c r="Q985" s="22">
        <v>0</v>
      </c>
      <c r="S985">
        <v>0.4</v>
      </c>
      <c r="T985">
        <v>0.2</v>
      </c>
      <c r="U985">
        <v>0.3</v>
      </c>
      <c r="V985" s="22">
        <v>1</v>
      </c>
      <c r="W985" s="514">
        <v>0</v>
      </c>
      <c r="X985" s="7">
        <v>2</v>
      </c>
      <c r="Y985" s="22">
        <v>-0.1</v>
      </c>
      <c r="Z985" s="22">
        <v>0</v>
      </c>
      <c r="AE985" s="521"/>
      <c r="AN985" s="153"/>
      <c r="AP985">
        <v>3707</v>
      </c>
      <c r="AQ985" t="s">
        <v>136</v>
      </c>
      <c r="AR985" s="515"/>
      <c r="AS985" s="523"/>
    </row>
    <row r="986" spans="1:45">
      <c r="A986" s="514">
        <v>982</v>
      </c>
      <c r="B986" s="514" t="s">
        <v>3544</v>
      </c>
      <c r="C986" s="22" t="s">
        <v>2687</v>
      </c>
      <c r="D986" s="22">
        <v>1</v>
      </c>
      <c r="E986" s="22">
        <v>0</v>
      </c>
      <c r="G986" s="22">
        <v>1</v>
      </c>
      <c r="H986" s="515" t="s">
        <v>3550</v>
      </c>
      <c r="I986">
        <v>5.83333333333333</v>
      </c>
      <c r="J986">
        <v>5.83333333333333</v>
      </c>
      <c r="L986">
        <v>1</v>
      </c>
      <c r="M986" s="28">
        <v>5.43333333333333</v>
      </c>
      <c r="N986" s="28" t="s">
        <v>3551</v>
      </c>
      <c r="O986" s="22">
        <v>1</v>
      </c>
      <c r="P986" s="514">
        <v>2.4</v>
      </c>
      <c r="Q986" s="22">
        <v>0</v>
      </c>
      <c r="R986">
        <v>1</v>
      </c>
      <c r="S986">
        <v>0.7</v>
      </c>
      <c r="T986">
        <v>0.15</v>
      </c>
      <c r="U986">
        <v>0.3</v>
      </c>
      <c r="V986" s="22">
        <v>1</v>
      </c>
      <c r="W986" s="514">
        <v>0</v>
      </c>
      <c r="X986" s="7">
        <v>4</v>
      </c>
      <c r="Y986" s="22">
        <v>-0.1</v>
      </c>
      <c r="Z986" s="22">
        <v>0</v>
      </c>
      <c r="AE986" s="521"/>
      <c r="AN986" s="153"/>
      <c r="AP986">
        <v>3710</v>
      </c>
      <c r="AQ986" t="s">
        <v>136</v>
      </c>
      <c r="AR986" s="515"/>
      <c r="AS986" s="523"/>
    </row>
    <row r="987" spans="1:45">
      <c r="A987" s="514">
        <v>983</v>
      </c>
      <c r="B987" s="514" t="s">
        <v>3544</v>
      </c>
      <c r="C987" s="22" t="s">
        <v>3552</v>
      </c>
      <c r="D987" s="22">
        <v>1</v>
      </c>
      <c r="E987" s="22">
        <v>0</v>
      </c>
      <c r="G987" s="22">
        <v>1</v>
      </c>
      <c r="H987" s="515" t="s">
        <v>3553</v>
      </c>
      <c r="I987">
        <v>4.96666666666667</v>
      </c>
      <c r="J987">
        <v>4.96666666666667</v>
      </c>
      <c r="L987">
        <v>1</v>
      </c>
      <c r="M987" s="28">
        <v>4.56666666666667</v>
      </c>
      <c r="N987" s="28" t="s">
        <v>3554</v>
      </c>
      <c r="O987" s="22">
        <v>1</v>
      </c>
      <c r="P987" s="514">
        <v>2.4</v>
      </c>
      <c r="Q987" s="22">
        <v>0</v>
      </c>
      <c r="S987">
        <v>0.4</v>
      </c>
      <c r="T987">
        <v>0.7</v>
      </c>
      <c r="U987">
        <v>1</v>
      </c>
      <c r="V987" s="22">
        <v>1</v>
      </c>
      <c r="W987" s="514">
        <v>8</v>
      </c>
      <c r="X987" s="148">
        <v>1</v>
      </c>
      <c r="Y987" s="22">
        <v>-0.1</v>
      </c>
      <c r="Z987" s="22">
        <v>0</v>
      </c>
      <c r="AE987" s="521"/>
      <c r="AN987" s="153"/>
      <c r="AP987">
        <v>3715</v>
      </c>
      <c r="AQ987" t="s">
        <v>136</v>
      </c>
      <c r="AR987" s="515"/>
      <c r="AS987" s="523"/>
    </row>
    <row r="988" ht="18" customHeight="1" spans="1:45">
      <c r="A988" s="514">
        <v>984</v>
      </c>
      <c r="B988" s="514" t="s">
        <v>3544</v>
      </c>
      <c r="C988" s="22" t="s">
        <v>3555</v>
      </c>
      <c r="D988" s="22">
        <v>1</v>
      </c>
      <c r="E988" s="22">
        <v>0</v>
      </c>
      <c r="G988" s="22">
        <v>1</v>
      </c>
      <c r="H988" s="515" t="s">
        <v>3556</v>
      </c>
      <c r="I988">
        <v>5.76666666666667</v>
      </c>
      <c r="J988">
        <v>5.76666666666667</v>
      </c>
      <c r="L988">
        <v>1</v>
      </c>
      <c r="M988" s="28">
        <v>5.36666666666667</v>
      </c>
      <c r="N988" s="424" t="s">
        <v>3557</v>
      </c>
      <c r="O988" s="22">
        <v>1</v>
      </c>
      <c r="P988" s="514">
        <v>2.4</v>
      </c>
      <c r="Q988" s="22">
        <v>0</v>
      </c>
      <c r="S988">
        <v>0.4</v>
      </c>
      <c r="T988">
        <v>-0.1</v>
      </c>
      <c r="U988">
        <v>1.1</v>
      </c>
      <c r="V988" s="22">
        <v>1</v>
      </c>
      <c r="W988" s="514">
        <v>6</v>
      </c>
      <c r="X988" s="7">
        <v>7</v>
      </c>
      <c r="Y988" s="22">
        <v>-0.1</v>
      </c>
      <c r="Z988" s="22">
        <v>0</v>
      </c>
      <c r="AE988" s="521"/>
      <c r="AN988" s="153"/>
      <c r="AP988">
        <v>3717</v>
      </c>
      <c r="AQ988" t="s">
        <v>136</v>
      </c>
      <c r="AR988" s="515"/>
      <c r="AS988" s="523"/>
    </row>
    <row r="989" spans="1:47">
      <c r="A989" s="514">
        <v>985</v>
      </c>
      <c r="B989" s="514" t="s">
        <v>3544</v>
      </c>
      <c r="C989" s="22" t="s">
        <v>3558</v>
      </c>
      <c r="D989" s="22">
        <v>1</v>
      </c>
      <c r="E989" s="22">
        <v>0</v>
      </c>
      <c r="G989" s="22">
        <v>1</v>
      </c>
      <c r="H989" s="515" t="s">
        <v>3559</v>
      </c>
      <c r="I989">
        <v>9.33333333333333</v>
      </c>
      <c r="J989">
        <v>9.33333333333333</v>
      </c>
      <c r="L989">
        <v>1</v>
      </c>
      <c r="M989" s="28">
        <v>8.93333333333333</v>
      </c>
      <c r="N989" s="28" t="s">
        <v>3560</v>
      </c>
      <c r="O989" s="22">
        <v>1</v>
      </c>
      <c r="P989" s="514">
        <v>15</v>
      </c>
      <c r="Q989" s="22">
        <v>0</v>
      </c>
      <c r="V989" s="22">
        <v>1</v>
      </c>
      <c r="W989" s="514">
        <v>6</v>
      </c>
      <c r="X989" s="7">
        <v>2</v>
      </c>
      <c r="Y989" s="22">
        <v>-0.1</v>
      </c>
      <c r="Z989" s="22">
        <v>0</v>
      </c>
      <c r="AB989" s="28">
        <v>9.03333333333333</v>
      </c>
      <c r="AC989">
        <v>2</v>
      </c>
      <c r="AD989">
        <v>1</v>
      </c>
      <c r="AE989" s="521" t="s">
        <v>3561</v>
      </c>
      <c r="AF989">
        <v>0.5</v>
      </c>
      <c r="AN989" s="153"/>
      <c r="AP989">
        <v>3727</v>
      </c>
      <c r="AQ989" t="s">
        <v>136</v>
      </c>
      <c r="AR989" s="515"/>
      <c r="AS989" s="523" t="s">
        <v>3562</v>
      </c>
      <c r="AU989">
        <v>1</v>
      </c>
    </row>
    <row r="990" spans="1:47">
      <c r="A990" s="514">
        <v>986</v>
      </c>
      <c r="B990" s="514" t="s">
        <v>3544</v>
      </c>
      <c r="C990" s="22" t="s">
        <v>3563</v>
      </c>
      <c r="D990" s="22">
        <v>1</v>
      </c>
      <c r="E990" s="22">
        <v>0</v>
      </c>
      <c r="G990" s="22">
        <v>1</v>
      </c>
      <c r="H990" s="515" t="s">
        <v>3564</v>
      </c>
      <c r="I990">
        <v>11.6666666666667</v>
      </c>
      <c r="J990">
        <v>11.6666666666667</v>
      </c>
      <c r="L990">
        <v>1</v>
      </c>
      <c r="M990" s="28">
        <v>11.2666666666667</v>
      </c>
      <c r="N990" s="28" t="s">
        <v>3565</v>
      </c>
      <c r="O990" s="22">
        <v>1</v>
      </c>
      <c r="P990" s="514">
        <v>10</v>
      </c>
      <c r="Q990" s="22">
        <v>0</v>
      </c>
      <c r="V990" s="22">
        <v>1</v>
      </c>
      <c r="W990" s="514">
        <v>29</v>
      </c>
      <c r="X990" s="7">
        <v>4</v>
      </c>
      <c r="Y990" s="22">
        <v>-0.1</v>
      </c>
      <c r="Z990" s="22">
        <v>0</v>
      </c>
      <c r="AB990" s="28">
        <v>11.3666666666667</v>
      </c>
      <c r="AC990">
        <v>2</v>
      </c>
      <c r="AD990">
        <v>1</v>
      </c>
      <c r="AE990" s="521" t="s">
        <v>3566</v>
      </c>
      <c r="AF990">
        <v>0.5</v>
      </c>
      <c r="AN990" s="153"/>
      <c r="AP990">
        <v>3720</v>
      </c>
      <c r="AQ990" t="s">
        <v>136</v>
      </c>
      <c r="AR990" s="515"/>
      <c r="AS990" s="523"/>
      <c r="AU990">
        <v>1</v>
      </c>
    </row>
    <row r="991" spans="1:47">
      <c r="A991" s="514">
        <v>987</v>
      </c>
      <c r="B991" s="514" t="s">
        <v>3544</v>
      </c>
      <c r="C991" s="22" t="s">
        <v>3567</v>
      </c>
      <c r="D991" s="22">
        <v>1</v>
      </c>
      <c r="E991" s="22">
        <v>0</v>
      </c>
      <c r="G991" s="22">
        <v>1</v>
      </c>
      <c r="H991" s="515" t="s">
        <v>3568</v>
      </c>
      <c r="I991">
        <v>13.6666666666667</v>
      </c>
      <c r="J991">
        <v>13.6666666666667</v>
      </c>
      <c r="L991">
        <v>1</v>
      </c>
      <c r="M991" s="28">
        <v>13.2666666666667</v>
      </c>
      <c r="N991" s="28" t="s">
        <v>3569</v>
      </c>
      <c r="O991" s="22">
        <v>1</v>
      </c>
      <c r="P991" s="514">
        <v>5</v>
      </c>
      <c r="Q991" s="22">
        <v>0</v>
      </c>
      <c r="V991" s="22">
        <v>1</v>
      </c>
      <c r="W991" s="514">
        <v>16</v>
      </c>
      <c r="X991" s="7">
        <v>4</v>
      </c>
      <c r="Y991" s="22">
        <v>-0.1</v>
      </c>
      <c r="Z991" s="22">
        <v>0</v>
      </c>
      <c r="AB991">
        <v>13.6</v>
      </c>
      <c r="AC991">
        <v>2</v>
      </c>
      <c r="AD991">
        <v>1</v>
      </c>
      <c r="AE991" s="521" t="s">
        <v>3570</v>
      </c>
      <c r="AF991">
        <v>0.5</v>
      </c>
      <c r="AN991" s="153"/>
      <c r="AP991">
        <v>3735</v>
      </c>
      <c r="AQ991" t="s">
        <v>136</v>
      </c>
      <c r="AR991" s="515"/>
      <c r="AS991" s="523"/>
      <c r="AU991">
        <v>1</v>
      </c>
    </row>
    <row r="992" s="28" customFormat="1" spans="1:45">
      <c r="A992" s="229">
        <v>988</v>
      </c>
      <c r="B992" s="229" t="s">
        <v>2870</v>
      </c>
      <c r="C992" s="28" t="s">
        <v>3571</v>
      </c>
      <c r="D992" s="28">
        <v>1</v>
      </c>
      <c r="E992" s="28">
        <v>0</v>
      </c>
      <c r="G992" s="28">
        <v>1</v>
      </c>
      <c r="H992" s="245" t="s">
        <v>3572</v>
      </c>
      <c r="I992" s="28">
        <f>123/30</f>
        <v>4.1</v>
      </c>
      <c r="J992" s="28">
        <f>123/30</f>
        <v>4.1</v>
      </c>
      <c r="L992" s="28">
        <v>1</v>
      </c>
      <c r="M992" s="28">
        <v>3.7</v>
      </c>
      <c r="N992" s="28" t="s">
        <v>3573</v>
      </c>
      <c r="O992" s="28">
        <v>1</v>
      </c>
      <c r="P992" s="229">
        <v>2.1</v>
      </c>
      <c r="Q992" s="28">
        <v>0</v>
      </c>
      <c r="R992" s="28">
        <v>1</v>
      </c>
      <c r="S992" s="28">
        <v>2.5</v>
      </c>
      <c r="U992" s="28">
        <v>0.7</v>
      </c>
      <c r="V992" s="28">
        <v>1</v>
      </c>
      <c r="W992" s="229">
        <v>0</v>
      </c>
      <c r="X992" s="218">
        <v>8</v>
      </c>
      <c r="Y992" s="28">
        <v>-0.1</v>
      </c>
      <c r="Z992" s="28">
        <v>0</v>
      </c>
      <c r="AE992" s="243"/>
      <c r="AN992" s="221">
        <v>3742</v>
      </c>
      <c r="AO992" s="28" t="s">
        <v>3574</v>
      </c>
      <c r="AP992" s="28">
        <v>3732</v>
      </c>
      <c r="AQ992" s="28" t="s">
        <v>136</v>
      </c>
      <c r="AR992" s="245"/>
      <c r="AS992" s="424"/>
    </row>
    <row r="993" s="37" customFormat="1" spans="1:45">
      <c r="A993" s="290">
        <v>989</v>
      </c>
      <c r="B993" s="290" t="s">
        <v>3575</v>
      </c>
      <c r="C993" s="37" t="s">
        <v>526</v>
      </c>
      <c r="D993" s="37">
        <v>1</v>
      </c>
      <c r="E993" s="37">
        <v>0</v>
      </c>
      <c r="G993" s="37">
        <v>1</v>
      </c>
      <c r="H993" s="485" t="s">
        <v>3576</v>
      </c>
      <c r="I993" s="37">
        <f>116/30</f>
        <v>3.86666666666667</v>
      </c>
      <c r="J993" s="37">
        <f>116/30</f>
        <v>3.86666666666667</v>
      </c>
      <c r="L993" s="37">
        <v>0</v>
      </c>
      <c r="M993" s="37">
        <f>116/30-0.4</f>
        <v>3.46666666666667</v>
      </c>
      <c r="O993" s="37">
        <v>0</v>
      </c>
      <c r="P993" s="290">
        <v>0</v>
      </c>
      <c r="Q993" s="37">
        <v>0</v>
      </c>
      <c r="R993" s="37">
        <v>0</v>
      </c>
      <c r="V993" s="37">
        <v>1</v>
      </c>
      <c r="W993" s="290">
        <v>6</v>
      </c>
      <c r="X993" s="303">
        <v>0</v>
      </c>
      <c r="Y993" s="37">
        <v>-0.1</v>
      </c>
      <c r="Z993" s="37">
        <v>0</v>
      </c>
      <c r="AE993" s="522"/>
      <c r="AN993" s="311"/>
      <c r="AR993" s="485"/>
      <c r="AS993" s="524"/>
    </row>
    <row r="994" s="37" customFormat="1" spans="1:48">
      <c r="A994" s="290">
        <v>990</v>
      </c>
      <c r="B994" s="290" t="s">
        <v>3577</v>
      </c>
      <c r="C994" s="37" t="s">
        <v>3578</v>
      </c>
      <c r="D994" s="37">
        <v>1</v>
      </c>
      <c r="E994" s="37">
        <v>0</v>
      </c>
      <c r="G994" s="37">
        <v>2</v>
      </c>
      <c r="H994" s="485" t="s">
        <v>3579</v>
      </c>
      <c r="I994" s="37">
        <f>157/30</f>
        <v>5.23333333333333</v>
      </c>
      <c r="J994" s="37">
        <f>157/30</f>
        <v>5.23333333333333</v>
      </c>
      <c r="L994" s="37">
        <v>0</v>
      </c>
      <c r="M994" s="37">
        <f>157/30-0.4</f>
        <v>4.83333333333333</v>
      </c>
      <c r="O994" s="37">
        <v>0</v>
      </c>
      <c r="P994" s="290">
        <v>0</v>
      </c>
      <c r="Q994" s="37">
        <v>0</v>
      </c>
      <c r="R994" s="37">
        <v>0</v>
      </c>
      <c r="V994" s="37">
        <v>1</v>
      </c>
      <c r="W994" s="290">
        <v>6</v>
      </c>
      <c r="X994" s="303">
        <v>0</v>
      </c>
      <c r="Y994" s="37">
        <v>-0.1</v>
      </c>
      <c r="Z994" s="37">
        <v>0</v>
      </c>
      <c r="AB994" s="37">
        <f>157/30-0.3</f>
        <v>4.93333333333333</v>
      </c>
      <c r="AC994" s="37">
        <v>2</v>
      </c>
      <c r="AD994" s="37">
        <v>1</v>
      </c>
      <c r="AE994" s="521" t="s">
        <v>3570</v>
      </c>
      <c r="AF994" s="37">
        <v>0.5</v>
      </c>
      <c r="AN994" s="311"/>
      <c r="AR994" s="485"/>
      <c r="AS994" s="524"/>
      <c r="AU994" s="37">
        <v>1</v>
      </c>
      <c r="AV994" s="37">
        <v>0</v>
      </c>
    </row>
    <row r="995" s="37" customFormat="1" spans="1:48">
      <c r="A995" s="290">
        <v>991</v>
      </c>
      <c r="B995" s="290" t="s">
        <v>3577</v>
      </c>
      <c r="C995" s="37" t="s">
        <v>3580</v>
      </c>
      <c r="D995" s="37">
        <v>1</v>
      </c>
      <c r="E995" s="37">
        <v>0</v>
      </c>
      <c r="G995" s="37">
        <v>2</v>
      </c>
      <c r="H995" s="485" t="s">
        <v>3581</v>
      </c>
      <c r="I995" s="37">
        <f>220/30</f>
        <v>7.33333333333333</v>
      </c>
      <c r="J995" s="37">
        <f>220/30</f>
        <v>7.33333333333333</v>
      </c>
      <c r="L995" s="37">
        <v>1</v>
      </c>
      <c r="M995" s="37">
        <f>220/30-0.4</f>
        <v>6.93333333333333</v>
      </c>
      <c r="O995" s="37">
        <v>0</v>
      </c>
      <c r="P995" s="290">
        <v>0</v>
      </c>
      <c r="Q995" s="37">
        <v>0</v>
      </c>
      <c r="R995" s="37">
        <v>0</v>
      </c>
      <c r="V995" s="37">
        <v>1</v>
      </c>
      <c r="W995" s="290">
        <v>6</v>
      </c>
      <c r="X995" s="303">
        <v>1</v>
      </c>
      <c r="Y995" s="37">
        <v>-0.1</v>
      </c>
      <c r="Z995" s="37">
        <v>0</v>
      </c>
      <c r="AB995" s="37">
        <f>220/30-0.3</f>
        <v>7.03333333333333</v>
      </c>
      <c r="AC995" s="37">
        <v>2</v>
      </c>
      <c r="AD995" s="37">
        <v>1</v>
      </c>
      <c r="AE995" s="521" t="s">
        <v>3582</v>
      </c>
      <c r="AF995" s="37">
        <v>0.5</v>
      </c>
      <c r="AN995" s="311"/>
      <c r="AR995" s="485"/>
      <c r="AS995" s="524"/>
      <c r="AU995" s="37">
        <v>1</v>
      </c>
      <c r="AV995" s="37">
        <v>0</v>
      </c>
    </row>
    <row r="996" spans="1:45">
      <c r="A996" s="229">
        <v>992</v>
      </c>
      <c r="B996" s="229" t="s">
        <v>3583</v>
      </c>
      <c r="C996" s="28" t="s">
        <v>526</v>
      </c>
      <c r="D996" s="28">
        <v>1</v>
      </c>
      <c r="E996" s="28">
        <v>0</v>
      </c>
      <c r="G996" s="28">
        <v>1</v>
      </c>
      <c r="H996" s="5" t="s">
        <v>3584</v>
      </c>
      <c r="I996">
        <f>92/30</f>
        <v>3.06666666666667</v>
      </c>
      <c r="J996">
        <f>92/30</f>
        <v>3.06666666666667</v>
      </c>
      <c r="L996" s="28">
        <v>0</v>
      </c>
      <c r="M996" s="28">
        <f t="shared" ref="M996:M1022" si="69">I996-0.4</f>
        <v>2.66666666666667</v>
      </c>
      <c r="N996" s="28" t="s">
        <v>3585</v>
      </c>
      <c r="O996" s="28">
        <v>1</v>
      </c>
      <c r="P996" s="229">
        <v>1.5</v>
      </c>
      <c r="Q996" s="28">
        <v>0</v>
      </c>
      <c r="S996">
        <v>0.35</v>
      </c>
      <c r="T996">
        <v>0.15</v>
      </c>
      <c r="U996">
        <v>0.25</v>
      </c>
      <c r="V996" s="28">
        <v>1</v>
      </c>
      <c r="W996" s="229">
        <v>0</v>
      </c>
      <c r="X996" s="218">
        <v>3</v>
      </c>
      <c r="Y996" s="37">
        <v>-0.1</v>
      </c>
      <c r="Z996" s="28">
        <v>0</v>
      </c>
      <c r="AE996" s="243"/>
      <c r="AN996" s="221" t="s">
        <v>3586</v>
      </c>
      <c r="AO996" t="s">
        <v>524</v>
      </c>
      <c r="AP996">
        <v>3743</v>
      </c>
      <c r="AQ996" t="s">
        <v>136</v>
      </c>
      <c r="AR996" s="245"/>
      <c r="AS996" s="424"/>
    </row>
    <row r="997" spans="1:45">
      <c r="A997" s="229">
        <v>993</v>
      </c>
      <c r="B997" s="229" t="s">
        <v>3583</v>
      </c>
      <c r="C997" s="28" t="s">
        <v>3587</v>
      </c>
      <c r="D997" s="28">
        <v>1</v>
      </c>
      <c r="E997" s="28">
        <v>0</v>
      </c>
      <c r="G997" s="28">
        <v>1</v>
      </c>
      <c r="H997" s="5" t="s">
        <v>3588</v>
      </c>
      <c r="I997">
        <f>75/30</f>
        <v>2.5</v>
      </c>
      <c r="J997">
        <f>75/30</f>
        <v>2.5</v>
      </c>
      <c r="L997" s="28">
        <v>1</v>
      </c>
      <c r="M997" s="28">
        <f t="shared" si="69"/>
        <v>2.1</v>
      </c>
      <c r="N997" s="28" t="s">
        <v>3589</v>
      </c>
      <c r="O997" s="28">
        <v>1</v>
      </c>
      <c r="P997" s="229">
        <v>1.5</v>
      </c>
      <c r="Q997" s="28">
        <v>0</v>
      </c>
      <c r="S997">
        <v>0.35</v>
      </c>
      <c r="T997">
        <v>0.15</v>
      </c>
      <c r="U997">
        <v>0.25</v>
      </c>
      <c r="V997" s="28">
        <v>1</v>
      </c>
      <c r="W997" s="229">
        <v>0</v>
      </c>
      <c r="X997" s="218">
        <v>7</v>
      </c>
      <c r="Y997" s="37">
        <v>-0.1</v>
      </c>
      <c r="Z997" s="28">
        <v>0</v>
      </c>
      <c r="AE997" s="243"/>
      <c r="AN997" s="221">
        <v>3749</v>
      </c>
      <c r="AO997" t="s">
        <v>1103</v>
      </c>
      <c r="AP997">
        <v>3746</v>
      </c>
      <c r="AQ997" t="s">
        <v>136</v>
      </c>
      <c r="AR997" s="245"/>
      <c r="AS997" s="424"/>
    </row>
    <row r="998" spans="1:45">
      <c r="A998" s="229">
        <v>994</v>
      </c>
      <c r="B998" s="229" t="s">
        <v>3583</v>
      </c>
      <c r="C998" s="28" t="s">
        <v>3590</v>
      </c>
      <c r="D998" s="28">
        <v>1</v>
      </c>
      <c r="E998" s="28">
        <v>0</v>
      </c>
      <c r="G998" s="28">
        <v>1</v>
      </c>
      <c r="H998" s="5" t="s">
        <v>3591</v>
      </c>
      <c r="I998">
        <f>75/30</f>
        <v>2.5</v>
      </c>
      <c r="J998">
        <f>75/30</f>
        <v>2.5</v>
      </c>
      <c r="L998" s="28">
        <v>1</v>
      </c>
      <c r="M998" s="28">
        <f t="shared" si="69"/>
        <v>2.1</v>
      </c>
      <c r="N998" s="28" t="s">
        <v>3592</v>
      </c>
      <c r="O998" s="28">
        <v>1</v>
      </c>
      <c r="P998" s="229">
        <v>1.5</v>
      </c>
      <c r="Q998" s="28">
        <v>0</v>
      </c>
      <c r="S998">
        <v>0.5</v>
      </c>
      <c r="T998">
        <v>-0.3</v>
      </c>
      <c r="U998">
        <v>1.1</v>
      </c>
      <c r="V998" s="28">
        <v>1</v>
      </c>
      <c r="W998" s="229">
        <v>8</v>
      </c>
      <c r="X998" s="218">
        <v>1</v>
      </c>
      <c r="Y998" s="37">
        <v>-0.1</v>
      </c>
      <c r="Z998" s="28">
        <v>0</v>
      </c>
      <c r="AE998" s="243"/>
      <c r="AN998" s="221"/>
      <c r="AP998">
        <v>3753</v>
      </c>
      <c r="AQ998" t="s">
        <v>136</v>
      </c>
      <c r="AR998" s="245"/>
      <c r="AS998" s="424"/>
    </row>
    <row r="999" spans="1:45">
      <c r="A999" s="229">
        <v>995</v>
      </c>
      <c r="B999" s="229" t="s">
        <v>3583</v>
      </c>
      <c r="C999" s="28" t="s">
        <v>3593</v>
      </c>
      <c r="D999" s="28">
        <v>2</v>
      </c>
      <c r="E999">
        <v>1</v>
      </c>
      <c r="G999" s="28">
        <v>1</v>
      </c>
      <c r="H999" s="5" t="s">
        <v>3594</v>
      </c>
      <c r="I999">
        <f>76/30</f>
        <v>2.53333333333333</v>
      </c>
      <c r="J999">
        <f>76/30</f>
        <v>2.53333333333333</v>
      </c>
      <c r="L999" s="28">
        <v>0</v>
      </c>
      <c r="M999" s="28">
        <f t="shared" si="69"/>
        <v>2.13333333333333</v>
      </c>
      <c r="N999" s="28" t="s">
        <v>3595</v>
      </c>
      <c r="O999" s="28">
        <v>5</v>
      </c>
      <c r="P999" s="229">
        <v>1.5</v>
      </c>
      <c r="Q999" s="28">
        <v>0</v>
      </c>
      <c r="S999">
        <v>0.35</v>
      </c>
      <c r="T999">
        <v>0.15</v>
      </c>
      <c r="U999">
        <v>0.25</v>
      </c>
      <c r="V999" s="28">
        <v>1000</v>
      </c>
      <c r="W999" s="229">
        <v>0</v>
      </c>
      <c r="X999" s="218">
        <v>0</v>
      </c>
      <c r="Y999" s="37">
        <v>-0.1</v>
      </c>
      <c r="Z999" s="28">
        <v>0</v>
      </c>
      <c r="AE999" s="243"/>
      <c r="AN999" s="221"/>
      <c r="AP999">
        <v>3756</v>
      </c>
      <c r="AQ999" t="s">
        <v>136</v>
      </c>
      <c r="AR999" s="245"/>
      <c r="AS999" s="424"/>
    </row>
    <row r="1000" spans="1:47">
      <c r="A1000" s="229">
        <v>996</v>
      </c>
      <c r="B1000" s="229" t="s">
        <v>3583</v>
      </c>
      <c r="C1000" s="28" t="s">
        <v>3596</v>
      </c>
      <c r="D1000" s="28">
        <v>1</v>
      </c>
      <c r="E1000" s="28">
        <v>0</v>
      </c>
      <c r="G1000" s="28">
        <v>1</v>
      </c>
      <c r="H1000" s="5" t="s">
        <v>3597</v>
      </c>
      <c r="I1000">
        <f>400/30</f>
        <v>13.3333333333333</v>
      </c>
      <c r="J1000">
        <f>400/30</f>
        <v>13.3333333333333</v>
      </c>
      <c r="L1000" s="28">
        <v>1</v>
      </c>
      <c r="M1000" s="28">
        <f t="shared" si="69"/>
        <v>12.9333333333333</v>
      </c>
      <c r="N1000" s="28" t="s">
        <v>3598</v>
      </c>
      <c r="O1000" s="28">
        <v>1</v>
      </c>
      <c r="P1000" s="229">
        <v>10</v>
      </c>
      <c r="Q1000" s="28">
        <v>0</v>
      </c>
      <c r="V1000" s="28">
        <v>1</v>
      </c>
      <c r="W1000" s="229">
        <v>6</v>
      </c>
      <c r="X1000" s="218">
        <v>8</v>
      </c>
      <c r="Y1000" s="37">
        <v>-0.1</v>
      </c>
      <c r="Z1000" s="28">
        <v>0</v>
      </c>
      <c r="AB1000" s="28">
        <f t="shared" ref="AB1000:AB1004" si="70">I1000-0.3</f>
        <v>13.0333333333333</v>
      </c>
      <c r="AC1000">
        <v>1</v>
      </c>
      <c r="AD1000">
        <v>1</v>
      </c>
      <c r="AE1000" s="243" t="s">
        <v>3599</v>
      </c>
      <c r="AF1000">
        <v>0.5</v>
      </c>
      <c r="AN1000" s="221"/>
      <c r="AP1000">
        <v>3775</v>
      </c>
      <c r="AQ1000" t="s">
        <v>136</v>
      </c>
      <c r="AR1000" s="245"/>
      <c r="AS1000" s="424"/>
      <c r="AU1000">
        <v>1</v>
      </c>
    </row>
    <row r="1001" spans="1:45">
      <c r="A1001" s="229">
        <v>997</v>
      </c>
      <c r="B1001" s="229" t="s">
        <v>3583</v>
      </c>
      <c r="C1001" s="28" t="s">
        <v>526</v>
      </c>
      <c r="D1001" s="28">
        <v>1</v>
      </c>
      <c r="E1001" s="28">
        <v>0</v>
      </c>
      <c r="G1001" s="28">
        <v>1</v>
      </c>
      <c r="H1001" s="5" t="s">
        <v>3600</v>
      </c>
      <c r="I1001" s="28">
        <f>93/30</f>
        <v>3.1</v>
      </c>
      <c r="J1001" s="28">
        <f>93/30</f>
        <v>3.1</v>
      </c>
      <c r="L1001" s="28">
        <v>0</v>
      </c>
      <c r="M1001" s="28">
        <f t="shared" si="69"/>
        <v>2.7</v>
      </c>
      <c r="N1001" s="28" t="s">
        <v>3601</v>
      </c>
      <c r="O1001" s="28">
        <v>1</v>
      </c>
      <c r="P1001" s="229">
        <v>2.2</v>
      </c>
      <c r="Q1001" s="28">
        <v>0</v>
      </c>
      <c r="S1001">
        <v>1</v>
      </c>
      <c r="T1001">
        <v>0.9</v>
      </c>
      <c r="U1001">
        <v>1</v>
      </c>
      <c r="V1001" s="28">
        <v>1</v>
      </c>
      <c r="W1001" s="229">
        <v>0</v>
      </c>
      <c r="X1001" s="218">
        <v>3</v>
      </c>
      <c r="Y1001" s="37">
        <v>-0.1</v>
      </c>
      <c r="Z1001" s="28">
        <v>0</v>
      </c>
      <c r="AE1001" s="243"/>
      <c r="AN1001" s="221" t="s">
        <v>3602</v>
      </c>
      <c r="AO1001" t="s">
        <v>2127</v>
      </c>
      <c r="AP1001">
        <v>3758</v>
      </c>
      <c r="AQ1001" t="s">
        <v>136</v>
      </c>
      <c r="AR1001" s="245"/>
      <c r="AS1001" s="424"/>
    </row>
    <row r="1002" spans="1:47">
      <c r="A1002" s="229">
        <v>998</v>
      </c>
      <c r="B1002" s="229" t="s">
        <v>3583</v>
      </c>
      <c r="C1002" s="28" t="s">
        <v>3603</v>
      </c>
      <c r="D1002" s="28">
        <v>1</v>
      </c>
      <c r="E1002" s="28">
        <v>0</v>
      </c>
      <c r="G1002" s="28">
        <v>1</v>
      </c>
      <c r="H1002" s="5" t="s">
        <v>3604</v>
      </c>
      <c r="I1002" s="28">
        <f>420/30</f>
        <v>14</v>
      </c>
      <c r="J1002" s="28">
        <f>420/30</f>
        <v>14</v>
      </c>
      <c r="L1002" s="28">
        <v>1</v>
      </c>
      <c r="M1002" s="28">
        <f t="shared" si="69"/>
        <v>13.6</v>
      </c>
      <c r="N1002" s="28" t="s">
        <v>3605</v>
      </c>
      <c r="O1002" s="28">
        <v>1</v>
      </c>
      <c r="P1002" s="229">
        <v>6</v>
      </c>
      <c r="Q1002" s="28">
        <v>0</v>
      </c>
      <c r="V1002" s="28">
        <v>1</v>
      </c>
      <c r="W1002" s="229">
        <v>6</v>
      </c>
      <c r="X1002" s="218">
        <v>2</v>
      </c>
      <c r="Y1002" s="37">
        <v>-0.1</v>
      </c>
      <c r="Z1002" s="28">
        <v>0</v>
      </c>
      <c r="AB1002" s="28">
        <f t="shared" si="70"/>
        <v>13.7</v>
      </c>
      <c r="AC1002">
        <v>2</v>
      </c>
      <c r="AD1002">
        <v>1</v>
      </c>
      <c r="AE1002" s="243" t="s">
        <v>3606</v>
      </c>
      <c r="AF1002">
        <v>0.5</v>
      </c>
      <c r="AN1002" s="221"/>
      <c r="AP1002">
        <v>3757</v>
      </c>
      <c r="AQ1002" t="s">
        <v>136</v>
      </c>
      <c r="AR1002" s="245"/>
      <c r="AS1002" s="424"/>
      <c r="AU1002">
        <v>1</v>
      </c>
    </row>
    <row r="1003" spans="1:45">
      <c r="A1003" s="229">
        <v>999</v>
      </c>
      <c r="B1003" s="229" t="s">
        <v>3583</v>
      </c>
      <c r="C1003" s="28" t="s">
        <v>3607</v>
      </c>
      <c r="D1003" s="28">
        <v>1</v>
      </c>
      <c r="E1003" s="28">
        <v>0</v>
      </c>
      <c r="G1003" s="28">
        <v>1</v>
      </c>
      <c r="H1003" s="5" t="s">
        <v>3608</v>
      </c>
      <c r="I1003">
        <f>86/30</f>
        <v>2.86666666666667</v>
      </c>
      <c r="J1003">
        <f>86/30</f>
        <v>2.86666666666667</v>
      </c>
      <c r="L1003" s="28">
        <v>1</v>
      </c>
      <c r="M1003" s="28">
        <f t="shared" si="69"/>
        <v>2.46666666666667</v>
      </c>
      <c r="N1003" s="28" t="s">
        <v>3609</v>
      </c>
      <c r="O1003" s="28">
        <v>1</v>
      </c>
      <c r="P1003" s="229">
        <v>2.2</v>
      </c>
      <c r="Q1003" s="28">
        <v>0</v>
      </c>
      <c r="S1003">
        <v>1.1</v>
      </c>
      <c r="T1003">
        <v>-0.4</v>
      </c>
      <c r="U1003">
        <v>1</v>
      </c>
      <c r="V1003" s="28">
        <v>1</v>
      </c>
      <c r="W1003" s="229">
        <v>6</v>
      </c>
      <c r="X1003" s="218">
        <v>1</v>
      </c>
      <c r="Y1003" s="37">
        <v>-0.1</v>
      </c>
      <c r="Z1003" s="28">
        <v>0</v>
      </c>
      <c r="AE1003" s="243"/>
      <c r="AN1003" s="221"/>
      <c r="AP1003">
        <v>3763</v>
      </c>
      <c r="AQ1003" t="s">
        <v>136</v>
      </c>
      <c r="AR1003" s="245"/>
      <c r="AS1003" s="424"/>
    </row>
    <row r="1004" spans="1:47">
      <c r="A1004" s="229">
        <v>1000</v>
      </c>
      <c r="B1004" s="229" t="s">
        <v>3583</v>
      </c>
      <c r="C1004" s="28" t="s">
        <v>3610</v>
      </c>
      <c r="D1004" s="28">
        <v>1</v>
      </c>
      <c r="E1004" s="28">
        <v>0</v>
      </c>
      <c r="G1004" s="28">
        <v>1</v>
      </c>
      <c r="H1004" s="5" t="s">
        <v>3611</v>
      </c>
      <c r="I1004">
        <f>290/30</f>
        <v>9.66666666666667</v>
      </c>
      <c r="J1004">
        <f>290/30</f>
        <v>9.66666666666667</v>
      </c>
      <c r="L1004" s="28">
        <v>1</v>
      </c>
      <c r="M1004" s="28">
        <f t="shared" si="69"/>
        <v>9.26666666666667</v>
      </c>
      <c r="N1004" t="s">
        <v>3612</v>
      </c>
      <c r="O1004" s="28">
        <v>1</v>
      </c>
      <c r="P1004" s="229">
        <v>8</v>
      </c>
      <c r="Q1004" s="28">
        <v>0</v>
      </c>
      <c r="V1004" s="28">
        <v>1</v>
      </c>
      <c r="W1004" s="229">
        <v>0</v>
      </c>
      <c r="X1004" s="218">
        <v>4</v>
      </c>
      <c r="Y1004" s="37">
        <v>-0.1</v>
      </c>
      <c r="Z1004" s="28">
        <v>0</v>
      </c>
      <c r="AB1004" s="28">
        <f t="shared" si="70"/>
        <v>9.36666666666667</v>
      </c>
      <c r="AC1004">
        <v>2</v>
      </c>
      <c r="AD1004">
        <v>1</v>
      </c>
      <c r="AE1004" s="243" t="s">
        <v>3613</v>
      </c>
      <c r="AF1004">
        <v>0.5</v>
      </c>
      <c r="AN1004" s="221" t="s">
        <v>3614</v>
      </c>
      <c r="AO1004" t="s">
        <v>3615</v>
      </c>
      <c r="AP1004">
        <v>3765</v>
      </c>
      <c r="AQ1004" t="s">
        <v>136</v>
      </c>
      <c r="AR1004" s="245"/>
      <c r="AS1004" s="424"/>
      <c r="AU1004">
        <v>1</v>
      </c>
    </row>
    <row r="1005" spans="1:45">
      <c r="A1005" s="437">
        <v>1001</v>
      </c>
      <c r="B1005" s="369" t="s">
        <v>2608</v>
      </c>
      <c r="C1005" s="45" t="s">
        <v>3616</v>
      </c>
      <c r="D1005" s="45">
        <v>1</v>
      </c>
      <c r="E1005" s="45">
        <v>0</v>
      </c>
      <c r="G1005" s="45">
        <v>1</v>
      </c>
      <c r="H1005" s="391" t="s">
        <v>3617</v>
      </c>
      <c r="I1005" s="45">
        <v>4.66666666666667</v>
      </c>
      <c r="J1005" s="45">
        <v>4.66666666666667</v>
      </c>
      <c r="L1005" s="45">
        <v>1</v>
      </c>
      <c r="M1005" s="28">
        <f t="shared" si="69"/>
        <v>4.26666666666667</v>
      </c>
      <c r="N1005" s="45" t="s">
        <v>3618</v>
      </c>
      <c r="O1005" s="45">
        <v>1</v>
      </c>
      <c r="P1005" s="369">
        <v>4.7</v>
      </c>
      <c r="Q1005" s="369">
        <v>0</v>
      </c>
      <c r="R1005" s="369"/>
      <c r="S1005" s="369">
        <v>-0.5</v>
      </c>
      <c r="T1005" s="369">
        <v>-0.3</v>
      </c>
      <c r="U1005" s="369">
        <v>3.6</v>
      </c>
      <c r="V1005" s="369">
        <v>1</v>
      </c>
      <c r="W1005" s="437">
        <v>6</v>
      </c>
      <c r="X1005" s="379">
        <v>1</v>
      </c>
      <c r="Y1005" s="37">
        <v>-0.1</v>
      </c>
      <c r="Z1005" s="45">
        <v>0</v>
      </c>
      <c r="AB1005" s="45"/>
      <c r="AE1005" s="384"/>
      <c r="AN1005" s="354">
        <v>3787</v>
      </c>
      <c r="AO1005" s="45" t="s">
        <v>3619</v>
      </c>
      <c r="AP1005" s="45">
        <v>3785</v>
      </c>
      <c r="AQ1005" s="45" t="s">
        <v>136</v>
      </c>
      <c r="AR1005" s="391"/>
      <c r="AS1005" s="471"/>
    </row>
    <row r="1006" s="28" customFormat="1" spans="1:47">
      <c r="A1006" s="229">
        <v>1002</v>
      </c>
      <c r="B1006" s="411" t="s">
        <v>2466</v>
      </c>
      <c r="C1006" s="28" t="s">
        <v>3620</v>
      </c>
      <c r="D1006" s="28">
        <v>1</v>
      </c>
      <c r="E1006" s="28">
        <v>0</v>
      </c>
      <c r="G1006" s="28">
        <v>1</v>
      </c>
      <c r="H1006" s="245" t="s">
        <v>3621</v>
      </c>
      <c r="I1006" s="28">
        <f>450/30</f>
        <v>15</v>
      </c>
      <c r="J1006" s="28">
        <f>450/30</f>
        <v>15</v>
      </c>
      <c r="L1006" s="28">
        <v>1</v>
      </c>
      <c r="M1006" s="28">
        <f t="shared" si="69"/>
        <v>14.6</v>
      </c>
      <c r="N1006" s="28" t="s">
        <v>3622</v>
      </c>
      <c r="O1006" s="28">
        <v>3</v>
      </c>
      <c r="P1006" s="411">
        <v>-20</v>
      </c>
      <c r="Q1006" s="411">
        <v>0</v>
      </c>
      <c r="T1006" s="411"/>
      <c r="U1006" s="411"/>
      <c r="V1006" s="411">
        <v>1</v>
      </c>
      <c r="W1006" s="229">
        <v>6</v>
      </c>
      <c r="X1006" s="218">
        <v>3</v>
      </c>
      <c r="Y1006" s="1">
        <v>-0.1</v>
      </c>
      <c r="Z1006" s="28">
        <v>0</v>
      </c>
      <c r="AB1006" s="1">
        <f>I1006-0.3</f>
        <v>14.7</v>
      </c>
      <c r="AC1006" s="28">
        <v>2</v>
      </c>
      <c r="AD1006" s="28">
        <v>1</v>
      </c>
      <c r="AE1006" s="243" t="s">
        <v>3623</v>
      </c>
      <c r="AF1006" s="28">
        <v>0.5</v>
      </c>
      <c r="AN1006" s="221" t="s">
        <v>3624</v>
      </c>
      <c r="AO1006" s="28" t="s">
        <v>524</v>
      </c>
      <c r="AP1006" s="28">
        <v>3835</v>
      </c>
      <c r="AQ1006" s="45" t="s">
        <v>136</v>
      </c>
      <c r="AR1006" s="245"/>
      <c r="AS1006" s="424"/>
      <c r="AU1006" s="28">
        <v>1</v>
      </c>
    </row>
    <row r="1007" s="28" customFormat="1" spans="1:45">
      <c r="A1007" s="229">
        <v>1003</v>
      </c>
      <c r="B1007" s="411" t="s">
        <v>2466</v>
      </c>
      <c r="C1007" s="28" t="s">
        <v>3625</v>
      </c>
      <c r="D1007" s="28">
        <v>1</v>
      </c>
      <c r="E1007" s="28">
        <v>0</v>
      </c>
      <c r="G1007" s="28">
        <v>1</v>
      </c>
      <c r="H1007" s="245" t="s">
        <v>3626</v>
      </c>
      <c r="I1007" s="28">
        <f>122/30</f>
        <v>4.06666666666667</v>
      </c>
      <c r="J1007" s="28">
        <f>122/30</f>
        <v>4.06666666666667</v>
      </c>
      <c r="L1007" s="28">
        <v>1</v>
      </c>
      <c r="M1007" s="28">
        <f t="shared" si="69"/>
        <v>3.66666666666667</v>
      </c>
      <c r="N1007" s="28" t="s">
        <v>3627</v>
      </c>
      <c r="O1007" s="1">
        <v>1</v>
      </c>
      <c r="P1007" s="1">
        <v>2.78</v>
      </c>
      <c r="Q1007" s="411">
        <v>0</v>
      </c>
      <c r="R1007" s="411"/>
      <c r="S1007" s="1">
        <v>-0.8</v>
      </c>
      <c r="T1007" s="1">
        <v>-0.5</v>
      </c>
      <c r="U1007" s="1">
        <v>1.5</v>
      </c>
      <c r="V1007" s="411">
        <v>1</v>
      </c>
      <c r="W1007" s="229">
        <v>6</v>
      </c>
      <c r="X1007" s="218">
        <v>3</v>
      </c>
      <c r="Y1007" s="1">
        <v>-0.1</v>
      </c>
      <c r="Z1007" s="28">
        <v>0</v>
      </c>
      <c r="AB1007" s="1"/>
      <c r="AE1007" s="243"/>
      <c r="AN1007" s="221"/>
      <c r="AP1007" s="28">
        <v>3838</v>
      </c>
      <c r="AQ1007" s="45" t="s">
        <v>136</v>
      </c>
      <c r="AR1007" s="245"/>
      <c r="AS1007" s="424"/>
    </row>
    <row r="1008" s="27" customFormat="1" ht="18" customHeight="1" spans="1:45">
      <c r="A1008" s="229">
        <v>1004</v>
      </c>
      <c r="B1008" s="516" t="s">
        <v>3628</v>
      </c>
      <c r="C1008" s="27" t="s">
        <v>3629</v>
      </c>
      <c r="D1008" s="27">
        <v>1</v>
      </c>
      <c r="E1008" s="27">
        <v>0</v>
      </c>
      <c r="G1008" s="27">
        <v>1</v>
      </c>
      <c r="H1008" s="5" t="s">
        <v>3630</v>
      </c>
      <c r="I1008" s="27">
        <v>3.9</v>
      </c>
      <c r="J1008" s="27">
        <v>3.9</v>
      </c>
      <c r="L1008" s="27">
        <v>0</v>
      </c>
      <c r="M1008" s="28">
        <f t="shared" si="69"/>
        <v>3.5</v>
      </c>
      <c r="N1008" s="519" t="s">
        <v>3631</v>
      </c>
      <c r="O1008" s="27">
        <v>1</v>
      </c>
      <c r="P1008" s="27">
        <v>3.75</v>
      </c>
      <c r="Q1008" s="516">
        <v>0</v>
      </c>
      <c r="R1008" s="516"/>
      <c r="S1008" s="375">
        <v>0.55</v>
      </c>
      <c r="T1008" s="375">
        <v>0.3</v>
      </c>
      <c r="U1008" s="375">
        <v>2.3</v>
      </c>
      <c r="V1008" s="516">
        <v>1</v>
      </c>
      <c r="W1008" s="492">
        <v>0</v>
      </c>
      <c r="X1008" s="217">
        <v>3</v>
      </c>
      <c r="Y1008" s="1">
        <v>-0.1</v>
      </c>
      <c r="Z1008" s="27">
        <v>0</v>
      </c>
      <c r="AE1008" s="520"/>
      <c r="AN1008" s="213"/>
      <c r="AP1008" s="27">
        <v>3843</v>
      </c>
      <c r="AQ1008" s="27" t="s">
        <v>136</v>
      </c>
      <c r="AR1008" s="494"/>
      <c r="AS1008" s="519"/>
    </row>
    <row r="1009" s="27" customFormat="1" spans="1:45">
      <c r="A1009" s="229">
        <v>1005</v>
      </c>
      <c r="B1009" s="516" t="s">
        <v>3628</v>
      </c>
      <c r="C1009" s="27" t="s">
        <v>3632</v>
      </c>
      <c r="D1009" s="27">
        <v>1</v>
      </c>
      <c r="E1009" s="27">
        <v>0</v>
      </c>
      <c r="G1009" s="27">
        <v>1</v>
      </c>
      <c r="H1009" s="5" t="s">
        <v>3633</v>
      </c>
      <c r="I1009" s="27">
        <v>5.16666666666667</v>
      </c>
      <c r="J1009" s="27">
        <v>5.16666666666667</v>
      </c>
      <c r="L1009" s="27">
        <v>1</v>
      </c>
      <c r="M1009" s="28">
        <f t="shared" si="69"/>
        <v>4.76666666666667</v>
      </c>
      <c r="N1009" s="27" t="s">
        <v>3634</v>
      </c>
      <c r="O1009" s="27">
        <v>1</v>
      </c>
      <c r="P1009" s="27">
        <v>3.75</v>
      </c>
      <c r="Q1009" s="516">
        <v>0</v>
      </c>
      <c r="R1009" s="516"/>
      <c r="S1009" s="375">
        <v>0.55</v>
      </c>
      <c r="T1009" s="375">
        <v>0.3</v>
      </c>
      <c r="U1009" s="375">
        <v>2.3</v>
      </c>
      <c r="V1009" s="516">
        <v>1</v>
      </c>
      <c r="W1009" s="492">
        <v>0</v>
      </c>
      <c r="X1009" s="27">
        <v>2</v>
      </c>
      <c r="Y1009" s="1">
        <v>-0.1</v>
      </c>
      <c r="Z1009" s="27">
        <v>0</v>
      </c>
      <c r="AE1009" s="520"/>
      <c r="AN1009" s="213">
        <v>3846</v>
      </c>
      <c r="AO1009" s="27" t="s">
        <v>2726</v>
      </c>
      <c r="AP1009" s="27">
        <v>3844</v>
      </c>
      <c r="AQ1009" s="27" t="s">
        <v>136</v>
      </c>
      <c r="AR1009" s="494"/>
      <c r="AS1009" s="519"/>
    </row>
    <row r="1010" s="27" customFormat="1" spans="1:45">
      <c r="A1010" s="229">
        <v>1006</v>
      </c>
      <c r="B1010" s="516" t="s">
        <v>3628</v>
      </c>
      <c r="C1010" s="27" t="s">
        <v>3635</v>
      </c>
      <c r="D1010" s="27">
        <v>1</v>
      </c>
      <c r="E1010" s="27">
        <v>0</v>
      </c>
      <c r="G1010" s="27">
        <v>1</v>
      </c>
      <c r="H1010" s="5" t="s">
        <v>3636</v>
      </c>
      <c r="I1010" s="27">
        <v>5.5</v>
      </c>
      <c r="J1010" s="27">
        <v>5.5</v>
      </c>
      <c r="L1010" s="27">
        <v>1</v>
      </c>
      <c r="M1010" s="28">
        <f t="shared" si="69"/>
        <v>5.1</v>
      </c>
      <c r="N1010" s="27" t="s">
        <v>3637</v>
      </c>
      <c r="O1010" s="27">
        <v>1</v>
      </c>
      <c r="P1010" s="27">
        <v>3.75</v>
      </c>
      <c r="Q1010" s="516">
        <v>0</v>
      </c>
      <c r="R1010" s="516"/>
      <c r="S1010" s="375">
        <v>-0.9</v>
      </c>
      <c r="T1010" s="375">
        <v>-1.1</v>
      </c>
      <c r="U1010" s="375">
        <v>3</v>
      </c>
      <c r="V1010" s="516">
        <v>1</v>
      </c>
      <c r="W1010" s="492">
        <v>6</v>
      </c>
      <c r="X1010" s="217">
        <v>3</v>
      </c>
      <c r="Y1010" s="1">
        <v>-0.1</v>
      </c>
      <c r="Z1010" s="27">
        <v>0</v>
      </c>
      <c r="AE1010" s="520"/>
      <c r="AN1010" s="213">
        <v>3851</v>
      </c>
      <c r="AO1010" s="27" t="s">
        <v>2726</v>
      </c>
      <c r="AP1010" s="27">
        <v>3847</v>
      </c>
      <c r="AQ1010" s="27" t="s">
        <v>136</v>
      </c>
      <c r="AR1010" s="494"/>
      <c r="AS1010" s="519"/>
    </row>
    <row r="1011" s="27" customFormat="1" spans="1:47">
      <c r="A1011" s="229">
        <v>1007</v>
      </c>
      <c r="B1011" s="516" t="s">
        <v>3628</v>
      </c>
      <c r="C1011" s="27" t="s">
        <v>3638</v>
      </c>
      <c r="D1011" s="27">
        <v>1</v>
      </c>
      <c r="E1011" s="27">
        <v>0</v>
      </c>
      <c r="G1011" s="27">
        <v>1</v>
      </c>
      <c r="H1011" s="5" t="s">
        <v>3639</v>
      </c>
      <c r="I1011" s="27">
        <f>330/30</f>
        <v>11</v>
      </c>
      <c r="J1011" s="27">
        <f>330/30</f>
        <v>11</v>
      </c>
      <c r="L1011" s="27">
        <v>1</v>
      </c>
      <c r="M1011" s="28">
        <f t="shared" si="69"/>
        <v>10.6</v>
      </c>
      <c r="N1011" s="27" t="s">
        <v>3640</v>
      </c>
      <c r="O1011" s="27">
        <v>1</v>
      </c>
      <c r="P1011" s="27">
        <v>12</v>
      </c>
      <c r="Q1011" s="516">
        <v>0</v>
      </c>
      <c r="R1011" s="516"/>
      <c r="V1011" s="516">
        <v>1</v>
      </c>
      <c r="W1011" s="492">
        <v>6</v>
      </c>
      <c r="X1011" s="217">
        <v>1</v>
      </c>
      <c r="Y1011" s="1">
        <v>-0.1</v>
      </c>
      <c r="Z1011" s="27">
        <v>0</v>
      </c>
      <c r="AB1011" s="1">
        <f>I1011-0.3</f>
        <v>10.7</v>
      </c>
      <c r="AC1011" s="27">
        <v>2</v>
      </c>
      <c r="AD1011" s="27">
        <v>1</v>
      </c>
      <c r="AE1011" s="520" t="s">
        <v>3641</v>
      </c>
      <c r="AF1011" s="27">
        <v>0.5</v>
      </c>
      <c r="AP1011" s="27">
        <v>3852</v>
      </c>
      <c r="AQ1011" s="27" t="s">
        <v>136</v>
      </c>
      <c r="AR1011" s="494"/>
      <c r="AS1011" s="519"/>
      <c r="AU1011" s="27">
        <v>1</v>
      </c>
    </row>
    <row r="1012" s="27" customFormat="1" spans="1:47">
      <c r="A1012" s="229">
        <v>1008</v>
      </c>
      <c r="B1012" s="516" t="s">
        <v>3628</v>
      </c>
      <c r="C1012" s="27" t="s">
        <v>3578</v>
      </c>
      <c r="D1012" s="27">
        <v>1</v>
      </c>
      <c r="E1012" s="27">
        <v>0</v>
      </c>
      <c r="G1012" s="27">
        <v>1</v>
      </c>
      <c r="H1012" s="5" t="s">
        <v>3642</v>
      </c>
      <c r="I1012" s="27">
        <v>5.23333333333333</v>
      </c>
      <c r="J1012" s="27">
        <v>5.23333333333333</v>
      </c>
      <c r="L1012" s="27">
        <v>0</v>
      </c>
      <c r="M1012" s="28">
        <f t="shared" si="69"/>
        <v>4.83333333333333</v>
      </c>
      <c r="N1012" s="27" t="s">
        <v>3643</v>
      </c>
      <c r="O1012" s="27">
        <v>0</v>
      </c>
      <c r="P1012" s="27">
        <v>0</v>
      </c>
      <c r="Q1012" s="516">
        <v>0</v>
      </c>
      <c r="R1012" s="516"/>
      <c r="V1012" s="516">
        <v>1</v>
      </c>
      <c r="W1012" s="492">
        <v>6</v>
      </c>
      <c r="X1012" s="217">
        <v>1</v>
      </c>
      <c r="Y1012" s="1">
        <v>-0.1</v>
      </c>
      <c r="Z1012" s="27">
        <v>0</v>
      </c>
      <c r="AD1012" s="27">
        <v>1</v>
      </c>
      <c r="AE1012" s="520" t="s">
        <v>3644</v>
      </c>
      <c r="AF1012" s="27">
        <v>4</v>
      </c>
      <c r="AN1012" s="213"/>
      <c r="AP1012" s="27">
        <v>3881</v>
      </c>
      <c r="AQ1012" s="27" t="s">
        <v>136</v>
      </c>
      <c r="AR1012" s="494"/>
      <c r="AS1012" s="519"/>
      <c r="AU1012" s="27">
        <v>1</v>
      </c>
    </row>
    <row r="1013" s="27" customFormat="1" spans="1:47">
      <c r="A1013" s="229">
        <v>1009</v>
      </c>
      <c r="B1013" s="516" t="s">
        <v>3628</v>
      </c>
      <c r="C1013" s="27" t="s">
        <v>3580</v>
      </c>
      <c r="D1013" s="27">
        <v>1</v>
      </c>
      <c r="E1013" s="27">
        <v>0</v>
      </c>
      <c r="G1013" s="27">
        <v>1</v>
      </c>
      <c r="H1013" s="5" t="s">
        <v>3645</v>
      </c>
      <c r="I1013" s="27">
        <v>7.33333333333333</v>
      </c>
      <c r="J1013" s="27">
        <v>7.33333333333333</v>
      </c>
      <c r="L1013" s="27">
        <v>1</v>
      </c>
      <c r="M1013" s="28">
        <f t="shared" si="69"/>
        <v>6.93333333333333</v>
      </c>
      <c r="N1013" s="27" t="s">
        <v>3646</v>
      </c>
      <c r="O1013" s="27">
        <v>0</v>
      </c>
      <c r="P1013" s="27">
        <v>0</v>
      </c>
      <c r="Q1013" s="516">
        <v>0</v>
      </c>
      <c r="R1013" s="516"/>
      <c r="V1013" s="516">
        <v>1</v>
      </c>
      <c r="W1013" s="492">
        <v>6</v>
      </c>
      <c r="X1013" s="217">
        <v>1</v>
      </c>
      <c r="Y1013" s="1">
        <v>-0.1</v>
      </c>
      <c r="Z1013" s="27">
        <v>0</v>
      </c>
      <c r="AD1013" s="27">
        <v>1</v>
      </c>
      <c r="AE1013" s="520" t="s">
        <v>3647</v>
      </c>
      <c r="AF1013" s="27">
        <v>4</v>
      </c>
      <c r="AN1013" s="213"/>
      <c r="AP1013" s="27">
        <v>3869</v>
      </c>
      <c r="AQ1013" s="27" t="s">
        <v>136</v>
      </c>
      <c r="AR1013" s="494"/>
      <c r="AS1013" s="519"/>
      <c r="AU1013" s="27">
        <v>1</v>
      </c>
    </row>
    <row r="1014" s="27" customFormat="1" spans="1:47">
      <c r="A1014" s="229">
        <v>1010</v>
      </c>
      <c r="B1014" s="516" t="s">
        <v>3628</v>
      </c>
      <c r="C1014" s="27" t="s">
        <v>3648</v>
      </c>
      <c r="D1014" s="27">
        <v>1</v>
      </c>
      <c r="E1014" s="27">
        <v>0</v>
      </c>
      <c r="G1014" s="27">
        <v>1</v>
      </c>
      <c r="H1014" s="5" t="s">
        <v>3649</v>
      </c>
      <c r="I1014" s="27">
        <v>6.33333333333333</v>
      </c>
      <c r="J1014" s="27">
        <v>6.33333333333333</v>
      </c>
      <c r="L1014" s="27">
        <v>1</v>
      </c>
      <c r="M1014" s="28">
        <f t="shared" si="69"/>
        <v>5.93333333333333</v>
      </c>
      <c r="N1014" s="27" t="s">
        <v>3650</v>
      </c>
      <c r="O1014" s="27">
        <v>0</v>
      </c>
      <c r="P1014" s="27">
        <v>0</v>
      </c>
      <c r="Q1014" s="516">
        <v>0</v>
      </c>
      <c r="R1014" s="516"/>
      <c r="V1014" s="516">
        <v>1</v>
      </c>
      <c r="W1014" s="492">
        <v>6</v>
      </c>
      <c r="X1014" s="217">
        <v>7</v>
      </c>
      <c r="Y1014" s="1">
        <v>-0.1</v>
      </c>
      <c r="Z1014" s="27">
        <v>0</v>
      </c>
      <c r="AD1014" s="27">
        <v>1</v>
      </c>
      <c r="AE1014" s="520" t="s">
        <v>3651</v>
      </c>
      <c r="AF1014" s="27">
        <v>4</v>
      </c>
      <c r="AN1014" s="213">
        <v>3883</v>
      </c>
      <c r="AO1014" s="27" t="s">
        <v>3652</v>
      </c>
      <c r="AP1014" s="27">
        <v>3882</v>
      </c>
      <c r="AQ1014" s="27" t="s">
        <v>136</v>
      </c>
      <c r="AR1014" s="494"/>
      <c r="AS1014" s="519"/>
      <c r="AU1014" s="27">
        <v>1</v>
      </c>
    </row>
    <row r="1015" s="27" customFormat="1" spans="1:47">
      <c r="A1015" s="229">
        <v>1011</v>
      </c>
      <c r="B1015" s="516" t="s">
        <v>3628</v>
      </c>
      <c r="C1015" s="27" t="s">
        <v>3653</v>
      </c>
      <c r="D1015" s="27">
        <v>1</v>
      </c>
      <c r="E1015" s="27">
        <v>0</v>
      </c>
      <c r="G1015" s="27">
        <v>1</v>
      </c>
      <c r="H1015" s="5" t="s">
        <v>3654</v>
      </c>
      <c r="I1015" s="27">
        <v>15.5333333333333</v>
      </c>
      <c r="J1015" s="27">
        <v>15.5333333333333</v>
      </c>
      <c r="L1015" s="27">
        <v>1</v>
      </c>
      <c r="M1015" s="28">
        <f t="shared" si="69"/>
        <v>15.1333333333333</v>
      </c>
      <c r="N1015" s="27" t="s">
        <v>3655</v>
      </c>
      <c r="O1015" s="27">
        <v>1</v>
      </c>
      <c r="P1015" s="27">
        <v>10</v>
      </c>
      <c r="Q1015" s="516">
        <v>0</v>
      </c>
      <c r="R1015" s="516"/>
      <c r="V1015" s="516">
        <v>1</v>
      </c>
      <c r="W1015" s="492">
        <v>6</v>
      </c>
      <c r="X1015" s="217">
        <v>8</v>
      </c>
      <c r="Y1015" s="1">
        <v>-0.1</v>
      </c>
      <c r="Z1015" s="27">
        <v>0</v>
      </c>
      <c r="AB1015" s="1">
        <f>I1015-0.3</f>
        <v>15.2333333333333</v>
      </c>
      <c r="AC1015" s="27">
        <v>2</v>
      </c>
      <c r="AD1015" s="27">
        <v>1</v>
      </c>
      <c r="AE1015" s="520" t="s">
        <v>3656</v>
      </c>
      <c r="AF1015" s="27">
        <v>0.5</v>
      </c>
      <c r="AN1015" s="213" t="s">
        <v>3657</v>
      </c>
      <c r="AO1015" s="27" t="s">
        <v>3658</v>
      </c>
      <c r="AP1015" s="27">
        <v>3884</v>
      </c>
      <c r="AQ1015" s="27" t="s">
        <v>136</v>
      </c>
      <c r="AR1015" s="494"/>
      <c r="AS1015" s="519"/>
      <c r="AU1015" s="27">
        <v>1</v>
      </c>
    </row>
    <row r="1016" s="27" customFormat="1" spans="1:45">
      <c r="A1016" s="229">
        <v>1012</v>
      </c>
      <c r="B1016" s="516" t="s">
        <v>3628</v>
      </c>
      <c r="C1016" s="27" t="s">
        <v>3659</v>
      </c>
      <c r="D1016" s="27">
        <v>1</v>
      </c>
      <c r="E1016" s="27">
        <v>0</v>
      </c>
      <c r="G1016" s="27">
        <v>1</v>
      </c>
      <c r="H1016" s="5" t="s">
        <v>3660</v>
      </c>
      <c r="I1016" s="27">
        <v>3.86666666666667</v>
      </c>
      <c r="J1016" s="27">
        <v>3.86666666666667</v>
      </c>
      <c r="L1016" s="27">
        <v>0</v>
      </c>
      <c r="M1016" s="28">
        <f t="shared" si="69"/>
        <v>3.46666666666667</v>
      </c>
      <c r="N1016" s="27" t="s">
        <v>3661</v>
      </c>
      <c r="O1016" s="27">
        <v>1</v>
      </c>
      <c r="P1016" s="27">
        <v>4.5</v>
      </c>
      <c r="Q1016" s="516">
        <v>0</v>
      </c>
      <c r="R1016" s="516"/>
      <c r="S1016" s="375">
        <v>0.4</v>
      </c>
      <c r="T1016" s="375">
        <v>0.3</v>
      </c>
      <c r="U1016" s="375">
        <v>2</v>
      </c>
      <c r="V1016" s="516">
        <v>1</v>
      </c>
      <c r="W1016" s="492">
        <v>0</v>
      </c>
      <c r="X1016" s="217">
        <v>3</v>
      </c>
      <c r="Y1016" s="1">
        <v>-0.1</v>
      </c>
      <c r="Z1016" s="27">
        <v>0</v>
      </c>
      <c r="AE1016" s="520"/>
      <c r="AN1016" s="213">
        <v>3856</v>
      </c>
      <c r="AO1016" s="27" t="s">
        <v>3662</v>
      </c>
      <c r="AP1016" s="27">
        <v>3855</v>
      </c>
      <c r="AQ1016" s="27" t="s">
        <v>136</v>
      </c>
      <c r="AR1016" s="494"/>
      <c r="AS1016" s="519"/>
    </row>
    <row r="1017" s="27" customFormat="1" spans="1:45">
      <c r="A1017" s="229">
        <v>1013</v>
      </c>
      <c r="B1017" s="516" t="s">
        <v>3628</v>
      </c>
      <c r="C1017" s="27" t="s">
        <v>3663</v>
      </c>
      <c r="D1017" s="27">
        <v>1</v>
      </c>
      <c r="E1017" s="27">
        <v>0</v>
      </c>
      <c r="G1017" s="27">
        <v>1</v>
      </c>
      <c r="H1017" s="5" t="s">
        <v>3664</v>
      </c>
      <c r="I1017" s="27">
        <v>6.2</v>
      </c>
      <c r="J1017" s="27">
        <v>6.2</v>
      </c>
      <c r="L1017" s="27">
        <v>1</v>
      </c>
      <c r="M1017" s="28">
        <f t="shared" si="69"/>
        <v>5.8</v>
      </c>
      <c r="N1017" s="27" t="s">
        <v>3665</v>
      </c>
      <c r="O1017" s="27">
        <v>1</v>
      </c>
      <c r="P1017" s="27">
        <v>4.5</v>
      </c>
      <c r="Q1017" s="516">
        <v>0</v>
      </c>
      <c r="R1017" s="516"/>
      <c r="S1017" s="1">
        <v>-1</v>
      </c>
      <c r="T1017" s="1">
        <v>-0.5</v>
      </c>
      <c r="U1017" s="1">
        <v>2.1</v>
      </c>
      <c r="V1017" s="516">
        <v>1</v>
      </c>
      <c r="W1017" s="492">
        <v>6</v>
      </c>
      <c r="X1017" s="217">
        <v>2</v>
      </c>
      <c r="Y1017" s="1">
        <v>-0.1</v>
      </c>
      <c r="Z1017" s="27">
        <v>0</v>
      </c>
      <c r="AE1017" s="520"/>
      <c r="AN1017" s="213">
        <v>3871</v>
      </c>
      <c r="AO1017" s="27" t="s">
        <v>3662</v>
      </c>
      <c r="AP1017" s="27">
        <v>3870</v>
      </c>
      <c r="AQ1017" s="27" t="s">
        <v>136</v>
      </c>
      <c r="AR1017" s="494"/>
      <c r="AS1017" s="519"/>
    </row>
    <row r="1018" s="27" customFormat="1" ht="16" customHeight="1" spans="1:45">
      <c r="A1018" s="229">
        <v>1014</v>
      </c>
      <c r="B1018" s="516" t="s">
        <v>3628</v>
      </c>
      <c r="C1018" s="27" t="s">
        <v>3666</v>
      </c>
      <c r="D1018" s="27">
        <v>1</v>
      </c>
      <c r="E1018" s="27">
        <v>0</v>
      </c>
      <c r="G1018" s="27">
        <v>1</v>
      </c>
      <c r="H1018" s="5" t="s">
        <v>3667</v>
      </c>
      <c r="I1018" s="27">
        <v>5</v>
      </c>
      <c r="J1018" s="27">
        <v>5</v>
      </c>
      <c r="L1018" s="27">
        <v>1</v>
      </c>
      <c r="M1018" s="28">
        <f t="shared" si="69"/>
        <v>4.6</v>
      </c>
      <c r="N1018" s="519" t="s">
        <v>3668</v>
      </c>
      <c r="O1018" s="27">
        <v>1</v>
      </c>
      <c r="P1018" s="27">
        <v>4.5</v>
      </c>
      <c r="Q1018" s="516">
        <v>0</v>
      </c>
      <c r="R1018" s="516"/>
      <c r="S1018" s="1">
        <v>-1</v>
      </c>
      <c r="T1018" s="1">
        <v>-0.5</v>
      </c>
      <c r="U1018" s="1">
        <v>2.1</v>
      </c>
      <c r="V1018" s="516">
        <v>1</v>
      </c>
      <c r="W1018" s="492">
        <v>6</v>
      </c>
      <c r="X1018" s="217">
        <v>1</v>
      </c>
      <c r="Y1018" s="1">
        <v>-0.1</v>
      </c>
      <c r="Z1018" s="27">
        <v>0</v>
      </c>
      <c r="AE1018" s="520"/>
      <c r="AN1018" s="213">
        <v>3861</v>
      </c>
      <c r="AO1018" s="27" t="s">
        <v>3662</v>
      </c>
      <c r="AP1018" s="27">
        <v>3860</v>
      </c>
      <c r="AQ1018" s="27" t="s">
        <v>136</v>
      </c>
      <c r="AR1018" s="494"/>
      <c r="AS1018" s="519"/>
    </row>
    <row r="1019" s="27" customFormat="1" spans="1:47">
      <c r="A1019" s="229">
        <v>1015</v>
      </c>
      <c r="B1019" s="516" t="s">
        <v>3628</v>
      </c>
      <c r="C1019" s="27" t="s">
        <v>3669</v>
      </c>
      <c r="D1019" s="27">
        <v>1</v>
      </c>
      <c r="E1019" s="27">
        <v>0</v>
      </c>
      <c r="G1019" s="27">
        <v>1</v>
      </c>
      <c r="H1019" s="494" t="s">
        <v>3670</v>
      </c>
      <c r="I1019" s="27">
        <v>14.4333333333333</v>
      </c>
      <c r="J1019" s="27">
        <v>14.4333333333333</v>
      </c>
      <c r="L1019" s="27">
        <v>1</v>
      </c>
      <c r="M1019" s="28">
        <f t="shared" si="69"/>
        <v>14.0333333333333</v>
      </c>
      <c r="N1019" s="27" t="s">
        <v>3671</v>
      </c>
      <c r="O1019" s="27">
        <v>1</v>
      </c>
      <c r="P1019" s="27">
        <v>15</v>
      </c>
      <c r="Q1019" s="516">
        <v>0</v>
      </c>
      <c r="R1019" s="516"/>
      <c r="V1019" s="516">
        <v>1</v>
      </c>
      <c r="W1019" s="492">
        <v>6</v>
      </c>
      <c r="X1019" s="217">
        <v>4</v>
      </c>
      <c r="Y1019" s="1">
        <v>-0.1</v>
      </c>
      <c r="Z1019" s="27">
        <v>0</v>
      </c>
      <c r="AB1019" s="1">
        <f>I1019-0.3</f>
        <v>14.1333333333333</v>
      </c>
      <c r="AC1019" s="27">
        <v>2</v>
      </c>
      <c r="AD1019" s="27">
        <v>1</v>
      </c>
      <c r="AE1019" s="520" t="s">
        <v>3672</v>
      </c>
      <c r="AF1019" s="27">
        <v>0.5</v>
      </c>
      <c r="AN1019" s="213">
        <v>3866</v>
      </c>
      <c r="AO1019" s="27" t="s">
        <v>3662</v>
      </c>
      <c r="AP1019" s="27">
        <v>3865</v>
      </c>
      <c r="AQ1019" s="27" t="s">
        <v>136</v>
      </c>
      <c r="AR1019" s="494"/>
      <c r="AS1019" s="519"/>
      <c r="AU1019" s="27">
        <v>1</v>
      </c>
    </row>
    <row r="1020" s="37" customFormat="1" spans="1:45">
      <c r="A1020" s="229">
        <v>1016</v>
      </c>
      <c r="B1020" s="517" t="s">
        <v>3673</v>
      </c>
      <c r="C1020" s="37" t="s">
        <v>3674</v>
      </c>
      <c r="D1020" s="37">
        <v>1</v>
      </c>
      <c r="E1020" s="37">
        <v>0</v>
      </c>
      <c r="G1020" s="37">
        <v>1</v>
      </c>
      <c r="H1020" s="485" t="s">
        <v>3675</v>
      </c>
      <c r="I1020" s="37">
        <f>155/30</f>
        <v>5.16666666666667</v>
      </c>
      <c r="J1020" s="37">
        <f>155/30</f>
        <v>5.16666666666667</v>
      </c>
      <c r="L1020" s="37">
        <v>1</v>
      </c>
      <c r="M1020" s="28">
        <f t="shared" si="69"/>
        <v>4.76666666666667</v>
      </c>
      <c r="N1020" s="37" t="s">
        <v>3676</v>
      </c>
      <c r="O1020" s="37">
        <v>1</v>
      </c>
      <c r="P1020" s="37">
        <v>2.4</v>
      </c>
      <c r="Q1020" s="517">
        <v>0</v>
      </c>
      <c r="R1020" s="517"/>
      <c r="S1020" s="37">
        <v>1</v>
      </c>
      <c r="T1020" s="37">
        <v>-1</v>
      </c>
      <c r="U1020" s="37">
        <v>2</v>
      </c>
      <c r="V1020" s="517">
        <v>1</v>
      </c>
      <c r="W1020" s="290">
        <v>6</v>
      </c>
      <c r="X1020" s="303">
        <v>1</v>
      </c>
      <c r="Y1020" s="1">
        <v>-0.1</v>
      </c>
      <c r="Z1020" s="37">
        <v>0</v>
      </c>
      <c r="AE1020" s="522"/>
      <c r="AN1020" s="311">
        <v>3894</v>
      </c>
      <c r="AO1020" s="37" t="s">
        <v>2537</v>
      </c>
      <c r="AP1020" s="37">
        <v>3892</v>
      </c>
      <c r="AQ1020" s="37" t="s">
        <v>136</v>
      </c>
      <c r="AR1020" s="485"/>
      <c r="AS1020" s="524"/>
    </row>
    <row r="1021" s="37" customFormat="1" spans="1:47">
      <c r="A1021" s="229">
        <v>1017</v>
      </c>
      <c r="B1021" s="517" t="s">
        <v>3673</v>
      </c>
      <c r="C1021" s="37" t="s">
        <v>3677</v>
      </c>
      <c r="D1021" s="37">
        <v>1</v>
      </c>
      <c r="E1021" s="37">
        <v>0</v>
      </c>
      <c r="G1021" s="37">
        <v>1</v>
      </c>
      <c r="H1021" s="485" t="s">
        <v>3678</v>
      </c>
      <c r="I1021" s="37">
        <f>308/30</f>
        <v>10.2666666666667</v>
      </c>
      <c r="J1021" s="37">
        <f>308/30</f>
        <v>10.2666666666667</v>
      </c>
      <c r="L1021" s="37">
        <v>1</v>
      </c>
      <c r="M1021" s="28">
        <f t="shared" si="69"/>
        <v>9.86666666666667</v>
      </c>
      <c r="N1021" s="37" t="s">
        <v>3679</v>
      </c>
      <c r="O1021" s="37">
        <v>1</v>
      </c>
      <c r="P1021" s="37">
        <v>10</v>
      </c>
      <c r="Q1021" s="517">
        <v>0</v>
      </c>
      <c r="R1021" s="517"/>
      <c r="V1021" s="517">
        <v>1</v>
      </c>
      <c r="W1021" s="290">
        <v>6</v>
      </c>
      <c r="X1021" s="303">
        <v>1</v>
      </c>
      <c r="Y1021" s="1">
        <v>-0.1</v>
      </c>
      <c r="Z1021" s="37">
        <v>0</v>
      </c>
      <c r="AB1021" s="37">
        <f>308/30-0.3</f>
        <v>9.96666666666667</v>
      </c>
      <c r="AC1021" s="37">
        <v>2</v>
      </c>
      <c r="AD1021" s="37">
        <v>1</v>
      </c>
      <c r="AE1021" s="520" t="s">
        <v>3680</v>
      </c>
      <c r="AF1021" s="37">
        <v>0.5</v>
      </c>
      <c r="AN1021" s="311"/>
      <c r="AP1021" s="37">
        <v>3895</v>
      </c>
      <c r="AQ1021" s="37" t="s">
        <v>136</v>
      </c>
      <c r="AR1021" s="485"/>
      <c r="AS1021" s="524"/>
      <c r="AU1021" s="37">
        <v>1</v>
      </c>
    </row>
    <row r="1022" s="17" customFormat="1" spans="1:45">
      <c r="A1022" s="229">
        <v>1018</v>
      </c>
      <c r="B1022" s="364" t="s">
        <v>3681</v>
      </c>
      <c r="C1022" s="17" t="s">
        <v>526</v>
      </c>
      <c r="D1022" s="17">
        <v>1</v>
      </c>
      <c r="E1022" s="17">
        <v>0</v>
      </c>
      <c r="G1022" s="17">
        <v>1</v>
      </c>
      <c r="H1022" s="388" t="s">
        <v>3682</v>
      </c>
      <c r="I1022" s="17">
        <f>110/30</f>
        <v>3.66666666666667</v>
      </c>
      <c r="J1022" s="17">
        <f>110/30</f>
        <v>3.66666666666667</v>
      </c>
      <c r="L1022" s="17">
        <v>0</v>
      </c>
      <c r="M1022" s="28">
        <f t="shared" ref="M1022:M1032" si="71">I1022-0.4</f>
        <v>3.26666666666667</v>
      </c>
      <c r="N1022" s="17" t="s">
        <v>3683</v>
      </c>
      <c r="O1022" s="17">
        <v>1</v>
      </c>
      <c r="P1022" s="17">
        <v>4</v>
      </c>
      <c r="Q1022" s="364">
        <v>0</v>
      </c>
      <c r="R1022" s="364"/>
      <c r="U1022" s="17">
        <v>2</v>
      </c>
      <c r="V1022" s="364">
        <v>1</v>
      </c>
      <c r="W1022" s="272">
        <v>0</v>
      </c>
      <c r="X1022" s="116">
        <v>3</v>
      </c>
      <c r="Y1022" s="1">
        <v>-0.1</v>
      </c>
      <c r="Z1022" s="17">
        <v>0</v>
      </c>
      <c r="AE1022" s="383"/>
      <c r="AN1022" s="121"/>
      <c r="AP1022" s="17">
        <v>3905</v>
      </c>
      <c r="AQ1022" s="37" t="s">
        <v>136</v>
      </c>
      <c r="AR1022" s="388"/>
      <c r="AS1022" s="431"/>
    </row>
    <row r="1023" s="17" customFormat="1" spans="1:45">
      <c r="A1023" s="229">
        <v>1019</v>
      </c>
      <c r="B1023" s="364" t="s">
        <v>3681</v>
      </c>
      <c r="C1023" s="17" t="s">
        <v>3684</v>
      </c>
      <c r="D1023" s="17">
        <v>1</v>
      </c>
      <c r="E1023" s="17">
        <v>0</v>
      </c>
      <c r="G1023" s="17">
        <v>1</v>
      </c>
      <c r="H1023" s="388" t="s">
        <v>3685</v>
      </c>
      <c r="I1023" s="17">
        <f>130/30</f>
        <v>4.33333333333333</v>
      </c>
      <c r="J1023" s="17">
        <f>130/30</f>
        <v>4.33333333333333</v>
      </c>
      <c r="L1023" s="17">
        <v>1</v>
      </c>
      <c r="M1023" s="28">
        <f t="shared" si="71"/>
        <v>3.93333333333333</v>
      </c>
      <c r="N1023" s="17" t="s">
        <v>3686</v>
      </c>
      <c r="O1023" s="17">
        <v>1</v>
      </c>
      <c r="P1023" s="17">
        <v>4</v>
      </c>
      <c r="Q1023" s="364">
        <v>0</v>
      </c>
      <c r="R1023" s="364"/>
      <c r="U1023" s="17">
        <v>2</v>
      </c>
      <c r="V1023" s="364">
        <v>1</v>
      </c>
      <c r="W1023" s="272">
        <v>0</v>
      </c>
      <c r="X1023" s="116">
        <v>7</v>
      </c>
      <c r="Y1023" s="1">
        <v>-0.1</v>
      </c>
      <c r="Z1023" s="17">
        <v>0</v>
      </c>
      <c r="AE1023" s="383"/>
      <c r="AN1023" s="121"/>
      <c r="AP1023" s="17">
        <v>3908</v>
      </c>
      <c r="AQ1023" s="37" t="s">
        <v>136</v>
      </c>
      <c r="AR1023" s="388"/>
      <c r="AS1023" s="431"/>
    </row>
    <row r="1024" s="17" customFormat="1" spans="1:45">
      <c r="A1024" s="229">
        <v>1020</v>
      </c>
      <c r="B1024" s="364" t="s">
        <v>3681</v>
      </c>
      <c r="C1024" s="17" t="s">
        <v>3687</v>
      </c>
      <c r="D1024" s="17">
        <v>1</v>
      </c>
      <c r="E1024" s="17">
        <v>0</v>
      </c>
      <c r="G1024" s="17">
        <v>1</v>
      </c>
      <c r="H1024" s="388" t="s">
        <v>3688</v>
      </c>
      <c r="I1024" s="17">
        <f>64/30</f>
        <v>2.13333333333333</v>
      </c>
      <c r="J1024" s="17">
        <f>64/30</f>
        <v>2.13333333333333</v>
      </c>
      <c r="L1024" s="17">
        <v>1</v>
      </c>
      <c r="M1024" s="28">
        <f t="shared" si="71"/>
        <v>1.73333333333333</v>
      </c>
      <c r="N1024" s="17" t="s">
        <v>3689</v>
      </c>
      <c r="O1024" s="17">
        <v>1</v>
      </c>
      <c r="P1024" s="17">
        <v>4</v>
      </c>
      <c r="Q1024" s="364">
        <v>0</v>
      </c>
      <c r="R1024" s="364"/>
      <c r="U1024" s="17">
        <v>2</v>
      </c>
      <c r="V1024" s="364">
        <v>1</v>
      </c>
      <c r="W1024" s="272">
        <v>6</v>
      </c>
      <c r="X1024" s="116">
        <v>1</v>
      </c>
      <c r="Y1024" s="1">
        <v>-0.1</v>
      </c>
      <c r="Z1024" s="17">
        <v>0</v>
      </c>
      <c r="AE1024" s="383"/>
      <c r="AN1024" s="121"/>
      <c r="AP1024" s="17">
        <v>3911</v>
      </c>
      <c r="AQ1024" s="37" t="s">
        <v>136</v>
      </c>
      <c r="AR1024" s="388"/>
      <c r="AS1024" s="431"/>
    </row>
    <row r="1025" s="17" customFormat="1" spans="1:45">
      <c r="A1025" s="229">
        <v>1021</v>
      </c>
      <c r="B1025" s="364" t="s">
        <v>3681</v>
      </c>
      <c r="C1025" s="17" t="s">
        <v>3690</v>
      </c>
      <c r="D1025" s="17">
        <v>1</v>
      </c>
      <c r="E1025" s="17">
        <v>0</v>
      </c>
      <c r="G1025" s="17">
        <v>1</v>
      </c>
      <c r="H1025" s="388" t="s">
        <v>3691</v>
      </c>
      <c r="I1025" s="17">
        <f>150/30</f>
        <v>5</v>
      </c>
      <c r="J1025" s="17">
        <f>150/30</f>
        <v>5</v>
      </c>
      <c r="L1025" s="17">
        <v>1</v>
      </c>
      <c r="M1025" s="28">
        <f t="shared" si="71"/>
        <v>4.6</v>
      </c>
      <c r="N1025" s="17" t="s">
        <v>3692</v>
      </c>
      <c r="O1025" s="17">
        <v>1</v>
      </c>
      <c r="P1025" s="17">
        <v>4</v>
      </c>
      <c r="Q1025" s="364">
        <v>0</v>
      </c>
      <c r="R1025" s="364"/>
      <c r="U1025" s="17">
        <v>2</v>
      </c>
      <c r="V1025" s="364">
        <v>1</v>
      </c>
      <c r="W1025" s="272">
        <v>6</v>
      </c>
      <c r="X1025" s="116">
        <v>1</v>
      </c>
      <c r="Y1025" s="1">
        <v>-0.1</v>
      </c>
      <c r="Z1025" s="17">
        <v>0</v>
      </c>
      <c r="AE1025" s="383"/>
      <c r="AN1025" s="121" t="s">
        <v>3693</v>
      </c>
      <c r="AO1025" s="17" t="s">
        <v>3694</v>
      </c>
      <c r="AP1025" s="17">
        <v>3913</v>
      </c>
      <c r="AQ1025" s="37" t="s">
        <v>136</v>
      </c>
      <c r="AR1025" s="388"/>
      <c r="AS1025" s="431"/>
    </row>
    <row r="1026" s="17" customFormat="1" spans="1:47">
      <c r="A1026" s="229">
        <v>1022</v>
      </c>
      <c r="B1026" s="364" t="s">
        <v>3681</v>
      </c>
      <c r="C1026" s="17" t="s">
        <v>3695</v>
      </c>
      <c r="D1026" s="17">
        <v>1</v>
      </c>
      <c r="E1026" s="17">
        <v>0</v>
      </c>
      <c r="G1026" s="17">
        <v>1</v>
      </c>
      <c r="H1026" s="388" t="s">
        <v>3696</v>
      </c>
      <c r="I1026" s="17">
        <f>370/30</f>
        <v>12.3333333333333</v>
      </c>
      <c r="J1026" s="17">
        <f>370/30</f>
        <v>12.3333333333333</v>
      </c>
      <c r="L1026" s="17">
        <v>1</v>
      </c>
      <c r="M1026" s="28">
        <f t="shared" si="71"/>
        <v>11.9333333333333</v>
      </c>
      <c r="N1026" s="17" t="s">
        <v>3697</v>
      </c>
      <c r="O1026" s="17">
        <v>1</v>
      </c>
      <c r="P1026" s="17">
        <v>10</v>
      </c>
      <c r="Q1026" s="364">
        <v>0</v>
      </c>
      <c r="R1026" s="364"/>
      <c r="V1026" s="364">
        <v>1</v>
      </c>
      <c r="W1026" s="272">
        <v>0</v>
      </c>
      <c r="X1026" s="116">
        <v>8</v>
      </c>
      <c r="Y1026" s="1">
        <v>-0.1</v>
      </c>
      <c r="Z1026" s="17">
        <v>0</v>
      </c>
      <c r="AB1026" s="17">
        <f>370/30-0.3</f>
        <v>12.0333333333333</v>
      </c>
      <c r="AC1026" s="17">
        <v>2</v>
      </c>
      <c r="AD1026" s="17">
        <v>1</v>
      </c>
      <c r="AE1026" s="520" t="s">
        <v>3698</v>
      </c>
      <c r="AF1026" s="17">
        <v>0.5</v>
      </c>
      <c r="AN1026" s="121"/>
      <c r="AP1026" s="17">
        <v>3917</v>
      </c>
      <c r="AQ1026" s="37" t="s">
        <v>136</v>
      </c>
      <c r="AR1026" s="388"/>
      <c r="AS1026" s="431"/>
      <c r="AU1026" s="17">
        <v>1</v>
      </c>
    </row>
    <row r="1027" s="17" customFormat="1" spans="1:47">
      <c r="A1027" s="229">
        <v>1023</v>
      </c>
      <c r="B1027" s="364" t="s">
        <v>3681</v>
      </c>
      <c r="C1027" s="17" t="s">
        <v>3699</v>
      </c>
      <c r="D1027" s="17">
        <v>1</v>
      </c>
      <c r="E1027" s="17">
        <v>0</v>
      </c>
      <c r="G1027" s="17">
        <v>1</v>
      </c>
      <c r="H1027" s="388" t="s">
        <v>3700</v>
      </c>
      <c r="I1027" s="17">
        <f>340/30</f>
        <v>11.3333333333333</v>
      </c>
      <c r="J1027" s="17">
        <f>340/30</f>
        <v>11.3333333333333</v>
      </c>
      <c r="L1027" s="17">
        <v>1</v>
      </c>
      <c r="M1027" s="28">
        <f t="shared" si="71"/>
        <v>10.9333333333333</v>
      </c>
      <c r="N1027" s="17" t="s">
        <v>3701</v>
      </c>
      <c r="O1027" s="17">
        <v>1</v>
      </c>
      <c r="P1027" s="17">
        <v>10</v>
      </c>
      <c r="Q1027" s="364">
        <v>0</v>
      </c>
      <c r="R1027" s="364"/>
      <c r="V1027" s="364">
        <v>1</v>
      </c>
      <c r="W1027" s="272">
        <v>6</v>
      </c>
      <c r="X1027" s="116">
        <v>3</v>
      </c>
      <c r="Y1027" s="1">
        <v>-0.1</v>
      </c>
      <c r="Z1027" s="17">
        <v>0</v>
      </c>
      <c r="AB1027" s="17">
        <f>340/30-0.3</f>
        <v>11.0333333333333</v>
      </c>
      <c r="AC1027" s="17">
        <v>2</v>
      </c>
      <c r="AD1027" s="17">
        <v>1</v>
      </c>
      <c r="AE1027" s="520" t="s">
        <v>3702</v>
      </c>
      <c r="AF1027" s="17">
        <v>0.5</v>
      </c>
      <c r="AN1027" s="121"/>
      <c r="AP1027" s="17">
        <v>3919</v>
      </c>
      <c r="AQ1027" s="37" t="s">
        <v>136</v>
      </c>
      <c r="AR1027" s="388"/>
      <c r="AS1027" s="431"/>
      <c r="AU1027" s="17">
        <v>1</v>
      </c>
    </row>
    <row r="1028" s="17" customFormat="1" spans="1:47">
      <c r="A1028" s="229">
        <v>1024</v>
      </c>
      <c r="B1028" s="364" t="s">
        <v>3681</v>
      </c>
      <c r="C1028" s="17" t="s">
        <v>3703</v>
      </c>
      <c r="D1028" s="17">
        <v>1</v>
      </c>
      <c r="E1028" s="17">
        <v>0</v>
      </c>
      <c r="G1028" s="17">
        <v>1</v>
      </c>
      <c r="H1028" s="388" t="s">
        <v>3704</v>
      </c>
      <c r="I1028" s="17">
        <f>250/30</f>
        <v>8.33333333333333</v>
      </c>
      <c r="J1028" s="17">
        <f>250/30</f>
        <v>8.33333333333333</v>
      </c>
      <c r="L1028" s="17">
        <v>1</v>
      </c>
      <c r="M1028" s="28">
        <f t="shared" si="71"/>
        <v>7.93333333333333</v>
      </c>
      <c r="N1028" s="17" t="s">
        <v>3705</v>
      </c>
      <c r="O1028" s="17">
        <v>1</v>
      </c>
      <c r="P1028" s="17">
        <v>10</v>
      </c>
      <c r="Q1028" s="364">
        <v>0</v>
      </c>
      <c r="R1028" s="364"/>
      <c r="V1028" s="364">
        <v>1</v>
      </c>
      <c r="W1028" s="272">
        <v>6</v>
      </c>
      <c r="X1028" s="116">
        <v>1</v>
      </c>
      <c r="Y1028" s="1">
        <v>-0.1</v>
      </c>
      <c r="Z1028" s="17">
        <v>0</v>
      </c>
      <c r="AB1028" s="17">
        <f>250/30-0.3</f>
        <v>8.03333333333333</v>
      </c>
      <c r="AC1028" s="17">
        <v>2</v>
      </c>
      <c r="AD1028" s="17">
        <v>1</v>
      </c>
      <c r="AE1028" s="520" t="s">
        <v>3706</v>
      </c>
      <c r="AF1028" s="17">
        <v>0.5</v>
      </c>
      <c r="AN1028" s="121"/>
      <c r="AP1028" s="17">
        <v>3925</v>
      </c>
      <c r="AQ1028" s="37" t="s">
        <v>136</v>
      </c>
      <c r="AR1028" s="388"/>
      <c r="AS1028" s="431"/>
      <c r="AU1028" s="17">
        <v>1</v>
      </c>
    </row>
    <row r="1029" s="52" customFormat="1" spans="1:45">
      <c r="A1029" s="525">
        <v>1025</v>
      </c>
      <c r="B1029" s="526" t="s">
        <v>3707</v>
      </c>
      <c r="C1029" s="52" t="s">
        <v>3708</v>
      </c>
      <c r="D1029" s="52">
        <v>1</v>
      </c>
      <c r="E1029" s="52">
        <v>0</v>
      </c>
      <c r="G1029" s="52">
        <v>1</v>
      </c>
      <c r="H1029" s="527" t="s">
        <v>3709</v>
      </c>
      <c r="I1029" s="52">
        <f>90/30</f>
        <v>3</v>
      </c>
      <c r="J1029" s="52">
        <f>90/30</f>
        <v>3</v>
      </c>
      <c r="L1029" s="52">
        <v>1</v>
      </c>
      <c r="M1029" s="28">
        <f t="shared" si="71"/>
        <v>2.6</v>
      </c>
      <c r="N1029" s="52" t="s">
        <v>3710</v>
      </c>
      <c r="O1029" s="52">
        <v>2</v>
      </c>
      <c r="P1029" s="52">
        <v>0</v>
      </c>
      <c r="Q1029" s="526">
        <v>0</v>
      </c>
      <c r="R1029" s="526"/>
      <c r="U1029" s="52">
        <v>1</v>
      </c>
      <c r="V1029" s="526">
        <v>2</v>
      </c>
      <c r="W1029" s="525">
        <v>6</v>
      </c>
      <c r="X1029" s="537">
        <v>8</v>
      </c>
      <c r="Y1029" s="52">
        <v>-0.1</v>
      </c>
      <c r="Z1029" s="52">
        <v>0</v>
      </c>
      <c r="AE1029" s="100"/>
      <c r="AN1029" s="89"/>
      <c r="AP1029" s="52">
        <v>3926</v>
      </c>
      <c r="AQ1029" s="52" t="s">
        <v>136</v>
      </c>
      <c r="AR1029" s="527"/>
      <c r="AS1029" s="534"/>
    </row>
    <row r="1030" s="52" customFormat="1" ht="15" customHeight="1" spans="1:47">
      <c r="A1030" s="525">
        <v>1026</v>
      </c>
      <c r="B1030" s="526" t="s">
        <v>3707</v>
      </c>
      <c r="C1030" s="52" t="s">
        <v>3711</v>
      </c>
      <c r="D1030" s="52">
        <v>1</v>
      </c>
      <c r="E1030" s="52">
        <v>0</v>
      </c>
      <c r="G1030" s="52">
        <v>1</v>
      </c>
      <c r="H1030" s="527" t="s">
        <v>3712</v>
      </c>
      <c r="I1030" s="52">
        <f>460/30</f>
        <v>15.3333333333333</v>
      </c>
      <c r="J1030" s="52">
        <f>460/30</f>
        <v>15.3333333333333</v>
      </c>
      <c r="L1030" s="52">
        <v>1</v>
      </c>
      <c r="M1030" s="28">
        <f t="shared" si="71"/>
        <v>14.9333333333333</v>
      </c>
      <c r="N1030" s="534" t="s">
        <v>3713</v>
      </c>
      <c r="O1030" s="52">
        <v>1</v>
      </c>
      <c r="P1030" s="52">
        <v>10</v>
      </c>
      <c r="Q1030" s="526">
        <v>0</v>
      </c>
      <c r="R1030" s="526"/>
      <c r="V1030" s="526">
        <v>2</v>
      </c>
      <c r="W1030" s="525">
        <v>0</v>
      </c>
      <c r="X1030" s="537">
        <v>16</v>
      </c>
      <c r="Y1030" s="52">
        <v>-0.1</v>
      </c>
      <c r="Z1030" s="52">
        <v>0</v>
      </c>
      <c r="AB1030" s="52">
        <f>460/30-0.3</f>
        <v>15.0333333333333</v>
      </c>
      <c r="AC1030" s="52">
        <v>1</v>
      </c>
      <c r="AD1030" s="52">
        <v>1</v>
      </c>
      <c r="AE1030" s="52" t="s">
        <v>3714</v>
      </c>
      <c r="AF1030" s="52">
        <v>0.5</v>
      </c>
      <c r="AN1030" s="89"/>
      <c r="AP1030" s="52">
        <v>3928</v>
      </c>
      <c r="AQ1030" s="52" t="s">
        <v>136</v>
      </c>
      <c r="AR1030" s="527"/>
      <c r="AS1030" s="534" t="s">
        <v>3715</v>
      </c>
      <c r="AU1030" s="52">
        <v>1</v>
      </c>
    </row>
    <row r="1031" spans="1:45">
      <c r="A1031" s="525">
        <v>1027</v>
      </c>
      <c r="B1031" t="s">
        <v>3707</v>
      </c>
      <c r="C1031" t="s">
        <v>1426</v>
      </c>
      <c r="D1031">
        <v>1</v>
      </c>
      <c r="E1031">
        <v>0</v>
      </c>
      <c r="G1031">
        <v>1</v>
      </c>
      <c r="H1031" s="5" t="s">
        <v>1427</v>
      </c>
      <c r="I1031">
        <v>4.8</v>
      </c>
      <c r="J1031">
        <v>4.8</v>
      </c>
      <c r="L1031">
        <v>1</v>
      </c>
      <c r="M1031">
        <f t="shared" si="71"/>
        <v>4.4</v>
      </c>
      <c r="N1031" s="66" t="s">
        <v>1428</v>
      </c>
      <c r="O1031" s="108">
        <v>1</v>
      </c>
      <c r="P1031">
        <v>12.7</v>
      </c>
      <c r="Q1031" s="108">
        <v>0</v>
      </c>
      <c r="R1031" s="108"/>
      <c r="V1031" s="108">
        <v>6</v>
      </c>
      <c r="W1031">
        <v>16</v>
      </c>
      <c r="X1031" s="7">
        <v>4</v>
      </c>
      <c r="Y1031">
        <v>-0.1</v>
      </c>
      <c r="Z1031" s="108">
        <v>0</v>
      </c>
      <c r="AA1031" s="108"/>
      <c r="AB1031" s="108">
        <v>4.5</v>
      </c>
      <c r="AC1031" s="108">
        <v>2</v>
      </c>
      <c r="AD1031" s="108">
        <v>1</v>
      </c>
      <c r="AE1031" t="s">
        <v>1429</v>
      </c>
      <c r="AF1031">
        <f>IF(AD1031=--1,0.5,0)</f>
        <v>0.5</v>
      </c>
      <c r="AN1031" s="8" t="s">
        <v>1430</v>
      </c>
      <c r="AO1031" t="s">
        <v>1015</v>
      </c>
      <c r="AP1031" s="8"/>
      <c r="AR1031" s="749" t="s">
        <v>239</v>
      </c>
      <c r="AS1031" t="s">
        <v>1431</v>
      </c>
    </row>
    <row r="1032" s="27" customFormat="1" spans="1:44">
      <c r="A1032" s="492">
        <v>1028</v>
      </c>
      <c r="B1032" s="27" t="s">
        <v>3716</v>
      </c>
      <c r="C1032" s="27" t="s">
        <v>526</v>
      </c>
      <c r="D1032" s="27">
        <v>1</v>
      </c>
      <c r="E1032" s="27">
        <v>0</v>
      </c>
      <c r="G1032" s="27">
        <v>1</v>
      </c>
      <c r="H1032" s="494" t="s">
        <v>3717</v>
      </c>
      <c r="I1032" s="27">
        <f>92/30</f>
        <v>3.06666666666667</v>
      </c>
      <c r="J1032" s="27">
        <f>92/30</f>
        <v>3.06666666666667</v>
      </c>
      <c r="L1032" s="27">
        <v>0</v>
      </c>
      <c r="M1032" s="27">
        <f t="shared" ref="M1032:M1040" si="72">I1032-0.4</f>
        <v>2.66666666666667</v>
      </c>
      <c r="N1032" s="27" t="s">
        <v>3718</v>
      </c>
      <c r="O1032" s="231">
        <v>1</v>
      </c>
      <c r="P1032" s="27">
        <v>4</v>
      </c>
      <c r="Q1032" s="231">
        <v>0</v>
      </c>
      <c r="R1032" s="231"/>
      <c r="U1032" s="27">
        <v>1.5</v>
      </c>
      <c r="V1032" s="231">
        <v>1</v>
      </c>
      <c r="W1032" s="27">
        <v>0</v>
      </c>
      <c r="X1032" s="217">
        <v>6</v>
      </c>
      <c r="Y1032" s="27">
        <v>-0.1</v>
      </c>
      <c r="Z1032" s="231">
        <v>0</v>
      </c>
      <c r="AA1032" s="231"/>
      <c r="AB1032" s="231"/>
      <c r="AC1032" s="231"/>
      <c r="AD1032" s="231"/>
      <c r="AN1032" s="213"/>
      <c r="AP1032" s="213">
        <v>3972</v>
      </c>
      <c r="AQ1032" s="27" t="s">
        <v>136</v>
      </c>
      <c r="AR1032" s="494"/>
    </row>
    <row r="1033" s="27" customFormat="1" spans="1:47">
      <c r="A1033" s="492">
        <v>1029</v>
      </c>
      <c r="B1033" s="27" t="s">
        <v>3716</v>
      </c>
      <c r="C1033" s="27" t="s">
        <v>3719</v>
      </c>
      <c r="D1033" s="27">
        <v>1</v>
      </c>
      <c r="E1033" s="27">
        <v>0</v>
      </c>
      <c r="G1033" s="27">
        <v>1</v>
      </c>
      <c r="H1033" s="494" t="s">
        <v>3720</v>
      </c>
      <c r="I1033" s="27">
        <f>112/30</f>
        <v>3.73333333333333</v>
      </c>
      <c r="J1033" s="27">
        <f>112/30</f>
        <v>3.73333333333333</v>
      </c>
      <c r="L1033" s="27">
        <v>1</v>
      </c>
      <c r="M1033" s="27">
        <f t="shared" si="72"/>
        <v>3.33333333333333</v>
      </c>
      <c r="N1033" s="27" t="s">
        <v>3721</v>
      </c>
      <c r="O1033" s="231">
        <v>1</v>
      </c>
      <c r="P1033" s="27">
        <v>4</v>
      </c>
      <c r="Q1033" s="231">
        <v>0</v>
      </c>
      <c r="R1033" s="231"/>
      <c r="U1033" s="27">
        <v>1.5</v>
      </c>
      <c r="V1033" s="231">
        <v>1</v>
      </c>
      <c r="W1033" s="27">
        <v>0</v>
      </c>
      <c r="X1033" s="217">
        <v>1</v>
      </c>
      <c r="Y1033" s="27">
        <v>-0.1</v>
      </c>
      <c r="Z1033" s="231">
        <v>0</v>
      </c>
      <c r="AA1033" s="231"/>
      <c r="AB1033" s="231">
        <f>112/30-0.3</f>
        <v>3.43333333333333</v>
      </c>
      <c r="AC1033" s="231">
        <v>1</v>
      </c>
      <c r="AD1033" s="231">
        <v>1</v>
      </c>
      <c r="AE1033" s="27" t="s">
        <v>3722</v>
      </c>
      <c r="AF1033" s="27">
        <f>112/30</f>
        <v>3.73333333333333</v>
      </c>
      <c r="AN1033" s="213"/>
      <c r="AP1033" s="213">
        <v>3964</v>
      </c>
      <c r="AQ1033" s="37" t="s">
        <v>136</v>
      </c>
      <c r="AR1033" s="494"/>
      <c r="AU1033" s="27">
        <v>1</v>
      </c>
    </row>
    <row r="1034" s="27" customFormat="1" spans="1:44">
      <c r="A1034" s="492">
        <v>1030</v>
      </c>
      <c r="B1034" s="27" t="s">
        <v>3716</v>
      </c>
      <c r="C1034" s="27" t="s">
        <v>3723</v>
      </c>
      <c r="D1034" s="27">
        <v>1</v>
      </c>
      <c r="E1034" s="27">
        <v>0</v>
      </c>
      <c r="G1034" s="27">
        <v>1</v>
      </c>
      <c r="H1034" s="494" t="s">
        <v>3724</v>
      </c>
      <c r="I1034" s="27">
        <f>88/30</f>
        <v>2.93333333333333</v>
      </c>
      <c r="J1034" s="27">
        <f>88/30</f>
        <v>2.93333333333333</v>
      </c>
      <c r="L1034" s="27">
        <v>1</v>
      </c>
      <c r="M1034" s="27">
        <f t="shared" si="72"/>
        <v>2.53333333333333</v>
      </c>
      <c r="N1034" s="27" t="s">
        <v>3725</v>
      </c>
      <c r="O1034" s="231">
        <v>1</v>
      </c>
      <c r="P1034" s="27">
        <v>4</v>
      </c>
      <c r="Q1034" s="231">
        <v>0</v>
      </c>
      <c r="R1034" s="231"/>
      <c r="U1034" s="27">
        <v>1.5</v>
      </c>
      <c r="V1034" s="231">
        <v>1</v>
      </c>
      <c r="W1034" s="27">
        <v>6</v>
      </c>
      <c r="X1034" s="217">
        <v>8</v>
      </c>
      <c r="Y1034" s="27">
        <v>-0.1</v>
      </c>
      <c r="Z1034" s="231">
        <v>0</v>
      </c>
      <c r="AA1034" s="231"/>
      <c r="AB1034" s="231"/>
      <c r="AC1034" s="231"/>
      <c r="AD1034" s="231"/>
      <c r="AN1034" s="213">
        <v>3967</v>
      </c>
      <c r="AO1034" s="27" t="s">
        <v>3726</v>
      </c>
      <c r="AP1034" s="213">
        <v>3965</v>
      </c>
      <c r="AQ1034" s="37" t="s">
        <v>136</v>
      </c>
      <c r="AR1034" s="494"/>
    </row>
    <row r="1035" s="27" customFormat="1" spans="1:44">
      <c r="A1035" s="492">
        <v>1031</v>
      </c>
      <c r="B1035" s="27" t="s">
        <v>3716</v>
      </c>
      <c r="C1035" s="27" t="s">
        <v>3727</v>
      </c>
      <c r="D1035" s="27">
        <v>1</v>
      </c>
      <c r="E1035" s="27">
        <v>0</v>
      </c>
      <c r="G1035" s="27">
        <v>1</v>
      </c>
      <c r="H1035" s="494" t="s">
        <v>3728</v>
      </c>
      <c r="I1035" s="27">
        <f>112/30</f>
        <v>3.73333333333333</v>
      </c>
      <c r="J1035" s="27">
        <f>112/30</f>
        <v>3.73333333333333</v>
      </c>
      <c r="L1035" s="27">
        <v>1</v>
      </c>
      <c r="M1035" s="27">
        <f t="shared" si="72"/>
        <v>3.33333333333333</v>
      </c>
      <c r="N1035" s="27" t="s">
        <v>3729</v>
      </c>
      <c r="O1035" s="231">
        <v>1</v>
      </c>
      <c r="P1035" s="27">
        <v>4</v>
      </c>
      <c r="Q1035" s="231">
        <v>0</v>
      </c>
      <c r="R1035" s="231"/>
      <c r="S1035" s="27">
        <v>3</v>
      </c>
      <c r="U1035" s="27">
        <v>3</v>
      </c>
      <c r="V1035" s="231">
        <v>1</v>
      </c>
      <c r="W1035" s="27">
        <v>0</v>
      </c>
      <c r="X1035" s="217">
        <v>4</v>
      </c>
      <c r="Y1035" s="27">
        <v>-0.1</v>
      </c>
      <c r="Z1035" s="231">
        <v>0</v>
      </c>
      <c r="AA1035" s="231"/>
      <c r="AB1035" s="231"/>
      <c r="AC1035" s="231"/>
      <c r="AD1035" s="231"/>
      <c r="AN1035" s="213"/>
      <c r="AP1035" s="213">
        <v>3968</v>
      </c>
      <c r="AQ1035" s="37" t="s">
        <v>136</v>
      </c>
      <c r="AR1035" s="494"/>
    </row>
    <row r="1036" s="27" customFormat="1" spans="1:47">
      <c r="A1036" s="492">
        <v>1032</v>
      </c>
      <c r="B1036" s="27" t="s">
        <v>3716</v>
      </c>
      <c r="C1036" s="27" t="s">
        <v>3730</v>
      </c>
      <c r="D1036" s="27">
        <v>1</v>
      </c>
      <c r="E1036" s="27">
        <v>0</v>
      </c>
      <c r="G1036" s="27">
        <v>1</v>
      </c>
      <c r="H1036" s="494" t="s">
        <v>3731</v>
      </c>
      <c r="I1036" s="27">
        <f>435/30</f>
        <v>14.5</v>
      </c>
      <c r="J1036" s="27">
        <f>435/30</f>
        <v>14.5</v>
      </c>
      <c r="L1036" s="27">
        <v>1</v>
      </c>
      <c r="M1036" s="27">
        <f t="shared" si="72"/>
        <v>14.1</v>
      </c>
      <c r="N1036" s="27" t="s">
        <v>3732</v>
      </c>
      <c r="O1036" s="231">
        <v>1</v>
      </c>
      <c r="P1036" s="27">
        <v>30</v>
      </c>
      <c r="Q1036" s="231">
        <v>0</v>
      </c>
      <c r="R1036" s="231"/>
      <c r="V1036" s="231">
        <v>1</v>
      </c>
      <c r="W1036" s="27">
        <v>6</v>
      </c>
      <c r="X1036" s="217">
        <v>5</v>
      </c>
      <c r="Y1036" s="27">
        <v>-0.1</v>
      </c>
      <c r="Z1036" s="231">
        <v>0</v>
      </c>
      <c r="AA1036" s="231"/>
      <c r="AB1036" s="27">
        <f>435/30</f>
        <v>14.5</v>
      </c>
      <c r="AC1036" s="231">
        <v>1</v>
      </c>
      <c r="AD1036" s="231">
        <v>1</v>
      </c>
      <c r="AE1036" s="27" t="s">
        <v>3733</v>
      </c>
      <c r="AF1036" s="27">
        <v>0.5</v>
      </c>
      <c r="AN1036" s="213"/>
      <c r="AP1036" s="213">
        <v>3974</v>
      </c>
      <c r="AQ1036" s="27" t="s">
        <v>136</v>
      </c>
      <c r="AR1036" s="494"/>
      <c r="AU1036" s="27">
        <v>1</v>
      </c>
    </row>
    <row r="1037" s="27" customFormat="1" spans="1:47">
      <c r="A1037" s="492">
        <v>1033</v>
      </c>
      <c r="B1037" s="27" t="s">
        <v>3716</v>
      </c>
      <c r="C1037" s="27" t="s">
        <v>3734</v>
      </c>
      <c r="D1037" s="27">
        <v>2</v>
      </c>
      <c r="E1037" s="27">
        <v>0</v>
      </c>
      <c r="G1037" s="27">
        <v>1</v>
      </c>
      <c r="H1037" s="494" t="s">
        <v>3735</v>
      </c>
      <c r="I1037" s="27">
        <f>370/30</f>
        <v>12.3333333333333</v>
      </c>
      <c r="J1037" s="27">
        <f>370/30</f>
        <v>12.3333333333333</v>
      </c>
      <c r="L1037" s="27">
        <v>1</v>
      </c>
      <c r="M1037" s="27">
        <f t="shared" si="72"/>
        <v>11.9333333333333</v>
      </c>
      <c r="N1037" s="27" t="s">
        <v>3736</v>
      </c>
      <c r="O1037" s="231">
        <v>5</v>
      </c>
      <c r="P1037" s="27">
        <v>0</v>
      </c>
      <c r="Q1037" s="231">
        <v>0</v>
      </c>
      <c r="R1037" s="231"/>
      <c r="V1037" s="231">
        <v>101</v>
      </c>
      <c r="W1037" s="27">
        <v>0</v>
      </c>
      <c r="X1037" s="217">
        <v>0</v>
      </c>
      <c r="Y1037" s="27">
        <v>-0.1</v>
      </c>
      <c r="Z1037" s="231">
        <v>0</v>
      </c>
      <c r="AA1037" s="231"/>
      <c r="AB1037" s="27">
        <f>370/30-0.3</f>
        <v>12.0333333333333</v>
      </c>
      <c r="AC1037" s="231">
        <v>1</v>
      </c>
      <c r="AD1037" s="231">
        <v>1</v>
      </c>
      <c r="AE1037" s="27" t="s">
        <v>3737</v>
      </c>
      <c r="AF1037" s="27">
        <v>0.5</v>
      </c>
      <c r="AN1037" s="213"/>
      <c r="AP1037" s="213">
        <v>3980</v>
      </c>
      <c r="AQ1037" s="27" t="s">
        <v>136</v>
      </c>
      <c r="AR1037" s="494"/>
      <c r="AS1037" s="27" t="s">
        <v>3738</v>
      </c>
      <c r="AU1037" s="27">
        <v>1</v>
      </c>
    </row>
    <row r="1038" s="27" customFormat="1" spans="1:47">
      <c r="A1038" s="492">
        <v>1034</v>
      </c>
      <c r="B1038" s="27" t="s">
        <v>3716</v>
      </c>
      <c r="C1038" s="27" t="s">
        <v>3739</v>
      </c>
      <c r="D1038" s="27">
        <v>1</v>
      </c>
      <c r="E1038" s="27">
        <v>0</v>
      </c>
      <c r="G1038" s="27">
        <v>1</v>
      </c>
      <c r="H1038" s="494" t="s">
        <v>3740</v>
      </c>
      <c r="I1038" s="27">
        <v>15</v>
      </c>
      <c r="J1038" s="27">
        <v>15</v>
      </c>
      <c r="L1038" s="27">
        <v>1</v>
      </c>
      <c r="M1038" s="27">
        <f t="shared" si="72"/>
        <v>14.6</v>
      </c>
      <c r="N1038" s="27" t="s">
        <v>3741</v>
      </c>
      <c r="O1038" s="231">
        <v>1</v>
      </c>
      <c r="P1038" s="27">
        <v>31</v>
      </c>
      <c r="Q1038" s="231">
        <v>0</v>
      </c>
      <c r="R1038" s="231"/>
      <c r="V1038" s="231">
        <v>1</v>
      </c>
      <c r="W1038" s="27">
        <v>29</v>
      </c>
      <c r="X1038" s="217">
        <v>1</v>
      </c>
      <c r="Y1038" s="27">
        <v>-0.1</v>
      </c>
      <c r="Z1038" s="231">
        <v>0</v>
      </c>
      <c r="AA1038" s="231"/>
      <c r="AB1038" s="27">
        <f>15-0.3</f>
        <v>14.7</v>
      </c>
      <c r="AC1038" s="231">
        <v>1</v>
      </c>
      <c r="AD1038" s="231">
        <v>1</v>
      </c>
      <c r="AE1038" s="27" t="s">
        <v>3742</v>
      </c>
      <c r="AF1038" s="27">
        <v>0.5</v>
      </c>
      <c r="AN1038" s="213">
        <v>3977</v>
      </c>
      <c r="AO1038" s="27" t="s">
        <v>3743</v>
      </c>
      <c r="AP1038" s="213">
        <v>3976</v>
      </c>
      <c r="AQ1038" s="27" t="s">
        <v>136</v>
      </c>
      <c r="AR1038" s="494"/>
      <c r="AU1038" s="27">
        <v>1</v>
      </c>
    </row>
    <row r="1039" s="28" customFormat="1" spans="1:47">
      <c r="A1039" s="229">
        <v>1035</v>
      </c>
      <c r="B1039" s="28" t="s">
        <v>3744</v>
      </c>
      <c r="C1039" s="28" t="s">
        <v>3745</v>
      </c>
      <c r="D1039" s="28">
        <v>1</v>
      </c>
      <c r="E1039" s="28">
        <v>0</v>
      </c>
      <c r="G1039" s="28">
        <v>1</v>
      </c>
      <c r="H1039" s="245" t="s">
        <v>3746</v>
      </c>
      <c r="I1039" s="28">
        <f>264/30</f>
        <v>8.8</v>
      </c>
      <c r="J1039" s="28">
        <f>264/30</f>
        <v>8.8</v>
      </c>
      <c r="L1039" s="28">
        <v>1</v>
      </c>
      <c r="M1039" s="27">
        <f t="shared" si="72"/>
        <v>8.4</v>
      </c>
      <c r="N1039" s="28" t="s">
        <v>3747</v>
      </c>
      <c r="O1039" s="191">
        <v>1</v>
      </c>
      <c r="P1039" s="28">
        <v>10</v>
      </c>
      <c r="Q1039" s="191">
        <v>0</v>
      </c>
      <c r="R1039" s="191"/>
      <c r="V1039" s="191">
        <v>1</v>
      </c>
      <c r="W1039" s="28">
        <v>0</v>
      </c>
      <c r="X1039" s="218">
        <v>6</v>
      </c>
      <c r="Y1039" s="28">
        <v>-0.1</v>
      </c>
      <c r="Z1039" s="191">
        <v>0</v>
      </c>
      <c r="AA1039" s="191"/>
      <c r="AB1039" s="28">
        <f>264/30-0.3</f>
        <v>8.5</v>
      </c>
      <c r="AC1039" s="191">
        <v>1</v>
      </c>
      <c r="AD1039" s="191">
        <v>1</v>
      </c>
      <c r="AE1039" s="27" t="s">
        <v>3748</v>
      </c>
      <c r="AF1039" s="28">
        <v>0.5</v>
      </c>
      <c r="AN1039" s="221"/>
      <c r="AP1039" s="221">
        <v>3983</v>
      </c>
      <c r="AQ1039" s="27" t="s">
        <v>136</v>
      </c>
      <c r="AR1039" s="245"/>
      <c r="AU1039" s="28">
        <v>1</v>
      </c>
    </row>
    <row r="1040" s="53" customFormat="1" spans="1:44">
      <c r="A1040" s="528">
        <v>1036</v>
      </c>
      <c r="B1040" s="53" t="s">
        <v>3749</v>
      </c>
      <c r="C1040" s="53" t="s">
        <v>3750</v>
      </c>
      <c r="D1040" s="53">
        <v>1</v>
      </c>
      <c r="E1040" s="53">
        <v>0</v>
      </c>
      <c r="G1040" s="53">
        <v>1</v>
      </c>
      <c r="H1040" s="529" t="s">
        <v>3751</v>
      </c>
      <c r="I1040" s="53">
        <f>108/30</f>
        <v>3.6</v>
      </c>
      <c r="J1040" s="53">
        <f>108/30</f>
        <v>3.6</v>
      </c>
      <c r="L1040" s="53">
        <v>0</v>
      </c>
      <c r="M1040" s="27">
        <f t="shared" ref="M1040:M1048" si="73">I1040-0.4</f>
        <v>3.2</v>
      </c>
      <c r="N1040" s="53" t="s">
        <v>3752</v>
      </c>
      <c r="O1040" s="535">
        <v>1</v>
      </c>
      <c r="P1040" s="53">
        <v>3</v>
      </c>
      <c r="Q1040" s="535">
        <v>0</v>
      </c>
      <c r="R1040" s="535"/>
      <c r="U1040" s="53">
        <v>1</v>
      </c>
      <c r="V1040" s="535">
        <v>6</v>
      </c>
      <c r="W1040" s="53">
        <v>0</v>
      </c>
      <c r="X1040" s="538">
        <v>3</v>
      </c>
      <c r="Y1040" s="28">
        <v>-0.1</v>
      </c>
      <c r="Z1040" s="535">
        <v>0</v>
      </c>
      <c r="AA1040" s="535"/>
      <c r="AC1040" s="535"/>
      <c r="AD1040" s="535"/>
      <c r="AN1040" s="541"/>
      <c r="AP1040" s="541">
        <v>3984</v>
      </c>
      <c r="AQ1040" s="27" t="s">
        <v>136</v>
      </c>
      <c r="AR1040" s="529"/>
    </row>
    <row r="1041" s="53" customFormat="1" spans="1:44">
      <c r="A1041" s="528">
        <v>1037</v>
      </c>
      <c r="B1041" s="53" t="s">
        <v>3749</v>
      </c>
      <c r="C1041" s="53" t="s">
        <v>3753</v>
      </c>
      <c r="D1041" s="53">
        <v>1</v>
      </c>
      <c r="E1041" s="53">
        <v>0</v>
      </c>
      <c r="G1041" s="53">
        <v>1</v>
      </c>
      <c r="H1041" s="529" t="s">
        <v>3754</v>
      </c>
      <c r="I1041" s="53">
        <f>78/30</f>
        <v>2.6</v>
      </c>
      <c r="J1041" s="53">
        <f>78/30</f>
        <v>2.6</v>
      </c>
      <c r="L1041" s="53">
        <v>1</v>
      </c>
      <c r="M1041" s="27">
        <f t="shared" si="73"/>
        <v>2.2</v>
      </c>
      <c r="N1041" s="53" t="s">
        <v>3755</v>
      </c>
      <c r="O1041" s="535">
        <v>1</v>
      </c>
      <c r="P1041" s="53">
        <v>3</v>
      </c>
      <c r="Q1041" s="535">
        <v>0</v>
      </c>
      <c r="R1041" s="535"/>
      <c r="U1041" s="53">
        <v>1</v>
      </c>
      <c r="V1041" s="535">
        <v>6</v>
      </c>
      <c r="W1041" s="53">
        <v>4</v>
      </c>
      <c r="X1041" s="538">
        <v>1</v>
      </c>
      <c r="Y1041" s="28">
        <v>-0.1</v>
      </c>
      <c r="Z1041" s="535">
        <v>0</v>
      </c>
      <c r="AA1041" s="535"/>
      <c r="AC1041" s="535"/>
      <c r="AD1041" s="535"/>
      <c r="AN1041" s="541"/>
      <c r="AP1041" s="541">
        <v>3986</v>
      </c>
      <c r="AQ1041" s="27" t="s">
        <v>136</v>
      </c>
      <c r="AR1041" s="529"/>
    </row>
    <row r="1042" s="53" customFormat="1" spans="1:47">
      <c r="A1042" s="528">
        <v>1038</v>
      </c>
      <c r="B1042" s="53" t="s">
        <v>3749</v>
      </c>
      <c r="C1042" s="53" t="s">
        <v>3756</v>
      </c>
      <c r="D1042" s="53">
        <v>1</v>
      </c>
      <c r="E1042" s="53">
        <v>0</v>
      </c>
      <c r="G1042" s="53">
        <v>1</v>
      </c>
      <c r="H1042" s="529" t="s">
        <v>3757</v>
      </c>
      <c r="I1042" s="53">
        <f>83/30</f>
        <v>2.76666666666667</v>
      </c>
      <c r="J1042" s="53">
        <f>83/30</f>
        <v>2.76666666666667</v>
      </c>
      <c r="L1042" s="53">
        <v>1</v>
      </c>
      <c r="M1042" s="27">
        <f t="shared" si="73"/>
        <v>2.36666666666667</v>
      </c>
      <c r="N1042" s="53" t="s">
        <v>3758</v>
      </c>
      <c r="O1042" s="535">
        <v>1</v>
      </c>
      <c r="P1042" s="53">
        <v>10</v>
      </c>
      <c r="Q1042" s="535">
        <v>0</v>
      </c>
      <c r="R1042" s="535"/>
      <c r="V1042" s="535">
        <v>6</v>
      </c>
      <c r="W1042" s="53">
        <v>0</v>
      </c>
      <c r="X1042" s="538">
        <v>1</v>
      </c>
      <c r="Y1042" s="28">
        <v>-0.1</v>
      </c>
      <c r="Z1042" s="535">
        <v>0</v>
      </c>
      <c r="AA1042" s="535"/>
      <c r="AB1042" s="53">
        <f>83/30-0.4</f>
        <v>2.36666666666667</v>
      </c>
      <c r="AC1042" s="535">
        <v>1</v>
      </c>
      <c r="AD1042" s="535">
        <v>1</v>
      </c>
      <c r="AE1042" s="27" t="s">
        <v>3759</v>
      </c>
      <c r="AF1042" s="53">
        <f>84/30</f>
        <v>2.8</v>
      </c>
      <c r="AN1042" s="541">
        <v>3989</v>
      </c>
      <c r="AO1042" s="53" t="s">
        <v>3760</v>
      </c>
      <c r="AP1042" s="541">
        <v>3988</v>
      </c>
      <c r="AQ1042" s="27" t="s">
        <v>136</v>
      </c>
      <c r="AR1042" s="529"/>
      <c r="AU1042" s="53">
        <v>1</v>
      </c>
    </row>
    <row r="1043" s="53" customFormat="1" spans="1:47">
      <c r="A1043" s="528">
        <v>1039</v>
      </c>
      <c r="B1043" s="53" t="s">
        <v>3749</v>
      </c>
      <c r="C1043" s="53" t="s">
        <v>3761</v>
      </c>
      <c r="D1043" s="53">
        <v>1</v>
      </c>
      <c r="E1043" s="53">
        <v>0</v>
      </c>
      <c r="G1043" s="53">
        <v>1</v>
      </c>
      <c r="H1043" s="529" t="s">
        <v>3762</v>
      </c>
      <c r="I1043" s="53">
        <f>83/30</f>
        <v>2.76666666666667</v>
      </c>
      <c r="J1043" s="53">
        <f>83/30</f>
        <v>2.76666666666667</v>
      </c>
      <c r="L1043" s="53">
        <v>1</v>
      </c>
      <c r="M1043" s="27">
        <f t="shared" si="73"/>
        <v>2.36666666666667</v>
      </c>
      <c r="N1043" s="53" t="s">
        <v>3763</v>
      </c>
      <c r="O1043" s="535">
        <v>1</v>
      </c>
      <c r="P1043" s="53">
        <v>3</v>
      </c>
      <c r="Q1043" s="535">
        <v>0</v>
      </c>
      <c r="R1043" s="535"/>
      <c r="V1043" s="535">
        <v>6</v>
      </c>
      <c r="W1043" s="53">
        <v>0</v>
      </c>
      <c r="X1043" s="538">
        <v>1</v>
      </c>
      <c r="Y1043" s="28">
        <v>-0.1</v>
      </c>
      <c r="Z1043" s="535">
        <v>0</v>
      </c>
      <c r="AA1043" s="535"/>
      <c r="AB1043" s="53">
        <f>83/30-0.3</f>
        <v>2.46666666666667</v>
      </c>
      <c r="AC1043" s="535">
        <v>1</v>
      </c>
      <c r="AD1043" s="535">
        <v>1</v>
      </c>
      <c r="AE1043" s="27" t="s">
        <v>3764</v>
      </c>
      <c r="AF1043" s="53">
        <f>83/30</f>
        <v>2.76666666666667</v>
      </c>
      <c r="AN1043" s="541">
        <v>3992</v>
      </c>
      <c r="AO1043" s="53" t="s">
        <v>3760</v>
      </c>
      <c r="AP1043" s="541">
        <v>3991</v>
      </c>
      <c r="AQ1043" s="27" t="s">
        <v>136</v>
      </c>
      <c r="AR1043" s="529"/>
      <c r="AU1043" s="53">
        <v>1</v>
      </c>
    </row>
    <row r="1044" s="53" customFormat="1" spans="1:47">
      <c r="A1044" s="528">
        <v>1040</v>
      </c>
      <c r="B1044" s="53" t="s">
        <v>3749</v>
      </c>
      <c r="C1044" s="53" t="s">
        <v>3765</v>
      </c>
      <c r="D1044" s="53">
        <v>1</v>
      </c>
      <c r="E1044" s="53">
        <v>0</v>
      </c>
      <c r="G1044" s="53">
        <v>1</v>
      </c>
      <c r="H1044" s="529" t="s">
        <v>3766</v>
      </c>
      <c r="I1044" s="53">
        <f>145/30</f>
        <v>4.83333333333333</v>
      </c>
      <c r="J1044" s="53">
        <f>145/30</f>
        <v>4.83333333333333</v>
      </c>
      <c r="L1044" s="53">
        <v>1</v>
      </c>
      <c r="M1044" s="27">
        <f t="shared" si="73"/>
        <v>4.43333333333333</v>
      </c>
      <c r="N1044" s="53" t="s">
        <v>3767</v>
      </c>
      <c r="O1044" s="535">
        <v>1</v>
      </c>
      <c r="P1044" s="53">
        <v>3</v>
      </c>
      <c r="Q1044" s="535">
        <v>0</v>
      </c>
      <c r="R1044" s="535"/>
      <c r="V1044" s="535">
        <v>6</v>
      </c>
      <c r="W1044" s="53">
        <v>0</v>
      </c>
      <c r="X1044" s="538">
        <v>1</v>
      </c>
      <c r="Y1044" s="28">
        <v>-0.1</v>
      </c>
      <c r="Z1044" s="535">
        <v>0</v>
      </c>
      <c r="AA1044" s="535"/>
      <c r="AB1044" s="53">
        <f>145/30-0.3</f>
        <v>4.53333333333333</v>
      </c>
      <c r="AC1044" s="535">
        <v>1</v>
      </c>
      <c r="AD1044" s="535">
        <v>1</v>
      </c>
      <c r="AE1044" s="27" t="s">
        <v>3768</v>
      </c>
      <c r="AF1044" s="53">
        <v>4</v>
      </c>
      <c r="AN1044" s="541"/>
      <c r="AP1044" s="541">
        <v>4001</v>
      </c>
      <c r="AQ1044" s="27" t="s">
        <v>136</v>
      </c>
      <c r="AR1044" s="529"/>
      <c r="AU1044" s="53">
        <v>1</v>
      </c>
    </row>
    <row r="1045" s="53" customFormat="1" spans="1:47">
      <c r="A1045" s="528">
        <v>1041</v>
      </c>
      <c r="B1045" s="53" t="s">
        <v>3749</v>
      </c>
      <c r="C1045" s="53" t="s">
        <v>3769</v>
      </c>
      <c r="D1045" s="53">
        <v>1</v>
      </c>
      <c r="E1045" s="53">
        <v>0</v>
      </c>
      <c r="G1045" s="53">
        <v>1</v>
      </c>
      <c r="H1045" s="529" t="s">
        <v>3770</v>
      </c>
      <c r="I1045" s="53">
        <f>334/30</f>
        <v>11.1333333333333</v>
      </c>
      <c r="J1045" s="53">
        <f>334/30</f>
        <v>11.1333333333333</v>
      </c>
      <c r="L1045" s="53">
        <v>1</v>
      </c>
      <c r="M1045" s="27">
        <f t="shared" si="73"/>
        <v>10.7333333333333</v>
      </c>
      <c r="N1045" s="53" t="s">
        <v>3771</v>
      </c>
      <c r="O1045" s="535">
        <v>1</v>
      </c>
      <c r="P1045" s="53">
        <v>-2</v>
      </c>
      <c r="Q1045" s="535">
        <v>0</v>
      </c>
      <c r="R1045" s="535"/>
      <c r="V1045" s="535">
        <v>6</v>
      </c>
      <c r="W1045" s="53">
        <v>6</v>
      </c>
      <c r="X1045" s="538">
        <v>1</v>
      </c>
      <c r="Y1045" s="28">
        <v>-0.1</v>
      </c>
      <c r="Z1045" s="535">
        <v>0</v>
      </c>
      <c r="AA1045" s="535"/>
      <c r="AB1045" s="53">
        <f>334/30-0.3</f>
        <v>10.8333333333333</v>
      </c>
      <c r="AC1045" s="535">
        <v>1</v>
      </c>
      <c r="AD1045" s="535">
        <v>1</v>
      </c>
      <c r="AE1045" s="27" t="s">
        <v>3772</v>
      </c>
      <c r="AF1045" s="53">
        <v>0.5</v>
      </c>
      <c r="AN1045" s="541"/>
      <c r="AP1045" s="541">
        <v>3993</v>
      </c>
      <c r="AQ1045" s="27" t="s">
        <v>136</v>
      </c>
      <c r="AR1045" s="529"/>
      <c r="AU1045" s="53">
        <v>1</v>
      </c>
    </row>
    <row r="1046" s="53" customFormat="1" spans="1:47">
      <c r="A1046" s="528">
        <v>1042</v>
      </c>
      <c r="B1046" s="53" t="s">
        <v>3749</v>
      </c>
      <c r="C1046" s="53" t="s">
        <v>3773</v>
      </c>
      <c r="D1046" s="53">
        <v>1</v>
      </c>
      <c r="E1046" s="53">
        <v>0</v>
      </c>
      <c r="G1046" s="53">
        <v>1</v>
      </c>
      <c r="H1046" s="529" t="s">
        <v>3774</v>
      </c>
      <c r="I1046" s="53">
        <f>286/30</f>
        <v>9.53333333333333</v>
      </c>
      <c r="J1046" s="53">
        <f>286/30</f>
        <v>9.53333333333333</v>
      </c>
      <c r="L1046" s="53">
        <v>1</v>
      </c>
      <c r="M1046" s="27">
        <f t="shared" si="73"/>
        <v>9.13333333333333</v>
      </c>
      <c r="N1046" s="53" t="s">
        <v>3775</v>
      </c>
      <c r="O1046" s="535">
        <v>1</v>
      </c>
      <c r="P1046" s="53">
        <v>3</v>
      </c>
      <c r="Q1046" s="535">
        <v>0</v>
      </c>
      <c r="R1046" s="535"/>
      <c r="V1046" s="535">
        <v>6</v>
      </c>
      <c r="W1046" s="53">
        <v>0</v>
      </c>
      <c r="X1046" s="538">
        <v>5</v>
      </c>
      <c r="Y1046" s="28">
        <v>-0.1</v>
      </c>
      <c r="Z1046" s="535">
        <v>0</v>
      </c>
      <c r="AA1046" s="535"/>
      <c r="AB1046" s="53">
        <f>286/30-0.3</f>
        <v>9.23333333333333</v>
      </c>
      <c r="AC1046" s="535">
        <v>1</v>
      </c>
      <c r="AD1046" s="535">
        <v>1</v>
      </c>
      <c r="AE1046" s="27" t="s">
        <v>3776</v>
      </c>
      <c r="AF1046" s="53">
        <v>0.5</v>
      </c>
      <c r="AN1046" s="541">
        <v>4000</v>
      </c>
      <c r="AO1046" s="53" t="s">
        <v>3777</v>
      </c>
      <c r="AP1046" s="541">
        <v>3999</v>
      </c>
      <c r="AQ1046" s="27" t="s">
        <v>136</v>
      </c>
      <c r="AR1046" s="529"/>
      <c r="AU1046" s="53">
        <v>1</v>
      </c>
    </row>
    <row r="1047" s="53" customFormat="1" spans="1:47">
      <c r="A1047" s="528">
        <v>1043</v>
      </c>
      <c r="B1047" s="53" t="s">
        <v>3749</v>
      </c>
      <c r="C1047" s="53" t="s">
        <v>3778</v>
      </c>
      <c r="D1047" s="53">
        <v>1</v>
      </c>
      <c r="E1047" s="53">
        <v>0</v>
      </c>
      <c r="G1047" s="53">
        <v>1</v>
      </c>
      <c r="H1047" s="529" t="s">
        <v>3779</v>
      </c>
      <c r="I1047" s="53">
        <f>351/30</f>
        <v>11.7</v>
      </c>
      <c r="J1047" s="53">
        <f>351/30</f>
        <v>11.7</v>
      </c>
      <c r="L1047" s="53">
        <v>1</v>
      </c>
      <c r="M1047" s="27">
        <f t="shared" si="73"/>
        <v>11.3</v>
      </c>
      <c r="N1047" s="53" t="s">
        <v>3780</v>
      </c>
      <c r="O1047" s="535">
        <v>1</v>
      </c>
      <c r="P1047" s="53">
        <v>3</v>
      </c>
      <c r="Q1047" s="535">
        <v>0</v>
      </c>
      <c r="R1047" s="535"/>
      <c r="V1047" s="535">
        <v>6</v>
      </c>
      <c r="W1047" s="53">
        <v>0</v>
      </c>
      <c r="X1047" s="538">
        <v>1</v>
      </c>
      <c r="Y1047" s="28">
        <v>-0.1</v>
      </c>
      <c r="Z1047" s="535">
        <v>0</v>
      </c>
      <c r="AA1047" s="535"/>
      <c r="AB1047" s="53">
        <f>351/30-0.3</f>
        <v>11.4</v>
      </c>
      <c r="AC1047" s="535">
        <v>1</v>
      </c>
      <c r="AD1047" s="535">
        <v>1</v>
      </c>
      <c r="AE1047" s="27" t="s">
        <v>3781</v>
      </c>
      <c r="AF1047" s="53">
        <v>0.5</v>
      </c>
      <c r="AN1047" s="541" t="s">
        <v>3782</v>
      </c>
      <c r="AO1047" s="53" t="s">
        <v>3783</v>
      </c>
      <c r="AP1047" s="541">
        <v>3996</v>
      </c>
      <c r="AQ1047" s="27" t="s">
        <v>136</v>
      </c>
      <c r="AR1047" s="529"/>
      <c r="AU1047" s="53">
        <v>1</v>
      </c>
    </row>
    <row r="1048" s="28" customFormat="1" spans="1:44">
      <c r="A1048" s="229">
        <v>1044</v>
      </c>
      <c r="B1048" s="28" t="s">
        <v>3784</v>
      </c>
      <c r="C1048" s="28" t="s">
        <v>3785</v>
      </c>
      <c r="D1048" s="28">
        <v>1</v>
      </c>
      <c r="E1048" s="28">
        <v>0</v>
      </c>
      <c r="G1048" s="28">
        <v>1</v>
      </c>
      <c r="H1048" s="245" t="s">
        <v>3786</v>
      </c>
      <c r="I1048" s="28">
        <f>91/30</f>
        <v>3.03333333333333</v>
      </c>
      <c r="J1048" s="28">
        <f>91/30</f>
        <v>3.03333333333333</v>
      </c>
      <c r="L1048" s="28">
        <v>0</v>
      </c>
      <c r="M1048" s="27">
        <f t="shared" ref="M1048:M1056" si="74">I1048-0.4</f>
        <v>2.63333333333333</v>
      </c>
      <c r="N1048" s="191" t="s">
        <v>3787</v>
      </c>
      <c r="O1048" s="191">
        <v>1</v>
      </c>
      <c r="P1048" s="28">
        <v>4.6</v>
      </c>
      <c r="Q1048" s="191">
        <v>0</v>
      </c>
      <c r="R1048" s="191"/>
      <c r="V1048" s="191">
        <v>1</v>
      </c>
      <c r="W1048" s="28">
        <v>0</v>
      </c>
      <c r="X1048" s="218">
        <v>1</v>
      </c>
      <c r="Y1048" s="28">
        <v>-0.1</v>
      </c>
      <c r="Z1048" s="191">
        <v>0</v>
      </c>
      <c r="AA1048" s="191"/>
      <c r="AC1048" s="191"/>
      <c r="AD1048" s="191"/>
      <c r="AN1048" s="221">
        <v>4011</v>
      </c>
      <c r="AO1048" s="28" t="s">
        <v>1531</v>
      </c>
      <c r="AP1048" s="221">
        <v>4040</v>
      </c>
      <c r="AQ1048" s="27" t="s">
        <v>136</v>
      </c>
      <c r="AR1048" s="245"/>
    </row>
    <row r="1049" s="28" customFormat="1" spans="1:47">
      <c r="A1049" s="229">
        <v>1045</v>
      </c>
      <c r="B1049" s="28" t="s">
        <v>3784</v>
      </c>
      <c r="C1049" s="28" t="s">
        <v>3788</v>
      </c>
      <c r="D1049" s="28">
        <v>1</v>
      </c>
      <c r="E1049" s="28">
        <v>0</v>
      </c>
      <c r="G1049" s="28">
        <v>1</v>
      </c>
      <c r="H1049" s="245" t="s">
        <v>3789</v>
      </c>
      <c r="I1049" s="28">
        <f>130/30</f>
        <v>4.33333333333333</v>
      </c>
      <c r="J1049" s="28">
        <f>130/30</f>
        <v>4.33333333333333</v>
      </c>
      <c r="L1049" s="28">
        <v>1</v>
      </c>
      <c r="M1049" s="27">
        <f t="shared" si="74"/>
        <v>3.93333333333333</v>
      </c>
      <c r="N1049" s="191" t="s">
        <v>3790</v>
      </c>
      <c r="O1049" s="191">
        <v>1</v>
      </c>
      <c r="P1049" s="28">
        <v>10</v>
      </c>
      <c r="Q1049" s="191">
        <v>0</v>
      </c>
      <c r="R1049" s="191"/>
      <c r="V1049" s="191">
        <v>1</v>
      </c>
      <c r="W1049" s="28">
        <v>6</v>
      </c>
      <c r="X1049" s="218">
        <v>1</v>
      </c>
      <c r="Y1049" s="28">
        <v>-0.1</v>
      </c>
      <c r="Z1049" s="191">
        <v>0</v>
      </c>
      <c r="AA1049" s="191"/>
      <c r="AB1049" s="28">
        <f>130/30-0.4</f>
        <v>3.93333333333333</v>
      </c>
      <c r="AC1049" s="191">
        <v>1</v>
      </c>
      <c r="AD1049" s="191">
        <v>1</v>
      </c>
      <c r="AE1049" s="28" t="s">
        <v>3791</v>
      </c>
      <c r="AF1049" s="28">
        <f>130/30</f>
        <v>4.33333333333333</v>
      </c>
      <c r="AN1049" s="221"/>
      <c r="AP1049" s="221">
        <v>4015</v>
      </c>
      <c r="AQ1049" s="27" t="s">
        <v>136</v>
      </c>
      <c r="AR1049" s="245"/>
      <c r="AU1049" s="28">
        <v>1</v>
      </c>
    </row>
    <row r="1050" s="28" customFormat="1" spans="1:44">
      <c r="A1050" s="229">
        <v>1046</v>
      </c>
      <c r="B1050" s="28" t="s">
        <v>3784</v>
      </c>
      <c r="C1050" s="28" t="s">
        <v>3792</v>
      </c>
      <c r="D1050" s="28">
        <v>1</v>
      </c>
      <c r="E1050" s="28">
        <v>0</v>
      </c>
      <c r="G1050" s="28">
        <v>1</v>
      </c>
      <c r="H1050" s="245" t="s">
        <v>3793</v>
      </c>
      <c r="I1050" s="28">
        <f>106/30</f>
        <v>3.53333333333333</v>
      </c>
      <c r="J1050" s="28">
        <f>106/30</f>
        <v>3.53333333333333</v>
      </c>
      <c r="L1050" s="28">
        <v>1</v>
      </c>
      <c r="M1050" s="27">
        <f t="shared" si="74"/>
        <v>3.13333333333333</v>
      </c>
      <c r="N1050" s="191" t="s">
        <v>3794</v>
      </c>
      <c r="O1050" s="191">
        <v>1</v>
      </c>
      <c r="P1050" s="28">
        <v>4.6</v>
      </c>
      <c r="Q1050" s="191">
        <v>0</v>
      </c>
      <c r="R1050" s="191"/>
      <c r="U1050" s="28">
        <v>1</v>
      </c>
      <c r="V1050" s="191">
        <v>1</v>
      </c>
      <c r="W1050" s="28">
        <v>6</v>
      </c>
      <c r="X1050" s="218">
        <v>1</v>
      </c>
      <c r="Y1050" s="28">
        <v>-0.1</v>
      </c>
      <c r="Z1050" s="191">
        <v>0</v>
      </c>
      <c r="AA1050" s="191"/>
      <c r="AC1050" s="191"/>
      <c r="AD1050" s="191"/>
      <c r="AN1050" s="221"/>
      <c r="AP1050" s="221">
        <v>4017</v>
      </c>
      <c r="AQ1050" s="27" t="s">
        <v>136</v>
      </c>
      <c r="AR1050" s="245"/>
    </row>
    <row r="1051" s="28" customFormat="1" spans="1:44">
      <c r="A1051" s="229">
        <v>1047</v>
      </c>
      <c r="B1051" s="28" t="s">
        <v>3784</v>
      </c>
      <c r="C1051" s="28" t="s">
        <v>3795</v>
      </c>
      <c r="D1051" s="28">
        <v>1</v>
      </c>
      <c r="E1051" s="28">
        <v>0</v>
      </c>
      <c r="G1051" s="28">
        <v>1</v>
      </c>
      <c r="H1051" s="245" t="s">
        <v>3796</v>
      </c>
      <c r="I1051" s="28">
        <f>64/30</f>
        <v>2.13333333333333</v>
      </c>
      <c r="J1051" s="28">
        <f>64/30</f>
        <v>2.13333333333333</v>
      </c>
      <c r="L1051" s="28">
        <v>1</v>
      </c>
      <c r="M1051" s="27">
        <f t="shared" si="74"/>
        <v>1.73333333333333</v>
      </c>
      <c r="N1051" s="191" t="s">
        <v>3797</v>
      </c>
      <c r="O1051" s="191">
        <v>1</v>
      </c>
      <c r="P1051" s="28">
        <v>4.6</v>
      </c>
      <c r="Q1051" s="191">
        <v>0</v>
      </c>
      <c r="R1051" s="191"/>
      <c r="V1051" s="191">
        <v>1</v>
      </c>
      <c r="W1051" s="28">
        <v>0</v>
      </c>
      <c r="X1051" s="218">
        <v>1</v>
      </c>
      <c r="Y1051" s="28">
        <v>-0.1</v>
      </c>
      <c r="Z1051" s="191">
        <v>0</v>
      </c>
      <c r="AA1051" s="191"/>
      <c r="AC1051" s="191"/>
      <c r="AD1051" s="191"/>
      <c r="AN1051" s="221" t="s">
        <v>3798</v>
      </c>
      <c r="AO1051" s="28" t="s">
        <v>3799</v>
      </c>
      <c r="AP1051" s="221">
        <v>4019</v>
      </c>
      <c r="AQ1051" s="27" t="s">
        <v>136</v>
      </c>
      <c r="AR1051" s="245"/>
    </row>
    <row r="1052" s="28" customFormat="1" spans="1:44">
      <c r="A1052" s="229">
        <v>1048</v>
      </c>
      <c r="B1052" s="28" t="s">
        <v>3784</v>
      </c>
      <c r="C1052" s="28" t="s">
        <v>3800</v>
      </c>
      <c r="D1052" s="28">
        <v>1</v>
      </c>
      <c r="E1052" s="28">
        <v>0</v>
      </c>
      <c r="G1052" s="28">
        <v>1</v>
      </c>
      <c r="H1052" s="245" t="s">
        <v>3801</v>
      </c>
      <c r="I1052" s="28">
        <f>100/30</f>
        <v>3.33333333333333</v>
      </c>
      <c r="J1052" s="28">
        <f>100/30</f>
        <v>3.33333333333333</v>
      </c>
      <c r="L1052" s="28">
        <v>1</v>
      </c>
      <c r="M1052" s="27">
        <f t="shared" si="74"/>
        <v>2.93333333333333</v>
      </c>
      <c r="N1052" s="191" t="s">
        <v>3802</v>
      </c>
      <c r="O1052" s="191">
        <v>1</v>
      </c>
      <c r="P1052" s="28">
        <v>4.6</v>
      </c>
      <c r="Q1052" s="191">
        <v>1</v>
      </c>
      <c r="R1052" s="191"/>
      <c r="V1052" s="191">
        <v>1</v>
      </c>
      <c r="W1052" s="28">
        <v>7</v>
      </c>
      <c r="X1052" s="218">
        <v>1</v>
      </c>
      <c r="Y1052" s="28">
        <v>-0.1</v>
      </c>
      <c r="Z1052" s="191">
        <v>0</v>
      </c>
      <c r="AA1052" s="191"/>
      <c r="AC1052" s="191"/>
      <c r="AD1052" s="191"/>
      <c r="AN1052" s="221">
        <v>4023</v>
      </c>
      <c r="AO1052" s="28" t="s">
        <v>1531</v>
      </c>
      <c r="AP1052" s="221">
        <v>4022</v>
      </c>
      <c r="AQ1052" s="27" t="s">
        <v>136</v>
      </c>
      <c r="AR1052" s="245"/>
    </row>
    <row r="1053" s="28" customFormat="1" spans="1:47">
      <c r="A1053" s="229">
        <v>1049</v>
      </c>
      <c r="B1053" s="28" t="s">
        <v>3784</v>
      </c>
      <c r="C1053" s="28" t="s">
        <v>3803</v>
      </c>
      <c r="D1053" s="28">
        <v>2</v>
      </c>
      <c r="E1053" s="28">
        <v>0</v>
      </c>
      <c r="G1053" s="28">
        <v>1</v>
      </c>
      <c r="H1053" s="245" t="s">
        <v>3804</v>
      </c>
      <c r="I1053" s="28">
        <f>450/30</f>
        <v>15</v>
      </c>
      <c r="J1053" s="28">
        <f>450/30</f>
        <v>15</v>
      </c>
      <c r="L1053" s="28">
        <v>1</v>
      </c>
      <c r="M1053" s="27">
        <f t="shared" si="74"/>
        <v>14.6</v>
      </c>
      <c r="N1053" s="191" t="s">
        <v>3805</v>
      </c>
      <c r="O1053" s="191">
        <v>1</v>
      </c>
      <c r="P1053" s="28">
        <v>40</v>
      </c>
      <c r="Q1053" s="191">
        <v>0</v>
      </c>
      <c r="R1053" s="191"/>
      <c r="V1053" s="191">
        <v>101</v>
      </c>
      <c r="W1053" s="28">
        <v>0</v>
      </c>
      <c r="X1053" s="218">
        <v>1</v>
      </c>
      <c r="Y1053" s="28">
        <v>-0.1</v>
      </c>
      <c r="Z1053" s="191">
        <v>0</v>
      </c>
      <c r="AA1053" s="191"/>
      <c r="AB1053" s="28">
        <f>450/30-0.4</f>
        <v>14.6</v>
      </c>
      <c r="AC1053" s="191">
        <v>1</v>
      </c>
      <c r="AD1053" s="191">
        <v>1</v>
      </c>
      <c r="AE1053" s="28" t="s">
        <v>3806</v>
      </c>
      <c r="AF1053" s="28">
        <v>0.5</v>
      </c>
      <c r="AN1053" s="221" t="s">
        <v>3807</v>
      </c>
      <c r="AO1053" s="28" t="s">
        <v>3808</v>
      </c>
      <c r="AP1053" s="221">
        <v>4046</v>
      </c>
      <c r="AQ1053" s="27" t="s">
        <v>136</v>
      </c>
      <c r="AR1053" s="245"/>
      <c r="AS1053" s="28" t="s">
        <v>3809</v>
      </c>
      <c r="AU1053" s="28">
        <v>1</v>
      </c>
    </row>
    <row r="1054" s="28" customFormat="1" spans="1:47">
      <c r="A1054" s="229">
        <v>1050</v>
      </c>
      <c r="B1054" s="28" t="s">
        <v>3784</v>
      </c>
      <c r="C1054" s="28" t="s">
        <v>3810</v>
      </c>
      <c r="D1054" s="28">
        <v>1</v>
      </c>
      <c r="E1054" s="28">
        <v>0</v>
      </c>
      <c r="G1054" s="28">
        <v>1</v>
      </c>
      <c r="H1054" s="245" t="s">
        <v>3811</v>
      </c>
      <c r="I1054" s="28">
        <f>449/30</f>
        <v>14.9666666666667</v>
      </c>
      <c r="J1054" s="28">
        <f>449/30</f>
        <v>14.9666666666667</v>
      </c>
      <c r="L1054" s="28">
        <v>1</v>
      </c>
      <c r="M1054" s="27">
        <f t="shared" si="74"/>
        <v>14.5666666666667</v>
      </c>
      <c r="N1054" s="191" t="s">
        <v>3812</v>
      </c>
      <c r="O1054" s="191">
        <v>1</v>
      </c>
      <c r="P1054" s="28">
        <v>40</v>
      </c>
      <c r="Q1054" s="191">
        <v>0</v>
      </c>
      <c r="R1054" s="191"/>
      <c r="V1054" s="191">
        <v>1</v>
      </c>
      <c r="W1054" s="28">
        <v>0</v>
      </c>
      <c r="X1054" s="218">
        <v>4</v>
      </c>
      <c r="Y1054" s="28">
        <v>-0.1</v>
      </c>
      <c r="Z1054" s="191">
        <v>0</v>
      </c>
      <c r="AA1054" s="191"/>
      <c r="AB1054" s="28">
        <f>449/30-0.4</f>
        <v>14.5666666666667</v>
      </c>
      <c r="AC1054" s="191">
        <v>1</v>
      </c>
      <c r="AD1054" s="191">
        <v>1</v>
      </c>
      <c r="AE1054" s="28" t="s">
        <v>3813</v>
      </c>
      <c r="AF1054" s="28">
        <v>0.5</v>
      </c>
      <c r="AN1054" s="221" t="s">
        <v>3814</v>
      </c>
      <c r="AO1054" s="28" t="s">
        <v>3815</v>
      </c>
      <c r="AP1054" s="221">
        <v>4041</v>
      </c>
      <c r="AQ1054" s="28" t="s">
        <v>136</v>
      </c>
      <c r="AR1054" s="245"/>
      <c r="AU1054" s="28">
        <v>1</v>
      </c>
    </row>
    <row r="1055" s="28" customFormat="1" spans="1:47">
      <c r="A1055" s="229">
        <v>1051</v>
      </c>
      <c r="B1055" s="28" t="s">
        <v>3784</v>
      </c>
      <c r="C1055" s="28" t="s">
        <v>3816</v>
      </c>
      <c r="D1055" s="28">
        <v>1</v>
      </c>
      <c r="E1055" s="28">
        <v>0</v>
      </c>
      <c r="G1055" s="28">
        <v>1</v>
      </c>
      <c r="H1055" s="245" t="s">
        <v>3817</v>
      </c>
      <c r="I1055" s="28">
        <f>490/30</f>
        <v>16.3333333333333</v>
      </c>
      <c r="J1055" s="28">
        <f>490/30</f>
        <v>16.3333333333333</v>
      </c>
      <c r="L1055" s="28">
        <v>1</v>
      </c>
      <c r="M1055" s="27">
        <f t="shared" si="74"/>
        <v>15.9333333333333</v>
      </c>
      <c r="N1055" s="191" t="s">
        <v>3818</v>
      </c>
      <c r="O1055" s="191">
        <v>1</v>
      </c>
      <c r="P1055" s="28">
        <v>40</v>
      </c>
      <c r="Q1055" s="191">
        <v>0</v>
      </c>
      <c r="R1055" s="191"/>
      <c r="V1055" s="191">
        <v>1</v>
      </c>
      <c r="W1055" s="28">
        <v>6</v>
      </c>
      <c r="X1055" s="218">
        <v>1</v>
      </c>
      <c r="Y1055" s="28">
        <v>-0.1</v>
      </c>
      <c r="Z1055" s="191">
        <v>0</v>
      </c>
      <c r="AA1055" s="191"/>
      <c r="AB1055" s="28">
        <f>490/30-0.4</f>
        <v>15.9333333333333</v>
      </c>
      <c r="AC1055" s="191">
        <v>1</v>
      </c>
      <c r="AD1055" s="191">
        <v>1</v>
      </c>
      <c r="AE1055" s="28" t="s">
        <v>3819</v>
      </c>
      <c r="AF1055" s="28">
        <v>0.5</v>
      </c>
      <c r="AN1055" s="221"/>
      <c r="AP1055" s="221">
        <v>4027</v>
      </c>
      <c r="AQ1055" s="28" t="s">
        <v>136</v>
      </c>
      <c r="AR1055" s="245"/>
      <c r="AU1055" s="28">
        <v>1</v>
      </c>
    </row>
    <row r="1056" s="39" customFormat="1" spans="1:44">
      <c r="A1056" s="327">
        <v>1052</v>
      </c>
      <c r="B1056" s="39" t="s">
        <v>3820</v>
      </c>
      <c r="C1056" s="39" t="s">
        <v>526</v>
      </c>
      <c r="D1056" s="39">
        <v>1</v>
      </c>
      <c r="E1056" s="39">
        <v>0</v>
      </c>
      <c r="G1056" s="39">
        <v>1</v>
      </c>
      <c r="H1056" s="339" t="s">
        <v>3821</v>
      </c>
      <c r="I1056" s="39">
        <f>123/30</f>
        <v>4.1</v>
      </c>
      <c r="J1056" s="39">
        <f>123/30</f>
        <v>4.1</v>
      </c>
      <c r="L1056" s="39">
        <v>0</v>
      </c>
      <c r="M1056" s="27">
        <f t="shared" ref="M1056:M1066" si="75">I1056-0.4</f>
        <v>3.7</v>
      </c>
      <c r="N1056" s="39" t="s">
        <v>3822</v>
      </c>
      <c r="O1056" s="536">
        <v>1</v>
      </c>
      <c r="P1056" s="39">
        <v>2.3</v>
      </c>
      <c r="Q1056" s="536">
        <v>0</v>
      </c>
      <c r="R1056" s="536"/>
      <c r="V1056" s="536">
        <v>6</v>
      </c>
      <c r="W1056" s="39">
        <v>0</v>
      </c>
      <c r="X1056" s="345">
        <v>3</v>
      </c>
      <c r="Y1056" s="28">
        <v>-0.1</v>
      </c>
      <c r="Z1056" s="536">
        <v>0</v>
      </c>
      <c r="AA1056" s="536"/>
      <c r="AC1056" s="536"/>
      <c r="AD1056" s="536"/>
      <c r="AN1056" s="352"/>
      <c r="AP1056" s="352">
        <v>4054</v>
      </c>
      <c r="AQ1056" s="39" t="s">
        <v>136</v>
      </c>
      <c r="AR1056" s="339"/>
    </row>
    <row r="1057" s="39" customFormat="1" spans="1:44">
      <c r="A1057" s="327">
        <v>1053</v>
      </c>
      <c r="B1057" s="39" t="s">
        <v>3820</v>
      </c>
      <c r="C1057" s="39" t="s">
        <v>3823</v>
      </c>
      <c r="D1057" s="39">
        <v>1</v>
      </c>
      <c r="E1057" s="39">
        <v>0</v>
      </c>
      <c r="G1057" s="39">
        <v>1</v>
      </c>
      <c r="H1057" s="339" t="s">
        <v>3824</v>
      </c>
      <c r="I1057" s="39">
        <f>92/30</f>
        <v>3.06666666666667</v>
      </c>
      <c r="J1057" s="39">
        <f>92/30</f>
        <v>3.06666666666667</v>
      </c>
      <c r="L1057" s="39">
        <v>1</v>
      </c>
      <c r="M1057" s="27">
        <f t="shared" si="75"/>
        <v>2.66666666666667</v>
      </c>
      <c r="N1057" s="39" t="s">
        <v>3825</v>
      </c>
      <c r="O1057" s="536">
        <v>1</v>
      </c>
      <c r="P1057" s="39">
        <v>2.3</v>
      </c>
      <c r="Q1057" s="536">
        <v>0</v>
      </c>
      <c r="R1057" s="536"/>
      <c r="V1057" s="536">
        <v>6</v>
      </c>
      <c r="W1057" s="39">
        <v>0</v>
      </c>
      <c r="X1057" s="345">
        <v>1</v>
      </c>
      <c r="Y1057" s="28">
        <v>-0.1</v>
      </c>
      <c r="Z1057" s="536">
        <v>0</v>
      </c>
      <c r="AA1057" s="536"/>
      <c r="AC1057" s="536"/>
      <c r="AD1057" s="536"/>
      <c r="AN1057" s="352"/>
      <c r="AP1057" s="352">
        <v>4056</v>
      </c>
      <c r="AQ1057" s="39" t="s">
        <v>136</v>
      </c>
      <c r="AR1057" s="339"/>
    </row>
    <row r="1058" s="39" customFormat="1" spans="1:47">
      <c r="A1058" s="327">
        <v>1054</v>
      </c>
      <c r="B1058" s="39" t="s">
        <v>3820</v>
      </c>
      <c r="C1058" s="39" t="s">
        <v>3826</v>
      </c>
      <c r="D1058" s="39">
        <v>1</v>
      </c>
      <c r="E1058" s="39">
        <v>0</v>
      </c>
      <c r="G1058" s="39">
        <v>1</v>
      </c>
      <c r="H1058" s="339" t="s">
        <v>3827</v>
      </c>
      <c r="I1058" s="39">
        <f>96/30</f>
        <v>3.2</v>
      </c>
      <c r="J1058" s="39">
        <f>96/30</f>
        <v>3.2</v>
      </c>
      <c r="L1058" s="39">
        <v>1</v>
      </c>
      <c r="M1058" s="27">
        <f t="shared" si="75"/>
        <v>2.8</v>
      </c>
      <c r="N1058" s="39" t="s">
        <v>3828</v>
      </c>
      <c r="O1058" s="536">
        <v>1</v>
      </c>
      <c r="P1058" s="39">
        <v>2.8</v>
      </c>
      <c r="Q1058" s="536">
        <v>0</v>
      </c>
      <c r="R1058" s="536"/>
      <c r="V1058" s="536">
        <v>6</v>
      </c>
      <c r="W1058" s="39">
        <v>0</v>
      </c>
      <c r="X1058" s="345">
        <v>1</v>
      </c>
      <c r="Y1058" s="28">
        <v>-0.1</v>
      </c>
      <c r="Z1058" s="536">
        <v>0</v>
      </c>
      <c r="AA1058" s="536"/>
      <c r="AB1058" s="39">
        <f>96/30-0.4</f>
        <v>2.8</v>
      </c>
      <c r="AC1058" s="536">
        <v>1</v>
      </c>
      <c r="AD1058" s="536">
        <v>1</v>
      </c>
      <c r="AE1058" s="28" t="s">
        <v>3829</v>
      </c>
      <c r="AF1058" s="39">
        <v>0.5</v>
      </c>
      <c r="AN1058" s="352"/>
      <c r="AP1058" s="352">
        <v>4058</v>
      </c>
      <c r="AQ1058" s="39" t="s">
        <v>136</v>
      </c>
      <c r="AR1058" s="339"/>
      <c r="AU1058" s="39">
        <v>1</v>
      </c>
    </row>
    <row r="1059" s="39" customFormat="1" spans="1:47">
      <c r="A1059" s="327">
        <v>1055</v>
      </c>
      <c r="B1059" s="39" t="s">
        <v>3820</v>
      </c>
      <c r="C1059" s="39" t="s">
        <v>3830</v>
      </c>
      <c r="D1059" s="39">
        <v>1</v>
      </c>
      <c r="E1059" s="39">
        <v>0</v>
      </c>
      <c r="G1059" s="39">
        <v>1</v>
      </c>
      <c r="H1059" s="339" t="s">
        <v>3831</v>
      </c>
      <c r="I1059" s="39">
        <f>115/30</f>
        <v>3.83333333333333</v>
      </c>
      <c r="J1059" s="39">
        <f>115/30</f>
        <v>3.83333333333333</v>
      </c>
      <c r="L1059" s="39">
        <v>1</v>
      </c>
      <c r="M1059" s="27">
        <f t="shared" si="75"/>
        <v>3.43333333333333</v>
      </c>
      <c r="N1059" s="39" t="s">
        <v>3832</v>
      </c>
      <c r="O1059" s="536">
        <v>1</v>
      </c>
      <c r="P1059" s="39">
        <v>22</v>
      </c>
      <c r="Q1059" s="536">
        <v>0</v>
      </c>
      <c r="R1059" s="536"/>
      <c r="V1059" s="536">
        <v>6</v>
      </c>
      <c r="W1059" s="39">
        <v>4</v>
      </c>
      <c r="X1059" s="345">
        <v>1</v>
      </c>
      <c r="Y1059" s="28">
        <v>-0.1</v>
      </c>
      <c r="Z1059" s="536">
        <v>0</v>
      </c>
      <c r="AA1059" s="536"/>
      <c r="AB1059" s="39">
        <f>115/30-0.4</f>
        <v>3.43333333333333</v>
      </c>
      <c r="AC1059" s="536">
        <v>1</v>
      </c>
      <c r="AD1059" s="536">
        <v>1</v>
      </c>
      <c r="AE1059" s="28" t="s">
        <v>3833</v>
      </c>
      <c r="AF1059" s="39">
        <v>0.5</v>
      </c>
      <c r="AN1059" s="352"/>
      <c r="AP1059" s="352">
        <v>4059</v>
      </c>
      <c r="AQ1059" s="39" t="s">
        <v>136</v>
      </c>
      <c r="AR1059" s="339"/>
      <c r="AU1059" s="39">
        <v>1</v>
      </c>
    </row>
    <row r="1060" s="39" customFormat="1" spans="1:47">
      <c r="A1060" s="327">
        <v>1056</v>
      </c>
      <c r="B1060" s="39" t="s">
        <v>3820</v>
      </c>
      <c r="C1060" s="39" t="s">
        <v>3834</v>
      </c>
      <c r="D1060" s="39">
        <v>1</v>
      </c>
      <c r="E1060" s="39">
        <v>0</v>
      </c>
      <c r="G1060" s="39">
        <v>1</v>
      </c>
      <c r="H1060" s="339" t="s">
        <v>3835</v>
      </c>
      <c r="I1060" s="39">
        <f>380/30</f>
        <v>12.6666666666667</v>
      </c>
      <c r="J1060" s="39">
        <f>380/30</f>
        <v>12.6666666666667</v>
      </c>
      <c r="L1060" s="39">
        <v>1</v>
      </c>
      <c r="M1060" s="27">
        <f t="shared" si="75"/>
        <v>12.2666666666667</v>
      </c>
      <c r="N1060" s="39" t="s">
        <v>3836</v>
      </c>
      <c r="O1060" s="536">
        <v>1</v>
      </c>
      <c r="P1060" s="39">
        <v>4.5</v>
      </c>
      <c r="Q1060" s="536">
        <v>0</v>
      </c>
      <c r="R1060" s="536"/>
      <c r="V1060" s="536">
        <v>6</v>
      </c>
      <c r="W1060" s="39">
        <v>0</v>
      </c>
      <c r="X1060" s="345">
        <v>6</v>
      </c>
      <c r="Y1060" s="28">
        <v>-0.1</v>
      </c>
      <c r="Z1060" s="536">
        <v>0</v>
      </c>
      <c r="AA1060" s="536"/>
      <c r="AB1060" s="39">
        <f>380/30-0.4</f>
        <v>12.2666666666667</v>
      </c>
      <c r="AC1060" s="536">
        <v>1</v>
      </c>
      <c r="AD1060" s="536">
        <v>1</v>
      </c>
      <c r="AE1060" s="28" t="s">
        <v>3837</v>
      </c>
      <c r="AF1060" s="39">
        <v>0.5</v>
      </c>
      <c r="AN1060" s="352">
        <v>4062</v>
      </c>
      <c r="AO1060" s="39" t="s">
        <v>966</v>
      </c>
      <c r="AP1060" s="352">
        <v>4061</v>
      </c>
      <c r="AQ1060" s="39" t="s">
        <v>136</v>
      </c>
      <c r="AR1060" s="339"/>
      <c r="AU1060" s="39">
        <v>1</v>
      </c>
    </row>
    <row r="1061" s="39" customFormat="1" spans="1:47">
      <c r="A1061" s="327">
        <v>1057</v>
      </c>
      <c r="B1061" s="39" t="s">
        <v>3820</v>
      </c>
      <c r="C1061" s="39" t="s">
        <v>3838</v>
      </c>
      <c r="D1061" s="39">
        <v>1</v>
      </c>
      <c r="E1061" s="39">
        <v>0</v>
      </c>
      <c r="G1061" s="39">
        <v>1</v>
      </c>
      <c r="H1061" s="339" t="s">
        <v>3839</v>
      </c>
      <c r="I1061" s="39">
        <f>330/30</f>
        <v>11</v>
      </c>
      <c r="J1061" s="39">
        <f>330/30</f>
        <v>11</v>
      </c>
      <c r="L1061" s="39">
        <v>1</v>
      </c>
      <c r="M1061" s="27">
        <f t="shared" si="75"/>
        <v>10.6</v>
      </c>
      <c r="N1061" s="39" t="s">
        <v>3840</v>
      </c>
      <c r="O1061" s="536">
        <v>1</v>
      </c>
      <c r="P1061" s="39">
        <v>22</v>
      </c>
      <c r="Q1061" s="536">
        <v>0</v>
      </c>
      <c r="R1061" s="536"/>
      <c r="V1061" s="536">
        <v>6</v>
      </c>
      <c r="W1061" s="39">
        <v>0</v>
      </c>
      <c r="X1061" s="345">
        <v>7</v>
      </c>
      <c r="Y1061" s="28">
        <v>-0.1</v>
      </c>
      <c r="Z1061" s="536">
        <v>0</v>
      </c>
      <c r="AA1061" s="536"/>
      <c r="AB1061" s="39">
        <f>330/30-0.4</f>
        <v>10.6</v>
      </c>
      <c r="AC1061" s="536">
        <v>1</v>
      </c>
      <c r="AD1061" s="536">
        <v>1</v>
      </c>
      <c r="AE1061" s="28" t="s">
        <v>3841</v>
      </c>
      <c r="AF1061" s="39">
        <v>0.5</v>
      </c>
      <c r="AN1061" s="352"/>
      <c r="AP1061" s="352">
        <v>4063</v>
      </c>
      <c r="AQ1061" s="39" t="s">
        <v>136</v>
      </c>
      <c r="AR1061" s="339"/>
      <c r="AU1061" s="39">
        <v>1</v>
      </c>
    </row>
    <row r="1062" s="39" customFormat="1" spans="1:47">
      <c r="A1062" s="327">
        <v>1058</v>
      </c>
      <c r="B1062" s="39" t="s">
        <v>3820</v>
      </c>
      <c r="C1062" s="39" t="s">
        <v>3842</v>
      </c>
      <c r="D1062" s="39">
        <v>1</v>
      </c>
      <c r="E1062" s="39">
        <v>0</v>
      </c>
      <c r="G1062" s="39">
        <v>1</v>
      </c>
      <c r="H1062" s="339" t="s">
        <v>3843</v>
      </c>
      <c r="I1062" s="39">
        <f>450/30</f>
        <v>15</v>
      </c>
      <c r="J1062" s="39">
        <f>450/30</f>
        <v>15</v>
      </c>
      <c r="L1062" s="39">
        <v>1</v>
      </c>
      <c r="M1062" s="27">
        <f t="shared" si="75"/>
        <v>14.6</v>
      </c>
      <c r="N1062" s="39" t="s">
        <v>3844</v>
      </c>
      <c r="O1062" s="536">
        <v>1</v>
      </c>
      <c r="P1062" s="39">
        <v>2.3</v>
      </c>
      <c r="Q1062" s="536">
        <v>0</v>
      </c>
      <c r="R1062" s="536"/>
      <c r="V1062" s="536">
        <v>6</v>
      </c>
      <c r="W1062" s="39">
        <v>0</v>
      </c>
      <c r="X1062" s="345">
        <v>3</v>
      </c>
      <c r="Y1062" s="28">
        <v>-0.1</v>
      </c>
      <c r="Z1062" s="536">
        <v>0</v>
      </c>
      <c r="AA1062" s="536"/>
      <c r="AB1062" s="39">
        <f>450/30-0.4</f>
        <v>14.6</v>
      </c>
      <c r="AC1062" s="536">
        <v>1</v>
      </c>
      <c r="AD1062" s="536">
        <v>1</v>
      </c>
      <c r="AE1062" s="28" t="s">
        <v>3845</v>
      </c>
      <c r="AF1062" s="39">
        <v>0.5</v>
      </c>
      <c r="AN1062" s="352"/>
      <c r="AP1062" s="352">
        <v>4064</v>
      </c>
      <c r="AQ1062" s="39" t="s">
        <v>136</v>
      </c>
      <c r="AR1062" s="339"/>
      <c r="AU1062" s="39">
        <v>1</v>
      </c>
    </row>
    <row r="1063" s="54" customFormat="1" spans="1:41">
      <c r="A1063" s="530">
        <v>1059</v>
      </c>
      <c r="B1063" s="54" t="s">
        <v>3846</v>
      </c>
      <c r="C1063" s="54" t="s">
        <v>173</v>
      </c>
      <c r="D1063" s="54">
        <v>1</v>
      </c>
      <c r="E1063" s="54">
        <v>0</v>
      </c>
      <c r="G1063" s="54">
        <v>1</v>
      </c>
      <c r="H1063" s="531" t="s">
        <v>174</v>
      </c>
      <c r="I1063" s="54">
        <v>4.8</v>
      </c>
      <c r="J1063" s="54">
        <v>4.8</v>
      </c>
      <c r="L1063" s="54">
        <v>1</v>
      </c>
      <c r="M1063" s="54">
        <f t="shared" si="75"/>
        <v>4.4</v>
      </c>
      <c r="N1063" s="54" t="s">
        <v>175</v>
      </c>
      <c r="O1063" s="54">
        <v>1</v>
      </c>
      <c r="P1063" s="54">
        <v>1.3</v>
      </c>
      <c r="Q1063" s="54">
        <v>0</v>
      </c>
      <c r="S1063" s="54">
        <v>0</v>
      </c>
      <c r="V1063" s="54">
        <v>1</v>
      </c>
      <c r="W1063" s="54">
        <v>6</v>
      </c>
      <c r="X1063" s="539">
        <v>1</v>
      </c>
      <c r="Y1063" s="54">
        <v>-0.1</v>
      </c>
      <c r="Z1063" s="54">
        <v>0</v>
      </c>
      <c r="AB1063" s="54">
        <v>4.6</v>
      </c>
      <c r="AC1063" s="54">
        <v>2</v>
      </c>
      <c r="AD1063" s="54">
        <v>1</v>
      </c>
      <c r="AE1063" s="54" t="s">
        <v>176</v>
      </c>
      <c r="AF1063" s="54">
        <f>IF(AD1063=--1,0.5,0)</f>
        <v>0.5</v>
      </c>
      <c r="AN1063" s="542">
        <v>7</v>
      </c>
      <c r="AO1063" s="54" t="s">
        <v>136</v>
      </c>
    </row>
    <row r="1064" s="54" customFormat="1" spans="1:55">
      <c r="A1064" s="530">
        <v>1060</v>
      </c>
      <c r="B1064" s="54" t="s">
        <v>3846</v>
      </c>
      <c r="C1064" s="54" t="s">
        <v>184</v>
      </c>
      <c r="D1064" s="54">
        <v>1</v>
      </c>
      <c r="E1064" s="54">
        <v>0</v>
      </c>
      <c r="G1064" s="54">
        <v>1</v>
      </c>
      <c r="H1064" s="531" t="s">
        <v>185</v>
      </c>
      <c r="I1064" s="54">
        <v>6.9</v>
      </c>
      <c r="J1064" s="54">
        <v>6.9</v>
      </c>
      <c r="L1064" s="54">
        <v>1</v>
      </c>
      <c r="M1064" s="54">
        <f t="shared" si="75"/>
        <v>6.5</v>
      </c>
      <c r="N1064" s="54" t="s">
        <v>186</v>
      </c>
      <c r="O1064" s="54">
        <v>1</v>
      </c>
      <c r="P1064" s="54">
        <v>1.3</v>
      </c>
      <c r="Q1064" s="54">
        <v>0</v>
      </c>
      <c r="S1064" s="54">
        <v>0</v>
      </c>
      <c r="V1064" s="54">
        <v>1</v>
      </c>
      <c r="W1064" s="54">
        <v>6</v>
      </c>
      <c r="X1064" s="539">
        <v>1</v>
      </c>
      <c r="Y1064" s="54">
        <v>-0.1</v>
      </c>
      <c r="Z1064" s="54">
        <v>0</v>
      </c>
      <c r="AB1064" s="54">
        <v>6.7</v>
      </c>
      <c r="AC1064" s="54">
        <v>2</v>
      </c>
      <c r="AD1064" s="54">
        <v>1</v>
      </c>
      <c r="AE1064" s="54" t="s">
        <v>187</v>
      </c>
      <c r="AF1064" s="54">
        <f>IF(AD1064=--1,0.5,0)</f>
        <v>0.5</v>
      </c>
      <c r="AN1064" s="542">
        <v>10</v>
      </c>
      <c r="AO1064" s="54" t="s">
        <v>136</v>
      </c>
      <c r="BC1064" s="54" t="s">
        <v>188</v>
      </c>
    </row>
    <row r="1065" s="45" customFormat="1" spans="1:43">
      <c r="A1065" s="437">
        <v>1061</v>
      </c>
      <c r="B1065" s="45" t="s">
        <v>3847</v>
      </c>
      <c r="C1065" s="45" t="s">
        <v>526</v>
      </c>
      <c r="D1065" s="45">
        <v>1</v>
      </c>
      <c r="E1065" s="45">
        <v>0</v>
      </c>
      <c r="G1065" s="45">
        <v>1</v>
      </c>
      <c r="H1065" s="532" t="s">
        <v>3848</v>
      </c>
      <c r="I1065" s="45">
        <f>56/30</f>
        <v>1.86666666666667</v>
      </c>
      <c r="J1065" s="45">
        <f>56/30</f>
        <v>1.86666666666667</v>
      </c>
      <c r="L1065" s="45">
        <v>0</v>
      </c>
      <c r="M1065" s="54">
        <f t="shared" ref="M1065:M1072" si="76">I1065-0.4</f>
        <v>1.46666666666667</v>
      </c>
      <c r="N1065" s="45" t="s">
        <v>3849</v>
      </c>
      <c r="O1065" s="45">
        <v>1</v>
      </c>
      <c r="P1065" s="45">
        <v>4</v>
      </c>
      <c r="Q1065" s="45">
        <v>0</v>
      </c>
      <c r="U1065" s="45">
        <v>2.5</v>
      </c>
      <c r="V1065" s="45">
        <v>6</v>
      </c>
      <c r="W1065" s="45">
        <v>0</v>
      </c>
      <c r="X1065" s="379">
        <v>2</v>
      </c>
      <c r="Y1065" s="54">
        <v>-0.1</v>
      </c>
      <c r="Z1065" s="45">
        <v>0</v>
      </c>
      <c r="AN1065" s="354"/>
      <c r="AP1065" s="45">
        <v>4067</v>
      </c>
      <c r="AQ1065" s="45" t="s">
        <v>136</v>
      </c>
    </row>
    <row r="1066" s="45" customFormat="1" spans="1:43">
      <c r="A1066" s="437">
        <v>1062</v>
      </c>
      <c r="B1066" s="45" t="s">
        <v>3847</v>
      </c>
      <c r="C1066" s="45" t="s">
        <v>3850</v>
      </c>
      <c r="D1066" s="45">
        <v>1</v>
      </c>
      <c r="E1066" s="45">
        <v>0</v>
      </c>
      <c r="G1066" s="45">
        <v>1</v>
      </c>
      <c r="H1066" s="532" t="s">
        <v>3851</v>
      </c>
      <c r="I1066" s="45">
        <f>95/30</f>
        <v>3.16666666666667</v>
      </c>
      <c r="J1066" s="45">
        <f>95/30</f>
        <v>3.16666666666667</v>
      </c>
      <c r="L1066" s="45">
        <v>1</v>
      </c>
      <c r="M1066" s="54">
        <f t="shared" si="76"/>
        <v>2.76666666666667</v>
      </c>
      <c r="N1066" s="45" t="s">
        <v>3852</v>
      </c>
      <c r="O1066" s="45">
        <v>1</v>
      </c>
      <c r="P1066" s="45">
        <v>4</v>
      </c>
      <c r="Q1066" s="45">
        <v>0</v>
      </c>
      <c r="U1066" s="45">
        <v>2.5</v>
      </c>
      <c r="V1066" s="45">
        <v>6</v>
      </c>
      <c r="W1066" s="45">
        <v>0</v>
      </c>
      <c r="X1066" s="379">
        <v>2</v>
      </c>
      <c r="Y1066" s="54">
        <v>-0.1</v>
      </c>
      <c r="Z1066" s="45">
        <v>0</v>
      </c>
      <c r="AN1066" s="354"/>
      <c r="AP1066" s="45">
        <v>4070</v>
      </c>
      <c r="AQ1066" s="45" t="s">
        <v>136</v>
      </c>
    </row>
    <row r="1067" s="45" customFormat="1" spans="1:43">
      <c r="A1067" s="437">
        <v>1063</v>
      </c>
      <c r="B1067" s="45" t="s">
        <v>3847</v>
      </c>
      <c r="C1067" s="45" t="s">
        <v>3853</v>
      </c>
      <c r="D1067" s="45">
        <v>1</v>
      </c>
      <c r="E1067" s="45">
        <v>0</v>
      </c>
      <c r="G1067" s="45">
        <v>1</v>
      </c>
      <c r="H1067" s="532" t="s">
        <v>3854</v>
      </c>
      <c r="I1067" s="45">
        <f>113/30</f>
        <v>3.76666666666667</v>
      </c>
      <c r="J1067" s="45">
        <f>113/30</f>
        <v>3.76666666666667</v>
      </c>
      <c r="L1067" s="45">
        <v>1</v>
      </c>
      <c r="M1067" s="54">
        <f t="shared" si="76"/>
        <v>3.36666666666667</v>
      </c>
      <c r="N1067" s="45" t="s">
        <v>3855</v>
      </c>
      <c r="O1067" s="45">
        <v>1</v>
      </c>
      <c r="P1067" s="45">
        <v>4</v>
      </c>
      <c r="Q1067" s="45">
        <v>0</v>
      </c>
      <c r="U1067" s="45">
        <v>2.5</v>
      </c>
      <c r="V1067" s="45">
        <v>6</v>
      </c>
      <c r="W1067" s="45">
        <v>0</v>
      </c>
      <c r="X1067" s="379">
        <v>1</v>
      </c>
      <c r="Y1067" s="54">
        <v>-0.1</v>
      </c>
      <c r="Z1067" s="45">
        <v>0</v>
      </c>
      <c r="AN1067" s="354">
        <v>4073</v>
      </c>
      <c r="AO1067" s="45" t="s">
        <v>690</v>
      </c>
      <c r="AP1067" s="45">
        <v>4072</v>
      </c>
      <c r="AQ1067" s="45" t="s">
        <v>136</v>
      </c>
    </row>
    <row r="1068" s="45" customFormat="1" spans="1:43">
      <c r="A1068" s="437">
        <v>1064</v>
      </c>
      <c r="B1068" s="45" t="s">
        <v>3847</v>
      </c>
      <c r="C1068" s="45" t="s">
        <v>3856</v>
      </c>
      <c r="D1068" s="45">
        <v>1</v>
      </c>
      <c r="E1068" s="45">
        <v>0</v>
      </c>
      <c r="G1068" s="45">
        <v>1</v>
      </c>
      <c r="H1068" s="532" t="s">
        <v>3857</v>
      </c>
      <c r="I1068" s="45">
        <f>76/30</f>
        <v>2.53333333333333</v>
      </c>
      <c r="J1068" s="45">
        <f>76/30</f>
        <v>2.53333333333333</v>
      </c>
      <c r="L1068" s="45">
        <v>1</v>
      </c>
      <c r="M1068" s="54">
        <f t="shared" si="76"/>
        <v>2.13333333333333</v>
      </c>
      <c r="N1068" s="45" t="s">
        <v>3858</v>
      </c>
      <c r="O1068" s="45">
        <v>1</v>
      </c>
      <c r="P1068" s="45">
        <v>4</v>
      </c>
      <c r="Q1068" s="45">
        <v>0</v>
      </c>
      <c r="U1068" s="45">
        <v>2.5</v>
      </c>
      <c r="V1068" s="45">
        <v>6</v>
      </c>
      <c r="W1068" s="45">
        <v>7</v>
      </c>
      <c r="X1068" s="379">
        <v>1</v>
      </c>
      <c r="Y1068" s="54">
        <v>-0.1</v>
      </c>
      <c r="Z1068" s="45">
        <v>0</v>
      </c>
      <c r="AN1068" s="354">
        <v>4075</v>
      </c>
      <c r="AO1068" s="45" t="s">
        <v>489</v>
      </c>
      <c r="AP1068" s="45">
        <v>4074</v>
      </c>
      <c r="AQ1068" s="45" t="s">
        <v>136</v>
      </c>
    </row>
    <row r="1069" s="45" customFormat="1" spans="1:47">
      <c r="A1069" s="437">
        <v>1065</v>
      </c>
      <c r="B1069" s="45" t="s">
        <v>3847</v>
      </c>
      <c r="C1069" s="45" t="s">
        <v>3859</v>
      </c>
      <c r="D1069" s="45">
        <v>1</v>
      </c>
      <c r="E1069" s="45">
        <v>0</v>
      </c>
      <c r="G1069" s="45">
        <v>1</v>
      </c>
      <c r="H1069" s="532" t="s">
        <v>3860</v>
      </c>
      <c r="I1069" s="45">
        <f>313/30</f>
        <v>10.4333333333333</v>
      </c>
      <c r="J1069" s="45">
        <f>313/30</f>
        <v>10.4333333333333</v>
      </c>
      <c r="L1069" s="45">
        <v>1</v>
      </c>
      <c r="M1069" s="54">
        <f t="shared" si="76"/>
        <v>10.0333333333333</v>
      </c>
      <c r="N1069" s="45" t="s">
        <v>3861</v>
      </c>
      <c r="O1069" s="45">
        <v>1</v>
      </c>
      <c r="P1069" s="45">
        <v>27</v>
      </c>
      <c r="Q1069" s="45">
        <v>0</v>
      </c>
      <c r="V1069" s="45">
        <v>6</v>
      </c>
      <c r="W1069" s="45">
        <v>6</v>
      </c>
      <c r="X1069" s="379">
        <v>13</v>
      </c>
      <c r="Y1069" s="54">
        <v>-0.1</v>
      </c>
      <c r="Z1069" s="45">
        <v>0</v>
      </c>
      <c r="AB1069" s="45">
        <f>I1069-0.4</f>
        <v>10.0333333333333</v>
      </c>
      <c r="AC1069" s="45">
        <v>2</v>
      </c>
      <c r="AD1069" s="45">
        <v>1</v>
      </c>
      <c r="AE1069" s="54" t="s">
        <v>3862</v>
      </c>
      <c r="AF1069" s="45">
        <v>0.5</v>
      </c>
      <c r="AN1069" s="354"/>
      <c r="AP1069" s="45">
        <v>4077</v>
      </c>
      <c r="AQ1069" s="45" t="s">
        <v>136</v>
      </c>
      <c r="AU1069" s="45">
        <v>1</v>
      </c>
    </row>
    <row r="1070" s="45" customFormat="1" spans="1:47">
      <c r="A1070" s="437">
        <v>1066</v>
      </c>
      <c r="B1070" s="45" t="s">
        <v>3847</v>
      </c>
      <c r="C1070" s="45" t="s">
        <v>3863</v>
      </c>
      <c r="D1070" s="45">
        <v>1</v>
      </c>
      <c r="E1070" s="45">
        <v>0</v>
      </c>
      <c r="G1070" s="45">
        <v>1</v>
      </c>
      <c r="H1070" s="532" t="s">
        <v>3864</v>
      </c>
      <c r="I1070" s="45">
        <f>370/30</f>
        <v>12.3333333333333</v>
      </c>
      <c r="J1070" s="45">
        <f>370/30</f>
        <v>12.3333333333333</v>
      </c>
      <c r="L1070" s="45">
        <v>1</v>
      </c>
      <c r="M1070" s="54">
        <f t="shared" si="76"/>
        <v>11.9333333333333</v>
      </c>
      <c r="N1070" s="45" t="s">
        <v>3865</v>
      </c>
      <c r="O1070" s="45">
        <v>1</v>
      </c>
      <c r="P1070" s="45">
        <v>4</v>
      </c>
      <c r="Q1070" s="45">
        <v>0</v>
      </c>
      <c r="V1070" s="45">
        <v>6</v>
      </c>
      <c r="W1070" s="45">
        <v>0</v>
      </c>
      <c r="X1070" s="379">
        <v>18</v>
      </c>
      <c r="Y1070" s="54">
        <v>-0.1</v>
      </c>
      <c r="Z1070" s="45">
        <v>0</v>
      </c>
      <c r="AB1070" s="45">
        <f>I1070-0.4</f>
        <v>11.9333333333333</v>
      </c>
      <c r="AC1070" s="45">
        <v>2</v>
      </c>
      <c r="AD1070" s="45">
        <v>1</v>
      </c>
      <c r="AE1070" s="54" t="s">
        <v>3866</v>
      </c>
      <c r="AF1070" s="45">
        <v>0.5</v>
      </c>
      <c r="AN1070" s="354"/>
      <c r="AP1070" s="45">
        <v>4078</v>
      </c>
      <c r="AQ1070" s="45" t="s">
        <v>136</v>
      </c>
      <c r="AU1070" s="45">
        <v>1</v>
      </c>
    </row>
    <row r="1071" s="45" customFormat="1" spans="1:47">
      <c r="A1071" s="437">
        <v>1067</v>
      </c>
      <c r="B1071" s="45" t="s">
        <v>3847</v>
      </c>
      <c r="C1071" s="45" t="s">
        <v>3867</v>
      </c>
      <c r="D1071" s="45">
        <v>1</v>
      </c>
      <c r="E1071" s="45">
        <v>0</v>
      </c>
      <c r="G1071" s="45">
        <v>1</v>
      </c>
      <c r="H1071" s="532" t="s">
        <v>3868</v>
      </c>
      <c r="I1071" s="45">
        <f>380/30</f>
        <v>12.6666666666667</v>
      </c>
      <c r="J1071" s="45">
        <f>380/30</f>
        <v>12.6666666666667</v>
      </c>
      <c r="L1071" s="45">
        <v>1</v>
      </c>
      <c r="M1071" s="54">
        <f t="shared" si="76"/>
        <v>12.2666666666667</v>
      </c>
      <c r="N1071" s="45" t="s">
        <v>3869</v>
      </c>
      <c r="O1071" s="45">
        <v>1</v>
      </c>
      <c r="P1071" s="45">
        <v>4</v>
      </c>
      <c r="Q1071" s="45">
        <v>0</v>
      </c>
      <c r="V1071" s="45">
        <v>5</v>
      </c>
      <c r="W1071" s="45">
        <v>29</v>
      </c>
      <c r="X1071" s="379">
        <v>1</v>
      </c>
      <c r="Y1071" s="54">
        <v>-0.1</v>
      </c>
      <c r="Z1071" s="45">
        <v>0</v>
      </c>
      <c r="AB1071" s="45">
        <f>I1071-0.4</f>
        <v>12.2666666666667</v>
      </c>
      <c r="AC1071" s="45">
        <v>2</v>
      </c>
      <c r="AD1071" s="45">
        <v>1</v>
      </c>
      <c r="AE1071" s="54" t="s">
        <v>3870</v>
      </c>
      <c r="AF1071" s="45">
        <v>0.5</v>
      </c>
      <c r="AN1071" s="354"/>
      <c r="AP1071" s="45">
        <v>4079</v>
      </c>
      <c r="AQ1071" s="45" t="s">
        <v>136</v>
      </c>
      <c r="AU1071" s="45">
        <v>1</v>
      </c>
    </row>
    <row r="1072" s="49" customFormat="1" ht="16.5" spans="1:43">
      <c r="A1072" s="404">
        <v>1068</v>
      </c>
      <c r="B1072" s="49" t="s">
        <v>3871</v>
      </c>
      <c r="C1072" s="49" t="s">
        <v>526</v>
      </c>
      <c r="D1072" s="49">
        <v>1</v>
      </c>
      <c r="E1072" s="49">
        <v>0</v>
      </c>
      <c r="G1072" s="49">
        <v>1</v>
      </c>
      <c r="H1072" s="82">
        <v>12701</v>
      </c>
      <c r="I1072" s="49">
        <f>71/30</f>
        <v>2.36666666666667</v>
      </c>
      <c r="J1072" s="49">
        <f>71/30</f>
        <v>2.36666666666667</v>
      </c>
      <c r="L1072" s="49">
        <v>0</v>
      </c>
      <c r="M1072" s="54">
        <f t="shared" ref="M1072:M1081" si="77">I1072-0.4</f>
        <v>1.96666666666667</v>
      </c>
      <c r="N1072" s="49" t="s">
        <v>3872</v>
      </c>
      <c r="O1072" s="49">
        <v>1</v>
      </c>
      <c r="P1072" s="49">
        <v>1.2</v>
      </c>
      <c r="Q1072" s="49">
        <v>0</v>
      </c>
      <c r="V1072" s="49">
        <v>1</v>
      </c>
      <c r="W1072" s="49">
        <v>0</v>
      </c>
      <c r="X1072" s="416">
        <v>3</v>
      </c>
      <c r="Y1072" s="54">
        <v>-0.1</v>
      </c>
      <c r="Z1072" s="49">
        <v>0</v>
      </c>
      <c r="AN1072" s="421"/>
      <c r="AP1072" s="436">
        <v>4089</v>
      </c>
      <c r="AQ1072" s="49" t="s">
        <v>136</v>
      </c>
    </row>
    <row r="1073" s="49" customFormat="1" ht="16.5" spans="1:43">
      <c r="A1073" s="404">
        <v>1069</v>
      </c>
      <c r="B1073" s="49" t="s">
        <v>3871</v>
      </c>
      <c r="C1073" s="49" t="s">
        <v>3873</v>
      </c>
      <c r="D1073" s="49">
        <v>1</v>
      </c>
      <c r="E1073" s="49">
        <v>0</v>
      </c>
      <c r="G1073" s="49">
        <v>1</v>
      </c>
      <c r="H1073" s="82">
        <v>12702</v>
      </c>
      <c r="I1073" s="49">
        <f>48/30</f>
        <v>1.6</v>
      </c>
      <c r="J1073" s="49">
        <f>48/30</f>
        <v>1.6</v>
      </c>
      <c r="L1073" s="49">
        <v>1</v>
      </c>
      <c r="M1073" s="54">
        <f t="shared" si="77"/>
        <v>1.2</v>
      </c>
      <c r="N1073" s="49" t="s">
        <v>3874</v>
      </c>
      <c r="O1073" s="49">
        <v>1</v>
      </c>
      <c r="P1073" s="49">
        <v>1.2</v>
      </c>
      <c r="Q1073" s="49">
        <v>0</v>
      </c>
      <c r="S1073" s="49">
        <v>3</v>
      </c>
      <c r="U1073" s="49">
        <v>1</v>
      </c>
      <c r="V1073" s="49">
        <v>1</v>
      </c>
      <c r="W1073" s="49">
        <v>0</v>
      </c>
      <c r="X1073" s="416">
        <v>1</v>
      </c>
      <c r="Y1073" s="54">
        <v>-0.1</v>
      </c>
      <c r="Z1073" s="49">
        <v>0</v>
      </c>
      <c r="AN1073" s="421"/>
      <c r="AP1073" s="436">
        <v>4091</v>
      </c>
      <c r="AQ1073" s="49" t="s">
        <v>136</v>
      </c>
    </row>
    <row r="1074" s="49" customFormat="1" ht="16.5" spans="1:47">
      <c r="A1074" s="404">
        <v>1070</v>
      </c>
      <c r="B1074" s="49" t="s">
        <v>3871</v>
      </c>
      <c r="C1074" s="49" t="s">
        <v>3875</v>
      </c>
      <c r="D1074" s="49">
        <v>1</v>
      </c>
      <c r="E1074" s="49">
        <v>0</v>
      </c>
      <c r="G1074" s="49">
        <v>1</v>
      </c>
      <c r="H1074" s="82">
        <v>3007603</v>
      </c>
      <c r="I1074" s="49">
        <f>97/30</f>
        <v>3.23333333333333</v>
      </c>
      <c r="J1074" s="49">
        <f>97/30</f>
        <v>3.23333333333333</v>
      </c>
      <c r="L1074" s="49">
        <v>1</v>
      </c>
      <c r="M1074" s="54">
        <f t="shared" si="77"/>
        <v>2.83333333333333</v>
      </c>
      <c r="N1074" s="49" t="s">
        <v>3876</v>
      </c>
      <c r="O1074" s="49">
        <v>1</v>
      </c>
      <c r="P1074" s="49">
        <v>1.2</v>
      </c>
      <c r="Q1074" s="49">
        <v>0</v>
      </c>
      <c r="V1074" s="49">
        <v>1</v>
      </c>
      <c r="W1074" s="49">
        <v>6</v>
      </c>
      <c r="X1074" s="416">
        <v>1</v>
      </c>
      <c r="Y1074" s="54">
        <v>-0.1</v>
      </c>
      <c r="Z1074" s="49">
        <v>0</v>
      </c>
      <c r="AB1074" s="45">
        <f>I1074</f>
        <v>3.23333333333333</v>
      </c>
      <c r="AC1074" s="49">
        <v>2</v>
      </c>
      <c r="AD1074" s="49">
        <v>1</v>
      </c>
      <c r="AE1074" s="54" t="s">
        <v>3877</v>
      </c>
      <c r="AF1074" s="49">
        <v>0.4</v>
      </c>
      <c r="AN1074" s="421"/>
      <c r="AP1074" s="436">
        <v>4092</v>
      </c>
      <c r="AQ1074" s="49" t="s">
        <v>136</v>
      </c>
      <c r="AU1074" s="49">
        <v>1</v>
      </c>
    </row>
    <row r="1075" s="49" customFormat="1" ht="16.5" spans="1:47">
      <c r="A1075" s="404">
        <v>1071</v>
      </c>
      <c r="B1075" s="49" t="s">
        <v>3871</v>
      </c>
      <c r="C1075" s="49" t="s">
        <v>3878</v>
      </c>
      <c r="D1075" s="49">
        <v>1</v>
      </c>
      <c r="E1075" s="49">
        <v>0</v>
      </c>
      <c r="G1075" s="49">
        <v>1</v>
      </c>
      <c r="H1075" s="82">
        <v>3007604</v>
      </c>
      <c r="I1075" s="49">
        <f>108/30</f>
        <v>3.6</v>
      </c>
      <c r="J1075" s="49">
        <f>108/30</f>
        <v>3.6</v>
      </c>
      <c r="L1075" s="49">
        <v>1</v>
      </c>
      <c r="M1075" s="54">
        <f t="shared" si="77"/>
        <v>3.2</v>
      </c>
      <c r="N1075" s="49" t="s">
        <v>3879</v>
      </c>
      <c r="O1075" s="49">
        <v>1</v>
      </c>
      <c r="P1075" s="49">
        <v>1.2</v>
      </c>
      <c r="Q1075" s="49">
        <v>0</v>
      </c>
      <c r="V1075" s="49">
        <v>1</v>
      </c>
      <c r="W1075" s="49">
        <v>8</v>
      </c>
      <c r="X1075" s="416">
        <v>1</v>
      </c>
      <c r="Y1075" s="54">
        <v>-0.1</v>
      </c>
      <c r="Z1075" s="49">
        <v>0</v>
      </c>
      <c r="AB1075" s="45">
        <f>I1075</f>
        <v>3.6</v>
      </c>
      <c r="AC1075" s="49">
        <v>2</v>
      </c>
      <c r="AD1075" s="49">
        <v>1</v>
      </c>
      <c r="AE1075" s="54" t="s">
        <v>3880</v>
      </c>
      <c r="AF1075" s="49">
        <v>0.4</v>
      </c>
      <c r="AN1075" s="421"/>
      <c r="AP1075" s="436">
        <v>4093</v>
      </c>
      <c r="AQ1075" s="49" t="s">
        <v>136</v>
      </c>
      <c r="AU1075" s="49">
        <v>1</v>
      </c>
    </row>
    <row r="1076" s="49" customFormat="1" ht="16.5" spans="1:47">
      <c r="A1076" s="404">
        <v>1072</v>
      </c>
      <c r="B1076" s="49" t="s">
        <v>3871</v>
      </c>
      <c r="C1076" s="49" t="s">
        <v>3881</v>
      </c>
      <c r="D1076" s="49">
        <v>1</v>
      </c>
      <c r="E1076" s="49">
        <v>0</v>
      </c>
      <c r="G1076" s="49">
        <v>1</v>
      </c>
      <c r="H1076" s="82">
        <v>3007605</v>
      </c>
      <c r="I1076" s="49">
        <f>83/30</f>
        <v>2.76666666666667</v>
      </c>
      <c r="J1076" s="49">
        <f>83/30</f>
        <v>2.76666666666667</v>
      </c>
      <c r="L1076" s="49">
        <v>1</v>
      </c>
      <c r="M1076" s="54">
        <f t="shared" si="77"/>
        <v>2.36666666666667</v>
      </c>
      <c r="N1076" s="49" t="s">
        <v>3882</v>
      </c>
      <c r="O1076" s="49">
        <v>1</v>
      </c>
      <c r="P1076" s="49">
        <v>1.2</v>
      </c>
      <c r="Q1076" s="49">
        <v>0</v>
      </c>
      <c r="V1076" s="49">
        <v>1</v>
      </c>
      <c r="W1076" s="49">
        <v>0</v>
      </c>
      <c r="X1076" s="416">
        <v>1</v>
      </c>
      <c r="Y1076" s="54">
        <v>-0.1</v>
      </c>
      <c r="Z1076" s="49">
        <v>0</v>
      </c>
      <c r="AB1076" s="45">
        <f>I1076</f>
        <v>2.76666666666667</v>
      </c>
      <c r="AC1076" s="49">
        <v>2</v>
      </c>
      <c r="AD1076" s="49">
        <v>1</v>
      </c>
      <c r="AE1076" s="54" t="s">
        <v>3883</v>
      </c>
      <c r="AF1076" s="49">
        <v>0.4</v>
      </c>
      <c r="AN1076" s="421"/>
      <c r="AP1076" s="436">
        <v>4094</v>
      </c>
      <c r="AQ1076" s="49" t="s">
        <v>136</v>
      </c>
      <c r="AU1076" s="49">
        <v>1</v>
      </c>
    </row>
    <row r="1077" s="49" customFormat="1" ht="16.5" spans="1:47">
      <c r="A1077" s="404">
        <v>1073</v>
      </c>
      <c r="B1077" s="49" t="s">
        <v>3871</v>
      </c>
      <c r="C1077" s="49" t="s">
        <v>3884</v>
      </c>
      <c r="D1077" s="49">
        <v>1</v>
      </c>
      <c r="E1077" s="49">
        <v>0</v>
      </c>
      <c r="G1077" s="49">
        <v>1</v>
      </c>
      <c r="H1077" s="82">
        <v>12706</v>
      </c>
      <c r="I1077" s="49">
        <f>290/30</f>
        <v>9.66666666666667</v>
      </c>
      <c r="J1077" s="49">
        <f>290/30</f>
        <v>9.66666666666667</v>
      </c>
      <c r="L1077" s="49">
        <v>1</v>
      </c>
      <c r="M1077" s="54">
        <f t="shared" si="77"/>
        <v>9.26666666666667</v>
      </c>
      <c r="N1077" s="49" t="s">
        <v>3885</v>
      </c>
      <c r="O1077" s="49">
        <v>1</v>
      </c>
      <c r="P1077" s="49">
        <v>1.2</v>
      </c>
      <c r="Q1077" s="49">
        <v>0</v>
      </c>
      <c r="V1077" s="49">
        <v>1</v>
      </c>
      <c r="W1077" s="49">
        <v>6</v>
      </c>
      <c r="X1077" s="416">
        <v>1</v>
      </c>
      <c r="Y1077" s="54">
        <v>-0.1</v>
      </c>
      <c r="Z1077" s="49">
        <v>0</v>
      </c>
      <c r="AB1077" s="45">
        <f>I1077-0.4</f>
        <v>9.26666666666667</v>
      </c>
      <c r="AC1077" s="49">
        <v>2</v>
      </c>
      <c r="AD1077" s="49">
        <v>1</v>
      </c>
      <c r="AE1077" s="54" t="s">
        <v>3886</v>
      </c>
      <c r="AF1077" s="49">
        <v>0.5</v>
      </c>
      <c r="AN1077" s="421"/>
      <c r="AP1077" s="436">
        <v>4095</v>
      </c>
      <c r="AQ1077" s="49" t="s">
        <v>136</v>
      </c>
      <c r="AU1077" s="49">
        <v>1</v>
      </c>
    </row>
    <row r="1078" s="49" customFormat="1" ht="16.5" spans="1:47">
      <c r="A1078" s="404">
        <v>1074</v>
      </c>
      <c r="B1078" s="49" t="s">
        <v>3871</v>
      </c>
      <c r="C1078" s="49" t="s">
        <v>3887</v>
      </c>
      <c r="D1078" s="49">
        <v>1</v>
      </c>
      <c r="E1078" s="49">
        <v>0</v>
      </c>
      <c r="G1078" s="49">
        <v>1</v>
      </c>
      <c r="H1078" s="82">
        <v>3007607</v>
      </c>
      <c r="I1078" s="49">
        <f>385/30-0.4</f>
        <v>12.4333333333333</v>
      </c>
      <c r="J1078" s="49">
        <f>385/30-0.4</f>
        <v>12.4333333333333</v>
      </c>
      <c r="L1078" s="49">
        <v>1</v>
      </c>
      <c r="M1078" s="54">
        <f t="shared" si="77"/>
        <v>12.0333333333333</v>
      </c>
      <c r="N1078" s="49" t="s">
        <v>3888</v>
      </c>
      <c r="O1078" s="49">
        <v>1</v>
      </c>
      <c r="P1078" s="49">
        <v>1.2</v>
      </c>
      <c r="Q1078" s="49">
        <v>0</v>
      </c>
      <c r="V1078" s="49">
        <v>1</v>
      </c>
      <c r="W1078" s="49">
        <v>0</v>
      </c>
      <c r="X1078" s="416">
        <v>1</v>
      </c>
      <c r="Y1078" s="54">
        <v>-0.1</v>
      </c>
      <c r="Z1078" s="49">
        <v>0</v>
      </c>
      <c r="AB1078" s="45">
        <f>I1078-0.5</f>
        <v>11.9333333333333</v>
      </c>
      <c r="AC1078" s="49">
        <v>2</v>
      </c>
      <c r="AD1078" s="49">
        <v>1</v>
      </c>
      <c r="AE1078" s="54" t="s">
        <v>3889</v>
      </c>
      <c r="AF1078" s="49">
        <v>0.5</v>
      </c>
      <c r="AN1078" s="421"/>
      <c r="AP1078" s="436">
        <v>4096</v>
      </c>
      <c r="AQ1078" s="49" t="s">
        <v>136</v>
      </c>
      <c r="AU1078" s="49">
        <v>1</v>
      </c>
    </row>
    <row r="1079" s="49" customFormat="1" ht="16.5" spans="1:47">
      <c r="A1079" s="404">
        <v>1075</v>
      </c>
      <c r="B1079" s="49" t="s">
        <v>3871</v>
      </c>
      <c r="C1079" s="49" t="s">
        <v>3890</v>
      </c>
      <c r="D1079" s="49">
        <v>1</v>
      </c>
      <c r="E1079" s="49">
        <v>0</v>
      </c>
      <c r="G1079" s="49">
        <v>1</v>
      </c>
      <c r="H1079" s="82">
        <v>3007608</v>
      </c>
      <c r="I1079" s="49">
        <v>10</v>
      </c>
      <c r="J1079" s="49">
        <v>10</v>
      </c>
      <c r="L1079" s="49">
        <v>1</v>
      </c>
      <c r="M1079" s="54">
        <f t="shared" si="77"/>
        <v>9.6</v>
      </c>
      <c r="N1079" s="49" t="s">
        <v>3891</v>
      </c>
      <c r="O1079" s="49">
        <v>1</v>
      </c>
      <c r="P1079" s="49">
        <v>20</v>
      </c>
      <c r="Q1079" s="49">
        <v>0</v>
      </c>
      <c r="V1079" s="49">
        <v>1</v>
      </c>
      <c r="W1079" s="49">
        <v>0</v>
      </c>
      <c r="X1079" s="416">
        <v>1</v>
      </c>
      <c r="Y1079" s="54">
        <v>-0.1</v>
      </c>
      <c r="Z1079" s="49">
        <v>0</v>
      </c>
      <c r="AB1079" s="45">
        <f>I1079-0.4</f>
        <v>9.6</v>
      </c>
      <c r="AC1079" s="49">
        <v>2</v>
      </c>
      <c r="AD1079" s="49">
        <v>1</v>
      </c>
      <c r="AE1079" s="54" t="s">
        <v>3892</v>
      </c>
      <c r="AF1079" s="49">
        <v>0.5</v>
      </c>
      <c r="AN1079" s="421">
        <v>4098</v>
      </c>
      <c r="AO1079" s="49" t="s">
        <v>966</v>
      </c>
      <c r="AP1079" s="436">
        <v>4097</v>
      </c>
      <c r="AQ1079" s="49" t="s">
        <v>136</v>
      </c>
      <c r="AU1079" s="49">
        <v>1</v>
      </c>
    </row>
    <row r="1080" s="39" customFormat="1" spans="1:47">
      <c r="A1080" s="327">
        <v>1076</v>
      </c>
      <c r="B1080" s="39" t="s">
        <v>3820</v>
      </c>
      <c r="C1080" s="39" t="s">
        <v>3893</v>
      </c>
      <c r="D1080" s="39">
        <v>1</v>
      </c>
      <c r="E1080" s="39">
        <v>0</v>
      </c>
      <c r="G1080" s="39">
        <v>1</v>
      </c>
      <c r="H1080" s="339" t="s">
        <v>3843</v>
      </c>
      <c r="I1080" s="39">
        <f>450/30</f>
        <v>15</v>
      </c>
      <c r="J1080" s="39">
        <f>450/30</f>
        <v>15</v>
      </c>
      <c r="L1080" s="39">
        <v>1</v>
      </c>
      <c r="M1080" s="27">
        <f t="shared" si="77"/>
        <v>14.6</v>
      </c>
      <c r="N1080" s="39" t="s">
        <v>3844</v>
      </c>
      <c r="O1080" s="536">
        <v>1</v>
      </c>
      <c r="P1080" s="39">
        <v>2.3</v>
      </c>
      <c r="Q1080" s="536">
        <v>0</v>
      </c>
      <c r="R1080" s="536"/>
      <c r="V1080" s="536">
        <v>6</v>
      </c>
      <c r="W1080" s="39">
        <v>8</v>
      </c>
      <c r="X1080" s="345">
        <v>3</v>
      </c>
      <c r="Y1080" s="28">
        <v>-0.1</v>
      </c>
      <c r="Z1080" s="536">
        <v>0</v>
      </c>
      <c r="AA1080" s="536"/>
      <c r="AB1080" s="39">
        <f>450/30-0.4</f>
        <v>14.6</v>
      </c>
      <c r="AC1080" s="536">
        <v>1</v>
      </c>
      <c r="AD1080" s="536">
        <v>1</v>
      </c>
      <c r="AE1080" s="28" t="s">
        <v>3845</v>
      </c>
      <c r="AF1080" s="39">
        <v>0.5</v>
      </c>
      <c r="AN1080" s="352"/>
      <c r="AP1080" s="352">
        <v>4064</v>
      </c>
      <c r="AQ1080" s="39" t="s">
        <v>136</v>
      </c>
      <c r="AR1080" s="339"/>
      <c r="AU1080" s="39">
        <v>1</v>
      </c>
    </row>
    <row r="1081" s="55" customFormat="1" spans="1:43">
      <c r="A1081" s="327">
        <v>1077</v>
      </c>
      <c r="B1081" s="55" t="s">
        <v>3894</v>
      </c>
      <c r="C1081" s="55" t="s">
        <v>526</v>
      </c>
      <c r="D1081" s="55">
        <v>1</v>
      </c>
      <c r="E1081" s="55">
        <v>0</v>
      </c>
      <c r="G1081" s="55">
        <v>1</v>
      </c>
      <c r="H1081" s="5" t="s">
        <v>3895</v>
      </c>
      <c r="I1081" s="55">
        <f>93/30</f>
        <v>3.1</v>
      </c>
      <c r="J1081" s="55">
        <f>93/30</f>
        <v>3.1</v>
      </c>
      <c r="L1081" s="55">
        <v>0</v>
      </c>
      <c r="M1081" s="27">
        <f t="shared" ref="M1081:M1088" si="78">I1081-0.4</f>
        <v>2.7</v>
      </c>
      <c r="N1081" s="55" t="s">
        <v>3896</v>
      </c>
      <c r="O1081" s="55">
        <v>1</v>
      </c>
      <c r="P1081" s="55">
        <v>2.2</v>
      </c>
      <c r="Q1081" s="55">
        <v>0</v>
      </c>
      <c r="R1081" s="55">
        <v>1</v>
      </c>
      <c r="U1081" s="55">
        <v>1</v>
      </c>
      <c r="V1081" s="55">
        <v>1</v>
      </c>
      <c r="W1081" s="55">
        <v>0</v>
      </c>
      <c r="X1081" s="540">
        <v>3</v>
      </c>
      <c r="Y1081" s="28">
        <v>-0.1</v>
      </c>
      <c r="Z1081" s="55">
        <v>0</v>
      </c>
      <c r="AN1081" s="543"/>
      <c r="AP1081" s="55">
        <v>4101</v>
      </c>
      <c r="AQ1081" s="55" t="s">
        <v>136</v>
      </c>
    </row>
    <row r="1082" s="55" customFormat="1" spans="1:43">
      <c r="A1082" s="327">
        <v>1078</v>
      </c>
      <c r="B1082" s="55" t="s">
        <v>3894</v>
      </c>
      <c r="C1082" s="533" t="s">
        <v>3897</v>
      </c>
      <c r="D1082" s="55">
        <v>1</v>
      </c>
      <c r="E1082" s="55">
        <v>0</v>
      </c>
      <c r="G1082" s="55">
        <v>1</v>
      </c>
      <c r="H1082" s="5" t="s">
        <v>3898</v>
      </c>
      <c r="I1082" s="55">
        <f>125/30</f>
        <v>4.16666666666667</v>
      </c>
      <c r="J1082" s="55">
        <f>125/30</f>
        <v>4.16666666666667</v>
      </c>
      <c r="L1082" s="55">
        <v>1</v>
      </c>
      <c r="M1082" s="27">
        <f t="shared" si="78"/>
        <v>3.76666666666667</v>
      </c>
      <c r="N1082" s="55" t="s">
        <v>3899</v>
      </c>
      <c r="O1082" s="55">
        <v>1</v>
      </c>
      <c r="P1082" s="55">
        <v>2.2</v>
      </c>
      <c r="Q1082" s="55">
        <v>0</v>
      </c>
      <c r="R1082" s="55">
        <v>1</v>
      </c>
      <c r="S1082" s="55">
        <v>1</v>
      </c>
      <c r="U1082" s="55">
        <v>1</v>
      </c>
      <c r="V1082" s="55">
        <v>1</v>
      </c>
      <c r="W1082" s="55">
        <v>0</v>
      </c>
      <c r="X1082" s="540">
        <v>7</v>
      </c>
      <c r="Y1082" s="28">
        <v>-0.1</v>
      </c>
      <c r="Z1082" s="55">
        <v>0</v>
      </c>
      <c r="AN1082" s="543"/>
      <c r="AP1082" s="55">
        <v>4103</v>
      </c>
      <c r="AQ1082" s="55" t="s">
        <v>136</v>
      </c>
    </row>
    <row r="1083" s="55" customFormat="1" spans="1:43">
      <c r="A1083" s="327">
        <v>1079</v>
      </c>
      <c r="B1083" s="55" t="s">
        <v>3894</v>
      </c>
      <c r="C1083" s="60" t="s">
        <v>3900</v>
      </c>
      <c r="D1083" s="55">
        <v>1</v>
      </c>
      <c r="E1083" s="55">
        <v>0</v>
      </c>
      <c r="G1083" s="55">
        <v>1</v>
      </c>
      <c r="H1083" s="5" t="s">
        <v>3901</v>
      </c>
      <c r="I1083" s="55">
        <f>103/30</f>
        <v>3.43333333333333</v>
      </c>
      <c r="J1083" s="55">
        <f>103/30</f>
        <v>3.43333333333333</v>
      </c>
      <c r="L1083" s="55">
        <v>1</v>
      </c>
      <c r="M1083" s="27">
        <f t="shared" si="78"/>
        <v>3.03333333333333</v>
      </c>
      <c r="N1083" s="55" t="s">
        <v>3902</v>
      </c>
      <c r="O1083" s="55">
        <v>1</v>
      </c>
      <c r="P1083" s="55">
        <v>2.2</v>
      </c>
      <c r="Q1083" s="55">
        <v>0</v>
      </c>
      <c r="R1083" s="55">
        <v>1</v>
      </c>
      <c r="S1083" s="55">
        <v>2</v>
      </c>
      <c r="T1083" s="55">
        <v>1</v>
      </c>
      <c r="U1083" s="55">
        <v>1</v>
      </c>
      <c r="V1083" s="55">
        <v>1</v>
      </c>
      <c r="W1083" s="55">
        <v>6</v>
      </c>
      <c r="X1083" s="540">
        <v>1</v>
      </c>
      <c r="Y1083" s="28">
        <v>-0.1</v>
      </c>
      <c r="Z1083" s="55">
        <v>0</v>
      </c>
      <c r="AN1083" s="543" t="s">
        <v>3903</v>
      </c>
      <c r="AO1083" s="55" t="s">
        <v>3904</v>
      </c>
      <c r="AP1083" s="55">
        <v>4106</v>
      </c>
      <c r="AQ1083" s="55" t="s">
        <v>136</v>
      </c>
    </row>
    <row r="1084" s="55" customFormat="1" spans="1:43">
      <c r="A1084" s="327">
        <v>1080</v>
      </c>
      <c r="B1084" s="55" t="s">
        <v>3894</v>
      </c>
      <c r="C1084" s="60" t="s">
        <v>3905</v>
      </c>
      <c r="D1084" s="55">
        <v>1</v>
      </c>
      <c r="E1084" s="55">
        <v>0</v>
      </c>
      <c r="G1084" s="55">
        <v>1</v>
      </c>
      <c r="H1084" s="5" t="s">
        <v>3906</v>
      </c>
      <c r="I1084" s="55">
        <f>95/30</f>
        <v>3.16666666666667</v>
      </c>
      <c r="J1084" s="55">
        <f>95/30</f>
        <v>3.16666666666667</v>
      </c>
      <c r="L1084" s="55">
        <v>1</v>
      </c>
      <c r="M1084" s="27">
        <f t="shared" si="78"/>
        <v>2.76666666666667</v>
      </c>
      <c r="N1084" s="55" t="s">
        <v>3907</v>
      </c>
      <c r="O1084" s="55">
        <v>1</v>
      </c>
      <c r="P1084" s="55">
        <v>2.2</v>
      </c>
      <c r="Q1084" s="55">
        <v>0</v>
      </c>
      <c r="R1084" s="55">
        <v>1</v>
      </c>
      <c r="S1084" s="55">
        <v>2</v>
      </c>
      <c r="U1084" s="55">
        <v>1</v>
      </c>
      <c r="V1084" s="55">
        <v>1</v>
      </c>
      <c r="W1084" s="55">
        <v>4</v>
      </c>
      <c r="X1084" s="540">
        <v>1</v>
      </c>
      <c r="Y1084" s="28">
        <v>-0.1</v>
      </c>
      <c r="Z1084" s="55">
        <v>0</v>
      </c>
      <c r="AN1084" s="543" t="s">
        <v>3908</v>
      </c>
      <c r="AO1084" s="55" t="s">
        <v>3904</v>
      </c>
      <c r="AP1084" s="55">
        <v>4110</v>
      </c>
      <c r="AQ1084" s="55" t="s">
        <v>136</v>
      </c>
    </row>
    <row r="1085" s="55" customFormat="1" spans="1:47">
      <c r="A1085" s="327">
        <v>1081</v>
      </c>
      <c r="B1085" s="55" t="s">
        <v>3894</v>
      </c>
      <c r="C1085" s="60" t="s">
        <v>3909</v>
      </c>
      <c r="D1085" s="55">
        <v>1</v>
      </c>
      <c r="E1085" s="55">
        <v>0</v>
      </c>
      <c r="G1085" s="55">
        <v>1</v>
      </c>
      <c r="H1085" s="5" t="s">
        <v>3910</v>
      </c>
      <c r="I1085" s="55">
        <f>294/30</f>
        <v>9.8</v>
      </c>
      <c r="J1085" s="55">
        <f>294/30</f>
        <v>9.8</v>
      </c>
      <c r="L1085" s="55">
        <v>1</v>
      </c>
      <c r="M1085" s="27">
        <f t="shared" si="78"/>
        <v>9.4</v>
      </c>
      <c r="N1085" s="55" t="s">
        <v>3911</v>
      </c>
      <c r="O1085" s="55">
        <v>1</v>
      </c>
      <c r="P1085" s="55">
        <v>73</v>
      </c>
      <c r="Q1085" s="55">
        <v>0</v>
      </c>
      <c r="V1085" s="55">
        <v>1</v>
      </c>
      <c r="W1085" s="55">
        <v>0</v>
      </c>
      <c r="X1085" s="540">
        <v>7</v>
      </c>
      <c r="Y1085" s="28">
        <v>-0.1</v>
      </c>
      <c r="Z1085" s="55">
        <v>0</v>
      </c>
      <c r="AB1085" s="55">
        <f>I1085-0.4</f>
        <v>9.4</v>
      </c>
      <c r="AC1085" s="55">
        <v>1</v>
      </c>
      <c r="AD1085" s="55">
        <v>1</v>
      </c>
      <c r="AE1085" s="55" t="s">
        <v>3912</v>
      </c>
      <c r="AF1085" s="55">
        <v>0.5</v>
      </c>
      <c r="AN1085" s="543" t="s">
        <v>3913</v>
      </c>
      <c r="AO1085" s="55" t="s">
        <v>3914</v>
      </c>
      <c r="AP1085" s="55">
        <v>4114</v>
      </c>
      <c r="AQ1085" s="55" t="s">
        <v>136</v>
      </c>
      <c r="AU1085" s="55">
        <v>1</v>
      </c>
    </row>
    <row r="1086" s="55" customFormat="1" spans="1:47">
      <c r="A1086" s="327">
        <v>1082</v>
      </c>
      <c r="B1086" s="55" t="s">
        <v>3894</v>
      </c>
      <c r="C1086" s="60" t="s">
        <v>3915</v>
      </c>
      <c r="D1086" s="55">
        <v>1</v>
      </c>
      <c r="E1086" s="55">
        <v>0</v>
      </c>
      <c r="G1086" s="55">
        <v>1</v>
      </c>
      <c r="H1086" s="5" t="s">
        <v>3916</v>
      </c>
      <c r="I1086" s="55">
        <f>304/30</f>
        <v>10.1333333333333</v>
      </c>
      <c r="J1086" s="55">
        <f>304/30</f>
        <v>10.1333333333333</v>
      </c>
      <c r="L1086" s="55">
        <v>1</v>
      </c>
      <c r="M1086" s="27">
        <f t="shared" si="78"/>
        <v>9.73333333333333</v>
      </c>
      <c r="N1086" s="55" t="s">
        <v>3917</v>
      </c>
      <c r="O1086" s="55">
        <v>1</v>
      </c>
      <c r="P1086" s="55">
        <v>2.2</v>
      </c>
      <c r="Q1086" s="55">
        <v>0</v>
      </c>
      <c r="V1086" s="55">
        <v>1</v>
      </c>
      <c r="W1086" s="55">
        <v>0</v>
      </c>
      <c r="X1086" s="540">
        <v>8</v>
      </c>
      <c r="Y1086" s="28">
        <v>-0.1</v>
      </c>
      <c r="Z1086" s="55">
        <v>0</v>
      </c>
      <c r="AB1086" s="55">
        <f>I1086-0.4</f>
        <v>9.73333333333333</v>
      </c>
      <c r="AC1086" s="55">
        <v>1</v>
      </c>
      <c r="AD1086" s="55">
        <v>1</v>
      </c>
      <c r="AE1086" s="55" t="s">
        <v>3918</v>
      </c>
      <c r="AF1086" s="55">
        <v>0.5</v>
      </c>
      <c r="AN1086" s="543" t="s">
        <v>3919</v>
      </c>
      <c r="AO1086" s="55" t="s">
        <v>3920</v>
      </c>
      <c r="AP1086" s="55">
        <v>4120</v>
      </c>
      <c r="AQ1086" s="55" t="s">
        <v>136</v>
      </c>
      <c r="AU1086" s="55">
        <v>1</v>
      </c>
    </row>
    <row r="1087" s="55" customFormat="1" spans="1:47">
      <c r="A1087" s="327">
        <v>1083</v>
      </c>
      <c r="B1087" s="55" t="s">
        <v>3894</v>
      </c>
      <c r="C1087" s="60" t="s">
        <v>3921</v>
      </c>
      <c r="D1087" s="55">
        <v>1</v>
      </c>
      <c r="E1087" s="55">
        <v>0</v>
      </c>
      <c r="G1087" s="55">
        <v>1</v>
      </c>
      <c r="H1087" s="5" t="s">
        <v>3922</v>
      </c>
      <c r="I1087" s="55">
        <f>229/30</f>
        <v>7.63333333333333</v>
      </c>
      <c r="J1087" s="55">
        <f>229/30</f>
        <v>7.63333333333333</v>
      </c>
      <c r="L1087" s="55">
        <v>1</v>
      </c>
      <c r="M1087" s="27">
        <f t="shared" si="78"/>
        <v>7.23333333333333</v>
      </c>
      <c r="N1087" s="55" t="s">
        <v>3923</v>
      </c>
      <c r="O1087" s="55">
        <v>1</v>
      </c>
      <c r="P1087" s="55">
        <v>2.2</v>
      </c>
      <c r="Q1087" s="55">
        <v>0</v>
      </c>
      <c r="V1087" s="55">
        <v>1</v>
      </c>
      <c r="W1087" s="55">
        <v>0</v>
      </c>
      <c r="X1087" s="540">
        <v>1</v>
      </c>
      <c r="Y1087" s="28">
        <v>-0.1</v>
      </c>
      <c r="Z1087" s="55">
        <v>0</v>
      </c>
      <c r="AB1087" s="55">
        <f>I1087-0.4</f>
        <v>7.23333333333333</v>
      </c>
      <c r="AC1087" s="55">
        <v>1</v>
      </c>
      <c r="AD1087" s="55">
        <v>1</v>
      </c>
      <c r="AE1087" s="55" t="s">
        <v>3924</v>
      </c>
      <c r="AF1087" s="55">
        <v>0.5</v>
      </c>
      <c r="AN1087" s="543"/>
      <c r="AP1087" s="55">
        <v>4125</v>
      </c>
      <c r="AQ1087" s="55" t="s">
        <v>136</v>
      </c>
      <c r="AU1087" s="55">
        <v>1</v>
      </c>
    </row>
    <row r="1088" s="27" customFormat="1" spans="1:43">
      <c r="A1088" s="492">
        <v>1084</v>
      </c>
      <c r="B1088" s="27" t="s">
        <v>3925</v>
      </c>
      <c r="C1088" s="27" t="s">
        <v>526</v>
      </c>
      <c r="D1088" s="27">
        <v>1</v>
      </c>
      <c r="E1088" s="27">
        <v>0</v>
      </c>
      <c r="G1088" s="27">
        <v>1</v>
      </c>
      <c r="H1088" s="200">
        <v>12901</v>
      </c>
      <c r="I1088" s="27">
        <f>67/30</f>
        <v>2.23333333333333</v>
      </c>
      <c r="J1088" s="27">
        <f>67/30</f>
        <v>2.23333333333333</v>
      </c>
      <c r="L1088" s="27">
        <v>0</v>
      </c>
      <c r="M1088" s="27">
        <f t="shared" ref="M1088:M1096" si="79">I1088-0.4</f>
        <v>1.83333333333333</v>
      </c>
      <c r="N1088" s="27" t="s">
        <v>3926</v>
      </c>
      <c r="O1088" s="27">
        <v>1</v>
      </c>
      <c r="P1088" s="27">
        <v>3</v>
      </c>
      <c r="Q1088" s="27">
        <v>0</v>
      </c>
      <c r="V1088" s="27">
        <v>1</v>
      </c>
      <c r="W1088" s="27">
        <v>0</v>
      </c>
      <c r="X1088" s="217">
        <v>1</v>
      </c>
      <c r="Y1088" s="27">
        <v>-0.1</v>
      </c>
      <c r="Z1088" s="27">
        <v>0</v>
      </c>
      <c r="AN1088" s="213"/>
      <c r="AP1088" s="27">
        <v>4133</v>
      </c>
      <c r="AQ1088" s="55" t="s">
        <v>136</v>
      </c>
    </row>
    <row r="1089" s="27" customFormat="1" spans="1:43">
      <c r="A1089" s="492">
        <v>1085</v>
      </c>
      <c r="B1089" s="27" t="s">
        <v>3925</v>
      </c>
      <c r="C1089" s="27" t="s">
        <v>3927</v>
      </c>
      <c r="D1089" s="27">
        <v>1</v>
      </c>
      <c r="E1089" s="27">
        <v>0</v>
      </c>
      <c r="G1089" s="27">
        <v>1</v>
      </c>
      <c r="H1089" s="200">
        <v>12902</v>
      </c>
      <c r="I1089" s="27">
        <f>100/30</f>
        <v>3.33333333333333</v>
      </c>
      <c r="J1089" s="27">
        <f>100/30</f>
        <v>3.33333333333333</v>
      </c>
      <c r="L1089" s="27">
        <v>1</v>
      </c>
      <c r="M1089" s="27">
        <f t="shared" si="79"/>
        <v>2.93333333333333</v>
      </c>
      <c r="N1089" s="27" t="s">
        <v>3928</v>
      </c>
      <c r="O1089" s="27">
        <v>1</v>
      </c>
      <c r="P1089" s="27">
        <v>3</v>
      </c>
      <c r="Q1089" s="27">
        <v>0</v>
      </c>
      <c r="R1089" s="27">
        <v>1</v>
      </c>
      <c r="S1089" s="27">
        <v>1</v>
      </c>
      <c r="T1089" s="27">
        <v>1</v>
      </c>
      <c r="U1089" s="27">
        <v>1</v>
      </c>
      <c r="V1089" s="27">
        <v>1</v>
      </c>
      <c r="W1089" s="27">
        <v>6</v>
      </c>
      <c r="X1089" s="217">
        <v>3</v>
      </c>
      <c r="Y1089" s="27">
        <v>-0.1</v>
      </c>
      <c r="Z1089" s="27">
        <v>0</v>
      </c>
      <c r="AN1089" s="213"/>
      <c r="AP1089" s="27">
        <v>4135</v>
      </c>
      <c r="AQ1089" s="55" t="s">
        <v>136</v>
      </c>
    </row>
    <row r="1090" s="27" customFormat="1" spans="1:43">
      <c r="A1090" s="492">
        <v>1086</v>
      </c>
      <c r="B1090" s="27" t="s">
        <v>3925</v>
      </c>
      <c r="C1090" s="27" t="s">
        <v>3929</v>
      </c>
      <c r="D1090" s="27">
        <v>1</v>
      </c>
      <c r="E1090" s="27">
        <v>0</v>
      </c>
      <c r="G1090" s="27">
        <v>1</v>
      </c>
      <c r="H1090" s="200">
        <v>12903</v>
      </c>
      <c r="I1090" s="27">
        <f>110/30</f>
        <v>3.66666666666667</v>
      </c>
      <c r="J1090" s="27">
        <f>110/30</f>
        <v>3.66666666666667</v>
      </c>
      <c r="L1090" s="27">
        <v>1</v>
      </c>
      <c r="M1090" s="27">
        <f t="shared" si="79"/>
        <v>3.26666666666667</v>
      </c>
      <c r="N1090" s="27" t="s">
        <v>3930</v>
      </c>
      <c r="O1090" s="27">
        <v>1</v>
      </c>
      <c r="P1090" s="27">
        <v>3</v>
      </c>
      <c r="Q1090" s="27">
        <v>1</v>
      </c>
      <c r="V1090" s="27">
        <v>1</v>
      </c>
      <c r="W1090" s="27">
        <v>4</v>
      </c>
      <c r="X1090" s="217">
        <v>1</v>
      </c>
      <c r="Y1090" s="27">
        <v>-0.1</v>
      </c>
      <c r="Z1090" s="27">
        <v>0</v>
      </c>
      <c r="AN1090" s="213"/>
      <c r="AP1090" s="27">
        <v>4148</v>
      </c>
      <c r="AQ1090" s="55" t="s">
        <v>136</v>
      </c>
    </row>
    <row r="1091" s="27" customFormat="1" spans="1:43">
      <c r="A1091" s="492">
        <v>1087</v>
      </c>
      <c r="B1091" s="27" t="s">
        <v>3925</v>
      </c>
      <c r="C1091" s="27" t="s">
        <v>3931</v>
      </c>
      <c r="D1091" s="27">
        <v>1</v>
      </c>
      <c r="E1091" s="27">
        <v>0</v>
      </c>
      <c r="G1091" s="27">
        <v>1</v>
      </c>
      <c r="H1091" s="200">
        <v>12904</v>
      </c>
      <c r="I1091" s="27">
        <f>100/30</f>
        <v>3.33333333333333</v>
      </c>
      <c r="J1091" s="27">
        <f>100/30</f>
        <v>3.33333333333333</v>
      </c>
      <c r="L1091" s="27">
        <v>1</v>
      </c>
      <c r="M1091" s="27">
        <f t="shared" si="79"/>
        <v>2.93333333333333</v>
      </c>
      <c r="N1091" s="27" t="s">
        <v>3932</v>
      </c>
      <c r="O1091" s="27">
        <v>1</v>
      </c>
      <c r="P1091" s="27">
        <v>3</v>
      </c>
      <c r="Q1091" s="27">
        <v>0</v>
      </c>
      <c r="R1091" s="27">
        <v>1</v>
      </c>
      <c r="S1091" s="27">
        <v>1</v>
      </c>
      <c r="U1091" s="27">
        <v>1</v>
      </c>
      <c r="V1091" s="27">
        <v>1</v>
      </c>
      <c r="W1091" s="27">
        <v>6</v>
      </c>
      <c r="X1091" s="217">
        <v>1</v>
      </c>
      <c r="Y1091" s="27">
        <v>-0.1</v>
      </c>
      <c r="Z1091" s="27">
        <v>0</v>
      </c>
      <c r="AN1091" s="213"/>
      <c r="AP1091" s="27">
        <v>4136</v>
      </c>
      <c r="AQ1091" s="55" t="s">
        <v>136</v>
      </c>
    </row>
    <row r="1092" s="27" customFormat="1" spans="1:43">
      <c r="A1092" s="492">
        <v>1088</v>
      </c>
      <c r="B1092" s="27" t="s">
        <v>3925</v>
      </c>
      <c r="C1092" s="27" t="s">
        <v>3933</v>
      </c>
      <c r="D1092" s="27">
        <v>1</v>
      </c>
      <c r="E1092" s="27">
        <v>0</v>
      </c>
      <c r="G1092" s="27">
        <v>1</v>
      </c>
      <c r="H1092" s="200">
        <v>12905</v>
      </c>
      <c r="I1092" s="27">
        <f>82/30</f>
        <v>2.73333333333333</v>
      </c>
      <c r="J1092" s="27">
        <f>82/30</f>
        <v>2.73333333333333</v>
      </c>
      <c r="L1092" s="27">
        <v>1</v>
      </c>
      <c r="M1092" s="27">
        <f t="shared" si="79"/>
        <v>2.33333333333333</v>
      </c>
      <c r="N1092" s="27" t="s">
        <v>3934</v>
      </c>
      <c r="O1092" s="27">
        <v>1</v>
      </c>
      <c r="P1092" s="27">
        <v>3</v>
      </c>
      <c r="Q1092" s="27">
        <v>0</v>
      </c>
      <c r="R1092" s="27">
        <v>1</v>
      </c>
      <c r="S1092" s="27">
        <v>1</v>
      </c>
      <c r="T1092" s="27">
        <v>1</v>
      </c>
      <c r="U1092" s="27">
        <v>1</v>
      </c>
      <c r="V1092" s="27">
        <v>1</v>
      </c>
      <c r="W1092" s="27">
        <v>6</v>
      </c>
      <c r="X1092" s="217">
        <v>5</v>
      </c>
      <c r="Y1092" s="27">
        <v>-0.1</v>
      </c>
      <c r="Z1092" s="27">
        <v>0</v>
      </c>
      <c r="AN1092" s="213"/>
      <c r="AP1092" s="27">
        <v>4138</v>
      </c>
      <c r="AQ1092" s="55" t="s">
        <v>136</v>
      </c>
    </row>
    <row r="1093" s="27" customFormat="1" spans="1:47">
      <c r="A1093" s="492">
        <v>1089</v>
      </c>
      <c r="B1093" s="27" t="s">
        <v>3925</v>
      </c>
      <c r="C1093" s="27" t="s">
        <v>3935</v>
      </c>
      <c r="D1093" s="27">
        <v>1</v>
      </c>
      <c r="E1093" s="27">
        <v>0</v>
      </c>
      <c r="G1093" s="27">
        <v>1</v>
      </c>
      <c r="H1093" s="200">
        <v>12906</v>
      </c>
      <c r="I1093" s="27">
        <f>459/30</f>
        <v>15.3</v>
      </c>
      <c r="J1093" s="27">
        <f>459/30</f>
        <v>15.3</v>
      </c>
      <c r="L1093" s="27">
        <v>1</v>
      </c>
      <c r="M1093" s="27">
        <f t="shared" si="79"/>
        <v>14.9</v>
      </c>
      <c r="N1093" s="27" t="s">
        <v>3936</v>
      </c>
      <c r="O1093" s="27">
        <v>1</v>
      </c>
      <c r="P1093" s="27">
        <v>3</v>
      </c>
      <c r="Q1093" s="27">
        <v>0</v>
      </c>
      <c r="V1093" s="27">
        <v>1</v>
      </c>
      <c r="W1093" s="27">
        <v>0</v>
      </c>
      <c r="X1093" s="217">
        <v>3</v>
      </c>
      <c r="Y1093" s="27">
        <v>-0.1</v>
      </c>
      <c r="Z1093" s="27">
        <v>0</v>
      </c>
      <c r="AB1093" s="55">
        <f>I1093-0.3</f>
        <v>15</v>
      </c>
      <c r="AC1093" s="27">
        <v>1</v>
      </c>
      <c r="AD1093" s="27">
        <v>1</v>
      </c>
      <c r="AE1093" s="27" t="s">
        <v>3937</v>
      </c>
      <c r="AF1093" s="55">
        <v>0.5</v>
      </c>
      <c r="AN1093" s="213">
        <v>4152</v>
      </c>
      <c r="AO1093" s="27" t="s">
        <v>3403</v>
      </c>
      <c r="AP1093" s="27">
        <v>4140</v>
      </c>
      <c r="AQ1093" s="55" t="s">
        <v>136</v>
      </c>
      <c r="AU1093" s="27">
        <v>1</v>
      </c>
    </row>
    <row r="1094" s="27" customFormat="1" spans="1:47">
      <c r="A1094" s="492">
        <v>1090</v>
      </c>
      <c r="B1094" s="27" t="s">
        <v>3925</v>
      </c>
      <c r="C1094" s="27" t="s">
        <v>3938</v>
      </c>
      <c r="D1094" s="27">
        <v>1</v>
      </c>
      <c r="E1094" s="27">
        <v>0</v>
      </c>
      <c r="G1094" s="27">
        <v>1</v>
      </c>
      <c r="H1094" s="200">
        <v>12907</v>
      </c>
      <c r="I1094" s="27">
        <f>330/30</f>
        <v>11</v>
      </c>
      <c r="J1094" s="27">
        <f>330/30</f>
        <v>11</v>
      </c>
      <c r="L1094" s="27">
        <v>1</v>
      </c>
      <c r="M1094" s="27">
        <f>I1094-0.2</f>
        <v>10.8</v>
      </c>
      <c r="N1094" s="27" t="s">
        <v>3939</v>
      </c>
      <c r="O1094" s="27">
        <v>1</v>
      </c>
      <c r="P1094" s="27">
        <v>50</v>
      </c>
      <c r="Q1094" s="27">
        <v>0</v>
      </c>
      <c r="V1094" s="27">
        <v>1</v>
      </c>
      <c r="W1094" s="27">
        <v>6</v>
      </c>
      <c r="X1094" s="217">
        <v>3</v>
      </c>
      <c r="Y1094" s="27">
        <v>-0.1</v>
      </c>
      <c r="Z1094" s="27">
        <v>0</v>
      </c>
      <c r="AB1094" s="55">
        <f>I1094-0.4</f>
        <v>10.6</v>
      </c>
      <c r="AC1094" s="27">
        <v>1</v>
      </c>
      <c r="AD1094" s="27">
        <v>1</v>
      </c>
      <c r="AE1094" s="27" t="s">
        <v>3940</v>
      </c>
      <c r="AF1094" s="55">
        <v>0.5</v>
      </c>
      <c r="AN1094" s="213" t="s">
        <v>3941</v>
      </c>
      <c r="AO1094" s="27" t="s">
        <v>3942</v>
      </c>
      <c r="AP1094" s="27">
        <v>4141</v>
      </c>
      <c r="AQ1094" s="55" t="s">
        <v>136</v>
      </c>
      <c r="AU1094" s="27">
        <v>1</v>
      </c>
    </row>
    <row r="1095" s="27" customFormat="1" spans="1:47">
      <c r="A1095" s="492">
        <v>1091</v>
      </c>
      <c r="B1095" s="27" t="s">
        <v>3925</v>
      </c>
      <c r="C1095" s="27" t="s">
        <v>3943</v>
      </c>
      <c r="D1095" s="27">
        <v>1</v>
      </c>
      <c r="E1095" s="27">
        <v>0</v>
      </c>
      <c r="G1095" s="27">
        <v>1</v>
      </c>
      <c r="H1095" s="200">
        <v>12908</v>
      </c>
      <c r="I1095" s="511">
        <v>15.6</v>
      </c>
      <c r="J1095" s="511">
        <v>15.6</v>
      </c>
      <c r="L1095" s="27">
        <v>1</v>
      </c>
      <c r="M1095" s="27">
        <f t="shared" si="79"/>
        <v>15.2</v>
      </c>
      <c r="N1095" s="27" t="s">
        <v>3944</v>
      </c>
      <c r="O1095" s="27">
        <v>1</v>
      </c>
      <c r="P1095" s="27">
        <v>3</v>
      </c>
      <c r="Q1095" s="27">
        <v>0</v>
      </c>
      <c r="V1095" s="27">
        <v>1</v>
      </c>
      <c r="W1095" s="27">
        <v>6</v>
      </c>
      <c r="X1095" s="217">
        <v>1</v>
      </c>
      <c r="Y1095" s="27">
        <v>-0.1</v>
      </c>
      <c r="Z1095" s="27">
        <v>0</v>
      </c>
      <c r="AB1095" s="55">
        <f>I1095-0.4</f>
        <v>15.2</v>
      </c>
      <c r="AC1095" s="27">
        <v>1</v>
      </c>
      <c r="AD1095" s="27">
        <v>1</v>
      </c>
      <c r="AE1095" s="27" t="s">
        <v>3945</v>
      </c>
      <c r="AF1095" s="55">
        <v>0.5</v>
      </c>
      <c r="AN1095" s="213"/>
      <c r="AP1095" s="27">
        <v>4144</v>
      </c>
      <c r="AQ1095" s="55" t="s">
        <v>136</v>
      </c>
      <c r="AU1095" s="27">
        <v>1</v>
      </c>
    </row>
    <row r="1096" s="56" customFormat="1" spans="1:43">
      <c r="A1096" s="56">
        <v>1092</v>
      </c>
      <c r="B1096" s="56" t="s">
        <v>3946</v>
      </c>
      <c r="C1096" s="56" t="s">
        <v>3947</v>
      </c>
      <c r="D1096" s="56">
        <v>1</v>
      </c>
      <c r="E1096" s="56">
        <v>0</v>
      </c>
      <c r="G1096" s="56">
        <v>1</v>
      </c>
      <c r="H1096" s="82">
        <v>13001</v>
      </c>
      <c r="I1096" s="56">
        <f>92/30</f>
        <v>3.06666666666667</v>
      </c>
      <c r="J1096" s="56">
        <f>92/30</f>
        <v>3.06666666666667</v>
      </c>
      <c r="L1096" s="56">
        <v>0</v>
      </c>
      <c r="M1096" s="27">
        <f t="shared" ref="M1096:M1108" si="80">I1096-0.4</f>
        <v>2.66666666666667</v>
      </c>
      <c r="N1096" s="56" t="s">
        <v>3948</v>
      </c>
      <c r="O1096" s="56">
        <v>1</v>
      </c>
      <c r="P1096" s="27">
        <v>2.1</v>
      </c>
      <c r="Q1096" s="56">
        <v>0</v>
      </c>
      <c r="V1096" s="56">
        <v>1</v>
      </c>
      <c r="W1096" s="56">
        <v>0</v>
      </c>
      <c r="X1096" s="554">
        <v>1</v>
      </c>
      <c r="Y1096" s="56">
        <v>0.1</v>
      </c>
      <c r="Z1096" s="56">
        <v>0</v>
      </c>
      <c r="AN1096" s="559"/>
      <c r="AP1096" s="56">
        <v>4153</v>
      </c>
      <c r="AQ1096" s="56" t="s">
        <v>136</v>
      </c>
    </row>
    <row r="1097" s="56" customFormat="1" spans="1:43">
      <c r="A1097" s="56">
        <v>1093</v>
      </c>
      <c r="B1097" s="56" t="s">
        <v>3946</v>
      </c>
      <c r="C1097" s="56" t="s">
        <v>3949</v>
      </c>
      <c r="D1097" s="56">
        <v>1</v>
      </c>
      <c r="E1097" s="56">
        <v>0</v>
      </c>
      <c r="G1097" s="56">
        <v>1</v>
      </c>
      <c r="H1097" s="82">
        <v>13002</v>
      </c>
      <c r="I1097" s="56">
        <f>120/30</f>
        <v>4</v>
      </c>
      <c r="J1097" s="56">
        <f>120/30</f>
        <v>4</v>
      </c>
      <c r="L1097" s="56">
        <v>1</v>
      </c>
      <c r="M1097" s="27">
        <f t="shared" si="80"/>
        <v>3.6</v>
      </c>
      <c r="N1097" s="56" t="s">
        <v>3950</v>
      </c>
      <c r="O1097" s="56">
        <v>1</v>
      </c>
      <c r="P1097" s="27">
        <v>2.1</v>
      </c>
      <c r="Q1097" s="56">
        <v>0</v>
      </c>
      <c r="V1097" s="56">
        <v>1</v>
      </c>
      <c r="W1097" s="56">
        <v>4</v>
      </c>
      <c r="X1097" s="554">
        <v>1</v>
      </c>
      <c r="Y1097" s="56">
        <v>0.1</v>
      </c>
      <c r="Z1097" s="56">
        <v>0</v>
      </c>
      <c r="AN1097" s="559">
        <v>4156</v>
      </c>
      <c r="AO1097" s="56" t="s">
        <v>3951</v>
      </c>
      <c r="AP1097" s="56">
        <v>4155</v>
      </c>
      <c r="AQ1097" s="56" t="s">
        <v>136</v>
      </c>
    </row>
    <row r="1098" s="56" customFormat="1" spans="1:43">
      <c r="A1098" s="56">
        <v>1094</v>
      </c>
      <c r="B1098" s="56" t="s">
        <v>3946</v>
      </c>
      <c r="C1098" s="56" t="s">
        <v>3952</v>
      </c>
      <c r="D1098" s="56">
        <v>2</v>
      </c>
      <c r="E1098" s="56">
        <v>0</v>
      </c>
      <c r="G1098" s="56">
        <v>1</v>
      </c>
      <c r="H1098" s="82">
        <v>13003</v>
      </c>
      <c r="I1098" s="56">
        <f>133/30</f>
        <v>4.43333333333333</v>
      </c>
      <c r="J1098" s="56">
        <f>133/30</f>
        <v>4.43333333333333</v>
      </c>
      <c r="L1098" s="56">
        <v>1</v>
      </c>
      <c r="M1098" s="27">
        <f t="shared" si="80"/>
        <v>4.03333333333333</v>
      </c>
      <c r="N1098" s="56" t="s">
        <v>3953</v>
      </c>
      <c r="O1098" s="56">
        <v>1</v>
      </c>
      <c r="P1098" s="27">
        <v>2.1</v>
      </c>
      <c r="Q1098" s="56">
        <v>0</v>
      </c>
      <c r="V1098" s="56">
        <v>1</v>
      </c>
      <c r="W1098" s="56">
        <v>0</v>
      </c>
      <c r="X1098" s="554">
        <v>1</v>
      </c>
      <c r="Y1098" s="56">
        <v>0.1</v>
      </c>
      <c r="Z1098" s="56">
        <v>0</v>
      </c>
      <c r="AN1098" s="559"/>
      <c r="AP1098" s="56">
        <v>4158</v>
      </c>
      <c r="AQ1098" s="56" t="s">
        <v>136</v>
      </c>
    </row>
    <row r="1099" s="56" customFormat="1" spans="1:43">
      <c r="A1099" s="56">
        <v>1095</v>
      </c>
      <c r="B1099" s="56" t="s">
        <v>3946</v>
      </c>
      <c r="C1099" s="56" t="s">
        <v>3954</v>
      </c>
      <c r="D1099" s="56">
        <v>1</v>
      </c>
      <c r="E1099" s="56">
        <v>0</v>
      </c>
      <c r="G1099" s="56">
        <v>1</v>
      </c>
      <c r="H1099" s="82">
        <v>13004</v>
      </c>
      <c r="I1099" s="56">
        <f>102/30</f>
        <v>3.4</v>
      </c>
      <c r="J1099" s="56">
        <f>102/30</f>
        <v>3.4</v>
      </c>
      <c r="L1099" s="56">
        <v>1</v>
      </c>
      <c r="M1099" s="27">
        <f t="shared" si="80"/>
        <v>3</v>
      </c>
      <c r="N1099" s="56" t="s">
        <v>3955</v>
      </c>
      <c r="O1099" s="56">
        <v>1</v>
      </c>
      <c r="P1099" s="27">
        <v>2.1</v>
      </c>
      <c r="Q1099" s="56">
        <v>0</v>
      </c>
      <c r="V1099" s="56">
        <v>1</v>
      </c>
      <c r="W1099" s="56">
        <v>0</v>
      </c>
      <c r="X1099" s="554">
        <v>1</v>
      </c>
      <c r="Y1099" s="56">
        <v>0.1</v>
      </c>
      <c r="Z1099" s="56">
        <v>0</v>
      </c>
      <c r="AN1099" s="559"/>
      <c r="AP1099" s="56">
        <v>4161</v>
      </c>
      <c r="AQ1099" s="56" t="s">
        <v>136</v>
      </c>
    </row>
    <row r="1100" s="56" customFormat="1" spans="1:43">
      <c r="A1100" s="56">
        <v>1096</v>
      </c>
      <c r="B1100" s="56" t="s">
        <v>3946</v>
      </c>
      <c r="C1100" s="56" t="s">
        <v>3956</v>
      </c>
      <c r="D1100" s="56">
        <v>1</v>
      </c>
      <c r="E1100" s="56">
        <v>0</v>
      </c>
      <c r="G1100" s="56">
        <v>1</v>
      </c>
      <c r="H1100" s="82">
        <v>13005</v>
      </c>
      <c r="I1100" s="56">
        <f>133/30</f>
        <v>4.43333333333333</v>
      </c>
      <c r="J1100" s="56">
        <f>133/30</f>
        <v>4.43333333333333</v>
      </c>
      <c r="L1100" s="56">
        <v>1</v>
      </c>
      <c r="M1100" s="27">
        <f t="shared" si="80"/>
        <v>4.03333333333333</v>
      </c>
      <c r="N1100" s="56" t="s">
        <v>3957</v>
      </c>
      <c r="O1100" s="56">
        <v>1</v>
      </c>
      <c r="P1100" s="27">
        <v>2.1</v>
      </c>
      <c r="Q1100" s="56">
        <v>0</v>
      </c>
      <c r="V1100" s="56">
        <v>1</v>
      </c>
      <c r="W1100" s="56">
        <v>0</v>
      </c>
      <c r="X1100" s="554">
        <v>1</v>
      </c>
      <c r="Y1100" s="56">
        <v>0.1</v>
      </c>
      <c r="Z1100" s="56">
        <v>0</v>
      </c>
      <c r="AN1100" s="559"/>
      <c r="AP1100" s="56">
        <v>4163</v>
      </c>
      <c r="AQ1100" s="56" t="s">
        <v>136</v>
      </c>
    </row>
    <row r="1101" s="56" customFormat="1" spans="1:47">
      <c r="A1101" s="56">
        <v>1097</v>
      </c>
      <c r="B1101" s="56" t="s">
        <v>3946</v>
      </c>
      <c r="C1101" s="56" t="s">
        <v>3958</v>
      </c>
      <c r="D1101" s="56">
        <v>1</v>
      </c>
      <c r="E1101" s="56">
        <v>0</v>
      </c>
      <c r="G1101" s="56">
        <v>1</v>
      </c>
      <c r="H1101" s="82">
        <v>13006</v>
      </c>
      <c r="I1101" s="56">
        <f>450/30</f>
        <v>15</v>
      </c>
      <c r="J1101" s="56">
        <f>450/30</f>
        <v>15</v>
      </c>
      <c r="L1101" s="56">
        <v>1</v>
      </c>
      <c r="M1101" s="27">
        <f t="shared" si="80"/>
        <v>14.6</v>
      </c>
      <c r="N1101" s="56" t="s">
        <v>3959</v>
      </c>
      <c r="O1101" s="56">
        <v>0</v>
      </c>
      <c r="P1101" s="27">
        <v>3</v>
      </c>
      <c r="Q1101" s="56">
        <v>0</v>
      </c>
      <c r="V1101" s="56">
        <v>5</v>
      </c>
      <c r="W1101" s="56">
        <v>29</v>
      </c>
      <c r="X1101" s="554">
        <v>1</v>
      </c>
      <c r="Y1101" s="56">
        <v>0.1</v>
      </c>
      <c r="Z1101" s="56">
        <v>0</v>
      </c>
      <c r="AB1101" s="55">
        <f>I1101-0.3</f>
        <v>14.7</v>
      </c>
      <c r="AC1101" s="56">
        <v>1</v>
      </c>
      <c r="AD1101" s="56">
        <v>1</v>
      </c>
      <c r="AE1101" s="56" t="s">
        <v>3960</v>
      </c>
      <c r="AF1101" s="56">
        <v>0.5</v>
      </c>
      <c r="AN1101" s="559">
        <v>4165</v>
      </c>
      <c r="AO1101" s="56" t="s">
        <v>1103</v>
      </c>
      <c r="AP1101" s="56">
        <v>4164</v>
      </c>
      <c r="AQ1101" s="56" t="s">
        <v>136</v>
      </c>
      <c r="AU1101" s="56">
        <v>1</v>
      </c>
    </row>
    <row r="1102" s="56" customFormat="1" spans="1:47">
      <c r="A1102" s="56">
        <v>1098</v>
      </c>
      <c r="B1102" s="56" t="s">
        <v>3946</v>
      </c>
      <c r="C1102" s="56" t="s">
        <v>3961</v>
      </c>
      <c r="D1102" s="56">
        <v>1</v>
      </c>
      <c r="E1102" s="56">
        <v>0</v>
      </c>
      <c r="G1102" s="56">
        <v>1</v>
      </c>
      <c r="H1102" s="82">
        <v>13007</v>
      </c>
      <c r="I1102" s="56">
        <f>450/30</f>
        <v>15</v>
      </c>
      <c r="J1102" s="56">
        <f>450/30</f>
        <v>15</v>
      </c>
      <c r="L1102" s="56">
        <v>1</v>
      </c>
      <c r="M1102" s="27">
        <f t="shared" si="80"/>
        <v>14.6</v>
      </c>
      <c r="N1102" s="56" t="s">
        <v>3962</v>
      </c>
      <c r="O1102" s="56">
        <v>3</v>
      </c>
      <c r="P1102" s="27">
        <v>-75</v>
      </c>
      <c r="Q1102" s="56">
        <v>0</v>
      </c>
      <c r="V1102" s="56">
        <v>1</v>
      </c>
      <c r="W1102" s="56">
        <v>6</v>
      </c>
      <c r="X1102" s="554">
        <v>1</v>
      </c>
      <c r="Y1102" s="56">
        <v>0.1</v>
      </c>
      <c r="Z1102" s="56">
        <v>0</v>
      </c>
      <c r="AB1102" s="55">
        <f t="shared" ref="AB1102:AB1105" si="81">I1102-0.4</f>
        <v>14.6</v>
      </c>
      <c r="AC1102" s="56">
        <v>2</v>
      </c>
      <c r="AD1102" s="56">
        <v>1</v>
      </c>
      <c r="AE1102" s="56" t="s">
        <v>3963</v>
      </c>
      <c r="AF1102" s="56">
        <v>0.5</v>
      </c>
      <c r="AN1102" s="559"/>
      <c r="AP1102" s="56">
        <v>4167</v>
      </c>
      <c r="AQ1102" s="56" t="s">
        <v>136</v>
      </c>
      <c r="AS1102" s="28" t="s">
        <v>3964</v>
      </c>
      <c r="AU1102" s="56">
        <v>1</v>
      </c>
    </row>
    <row r="1103" s="56" customFormat="1" spans="1:47">
      <c r="A1103" s="56">
        <v>1099</v>
      </c>
      <c r="B1103" s="56" t="s">
        <v>3946</v>
      </c>
      <c r="C1103" s="56" t="s">
        <v>3965</v>
      </c>
      <c r="D1103" s="56">
        <v>1</v>
      </c>
      <c r="E1103" s="56">
        <v>0</v>
      </c>
      <c r="G1103" s="56">
        <v>1</v>
      </c>
      <c r="H1103" s="82">
        <v>13008</v>
      </c>
      <c r="I1103" s="56">
        <f>325/30</f>
        <v>10.8333333333333</v>
      </c>
      <c r="J1103" s="56">
        <f>325/30</f>
        <v>10.8333333333333</v>
      </c>
      <c r="L1103" s="56">
        <v>1</v>
      </c>
      <c r="M1103" s="27">
        <f t="shared" si="80"/>
        <v>10.4333333333333</v>
      </c>
      <c r="N1103" s="56" t="s">
        <v>3966</v>
      </c>
      <c r="O1103" s="56">
        <v>0</v>
      </c>
      <c r="P1103" s="27">
        <v>3</v>
      </c>
      <c r="Q1103" s="56">
        <v>0</v>
      </c>
      <c r="V1103" s="56">
        <v>1</v>
      </c>
      <c r="W1103" s="56">
        <v>0</v>
      </c>
      <c r="X1103" s="554">
        <v>1</v>
      </c>
      <c r="Y1103" s="56">
        <v>0.1</v>
      </c>
      <c r="Z1103" s="56">
        <v>0</v>
      </c>
      <c r="AB1103" s="55">
        <f t="shared" si="81"/>
        <v>10.4333333333333</v>
      </c>
      <c r="AC1103" s="56">
        <v>2</v>
      </c>
      <c r="AD1103" s="56">
        <v>1</v>
      </c>
      <c r="AE1103" s="56" t="s">
        <v>3967</v>
      </c>
      <c r="AF1103" s="56">
        <v>0.5</v>
      </c>
      <c r="AN1103" s="559"/>
      <c r="AP1103" s="56">
        <v>4169</v>
      </c>
      <c r="AQ1103" s="56" t="s">
        <v>136</v>
      </c>
      <c r="AS1103" s="56" t="s">
        <v>3968</v>
      </c>
      <c r="AU1103" s="56">
        <v>1</v>
      </c>
    </row>
    <row r="1104" s="57" customFormat="1" spans="1:52">
      <c r="A1104" s="57">
        <v>1100</v>
      </c>
      <c r="B1104" s="57" t="s">
        <v>3969</v>
      </c>
      <c r="C1104" s="57" t="s">
        <v>526</v>
      </c>
      <c r="D1104" s="57">
        <v>1</v>
      </c>
      <c r="E1104" s="57">
        <v>0</v>
      </c>
      <c r="G1104" s="57">
        <v>2</v>
      </c>
      <c r="H1104" s="544">
        <v>13101</v>
      </c>
      <c r="I1104" s="55">
        <f>115/30</f>
        <v>3.83333333333333</v>
      </c>
      <c r="J1104" s="55">
        <f>115/30</f>
        <v>3.83333333333333</v>
      </c>
      <c r="L1104" s="57">
        <v>0</v>
      </c>
      <c r="M1104" s="55">
        <f t="shared" si="80"/>
        <v>3.43333333333333</v>
      </c>
      <c r="N1104" s="57" t="s">
        <v>3970</v>
      </c>
      <c r="O1104" s="57">
        <v>3</v>
      </c>
      <c r="P1104" s="57">
        <v>-4</v>
      </c>
      <c r="Q1104" s="57">
        <v>0</v>
      </c>
      <c r="R1104" s="57">
        <v>1</v>
      </c>
      <c r="S1104" s="57">
        <v>1</v>
      </c>
      <c r="T1104" s="57">
        <v>0</v>
      </c>
      <c r="U1104" s="57">
        <v>3</v>
      </c>
      <c r="V1104" s="57">
        <v>1</v>
      </c>
      <c r="W1104" s="57">
        <v>6</v>
      </c>
      <c r="X1104" s="555">
        <v>3</v>
      </c>
      <c r="Y1104" s="57">
        <v>-0.1</v>
      </c>
      <c r="Z1104" s="57">
        <v>0</v>
      </c>
      <c r="AN1104" s="560">
        <v>4178</v>
      </c>
      <c r="AO1104" s="57" t="s">
        <v>3971</v>
      </c>
      <c r="AP1104" s="57">
        <v>4177</v>
      </c>
      <c r="AQ1104" s="57" t="s">
        <v>136</v>
      </c>
      <c r="AY1104" s="547"/>
      <c r="AZ1104" s="547"/>
    </row>
    <row r="1105" s="57" customFormat="1" spans="1:52">
      <c r="A1105" s="57">
        <v>1101</v>
      </c>
      <c r="B1105" s="57" t="s">
        <v>3969</v>
      </c>
      <c r="C1105" s="57" t="s">
        <v>3972</v>
      </c>
      <c r="D1105" s="57">
        <v>1</v>
      </c>
      <c r="E1105" s="57">
        <v>0</v>
      </c>
      <c r="G1105" s="57">
        <v>1</v>
      </c>
      <c r="H1105" s="544">
        <v>13102</v>
      </c>
      <c r="I1105" s="55">
        <f>180/30</f>
        <v>6</v>
      </c>
      <c r="J1105" s="55">
        <f>180/30</f>
        <v>6</v>
      </c>
      <c r="L1105" s="57">
        <v>1</v>
      </c>
      <c r="M1105" s="55">
        <f t="shared" si="80"/>
        <v>5.6</v>
      </c>
      <c r="N1105" s="57" t="s">
        <v>3973</v>
      </c>
      <c r="O1105" s="57">
        <v>1</v>
      </c>
      <c r="P1105" s="57">
        <v>-4</v>
      </c>
      <c r="Q1105" s="57">
        <v>0</v>
      </c>
      <c r="V1105" s="57">
        <v>1</v>
      </c>
      <c r="W1105" s="57">
        <v>6</v>
      </c>
      <c r="X1105" s="555">
        <v>1</v>
      </c>
      <c r="Y1105" s="57">
        <v>-0.1</v>
      </c>
      <c r="Z1105" s="57">
        <v>0</v>
      </c>
      <c r="AB1105" s="55">
        <f>I1105-0.3</f>
        <v>5.7</v>
      </c>
      <c r="AC1105" s="57">
        <v>1</v>
      </c>
      <c r="AD1105" s="57">
        <v>1</v>
      </c>
      <c r="AE1105" s="57" t="s">
        <v>3974</v>
      </c>
      <c r="AF1105" s="57">
        <v>3</v>
      </c>
      <c r="AG1105" s="55"/>
      <c r="AN1105" s="560" t="s">
        <v>3975</v>
      </c>
      <c r="AO1105" s="57" t="s">
        <v>3976</v>
      </c>
      <c r="AP1105" s="57">
        <v>4179</v>
      </c>
      <c r="AQ1105" s="57" t="s">
        <v>136</v>
      </c>
      <c r="AU1105" s="57">
        <v>1</v>
      </c>
      <c r="AY1105" s="547"/>
      <c r="AZ1105" s="547"/>
    </row>
    <row r="1106" s="57" customFormat="1" spans="1:52">
      <c r="A1106" s="57">
        <v>1102</v>
      </c>
      <c r="B1106" s="57" t="s">
        <v>3969</v>
      </c>
      <c r="C1106" s="57" t="s">
        <v>3977</v>
      </c>
      <c r="D1106" s="57">
        <v>1</v>
      </c>
      <c r="E1106" s="57">
        <v>0</v>
      </c>
      <c r="G1106" s="57">
        <v>1</v>
      </c>
      <c r="H1106" s="544">
        <v>13103</v>
      </c>
      <c r="I1106" s="55">
        <f>235/30</f>
        <v>7.83333333333333</v>
      </c>
      <c r="J1106" s="55">
        <f>235/30</f>
        <v>7.83333333333333</v>
      </c>
      <c r="L1106" s="57">
        <v>1</v>
      </c>
      <c r="M1106" s="55">
        <f t="shared" si="80"/>
        <v>7.43333333333333</v>
      </c>
      <c r="N1106" s="57" t="s">
        <v>3978</v>
      </c>
      <c r="O1106" s="57">
        <v>1</v>
      </c>
      <c r="P1106" s="57">
        <v>-4</v>
      </c>
      <c r="Q1106" s="57">
        <v>0</v>
      </c>
      <c r="V1106" s="57">
        <v>1</v>
      </c>
      <c r="W1106" s="57">
        <v>6</v>
      </c>
      <c r="X1106" s="555">
        <v>1</v>
      </c>
      <c r="Y1106" s="57">
        <v>-0.1</v>
      </c>
      <c r="Z1106" s="57">
        <v>0</v>
      </c>
      <c r="AB1106" s="55">
        <f>I1106-0.3</f>
        <v>7.53333333333333</v>
      </c>
      <c r="AC1106" s="57">
        <v>1</v>
      </c>
      <c r="AD1106" s="57">
        <v>1</v>
      </c>
      <c r="AE1106" s="57" t="s">
        <v>3979</v>
      </c>
      <c r="AF1106" s="57">
        <v>3</v>
      </c>
      <c r="AG1106" s="55"/>
      <c r="AN1106" s="560">
        <v>4184</v>
      </c>
      <c r="AO1106" s="57" t="s">
        <v>3980</v>
      </c>
      <c r="AP1106" s="57">
        <v>4183</v>
      </c>
      <c r="AQ1106" s="57" t="s">
        <v>136</v>
      </c>
      <c r="AU1106" s="57">
        <v>1</v>
      </c>
      <c r="AY1106" s="547"/>
      <c r="AZ1106" s="547"/>
    </row>
    <row r="1107" s="57" customFormat="1" spans="1:52">
      <c r="A1107" s="57">
        <v>1103</v>
      </c>
      <c r="B1107" s="57" t="s">
        <v>3969</v>
      </c>
      <c r="C1107" s="57" t="s">
        <v>3981</v>
      </c>
      <c r="D1107" s="57">
        <v>1</v>
      </c>
      <c r="E1107" s="57">
        <v>0</v>
      </c>
      <c r="G1107" s="57">
        <v>1</v>
      </c>
      <c r="H1107" s="544">
        <v>13104</v>
      </c>
      <c r="I1107" s="55">
        <f>140/30</f>
        <v>4.66666666666667</v>
      </c>
      <c r="J1107" s="55">
        <f>140/30</f>
        <v>4.66666666666667</v>
      </c>
      <c r="L1107" s="57">
        <v>1</v>
      </c>
      <c r="M1107" s="55">
        <f t="shared" si="80"/>
        <v>4.26666666666667</v>
      </c>
      <c r="N1107" s="57" t="s">
        <v>3982</v>
      </c>
      <c r="O1107" s="57">
        <v>1</v>
      </c>
      <c r="P1107" s="57">
        <v>-4</v>
      </c>
      <c r="Q1107" s="57">
        <v>0</v>
      </c>
      <c r="V1107" s="57">
        <v>1</v>
      </c>
      <c r="W1107" s="57">
        <v>6</v>
      </c>
      <c r="X1107" s="555">
        <v>1</v>
      </c>
      <c r="Y1107" s="57">
        <v>-0.1</v>
      </c>
      <c r="Z1107" s="57">
        <v>0</v>
      </c>
      <c r="AB1107" s="55">
        <f>I1107-0.3</f>
        <v>4.36666666666667</v>
      </c>
      <c r="AC1107" s="57">
        <v>1</v>
      </c>
      <c r="AD1107" s="57">
        <v>1</v>
      </c>
      <c r="AE1107" s="57" t="s">
        <v>3983</v>
      </c>
      <c r="AF1107" s="57">
        <v>3</v>
      </c>
      <c r="AG1107" s="55"/>
      <c r="AN1107" s="560"/>
      <c r="AP1107" s="57">
        <v>4186</v>
      </c>
      <c r="AQ1107" s="57" t="s">
        <v>136</v>
      </c>
      <c r="AS1107" s="57" t="s">
        <v>3984</v>
      </c>
      <c r="AU1107" s="57">
        <v>1</v>
      </c>
      <c r="AY1107" s="547"/>
      <c r="AZ1107" s="547"/>
    </row>
    <row r="1108" s="57" customFormat="1" spans="1:52">
      <c r="A1108" s="57">
        <v>1104</v>
      </c>
      <c r="B1108" s="57" t="s">
        <v>3969</v>
      </c>
      <c r="C1108" s="57" t="s">
        <v>3985</v>
      </c>
      <c r="D1108" s="57">
        <v>2</v>
      </c>
      <c r="E1108" s="57">
        <v>1</v>
      </c>
      <c r="G1108" s="57">
        <v>1</v>
      </c>
      <c r="H1108" s="544">
        <v>13105</v>
      </c>
      <c r="I1108" s="55">
        <f>125/30</f>
        <v>4.16666666666667</v>
      </c>
      <c r="J1108" s="55">
        <f>125/30</f>
        <v>4.16666666666667</v>
      </c>
      <c r="L1108" s="57">
        <v>0</v>
      </c>
      <c r="M1108" s="55">
        <f t="shared" si="80"/>
        <v>3.76666666666667</v>
      </c>
      <c r="N1108" s="57" t="s">
        <v>3986</v>
      </c>
      <c r="O1108" s="57">
        <v>0</v>
      </c>
      <c r="P1108" s="57">
        <v>0</v>
      </c>
      <c r="Q1108" s="57">
        <v>0</v>
      </c>
      <c r="R1108" s="57">
        <v>1</v>
      </c>
      <c r="S1108" s="57">
        <v>2</v>
      </c>
      <c r="T1108" s="57">
        <v>0</v>
      </c>
      <c r="U1108" s="57">
        <v>1</v>
      </c>
      <c r="V1108" s="57">
        <v>1000</v>
      </c>
      <c r="W1108" s="57">
        <v>0</v>
      </c>
      <c r="X1108" s="555">
        <v>0</v>
      </c>
      <c r="Y1108" s="57">
        <v>-0.1</v>
      </c>
      <c r="Z1108" s="57">
        <v>0</v>
      </c>
      <c r="AG1108" s="55"/>
      <c r="AN1108" s="560" t="s">
        <v>3987</v>
      </c>
      <c r="AO1108" s="57" t="s">
        <v>3988</v>
      </c>
      <c r="AP1108" s="57">
        <v>4188</v>
      </c>
      <c r="AQ1108" s="57" t="s">
        <v>136</v>
      </c>
      <c r="AY1108" s="547"/>
      <c r="AZ1108" s="547"/>
    </row>
    <row r="1109" s="57" customFormat="1" spans="1:52">
      <c r="A1109" s="57">
        <v>1105</v>
      </c>
      <c r="B1109" s="57" t="s">
        <v>3969</v>
      </c>
      <c r="C1109" s="57" t="s">
        <v>3989</v>
      </c>
      <c r="D1109" s="57">
        <v>1</v>
      </c>
      <c r="E1109" s="57">
        <v>0</v>
      </c>
      <c r="G1109" s="57">
        <v>1</v>
      </c>
      <c r="H1109" s="544">
        <v>13106</v>
      </c>
      <c r="I1109" s="55">
        <f>507/30</f>
        <v>16.9</v>
      </c>
      <c r="J1109" s="55">
        <f>507/30</f>
        <v>16.9</v>
      </c>
      <c r="L1109" s="57">
        <v>1</v>
      </c>
      <c r="M1109" s="55">
        <f t="shared" ref="M1109:M1116" si="82">I1109-0.4</f>
        <v>16.5</v>
      </c>
      <c r="N1109" s="57" t="s">
        <v>3990</v>
      </c>
      <c r="O1109" s="57">
        <v>0</v>
      </c>
      <c r="P1109" s="57">
        <v>0</v>
      </c>
      <c r="Q1109" s="57">
        <v>0</v>
      </c>
      <c r="V1109" s="57">
        <v>1</v>
      </c>
      <c r="W1109" s="57">
        <v>6</v>
      </c>
      <c r="X1109" s="555">
        <v>1</v>
      </c>
      <c r="Y1109" s="57">
        <v>-0.1</v>
      </c>
      <c r="Z1109" s="57">
        <v>0</v>
      </c>
      <c r="AB1109" s="55">
        <f>I1109-0.4</f>
        <v>16.5</v>
      </c>
      <c r="AC1109" s="57">
        <v>1</v>
      </c>
      <c r="AD1109" s="57">
        <v>1</v>
      </c>
      <c r="AE1109" s="57" t="s">
        <v>3991</v>
      </c>
      <c r="AF1109" s="57">
        <v>0.5</v>
      </c>
      <c r="AG1109" s="55"/>
      <c r="AN1109" s="560"/>
      <c r="AP1109" s="57">
        <v>4191</v>
      </c>
      <c r="AQ1109" s="57" t="s">
        <v>136</v>
      </c>
      <c r="AS1109" s="57" t="s">
        <v>3984</v>
      </c>
      <c r="AU1109" s="57">
        <v>1</v>
      </c>
      <c r="AY1109" s="547"/>
      <c r="AZ1109" s="547"/>
    </row>
    <row r="1110" s="57" customFormat="1" spans="1:52">
      <c r="A1110" s="57">
        <v>1106</v>
      </c>
      <c r="B1110" s="57" t="s">
        <v>3969</v>
      </c>
      <c r="C1110" s="57" t="s">
        <v>3992</v>
      </c>
      <c r="D1110" s="57">
        <v>1</v>
      </c>
      <c r="E1110" s="57">
        <v>0</v>
      </c>
      <c r="G1110" s="57">
        <v>1</v>
      </c>
      <c r="H1110" s="544">
        <v>13107</v>
      </c>
      <c r="I1110" s="55">
        <f>450/30</f>
        <v>15</v>
      </c>
      <c r="J1110" s="55">
        <f>450/30</f>
        <v>15</v>
      </c>
      <c r="L1110" s="57">
        <v>1</v>
      </c>
      <c r="M1110" s="55">
        <f t="shared" si="82"/>
        <v>14.6</v>
      </c>
      <c r="N1110" s="57" t="s">
        <v>3993</v>
      </c>
      <c r="O1110" s="57">
        <v>3</v>
      </c>
      <c r="P1110" s="57">
        <v>0</v>
      </c>
      <c r="Q1110" s="57">
        <v>0</v>
      </c>
      <c r="V1110" s="57">
        <v>1</v>
      </c>
      <c r="W1110" s="57">
        <v>6</v>
      </c>
      <c r="X1110" s="555">
        <v>2</v>
      </c>
      <c r="Y1110" s="57">
        <v>-0.1</v>
      </c>
      <c r="Z1110" s="57">
        <v>0</v>
      </c>
      <c r="AB1110" s="55">
        <f t="shared" ref="AB1110:AB1114" si="83">I1110-0.4</f>
        <v>14.6</v>
      </c>
      <c r="AC1110" s="57">
        <v>1</v>
      </c>
      <c r="AD1110" s="57">
        <v>1</v>
      </c>
      <c r="AE1110" s="57" t="s">
        <v>3994</v>
      </c>
      <c r="AF1110" s="57">
        <v>0.5</v>
      </c>
      <c r="AG1110" s="55"/>
      <c r="AO1110" s="560"/>
      <c r="AP1110" s="57">
        <v>4193</v>
      </c>
      <c r="AQ1110" s="57" t="s">
        <v>136</v>
      </c>
      <c r="AS1110" s="55"/>
      <c r="AU1110" s="57">
        <v>1</v>
      </c>
      <c r="AY1110" s="547"/>
      <c r="AZ1110" s="547"/>
    </row>
    <row r="1111" s="57" customFormat="1" spans="1:52">
      <c r="A1111" s="57">
        <v>1107</v>
      </c>
      <c r="B1111" s="57" t="s">
        <v>3969</v>
      </c>
      <c r="C1111" s="57" t="s">
        <v>3995</v>
      </c>
      <c r="D1111" s="57">
        <v>1</v>
      </c>
      <c r="E1111" s="57">
        <v>0</v>
      </c>
      <c r="G1111" s="57">
        <v>1</v>
      </c>
      <c r="H1111" s="544">
        <v>13108</v>
      </c>
      <c r="I1111" s="55">
        <f>470/30</f>
        <v>15.6666666666667</v>
      </c>
      <c r="J1111" s="55">
        <f>470/30</f>
        <v>15.6666666666667</v>
      </c>
      <c r="L1111" s="57">
        <v>1</v>
      </c>
      <c r="M1111" s="55">
        <f t="shared" si="82"/>
        <v>15.2666666666667</v>
      </c>
      <c r="N1111" s="57" t="s">
        <v>3996</v>
      </c>
      <c r="O1111" s="57">
        <v>0</v>
      </c>
      <c r="P1111" s="57">
        <v>0</v>
      </c>
      <c r="Q1111" s="57">
        <v>0</v>
      </c>
      <c r="V1111" s="57">
        <v>1</v>
      </c>
      <c r="W1111" s="57">
        <v>0</v>
      </c>
      <c r="X1111" s="555">
        <v>5</v>
      </c>
      <c r="Y1111" s="57">
        <v>-0.1</v>
      </c>
      <c r="Z1111" s="57">
        <v>0</v>
      </c>
      <c r="AB1111" s="55">
        <f t="shared" si="83"/>
        <v>15.2666666666667</v>
      </c>
      <c r="AC1111" s="57">
        <v>1</v>
      </c>
      <c r="AD1111" s="57">
        <v>1</v>
      </c>
      <c r="AE1111" s="57" t="s">
        <v>3997</v>
      </c>
      <c r="AF1111" s="57">
        <v>0.5</v>
      </c>
      <c r="AG1111" s="55"/>
      <c r="AN1111" s="560"/>
      <c r="AP1111" s="57">
        <v>4197</v>
      </c>
      <c r="AQ1111" s="57" t="s">
        <v>136</v>
      </c>
      <c r="AS1111" s="57" t="s">
        <v>3984</v>
      </c>
      <c r="AU1111" s="57">
        <v>1</v>
      </c>
      <c r="AY1111" s="547"/>
      <c r="AZ1111" s="547"/>
    </row>
    <row r="1112" s="57" customFormat="1" spans="1:52">
      <c r="A1112" s="57">
        <v>1108</v>
      </c>
      <c r="B1112" s="57" t="s">
        <v>3969</v>
      </c>
      <c r="C1112" s="57" t="s">
        <v>3998</v>
      </c>
      <c r="D1112" s="57">
        <v>1</v>
      </c>
      <c r="E1112" s="57">
        <v>0</v>
      </c>
      <c r="G1112" s="57">
        <v>1</v>
      </c>
      <c r="H1112" s="544">
        <v>13109</v>
      </c>
      <c r="I1112" s="55">
        <f>96/30</f>
        <v>3.2</v>
      </c>
      <c r="J1112" s="55">
        <f>96/30</f>
        <v>3.2</v>
      </c>
      <c r="L1112" s="57">
        <v>0</v>
      </c>
      <c r="M1112" s="55">
        <f t="shared" si="82"/>
        <v>2.8</v>
      </c>
      <c r="N1112" s="57" t="s">
        <v>3999</v>
      </c>
      <c r="O1112" s="57">
        <v>1</v>
      </c>
      <c r="P1112" s="57">
        <v>6</v>
      </c>
      <c r="Q1112" s="57">
        <v>0</v>
      </c>
      <c r="R1112" s="57">
        <v>1</v>
      </c>
      <c r="S1112" s="57">
        <v>1</v>
      </c>
      <c r="T1112" s="57">
        <v>0</v>
      </c>
      <c r="U1112" s="57">
        <v>1</v>
      </c>
      <c r="V1112" s="57">
        <v>1</v>
      </c>
      <c r="W1112" s="57">
        <v>6</v>
      </c>
      <c r="X1112" s="555">
        <v>3</v>
      </c>
      <c r="Y1112" s="57">
        <v>-0.1</v>
      </c>
      <c r="Z1112" s="57">
        <v>0</v>
      </c>
      <c r="AB1112" s="55"/>
      <c r="AG1112" s="55"/>
      <c r="AN1112" s="560"/>
      <c r="AP1112" s="57">
        <v>4199</v>
      </c>
      <c r="AQ1112" s="57" t="s">
        <v>136</v>
      </c>
      <c r="AY1112" s="547"/>
      <c r="AZ1112" s="547"/>
    </row>
    <row r="1113" s="57" customFormat="1" spans="1:52">
      <c r="A1113" s="57">
        <v>1109</v>
      </c>
      <c r="B1113" s="57" t="s">
        <v>3969</v>
      </c>
      <c r="C1113" s="57" t="s">
        <v>4000</v>
      </c>
      <c r="D1113" s="57">
        <v>1</v>
      </c>
      <c r="E1113" s="57">
        <v>0</v>
      </c>
      <c r="G1113" s="57">
        <v>1</v>
      </c>
      <c r="H1113" s="544">
        <v>13110</v>
      </c>
      <c r="I1113" s="55">
        <f>130/30</f>
        <v>4.33333333333333</v>
      </c>
      <c r="J1113" s="55">
        <f>130/30</f>
        <v>4.33333333333333</v>
      </c>
      <c r="L1113" s="57">
        <v>1</v>
      </c>
      <c r="M1113" s="55">
        <f t="shared" si="82"/>
        <v>3.93333333333333</v>
      </c>
      <c r="N1113" s="57" t="s">
        <v>4001</v>
      </c>
      <c r="O1113" s="57">
        <v>1</v>
      </c>
      <c r="P1113" s="57">
        <v>6</v>
      </c>
      <c r="Q1113" s="57">
        <v>0</v>
      </c>
      <c r="V1113" s="57">
        <v>1</v>
      </c>
      <c r="W1113" s="57">
        <v>6</v>
      </c>
      <c r="X1113" s="555">
        <v>6</v>
      </c>
      <c r="Y1113" s="57">
        <v>-0.1</v>
      </c>
      <c r="Z1113" s="57">
        <v>0</v>
      </c>
      <c r="AB1113" s="55">
        <f t="shared" si="83"/>
        <v>3.93333333333333</v>
      </c>
      <c r="AC1113" s="57">
        <v>1</v>
      </c>
      <c r="AD1113" s="57">
        <v>1</v>
      </c>
      <c r="AE1113" s="57" t="s">
        <v>4002</v>
      </c>
      <c r="AF1113" s="57">
        <v>3</v>
      </c>
      <c r="AG1113" s="55"/>
      <c r="AN1113" s="560" t="s">
        <v>4003</v>
      </c>
      <c r="AO1113" s="57" t="s">
        <v>4004</v>
      </c>
      <c r="AP1113" s="57">
        <v>4201</v>
      </c>
      <c r="AQ1113" s="57" t="s">
        <v>136</v>
      </c>
      <c r="AU1113" s="57">
        <v>1</v>
      </c>
      <c r="AY1113" s="547"/>
      <c r="AZ1113" s="547"/>
    </row>
    <row r="1114" s="57" customFormat="1" spans="1:52">
      <c r="A1114" s="57">
        <v>1110</v>
      </c>
      <c r="B1114" s="57" t="s">
        <v>3969</v>
      </c>
      <c r="C1114" s="57" t="s">
        <v>4005</v>
      </c>
      <c r="D1114" s="57">
        <v>1</v>
      </c>
      <c r="E1114" s="57">
        <v>0</v>
      </c>
      <c r="G1114" s="57">
        <v>1</v>
      </c>
      <c r="H1114" s="544">
        <v>13111</v>
      </c>
      <c r="I1114" s="55">
        <f>210/30</f>
        <v>7</v>
      </c>
      <c r="J1114" s="55">
        <f>210/30</f>
        <v>7</v>
      </c>
      <c r="L1114" s="57">
        <v>1</v>
      </c>
      <c r="M1114" s="55">
        <f t="shared" si="82"/>
        <v>6.6</v>
      </c>
      <c r="N1114" s="57" t="s">
        <v>4006</v>
      </c>
      <c r="O1114" s="57">
        <v>1</v>
      </c>
      <c r="P1114" s="57">
        <v>6</v>
      </c>
      <c r="Q1114" s="57">
        <v>0</v>
      </c>
      <c r="V1114" s="57">
        <v>1</v>
      </c>
      <c r="W1114" s="57">
        <v>6</v>
      </c>
      <c r="X1114" s="555">
        <v>3</v>
      </c>
      <c r="Y1114" s="57">
        <v>-0.1</v>
      </c>
      <c r="Z1114" s="57">
        <v>0</v>
      </c>
      <c r="AB1114" s="55">
        <f t="shared" si="83"/>
        <v>6.6</v>
      </c>
      <c r="AC1114" s="57">
        <v>1</v>
      </c>
      <c r="AD1114" s="57">
        <v>1</v>
      </c>
      <c r="AE1114" s="57" t="s">
        <v>4007</v>
      </c>
      <c r="AF1114" s="57">
        <v>3</v>
      </c>
      <c r="AG1114" s="55"/>
      <c r="AN1114" s="560" t="s">
        <v>4008</v>
      </c>
      <c r="AO1114" s="57" t="s">
        <v>4009</v>
      </c>
      <c r="AP1114" s="57">
        <v>4205</v>
      </c>
      <c r="AQ1114" s="57" t="s">
        <v>136</v>
      </c>
      <c r="AU1114" s="57">
        <v>1</v>
      </c>
      <c r="AY1114" s="547"/>
      <c r="AZ1114" s="547"/>
    </row>
    <row r="1115" s="57" customFormat="1" spans="1:52">
      <c r="A1115" s="57">
        <v>1111</v>
      </c>
      <c r="B1115" s="57" t="s">
        <v>3969</v>
      </c>
      <c r="C1115" s="57" t="s">
        <v>4010</v>
      </c>
      <c r="D1115" s="57">
        <v>2</v>
      </c>
      <c r="E1115" s="57">
        <v>1</v>
      </c>
      <c r="G1115" s="57">
        <v>1</v>
      </c>
      <c r="H1115" s="544">
        <v>13112</v>
      </c>
      <c r="I1115" s="55">
        <f>125/30</f>
        <v>4.16666666666667</v>
      </c>
      <c r="J1115" s="55">
        <f>125/30</f>
        <v>4.16666666666667</v>
      </c>
      <c r="L1115" s="57">
        <v>0</v>
      </c>
      <c r="M1115" s="55">
        <f t="shared" si="82"/>
        <v>3.76666666666667</v>
      </c>
      <c r="N1115" s="57" t="s">
        <v>3986</v>
      </c>
      <c r="O1115" s="57">
        <v>0</v>
      </c>
      <c r="P1115" s="57">
        <v>0</v>
      </c>
      <c r="Q1115" s="57">
        <v>0</v>
      </c>
      <c r="R1115" s="57">
        <v>1</v>
      </c>
      <c r="S1115" s="57">
        <v>2</v>
      </c>
      <c r="T1115" s="57">
        <v>0</v>
      </c>
      <c r="U1115" s="57">
        <v>1</v>
      </c>
      <c r="V1115" s="57">
        <v>1000</v>
      </c>
      <c r="W1115" s="57">
        <v>0</v>
      </c>
      <c r="X1115" s="555">
        <v>0</v>
      </c>
      <c r="Y1115" s="57">
        <v>-0.1</v>
      </c>
      <c r="Z1115" s="57">
        <v>0</v>
      </c>
      <c r="AG1115" s="55"/>
      <c r="AN1115" s="560" t="s">
        <v>3987</v>
      </c>
      <c r="AO1115" s="57" t="s">
        <v>3988</v>
      </c>
      <c r="AP1115" s="57">
        <v>4188</v>
      </c>
      <c r="AQ1115" s="57" t="s">
        <v>136</v>
      </c>
      <c r="AY1115" s="79"/>
      <c r="AZ1115" s="79"/>
    </row>
    <row r="1116" s="58" customFormat="1" spans="1:43">
      <c r="A1116" s="57">
        <v>1112</v>
      </c>
      <c r="B1116" s="58" t="s">
        <v>4011</v>
      </c>
      <c r="C1116" s="58" t="s">
        <v>4012</v>
      </c>
      <c r="D1116" s="58">
        <v>1</v>
      </c>
      <c r="E1116" s="58">
        <v>0</v>
      </c>
      <c r="G1116" s="58">
        <v>1</v>
      </c>
      <c r="H1116" s="544">
        <v>13201</v>
      </c>
      <c r="I1116" s="58">
        <f t="shared" ref="I1116:M1116" si="84">118/30</f>
        <v>3.93333333333333</v>
      </c>
      <c r="J1116" s="58">
        <f t="shared" si="84"/>
        <v>3.93333333333333</v>
      </c>
      <c r="L1116" s="58">
        <v>0</v>
      </c>
      <c r="M1116" s="58">
        <f t="shared" si="84"/>
        <v>3.93333333333333</v>
      </c>
      <c r="N1116" s="57" t="s">
        <v>4013</v>
      </c>
      <c r="O1116" s="58">
        <v>1</v>
      </c>
      <c r="P1116" s="58">
        <v>3.7</v>
      </c>
      <c r="Q1116" s="58">
        <v>0</v>
      </c>
      <c r="R1116" s="58">
        <v>1</v>
      </c>
      <c r="S1116" s="58">
        <v>1</v>
      </c>
      <c r="V1116" s="58">
        <v>6</v>
      </c>
      <c r="W1116" s="58">
        <v>0</v>
      </c>
      <c r="X1116" s="556">
        <v>4</v>
      </c>
      <c r="Y1116" s="57">
        <v>-0.1</v>
      </c>
      <c r="Z1116" s="58">
        <v>0</v>
      </c>
      <c r="AN1116" s="561"/>
      <c r="AP1116" s="58">
        <v>4220</v>
      </c>
      <c r="AQ1116" s="58" t="s">
        <v>136</v>
      </c>
    </row>
    <row r="1117" s="58" customFormat="1" spans="1:52">
      <c r="A1117" s="57">
        <v>1113</v>
      </c>
      <c r="B1117" s="58" t="s">
        <v>4011</v>
      </c>
      <c r="C1117" s="58" t="s">
        <v>4014</v>
      </c>
      <c r="D1117" s="58">
        <v>1</v>
      </c>
      <c r="E1117" s="58">
        <v>0</v>
      </c>
      <c r="G1117" s="58">
        <v>1</v>
      </c>
      <c r="H1117" s="544">
        <v>13202</v>
      </c>
      <c r="I1117" s="58">
        <f t="shared" ref="I1117:M1117" si="85">145/30</f>
        <v>4.83333333333333</v>
      </c>
      <c r="J1117" s="58">
        <f t="shared" si="85"/>
        <v>4.83333333333333</v>
      </c>
      <c r="L1117" s="58">
        <v>1</v>
      </c>
      <c r="M1117" s="58">
        <f t="shared" si="85"/>
        <v>4.83333333333333</v>
      </c>
      <c r="N1117" s="57" t="s">
        <v>4015</v>
      </c>
      <c r="O1117" s="58">
        <v>1</v>
      </c>
      <c r="P1117" s="58">
        <v>3.7</v>
      </c>
      <c r="Q1117" s="58">
        <v>0</v>
      </c>
      <c r="R1117" s="58">
        <v>1</v>
      </c>
      <c r="S1117" s="58">
        <v>2</v>
      </c>
      <c r="V1117" s="58">
        <v>6</v>
      </c>
      <c r="W1117" s="58">
        <v>0</v>
      </c>
      <c r="X1117" s="556">
        <v>1</v>
      </c>
      <c r="Y1117" s="57">
        <v>-0.1</v>
      </c>
      <c r="Z1117" s="58">
        <v>0</v>
      </c>
      <c r="AN1117" s="561"/>
      <c r="AP1117" s="58">
        <v>4227</v>
      </c>
      <c r="AQ1117" s="58" t="s">
        <v>136</v>
      </c>
      <c r="AY1117" s="565"/>
      <c r="AZ1117" s="565"/>
    </row>
    <row r="1118" s="58" customFormat="1" spans="1:52">
      <c r="A1118" s="57">
        <v>1114</v>
      </c>
      <c r="B1118" s="58" t="s">
        <v>4011</v>
      </c>
      <c r="C1118" s="58" t="s">
        <v>4016</v>
      </c>
      <c r="D1118" s="58">
        <v>1</v>
      </c>
      <c r="E1118" s="58">
        <v>0</v>
      </c>
      <c r="G1118" s="58">
        <v>1</v>
      </c>
      <c r="H1118" s="544">
        <v>13203</v>
      </c>
      <c r="I1118" s="58">
        <f t="shared" ref="I1118:M1118" si="86">90/30</f>
        <v>3</v>
      </c>
      <c r="J1118" s="58">
        <f t="shared" si="86"/>
        <v>3</v>
      </c>
      <c r="L1118" s="58">
        <v>1</v>
      </c>
      <c r="M1118" s="58">
        <f t="shared" si="86"/>
        <v>3</v>
      </c>
      <c r="N1118" s="57" t="s">
        <v>4017</v>
      </c>
      <c r="O1118" s="58">
        <v>1</v>
      </c>
      <c r="P1118" s="58">
        <v>3.7</v>
      </c>
      <c r="Q1118" s="58">
        <v>0</v>
      </c>
      <c r="R1118" s="58">
        <v>1</v>
      </c>
      <c r="S1118" s="58">
        <v>1</v>
      </c>
      <c r="T1118" s="58">
        <v>-2</v>
      </c>
      <c r="U1118" s="58">
        <v>0</v>
      </c>
      <c r="V1118" s="58">
        <v>6</v>
      </c>
      <c r="W1118" s="58">
        <v>0</v>
      </c>
      <c r="X1118" s="556">
        <v>1</v>
      </c>
      <c r="Y1118" s="57">
        <v>-0.1</v>
      </c>
      <c r="Z1118" s="58">
        <v>0</v>
      </c>
      <c r="AN1118" s="561"/>
      <c r="AP1118" s="58">
        <v>4226</v>
      </c>
      <c r="AQ1118" s="58" t="s">
        <v>136</v>
      </c>
      <c r="AY1118" s="71"/>
      <c r="AZ1118" s="71"/>
    </row>
    <row r="1119" s="58" customFormat="1" spans="1:52">
      <c r="A1119" s="57">
        <v>1115</v>
      </c>
      <c r="B1119" s="58" t="s">
        <v>4011</v>
      </c>
      <c r="C1119" s="58" t="s">
        <v>4018</v>
      </c>
      <c r="D1119" s="58">
        <v>1</v>
      </c>
      <c r="E1119" s="58">
        <v>0</v>
      </c>
      <c r="G1119" s="58">
        <v>1</v>
      </c>
      <c r="H1119" s="544">
        <v>13204</v>
      </c>
      <c r="I1119" s="58">
        <f t="shared" ref="I1119:M1119" si="87">156/30</f>
        <v>5.2</v>
      </c>
      <c r="J1119" s="58">
        <f t="shared" si="87"/>
        <v>5.2</v>
      </c>
      <c r="L1119" s="58">
        <v>1</v>
      </c>
      <c r="M1119" s="58">
        <f t="shared" si="87"/>
        <v>5.2</v>
      </c>
      <c r="N1119" s="57" t="s">
        <v>4019</v>
      </c>
      <c r="O1119" s="58">
        <v>1</v>
      </c>
      <c r="P1119" s="58">
        <v>3.7</v>
      </c>
      <c r="Q1119" s="58">
        <v>0</v>
      </c>
      <c r="R1119" s="58">
        <v>1</v>
      </c>
      <c r="S1119" s="58">
        <v>2</v>
      </c>
      <c r="T1119" s="58">
        <v>0</v>
      </c>
      <c r="U1119" s="58">
        <v>1</v>
      </c>
      <c r="V1119" s="58">
        <v>6</v>
      </c>
      <c r="W1119" s="58">
        <v>0</v>
      </c>
      <c r="X1119" s="556">
        <v>1</v>
      </c>
      <c r="Y1119" s="57">
        <v>-0.1</v>
      </c>
      <c r="Z1119" s="58">
        <v>0</v>
      </c>
      <c r="AN1119" s="561"/>
      <c r="AP1119" s="58">
        <v>4228</v>
      </c>
      <c r="AQ1119" s="58" t="s">
        <v>136</v>
      </c>
      <c r="AY1119" s="71"/>
      <c r="AZ1119" s="71"/>
    </row>
    <row r="1120" s="58" customFormat="1" spans="1:52">
      <c r="A1120" s="57">
        <v>1116</v>
      </c>
      <c r="B1120" s="58" t="s">
        <v>4011</v>
      </c>
      <c r="C1120" s="58" t="s">
        <v>4020</v>
      </c>
      <c r="D1120" s="58">
        <v>1</v>
      </c>
      <c r="E1120" s="58">
        <v>0</v>
      </c>
      <c r="G1120" s="58">
        <v>1</v>
      </c>
      <c r="H1120" s="544">
        <v>13205</v>
      </c>
      <c r="I1120" s="58">
        <f t="shared" ref="I1120:M1120" si="88">254/30</f>
        <v>8.46666666666667</v>
      </c>
      <c r="J1120" s="58">
        <f t="shared" si="88"/>
        <v>8.46666666666667</v>
      </c>
      <c r="L1120" s="58">
        <v>1</v>
      </c>
      <c r="M1120" s="58">
        <f t="shared" si="88"/>
        <v>8.46666666666667</v>
      </c>
      <c r="N1120" s="57" t="s">
        <v>4021</v>
      </c>
      <c r="O1120" s="58">
        <v>1</v>
      </c>
      <c r="P1120" s="58">
        <v>3.7</v>
      </c>
      <c r="Q1120" s="58">
        <v>0</v>
      </c>
      <c r="V1120" s="58">
        <v>6</v>
      </c>
      <c r="W1120" s="58">
        <v>6</v>
      </c>
      <c r="X1120" s="556">
        <v>4</v>
      </c>
      <c r="Y1120" s="57">
        <v>-0.1</v>
      </c>
      <c r="Z1120" s="58">
        <v>0</v>
      </c>
      <c r="AB1120" s="55">
        <f t="shared" ref="AB1120:AB1122" si="89">I1120-0.4</f>
        <v>8.06666666666667</v>
      </c>
      <c r="AC1120" s="58">
        <v>1</v>
      </c>
      <c r="AD1120" s="58">
        <v>1</v>
      </c>
      <c r="AE1120" s="58" t="s">
        <v>4022</v>
      </c>
      <c r="AF1120" s="58">
        <v>0.5</v>
      </c>
      <c r="AN1120" s="561"/>
      <c r="AP1120" s="58">
        <v>4233</v>
      </c>
      <c r="AQ1120" s="58" t="s">
        <v>136</v>
      </c>
      <c r="AU1120" s="58">
        <v>1</v>
      </c>
      <c r="AY1120" s="71"/>
      <c r="AZ1120" s="71"/>
    </row>
    <row r="1121" s="58" customFormat="1" spans="1:52">
      <c r="A1121" s="57">
        <v>1117</v>
      </c>
      <c r="B1121" s="58" t="s">
        <v>4011</v>
      </c>
      <c r="C1121" s="58" t="s">
        <v>4023</v>
      </c>
      <c r="D1121" s="58">
        <v>1</v>
      </c>
      <c r="E1121" s="58">
        <v>0</v>
      </c>
      <c r="G1121" s="58">
        <v>1</v>
      </c>
      <c r="H1121" s="544">
        <v>13206</v>
      </c>
      <c r="I1121" s="58">
        <f t="shared" ref="I1121:M1121" si="90">480/30</f>
        <v>16</v>
      </c>
      <c r="J1121" s="58">
        <f t="shared" si="90"/>
        <v>16</v>
      </c>
      <c r="L1121" s="58">
        <v>1</v>
      </c>
      <c r="M1121" s="58">
        <f t="shared" si="90"/>
        <v>16</v>
      </c>
      <c r="N1121" s="57" t="s">
        <v>4024</v>
      </c>
      <c r="O1121" s="58">
        <v>1</v>
      </c>
      <c r="P1121" s="58">
        <v>3.7</v>
      </c>
      <c r="Q1121" s="58">
        <v>0</v>
      </c>
      <c r="V1121" s="58">
        <v>6</v>
      </c>
      <c r="W1121" s="58">
        <v>6</v>
      </c>
      <c r="X1121" s="556">
        <v>1</v>
      </c>
      <c r="Y1121" s="57">
        <v>-0.1</v>
      </c>
      <c r="Z1121" s="58">
        <v>0</v>
      </c>
      <c r="AB1121" s="55">
        <f t="shared" si="89"/>
        <v>15.6</v>
      </c>
      <c r="AC1121" s="58">
        <v>2</v>
      </c>
      <c r="AD1121" s="58">
        <v>1</v>
      </c>
      <c r="AE1121" s="58" t="s">
        <v>4025</v>
      </c>
      <c r="AF1121" s="58">
        <v>0.5</v>
      </c>
      <c r="AN1121" s="561"/>
      <c r="AP1121" s="58">
        <v>4232</v>
      </c>
      <c r="AQ1121" s="58" t="s">
        <v>136</v>
      </c>
      <c r="AS1121" s="57" t="s">
        <v>3984</v>
      </c>
      <c r="AU1121" s="58">
        <v>1</v>
      </c>
      <c r="AY1121" s="71"/>
      <c r="AZ1121" s="71"/>
    </row>
    <row r="1122" s="58" customFormat="1" spans="1:52">
      <c r="A1122" s="57">
        <v>1118</v>
      </c>
      <c r="B1122" s="58" t="s">
        <v>4011</v>
      </c>
      <c r="C1122" s="58" t="s">
        <v>4026</v>
      </c>
      <c r="D1122" s="58">
        <v>1</v>
      </c>
      <c r="E1122" s="58">
        <v>0</v>
      </c>
      <c r="G1122" s="58">
        <v>1</v>
      </c>
      <c r="H1122" s="544">
        <v>13207</v>
      </c>
      <c r="I1122" s="58">
        <v>11</v>
      </c>
      <c r="J1122" s="58">
        <v>11</v>
      </c>
      <c r="L1122" s="58">
        <v>1</v>
      </c>
      <c r="M1122" s="58">
        <v>11</v>
      </c>
      <c r="N1122" s="57" t="s">
        <v>4027</v>
      </c>
      <c r="O1122" s="58">
        <v>1</v>
      </c>
      <c r="P1122" s="58">
        <v>3.7</v>
      </c>
      <c r="Q1122" s="58">
        <v>0</v>
      </c>
      <c r="V1122" s="58">
        <v>6</v>
      </c>
      <c r="W1122" s="58">
        <v>0</v>
      </c>
      <c r="X1122" s="556">
        <v>4</v>
      </c>
      <c r="Y1122" s="57">
        <v>-0.1</v>
      </c>
      <c r="Z1122" s="58">
        <v>0</v>
      </c>
      <c r="AB1122" s="55">
        <f t="shared" si="89"/>
        <v>10.6</v>
      </c>
      <c r="AC1122" s="58">
        <v>1</v>
      </c>
      <c r="AD1122" s="58">
        <v>1</v>
      </c>
      <c r="AE1122" s="58" t="s">
        <v>4028</v>
      </c>
      <c r="AF1122" s="58">
        <v>0.5</v>
      </c>
      <c r="AN1122" s="561"/>
      <c r="AP1122" s="58">
        <v>4225</v>
      </c>
      <c r="AQ1122" s="58" t="s">
        <v>136</v>
      </c>
      <c r="AU1122" s="58">
        <v>1</v>
      </c>
      <c r="AY1122" s="71"/>
      <c r="AZ1122" s="71"/>
    </row>
    <row r="1123" s="58" customFormat="1" spans="1:52">
      <c r="A1123" s="57">
        <v>1119</v>
      </c>
      <c r="B1123" s="58" t="s">
        <v>4011</v>
      </c>
      <c r="C1123" s="58" t="s">
        <v>4029</v>
      </c>
      <c r="D1123" s="58">
        <v>1</v>
      </c>
      <c r="E1123" s="58">
        <v>0</v>
      </c>
      <c r="G1123" s="58">
        <v>1</v>
      </c>
      <c r="H1123" s="544">
        <v>3008202</v>
      </c>
      <c r="I1123" s="58">
        <f t="shared" ref="I1123:M1123" si="91">77/30</f>
        <v>2.56666666666667</v>
      </c>
      <c r="J1123" s="58">
        <f t="shared" si="91"/>
        <v>2.56666666666667</v>
      </c>
      <c r="L1123" s="58">
        <v>0</v>
      </c>
      <c r="M1123" s="58">
        <f t="shared" si="91"/>
        <v>2.56666666666667</v>
      </c>
      <c r="N1123" s="57" t="s">
        <v>4030</v>
      </c>
      <c r="O1123" s="58">
        <v>1</v>
      </c>
      <c r="P1123" s="58">
        <v>3</v>
      </c>
      <c r="Q1123" s="58">
        <v>0</v>
      </c>
      <c r="R1123" s="58">
        <v>1</v>
      </c>
      <c r="S1123" s="58">
        <v>2</v>
      </c>
      <c r="T1123" s="58">
        <v>0</v>
      </c>
      <c r="V1123" s="58">
        <v>6</v>
      </c>
      <c r="W1123" s="58">
        <v>4</v>
      </c>
      <c r="X1123" s="556">
        <v>1</v>
      </c>
      <c r="Y1123" s="57">
        <v>-0.1</v>
      </c>
      <c r="Z1123" s="58">
        <v>0</v>
      </c>
      <c r="AN1123" s="561"/>
      <c r="AP1123" s="58">
        <v>4223</v>
      </c>
      <c r="AQ1123" s="58" t="s">
        <v>136</v>
      </c>
      <c r="AY1123" s="71"/>
      <c r="AZ1123" s="71"/>
    </row>
    <row r="1124" s="58" customFormat="1" spans="1:52">
      <c r="A1124" s="57">
        <v>1120</v>
      </c>
      <c r="B1124" s="58" t="s">
        <v>4011</v>
      </c>
      <c r="C1124" s="58" t="s">
        <v>4031</v>
      </c>
      <c r="D1124" s="58">
        <v>1</v>
      </c>
      <c r="E1124" s="58">
        <v>0</v>
      </c>
      <c r="G1124" s="58">
        <v>1</v>
      </c>
      <c r="H1124" s="544">
        <v>3008203</v>
      </c>
      <c r="I1124" s="58">
        <f t="shared" ref="I1124:M1124" si="92">291/30</f>
        <v>9.7</v>
      </c>
      <c r="J1124" s="58">
        <f t="shared" si="92"/>
        <v>9.7</v>
      </c>
      <c r="L1124" s="58">
        <v>1</v>
      </c>
      <c r="M1124" s="58">
        <f t="shared" si="92"/>
        <v>9.7</v>
      </c>
      <c r="N1124" s="57" t="s">
        <v>4032</v>
      </c>
      <c r="O1124" s="58">
        <v>1</v>
      </c>
      <c r="P1124" s="58">
        <v>3</v>
      </c>
      <c r="Q1124" s="58">
        <v>0</v>
      </c>
      <c r="V1124" s="58">
        <v>6</v>
      </c>
      <c r="W1124" s="58">
        <v>16</v>
      </c>
      <c r="X1124" s="556">
        <v>4</v>
      </c>
      <c r="Y1124" s="57">
        <v>-0.1</v>
      </c>
      <c r="Z1124" s="58">
        <v>0</v>
      </c>
      <c r="AB1124" s="55">
        <f>I1124-0.4</f>
        <v>9.3</v>
      </c>
      <c r="AC1124" s="58">
        <v>1</v>
      </c>
      <c r="AD1124" s="58">
        <v>1</v>
      </c>
      <c r="AE1124" s="58" t="s">
        <v>4033</v>
      </c>
      <c r="AF1124" s="58">
        <v>0.5</v>
      </c>
      <c r="AN1124" s="561"/>
      <c r="AP1124" s="58">
        <v>4222</v>
      </c>
      <c r="AQ1124" s="58" t="s">
        <v>136</v>
      </c>
      <c r="AU1124" s="58">
        <v>1</v>
      </c>
      <c r="AY1124" s="71"/>
      <c r="AZ1124" s="71"/>
    </row>
    <row r="1125" s="59" customFormat="1" spans="1:52">
      <c r="A1125" s="545">
        <v>1121</v>
      </c>
      <c r="B1125" s="59" t="s">
        <v>4034</v>
      </c>
      <c r="C1125" s="59" t="s">
        <v>4035</v>
      </c>
      <c r="D1125" s="59">
        <v>1</v>
      </c>
      <c r="E1125" s="59">
        <v>0</v>
      </c>
      <c r="G1125" s="59">
        <v>1</v>
      </c>
      <c r="H1125" s="546" t="s">
        <v>4036</v>
      </c>
      <c r="I1125" s="59">
        <f t="shared" ref="I1125:M1125" si="93">77/30</f>
        <v>2.56666666666667</v>
      </c>
      <c r="J1125" s="59">
        <f t="shared" si="93"/>
        <v>2.56666666666667</v>
      </c>
      <c r="L1125" s="59">
        <v>0</v>
      </c>
      <c r="M1125" s="59">
        <f>77/30</f>
        <v>2.56666666666667</v>
      </c>
      <c r="N1125" s="59" t="s">
        <v>4037</v>
      </c>
      <c r="O1125" s="59">
        <v>2</v>
      </c>
      <c r="P1125" s="59">
        <v>2</v>
      </c>
      <c r="Q1125" s="59">
        <v>0</v>
      </c>
      <c r="R1125" s="59">
        <v>1</v>
      </c>
      <c r="S1125" s="59">
        <v>1</v>
      </c>
      <c r="T1125" s="59">
        <v>1</v>
      </c>
      <c r="V1125" s="59">
        <v>2</v>
      </c>
      <c r="W1125" s="59">
        <v>0</v>
      </c>
      <c r="X1125" s="557">
        <v>3</v>
      </c>
      <c r="Y1125" s="59">
        <v>-0.1</v>
      </c>
      <c r="Z1125" s="59">
        <v>0</v>
      </c>
      <c r="AN1125" s="562"/>
      <c r="AY1125" s="71"/>
      <c r="AZ1125" s="71"/>
    </row>
    <row r="1126" s="59" customFormat="1" spans="1:52">
      <c r="A1126" s="545">
        <v>1122</v>
      </c>
      <c r="B1126" s="59" t="s">
        <v>4034</v>
      </c>
      <c r="C1126" s="59" t="s">
        <v>4038</v>
      </c>
      <c r="D1126" s="59">
        <v>1</v>
      </c>
      <c r="E1126" s="59">
        <v>0</v>
      </c>
      <c r="G1126" s="59">
        <v>1</v>
      </c>
      <c r="H1126" s="546" t="s">
        <v>4039</v>
      </c>
      <c r="I1126" s="59">
        <f t="shared" ref="I1126:M1126" si="94">78/30</f>
        <v>2.6</v>
      </c>
      <c r="J1126" s="59">
        <f t="shared" si="94"/>
        <v>2.6</v>
      </c>
      <c r="L1126" s="59">
        <v>1</v>
      </c>
      <c r="M1126" s="59">
        <f t="shared" si="94"/>
        <v>2.6</v>
      </c>
      <c r="N1126" s="59" t="s">
        <v>4040</v>
      </c>
      <c r="O1126" s="59">
        <v>2</v>
      </c>
      <c r="P1126" s="59">
        <v>2</v>
      </c>
      <c r="Q1126" s="59">
        <v>0</v>
      </c>
      <c r="R1126" s="59">
        <v>1</v>
      </c>
      <c r="S1126" s="59">
        <v>2</v>
      </c>
      <c r="T1126" s="59">
        <v>2</v>
      </c>
      <c r="V1126" s="59">
        <v>2</v>
      </c>
      <c r="W1126" s="59">
        <v>19</v>
      </c>
      <c r="X1126" s="557">
        <v>1</v>
      </c>
      <c r="Y1126" s="59">
        <v>-0.1</v>
      </c>
      <c r="Z1126" s="59">
        <v>0</v>
      </c>
      <c r="AN1126" s="562"/>
      <c r="AP1126" s="59">
        <v>4240</v>
      </c>
      <c r="AQ1126" s="59" t="s">
        <v>136</v>
      </c>
      <c r="AY1126" s="71"/>
      <c r="AZ1126" s="71"/>
    </row>
    <row r="1127" s="59" customFormat="1" spans="1:52">
      <c r="A1127" s="545">
        <v>1123</v>
      </c>
      <c r="B1127" s="59" t="s">
        <v>4034</v>
      </c>
      <c r="C1127" s="59" t="s">
        <v>4041</v>
      </c>
      <c r="D1127" s="59">
        <v>1</v>
      </c>
      <c r="E1127" s="59">
        <v>0</v>
      </c>
      <c r="G1127" s="59">
        <v>1</v>
      </c>
      <c r="H1127" s="546" t="s">
        <v>4042</v>
      </c>
      <c r="I1127" s="59">
        <f t="shared" ref="I1127:M1127" si="95">89/30</f>
        <v>2.96666666666667</v>
      </c>
      <c r="J1127" s="59">
        <f t="shared" si="95"/>
        <v>2.96666666666667</v>
      </c>
      <c r="L1127" s="59">
        <v>1</v>
      </c>
      <c r="M1127" s="59">
        <f t="shared" si="95"/>
        <v>2.96666666666667</v>
      </c>
      <c r="N1127" s="59" t="s">
        <v>4043</v>
      </c>
      <c r="O1127" s="59">
        <v>2</v>
      </c>
      <c r="P1127" s="59">
        <v>2</v>
      </c>
      <c r="Q1127" s="59">
        <v>0</v>
      </c>
      <c r="R1127" s="59">
        <v>1</v>
      </c>
      <c r="S1127" s="59">
        <v>2</v>
      </c>
      <c r="T1127" s="59">
        <v>2</v>
      </c>
      <c r="V1127" s="59">
        <v>2</v>
      </c>
      <c r="W1127" s="59">
        <v>19</v>
      </c>
      <c r="X1127" s="557">
        <v>3</v>
      </c>
      <c r="Y1127" s="59">
        <v>-0.1</v>
      </c>
      <c r="Z1127" s="59">
        <v>0</v>
      </c>
      <c r="AN1127" s="562"/>
      <c r="AP1127" s="59">
        <v>4244</v>
      </c>
      <c r="AQ1127" s="59" t="s">
        <v>136</v>
      </c>
      <c r="AY1127" s="71"/>
      <c r="AZ1127" s="71"/>
    </row>
    <row r="1128" s="59" customFormat="1" spans="1:52">
      <c r="A1128" s="545">
        <v>1124</v>
      </c>
      <c r="B1128" s="59" t="s">
        <v>4034</v>
      </c>
      <c r="C1128" s="59" t="s">
        <v>4044</v>
      </c>
      <c r="D1128" s="59">
        <v>1</v>
      </c>
      <c r="E1128" s="59">
        <v>0</v>
      </c>
      <c r="G1128" s="59">
        <v>1</v>
      </c>
      <c r="H1128" s="546" t="s">
        <v>4045</v>
      </c>
      <c r="I1128" s="59">
        <f t="shared" ref="I1128:M1128" si="96">250/30</f>
        <v>8.33333333333333</v>
      </c>
      <c r="J1128" s="59">
        <f t="shared" si="96"/>
        <v>8.33333333333333</v>
      </c>
      <c r="L1128" s="59">
        <v>1</v>
      </c>
      <c r="M1128" s="59">
        <f t="shared" si="96"/>
        <v>8.33333333333333</v>
      </c>
      <c r="N1128" s="59" t="s">
        <v>4046</v>
      </c>
      <c r="O1128" s="59">
        <v>2</v>
      </c>
      <c r="P1128" s="59">
        <v>2</v>
      </c>
      <c r="Q1128" s="59">
        <v>0</v>
      </c>
      <c r="V1128" s="59">
        <v>2</v>
      </c>
      <c r="W1128" s="59">
        <v>6</v>
      </c>
      <c r="X1128" s="557">
        <v>8</v>
      </c>
      <c r="Y1128" s="59">
        <v>-0.1</v>
      </c>
      <c r="Z1128" s="59">
        <v>0</v>
      </c>
      <c r="AB1128" s="59">
        <f t="shared" ref="AB1128:AB1132" si="97">I1128-0.4</f>
        <v>7.93333333333333</v>
      </c>
      <c r="AC1128" s="59">
        <v>1</v>
      </c>
      <c r="AD1128" s="59">
        <v>1</v>
      </c>
      <c r="AE1128" s="59" t="s">
        <v>4047</v>
      </c>
      <c r="AF1128" s="59">
        <v>0.5</v>
      </c>
      <c r="AN1128" s="562"/>
      <c r="AP1128" s="59">
        <v>4246</v>
      </c>
      <c r="AQ1128" s="59" t="s">
        <v>136</v>
      </c>
      <c r="AU1128" s="59">
        <v>1</v>
      </c>
      <c r="AY1128" s="71"/>
      <c r="AZ1128" s="71"/>
    </row>
    <row r="1129" s="59" customFormat="1" spans="1:52">
      <c r="A1129" s="545">
        <v>1125</v>
      </c>
      <c r="B1129" s="59" t="s">
        <v>4034</v>
      </c>
      <c r="C1129" s="59" t="s">
        <v>4048</v>
      </c>
      <c r="D1129" s="59">
        <v>1</v>
      </c>
      <c r="E1129" s="59">
        <v>0</v>
      </c>
      <c r="G1129" s="59">
        <v>1</v>
      </c>
      <c r="H1129" s="546" t="s">
        <v>4049</v>
      </c>
      <c r="I1129" s="59">
        <f t="shared" ref="I1129:M1129" si="98">110/30</f>
        <v>3.66666666666667</v>
      </c>
      <c r="J1129" s="59">
        <f t="shared" si="98"/>
        <v>3.66666666666667</v>
      </c>
      <c r="L1129" s="59">
        <v>1</v>
      </c>
      <c r="M1129" s="59">
        <f t="shared" si="98"/>
        <v>3.66666666666667</v>
      </c>
      <c r="N1129" s="59" t="s">
        <v>4050</v>
      </c>
      <c r="O1129" s="59">
        <v>2</v>
      </c>
      <c r="P1129" s="59">
        <v>2</v>
      </c>
      <c r="Q1129" s="59">
        <v>0</v>
      </c>
      <c r="R1129" s="59">
        <v>1</v>
      </c>
      <c r="S1129" s="59">
        <v>1</v>
      </c>
      <c r="T1129" s="59">
        <v>1</v>
      </c>
      <c r="V1129" s="59">
        <v>2</v>
      </c>
      <c r="W1129" s="59">
        <v>17</v>
      </c>
      <c r="X1129" s="557">
        <v>1</v>
      </c>
      <c r="Y1129" s="59">
        <v>-0.1</v>
      </c>
      <c r="Z1129" s="59">
        <v>0</v>
      </c>
      <c r="AN1129" s="562"/>
      <c r="AP1129" s="59">
        <v>4255</v>
      </c>
      <c r="AQ1129" s="59" t="s">
        <v>136</v>
      </c>
      <c r="AY1129" s="71"/>
      <c r="AZ1129" s="71"/>
    </row>
    <row r="1130" s="59" customFormat="1" spans="1:52">
      <c r="A1130" s="545">
        <v>1126</v>
      </c>
      <c r="B1130" s="59" t="s">
        <v>4034</v>
      </c>
      <c r="C1130" s="59" t="s">
        <v>4051</v>
      </c>
      <c r="D1130" s="59">
        <v>1</v>
      </c>
      <c r="E1130" s="59">
        <v>0</v>
      </c>
      <c r="G1130" s="59">
        <v>1</v>
      </c>
      <c r="H1130" s="546" t="s">
        <v>4052</v>
      </c>
      <c r="I1130" s="59">
        <f t="shared" ref="I1130:M1130" si="99">294/30</f>
        <v>9.8</v>
      </c>
      <c r="J1130" s="59">
        <f t="shared" si="99"/>
        <v>9.8</v>
      </c>
      <c r="L1130" s="59">
        <v>1</v>
      </c>
      <c r="M1130" s="59">
        <f t="shared" si="99"/>
        <v>9.8</v>
      </c>
      <c r="N1130" s="59" t="s">
        <v>4053</v>
      </c>
      <c r="O1130" s="59">
        <v>2</v>
      </c>
      <c r="P1130" s="552" t="s">
        <v>4054</v>
      </c>
      <c r="Q1130" s="59">
        <v>0</v>
      </c>
      <c r="V1130" s="59">
        <v>2</v>
      </c>
      <c r="W1130" s="59">
        <v>19</v>
      </c>
      <c r="X1130" s="557">
        <v>1</v>
      </c>
      <c r="Y1130" s="59">
        <v>-0.1</v>
      </c>
      <c r="Z1130" s="59">
        <v>0</v>
      </c>
      <c r="AB1130" s="59">
        <f t="shared" si="97"/>
        <v>9.4</v>
      </c>
      <c r="AC1130" s="59">
        <v>1</v>
      </c>
      <c r="AD1130" s="59">
        <v>1</v>
      </c>
      <c r="AE1130" s="59" t="s">
        <v>4055</v>
      </c>
      <c r="AF1130" s="59">
        <v>0.5</v>
      </c>
      <c r="AN1130" s="562"/>
      <c r="AP1130" s="59">
        <v>4249</v>
      </c>
      <c r="AQ1130" s="59" t="s">
        <v>136</v>
      </c>
      <c r="AU1130" s="59">
        <v>1</v>
      </c>
      <c r="AY1130" s="71"/>
      <c r="AZ1130" s="71"/>
    </row>
    <row r="1131" s="59" customFormat="1" spans="1:52">
      <c r="A1131" s="545">
        <v>1127</v>
      </c>
      <c r="B1131" s="59" t="s">
        <v>4034</v>
      </c>
      <c r="C1131" s="59" t="s">
        <v>4056</v>
      </c>
      <c r="D1131" s="59">
        <v>1</v>
      </c>
      <c r="E1131" s="59">
        <v>0</v>
      </c>
      <c r="G1131" s="59">
        <v>1</v>
      </c>
      <c r="H1131" s="546" t="s">
        <v>4057</v>
      </c>
      <c r="I1131" s="59">
        <f t="shared" ref="I1131:M1131" si="100">404/30</f>
        <v>13.4666666666667</v>
      </c>
      <c r="J1131" s="59">
        <f t="shared" si="100"/>
        <v>13.4666666666667</v>
      </c>
      <c r="L1131" s="59">
        <v>1</v>
      </c>
      <c r="M1131" s="59">
        <f t="shared" si="100"/>
        <v>13.4666666666667</v>
      </c>
      <c r="N1131" s="59" t="s">
        <v>4058</v>
      </c>
      <c r="O1131" s="59">
        <v>3</v>
      </c>
      <c r="P1131" s="552" t="s">
        <v>4059</v>
      </c>
      <c r="Q1131" s="59">
        <v>0</v>
      </c>
      <c r="V1131" s="59">
        <v>2</v>
      </c>
      <c r="W1131" s="59">
        <v>6</v>
      </c>
      <c r="X1131" s="557">
        <v>1</v>
      </c>
      <c r="Y1131" s="59">
        <v>-0.1</v>
      </c>
      <c r="Z1131" s="59">
        <v>0</v>
      </c>
      <c r="AB1131" s="59">
        <f t="shared" si="97"/>
        <v>13.0666666666667</v>
      </c>
      <c r="AC1131" s="59">
        <v>1</v>
      </c>
      <c r="AD1131" s="59">
        <v>1</v>
      </c>
      <c r="AE1131" s="59" t="s">
        <v>4060</v>
      </c>
      <c r="AF1131" s="59">
        <v>0.5</v>
      </c>
      <c r="AN1131" s="562"/>
      <c r="AP1131" s="59">
        <v>4243</v>
      </c>
      <c r="AQ1131" s="59" t="s">
        <v>136</v>
      </c>
      <c r="AU1131" s="59">
        <v>1</v>
      </c>
      <c r="AX1131" s="59">
        <v>1</v>
      </c>
      <c r="AY1131" s="71"/>
      <c r="AZ1131" s="71"/>
    </row>
    <row r="1132" s="59" customFormat="1" spans="1:52">
      <c r="A1132" s="545">
        <v>1128</v>
      </c>
      <c r="B1132" s="59" t="s">
        <v>4034</v>
      </c>
      <c r="C1132" s="59" t="s">
        <v>4061</v>
      </c>
      <c r="D1132" s="59">
        <v>1</v>
      </c>
      <c r="E1132" s="59">
        <v>0</v>
      </c>
      <c r="G1132" s="59">
        <v>1</v>
      </c>
      <c r="H1132" s="546" t="s">
        <v>4062</v>
      </c>
      <c r="I1132" s="59">
        <f t="shared" ref="I1132:M1132" si="101">440/30</f>
        <v>14.6666666666667</v>
      </c>
      <c r="J1132" s="59">
        <f t="shared" si="101"/>
        <v>14.6666666666667</v>
      </c>
      <c r="L1132" s="59">
        <v>1</v>
      </c>
      <c r="M1132" s="59">
        <f t="shared" si="101"/>
        <v>14.6666666666667</v>
      </c>
      <c r="N1132" s="59" t="s">
        <v>4063</v>
      </c>
      <c r="O1132" s="59">
        <v>3</v>
      </c>
      <c r="P1132" s="552" t="s">
        <v>4064</v>
      </c>
      <c r="Q1132" s="59">
        <v>0</v>
      </c>
      <c r="V1132" s="59">
        <v>2</v>
      </c>
      <c r="W1132" s="59">
        <v>6</v>
      </c>
      <c r="X1132" s="557">
        <v>1</v>
      </c>
      <c r="Y1132" s="59">
        <v>-0.1</v>
      </c>
      <c r="Z1132" s="59">
        <v>0</v>
      </c>
      <c r="AB1132" s="59">
        <f t="shared" si="97"/>
        <v>14.2666666666667</v>
      </c>
      <c r="AC1132" s="59">
        <v>1</v>
      </c>
      <c r="AD1132" s="59">
        <v>1</v>
      </c>
      <c r="AE1132" s="59" t="s">
        <v>4065</v>
      </c>
      <c r="AF1132" s="59">
        <v>0.5</v>
      </c>
      <c r="AN1132" s="562"/>
      <c r="AP1132" s="59">
        <v>4242</v>
      </c>
      <c r="AQ1132" s="59" t="s">
        <v>136</v>
      </c>
      <c r="AU1132" s="59">
        <v>1</v>
      </c>
      <c r="AY1132" s="71"/>
      <c r="AZ1132" s="71"/>
    </row>
    <row r="1133" s="58" customFormat="1" spans="1:52">
      <c r="A1133" s="547">
        <v>1129</v>
      </c>
      <c r="B1133" s="58" t="s">
        <v>4066</v>
      </c>
      <c r="C1133" s="58" t="s">
        <v>4067</v>
      </c>
      <c r="D1133" s="58">
        <v>1</v>
      </c>
      <c r="E1133" s="58">
        <v>0</v>
      </c>
      <c r="G1133" s="58">
        <v>1</v>
      </c>
      <c r="H1133" s="548">
        <v>13401</v>
      </c>
      <c r="I1133" s="58">
        <f t="shared" ref="I1133:M1133" si="102">75/30</f>
        <v>2.5</v>
      </c>
      <c r="J1133" s="58">
        <f t="shared" si="102"/>
        <v>2.5</v>
      </c>
      <c r="L1133" s="58">
        <v>0</v>
      </c>
      <c r="M1133" s="58">
        <f t="shared" si="102"/>
        <v>2.5</v>
      </c>
      <c r="N1133" s="58" t="s">
        <v>4068</v>
      </c>
      <c r="O1133" s="58">
        <v>1</v>
      </c>
      <c r="P1133" s="58">
        <v>1.5</v>
      </c>
      <c r="Q1133" s="58">
        <v>0</v>
      </c>
      <c r="V1133" s="58">
        <v>6</v>
      </c>
      <c r="W1133" s="58">
        <v>0</v>
      </c>
      <c r="X1133" s="556">
        <v>3</v>
      </c>
      <c r="Y1133" s="58">
        <v>-0.1</v>
      </c>
      <c r="Z1133" s="58">
        <v>0</v>
      </c>
      <c r="AN1133" s="561" t="s">
        <v>4069</v>
      </c>
      <c r="AO1133" s="58" t="s">
        <v>4070</v>
      </c>
      <c r="AP1133" s="58">
        <v>4258</v>
      </c>
      <c r="AQ1133" s="58" t="s">
        <v>136</v>
      </c>
      <c r="AY1133" s="71"/>
      <c r="AZ1133" s="71"/>
    </row>
    <row r="1134" s="58" customFormat="1" spans="1:52">
      <c r="A1134" s="547">
        <v>1130</v>
      </c>
      <c r="B1134" s="58" t="s">
        <v>4066</v>
      </c>
      <c r="C1134" s="58" t="s">
        <v>4071</v>
      </c>
      <c r="D1134" s="58">
        <v>1</v>
      </c>
      <c r="E1134" s="58">
        <v>0</v>
      </c>
      <c r="G1134" s="58">
        <v>1</v>
      </c>
      <c r="H1134" s="548">
        <v>13402</v>
      </c>
      <c r="I1134" s="58">
        <f t="shared" ref="I1134:M1134" si="103">81/30</f>
        <v>2.7</v>
      </c>
      <c r="J1134" s="58">
        <f t="shared" si="103"/>
        <v>2.7</v>
      </c>
      <c r="L1134" s="58">
        <v>1</v>
      </c>
      <c r="M1134" s="58">
        <f t="shared" si="103"/>
        <v>2.7</v>
      </c>
      <c r="N1134" s="58" t="s">
        <v>4072</v>
      </c>
      <c r="O1134" s="58">
        <v>1</v>
      </c>
      <c r="P1134" s="58">
        <v>1.5</v>
      </c>
      <c r="Q1134" s="58">
        <v>0</v>
      </c>
      <c r="R1134" s="58">
        <v>1</v>
      </c>
      <c r="S1134" s="58">
        <v>2</v>
      </c>
      <c r="T1134" s="58">
        <v>2</v>
      </c>
      <c r="V1134" s="58">
        <v>6</v>
      </c>
      <c r="W1134" s="58">
        <v>6</v>
      </c>
      <c r="X1134" s="556">
        <v>6</v>
      </c>
      <c r="Y1134" s="58">
        <v>-0.1</v>
      </c>
      <c r="Z1134" s="58">
        <v>0</v>
      </c>
      <c r="AN1134" s="561" t="s">
        <v>4073</v>
      </c>
      <c r="AO1134" s="58" t="s">
        <v>4070</v>
      </c>
      <c r="AP1134" s="58">
        <v>4262</v>
      </c>
      <c r="AQ1134" s="58" t="s">
        <v>136</v>
      </c>
      <c r="AY1134" s="71"/>
      <c r="AZ1134" s="71"/>
    </row>
    <row r="1135" s="58" customFormat="1" spans="1:52">
      <c r="A1135" s="547">
        <v>1131</v>
      </c>
      <c r="B1135" s="58" t="s">
        <v>4066</v>
      </c>
      <c r="C1135" s="58" t="s">
        <v>4074</v>
      </c>
      <c r="D1135" s="58">
        <v>1</v>
      </c>
      <c r="E1135" s="58">
        <v>0</v>
      </c>
      <c r="G1135" s="58">
        <v>1</v>
      </c>
      <c r="H1135" s="548">
        <v>13403</v>
      </c>
      <c r="I1135" s="58">
        <f t="shared" ref="I1135:M1135" si="104">96/30</f>
        <v>3.2</v>
      </c>
      <c r="J1135" s="58">
        <f t="shared" si="104"/>
        <v>3.2</v>
      </c>
      <c r="L1135" s="58">
        <v>1</v>
      </c>
      <c r="M1135" s="58">
        <f t="shared" si="104"/>
        <v>3.2</v>
      </c>
      <c r="N1135" s="58" t="s">
        <v>4075</v>
      </c>
      <c r="O1135" s="58">
        <v>1</v>
      </c>
      <c r="P1135" s="58">
        <v>1.5</v>
      </c>
      <c r="Q1135" s="58">
        <v>0</v>
      </c>
      <c r="R1135" s="58">
        <v>1</v>
      </c>
      <c r="S1135" s="58">
        <v>1</v>
      </c>
      <c r="V1135" s="58">
        <v>6</v>
      </c>
      <c r="W1135" s="58">
        <v>7</v>
      </c>
      <c r="X1135" s="556">
        <v>4</v>
      </c>
      <c r="Y1135" s="58">
        <v>-0.1</v>
      </c>
      <c r="Z1135" s="58">
        <v>0</v>
      </c>
      <c r="AN1135" s="561">
        <v>4267</v>
      </c>
      <c r="AO1135" s="58" t="s">
        <v>4076</v>
      </c>
      <c r="AP1135" s="58">
        <v>4266</v>
      </c>
      <c r="AQ1135" s="58" t="s">
        <v>136</v>
      </c>
      <c r="AY1135" s="71"/>
      <c r="AZ1135" s="71"/>
    </row>
    <row r="1136" s="58" customFormat="1" spans="1:52">
      <c r="A1136" s="547">
        <v>1132</v>
      </c>
      <c r="B1136" s="58" t="s">
        <v>4066</v>
      </c>
      <c r="C1136" s="58" t="s">
        <v>4077</v>
      </c>
      <c r="D1136" s="58">
        <v>1</v>
      </c>
      <c r="E1136" s="58">
        <v>0</v>
      </c>
      <c r="G1136" s="58">
        <v>1</v>
      </c>
      <c r="H1136" s="548">
        <v>13404</v>
      </c>
      <c r="I1136" s="58">
        <f t="shared" ref="I1136:M1136" si="105">95/30</f>
        <v>3.16666666666667</v>
      </c>
      <c r="J1136" s="58">
        <f t="shared" si="105"/>
        <v>3.16666666666667</v>
      </c>
      <c r="L1136" s="58">
        <v>1</v>
      </c>
      <c r="M1136" s="58">
        <f t="shared" si="105"/>
        <v>3.16666666666667</v>
      </c>
      <c r="N1136" s="58" t="s">
        <v>4078</v>
      </c>
      <c r="O1136" s="58">
        <v>1</v>
      </c>
      <c r="P1136" s="58">
        <v>1.5</v>
      </c>
      <c r="Q1136" s="58">
        <v>0</v>
      </c>
      <c r="R1136" s="58">
        <v>1</v>
      </c>
      <c r="S1136" s="58">
        <v>1</v>
      </c>
      <c r="V1136" s="58">
        <v>6</v>
      </c>
      <c r="W1136" s="58">
        <v>0</v>
      </c>
      <c r="X1136" s="556">
        <v>1</v>
      </c>
      <c r="Y1136" s="58">
        <v>-0.1</v>
      </c>
      <c r="Z1136" s="58">
        <v>0</v>
      </c>
      <c r="AN1136" s="561">
        <v>4271</v>
      </c>
      <c r="AO1136" s="58" t="s">
        <v>4079</v>
      </c>
      <c r="AP1136" s="58">
        <v>4270</v>
      </c>
      <c r="AQ1136" s="58" t="s">
        <v>136</v>
      </c>
      <c r="AY1136" s="71"/>
      <c r="AZ1136" s="71"/>
    </row>
    <row r="1137" s="58" customFormat="1" spans="1:52">
      <c r="A1137" s="547">
        <v>1133</v>
      </c>
      <c r="B1137" s="58" t="s">
        <v>4066</v>
      </c>
      <c r="C1137" s="58" t="s">
        <v>4080</v>
      </c>
      <c r="D1137" s="58">
        <v>1</v>
      </c>
      <c r="E1137" s="58">
        <v>0</v>
      </c>
      <c r="G1137" s="58">
        <v>1</v>
      </c>
      <c r="H1137" s="548">
        <v>13405</v>
      </c>
      <c r="I1137" s="58">
        <f t="shared" ref="I1137:M1137" si="106">92/30</f>
        <v>3.06666666666667</v>
      </c>
      <c r="J1137" s="58">
        <f t="shared" si="106"/>
        <v>3.06666666666667</v>
      </c>
      <c r="L1137" s="58">
        <v>1</v>
      </c>
      <c r="M1137" s="58">
        <f t="shared" si="106"/>
        <v>3.06666666666667</v>
      </c>
      <c r="N1137" s="58" t="s">
        <v>4081</v>
      </c>
      <c r="O1137" s="58">
        <v>1</v>
      </c>
      <c r="P1137" s="58">
        <v>1.5</v>
      </c>
      <c r="Q1137" s="58">
        <v>0</v>
      </c>
      <c r="R1137" s="58">
        <v>1</v>
      </c>
      <c r="S1137" s="58">
        <v>1</v>
      </c>
      <c r="V1137" s="58">
        <v>6</v>
      </c>
      <c r="W1137" s="58">
        <v>0</v>
      </c>
      <c r="X1137" s="556">
        <v>1</v>
      </c>
      <c r="Y1137" s="58">
        <v>-0.1</v>
      </c>
      <c r="Z1137" s="58">
        <v>0</v>
      </c>
      <c r="AN1137" s="561">
        <v>4274</v>
      </c>
      <c r="AO1137" s="58" t="s">
        <v>4079</v>
      </c>
      <c r="AP1137" s="58">
        <v>4273</v>
      </c>
      <c r="AQ1137" s="58" t="s">
        <v>136</v>
      </c>
      <c r="AY1137" s="71"/>
      <c r="AZ1137" s="71"/>
    </row>
    <row r="1138" s="58" customFormat="1" spans="1:52">
      <c r="A1138" s="547">
        <v>1134</v>
      </c>
      <c r="B1138" s="58" t="s">
        <v>4066</v>
      </c>
      <c r="C1138" s="58" t="s">
        <v>4082</v>
      </c>
      <c r="D1138" s="58">
        <v>1</v>
      </c>
      <c r="E1138" s="58">
        <v>0</v>
      </c>
      <c r="G1138" s="58">
        <v>1</v>
      </c>
      <c r="H1138" s="548">
        <v>13406</v>
      </c>
      <c r="I1138" s="58">
        <f t="shared" ref="I1138:M1138" si="107">430/30</f>
        <v>14.3333333333333</v>
      </c>
      <c r="J1138" s="58">
        <f t="shared" si="107"/>
        <v>14.3333333333333</v>
      </c>
      <c r="L1138" s="58">
        <v>1</v>
      </c>
      <c r="M1138" s="58">
        <f t="shared" si="107"/>
        <v>14.3333333333333</v>
      </c>
      <c r="N1138" s="58" t="s">
        <v>4083</v>
      </c>
      <c r="O1138" s="58">
        <v>1</v>
      </c>
      <c r="P1138" s="58">
        <v>30</v>
      </c>
      <c r="Q1138" s="58">
        <v>0</v>
      </c>
      <c r="V1138" s="58">
        <v>4</v>
      </c>
      <c r="W1138" s="58">
        <v>16</v>
      </c>
      <c r="X1138" s="556">
        <v>2</v>
      </c>
      <c r="Y1138" s="58">
        <v>-0.1</v>
      </c>
      <c r="Z1138" s="58">
        <v>0</v>
      </c>
      <c r="AB1138" s="58">
        <f>I1138-0.4</f>
        <v>13.9333333333333</v>
      </c>
      <c r="AC1138" s="58">
        <v>1</v>
      </c>
      <c r="AD1138" s="58">
        <v>1</v>
      </c>
      <c r="AE1138" s="58" t="s">
        <v>4084</v>
      </c>
      <c r="AF1138" s="58">
        <v>0.5</v>
      </c>
      <c r="AN1138" s="561"/>
      <c r="AP1138" s="58">
        <v>4276</v>
      </c>
      <c r="AQ1138" s="58" t="s">
        <v>136</v>
      </c>
      <c r="AS1138" s="547" t="s">
        <v>4085</v>
      </c>
      <c r="AU1138" s="58">
        <v>1</v>
      </c>
      <c r="AX1138" s="58">
        <v>1</v>
      </c>
      <c r="AY1138" s="71"/>
      <c r="AZ1138" s="71"/>
    </row>
    <row r="1139" s="58" customFormat="1" spans="1:52">
      <c r="A1139" s="547">
        <v>1135</v>
      </c>
      <c r="B1139" s="58" t="s">
        <v>4066</v>
      </c>
      <c r="C1139" s="58" t="s">
        <v>4086</v>
      </c>
      <c r="D1139" s="58">
        <v>1</v>
      </c>
      <c r="E1139" s="58">
        <v>0</v>
      </c>
      <c r="G1139" s="58">
        <v>1</v>
      </c>
      <c r="H1139" s="548">
        <v>13407</v>
      </c>
      <c r="I1139" s="58">
        <f>378/30</f>
        <v>12.6</v>
      </c>
      <c r="J1139" s="58">
        <f>378/30</f>
        <v>12.6</v>
      </c>
      <c r="L1139" s="58">
        <v>1</v>
      </c>
      <c r="M1139" s="58">
        <f>378/30</f>
        <v>12.6</v>
      </c>
      <c r="N1139" s="58" t="s">
        <v>4087</v>
      </c>
      <c r="O1139" s="58">
        <v>1</v>
      </c>
      <c r="P1139" s="58">
        <v>1.5</v>
      </c>
      <c r="Q1139" s="58">
        <v>0</v>
      </c>
      <c r="V1139" s="58">
        <v>6</v>
      </c>
      <c r="W1139" s="58">
        <v>0</v>
      </c>
      <c r="X1139" s="556">
        <v>5</v>
      </c>
      <c r="Y1139" s="58">
        <v>-0.1</v>
      </c>
      <c r="Z1139" s="58">
        <v>0</v>
      </c>
      <c r="AB1139" s="58">
        <f>I1139-0.4</f>
        <v>12.2</v>
      </c>
      <c r="AC1139" s="58">
        <v>1</v>
      </c>
      <c r="AD1139" s="58">
        <v>1</v>
      </c>
      <c r="AE1139" s="58" t="s">
        <v>4088</v>
      </c>
      <c r="AF1139" s="58">
        <v>0.5</v>
      </c>
      <c r="AN1139" s="561" t="s">
        <v>4089</v>
      </c>
      <c r="AO1139" s="58" t="s">
        <v>4090</v>
      </c>
      <c r="AP1139" s="58">
        <v>4277</v>
      </c>
      <c r="AQ1139" s="58" t="s">
        <v>136</v>
      </c>
      <c r="AU1139" s="58">
        <v>1</v>
      </c>
      <c r="AY1139" s="71"/>
      <c r="AZ1139" s="71"/>
    </row>
    <row r="1140" s="58" customFormat="1" spans="1:52">
      <c r="A1140" s="547">
        <v>1136</v>
      </c>
      <c r="B1140" s="58" t="s">
        <v>4066</v>
      </c>
      <c r="C1140" s="58" t="s">
        <v>4091</v>
      </c>
      <c r="D1140" s="58">
        <v>1</v>
      </c>
      <c r="E1140" s="58">
        <v>0</v>
      </c>
      <c r="G1140" s="58">
        <v>1</v>
      </c>
      <c r="H1140" s="548">
        <v>13408</v>
      </c>
      <c r="I1140" s="58">
        <f t="shared" ref="I1140:M1140" si="108">477/30</f>
        <v>15.9</v>
      </c>
      <c r="J1140" s="58">
        <f t="shared" si="108"/>
        <v>15.9</v>
      </c>
      <c r="L1140" s="58">
        <v>1</v>
      </c>
      <c r="M1140" s="58">
        <f t="shared" si="108"/>
        <v>15.9</v>
      </c>
      <c r="N1140" s="58" t="s">
        <v>4092</v>
      </c>
      <c r="O1140" s="58">
        <v>1</v>
      </c>
      <c r="P1140" s="58">
        <v>3</v>
      </c>
      <c r="Q1140" s="58">
        <v>0</v>
      </c>
      <c r="V1140" s="58">
        <v>5</v>
      </c>
      <c r="W1140" s="58">
        <v>16</v>
      </c>
      <c r="X1140" s="556">
        <v>4</v>
      </c>
      <c r="Y1140" s="58">
        <v>-0.1</v>
      </c>
      <c r="Z1140" s="58">
        <v>0</v>
      </c>
      <c r="AB1140" s="58">
        <f>I1140-0.15</f>
        <v>15.75</v>
      </c>
      <c r="AC1140" s="58">
        <v>2</v>
      </c>
      <c r="AD1140" s="58">
        <v>1</v>
      </c>
      <c r="AE1140" s="58" t="s">
        <v>4093</v>
      </c>
      <c r="AF1140" s="58">
        <v>0.5</v>
      </c>
      <c r="AN1140" s="561"/>
      <c r="AP1140" s="58">
        <v>4280</v>
      </c>
      <c r="AQ1140" s="58" t="s">
        <v>136</v>
      </c>
      <c r="AU1140" s="58">
        <v>1</v>
      </c>
      <c r="AX1140" s="58">
        <v>1</v>
      </c>
      <c r="AY1140" s="71"/>
      <c r="AZ1140" s="71"/>
    </row>
    <row r="1141" s="60" customFormat="1" spans="1:52">
      <c r="A1141" s="549">
        <v>1137</v>
      </c>
      <c r="B1141" s="60" t="s">
        <v>4094</v>
      </c>
      <c r="C1141" s="60" t="s">
        <v>4095</v>
      </c>
      <c r="D1141" s="58">
        <v>1</v>
      </c>
      <c r="E1141" s="58">
        <v>0</v>
      </c>
      <c r="F1141" s="58"/>
      <c r="G1141" s="58">
        <v>1</v>
      </c>
      <c r="H1141" s="5" t="s">
        <v>4096</v>
      </c>
      <c r="I1141" s="60">
        <f t="shared" ref="I1141:M1141" si="109">125/30</f>
        <v>4.16666666666667</v>
      </c>
      <c r="J1141" s="60">
        <f t="shared" si="109"/>
        <v>4.16666666666667</v>
      </c>
      <c r="L1141" s="60">
        <v>1</v>
      </c>
      <c r="M1141" s="60">
        <f t="shared" si="109"/>
        <v>4.16666666666667</v>
      </c>
      <c r="N1141" s="60" t="s">
        <v>4097</v>
      </c>
      <c r="O1141" s="60">
        <v>1</v>
      </c>
      <c r="P1141" s="60">
        <v>2.4</v>
      </c>
      <c r="Q1141" s="60">
        <v>0</v>
      </c>
      <c r="V1141" s="363">
        <v>1</v>
      </c>
      <c r="W1141" s="363">
        <v>0</v>
      </c>
      <c r="X1141" s="558">
        <v>4</v>
      </c>
      <c r="Y1141" s="42">
        <v>-0.1</v>
      </c>
      <c r="Z1141" s="376">
        <v>0</v>
      </c>
      <c r="AN1141" s="563">
        <v>4290</v>
      </c>
      <c r="AO1141" s="10" t="s">
        <v>2511</v>
      </c>
      <c r="AP1141" s="60">
        <v>4287</v>
      </c>
      <c r="AQ1141" s="363" t="s">
        <v>136</v>
      </c>
      <c r="AY1141" s="71"/>
      <c r="AZ1141" s="71"/>
    </row>
    <row r="1142" s="60" customFormat="1" spans="1:52">
      <c r="A1142" s="549">
        <v>1138</v>
      </c>
      <c r="B1142" s="60" t="s">
        <v>4094</v>
      </c>
      <c r="C1142" s="60" t="s">
        <v>4098</v>
      </c>
      <c r="D1142" s="58">
        <v>1</v>
      </c>
      <c r="E1142" s="58">
        <v>0</v>
      </c>
      <c r="F1142" s="58"/>
      <c r="G1142" s="58">
        <v>1</v>
      </c>
      <c r="H1142" s="5" t="s">
        <v>4099</v>
      </c>
      <c r="I1142" s="60">
        <f t="shared" ref="I1142:M1142" si="110">121/30</f>
        <v>4.03333333333333</v>
      </c>
      <c r="J1142" s="60">
        <f t="shared" si="110"/>
        <v>4.03333333333333</v>
      </c>
      <c r="L1142" s="60">
        <v>1</v>
      </c>
      <c r="M1142" s="60">
        <f t="shared" si="110"/>
        <v>4.03333333333333</v>
      </c>
      <c r="N1142" s="60" t="s">
        <v>4100</v>
      </c>
      <c r="O1142" s="60">
        <v>1</v>
      </c>
      <c r="P1142" s="60">
        <v>2.4</v>
      </c>
      <c r="Q1142" s="60">
        <v>0</v>
      </c>
      <c r="R1142" s="60">
        <v>1</v>
      </c>
      <c r="S1142" s="60">
        <v>1</v>
      </c>
      <c r="T1142" s="60">
        <v>1</v>
      </c>
      <c r="U1142" s="60">
        <v>1</v>
      </c>
      <c r="V1142" s="363">
        <v>1</v>
      </c>
      <c r="W1142" s="363">
        <v>8</v>
      </c>
      <c r="X1142" s="558">
        <v>1</v>
      </c>
      <c r="Y1142" s="42">
        <v>-0.1</v>
      </c>
      <c r="Z1142" s="376">
        <v>0</v>
      </c>
      <c r="AN1142" s="563">
        <v>4293</v>
      </c>
      <c r="AO1142" s="10" t="s">
        <v>2511</v>
      </c>
      <c r="AP1142" s="60">
        <v>4291</v>
      </c>
      <c r="AQ1142" s="363" t="s">
        <v>136</v>
      </c>
      <c r="AY1142" s="71"/>
      <c r="AZ1142" s="71"/>
    </row>
    <row r="1143" s="60" customFormat="1" spans="1:52">
      <c r="A1143" s="549">
        <v>1139</v>
      </c>
      <c r="B1143" s="60" t="s">
        <v>4094</v>
      </c>
      <c r="C1143" s="60" t="s">
        <v>4101</v>
      </c>
      <c r="D1143" s="58">
        <v>1</v>
      </c>
      <c r="E1143" s="58">
        <v>0</v>
      </c>
      <c r="F1143" s="58"/>
      <c r="G1143" s="58">
        <v>1</v>
      </c>
      <c r="H1143" s="5" t="s">
        <v>4102</v>
      </c>
      <c r="I1143" s="60">
        <f t="shared" ref="I1143:M1143" si="111">400/30</f>
        <v>13.3333333333333</v>
      </c>
      <c r="J1143" s="60">
        <f t="shared" si="111"/>
        <v>13.3333333333333</v>
      </c>
      <c r="L1143" s="60">
        <v>1</v>
      </c>
      <c r="M1143" s="60">
        <f t="shared" si="111"/>
        <v>13.3333333333333</v>
      </c>
      <c r="N1143" s="60" t="s">
        <v>4103</v>
      </c>
      <c r="O1143" s="60">
        <v>1</v>
      </c>
      <c r="P1143" s="60">
        <v>2.4</v>
      </c>
      <c r="Q1143" s="60">
        <v>0</v>
      </c>
      <c r="V1143" s="363">
        <v>1</v>
      </c>
      <c r="W1143" s="363">
        <v>0</v>
      </c>
      <c r="X1143" s="558">
        <v>9</v>
      </c>
      <c r="Y1143" s="42">
        <v>-0.1</v>
      </c>
      <c r="Z1143" s="376">
        <v>0</v>
      </c>
      <c r="AB1143" s="363">
        <f>I1143-0.3</f>
        <v>13.0333333333333</v>
      </c>
      <c r="AC1143" s="60">
        <v>2</v>
      </c>
      <c r="AD1143" s="60">
        <v>1</v>
      </c>
      <c r="AE1143" s="363" t="s">
        <v>4104</v>
      </c>
      <c r="AF1143" s="60">
        <v>0.5</v>
      </c>
      <c r="AN1143" s="563">
        <v>4295</v>
      </c>
      <c r="AO1143" s="10" t="s">
        <v>2511</v>
      </c>
      <c r="AP1143" s="60">
        <v>4294</v>
      </c>
      <c r="AQ1143" s="363" t="s">
        <v>136</v>
      </c>
      <c r="AU1143" s="60">
        <v>1</v>
      </c>
      <c r="AY1143" s="71"/>
      <c r="AZ1143" s="71"/>
    </row>
    <row r="1144" s="27" customFormat="1" ht="16.5" spans="1:43">
      <c r="A1144" s="27">
        <v>1140</v>
      </c>
      <c r="B1144" s="27" t="s">
        <v>4105</v>
      </c>
      <c r="C1144" s="27" t="s">
        <v>526</v>
      </c>
      <c r="D1144" s="27">
        <v>1</v>
      </c>
      <c r="E1144" s="27">
        <v>0</v>
      </c>
      <c r="G1144" s="27">
        <v>1</v>
      </c>
      <c r="H1144" s="550" t="s">
        <v>4106</v>
      </c>
      <c r="I1144" s="553">
        <f t="shared" ref="I1144:M1144" si="112">74/30</f>
        <v>2.46666666666667</v>
      </c>
      <c r="J1144" s="553">
        <f t="shared" si="112"/>
        <v>2.46666666666667</v>
      </c>
      <c r="L1144" s="27">
        <v>0</v>
      </c>
      <c r="M1144" s="553">
        <f t="shared" si="112"/>
        <v>2.46666666666667</v>
      </c>
      <c r="N1144" s="27" t="s">
        <v>4107</v>
      </c>
      <c r="O1144" s="27">
        <v>1</v>
      </c>
      <c r="P1144" s="27">
        <v>2.4</v>
      </c>
      <c r="Q1144" s="27">
        <v>0</v>
      </c>
      <c r="V1144" s="27">
        <v>1</v>
      </c>
      <c r="W1144" s="27">
        <v>0</v>
      </c>
      <c r="X1144" s="217">
        <v>3</v>
      </c>
      <c r="Y1144" s="27">
        <v>-0.1</v>
      </c>
      <c r="Z1144" s="27">
        <v>0</v>
      </c>
      <c r="AN1144" s="213"/>
      <c r="AP1144" s="564">
        <v>4298</v>
      </c>
      <c r="AQ1144" s="27" t="s">
        <v>136</v>
      </c>
    </row>
    <row r="1145" s="27" customFormat="1" ht="16.5" spans="1:43">
      <c r="A1145" s="27">
        <v>1141</v>
      </c>
      <c r="B1145" s="27" t="s">
        <v>4108</v>
      </c>
      <c r="C1145" s="27" t="s">
        <v>4109</v>
      </c>
      <c r="D1145" s="27">
        <v>1</v>
      </c>
      <c r="E1145" s="27">
        <v>0</v>
      </c>
      <c r="G1145" s="27">
        <v>1</v>
      </c>
      <c r="H1145" s="550" t="s">
        <v>4110</v>
      </c>
      <c r="I1145" s="553">
        <f t="shared" ref="I1145:M1145" si="113">60/30</f>
        <v>2</v>
      </c>
      <c r="J1145" s="553">
        <f t="shared" si="113"/>
        <v>2</v>
      </c>
      <c r="L1145" s="27">
        <v>1</v>
      </c>
      <c r="M1145" s="553">
        <f t="shared" si="113"/>
        <v>2</v>
      </c>
      <c r="N1145" s="27" t="s">
        <v>4111</v>
      </c>
      <c r="O1145" s="27">
        <v>1</v>
      </c>
      <c r="P1145" s="27">
        <v>2.4</v>
      </c>
      <c r="Q1145" s="27">
        <v>0</v>
      </c>
      <c r="R1145" s="60">
        <v>1</v>
      </c>
      <c r="S1145" s="60">
        <v>1</v>
      </c>
      <c r="T1145" s="60">
        <v>1</v>
      </c>
      <c r="U1145" s="60">
        <v>1</v>
      </c>
      <c r="V1145" s="27">
        <v>1</v>
      </c>
      <c r="W1145" s="27">
        <v>18</v>
      </c>
      <c r="X1145" s="217">
        <v>1</v>
      </c>
      <c r="Y1145" s="27">
        <v>-0.1</v>
      </c>
      <c r="Z1145" s="27">
        <v>0</v>
      </c>
      <c r="AN1145" s="213"/>
      <c r="AP1145" s="564">
        <v>4301</v>
      </c>
      <c r="AQ1145" s="27" t="s">
        <v>136</v>
      </c>
    </row>
    <row r="1146" s="27" customFormat="1" ht="16.5" spans="1:43">
      <c r="A1146" s="27">
        <v>1142</v>
      </c>
      <c r="B1146" s="27" t="s">
        <v>4112</v>
      </c>
      <c r="C1146" s="27" t="s">
        <v>4113</v>
      </c>
      <c r="D1146" s="27">
        <v>1</v>
      </c>
      <c r="E1146" s="27">
        <v>0</v>
      </c>
      <c r="G1146" s="27">
        <v>1</v>
      </c>
      <c r="H1146" s="550" t="s">
        <v>4114</v>
      </c>
      <c r="I1146" s="553">
        <f t="shared" ref="I1146:M1146" si="114">130/30</f>
        <v>4.33333333333333</v>
      </c>
      <c r="J1146" s="553">
        <f t="shared" si="114"/>
        <v>4.33333333333333</v>
      </c>
      <c r="L1146" s="27">
        <v>1</v>
      </c>
      <c r="M1146" s="553">
        <f t="shared" si="114"/>
        <v>4.33333333333333</v>
      </c>
      <c r="N1146" s="27" t="s">
        <v>4115</v>
      </c>
      <c r="O1146" s="27">
        <v>1</v>
      </c>
      <c r="P1146" s="27">
        <v>2.4</v>
      </c>
      <c r="Q1146" s="27">
        <v>0</v>
      </c>
      <c r="R1146" s="60">
        <v>1</v>
      </c>
      <c r="S1146" s="60">
        <v>1</v>
      </c>
      <c r="T1146" s="60">
        <v>1</v>
      </c>
      <c r="U1146" s="60">
        <v>1</v>
      </c>
      <c r="V1146" s="27">
        <v>1</v>
      </c>
      <c r="W1146" s="27">
        <v>6</v>
      </c>
      <c r="X1146" s="217">
        <v>1</v>
      </c>
      <c r="Y1146" s="27">
        <v>-0.1</v>
      </c>
      <c r="Z1146" s="27">
        <v>0</v>
      </c>
      <c r="AN1146" s="213"/>
      <c r="AP1146" s="564">
        <v>4302</v>
      </c>
      <c r="AQ1146" s="27" t="s">
        <v>136</v>
      </c>
    </row>
    <row r="1147" s="58" customFormat="1" ht="16.5" spans="1:47">
      <c r="A1147" s="58">
        <v>1143</v>
      </c>
      <c r="B1147" s="58" t="s">
        <v>4116</v>
      </c>
      <c r="C1147" s="58" t="s">
        <v>4117</v>
      </c>
      <c r="D1147" s="58">
        <v>1</v>
      </c>
      <c r="E1147" s="58">
        <v>0</v>
      </c>
      <c r="G1147" s="58">
        <v>1</v>
      </c>
      <c r="H1147" s="551" t="s">
        <v>4118</v>
      </c>
      <c r="I1147" s="58">
        <f t="shared" ref="I1147:M1147" si="115">450/30</f>
        <v>15</v>
      </c>
      <c r="J1147" s="58">
        <f t="shared" si="115"/>
        <v>15</v>
      </c>
      <c r="L1147" s="58">
        <v>1</v>
      </c>
      <c r="M1147" s="58">
        <f t="shared" si="115"/>
        <v>15</v>
      </c>
      <c r="N1147" s="58" t="s">
        <v>4119</v>
      </c>
      <c r="O1147" s="58">
        <v>1</v>
      </c>
      <c r="P1147" s="27">
        <v>13</v>
      </c>
      <c r="Q1147" s="58">
        <v>0</v>
      </c>
      <c r="V1147" s="58">
        <v>1</v>
      </c>
      <c r="W1147" s="27">
        <v>0</v>
      </c>
      <c r="X1147" s="556">
        <v>1</v>
      </c>
      <c r="Y1147" s="58">
        <v>-0.1</v>
      </c>
      <c r="Z1147" s="58">
        <v>0</v>
      </c>
      <c r="AC1147" s="58">
        <v>1</v>
      </c>
      <c r="AD1147" s="58">
        <v>1</v>
      </c>
      <c r="AE1147" s="58" t="s">
        <v>4120</v>
      </c>
      <c r="AF1147" s="58">
        <v>0.5</v>
      </c>
      <c r="AN1147" s="561"/>
      <c r="AP1147" s="564">
        <v>4308</v>
      </c>
      <c r="AQ1147" s="27" t="s">
        <v>136</v>
      </c>
      <c r="AU1147" s="58">
        <v>1</v>
      </c>
    </row>
    <row r="1148" s="27" customFormat="1" ht="16.5" spans="1:43">
      <c r="A1148" s="27">
        <v>1144</v>
      </c>
      <c r="B1148" s="27" t="s">
        <v>4121</v>
      </c>
      <c r="C1148" s="27" t="s">
        <v>4122</v>
      </c>
      <c r="D1148" s="27">
        <v>1</v>
      </c>
      <c r="E1148" s="27">
        <v>0</v>
      </c>
      <c r="G1148" s="27">
        <v>1</v>
      </c>
      <c r="H1148" s="550" t="s">
        <v>4123</v>
      </c>
      <c r="I1148" s="553">
        <f t="shared" ref="I1148:M1148" si="116">89/30</f>
        <v>2.96666666666667</v>
      </c>
      <c r="J1148" s="553">
        <f t="shared" si="116"/>
        <v>2.96666666666667</v>
      </c>
      <c r="L1148" s="27">
        <v>1</v>
      </c>
      <c r="M1148" s="553">
        <f t="shared" si="116"/>
        <v>2.96666666666667</v>
      </c>
      <c r="N1148" s="27" t="s">
        <v>4124</v>
      </c>
      <c r="O1148" s="27">
        <v>1</v>
      </c>
      <c r="P1148" s="27">
        <v>2.4</v>
      </c>
      <c r="Q1148" s="27">
        <v>0</v>
      </c>
      <c r="R1148" s="60">
        <v>1</v>
      </c>
      <c r="S1148" s="60">
        <v>1</v>
      </c>
      <c r="T1148" s="60">
        <v>1</v>
      </c>
      <c r="U1148" s="60">
        <v>1</v>
      </c>
      <c r="V1148" s="27">
        <v>1</v>
      </c>
      <c r="W1148" s="27">
        <v>4</v>
      </c>
      <c r="X1148" s="217">
        <v>1</v>
      </c>
      <c r="Y1148" s="27">
        <v>-0.1</v>
      </c>
      <c r="Z1148" s="27">
        <v>0</v>
      </c>
      <c r="AN1148" s="213"/>
      <c r="AP1148" s="564">
        <v>4304</v>
      </c>
      <c r="AQ1148" s="27" t="s">
        <v>136</v>
      </c>
    </row>
    <row r="1149" s="58" customFormat="1" ht="16.5" spans="1:47">
      <c r="A1149" s="58">
        <v>1145</v>
      </c>
      <c r="B1149" s="58" t="s">
        <v>4125</v>
      </c>
      <c r="C1149" s="58" t="s">
        <v>4126</v>
      </c>
      <c r="D1149" s="58">
        <v>1</v>
      </c>
      <c r="E1149" s="58">
        <v>0</v>
      </c>
      <c r="G1149" s="58">
        <v>1</v>
      </c>
      <c r="H1149" s="551" t="s">
        <v>4127</v>
      </c>
      <c r="I1149" s="58">
        <f t="shared" ref="I1149:M1149" si="117">275/30</f>
        <v>9.16666666666667</v>
      </c>
      <c r="J1149" s="58">
        <f t="shared" si="117"/>
        <v>9.16666666666667</v>
      </c>
      <c r="L1149" s="58">
        <v>1</v>
      </c>
      <c r="M1149" s="58">
        <f t="shared" si="117"/>
        <v>9.16666666666667</v>
      </c>
      <c r="N1149" s="58" t="s">
        <v>4128</v>
      </c>
      <c r="O1149" s="58">
        <v>1</v>
      </c>
      <c r="P1149" s="27">
        <v>2.4</v>
      </c>
      <c r="Q1149" s="58">
        <v>0</v>
      </c>
      <c r="V1149" s="58">
        <v>1</v>
      </c>
      <c r="W1149" s="27">
        <v>4</v>
      </c>
      <c r="X1149" s="556">
        <v>1</v>
      </c>
      <c r="Y1149" s="58">
        <v>-0.1</v>
      </c>
      <c r="Z1149" s="58">
        <v>0</v>
      </c>
      <c r="AC1149" s="58">
        <v>1</v>
      </c>
      <c r="AD1149" s="58">
        <v>1</v>
      </c>
      <c r="AE1149" s="58" t="s">
        <v>4129</v>
      </c>
      <c r="AF1149" s="58">
        <v>0.5</v>
      </c>
      <c r="AP1149" s="564">
        <v>4306</v>
      </c>
      <c r="AQ1149" s="27" t="s">
        <v>136</v>
      </c>
      <c r="AU1149" s="58">
        <v>1</v>
      </c>
    </row>
    <row r="1150" s="58" customFormat="1" ht="16.5" spans="1:47">
      <c r="A1150" s="58">
        <v>1146</v>
      </c>
      <c r="B1150" s="58" t="s">
        <v>4130</v>
      </c>
      <c r="C1150" s="58" t="s">
        <v>4131</v>
      </c>
      <c r="D1150" s="58">
        <v>1</v>
      </c>
      <c r="E1150" s="58">
        <v>0</v>
      </c>
      <c r="G1150" s="58">
        <v>1</v>
      </c>
      <c r="H1150" s="551" t="s">
        <v>4132</v>
      </c>
      <c r="I1150" s="58">
        <f t="shared" ref="I1150:M1150" si="118">468/30</f>
        <v>15.6</v>
      </c>
      <c r="J1150" s="58">
        <f t="shared" si="118"/>
        <v>15.6</v>
      </c>
      <c r="L1150" s="58">
        <v>1</v>
      </c>
      <c r="M1150" s="58">
        <f t="shared" si="118"/>
        <v>15.6</v>
      </c>
      <c r="N1150" s="58" t="s">
        <v>4133</v>
      </c>
      <c r="O1150" s="58">
        <v>1</v>
      </c>
      <c r="P1150" s="27">
        <v>2.4</v>
      </c>
      <c r="Q1150" s="58">
        <v>0</v>
      </c>
      <c r="V1150" s="58">
        <v>1</v>
      </c>
      <c r="W1150" s="27">
        <v>6</v>
      </c>
      <c r="X1150" s="556">
        <v>5</v>
      </c>
      <c r="Y1150" s="58">
        <v>-0.1</v>
      </c>
      <c r="Z1150" s="58">
        <v>0</v>
      </c>
      <c r="AC1150" s="58">
        <v>1</v>
      </c>
      <c r="AD1150" s="58">
        <v>1</v>
      </c>
      <c r="AE1150" s="58" t="s">
        <v>4134</v>
      </c>
      <c r="AF1150" s="58">
        <v>0.5</v>
      </c>
      <c r="AN1150" s="561">
        <v>4313</v>
      </c>
      <c r="AO1150" s="27" t="s">
        <v>4135</v>
      </c>
      <c r="AP1150" s="564">
        <v>4310</v>
      </c>
      <c r="AQ1150" s="27" t="s">
        <v>136</v>
      </c>
      <c r="AU1150" s="58">
        <v>1</v>
      </c>
    </row>
    <row r="1151" s="58" customFormat="1" ht="16.5" spans="1:50">
      <c r="A1151" s="58">
        <v>1147</v>
      </c>
      <c r="B1151" s="58" t="s">
        <v>4136</v>
      </c>
      <c r="C1151" s="58" t="s">
        <v>4137</v>
      </c>
      <c r="D1151" s="58">
        <v>1</v>
      </c>
      <c r="E1151" s="58">
        <v>0</v>
      </c>
      <c r="G1151" s="58">
        <v>1</v>
      </c>
      <c r="H1151" s="551" t="s">
        <v>4138</v>
      </c>
      <c r="I1151" s="58">
        <f t="shared" ref="I1151:M1151" si="119">450/30</f>
        <v>15</v>
      </c>
      <c r="J1151" s="58">
        <f t="shared" si="119"/>
        <v>15</v>
      </c>
      <c r="L1151" s="58">
        <v>1</v>
      </c>
      <c r="M1151" s="58">
        <f t="shared" si="119"/>
        <v>15</v>
      </c>
      <c r="N1151" s="58" t="s">
        <v>4139</v>
      </c>
      <c r="O1151" s="58">
        <v>1</v>
      </c>
      <c r="P1151" s="27">
        <v>2.4</v>
      </c>
      <c r="Q1151" s="58">
        <v>0</v>
      </c>
      <c r="V1151" s="58">
        <v>1</v>
      </c>
      <c r="W1151" s="27">
        <v>6</v>
      </c>
      <c r="X1151" s="556">
        <v>1</v>
      </c>
      <c r="Y1151" s="58">
        <v>-0.1</v>
      </c>
      <c r="Z1151" s="58">
        <v>0</v>
      </c>
      <c r="AC1151" s="58">
        <v>1</v>
      </c>
      <c r="AD1151" s="58">
        <v>1</v>
      </c>
      <c r="AE1151" s="58" t="s">
        <v>4140</v>
      </c>
      <c r="AF1151" s="58">
        <v>0.5</v>
      </c>
      <c r="AN1151" s="561"/>
      <c r="AP1151" s="564">
        <v>4312</v>
      </c>
      <c r="AQ1151" s="27" t="s">
        <v>136</v>
      </c>
      <c r="AU1151" s="58">
        <v>1</v>
      </c>
      <c r="AX1151" s="58">
        <v>1</v>
      </c>
    </row>
    <row r="1152" s="27" customFormat="1" ht="16.5" spans="1:43">
      <c r="A1152" s="27">
        <v>1148</v>
      </c>
      <c r="B1152" s="27" t="s">
        <v>4141</v>
      </c>
      <c r="C1152" s="27" t="s">
        <v>4142</v>
      </c>
      <c r="D1152" s="27">
        <v>1</v>
      </c>
      <c r="E1152" s="27">
        <v>0</v>
      </c>
      <c r="G1152" s="27">
        <v>1</v>
      </c>
      <c r="H1152" s="550" t="s">
        <v>4143</v>
      </c>
      <c r="I1152" s="553">
        <f t="shared" ref="I1152:M1152" si="120">74/30</f>
        <v>2.46666666666667</v>
      </c>
      <c r="J1152" s="553">
        <f t="shared" si="120"/>
        <v>2.46666666666667</v>
      </c>
      <c r="L1152" s="27">
        <v>0</v>
      </c>
      <c r="M1152" s="553">
        <f t="shared" si="120"/>
        <v>2.46666666666667</v>
      </c>
      <c r="N1152" s="27" t="s">
        <v>4107</v>
      </c>
      <c r="O1152" s="27">
        <v>1</v>
      </c>
      <c r="P1152" s="27">
        <v>2.4</v>
      </c>
      <c r="Q1152" s="27">
        <v>0</v>
      </c>
      <c r="V1152" s="27">
        <v>1</v>
      </c>
      <c r="W1152" s="27">
        <v>0</v>
      </c>
      <c r="X1152" s="217">
        <v>3</v>
      </c>
      <c r="Y1152" s="27">
        <v>-0.1</v>
      </c>
      <c r="Z1152" s="27">
        <v>0</v>
      </c>
      <c r="AN1152" s="213"/>
      <c r="AP1152" s="564">
        <v>4298</v>
      </c>
      <c r="AQ1152" s="27" t="s">
        <v>136</v>
      </c>
    </row>
    <row r="1153" s="53" customFormat="1" spans="1:43">
      <c r="A1153" s="53">
        <v>1149</v>
      </c>
      <c r="B1153" s="53" t="s">
        <v>4144</v>
      </c>
      <c r="C1153" s="53" t="s">
        <v>526</v>
      </c>
      <c r="D1153" s="53">
        <v>1</v>
      </c>
      <c r="E1153" s="53">
        <v>0</v>
      </c>
      <c r="G1153" s="53">
        <v>1</v>
      </c>
      <c r="H1153" s="442" t="s">
        <v>4145</v>
      </c>
      <c r="I1153" s="553">
        <f>74/30</f>
        <v>2.46666666666667</v>
      </c>
      <c r="J1153" s="53">
        <f>I1153</f>
        <v>2.46666666666667</v>
      </c>
      <c r="L1153" s="53">
        <v>1</v>
      </c>
      <c r="M1153" s="39">
        <f t="shared" ref="M1153:M1165" si="121">I1153-0.4</f>
        <v>2.06666666666667</v>
      </c>
      <c r="N1153" s="53" t="s">
        <v>4146</v>
      </c>
      <c r="O1153" s="53">
        <v>1</v>
      </c>
      <c r="P1153" s="53">
        <v>1</v>
      </c>
      <c r="Q1153" s="53">
        <v>0</v>
      </c>
      <c r="V1153" s="53">
        <v>1</v>
      </c>
      <c r="W1153" s="53">
        <v>0</v>
      </c>
      <c r="X1153" s="538">
        <v>3</v>
      </c>
      <c r="Y1153" s="53">
        <v>-0.1</v>
      </c>
      <c r="Z1153" s="53">
        <v>0</v>
      </c>
      <c r="AN1153" s="541"/>
      <c r="AP1153" s="53">
        <v>4321</v>
      </c>
      <c r="AQ1153" s="53" t="s">
        <v>136</v>
      </c>
    </row>
    <row r="1154" s="53" customFormat="1" spans="1:43">
      <c r="A1154" s="53">
        <v>1150</v>
      </c>
      <c r="B1154" s="53" t="s">
        <v>4147</v>
      </c>
      <c r="C1154" s="53" t="s">
        <v>4148</v>
      </c>
      <c r="D1154" s="53">
        <v>2</v>
      </c>
      <c r="E1154" s="53">
        <v>1</v>
      </c>
      <c r="G1154" s="53">
        <v>1</v>
      </c>
      <c r="H1154" s="442" t="s">
        <v>4149</v>
      </c>
      <c r="I1154" s="553">
        <v>4.83</v>
      </c>
      <c r="J1154" s="53">
        <f>I1154</f>
        <v>4.83</v>
      </c>
      <c r="L1154" s="53">
        <v>0</v>
      </c>
      <c r="M1154" s="39">
        <f t="shared" si="121"/>
        <v>4.43</v>
      </c>
      <c r="N1154" s="53" t="s">
        <v>4150</v>
      </c>
      <c r="O1154" s="53">
        <v>5</v>
      </c>
      <c r="P1154" s="53">
        <v>1</v>
      </c>
      <c r="Q1154" s="53">
        <v>0</v>
      </c>
      <c r="R1154" s="53">
        <v>1</v>
      </c>
      <c r="S1154" s="39">
        <v>1.5</v>
      </c>
      <c r="T1154" s="39">
        <v>-1</v>
      </c>
      <c r="U1154" s="39">
        <v>0.65</v>
      </c>
      <c r="V1154" s="53">
        <v>101</v>
      </c>
      <c r="W1154" s="53">
        <v>6</v>
      </c>
      <c r="X1154" s="538">
        <v>1</v>
      </c>
      <c r="Y1154" s="53">
        <v>-0.1</v>
      </c>
      <c r="Z1154" s="53">
        <v>0</v>
      </c>
      <c r="AN1154" s="541"/>
      <c r="AP1154" s="53">
        <v>4324</v>
      </c>
      <c r="AQ1154" s="53" t="s">
        <v>136</v>
      </c>
    </row>
    <row r="1155" s="53" customFormat="1" spans="1:43">
      <c r="A1155" s="53">
        <v>1151</v>
      </c>
      <c r="B1155" s="53" t="s">
        <v>4151</v>
      </c>
      <c r="C1155" s="53" t="s">
        <v>2419</v>
      </c>
      <c r="D1155" s="53">
        <v>1</v>
      </c>
      <c r="E1155" s="53">
        <v>0</v>
      </c>
      <c r="G1155" s="53">
        <v>1</v>
      </c>
      <c r="H1155" s="442" t="s">
        <v>4152</v>
      </c>
      <c r="I1155" s="53">
        <v>3.5</v>
      </c>
      <c r="J1155" s="53">
        <f>I1155</f>
        <v>3.5</v>
      </c>
      <c r="L1155" s="53">
        <v>1</v>
      </c>
      <c r="M1155" s="39">
        <f t="shared" si="121"/>
        <v>3.1</v>
      </c>
      <c r="N1155" s="53" t="s">
        <v>4153</v>
      </c>
      <c r="O1155" s="53">
        <v>1</v>
      </c>
      <c r="P1155" s="53">
        <v>1</v>
      </c>
      <c r="Q1155" s="53">
        <v>0</v>
      </c>
      <c r="R1155" s="53">
        <v>1</v>
      </c>
      <c r="V1155" s="53">
        <v>1</v>
      </c>
      <c r="W1155" s="53">
        <v>0</v>
      </c>
      <c r="X1155" s="538">
        <v>5</v>
      </c>
      <c r="Y1155" s="53">
        <v>-0.1</v>
      </c>
      <c r="Z1155" s="53">
        <v>0</v>
      </c>
      <c r="AN1155" s="541"/>
      <c r="AP1155" s="53">
        <v>4325</v>
      </c>
      <c r="AQ1155" s="53" t="s">
        <v>136</v>
      </c>
    </row>
    <row r="1156" s="53" customFormat="1" spans="1:47">
      <c r="A1156" s="53">
        <v>1152</v>
      </c>
      <c r="B1156" s="53" t="s">
        <v>4154</v>
      </c>
      <c r="C1156" s="53" t="s">
        <v>4155</v>
      </c>
      <c r="D1156" s="53">
        <v>2</v>
      </c>
      <c r="E1156" s="53">
        <v>1</v>
      </c>
      <c r="G1156" s="53">
        <v>1</v>
      </c>
      <c r="H1156" s="442" t="s">
        <v>4156</v>
      </c>
      <c r="I1156" s="553">
        <f>380/30</f>
        <v>12.6666666666667</v>
      </c>
      <c r="J1156" s="53">
        <f t="shared" ref="J1156:J1164" si="122">I1156</f>
        <v>12.6666666666667</v>
      </c>
      <c r="L1156" s="53">
        <v>0</v>
      </c>
      <c r="M1156" s="39">
        <f t="shared" si="121"/>
        <v>12.2666666666667</v>
      </c>
      <c r="N1156" s="53" t="s">
        <v>4157</v>
      </c>
      <c r="O1156" s="53">
        <v>1</v>
      </c>
      <c r="P1156" s="53">
        <v>1</v>
      </c>
      <c r="Q1156" s="53">
        <v>0</v>
      </c>
      <c r="V1156" s="53">
        <v>101</v>
      </c>
      <c r="W1156" s="53">
        <v>6</v>
      </c>
      <c r="X1156" s="538">
        <v>1</v>
      </c>
      <c r="Y1156" s="53">
        <v>-0.1</v>
      </c>
      <c r="Z1156" s="53">
        <v>0</v>
      </c>
      <c r="AB1156" s="39">
        <f>I1156-0.3</f>
        <v>12.3666666666667</v>
      </c>
      <c r="AC1156" s="53">
        <v>2</v>
      </c>
      <c r="AD1156" s="53">
        <v>1</v>
      </c>
      <c r="AE1156" s="39" t="s">
        <v>4158</v>
      </c>
      <c r="AF1156" s="53">
        <v>0.5</v>
      </c>
      <c r="AN1156" s="541"/>
      <c r="AP1156" s="53">
        <v>4328</v>
      </c>
      <c r="AQ1156" s="53" t="s">
        <v>136</v>
      </c>
      <c r="AU1156" s="53">
        <v>1</v>
      </c>
    </row>
    <row r="1157" s="53" customFormat="1" spans="1:50">
      <c r="A1157" s="53">
        <v>1153</v>
      </c>
      <c r="B1157" s="53" t="s">
        <v>4159</v>
      </c>
      <c r="C1157" s="53" t="s">
        <v>4160</v>
      </c>
      <c r="D1157" s="53">
        <v>2</v>
      </c>
      <c r="E1157" s="53">
        <v>1</v>
      </c>
      <c r="G1157" s="53">
        <v>1</v>
      </c>
      <c r="H1157" s="442" t="s">
        <v>4161</v>
      </c>
      <c r="I1157" s="553">
        <f>270/30</f>
        <v>9</v>
      </c>
      <c r="J1157" s="53">
        <f t="shared" si="122"/>
        <v>9</v>
      </c>
      <c r="L1157" s="53">
        <v>0</v>
      </c>
      <c r="M1157" s="39">
        <f>I1157-0.6</f>
        <v>8.4</v>
      </c>
      <c r="N1157" s="53" t="s">
        <v>4162</v>
      </c>
      <c r="O1157" s="53">
        <v>1</v>
      </c>
      <c r="P1157" s="53">
        <v>1</v>
      </c>
      <c r="Q1157" s="53">
        <v>0</v>
      </c>
      <c r="V1157" s="53">
        <v>101</v>
      </c>
      <c r="W1157" s="53">
        <v>6</v>
      </c>
      <c r="X1157" s="538">
        <v>1</v>
      </c>
      <c r="Y1157" s="53">
        <v>-0.1</v>
      </c>
      <c r="Z1157" s="53">
        <v>0</v>
      </c>
      <c r="AB1157" s="39">
        <f>I1157-0.1</f>
        <v>8.9</v>
      </c>
      <c r="AC1157" s="53">
        <v>1</v>
      </c>
      <c r="AD1157" s="53">
        <v>1</v>
      </c>
      <c r="AE1157" s="39" t="s">
        <v>4163</v>
      </c>
      <c r="AF1157" s="53">
        <v>0.5</v>
      </c>
      <c r="AN1157" s="541"/>
      <c r="AP1157" s="53">
        <v>4329</v>
      </c>
      <c r="AQ1157" s="53" t="s">
        <v>136</v>
      </c>
      <c r="AU1157" s="53">
        <v>1</v>
      </c>
      <c r="AX1157" s="53">
        <v>1</v>
      </c>
    </row>
    <row r="1158" s="53" customFormat="1" spans="1:47">
      <c r="A1158" s="53">
        <v>1154</v>
      </c>
      <c r="B1158" s="53" t="s">
        <v>4164</v>
      </c>
      <c r="C1158" s="53" t="s">
        <v>4165</v>
      </c>
      <c r="D1158" s="53">
        <v>1</v>
      </c>
      <c r="E1158" s="53">
        <v>0</v>
      </c>
      <c r="G1158" s="53">
        <v>1</v>
      </c>
      <c r="H1158" s="442" t="s">
        <v>4166</v>
      </c>
      <c r="I1158" s="553">
        <f>424/30</f>
        <v>14.1333333333333</v>
      </c>
      <c r="J1158" s="53">
        <f t="shared" si="122"/>
        <v>14.1333333333333</v>
      </c>
      <c r="L1158" s="53">
        <v>1</v>
      </c>
      <c r="M1158" s="39">
        <f t="shared" si="121"/>
        <v>13.7333333333333</v>
      </c>
      <c r="N1158" s="53" t="s">
        <v>4167</v>
      </c>
      <c r="O1158" s="53">
        <v>1</v>
      </c>
      <c r="P1158" s="53">
        <v>2.4</v>
      </c>
      <c r="Q1158" s="53">
        <v>0</v>
      </c>
      <c r="U1158" s="39">
        <v>1</v>
      </c>
      <c r="V1158" s="53">
        <v>1</v>
      </c>
      <c r="W1158" s="53">
        <v>0</v>
      </c>
      <c r="X1158" s="538">
        <v>5</v>
      </c>
      <c r="Y1158" s="53">
        <v>-0.1</v>
      </c>
      <c r="Z1158" s="53">
        <v>0</v>
      </c>
      <c r="AB1158" s="39">
        <f t="shared" ref="AB1158:AB1163" si="123">I1158-0.3</f>
        <v>13.8333333333333</v>
      </c>
      <c r="AC1158" s="53">
        <v>2</v>
      </c>
      <c r="AD1158" s="53">
        <v>1</v>
      </c>
      <c r="AE1158" s="39" t="s">
        <v>4168</v>
      </c>
      <c r="AF1158" s="53">
        <v>0.5</v>
      </c>
      <c r="AN1158" s="541"/>
      <c r="AP1158" s="53">
        <v>4330</v>
      </c>
      <c r="AQ1158" s="53" t="s">
        <v>136</v>
      </c>
      <c r="AU1158" s="53">
        <v>1</v>
      </c>
    </row>
    <row r="1159" s="53" customFormat="1" spans="1:43">
      <c r="A1159" s="53">
        <v>1155</v>
      </c>
      <c r="B1159" s="53" t="s">
        <v>4169</v>
      </c>
      <c r="C1159" s="53" t="s">
        <v>526</v>
      </c>
      <c r="D1159" s="53">
        <v>1</v>
      </c>
      <c r="E1159" s="53">
        <v>0</v>
      </c>
      <c r="G1159" s="53">
        <v>1</v>
      </c>
      <c r="H1159" s="442" t="s">
        <v>4170</v>
      </c>
      <c r="I1159" s="553">
        <f>129/30</f>
        <v>4.3</v>
      </c>
      <c r="J1159" s="53">
        <f t="shared" si="122"/>
        <v>4.3</v>
      </c>
      <c r="L1159" s="53">
        <v>1</v>
      </c>
      <c r="M1159" s="39">
        <f t="shared" si="121"/>
        <v>3.9</v>
      </c>
      <c r="N1159" s="53" t="s">
        <v>4171</v>
      </c>
      <c r="O1159" s="53">
        <v>1</v>
      </c>
      <c r="P1159" s="53">
        <v>2.4</v>
      </c>
      <c r="Q1159" s="53">
        <v>0</v>
      </c>
      <c r="R1159" s="53">
        <v>1</v>
      </c>
      <c r="S1159" s="39">
        <v>2</v>
      </c>
      <c r="T1159" s="39">
        <v>1</v>
      </c>
      <c r="U1159" s="39">
        <v>1</v>
      </c>
      <c r="V1159" s="53">
        <v>1</v>
      </c>
      <c r="W1159" s="53">
        <v>0</v>
      </c>
      <c r="X1159" s="538">
        <v>3</v>
      </c>
      <c r="Y1159" s="53">
        <v>-0.1</v>
      </c>
      <c r="Z1159" s="53">
        <v>0</v>
      </c>
      <c r="AB1159" s="39"/>
      <c r="AE1159" s="39"/>
      <c r="AN1159" s="541"/>
      <c r="AP1159" s="53">
        <v>4331</v>
      </c>
      <c r="AQ1159" s="53" t="s">
        <v>136</v>
      </c>
    </row>
    <row r="1160" s="53" customFormat="1" spans="1:43">
      <c r="A1160" s="53">
        <v>1156</v>
      </c>
      <c r="B1160" s="53" t="s">
        <v>4172</v>
      </c>
      <c r="C1160" s="53" t="s">
        <v>4173</v>
      </c>
      <c r="D1160" s="53">
        <v>1</v>
      </c>
      <c r="E1160" s="53">
        <v>0</v>
      </c>
      <c r="G1160" s="53">
        <v>1</v>
      </c>
      <c r="H1160" s="442" t="s">
        <v>4174</v>
      </c>
      <c r="I1160" s="553">
        <f>80/30</f>
        <v>2.66666666666667</v>
      </c>
      <c r="J1160" s="53">
        <f t="shared" si="122"/>
        <v>2.66666666666667</v>
      </c>
      <c r="L1160" s="53">
        <v>1</v>
      </c>
      <c r="M1160" s="39">
        <f t="shared" si="121"/>
        <v>2.26666666666667</v>
      </c>
      <c r="N1160" s="53" t="s">
        <v>4175</v>
      </c>
      <c r="O1160" s="53">
        <v>1</v>
      </c>
      <c r="P1160" s="53">
        <v>2.4</v>
      </c>
      <c r="Q1160" s="53">
        <v>0</v>
      </c>
      <c r="R1160" s="53">
        <v>1</v>
      </c>
      <c r="S1160" s="39">
        <v>2</v>
      </c>
      <c r="T1160" s="39">
        <v>2</v>
      </c>
      <c r="U1160" s="39">
        <v>1</v>
      </c>
      <c r="V1160" s="53">
        <v>1</v>
      </c>
      <c r="W1160" s="53">
        <v>6</v>
      </c>
      <c r="X1160" s="538">
        <v>1</v>
      </c>
      <c r="Y1160" s="53">
        <v>-0.1</v>
      </c>
      <c r="Z1160" s="53">
        <v>0</v>
      </c>
      <c r="AB1160" s="39"/>
      <c r="AE1160" s="39"/>
      <c r="AN1160" s="541"/>
      <c r="AP1160" s="53">
        <v>4333</v>
      </c>
      <c r="AQ1160" s="53" t="s">
        <v>136</v>
      </c>
    </row>
    <row r="1161" s="53" customFormat="1" spans="1:50">
      <c r="A1161" s="53">
        <v>1157</v>
      </c>
      <c r="B1161" s="53" t="s">
        <v>4176</v>
      </c>
      <c r="C1161" s="53" t="s">
        <v>2429</v>
      </c>
      <c r="D1161" s="53">
        <v>1</v>
      </c>
      <c r="E1161" s="53">
        <v>0</v>
      </c>
      <c r="G1161" s="53">
        <v>1</v>
      </c>
      <c r="H1161" s="442" t="s">
        <v>4177</v>
      </c>
      <c r="I1161" s="553">
        <f>125/30</f>
        <v>4.16666666666667</v>
      </c>
      <c r="J1161" s="53">
        <f t="shared" si="122"/>
        <v>4.16666666666667</v>
      </c>
      <c r="L1161" s="53">
        <v>1</v>
      </c>
      <c r="M1161" s="39">
        <f t="shared" si="121"/>
        <v>3.76666666666667</v>
      </c>
      <c r="N1161" s="53" t="s">
        <v>4178</v>
      </c>
      <c r="O1161" s="53">
        <v>1</v>
      </c>
      <c r="P1161" s="53">
        <v>2.4</v>
      </c>
      <c r="Q1161" s="53">
        <v>0</v>
      </c>
      <c r="V1161" s="53">
        <v>1</v>
      </c>
      <c r="W1161" s="53">
        <v>0</v>
      </c>
      <c r="X1161" s="538">
        <v>1</v>
      </c>
      <c r="Y1161" s="53">
        <v>-0.1</v>
      </c>
      <c r="Z1161" s="53">
        <v>0</v>
      </c>
      <c r="AB1161" s="39">
        <f t="shared" si="123"/>
        <v>3.86666666666667</v>
      </c>
      <c r="AC1161" s="53">
        <v>2</v>
      </c>
      <c r="AD1161" s="53">
        <v>1</v>
      </c>
      <c r="AE1161" s="39" t="s">
        <v>4179</v>
      </c>
      <c r="AF1161" s="53">
        <v>0.5</v>
      </c>
      <c r="AN1161" s="541"/>
      <c r="AP1161" s="53">
        <v>4335</v>
      </c>
      <c r="AQ1161" s="53" t="s">
        <v>136</v>
      </c>
      <c r="AU1161" s="53">
        <v>1</v>
      </c>
      <c r="AX1161" s="53">
        <v>1</v>
      </c>
    </row>
    <row r="1162" s="17" customFormat="1" spans="1:43">
      <c r="A1162" s="17">
        <v>1158</v>
      </c>
      <c r="B1162" s="17" t="s">
        <v>4180</v>
      </c>
      <c r="C1162" s="17" t="s">
        <v>4181</v>
      </c>
      <c r="D1162" s="17">
        <v>1</v>
      </c>
      <c r="E1162" s="17">
        <v>0</v>
      </c>
      <c r="G1162" s="17">
        <v>1</v>
      </c>
      <c r="H1162" s="273" t="s">
        <v>4182</v>
      </c>
      <c r="I1162" s="17">
        <f>154/30</f>
        <v>5.13333333333333</v>
      </c>
      <c r="J1162" s="17">
        <f t="shared" si="122"/>
        <v>5.13333333333333</v>
      </c>
      <c r="L1162" s="17">
        <v>1</v>
      </c>
      <c r="M1162" s="17">
        <f t="shared" si="121"/>
        <v>4.73333333333333</v>
      </c>
      <c r="N1162" s="17" t="s">
        <v>4183</v>
      </c>
      <c r="O1162" s="364">
        <v>1</v>
      </c>
      <c r="P1162" s="98">
        <v>2.5</v>
      </c>
      <c r="Q1162" s="364">
        <v>0</v>
      </c>
      <c r="R1162" s="17">
        <v>1</v>
      </c>
      <c r="S1162" s="364">
        <v>0.5</v>
      </c>
      <c r="T1162" s="364">
        <v>-0.3</v>
      </c>
      <c r="U1162" s="364">
        <v>0.5</v>
      </c>
      <c r="V1162" s="17">
        <v>1</v>
      </c>
      <c r="W1162" s="17">
        <v>6</v>
      </c>
      <c r="X1162" s="116">
        <v>1</v>
      </c>
      <c r="Y1162" s="73">
        <v>-0.1</v>
      </c>
      <c r="Z1162" s="364">
        <v>0</v>
      </c>
      <c r="AN1162" s="121" t="s">
        <v>2680</v>
      </c>
      <c r="AO1162" s="17" t="s">
        <v>2681</v>
      </c>
      <c r="AP1162" s="17">
        <v>4345</v>
      </c>
      <c r="AQ1162" s="364" t="s">
        <v>136</v>
      </c>
    </row>
    <row r="1163" s="17" customFormat="1" spans="1:47">
      <c r="A1163" s="17">
        <v>1159</v>
      </c>
      <c r="B1163" s="17" t="s">
        <v>4184</v>
      </c>
      <c r="C1163" s="17" t="s">
        <v>4185</v>
      </c>
      <c r="D1163" s="17">
        <v>1</v>
      </c>
      <c r="E1163" s="17">
        <v>0</v>
      </c>
      <c r="G1163" s="17">
        <v>1</v>
      </c>
      <c r="H1163" s="273" t="s">
        <v>4186</v>
      </c>
      <c r="I1163" s="17">
        <f>305/30</f>
        <v>10.1666666666667</v>
      </c>
      <c r="J1163" s="17">
        <f t="shared" si="122"/>
        <v>10.1666666666667</v>
      </c>
      <c r="L1163" s="17">
        <v>1</v>
      </c>
      <c r="M1163" s="17">
        <v>9.76666666666667</v>
      </c>
      <c r="N1163" s="17" t="s">
        <v>4187</v>
      </c>
      <c r="O1163" s="364">
        <v>1</v>
      </c>
      <c r="P1163" s="98">
        <v>2.5</v>
      </c>
      <c r="Q1163" s="364">
        <v>0</v>
      </c>
      <c r="V1163" s="17">
        <v>1</v>
      </c>
      <c r="W1163" s="17">
        <v>0</v>
      </c>
      <c r="X1163" s="116">
        <v>4</v>
      </c>
      <c r="Y1163" s="73">
        <v>-0.1</v>
      </c>
      <c r="Z1163" s="364">
        <v>0</v>
      </c>
      <c r="AB1163" s="364">
        <f t="shared" si="123"/>
        <v>9.86666666666667</v>
      </c>
      <c r="AC1163" s="364">
        <v>1</v>
      </c>
      <c r="AD1163" s="364">
        <v>1</v>
      </c>
      <c r="AE1163" s="381" t="s">
        <v>4188</v>
      </c>
      <c r="AF1163" s="364">
        <v>0.5</v>
      </c>
      <c r="AN1163" s="121" t="s">
        <v>4189</v>
      </c>
      <c r="AO1163" s="17" t="s">
        <v>2681</v>
      </c>
      <c r="AP1163" s="17">
        <v>4348</v>
      </c>
      <c r="AQ1163" s="364" t="s">
        <v>136</v>
      </c>
      <c r="AU1163" s="17">
        <v>1</v>
      </c>
    </row>
    <row r="1164" s="17" customFormat="1" spans="1:43">
      <c r="A1164" s="17">
        <v>1160</v>
      </c>
      <c r="B1164" s="17" t="s">
        <v>4190</v>
      </c>
      <c r="C1164" s="17" t="s">
        <v>4191</v>
      </c>
      <c r="D1164" s="17">
        <v>1</v>
      </c>
      <c r="E1164" s="17">
        <v>0</v>
      </c>
      <c r="G1164" s="17">
        <v>1</v>
      </c>
      <c r="H1164" s="273" t="s">
        <v>4192</v>
      </c>
      <c r="I1164" s="17">
        <f>86/30</f>
        <v>2.86666666666667</v>
      </c>
      <c r="J1164" s="17">
        <f t="shared" si="122"/>
        <v>2.86666666666667</v>
      </c>
      <c r="L1164" s="17">
        <v>1</v>
      </c>
      <c r="M1164" s="17">
        <f t="shared" si="121"/>
        <v>2.46666666666667</v>
      </c>
      <c r="N1164" s="17" t="s">
        <v>4193</v>
      </c>
      <c r="O1164" s="364">
        <v>1</v>
      </c>
      <c r="P1164" s="98">
        <v>3.1</v>
      </c>
      <c r="Q1164" s="364">
        <v>0</v>
      </c>
      <c r="R1164" s="17">
        <v>1</v>
      </c>
      <c r="S1164" s="364">
        <v>1.02</v>
      </c>
      <c r="T1164" s="364">
        <v>0.35</v>
      </c>
      <c r="U1164" s="364">
        <v>1</v>
      </c>
      <c r="V1164" s="17">
        <v>1</v>
      </c>
      <c r="W1164" s="17">
        <v>18</v>
      </c>
      <c r="X1164" s="116">
        <v>1</v>
      </c>
      <c r="Y1164" s="73">
        <v>-0.1</v>
      </c>
      <c r="Z1164" s="364">
        <v>0</v>
      </c>
      <c r="AN1164" s="121">
        <v>4341</v>
      </c>
      <c r="AO1164" s="17" t="s">
        <v>4194</v>
      </c>
      <c r="AP1164" s="17">
        <v>4342</v>
      </c>
      <c r="AQ1164" s="364" t="s">
        <v>136</v>
      </c>
    </row>
    <row r="1165" s="61" customFormat="1" spans="1:43">
      <c r="A1165" s="61">
        <v>1161</v>
      </c>
      <c r="B1165" s="61" t="s">
        <v>4195</v>
      </c>
      <c r="C1165" s="61" t="s">
        <v>526</v>
      </c>
      <c r="D1165" s="61">
        <v>1</v>
      </c>
      <c r="E1165" s="61">
        <v>0</v>
      </c>
      <c r="G1165" s="61">
        <v>1</v>
      </c>
      <c r="H1165" s="566" t="s">
        <v>4196</v>
      </c>
      <c r="I1165" s="61">
        <f>87/30</f>
        <v>2.9</v>
      </c>
      <c r="J1165" s="61">
        <f t="shared" ref="J1165:J1172" si="124">I1165</f>
        <v>2.9</v>
      </c>
      <c r="L1165" s="61">
        <v>1</v>
      </c>
      <c r="M1165" s="61">
        <f t="shared" ref="M1165:M1173" si="125">I1165-0.4</f>
        <v>2.5</v>
      </c>
      <c r="N1165" s="61" t="s">
        <v>4197</v>
      </c>
      <c r="O1165" s="61">
        <v>3</v>
      </c>
      <c r="P1165" s="61">
        <v>-2.3</v>
      </c>
      <c r="Q1165" s="61">
        <v>0</v>
      </c>
      <c r="V1165" s="61">
        <v>5</v>
      </c>
      <c r="W1165" s="61">
        <v>0</v>
      </c>
      <c r="X1165" s="575">
        <v>3</v>
      </c>
      <c r="Y1165" s="61">
        <v>-0.1</v>
      </c>
      <c r="Z1165" s="61">
        <v>0</v>
      </c>
      <c r="AN1165" s="578"/>
      <c r="AP1165" s="61">
        <v>4351</v>
      </c>
      <c r="AQ1165" s="61" t="s">
        <v>136</v>
      </c>
    </row>
    <row r="1166" s="61" customFormat="1" spans="1:43">
      <c r="A1166" s="61">
        <v>1162</v>
      </c>
      <c r="B1166" s="61" t="s">
        <v>4198</v>
      </c>
      <c r="C1166" s="567" t="s">
        <v>4199</v>
      </c>
      <c r="D1166" s="61">
        <v>1</v>
      </c>
      <c r="E1166" s="61">
        <v>0</v>
      </c>
      <c r="G1166" s="61">
        <v>1</v>
      </c>
      <c r="H1166" s="566" t="s">
        <v>4200</v>
      </c>
      <c r="I1166" s="61">
        <f>75/30</f>
        <v>2.5</v>
      </c>
      <c r="J1166" s="61">
        <f t="shared" si="124"/>
        <v>2.5</v>
      </c>
      <c r="L1166" s="61">
        <v>1</v>
      </c>
      <c r="M1166" s="61">
        <f t="shared" si="125"/>
        <v>2.1</v>
      </c>
      <c r="N1166" s="61" t="s">
        <v>4201</v>
      </c>
      <c r="O1166" s="61">
        <v>3</v>
      </c>
      <c r="P1166" s="61">
        <v>-2.3</v>
      </c>
      <c r="Q1166" s="61">
        <v>0</v>
      </c>
      <c r="R1166" s="60">
        <v>1</v>
      </c>
      <c r="S1166" s="60">
        <v>1</v>
      </c>
      <c r="T1166" s="60">
        <v>1</v>
      </c>
      <c r="U1166" s="60">
        <v>1</v>
      </c>
      <c r="V1166" s="61">
        <v>5</v>
      </c>
      <c r="W1166" s="61">
        <v>6</v>
      </c>
      <c r="X1166" s="575">
        <v>1</v>
      </c>
      <c r="Y1166" s="61">
        <v>-0.1</v>
      </c>
      <c r="Z1166" s="61">
        <v>0</v>
      </c>
      <c r="AN1166" s="578"/>
      <c r="AP1166" s="61">
        <v>4356</v>
      </c>
      <c r="AQ1166" s="61" t="s">
        <v>136</v>
      </c>
    </row>
    <row r="1167" s="61" customFormat="1" spans="1:43">
      <c r="A1167" s="61">
        <v>1163</v>
      </c>
      <c r="B1167" s="61" t="s">
        <v>4202</v>
      </c>
      <c r="C1167" s="568" t="s">
        <v>4203</v>
      </c>
      <c r="D1167" s="61">
        <v>1</v>
      </c>
      <c r="E1167" s="61">
        <v>0</v>
      </c>
      <c r="G1167" s="61">
        <v>1</v>
      </c>
      <c r="H1167" s="566" t="s">
        <v>4204</v>
      </c>
      <c r="I1167" s="61">
        <f>115/30</f>
        <v>3.83333333333333</v>
      </c>
      <c r="J1167" s="61">
        <f t="shared" si="124"/>
        <v>3.83333333333333</v>
      </c>
      <c r="L1167" s="61">
        <v>1</v>
      </c>
      <c r="M1167" s="61">
        <f t="shared" si="125"/>
        <v>3.43333333333333</v>
      </c>
      <c r="N1167" s="61" t="s">
        <v>4205</v>
      </c>
      <c r="O1167" s="61">
        <v>3</v>
      </c>
      <c r="P1167" s="61">
        <v>-2.3</v>
      </c>
      <c r="Q1167" s="61">
        <v>0</v>
      </c>
      <c r="R1167" s="60">
        <v>1</v>
      </c>
      <c r="S1167" s="60">
        <v>1</v>
      </c>
      <c r="T1167" s="60">
        <v>1</v>
      </c>
      <c r="U1167" s="60">
        <v>1</v>
      </c>
      <c r="V1167" s="61">
        <v>5</v>
      </c>
      <c r="W1167" s="61">
        <v>6</v>
      </c>
      <c r="X1167" s="575">
        <v>4</v>
      </c>
      <c r="Y1167" s="61">
        <v>-0.1</v>
      </c>
      <c r="Z1167" s="61">
        <v>0</v>
      </c>
      <c r="AN1167" s="578"/>
      <c r="AP1167" s="61">
        <v>4358</v>
      </c>
      <c r="AQ1167" s="61" t="s">
        <v>136</v>
      </c>
    </row>
    <row r="1168" s="61" customFormat="1" spans="1:43">
      <c r="A1168" s="61">
        <v>1164</v>
      </c>
      <c r="B1168" s="61" t="s">
        <v>4206</v>
      </c>
      <c r="C1168" s="568" t="s">
        <v>4207</v>
      </c>
      <c r="D1168" s="61">
        <v>1</v>
      </c>
      <c r="E1168" s="61">
        <v>0</v>
      </c>
      <c r="G1168" s="61">
        <v>1</v>
      </c>
      <c r="H1168" s="566" t="s">
        <v>4208</v>
      </c>
      <c r="I1168" s="61">
        <f>60/30</f>
        <v>2</v>
      </c>
      <c r="J1168" s="61">
        <f t="shared" si="124"/>
        <v>2</v>
      </c>
      <c r="L1168" s="61">
        <v>1</v>
      </c>
      <c r="M1168" s="61">
        <f t="shared" si="125"/>
        <v>1.6</v>
      </c>
      <c r="N1168" s="61" t="s">
        <v>4209</v>
      </c>
      <c r="O1168" s="61">
        <v>3</v>
      </c>
      <c r="P1168" s="61">
        <v>-2.3</v>
      </c>
      <c r="Q1168" s="61">
        <v>0</v>
      </c>
      <c r="R1168" s="60">
        <v>1</v>
      </c>
      <c r="S1168" s="60">
        <v>1</v>
      </c>
      <c r="T1168" s="60">
        <v>1</v>
      </c>
      <c r="U1168" s="60">
        <v>1</v>
      </c>
      <c r="V1168" s="61">
        <v>5</v>
      </c>
      <c r="W1168" s="61">
        <v>6</v>
      </c>
      <c r="X1168" s="575">
        <v>5</v>
      </c>
      <c r="Y1168" s="61">
        <v>-0.1</v>
      </c>
      <c r="Z1168" s="61">
        <v>0</v>
      </c>
      <c r="AN1168" s="578"/>
      <c r="AP1168" s="61">
        <v>4359</v>
      </c>
      <c r="AQ1168" s="61" t="s">
        <v>136</v>
      </c>
    </row>
    <row r="1169" s="61" customFormat="1" spans="1:43">
      <c r="A1169" s="61">
        <v>1165</v>
      </c>
      <c r="B1169" s="61" t="s">
        <v>4210</v>
      </c>
      <c r="C1169" s="568" t="s">
        <v>4211</v>
      </c>
      <c r="D1169" s="61">
        <v>1</v>
      </c>
      <c r="E1169" s="61">
        <v>0</v>
      </c>
      <c r="G1169" s="61">
        <v>1</v>
      </c>
      <c r="H1169" s="566" t="s">
        <v>4212</v>
      </c>
      <c r="I1169" s="61">
        <f>85/30</f>
        <v>2.83333333333333</v>
      </c>
      <c r="J1169" s="61">
        <f t="shared" si="124"/>
        <v>2.83333333333333</v>
      </c>
      <c r="L1169" s="61">
        <v>1</v>
      </c>
      <c r="M1169" s="61">
        <f t="shared" si="125"/>
        <v>2.43333333333333</v>
      </c>
      <c r="N1169" s="61" t="s">
        <v>4213</v>
      </c>
      <c r="O1169" s="61">
        <v>3</v>
      </c>
      <c r="P1169" s="61">
        <v>-2.3</v>
      </c>
      <c r="Q1169" s="61">
        <v>1</v>
      </c>
      <c r="V1169" s="61">
        <v>5</v>
      </c>
      <c r="W1169" s="61">
        <v>0</v>
      </c>
      <c r="X1169" s="575">
        <v>3</v>
      </c>
      <c r="Y1169" s="61">
        <v>-0.1</v>
      </c>
      <c r="Z1169" s="61">
        <v>0</v>
      </c>
      <c r="AN1169" s="578"/>
      <c r="AP1169" s="61">
        <v>4360</v>
      </c>
      <c r="AQ1169" s="61" t="s">
        <v>136</v>
      </c>
    </row>
    <row r="1170" s="61" customFormat="1" spans="1:47">
      <c r="A1170" s="61">
        <v>1166</v>
      </c>
      <c r="B1170" s="61" t="s">
        <v>4214</v>
      </c>
      <c r="C1170" s="568" t="s">
        <v>4215</v>
      </c>
      <c r="D1170" s="61">
        <v>1</v>
      </c>
      <c r="E1170" s="61">
        <v>0</v>
      </c>
      <c r="G1170" s="61">
        <v>1</v>
      </c>
      <c r="H1170" s="566" t="s">
        <v>4216</v>
      </c>
      <c r="I1170" s="61">
        <f>317/30</f>
        <v>10.5666666666667</v>
      </c>
      <c r="J1170" s="61">
        <f t="shared" si="124"/>
        <v>10.5666666666667</v>
      </c>
      <c r="L1170" s="61">
        <v>1</v>
      </c>
      <c r="M1170" s="61">
        <f t="shared" si="125"/>
        <v>10.1666666666667</v>
      </c>
      <c r="N1170" s="61" t="s">
        <v>4217</v>
      </c>
      <c r="O1170" s="61">
        <v>3</v>
      </c>
      <c r="P1170" s="61">
        <v>-13.77</v>
      </c>
      <c r="Q1170" s="61">
        <v>0</v>
      </c>
      <c r="V1170" s="61">
        <v>5</v>
      </c>
      <c r="W1170" s="61">
        <v>6</v>
      </c>
      <c r="X1170" s="575">
        <v>3</v>
      </c>
      <c r="Y1170" s="61">
        <v>-0.1</v>
      </c>
      <c r="Z1170" s="61">
        <v>0</v>
      </c>
      <c r="AB1170" s="364">
        <f>I1170-0.3</f>
        <v>10.2666666666667</v>
      </c>
      <c r="AC1170" s="61">
        <v>2</v>
      </c>
      <c r="AD1170" s="61">
        <v>1</v>
      </c>
      <c r="AE1170" s="61" t="s">
        <v>4218</v>
      </c>
      <c r="AF1170" s="364">
        <v>0.5</v>
      </c>
      <c r="AN1170" s="578"/>
      <c r="AP1170" s="61">
        <v>4363</v>
      </c>
      <c r="AQ1170" s="61" t="s">
        <v>136</v>
      </c>
      <c r="AU1170" s="61">
        <v>1</v>
      </c>
    </row>
    <row r="1171" s="61" customFormat="1" spans="1:47">
      <c r="A1171" s="61">
        <v>1167</v>
      </c>
      <c r="B1171" s="61" t="s">
        <v>4219</v>
      </c>
      <c r="C1171" s="568" t="s">
        <v>4220</v>
      </c>
      <c r="D1171" s="61">
        <v>1</v>
      </c>
      <c r="E1171" s="61">
        <v>0</v>
      </c>
      <c r="G1171" s="61">
        <v>1</v>
      </c>
      <c r="H1171" s="566" t="s">
        <v>4221</v>
      </c>
      <c r="I1171" s="61">
        <f>396/30</f>
        <v>13.2</v>
      </c>
      <c r="J1171" s="61">
        <f t="shared" si="124"/>
        <v>13.2</v>
      </c>
      <c r="L1171" s="61">
        <v>1</v>
      </c>
      <c r="M1171" s="61">
        <f t="shared" si="125"/>
        <v>12.8</v>
      </c>
      <c r="N1171" s="61" t="s">
        <v>4222</v>
      </c>
      <c r="O1171" s="61">
        <v>3</v>
      </c>
      <c r="P1171" s="61">
        <v>-2.3</v>
      </c>
      <c r="Q1171" s="61">
        <v>0</v>
      </c>
      <c r="V1171" s="61">
        <v>5</v>
      </c>
      <c r="W1171" s="61">
        <v>0</v>
      </c>
      <c r="X1171" s="575">
        <v>2</v>
      </c>
      <c r="Y1171" s="61">
        <v>-0.1</v>
      </c>
      <c r="Z1171" s="61">
        <v>0</v>
      </c>
      <c r="AB1171" s="364">
        <f t="shared" ref="AB1171:AB1176" si="126">I1171-0.3</f>
        <v>12.9</v>
      </c>
      <c r="AC1171" s="61">
        <v>1</v>
      </c>
      <c r="AD1171" s="61">
        <v>1</v>
      </c>
      <c r="AE1171" s="61" t="s">
        <v>4223</v>
      </c>
      <c r="AF1171" s="364">
        <v>0.5</v>
      </c>
      <c r="AN1171" s="578"/>
      <c r="AP1171" s="61">
        <v>4364</v>
      </c>
      <c r="AQ1171" s="61" t="s">
        <v>136</v>
      </c>
      <c r="AU1171" s="61">
        <v>1</v>
      </c>
    </row>
    <row r="1172" s="61" customFormat="1" spans="1:47">
      <c r="A1172" s="61">
        <v>1168</v>
      </c>
      <c r="B1172" s="61" t="s">
        <v>4224</v>
      </c>
      <c r="C1172" s="568" t="s">
        <v>4225</v>
      </c>
      <c r="D1172" s="61">
        <v>1</v>
      </c>
      <c r="E1172" s="61">
        <v>0</v>
      </c>
      <c r="G1172" s="61">
        <v>1</v>
      </c>
      <c r="H1172" s="566" t="s">
        <v>4226</v>
      </c>
      <c r="I1172" s="61">
        <f>320/30</f>
        <v>10.6666666666667</v>
      </c>
      <c r="J1172" s="61">
        <f t="shared" si="124"/>
        <v>10.6666666666667</v>
      </c>
      <c r="L1172" s="61">
        <v>1</v>
      </c>
      <c r="M1172" s="61">
        <f t="shared" si="125"/>
        <v>10.2666666666667</v>
      </c>
      <c r="N1172" s="61" t="s">
        <v>4227</v>
      </c>
      <c r="O1172" s="61">
        <v>3</v>
      </c>
      <c r="P1172" s="61">
        <v>-13.34</v>
      </c>
      <c r="Q1172" s="61">
        <v>0</v>
      </c>
      <c r="V1172" s="61">
        <v>5</v>
      </c>
      <c r="W1172" s="61">
        <v>0</v>
      </c>
      <c r="X1172" s="575">
        <v>1</v>
      </c>
      <c r="Y1172" s="61">
        <v>-0.1</v>
      </c>
      <c r="Z1172" s="61">
        <v>0</v>
      </c>
      <c r="AB1172" s="364">
        <f t="shared" si="126"/>
        <v>10.3666666666667</v>
      </c>
      <c r="AC1172" s="61">
        <v>1</v>
      </c>
      <c r="AD1172" s="61">
        <v>1</v>
      </c>
      <c r="AE1172" s="61" t="s">
        <v>4228</v>
      </c>
      <c r="AF1172" s="364">
        <v>0.5</v>
      </c>
      <c r="AN1172" s="578"/>
      <c r="AP1172" s="61">
        <v>4365</v>
      </c>
      <c r="AQ1172" s="61" t="s">
        <v>136</v>
      </c>
      <c r="AU1172" s="61">
        <v>1</v>
      </c>
    </row>
    <row r="1173" s="53" customFormat="1" spans="1:43">
      <c r="A1173" s="53">
        <v>1169</v>
      </c>
      <c r="B1173" s="53" t="s">
        <v>4229</v>
      </c>
      <c r="C1173" s="53" t="s">
        <v>526</v>
      </c>
      <c r="D1173" s="53">
        <v>1</v>
      </c>
      <c r="E1173" s="53">
        <v>0</v>
      </c>
      <c r="G1173" s="53">
        <v>1</v>
      </c>
      <c r="H1173" s="442" t="s">
        <v>4230</v>
      </c>
      <c r="I1173" s="53">
        <f>93/30</f>
        <v>3.1</v>
      </c>
      <c r="J1173" s="53">
        <f t="shared" ref="J1173:J1183" si="127">I1173</f>
        <v>3.1</v>
      </c>
      <c r="L1173" s="53">
        <v>1</v>
      </c>
      <c r="M1173" s="53">
        <f t="shared" ref="M1173:M1184" si="128">I1173-0.4</f>
        <v>2.7</v>
      </c>
      <c r="N1173" s="53" t="s">
        <v>4231</v>
      </c>
      <c r="O1173" s="53">
        <v>1</v>
      </c>
      <c r="P1173" s="53">
        <v>3</v>
      </c>
      <c r="Q1173" s="53">
        <v>0</v>
      </c>
      <c r="R1173" s="53">
        <v>1</v>
      </c>
      <c r="V1173" s="53">
        <v>1</v>
      </c>
      <c r="W1173" s="53">
        <v>0</v>
      </c>
      <c r="X1173" s="538">
        <v>3</v>
      </c>
      <c r="Y1173" s="53">
        <v>-0.1</v>
      </c>
      <c r="Z1173" s="53">
        <v>0</v>
      </c>
      <c r="AN1173" s="541">
        <v>4369</v>
      </c>
      <c r="AO1173" s="53" t="s">
        <v>690</v>
      </c>
      <c r="AP1173" s="53">
        <v>4368</v>
      </c>
      <c r="AQ1173" s="61" t="s">
        <v>136</v>
      </c>
    </row>
    <row r="1174" s="53" customFormat="1" spans="1:43">
      <c r="A1174" s="53">
        <v>1170</v>
      </c>
      <c r="B1174" s="53" t="s">
        <v>4232</v>
      </c>
      <c r="C1174" s="53" t="s">
        <v>4233</v>
      </c>
      <c r="D1174" s="53">
        <v>1</v>
      </c>
      <c r="E1174" s="53">
        <v>0</v>
      </c>
      <c r="G1174" s="53">
        <v>1</v>
      </c>
      <c r="H1174" s="442" t="s">
        <v>4234</v>
      </c>
      <c r="I1174" s="53">
        <f>120/30</f>
        <v>4</v>
      </c>
      <c r="J1174" s="53">
        <f t="shared" si="127"/>
        <v>4</v>
      </c>
      <c r="L1174" s="53">
        <v>1</v>
      </c>
      <c r="M1174" s="53">
        <f t="shared" si="128"/>
        <v>3.6</v>
      </c>
      <c r="N1174" s="53" t="s">
        <v>4235</v>
      </c>
      <c r="O1174" s="53">
        <v>1</v>
      </c>
      <c r="P1174" s="53">
        <v>3</v>
      </c>
      <c r="Q1174" s="53">
        <v>0</v>
      </c>
      <c r="R1174" s="53">
        <v>1</v>
      </c>
      <c r="S1174" s="53">
        <v>1</v>
      </c>
      <c r="T1174" s="53">
        <v>0.65</v>
      </c>
      <c r="U1174" s="53">
        <v>0.2</v>
      </c>
      <c r="V1174" s="53">
        <v>1</v>
      </c>
      <c r="W1174" s="53">
        <v>6</v>
      </c>
      <c r="X1174" s="538">
        <v>1</v>
      </c>
      <c r="Y1174" s="53">
        <v>-0.1</v>
      </c>
      <c r="Z1174" s="53">
        <v>0</v>
      </c>
      <c r="AN1174" s="541">
        <v>4373</v>
      </c>
      <c r="AO1174" s="53" t="s">
        <v>4236</v>
      </c>
      <c r="AP1174" s="53">
        <v>4372</v>
      </c>
      <c r="AQ1174" s="61" t="s">
        <v>136</v>
      </c>
    </row>
    <row r="1175" s="53" customFormat="1" spans="1:43">
      <c r="A1175" s="53">
        <v>1171</v>
      </c>
      <c r="B1175" s="53" t="s">
        <v>4237</v>
      </c>
      <c r="C1175" s="53" t="s">
        <v>4238</v>
      </c>
      <c r="D1175" s="53">
        <v>1</v>
      </c>
      <c r="E1175" s="53">
        <v>0</v>
      </c>
      <c r="G1175" s="53">
        <v>1</v>
      </c>
      <c r="H1175" s="442" t="s">
        <v>4239</v>
      </c>
      <c r="I1175" s="53">
        <f>115/30</f>
        <v>3.83333333333333</v>
      </c>
      <c r="J1175" s="53">
        <f t="shared" si="127"/>
        <v>3.83333333333333</v>
      </c>
      <c r="L1175" s="53">
        <v>1</v>
      </c>
      <c r="M1175" s="53">
        <f t="shared" si="128"/>
        <v>3.43333333333333</v>
      </c>
      <c r="N1175" s="53" t="s">
        <v>4240</v>
      </c>
      <c r="O1175" s="53">
        <v>1</v>
      </c>
      <c r="P1175" s="53">
        <v>3</v>
      </c>
      <c r="Q1175" s="53">
        <v>0</v>
      </c>
      <c r="R1175" s="53">
        <v>1</v>
      </c>
      <c r="S1175" s="53">
        <v>1</v>
      </c>
      <c r="T1175" s="53">
        <v>0.65</v>
      </c>
      <c r="U1175" s="53">
        <v>0.2</v>
      </c>
      <c r="V1175" s="53">
        <v>1</v>
      </c>
      <c r="W1175" s="53">
        <v>4</v>
      </c>
      <c r="X1175" s="538">
        <v>3</v>
      </c>
      <c r="Y1175" s="53">
        <v>-0.1</v>
      </c>
      <c r="Z1175" s="53">
        <v>0</v>
      </c>
      <c r="AN1175" s="541" t="s">
        <v>4241</v>
      </c>
      <c r="AO1175" s="53" t="s">
        <v>4242</v>
      </c>
      <c r="AP1175" s="53">
        <v>4374</v>
      </c>
      <c r="AQ1175" s="61" t="s">
        <v>136</v>
      </c>
    </row>
    <row r="1176" s="53" customFormat="1" spans="1:47">
      <c r="A1176" s="53">
        <v>1172</v>
      </c>
      <c r="B1176" s="53" t="s">
        <v>4243</v>
      </c>
      <c r="C1176" s="53" t="s">
        <v>4244</v>
      </c>
      <c r="D1176" s="53">
        <v>1</v>
      </c>
      <c r="E1176" s="53">
        <v>0</v>
      </c>
      <c r="G1176" s="53">
        <v>1</v>
      </c>
      <c r="H1176" s="442" t="s">
        <v>4245</v>
      </c>
      <c r="I1176" s="53">
        <f>215/30</f>
        <v>7.16666666666667</v>
      </c>
      <c r="J1176" s="53">
        <f t="shared" si="127"/>
        <v>7.16666666666667</v>
      </c>
      <c r="L1176" s="53">
        <v>1</v>
      </c>
      <c r="M1176" s="53">
        <f t="shared" si="128"/>
        <v>6.76666666666667</v>
      </c>
      <c r="N1176" s="53" t="s">
        <v>4246</v>
      </c>
      <c r="O1176" s="53">
        <v>1</v>
      </c>
      <c r="P1176" s="53">
        <v>3</v>
      </c>
      <c r="Q1176" s="53">
        <v>0</v>
      </c>
      <c r="V1176" s="53">
        <v>1</v>
      </c>
      <c r="W1176" s="53">
        <v>6</v>
      </c>
      <c r="X1176" s="538">
        <v>3</v>
      </c>
      <c r="Y1176" s="53">
        <v>-0.1</v>
      </c>
      <c r="Z1176" s="53">
        <v>0</v>
      </c>
      <c r="AB1176" s="364">
        <f t="shared" si="126"/>
        <v>6.86666666666667</v>
      </c>
      <c r="AC1176" s="53">
        <v>1</v>
      </c>
      <c r="AD1176" s="53">
        <v>1</v>
      </c>
      <c r="AE1176" s="53" t="s">
        <v>4247</v>
      </c>
      <c r="AF1176" s="364">
        <v>0.5</v>
      </c>
      <c r="AN1176" s="541"/>
      <c r="AP1176" s="53">
        <v>4378</v>
      </c>
      <c r="AQ1176" s="61" t="s">
        <v>136</v>
      </c>
      <c r="AU1176" s="53">
        <v>1</v>
      </c>
    </row>
    <row r="1177" s="53" customFormat="1" spans="1:43">
      <c r="A1177" s="53">
        <v>1173</v>
      </c>
      <c r="B1177" s="53" t="s">
        <v>4248</v>
      </c>
      <c r="C1177" s="53" t="s">
        <v>4249</v>
      </c>
      <c r="D1177" s="53">
        <v>1</v>
      </c>
      <c r="E1177" s="53">
        <v>0</v>
      </c>
      <c r="G1177" s="53">
        <v>1</v>
      </c>
      <c r="H1177" s="442" t="s">
        <v>4250</v>
      </c>
      <c r="I1177" s="53">
        <f>128/30</f>
        <v>4.26666666666667</v>
      </c>
      <c r="J1177" s="53">
        <f t="shared" si="127"/>
        <v>4.26666666666667</v>
      </c>
      <c r="L1177" s="53">
        <v>1</v>
      </c>
      <c r="M1177" s="53">
        <f t="shared" si="128"/>
        <v>3.86666666666667</v>
      </c>
      <c r="N1177" s="53" t="s">
        <v>4251</v>
      </c>
      <c r="O1177" s="53">
        <v>1</v>
      </c>
      <c r="P1177" s="53">
        <v>3</v>
      </c>
      <c r="Q1177" s="53">
        <v>0</v>
      </c>
      <c r="R1177" s="53">
        <v>1</v>
      </c>
      <c r="S1177" s="53">
        <v>1</v>
      </c>
      <c r="T1177" s="53">
        <v>0.65</v>
      </c>
      <c r="U1177" s="53">
        <v>0.2</v>
      </c>
      <c r="V1177" s="53">
        <v>1</v>
      </c>
      <c r="W1177" s="53">
        <v>6</v>
      </c>
      <c r="X1177" s="538">
        <v>4</v>
      </c>
      <c r="Y1177" s="53">
        <v>-0.1</v>
      </c>
      <c r="Z1177" s="53">
        <v>0</v>
      </c>
      <c r="AB1177" s="364"/>
      <c r="AN1177" s="541">
        <v>4380</v>
      </c>
      <c r="AO1177" s="53" t="s">
        <v>4252</v>
      </c>
      <c r="AP1177" s="53">
        <v>4379</v>
      </c>
      <c r="AQ1177" s="61" t="s">
        <v>136</v>
      </c>
    </row>
    <row r="1178" s="53" customFormat="1" spans="1:47">
      <c r="A1178" s="53">
        <v>1174</v>
      </c>
      <c r="B1178" s="53" t="s">
        <v>4253</v>
      </c>
      <c r="C1178" s="53" t="s">
        <v>4254</v>
      </c>
      <c r="D1178" s="53">
        <v>1</v>
      </c>
      <c r="E1178" s="53">
        <v>0</v>
      </c>
      <c r="G1178" s="53">
        <v>1</v>
      </c>
      <c r="H1178" s="442" t="s">
        <v>4255</v>
      </c>
      <c r="I1178" s="53">
        <f>240/30</f>
        <v>8</v>
      </c>
      <c r="J1178" s="53">
        <f t="shared" si="127"/>
        <v>8</v>
      </c>
      <c r="L1178" s="53">
        <v>1</v>
      </c>
      <c r="M1178" s="53">
        <f t="shared" si="128"/>
        <v>7.6</v>
      </c>
      <c r="N1178" s="53" t="s">
        <v>4256</v>
      </c>
      <c r="O1178" s="53">
        <v>1</v>
      </c>
      <c r="P1178" s="53">
        <v>3</v>
      </c>
      <c r="Q1178" s="53">
        <v>0</v>
      </c>
      <c r="V1178" s="53">
        <v>1</v>
      </c>
      <c r="W1178" s="53">
        <v>6</v>
      </c>
      <c r="X1178" s="538">
        <v>1</v>
      </c>
      <c r="Y1178" s="53">
        <v>-0.1</v>
      </c>
      <c r="Z1178" s="53">
        <v>0</v>
      </c>
      <c r="AB1178" s="364">
        <f t="shared" ref="AB1178:AB1181" si="129">I1178-0.3</f>
        <v>7.7</v>
      </c>
      <c r="AC1178" s="53">
        <v>2</v>
      </c>
      <c r="AD1178" s="53">
        <v>1</v>
      </c>
      <c r="AE1178" s="53" t="s">
        <v>4257</v>
      </c>
      <c r="AF1178" s="364">
        <v>0.5</v>
      </c>
      <c r="AN1178" s="541" t="s">
        <v>4258</v>
      </c>
      <c r="AO1178" s="53" t="s">
        <v>4259</v>
      </c>
      <c r="AP1178" s="53">
        <v>4381</v>
      </c>
      <c r="AQ1178" s="61" t="s">
        <v>136</v>
      </c>
      <c r="AU1178" s="53">
        <v>1</v>
      </c>
    </row>
    <row r="1179" s="53" customFormat="1" spans="1:47">
      <c r="A1179" s="53">
        <v>1175</v>
      </c>
      <c r="B1179" s="53" t="s">
        <v>4260</v>
      </c>
      <c r="C1179" s="53" t="s">
        <v>2617</v>
      </c>
      <c r="D1179" s="53">
        <v>1</v>
      </c>
      <c r="E1179" s="53">
        <v>0</v>
      </c>
      <c r="G1179" s="53">
        <v>1</v>
      </c>
      <c r="H1179" s="442" t="s">
        <v>4261</v>
      </c>
      <c r="I1179" s="53">
        <f>400/30</f>
        <v>13.3333333333333</v>
      </c>
      <c r="J1179" s="53">
        <f t="shared" si="127"/>
        <v>13.3333333333333</v>
      </c>
      <c r="L1179" s="53">
        <v>1</v>
      </c>
      <c r="M1179" s="53">
        <f t="shared" si="128"/>
        <v>12.9333333333333</v>
      </c>
      <c r="N1179" s="53" t="s">
        <v>4262</v>
      </c>
      <c r="O1179" s="53">
        <v>1</v>
      </c>
      <c r="P1179" s="53">
        <v>6.28</v>
      </c>
      <c r="Q1179" s="53">
        <v>0</v>
      </c>
      <c r="V1179" s="53">
        <v>1</v>
      </c>
      <c r="W1179" s="53">
        <v>0</v>
      </c>
      <c r="X1179" s="538">
        <v>3</v>
      </c>
      <c r="Y1179" s="53">
        <v>-0.1</v>
      </c>
      <c r="Z1179" s="53">
        <v>0</v>
      </c>
      <c r="AB1179" s="364">
        <f t="shared" si="129"/>
        <v>13.0333333333333</v>
      </c>
      <c r="AC1179" s="53">
        <v>1</v>
      </c>
      <c r="AD1179" s="53">
        <v>1</v>
      </c>
      <c r="AE1179" s="53" t="s">
        <v>4263</v>
      </c>
      <c r="AF1179" s="364">
        <v>0.5</v>
      </c>
      <c r="AN1179" s="541" t="s">
        <v>4264</v>
      </c>
      <c r="AO1179" s="53" t="s">
        <v>4265</v>
      </c>
      <c r="AP1179" s="53">
        <v>4384</v>
      </c>
      <c r="AQ1179" s="61" t="s">
        <v>136</v>
      </c>
      <c r="AU1179" s="53">
        <v>1</v>
      </c>
    </row>
    <row r="1180" s="53" customFormat="1" spans="1:47">
      <c r="A1180" s="53">
        <v>1176</v>
      </c>
      <c r="B1180" s="53" t="s">
        <v>4266</v>
      </c>
      <c r="C1180" s="53" t="s">
        <v>4267</v>
      </c>
      <c r="D1180" s="53">
        <v>1</v>
      </c>
      <c r="E1180" s="53">
        <v>0</v>
      </c>
      <c r="G1180" s="53">
        <v>1</v>
      </c>
      <c r="H1180" s="442" t="s">
        <v>4268</v>
      </c>
      <c r="I1180" s="53">
        <f>360/30</f>
        <v>12</v>
      </c>
      <c r="J1180" s="53">
        <f t="shared" si="127"/>
        <v>12</v>
      </c>
      <c r="L1180" s="53">
        <v>1</v>
      </c>
      <c r="M1180" s="53">
        <f t="shared" si="128"/>
        <v>11.6</v>
      </c>
      <c r="N1180" s="53" t="s">
        <v>4269</v>
      </c>
      <c r="O1180" s="53">
        <v>1</v>
      </c>
      <c r="P1180" s="53">
        <v>5</v>
      </c>
      <c r="Q1180" s="53">
        <v>0</v>
      </c>
      <c r="V1180" s="53">
        <v>1</v>
      </c>
      <c r="W1180" s="53">
        <v>6</v>
      </c>
      <c r="X1180" s="538">
        <v>1</v>
      </c>
      <c r="Y1180" s="53">
        <v>-0.1</v>
      </c>
      <c r="Z1180" s="53">
        <v>0</v>
      </c>
      <c r="AB1180" s="364">
        <f t="shared" si="129"/>
        <v>11.7</v>
      </c>
      <c r="AC1180" s="53">
        <v>1</v>
      </c>
      <c r="AD1180" s="53">
        <v>1</v>
      </c>
      <c r="AE1180" s="53" t="s">
        <v>4270</v>
      </c>
      <c r="AF1180" s="364">
        <v>0.5</v>
      </c>
      <c r="AN1180" s="541">
        <v>4389</v>
      </c>
      <c r="AO1180" s="53" t="s">
        <v>4252</v>
      </c>
      <c r="AP1180" s="53">
        <v>4388</v>
      </c>
      <c r="AQ1180" s="61" t="s">
        <v>136</v>
      </c>
      <c r="AU1180" s="53">
        <v>1</v>
      </c>
    </row>
    <row r="1181" s="62" customFormat="1" spans="1:47">
      <c r="A1181" s="62">
        <v>1177</v>
      </c>
      <c r="B1181" s="62" t="s">
        <v>4271</v>
      </c>
      <c r="C1181" s="62" t="s">
        <v>4272</v>
      </c>
      <c r="D1181" s="62">
        <v>1</v>
      </c>
      <c r="E1181" s="62">
        <v>0</v>
      </c>
      <c r="G1181" s="62">
        <v>1</v>
      </c>
      <c r="H1181" s="569" t="s">
        <v>4273</v>
      </c>
      <c r="I1181" s="62">
        <f>241/30</f>
        <v>8.03333333333333</v>
      </c>
      <c r="J1181" s="62">
        <f t="shared" si="127"/>
        <v>8.03333333333333</v>
      </c>
      <c r="L1181" s="62">
        <v>1</v>
      </c>
      <c r="M1181" s="62">
        <f t="shared" si="128"/>
        <v>7.63333333333333</v>
      </c>
      <c r="N1181" s="62" t="s">
        <v>4274</v>
      </c>
      <c r="O1181" s="62">
        <v>1</v>
      </c>
      <c r="P1181" s="62">
        <v>4.5</v>
      </c>
      <c r="Q1181" s="62">
        <v>0</v>
      </c>
      <c r="R1181" s="62">
        <v>0</v>
      </c>
      <c r="V1181" s="62">
        <v>6</v>
      </c>
      <c r="W1181" s="62">
        <v>6</v>
      </c>
      <c r="X1181" s="576">
        <v>1</v>
      </c>
      <c r="Y1181" s="62">
        <v>-0.1</v>
      </c>
      <c r="Z1181" s="62">
        <v>0</v>
      </c>
      <c r="AB1181" s="50">
        <f t="shared" si="129"/>
        <v>7.73333333333333</v>
      </c>
      <c r="AC1181" s="62">
        <v>2</v>
      </c>
      <c r="AD1181" s="62">
        <v>1</v>
      </c>
      <c r="AE1181" s="62" t="s">
        <v>4275</v>
      </c>
      <c r="AF1181" s="62">
        <v>0.5</v>
      </c>
      <c r="AN1181" s="579"/>
      <c r="AP1181" s="62">
        <v>4399</v>
      </c>
      <c r="AQ1181" s="62" t="s">
        <v>136</v>
      </c>
      <c r="AU1181" s="62">
        <v>1</v>
      </c>
    </row>
    <row r="1182" s="62" customFormat="1" spans="1:43">
      <c r="A1182" s="62">
        <v>1178</v>
      </c>
      <c r="B1182" s="62" t="s">
        <v>4276</v>
      </c>
      <c r="C1182" s="62" t="s">
        <v>4277</v>
      </c>
      <c r="D1182" s="62">
        <v>1</v>
      </c>
      <c r="E1182" s="62">
        <v>0</v>
      </c>
      <c r="G1182" s="62">
        <v>1</v>
      </c>
      <c r="H1182" s="569" t="s">
        <v>4278</v>
      </c>
      <c r="I1182" s="62">
        <f>100/30</f>
        <v>3.33333333333333</v>
      </c>
      <c r="J1182" s="62">
        <f t="shared" si="127"/>
        <v>3.33333333333333</v>
      </c>
      <c r="L1182" s="62">
        <v>1</v>
      </c>
      <c r="M1182" s="62">
        <f t="shared" si="128"/>
        <v>2.93333333333333</v>
      </c>
      <c r="N1182" s="62" t="s">
        <v>4279</v>
      </c>
      <c r="O1182" s="62">
        <v>1</v>
      </c>
      <c r="P1182" s="62">
        <v>4.5</v>
      </c>
      <c r="Q1182" s="62">
        <v>0</v>
      </c>
      <c r="R1182" s="62">
        <v>0</v>
      </c>
      <c r="V1182" s="62">
        <v>6</v>
      </c>
      <c r="W1182" s="62">
        <v>0</v>
      </c>
      <c r="X1182" s="576">
        <v>1</v>
      </c>
      <c r="Y1182" s="62">
        <v>-0.1</v>
      </c>
      <c r="Z1182" s="62">
        <v>0</v>
      </c>
      <c r="AN1182" s="579"/>
      <c r="AP1182" s="62">
        <v>4393</v>
      </c>
      <c r="AQ1182" s="62" t="s">
        <v>136</v>
      </c>
    </row>
    <row r="1183" s="62" customFormat="1" spans="1:47">
      <c r="A1183" s="62">
        <v>1179</v>
      </c>
      <c r="B1183" s="62" t="s">
        <v>4280</v>
      </c>
      <c r="C1183" s="62" t="s">
        <v>4281</v>
      </c>
      <c r="D1183" s="62">
        <v>1</v>
      </c>
      <c r="E1183" s="62">
        <v>0</v>
      </c>
      <c r="G1183" s="62">
        <v>1</v>
      </c>
      <c r="H1183" s="569" t="s">
        <v>4282</v>
      </c>
      <c r="I1183" s="62">
        <f>91/30</f>
        <v>3.03333333333333</v>
      </c>
      <c r="J1183" s="62">
        <f t="shared" si="127"/>
        <v>3.03333333333333</v>
      </c>
      <c r="L1183" s="62">
        <v>1</v>
      </c>
      <c r="M1183" s="62">
        <f t="shared" si="128"/>
        <v>2.63333333333333</v>
      </c>
      <c r="N1183" s="62" t="s">
        <v>4283</v>
      </c>
      <c r="O1183" s="62">
        <v>1</v>
      </c>
      <c r="P1183" s="62">
        <v>4.5</v>
      </c>
      <c r="Q1183" s="62">
        <v>0</v>
      </c>
      <c r="R1183" s="62">
        <v>0</v>
      </c>
      <c r="V1183" s="62">
        <v>6</v>
      </c>
      <c r="W1183" s="62">
        <v>6</v>
      </c>
      <c r="X1183" s="576">
        <v>1</v>
      </c>
      <c r="Y1183" s="62">
        <v>-0.1</v>
      </c>
      <c r="Z1183" s="62">
        <v>0</v>
      </c>
      <c r="AB1183" s="50">
        <f t="shared" ref="AB1183:AB1188" si="130">I1183-0.3</f>
        <v>2.73333333333333</v>
      </c>
      <c r="AD1183" s="62">
        <v>1</v>
      </c>
      <c r="AE1183" s="62" t="s">
        <v>4284</v>
      </c>
      <c r="AF1183" s="62">
        <v>0.5</v>
      </c>
      <c r="AN1183" s="579"/>
      <c r="AP1183" s="62">
        <v>4395</v>
      </c>
      <c r="AQ1183" s="62" t="s">
        <v>136</v>
      </c>
      <c r="AU1183" s="62">
        <v>1</v>
      </c>
    </row>
    <row r="1184" s="49" customFormat="1" spans="1:43">
      <c r="A1184" s="49">
        <v>1180</v>
      </c>
      <c r="B1184" s="49" t="s">
        <v>4285</v>
      </c>
      <c r="C1184" s="49" t="s">
        <v>526</v>
      </c>
      <c r="D1184" s="49">
        <v>1</v>
      </c>
      <c r="E1184" s="49">
        <v>0</v>
      </c>
      <c r="G1184" s="49">
        <v>1</v>
      </c>
      <c r="H1184" s="570" t="s">
        <v>4286</v>
      </c>
      <c r="I1184" s="49">
        <v>2.66666666666667</v>
      </c>
      <c r="J1184" s="62">
        <f t="shared" ref="J1184:J1192" si="131">I1184</f>
        <v>2.66666666666667</v>
      </c>
      <c r="L1184" s="62">
        <v>1</v>
      </c>
      <c r="M1184" s="62">
        <f t="shared" ref="M1184:M1193" si="132">I1184-0.4</f>
        <v>2.26666666666667</v>
      </c>
      <c r="N1184" s="49" t="s">
        <v>4287</v>
      </c>
      <c r="O1184" s="62">
        <v>1</v>
      </c>
      <c r="P1184" s="49">
        <v>3.3</v>
      </c>
      <c r="Q1184" s="49">
        <v>0</v>
      </c>
      <c r="V1184" s="49">
        <v>1</v>
      </c>
      <c r="W1184" s="49">
        <v>0</v>
      </c>
      <c r="X1184" s="416">
        <v>3</v>
      </c>
      <c r="Y1184" s="62">
        <v>-0.1</v>
      </c>
      <c r="Z1184" s="62">
        <v>0</v>
      </c>
      <c r="AN1184" s="421"/>
      <c r="AP1184" s="49">
        <v>4401</v>
      </c>
      <c r="AQ1184" s="62" t="s">
        <v>136</v>
      </c>
    </row>
    <row r="1185" s="49" customFormat="1" spans="1:43">
      <c r="A1185" s="49">
        <v>1181</v>
      </c>
      <c r="B1185" s="49" t="s">
        <v>4288</v>
      </c>
      <c r="C1185" s="49" t="s">
        <v>4289</v>
      </c>
      <c r="D1185" s="49">
        <v>1</v>
      </c>
      <c r="E1185" s="49">
        <v>0</v>
      </c>
      <c r="G1185" s="49">
        <v>1</v>
      </c>
      <c r="H1185" s="570" t="s">
        <v>4290</v>
      </c>
      <c r="I1185" s="49">
        <v>2.9</v>
      </c>
      <c r="J1185" s="62">
        <f t="shared" si="131"/>
        <v>2.9</v>
      </c>
      <c r="L1185" s="62">
        <v>1</v>
      </c>
      <c r="M1185" s="62">
        <f t="shared" si="132"/>
        <v>2.5</v>
      </c>
      <c r="N1185" s="49" t="s">
        <v>4291</v>
      </c>
      <c r="O1185" s="62">
        <v>1</v>
      </c>
      <c r="P1185" s="49">
        <v>3.3</v>
      </c>
      <c r="Q1185" s="49">
        <v>0</v>
      </c>
      <c r="V1185" s="49">
        <v>1</v>
      </c>
      <c r="W1185" s="49">
        <v>6</v>
      </c>
      <c r="X1185" s="416">
        <v>3</v>
      </c>
      <c r="Y1185" s="62">
        <v>-0.1</v>
      </c>
      <c r="Z1185" s="62">
        <v>0</v>
      </c>
      <c r="AN1185" s="421"/>
      <c r="AP1185" s="49">
        <v>4403</v>
      </c>
      <c r="AQ1185" s="62" t="s">
        <v>136</v>
      </c>
    </row>
    <row r="1186" s="49" customFormat="1" spans="1:43">
      <c r="A1186" s="49">
        <v>1182</v>
      </c>
      <c r="B1186" s="49" t="s">
        <v>4292</v>
      </c>
      <c r="C1186" s="49" t="s">
        <v>4293</v>
      </c>
      <c r="D1186" s="49">
        <v>1</v>
      </c>
      <c r="E1186" s="49">
        <v>0</v>
      </c>
      <c r="G1186" s="49">
        <v>1</v>
      </c>
      <c r="H1186" s="570" t="s">
        <v>4294</v>
      </c>
      <c r="I1186" s="49">
        <v>3.46666666666667</v>
      </c>
      <c r="J1186" s="62">
        <f t="shared" si="131"/>
        <v>3.46666666666667</v>
      </c>
      <c r="L1186" s="62">
        <v>1</v>
      </c>
      <c r="M1186" s="62">
        <f t="shared" si="132"/>
        <v>3.06666666666667</v>
      </c>
      <c r="N1186" s="49" t="s">
        <v>4295</v>
      </c>
      <c r="O1186" s="62">
        <v>1</v>
      </c>
      <c r="P1186" s="49">
        <v>3.3</v>
      </c>
      <c r="Q1186" s="49">
        <v>0</v>
      </c>
      <c r="R1186" s="49">
        <v>1</v>
      </c>
      <c r="S1186" s="49">
        <v>0.5</v>
      </c>
      <c r="V1186" s="49">
        <v>1</v>
      </c>
      <c r="W1186" s="49">
        <v>0</v>
      </c>
      <c r="X1186" s="416">
        <v>5</v>
      </c>
      <c r="Y1186" s="62">
        <v>-0.1</v>
      </c>
      <c r="Z1186" s="62">
        <v>0</v>
      </c>
      <c r="AN1186" s="421"/>
      <c r="AP1186" s="49">
        <v>4405</v>
      </c>
      <c r="AQ1186" s="62" t="s">
        <v>136</v>
      </c>
    </row>
    <row r="1187" s="50" customFormat="1" spans="1:47">
      <c r="A1187" s="50">
        <v>1183</v>
      </c>
      <c r="B1187" s="50" t="s">
        <v>4296</v>
      </c>
      <c r="C1187" s="50" t="s">
        <v>4297</v>
      </c>
      <c r="D1187" s="50">
        <v>1</v>
      </c>
      <c r="E1187" s="50">
        <v>0</v>
      </c>
      <c r="G1187" s="50">
        <v>1</v>
      </c>
      <c r="H1187" s="571" t="s">
        <v>4298</v>
      </c>
      <c r="I1187" s="50">
        <v>14.8666666666667</v>
      </c>
      <c r="J1187" s="50">
        <f t="shared" si="131"/>
        <v>14.8666666666667</v>
      </c>
      <c r="L1187" s="50">
        <v>1</v>
      </c>
      <c r="M1187" s="50">
        <f t="shared" si="132"/>
        <v>14.4666666666667</v>
      </c>
      <c r="N1187" s="50" t="s">
        <v>4299</v>
      </c>
      <c r="O1187" s="50">
        <v>1</v>
      </c>
      <c r="P1187" s="49">
        <v>3.3</v>
      </c>
      <c r="Q1187" s="50">
        <v>0</v>
      </c>
      <c r="V1187" s="50">
        <v>1</v>
      </c>
      <c r="W1187" s="50">
        <v>6</v>
      </c>
      <c r="X1187" s="466">
        <v>7</v>
      </c>
      <c r="Y1187" s="50">
        <v>-0.1</v>
      </c>
      <c r="Z1187" s="50">
        <v>0</v>
      </c>
      <c r="AB1187" s="50">
        <f t="shared" si="130"/>
        <v>14.5666666666667</v>
      </c>
      <c r="AC1187" s="50">
        <v>1</v>
      </c>
      <c r="AD1187" s="50">
        <v>1</v>
      </c>
      <c r="AE1187" s="50" t="s">
        <v>4300</v>
      </c>
      <c r="AF1187" s="50">
        <v>0.5</v>
      </c>
      <c r="AN1187" s="469"/>
      <c r="AP1187" s="50">
        <v>4406</v>
      </c>
      <c r="AQ1187" s="50" t="s">
        <v>136</v>
      </c>
      <c r="AU1187" s="50">
        <v>1</v>
      </c>
    </row>
    <row r="1188" s="50" customFormat="1" spans="1:47">
      <c r="A1188" s="50">
        <v>1184</v>
      </c>
      <c r="B1188" s="50" t="s">
        <v>4301</v>
      </c>
      <c r="C1188" s="50" t="s">
        <v>4302</v>
      </c>
      <c r="D1188" s="50">
        <v>1</v>
      </c>
      <c r="E1188" s="50">
        <v>0</v>
      </c>
      <c r="G1188" s="50">
        <v>1</v>
      </c>
      <c r="H1188" s="571" t="s">
        <v>4303</v>
      </c>
      <c r="I1188" s="50">
        <v>15</v>
      </c>
      <c r="J1188" s="50">
        <f t="shared" si="131"/>
        <v>15</v>
      </c>
      <c r="L1188" s="50">
        <v>1</v>
      </c>
      <c r="M1188" s="50">
        <f t="shared" si="132"/>
        <v>14.6</v>
      </c>
      <c r="N1188" s="50" t="s">
        <v>4304</v>
      </c>
      <c r="O1188" s="50">
        <v>1</v>
      </c>
      <c r="P1188" s="49">
        <v>3.3</v>
      </c>
      <c r="Q1188" s="50">
        <v>0</v>
      </c>
      <c r="V1188" s="50">
        <v>1</v>
      </c>
      <c r="W1188" s="50">
        <v>6</v>
      </c>
      <c r="X1188" s="466">
        <v>4</v>
      </c>
      <c r="Y1188" s="50">
        <v>-0.1</v>
      </c>
      <c r="Z1188" s="50">
        <v>0</v>
      </c>
      <c r="AB1188" s="50">
        <f t="shared" si="130"/>
        <v>14.7</v>
      </c>
      <c r="AC1188" s="50">
        <v>1</v>
      </c>
      <c r="AD1188" s="50">
        <v>1</v>
      </c>
      <c r="AE1188" s="50" t="s">
        <v>4305</v>
      </c>
      <c r="AF1188" s="50">
        <v>0.5</v>
      </c>
      <c r="AN1188" s="469"/>
      <c r="AP1188" s="50">
        <v>4417</v>
      </c>
      <c r="AQ1188" s="50" t="s">
        <v>136</v>
      </c>
      <c r="AU1188" s="50">
        <v>1</v>
      </c>
    </row>
    <row r="1189" s="49" customFormat="1" spans="1:43">
      <c r="A1189" s="49">
        <v>1185</v>
      </c>
      <c r="B1189" s="49" t="s">
        <v>4306</v>
      </c>
      <c r="C1189" s="49" t="s">
        <v>1231</v>
      </c>
      <c r="D1189" s="49">
        <v>1</v>
      </c>
      <c r="E1189" s="49">
        <v>0</v>
      </c>
      <c r="G1189" s="49">
        <v>1</v>
      </c>
      <c r="H1189" s="570" t="s">
        <v>4307</v>
      </c>
      <c r="I1189" s="49">
        <v>3.06666666666667</v>
      </c>
      <c r="J1189" s="62">
        <f t="shared" si="131"/>
        <v>3.06666666666667</v>
      </c>
      <c r="L1189" s="62">
        <v>1</v>
      </c>
      <c r="M1189" s="62">
        <f t="shared" si="132"/>
        <v>2.66666666666667</v>
      </c>
      <c r="N1189" s="49" t="s">
        <v>4308</v>
      </c>
      <c r="O1189" s="62">
        <v>1</v>
      </c>
      <c r="P1189" s="49">
        <v>3.3</v>
      </c>
      <c r="Q1189" s="49">
        <v>0</v>
      </c>
      <c r="R1189" s="53">
        <v>1</v>
      </c>
      <c r="S1189" s="53">
        <v>0.5</v>
      </c>
      <c r="T1189" s="53">
        <v>0.65</v>
      </c>
      <c r="U1189" s="53">
        <v>1.1</v>
      </c>
      <c r="V1189" s="49">
        <v>1</v>
      </c>
      <c r="W1189" s="49">
        <v>0</v>
      </c>
      <c r="X1189" s="416">
        <v>4</v>
      </c>
      <c r="Y1189" s="62">
        <v>-0.1</v>
      </c>
      <c r="Z1189" s="62">
        <v>0</v>
      </c>
      <c r="AN1189" s="421"/>
      <c r="AP1189" s="49">
        <v>4408</v>
      </c>
      <c r="AQ1189" s="62" t="s">
        <v>136</v>
      </c>
    </row>
    <row r="1190" s="49" customFormat="1" spans="1:43">
      <c r="A1190" s="49">
        <v>1186</v>
      </c>
      <c r="B1190" s="49" t="s">
        <v>4309</v>
      </c>
      <c r="C1190" s="49" t="s">
        <v>4310</v>
      </c>
      <c r="D1190" s="49">
        <v>1</v>
      </c>
      <c r="E1190" s="49">
        <v>0</v>
      </c>
      <c r="G1190" s="49">
        <v>1</v>
      </c>
      <c r="H1190" s="570" t="s">
        <v>4311</v>
      </c>
      <c r="I1190" s="49">
        <v>2.06666666666667</v>
      </c>
      <c r="J1190" s="62">
        <f t="shared" si="131"/>
        <v>2.06666666666667</v>
      </c>
      <c r="L1190" s="62">
        <v>1</v>
      </c>
      <c r="M1190" s="62">
        <f t="shared" si="132"/>
        <v>1.66666666666667</v>
      </c>
      <c r="N1190" s="49" t="s">
        <v>4312</v>
      </c>
      <c r="O1190" s="62">
        <v>1</v>
      </c>
      <c r="P1190" s="49">
        <v>3.3</v>
      </c>
      <c r="Q1190" s="49">
        <v>0</v>
      </c>
      <c r="R1190" s="53">
        <v>1</v>
      </c>
      <c r="S1190" s="53">
        <v>0.5</v>
      </c>
      <c r="T1190" s="53">
        <v>0.65</v>
      </c>
      <c r="U1190" s="53">
        <v>0.7</v>
      </c>
      <c r="V1190" s="49">
        <v>1</v>
      </c>
      <c r="W1190" s="49">
        <v>0</v>
      </c>
      <c r="X1190" s="416">
        <v>4</v>
      </c>
      <c r="Y1190" s="62">
        <v>-0.1</v>
      </c>
      <c r="Z1190" s="62">
        <v>0</v>
      </c>
      <c r="AN1190" s="421">
        <v>4419</v>
      </c>
      <c r="AO1190" s="49" t="s">
        <v>4313</v>
      </c>
      <c r="AP1190" s="49">
        <v>4410</v>
      </c>
      <c r="AQ1190" s="62" t="s">
        <v>136</v>
      </c>
    </row>
    <row r="1191" s="49" customFormat="1" spans="1:43">
      <c r="A1191" s="49">
        <v>1187</v>
      </c>
      <c r="B1191" s="49" t="s">
        <v>4314</v>
      </c>
      <c r="C1191" s="49" t="s">
        <v>4315</v>
      </c>
      <c r="D1191" s="49">
        <v>1</v>
      </c>
      <c r="E1191" s="49">
        <v>0</v>
      </c>
      <c r="G1191" s="49">
        <v>1</v>
      </c>
      <c r="H1191" s="570" t="s">
        <v>4316</v>
      </c>
      <c r="I1191" s="49">
        <v>3.73333333333333</v>
      </c>
      <c r="J1191" s="62">
        <f t="shared" si="131"/>
        <v>3.73333333333333</v>
      </c>
      <c r="L1191" s="62">
        <v>1</v>
      </c>
      <c r="M1191" s="62">
        <f t="shared" si="132"/>
        <v>3.33333333333333</v>
      </c>
      <c r="N1191" s="49" t="s">
        <v>4317</v>
      </c>
      <c r="O1191" s="62">
        <v>1</v>
      </c>
      <c r="P1191" s="49">
        <v>3.3</v>
      </c>
      <c r="Q1191" s="49">
        <v>0</v>
      </c>
      <c r="R1191" s="53">
        <v>1</v>
      </c>
      <c r="S1191" s="53">
        <v>0.5</v>
      </c>
      <c r="T1191" s="53">
        <v>0.65</v>
      </c>
      <c r="U1191" s="53">
        <v>1.1</v>
      </c>
      <c r="V1191" s="49">
        <v>1</v>
      </c>
      <c r="W1191" s="49">
        <v>0</v>
      </c>
      <c r="X1191" s="416">
        <v>5</v>
      </c>
      <c r="Y1191" s="62">
        <v>-0.1</v>
      </c>
      <c r="Z1191" s="62">
        <v>0</v>
      </c>
      <c r="AN1191" s="421"/>
      <c r="AP1191" s="49">
        <v>4413</v>
      </c>
      <c r="AQ1191" s="62" t="s">
        <v>136</v>
      </c>
    </row>
    <row r="1192" s="50" customFormat="1" spans="1:47">
      <c r="A1192" s="50">
        <v>1188</v>
      </c>
      <c r="B1192" s="50" t="s">
        <v>4318</v>
      </c>
      <c r="C1192" s="50" t="s">
        <v>4319</v>
      </c>
      <c r="D1192" s="50">
        <v>1</v>
      </c>
      <c r="E1192" s="50">
        <v>0</v>
      </c>
      <c r="G1192" s="50">
        <v>1</v>
      </c>
      <c r="H1192" s="571" t="s">
        <v>4320</v>
      </c>
      <c r="I1192" s="50">
        <v>9.33333333333333</v>
      </c>
      <c r="J1192" s="50">
        <f t="shared" si="131"/>
        <v>9.33333333333333</v>
      </c>
      <c r="L1192" s="50">
        <v>1</v>
      </c>
      <c r="M1192" s="50">
        <f t="shared" si="132"/>
        <v>8.93333333333333</v>
      </c>
      <c r="N1192" s="50" t="s">
        <v>4321</v>
      </c>
      <c r="O1192" s="50">
        <v>1</v>
      </c>
      <c r="P1192" s="49">
        <v>3.3</v>
      </c>
      <c r="Q1192" s="50">
        <v>0</v>
      </c>
      <c r="V1192" s="50">
        <v>1</v>
      </c>
      <c r="W1192" s="50">
        <v>6</v>
      </c>
      <c r="X1192" s="466">
        <v>4</v>
      </c>
      <c r="Y1192" s="50">
        <v>-0.1</v>
      </c>
      <c r="Z1192" s="50">
        <v>0</v>
      </c>
      <c r="AB1192" s="50">
        <f>I1192-0.3</f>
        <v>9.03333333333333</v>
      </c>
      <c r="AC1192" s="50">
        <v>1</v>
      </c>
      <c r="AD1192" s="50">
        <v>1</v>
      </c>
      <c r="AE1192" s="50" t="s">
        <v>4322</v>
      </c>
      <c r="AF1192" s="50">
        <v>0.5</v>
      </c>
      <c r="AN1192" s="469"/>
      <c r="AP1192" s="50">
        <v>4418</v>
      </c>
      <c r="AQ1192" s="50" t="s">
        <v>136</v>
      </c>
      <c r="AU1192" s="50">
        <v>1</v>
      </c>
    </row>
    <row r="1193" s="17" customFormat="1" spans="1:43">
      <c r="A1193" s="17">
        <v>1189</v>
      </c>
      <c r="B1193" s="17" t="s">
        <v>4323</v>
      </c>
      <c r="C1193" s="17" t="s">
        <v>526</v>
      </c>
      <c r="D1193" s="17">
        <v>1</v>
      </c>
      <c r="E1193" s="17">
        <v>7</v>
      </c>
      <c r="G1193" s="17">
        <v>1</v>
      </c>
      <c r="H1193" s="572">
        <v>14001</v>
      </c>
      <c r="I1193" s="17">
        <v>3.53333333333333</v>
      </c>
      <c r="J1193" s="17">
        <f t="shared" ref="J1193:J1202" si="133">I1193</f>
        <v>3.53333333333333</v>
      </c>
      <c r="L1193" s="17">
        <v>1</v>
      </c>
      <c r="M1193" s="17">
        <f t="shared" ref="M1193:M1203" si="134">I1193-0.4</f>
        <v>3.13333333333333</v>
      </c>
      <c r="N1193" s="17" t="s">
        <v>4324</v>
      </c>
      <c r="O1193" s="17">
        <v>1</v>
      </c>
      <c r="P1193" s="17">
        <v>2.5</v>
      </c>
      <c r="Q1193" s="17">
        <v>0</v>
      </c>
      <c r="V1193" s="17">
        <v>1</v>
      </c>
      <c r="W1193" s="17">
        <v>0</v>
      </c>
      <c r="X1193" s="116">
        <v>4</v>
      </c>
      <c r="Y1193" s="17">
        <v>-0.1</v>
      </c>
      <c r="Z1193" s="17">
        <v>0</v>
      </c>
      <c r="AN1193" s="121"/>
      <c r="AP1193" s="17">
        <v>4543</v>
      </c>
      <c r="AQ1193" s="17" t="s">
        <v>136</v>
      </c>
    </row>
    <row r="1194" s="17" customFormat="1" spans="1:43">
      <c r="A1194" s="17">
        <v>1190</v>
      </c>
      <c r="B1194" s="17" t="s">
        <v>4325</v>
      </c>
      <c r="C1194" s="17" t="s">
        <v>4326</v>
      </c>
      <c r="D1194" s="17">
        <v>1</v>
      </c>
      <c r="E1194" s="17">
        <v>7</v>
      </c>
      <c r="G1194" s="17">
        <v>1</v>
      </c>
      <c r="H1194" s="572">
        <v>14002</v>
      </c>
      <c r="I1194" s="17">
        <f>92/30</f>
        <v>3.06666666666667</v>
      </c>
      <c r="J1194" s="17">
        <f t="shared" si="133"/>
        <v>3.06666666666667</v>
      </c>
      <c r="L1194" s="17">
        <v>1</v>
      </c>
      <c r="M1194" s="17">
        <f t="shared" si="134"/>
        <v>2.66666666666667</v>
      </c>
      <c r="N1194" s="17" t="s">
        <v>4327</v>
      </c>
      <c r="O1194" s="17">
        <v>1</v>
      </c>
      <c r="P1194" s="17">
        <v>2.5</v>
      </c>
      <c r="Q1194" s="17">
        <v>0</v>
      </c>
      <c r="V1194" s="17">
        <v>1</v>
      </c>
      <c r="W1194" s="17">
        <v>6</v>
      </c>
      <c r="X1194" s="116">
        <v>1</v>
      </c>
      <c r="Y1194" s="17">
        <v>-0.1</v>
      </c>
      <c r="Z1194" s="17">
        <v>0</v>
      </c>
      <c r="AN1194" s="121">
        <v>4546</v>
      </c>
      <c r="AO1194" s="17" t="s">
        <v>3362</v>
      </c>
      <c r="AP1194" s="17">
        <v>4545</v>
      </c>
      <c r="AQ1194" s="17" t="s">
        <v>136</v>
      </c>
    </row>
    <row r="1195" s="17" customFormat="1" spans="1:43">
      <c r="A1195" s="17">
        <v>1191</v>
      </c>
      <c r="B1195" s="17" t="s">
        <v>4328</v>
      </c>
      <c r="C1195" s="17" t="s">
        <v>4329</v>
      </c>
      <c r="D1195" s="17">
        <v>1</v>
      </c>
      <c r="E1195" s="17">
        <v>7</v>
      </c>
      <c r="G1195" s="17">
        <v>1</v>
      </c>
      <c r="H1195" s="572">
        <v>14003</v>
      </c>
      <c r="I1195" s="17">
        <v>3.66666666666667</v>
      </c>
      <c r="J1195" s="17">
        <f t="shared" si="133"/>
        <v>3.66666666666667</v>
      </c>
      <c r="L1195" s="17">
        <v>1</v>
      </c>
      <c r="M1195" s="17">
        <f t="shared" si="134"/>
        <v>3.26666666666667</v>
      </c>
      <c r="N1195" s="17" t="s">
        <v>4330</v>
      </c>
      <c r="O1195" s="17">
        <v>1</v>
      </c>
      <c r="P1195" s="17">
        <v>2.5</v>
      </c>
      <c r="Q1195" s="17">
        <v>0</v>
      </c>
      <c r="R1195" s="17">
        <v>1</v>
      </c>
      <c r="V1195" s="17">
        <v>1</v>
      </c>
      <c r="W1195" s="17">
        <v>0</v>
      </c>
      <c r="X1195" s="116">
        <v>1</v>
      </c>
      <c r="Y1195" s="17">
        <v>-0.1</v>
      </c>
      <c r="Z1195" s="17">
        <v>0</v>
      </c>
      <c r="AN1195" s="121"/>
      <c r="AP1195" s="17">
        <v>4547</v>
      </c>
      <c r="AQ1195" s="17" t="s">
        <v>136</v>
      </c>
    </row>
    <row r="1196" s="17" customFormat="1" spans="1:43">
      <c r="A1196" s="17">
        <v>1192</v>
      </c>
      <c r="B1196" s="17" t="s">
        <v>4331</v>
      </c>
      <c r="C1196" s="17" t="s">
        <v>4332</v>
      </c>
      <c r="D1196" s="17">
        <v>1</v>
      </c>
      <c r="E1196" s="17">
        <v>7</v>
      </c>
      <c r="G1196" s="17">
        <v>1</v>
      </c>
      <c r="H1196" s="572">
        <v>14004</v>
      </c>
      <c r="I1196" s="17">
        <v>3.2</v>
      </c>
      <c r="J1196" s="17">
        <f t="shared" si="133"/>
        <v>3.2</v>
      </c>
      <c r="L1196" s="17">
        <v>1</v>
      </c>
      <c r="M1196" s="17">
        <f t="shared" si="134"/>
        <v>2.8</v>
      </c>
      <c r="N1196" s="17" t="s">
        <v>4333</v>
      </c>
      <c r="O1196" s="17">
        <v>1</v>
      </c>
      <c r="P1196" s="17">
        <v>2.5</v>
      </c>
      <c r="Q1196" s="17">
        <v>0</v>
      </c>
      <c r="R1196" s="17">
        <v>1</v>
      </c>
      <c r="V1196" s="17">
        <v>1</v>
      </c>
      <c r="W1196" s="17">
        <v>4</v>
      </c>
      <c r="X1196" s="116">
        <v>1</v>
      </c>
      <c r="Y1196" s="17">
        <v>-0.1</v>
      </c>
      <c r="Z1196" s="17">
        <v>0</v>
      </c>
      <c r="AN1196" s="121"/>
      <c r="AP1196" s="17">
        <v>4549</v>
      </c>
      <c r="AQ1196" s="17" t="s">
        <v>136</v>
      </c>
    </row>
    <row r="1197" s="17" customFormat="1" spans="1:43">
      <c r="A1197" s="17">
        <v>1193</v>
      </c>
      <c r="B1197" s="17" t="s">
        <v>4334</v>
      </c>
      <c r="C1197" s="17" t="s">
        <v>4335</v>
      </c>
      <c r="D1197" s="17">
        <v>1</v>
      </c>
      <c r="E1197" s="17">
        <v>7</v>
      </c>
      <c r="G1197" s="17">
        <v>1</v>
      </c>
      <c r="H1197" s="572">
        <v>14005</v>
      </c>
      <c r="I1197" s="17">
        <v>2.23333333333333</v>
      </c>
      <c r="J1197" s="17">
        <f t="shared" si="133"/>
        <v>2.23333333333333</v>
      </c>
      <c r="L1197" s="17">
        <v>1</v>
      </c>
      <c r="M1197" s="17">
        <f t="shared" si="134"/>
        <v>1.83333333333333</v>
      </c>
      <c r="N1197" s="17" t="s">
        <v>4336</v>
      </c>
      <c r="O1197" s="17">
        <v>1</v>
      </c>
      <c r="P1197" s="17">
        <v>2.5</v>
      </c>
      <c r="Q1197" s="17">
        <v>0</v>
      </c>
      <c r="V1197" s="17">
        <v>1</v>
      </c>
      <c r="W1197" s="17">
        <v>6</v>
      </c>
      <c r="X1197" s="116">
        <v>1</v>
      </c>
      <c r="Y1197" s="17">
        <v>-0.1</v>
      </c>
      <c r="Z1197" s="17">
        <v>0</v>
      </c>
      <c r="AN1197" s="121"/>
      <c r="AP1197" s="17">
        <v>4552</v>
      </c>
      <c r="AQ1197" s="17" t="s">
        <v>136</v>
      </c>
    </row>
    <row r="1198" s="17" customFormat="1" spans="1:47">
      <c r="A1198" s="17">
        <v>1194</v>
      </c>
      <c r="B1198" s="17" t="s">
        <v>4337</v>
      </c>
      <c r="C1198" s="17" t="s">
        <v>2333</v>
      </c>
      <c r="D1198" s="17">
        <v>1</v>
      </c>
      <c r="E1198" s="17">
        <v>7</v>
      </c>
      <c r="G1198" s="17">
        <v>1</v>
      </c>
      <c r="H1198" s="572">
        <v>14006</v>
      </c>
      <c r="I1198" s="17">
        <v>10.1666666666667</v>
      </c>
      <c r="J1198" s="17">
        <f t="shared" si="133"/>
        <v>10.1666666666667</v>
      </c>
      <c r="L1198" s="17">
        <v>1</v>
      </c>
      <c r="M1198" s="17">
        <f t="shared" si="134"/>
        <v>9.7666666666667</v>
      </c>
      <c r="N1198" s="17" t="s">
        <v>4338</v>
      </c>
      <c r="O1198" s="17">
        <v>1</v>
      </c>
      <c r="P1198" s="17">
        <v>60</v>
      </c>
      <c r="Q1198" s="17">
        <v>0</v>
      </c>
      <c r="V1198" s="17">
        <v>1</v>
      </c>
      <c r="W1198" s="17">
        <v>6</v>
      </c>
      <c r="X1198" s="116">
        <v>1</v>
      </c>
      <c r="Y1198" s="17">
        <v>-0.1</v>
      </c>
      <c r="Z1198" s="17">
        <v>0</v>
      </c>
      <c r="AB1198" s="17">
        <f t="shared" ref="AB1198:AB1202" si="135">I1198-0.3</f>
        <v>9.8666666666667</v>
      </c>
      <c r="AC1198" s="17">
        <v>1</v>
      </c>
      <c r="AD1198" s="17">
        <v>1</v>
      </c>
      <c r="AE1198" s="17" t="s">
        <v>4339</v>
      </c>
      <c r="AF1198" s="17">
        <v>0.5</v>
      </c>
      <c r="AN1198" s="121" t="s">
        <v>4340</v>
      </c>
      <c r="AO1198" s="17" t="s">
        <v>4341</v>
      </c>
      <c r="AP1198" s="17">
        <v>4554</v>
      </c>
      <c r="AQ1198" s="17" t="s">
        <v>136</v>
      </c>
      <c r="AU1198" s="17">
        <v>1</v>
      </c>
    </row>
    <row r="1199" s="17" customFormat="1" spans="1:47">
      <c r="A1199" s="17">
        <v>1195</v>
      </c>
      <c r="B1199" s="17" t="s">
        <v>4342</v>
      </c>
      <c r="C1199" s="17" t="s">
        <v>4343</v>
      </c>
      <c r="D1199" s="17">
        <v>3</v>
      </c>
      <c r="E1199" s="17">
        <v>1</v>
      </c>
      <c r="G1199" s="17">
        <v>1</v>
      </c>
      <c r="H1199" s="572">
        <v>14007</v>
      </c>
      <c r="I1199" s="17">
        <f>295/30</f>
        <v>9.83333333333333</v>
      </c>
      <c r="J1199" s="17">
        <f t="shared" si="133"/>
        <v>9.83333333333333</v>
      </c>
      <c r="L1199" s="17">
        <v>0</v>
      </c>
      <c r="M1199" s="17">
        <f t="shared" si="134"/>
        <v>9.43333333333333</v>
      </c>
      <c r="N1199" s="17" t="s">
        <v>4344</v>
      </c>
      <c r="O1199" s="17">
        <v>1</v>
      </c>
      <c r="P1199" s="17">
        <v>2.5</v>
      </c>
      <c r="Q1199" s="17">
        <v>0</v>
      </c>
      <c r="V1199" s="17">
        <v>1000</v>
      </c>
      <c r="W1199" s="17">
        <v>0</v>
      </c>
      <c r="X1199" s="116">
        <v>1</v>
      </c>
      <c r="Y1199" s="17">
        <v>-0.1</v>
      </c>
      <c r="Z1199" s="17">
        <v>0</v>
      </c>
      <c r="AB1199" s="17">
        <f t="shared" si="135"/>
        <v>9.53333333333333</v>
      </c>
      <c r="AC1199" s="17">
        <v>1</v>
      </c>
      <c r="AD1199" s="17">
        <v>1</v>
      </c>
      <c r="AE1199" s="17" t="s">
        <v>4345</v>
      </c>
      <c r="AF1199" s="17">
        <v>0.5</v>
      </c>
      <c r="AN1199" s="121"/>
      <c r="AP1199" s="17">
        <v>4557</v>
      </c>
      <c r="AQ1199" s="17" t="s">
        <v>136</v>
      </c>
      <c r="AU1199" s="17">
        <v>1</v>
      </c>
    </row>
    <row r="1200" s="17" customFormat="1" spans="1:47">
      <c r="A1200" s="17">
        <v>1196</v>
      </c>
      <c r="B1200" s="17" t="s">
        <v>4346</v>
      </c>
      <c r="C1200" s="17" t="s">
        <v>2312</v>
      </c>
      <c r="D1200" s="17">
        <v>1</v>
      </c>
      <c r="E1200" s="17">
        <v>7</v>
      </c>
      <c r="G1200" s="17">
        <v>1</v>
      </c>
      <c r="H1200" s="572">
        <v>14008</v>
      </c>
      <c r="I1200" s="17">
        <v>13.0333333333333</v>
      </c>
      <c r="J1200" s="17">
        <f t="shared" si="133"/>
        <v>13.0333333333333</v>
      </c>
      <c r="L1200" s="17">
        <v>1</v>
      </c>
      <c r="M1200" s="17">
        <f t="shared" si="134"/>
        <v>12.6333333333333</v>
      </c>
      <c r="N1200" s="17" t="s">
        <v>4347</v>
      </c>
      <c r="O1200" s="17">
        <v>1</v>
      </c>
      <c r="P1200" s="17">
        <v>14</v>
      </c>
      <c r="Q1200" s="17">
        <v>0</v>
      </c>
      <c r="V1200" s="17">
        <v>1</v>
      </c>
      <c r="W1200" s="17">
        <v>6</v>
      </c>
      <c r="X1200" s="116">
        <v>1</v>
      </c>
      <c r="Y1200" s="17">
        <v>-0.1</v>
      </c>
      <c r="Z1200" s="17">
        <v>0</v>
      </c>
      <c r="AB1200" s="17">
        <f t="shared" si="135"/>
        <v>12.7333333333333</v>
      </c>
      <c r="AC1200" s="17">
        <v>1</v>
      </c>
      <c r="AD1200" s="17">
        <v>1</v>
      </c>
      <c r="AE1200" s="17" t="s">
        <v>4348</v>
      </c>
      <c r="AF1200" s="17">
        <v>0.5</v>
      </c>
      <c r="AN1200" s="121">
        <v>4559</v>
      </c>
      <c r="AO1200" s="17" t="s">
        <v>3362</v>
      </c>
      <c r="AP1200" s="17">
        <v>4558</v>
      </c>
      <c r="AQ1200" s="17" t="s">
        <v>136</v>
      </c>
      <c r="AU1200" s="17">
        <v>1</v>
      </c>
    </row>
    <row r="1201" s="31" customFormat="1" spans="1:47">
      <c r="A1201" s="31">
        <v>1197</v>
      </c>
      <c r="B1201" s="31" t="s">
        <v>4349</v>
      </c>
      <c r="C1201" s="31" t="s">
        <v>4350</v>
      </c>
      <c r="D1201" s="31">
        <v>1</v>
      </c>
      <c r="E1201" s="31">
        <v>0</v>
      </c>
      <c r="G1201" s="31">
        <v>1</v>
      </c>
      <c r="H1201" s="275" t="s">
        <v>4351</v>
      </c>
      <c r="I1201" s="31">
        <f>470/30</f>
        <v>15.6666666666667</v>
      </c>
      <c r="J1201" s="17">
        <f t="shared" si="133"/>
        <v>15.6666666666667</v>
      </c>
      <c r="L1201" s="17">
        <v>1</v>
      </c>
      <c r="M1201" s="17">
        <f t="shared" si="134"/>
        <v>15.2666666666667</v>
      </c>
      <c r="N1201" s="31" t="s">
        <v>4352</v>
      </c>
      <c r="O1201" s="31">
        <v>0</v>
      </c>
      <c r="P1201" s="31">
        <v>0</v>
      </c>
      <c r="Q1201" s="31">
        <v>0</v>
      </c>
      <c r="V1201" s="31">
        <v>1</v>
      </c>
      <c r="W1201" s="31">
        <v>6</v>
      </c>
      <c r="X1201" s="295">
        <v>5</v>
      </c>
      <c r="Y1201" s="17">
        <v>-0.1</v>
      </c>
      <c r="Z1201" s="17">
        <v>0</v>
      </c>
      <c r="AB1201" s="17">
        <f t="shared" si="135"/>
        <v>15.3666666666667</v>
      </c>
      <c r="AC1201" s="17">
        <v>1</v>
      </c>
      <c r="AD1201" s="17">
        <v>1</v>
      </c>
      <c r="AE1201" s="17" t="s">
        <v>4353</v>
      </c>
      <c r="AF1201" s="31">
        <v>3</v>
      </c>
      <c r="AN1201" s="304"/>
      <c r="AP1201" s="31">
        <v>4565</v>
      </c>
      <c r="AQ1201" s="31" t="s">
        <v>136</v>
      </c>
      <c r="AU1201" s="31">
        <v>1</v>
      </c>
    </row>
    <row r="1202" s="31" customFormat="1" spans="1:47">
      <c r="A1202" s="31">
        <v>1198</v>
      </c>
      <c r="B1202" s="31" t="s">
        <v>4354</v>
      </c>
      <c r="C1202" s="31" t="s">
        <v>4350</v>
      </c>
      <c r="D1202" s="31">
        <v>1</v>
      </c>
      <c r="E1202" s="31">
        <v>0</v>
      </c>
      <c r="G1202" s="31">
        <v>1</v>
      </c>
      <c r="H1202" s="275" t="s">
        <v>4355</v>
      </c>
      <c r="I1202" s="31">
        <f>470/30</f>
        <v>15.6666666666667</v>
      </c>
      <c r="J1202" s="17">
        <f t="shared" si="133"/>
        <v>15.6666666666667</v>
      </c>
      <c r="L1202" s="17">
        <v>1</v>
      </c>
      <c r="M1202" s="17">
        <f t="shared" si="134"/>
        <v>15.2666666666667</v>
      </c>
      <c r="N1202" s="31" t="s">
        <v>4352</v>
      </c>
      <c r="O1202" s="31">
        <v>0</v>
      </c>
      <c r="P1202" s="31">
        <v>0</v>
      </c>
      <c r="Q1202" s="31">
        <v>0</v>
      </c>
      <c r="V1202" s="31">
        <v>1</v>
      </c>
      <c r="W1202" s="31">
        <v>6</v>
      </c>
      <c r="X1202" s="295">
        <v>5</v>
      </c>
      <c r="Y1202" s="17">
        <v>-0.1</v>
      </c>
      <c r="Z1202" s="17">
        <v>0</v>
      </c>
      <c r="AB1202" s="17">
        <f t="shared" si="135"/>
        <v>15.3666666666667</v>
      </c>
      <c r="AC1202" s="17">
        <v>1</v>
      </c>
      <c r="AD1202" s="17">
        <v>1</v>
      </c>
      <c r="AE1202" s="17" t="s">
        <v>4353</v>
      </c>
      <c r="AF1202" s="31">
        <v>3</v>
      </c>
      <c r="AN1202" s="304"/>
      <c r="AP1202" s="31">
        <v>4565</v>
      </c>
      <c r="AQ1202" s="31" t="s">
        <v>136</v>
      </c>
      <c r="AU1202" s="31">
        <v>1</v>
      </c>
    </row>
    <row r="1203" s="63" customFormat="1" ht="16.5" spans="1:43">
      <c r="A1203" s="63">
        <v>1199</v>
      </c>
      <c r="B1203" s="63" t="s">
        <v>4356</v>
      </c>
      <c r="C1203" s="63" t="s">
        <v>526</v>
      </c>
      <c r="D1203" s="63">
        <v>1</v>
      </c>
      <c r="E1203" s="63">
        <v>0</v>
      </c>
      <c r="G1203" s="63">
        <v>1</v>
      </c>
      <c r="H1203" s="573" t="s">
        <v>4357</v>
      </c>
      <c r="I1203" s="574">
        <f>75/30</f>
        <v>2.5</v>
      </c>
      <c r="J1203" s="63">
        <f t="shared" ref="J1203:J1210" si="136">I1203</f>
        <v>2.5</v>
      </c>
      <c r="L1203" s="63">
        <v>1</v>
      </c>
      <c r="M1203" s="63">
        <f t="shared" ref="M1203:M1211" si="137">I1203-0.4</f>
        <v>2.1</v>
      </c>
      <c r="N1203" s="63" t="s">
        <v>4358</v>
      </c>
      <c r="O1203" s="63">
        <v>1</v>
      </c>
      <c r="P1203" s="63">
        <v>2.5</v>
      </c>
      <c r="Q1203" s="63">
        <v>0</v>
      </c>
      <c r="V1203" s="63">
        <v>1</v>
      </c>
      <c r="W1203" s="63">
        <v>0</v>
      </c>
      <c r="X1203" s="577">
        <v>1</v>
      </c>
      <c r="Y1203" s="63">
        <v>-0.1</v>
      </c>
      <c r="Z1203" s="63">
        <v>0</v>
      </c>
      <c r="AN1203" s="580">
        <v>4567</v>
      </c>
      <c r="AO1203" s="63" t="s">
        <v>3403</v>
      </c>
      <c r="AP1203" s="580">
        <v>4566</v>
      </c>
      <c r="AQ1203" s="63" t="s">
        <v>136</v>
      </c>
    </row>
    <row r="1204" s="63" customFormat="1" ht="16.5" spans="1:43">
      <c r="A1204" s="63">
        <v>1200</v>
      </c>
      <c r="B1204" s="63" t="s">
        <v>4359</v>
      </c>
      <c r="C1204" s="63" t="s">
        <v>1511</v>
      </c>
      <c r="D1204" s="63">
        <v>1</v>
      </c>
      <c r="E1204" s="63">
        <v>0</v>
      </c>
      <c r="G1204" s="63">
        <v>1</v>
      </c>
      <c r="H1204" s="573" t="s">
        <v>4360</v>
      </c>
      <c r="I1204" s="574">
        <f>76/30</f>
        <v>2.53333333333333</v>
      </c>
      <c r="J1204" s="63">
        <f t="shared" si="136"/>
        <v>2.53333333333333</v>
      </c>
      <c r="L1204" s="63">
        <v>1</v>
      </c>
      <c r="M1204" s="63">
        <f t="shared" si="137"/>
        <v>2.13333333333333</v>
      </c>
      <c r="N1204" s="63" t="s">
        <v>4361</v>
      </c>
      <c r="O1204" s="63">
        <v>1</v>
      </c>
      <c r="P1204" s="63">
        <v>2.5</v>
      </c>
      <c r="Q1204" s="63">
        <v>0</v>
      </c>
      <c r="V1204" s="63">
        <v>1</v>
      </c>
      <c r="W1204" s="63">
        <v>4</v>
      </c>
      <c r="X1204" s="577">
        <v>1</v>
      </c>
      <c r="Y1204" s="63">
        <v>-0.1</v>
      </c>
      <c r="Z1204" s="63">
        <v>0</v>
      </c>
      <c r="AN1204" s="580">
        <v>4569</v>
      </c>
      <c r="AO1204" s="63" t="s">
        <v>690</v>
      </c>
      <c r="AP1204" s="580">
        <v>4568</v>
      </c>
      <c r="AQ1204" s="63" t="s">
        <v>136</v>
      </c>
    </row>
    <row r="1205" s="63" customFormat="1" ht="16.5" spans="1:43">
      <c r="A1205" s="63">
        <v>1201</v>
      </c>
      <c r="B1205" s="63" t="s">
        <v>4362</v>
      </c>
      <c r="C1205" s="63" t="s">
        <v>4363</v>
      </c>
      <c r="D1205" s="63">
        <v>1</v>
      </c>
      <c r="E1205" s="63">
        <v>0</v>
      </c>
      <c r="G1205" s="63">
        <v>1</v>
      </c>
      <c r="H1205" s="573" t="s">
        <v>4364</v>
      </c>
      <c r="I1205" s="574">
        <f>110/30</f>
        <v>3.66666666666667</v>
      </c>
      <c r="J1205" s="63">
        <f t="shared" si="136"/>
        <v>3.66666666666667</v>
      </c>
      <c r="L1205" s="63">
        <v>1</v>
      </c>
      <c r="M1205" s="63">
        <f t="shared" si="137"/>
        <v>3.26666666666667</v>
      </c>
      <c r="N1205" s="63" t="s">
        <v>4365</v>
      </c>
      <c r="O1205" s="63">
        <v>1</v>
      </c>
      <c r="P1205" s="63">
        <v>2.5</v>
      </c>
      <c r="Q1205" s="63">
        <v>0</v>
      </c>
      <c r="V1205" s="63">
        <v>1</v>
      </c>
      <c r="W1205" s="63">
        <v>4</v>
      </c>
      <c r="X1205" s="577">
        <v>1</v>
      </c>
      <c r="Y1205" s="63">
        <v>-0.1</v>
      </c>
      <c r="Z1205" s="63">
        <v>0</v>
      </c>
      <c r="AN1205" s="581"/>
      <c r="AP1205" s="580">
        <v>4571</v>
      </c>
      <c r="AQ1205" s="63" t="s">
        <v>136</v>
      </c>
    </row>
    <row r="1206" s="63" customFormat="1" ht="16.5" spans="1:43">
      <c r="A1206" s="63">
        <v>1202</v>
      </c>
      <c r="B1206" s="63" t="s">
        <v>4366</v>
      </c>
      <c r="C1206" s="63" t="s">
        <v>4367</v>
      </c>
      <c r="D1206" s="63">
        <v>1</v>
      </c>
      <c r="E1206" s="63">
        <v>0</v>
      </c>
      <c r="G1206" s="63">
        <v>1</v>
      </c>
      <c r="H1206" s="573" t="s">
        <v>4368</v>
      </c>
      <c r="I1206" s="574">
        <f>66/30</f>
        <v>2.2</v>
      </c>
      <c r="J1206" s="63">
        <f t="shared" si="136"/>
        <v>2.2</v>
      </c>
      <c r="L1206" s="63">
        <v>1</v>
      </c>
      <c r="M1206" s="63">
        <f t="shared" si="137"/>
        <v>1.8</v>
      </c>
      <c r="N1206" s="63" t="s">
        <v>4369</v>
      </c>
      <c r="O1206" s="63">
        <v>1</v>
      </c>
      <c r="P1206" s="63">
        <v>2.5</v>
      </c>
      <c r="Q1206" s="63">
        <v>0</v>
      </c>
      <c r="V1206" s="63">
        <v>1</v>
      </c>
      <c r="W1206" s="63">
        <v>0</v>
      </c>
      <c r="X1206" s="577">
        <v>1</v>
      </c>
      <c r="Y1206" s="63">
        <v>-0.1</v>
      </c>
      <c r="Z1206" s="63">
        <v>0</v>
      </c>
      <c r="AN1206" s="581"/>
      <c r="AP1206" s="580">
        <v>4573</v>
      </c>
      <c r="AQ1206" s="63" t="s">
        <v>136</v>
      </c>
    </row>
    <row r="1207" s="63" customFormat="1" ht="16.5" spans="1:47">
      <c r="A1207" s="63">
        <v>1203</v>
      </c>
      <c r="B1207" s="63" t="s">
        <v>4370</v>
      </c>
      <c r="C1207" s="63" t="s">
        <v>4371</v>
      </c>
      <c r="D1207" s="63">
        <v>1</v>
      </c>
      <c r="E1207" s="63">
        <v>0</v>
      </c>
      <c r="G1207" s="63">
        <v>1</v>
      </c>
      <c r="H1207" s="573" t="s">
        <v>4372</v>
      </c>
      <c r="I1207" s="574">
        <f>235/30</f>
        <v>7.83333333333333</v>
      </c>
      <c r="J1207" s="63">
        <f t="shared" si="136"/>
        <v>7.83333333333333</v>
      </c>
      <c r="L1207" s="63">
        <v>1</v>
      </c>
      <c r="M1207" s="63">
        <f t="shared" si="137"/>
        <v>7.43333333333333</v>
      </c>
      <c r="N1207" s="63" t="s">
        <v>4373</v>
      </c>
      <c r="O1207" s="63">
        <v>1</v>
      </c>
      <c r="P1207" s="63">
        <v>5.5</v>
      </c>
      <c r="Q1207" s="63">
        <v>0</v>
      </c>
      <c r="V1207" s="63">
        <v>1</v>
      </c>
      <c r="W1207" s="63">
        <v>6</v>
      </c>
      <c r="X1207" s="577">
        <v>1</v>
      </c>
      <c r="Y1207" s="63">
        <v>-0.1</v>
      </c>
      <c r="Z1207" s="63">
        <v>0</v>
      </c>
      <c r="AB1207" s="63">
        <f t="shared" ref="AB1207:AB1212" si="138">I1207-0.3</f>
        <v>7.53333333333333</v>
      </c>
      <c r="AC1207" s="63">
        <v>1</v>
      </c>
      <c r="AD1207" s="63">
        <v>1</v>
      </c>
      <c r="AE1207" s="63" t="s">
        <v>4374</v>
      </c>
      <c r="AF1207" s="63">
        <v>0.5</v>
      </c>
      <c r="AN1207" s="581"/>
      <c r="AP1207" s="580">
        <v>4574</v>
      </c>
      <c r="AQ1207" s="63" t="s">
        <v>136</v>
      </c>
      <c r="AU1207" s="63">
        <v>1</v>
      </c>
    </row>
    <row r="1208" s="63" customFormat="1" ht="16.5" spans="1:47">
      <c r="A1208" s="63">
        <v>1204</v>
      </c>
      <c r="B1208" s="63" t="s">
        <v>4375</v>
      </c>
      <c r="C1208" s="63" t="s">
        <v>4376</v>
      </c>
      <c r="D1208" s="63">
        <v>1</v>
      </c>
      <c r="E1208" s="63">
        <v>0</v>
      </c>
      <c r="G1208" s="63">
        <v>1</v>
      </c>
      <c r="H1208" s="573" t="s">
        <v>4377</v>
      </c>
      <c r="I1208" s="574">
        <f>301/30</f>
        <v>10.0333333333333</v>
      </c>
      <c r="J1208" s="63">
        <f t="shared" si="136"/>
        <v>10.0333333333333</v>
      </c>
      <c r="L1208" s="63">
        <v>1</v>
      </c>
      <c r="M1208" s="63">
        <v>9.63333333333333</v>
      </c>
      <c r="N1208" s="63" t="s">
        <v>4378</v>
      </c>
      <c r="O1208" s="63">
        <v>1</v>
      </c>
      <c r="P1208" s="63">
        <v>2.5</v>
      </c>
      <c r="Q1208" s="63">
        <v>0</v>
      </c>
      <c r="V1208" s="63">
        <v>1</v>
      </c>
      <c r="W1208" s="63">
        <v>6</v>
      </c>
      <c r="X1208" s="577">
        <v>1</v>
      </c>
      <c r="Y1208" s="63">
        <v>-0.1</v>
      </c>
      <c r="Z1208" s="63">
        <v>0</v>
      </c>
      <c r="AB1208" s="63">
        <f t="shared" si="138"/>
        <v>9.73333333333333</v>
      </c>
      <c r="AC1208" s="63">
        <v>1</v>
      </c>
      <c r="AD1208" s="63">
        <v>1</v>
      </c>
      <c r="AE1208" s="63" t="s">
        <v>4379</v>
      </c>
      <c r="AF1208" s="63">
        <v>0.5</v>
      </c>
      <c r="AN1208" s="581"/>
      <c r="AP1208" s="580">
        <v>4576</v>
      </c>
      <c r="AQ1208" s="63" t="s">
        <v>136</v>
      </c>
      <c r="AU1208" s="63">
        <v>1</v>
      </c>
    </row>
    <row r="1209" s="63" customFormat="1" ht="16.5" spans="1:47">
      <c r="A1209" s="63">
        <v>1205</v>
      </c>
      <c r="B1209" s="63" t="s">
        <v>4380</v>
      </c>
      <c r="C1209" s="63" t="s">
        <v>4381</v>
      </c>
      <c r="D1209" s="63">
        <v>1</v>
      </c>
      <c r="E1209" s="63">
        <v>0</v>
      </c>
      <c r="G1209" s="63">
        <v>1</v>
      </c>
      <c r="H1209" s="573" t="s">
        <v>4382</v>
      </c>
      <c r="I1209" s="574">
        <f>418/30</f>
        <v>13.9333333333333</v>
      </c>
      <c r="J1209" s="63">
        <f t="shared" si="136"/>
        <v>13.9333333333333</v>
      </c>
      <c r="L1209" s="63">
        <v>1</v>
      </c>
      <c r="M1209" s="63">
        <f t="shared" si="137"/>
        <v>13.5333333333333</v>
      </c>
      <c r="N1209" s="63" t="s">
        <v>4383</v>
      </c>
      <c r="O1209" s="63">
        <v>1</v>
      </c>
      <c r="P1209" s="63">
        <v>54</v>
      </c>
      <c r="Q1209" s="63">
        <v>0</v>
      </c>
      <c r="V1209" s="63">
        <v>1</v>
      </c>
      <c r="W1209" s="63">
        <v>6</v>
      </c>
      <c r="X1209" s="577">
        <v>5</v>
      </c>
      <c r="Y1209" s="63">
        <v>-0.1</v>
      </c>
      <c r="Z1209" s="63">
        <v>0</v>
      </c>
      <c r="AB1209" s="63">
        <f t="shared" si="138"/>
        <v>13.6333333333333</v>
      </c>
      <c r="AC1209" s="63">
        <v>1</v>
      </c>
      <c r="AD1209" s="63">
        <v>1</v>
      </c>
      <c r="AE1209" s="63" t="s">
        <v>4384</v>
      </c>
      <c r="AF1209" s="63">
        <v>0.5</v>
      </c>
      <c r="AN1209" s="581">
        <v>4585</v>
      </c>
      <c r="AO1209" s="63" t="s">
        <v>690</v>
      </c>
      <c r="AP1209" s="580">
        <v>4578</v>
      </c>
      <c r="AQ1209" s="63" t="s">
        <v>136</v>
      </c>
      <c r="AU1209" s="63">
        <v>1</v>
      </c>
    </row>
    <row r="1210" s="63" customFormat="1" ht="16.5" spans="1:47">
      <c r="A1210" s="63">
        <v>1206</v>
      </c>
      <c r="B1210" s="63" t="s">
        <v>4385</v>
      </c>
      <c r="C1210" s="63" t="s">
        <v>4386</v>
      </c>
      <c r="D1210" s="63">
        <v>1</v>
      </c>
      <c r="E1210" s="63">
        <v>0</v>
      </c>
      <c r="G1210" s="63">
        <v>1</v>
      </c>
      <c r="H1210" s="573" t="s">
        <v>4387</v>
      </c>
      <c r="I1210" s="574">
        <f>340/30</f>
        <v>11.3333333333333</v>
      </c>
      <c r="J1210" s="63">
        <f t="shared" si="136"/>
        <v>11.3333333333333</v>
      </c>
      <c r="L1210" s="63">
        <v>1</v>
      </c>
      <c r="M1210" s="63">
        <f t="shared" si="137"/>
        <v>10.9333333333333</v>
      </c>
      <c r="N1210" s="63" t="s">
        <v>4388</v>
      </c>
      <c r="O1210" s="63">
        <v>1</v>
      </c>
      <c r="P1210" s="63">
        <v>23</v>
      </c>
      <c r="Q1210" s="63">
        <v>0</v>
      </c>
      <c r="V1210" s="63">
        <v>1</v>
      </c>
      <c r="W1210" s="63">
        <v>6</v>
      </c>
      <c r="X1210" s="577">
        <v>1</v>
      </c>
      <c r="Y1210" s="63">
        <v>-0.1</v>
      </c>
      <c r="Z1210" s="63">
        <v>0</v>
      </c>
      <c r="AB1210" s="63">
        <f t="shared" si="138"/>
        <v>11.0333333333333</v>
      </c>
      <c r="AC1210" s="63">
        <v>1</v>
      </c>
      <c r="AD1210" s="63">
        <v>1</v>
      </c>
      <c r="AE1210" s="63" t="s">
        <v>4389</v>
      </c>
      <c r="AF1210" s="63">
        <v>0.5</v>
      </c>
      <c r="AN1210" s="581"/>
      <c r="AP1210" s="580">
        <v>4580</v>
      </c>
      <c r="AQ1210" s="63" t="s">
        <v>136</v>
      </c>
      <c r="AU1210" s="63">
        <v>1</v>
      </c>
    </row>
    <row r="1211" s="37" customFormat="1" spans="1:43">
      <c r="A1211" s="37">
        <v>1207</v>
      </c>
      <c r="B1211" s="37" t="s">
        <v>4390</v>
      </c>
      <c r="C1211" s="37" t="s">
        <v>526</v>
      </c>
      <c r="D1211" s="37">
        <v>1</v>
      </c>
      <c r="E1211" s="37">
        <v>0</v>
      </c>
      <c r="G1211" s="37">
        <v>1</v>
      </c>
      <c r="H1211" s="291" t="s">
        <v>4391</v>
      </c>
      <c r="I1211" s="10">
        <f>109/30</f>
        <v>3.63333333333333</v>
      </c>
      <c r="J1211" s="63">
        <f t="shared" ref="J1211:J1218" si="139">I1211</f>
        <v>3.63333333333333</v>
      </c>
      <c r="L1211" s="37">
        <v>1</v>
      </c>
      <c r="M1211" s="63">
        <f t="shared" si="137"/>
        <v>3.23333333333333</v>
      </c>
      <c r="N1211" s="37" t="s">
        <v>4392</v>
      </c>
      <c r="O1211" s="37">
        <v>1</v>
      </c>
      <c r="P1211" s="37">
        <v>2.5</v>
      </c>
      <c r="Q1211" s="37">
        <v>0</v>
      </c>
      <c r="V1211" s="37">
        <v>1</v>
      </c>
      <c r="W1211" s="37">
        <v>0</v>
      </c>
      <c r="X1211" s="303">
        <v>5</v>
      </c>
      <c r="Y1211" s="37">
        <v>-0.1</v>
      </c>
      <c r="Z1211" s="37">
        <v>0</v>
      </c>
      <c r="AN1211" s="311"/>
      <c r="AP1211" s="37">
        <v>4586</v>
      </c>
      <c r="AQ1211" s="37" t="s">
        <v>136</v>
      </c>
    </row>
    <row r="1212" s="37" customFormat="1" spans="1:47">
      <c r="A1212" s="37">
        <v>1208</v>
      </c>
      <c r="B1212" s="37" t="s">
        <v>4393</v>
      </c>
      <c r="C1212" s="37" t="s">
        <v>4394</v>
      </c>
      <c r="D1212" s="37">
        <v>1</v>
      </c>
      <c r="E1212" s="37">
        <v>0</v>
      </c>
      <c r="G1212" s="37">
        <v>1</v>
      </c>
      <c r="H1212" s="291" t="s">
        <v>4395</v>
      </c>
      <c r="I1212" s="10">
        <f>157/30</f>
        <v>5.23333333333333</v>
      </c>
      <c r="J1212" s="63">
        <f t="shared" si="139"/>
        <v>5.23333333333333</v>
      </c>
      <c r="L1212" s="37">
        <v>1</v>
      </c>
      <c r="M1212" s="63">
        <f t="shared" ref="M1212:M1219" si="140">I1212-0.4</f>
        <v>4.83333333333333</v>
      </c>
      <c r="N1212" s="37" t="s">
        <v>4396</v>
      </c>
      <c r="O1212" s="37">
        <v>1</v>
      </c>
      <c r="P1212" s="37">
        <v>2.5</v>
      </c>
      <c r="Q1212" s="37">
        <v>0</v>
      </c>
      <c r="V1212" s="37">
        <v>1</v>
      </c>
      <c r="W1212" s="37">
        <v>0</v>
      </c>
      <c r="X1212" s="303">
        <v>1</v>
      </c>
      <c r="Y1212" s="37">
        <v>-0.1</v>
      </c>
      <c r="Z1212" s="37">
        <v>0</v>
      </c>
      <c r="AB1212" s="63">
        <f t="shared" si="138"/>
        <v>4.93333333333333</v>
      </c>
      <c r="AC1212" s="37">
        <v>1</v>
      </c>
      <c r="AD1212" s="63">
        <v>1</v>
      </c>
      <c r="AE1212" s="63" t="s">
        <v>4397</v>
      </c>
      <c r="AF1212" s="37">
        <v>0.5</v>
      </c>
      <c r="AN1212" s="311"/>
      <c r="AP1212" s="37">
        <v>4589</v>
      </c>
      <c r="AQ1212" s="37" t="s">
        <v>136</v>
      </c>
      <c r="AU1212" s="37">
        <v>1</v>
      </c>
    </row>
    <row r="1213" s="37" customFormat="1" spans="1:43">
      <c r="A1213" s="37">
        <v>1209</v>
      </c>
      <c r="B1213" s="37" t="s">
        <v>4398</v>
      </c>
      <c r="C1213" s="37" t="s">
        <v>4399</v>
      </c>
      <c r="D1213" s="37">
        <v>1</v>
      </c>
      <c r="E1213" s="37">
        <v>0</v>
      </c>
      <c r="G1213" s="37">
        <v>1</v>
      </c>
      <c r="H1213" s="291" t="s">
        <v>4400</v>
      </c>
      <c r="I1213" s="10">
        <f>67/30</f>
        <v>2.23333333333333</v>
      </c>
      <c r="J1213" s="63">
        <f t="shared" si="139"/>
        <v>2.23333333333333</v>
      </c>
      <c r="L1213" s="37">
        <v>1</v>
      </c>
      <c r="M1213" s="63">
        <f t="shared" si="140"/>
        <v>1.83333333333333</v>
      </c>
      <c r="N1213" s="37" t="s">
        <v>4401</v>
      </c>
      <c r="O1213" s="37">
        <v>1</v>
      </c>
      <c r="P1213" s="37">
        <v>2.5</v>
      </c>
      <c r="Q1213" s="37">
        <v>0</v>
      </c>
      <c r="V1213" s="37">
        <v>1</v>
      </c>
      <c r="W1213" s="37">
        <v>0</v>
      </c>
      <c r="X1213" s="303">
        <v>1</v>
      </c>
      <c r="Y1213" s="37">
        <v>-0.1</v>
      </c>
      <c r="Z1213" s="37">
        <v>0</v>
      </c>
      <c r="AN1213" s="311" t="s">
        <v>4402</v>
      </c>
      <c r="AO1213" s="37" t="s">
        <v>4403</v>
      </c>
      <c r="AP1213" s="37">
        <v>4590</v>
      </c>
      <c r="AQ1213" s="37" t="s">
        <v>136</v>
      </c>
    </row>
    <row r="1214" s="37" customFormat="1" spans="1:47">
      <c r="A1214" s="37">
        <v>1210</v>
      </c>
      <c r="B1214" s="37" t="s">
        <v>4404</v>
      </c>
      <c r="C1214" s="37" t="s">
        <v>4405</v>
      </c>
      <c r="D1214" s="37">
        <v>1</v>
      </c>
      <c r="E1214" s="37">
        <v>0</v>
      </c>
      <c r="G1214" s="37">
        <v>1</v>
      </c>
      <c r="H1214" s="291" t="s">
        <v>4406</v>
      </c>
      <c r="I1214" s="10">
        <f>138/30</f>
        <v>4.6</v>
      </c>
      <c r="J1214" s="63">
        <f t="shared" si="139"/>
        <v>4.6</v>
      </c>
      <c r="L1214" s="37">
        <v>1</v>
      </c>
      <c r="M1214" s="63">
        <f t="shared" si="140"/>
        <v>4.2</v>
      </c>
      <c r="N1214" s="37" t="s">
        <v>4407</v>
      </c>
      <c r="O1214" s="37">
        <v>1</v>
      </c>
      <c r="P1214" s="37">
        <v>2.5</v>
      </c>
      <c r="Q1214" s="37">
        <v>0</v>
      </c>
      <c r="V1214" s="37">
        <v>1</v>
      </c>
      <c r="W1214" s="37">
        <v>0</v>
      </c>
      <c r="X1214" s="303">
        <v>1</v>
      </c>
      <c r="Y1214" s="37">
        <v>-0.1</v>
      </c>
      <c r="Z1214" s="37">
        <v>0</v>
      </c>
      <c r="AB1214" s="63">
        <f>I1214-0.3</f>
        <v>4.3</v>
      </c>
      <c r="AC1214" s="37">
        <v>1</v>
      </c>
      <c r="AD1214" s="37">
        <v>1</v>
      </c>
      <c r="AE1214" s="63" t="s">
        <v>4408</v>
      </c>
      <c r="AF1214" s="37">
        <v>0.5</v>
      </c>
      <c r="AN1214" s="311"/>
      <c r="AP1214" s="37">
        <v>4594</v>
      </c>
      <c r="AQ1214" s="37" t="s">
        <v>136</v>
      </c>
      <c r="AU1214" s="37">
        <v>1</v>
      </c>
    </row>
    <row r="1215" s="37" customFormat="1" spans="1:43">
      <c r="A1215" s="37">
        <v>1211</v>
      </c>
      <c r="B1215" s="37" t="s">
        <v>4409</v>
      </c>
      <c r="C1215" s="37" t="s">
        <v>4410</v>
      </c>
      <c r="D1215" s="37">
        <v>1</v>
      </c>
      <c r="E1215" s="37">
        <v>0</v>
      </c>
      <c r="G1215" s="37">
        <v>1</v>
      </c>
      <c r="H1215" s="291" t="s">
        <v>4411</v>
      </c>
      <c r="I1215" s="10">
        <f>67/30</f>
        <v>2.23333333333333</v>
      </c>
      <c r="J1215" s="63">
        <f t="shared" si="139"/>
        <v>2.23333333333333</v>
      </c>
      <c r="L1215" s="37">
        <v>1</v>
      </c>
      <c r="M1215" s="63">
        <f t="shared" si="140"/>
        <v>1.83333333333333</v>
      </c>
      <c r="N1215" s="37" t="s">
        <v>4412</v>
      </c>
      <c r="O1215" s="37">
        <v>1</v>
      </c>
      <c r="P1215" s="37">
        <v>2.5</v>
      </c>
      <c r="Q1215" s="37">
        <v>0</v>
      </c>
      <c r="R1215" s="37">
        <v>1</v>
      </c>
      <c r="V1215" s="37">
        <v>1</v>
      </c>
      <c r="W1215" s="37">
        <v>6</v>
      </c>
      <c r="X1215" s="303">
        <v>1</v>
      </c>
      <c r="Y1215" s="37">
        <v>-0.1</v>
      </c>
      <c r="Z1215" s="37">
        <v>0</v>
      </c>
      <c r="AN1215" s="311"/>
      <c r="AP1215" s="37">
        <v>4596</v>
      </c>
      <c r="AQ1215" s="37" t="s">
        <v>136</v>
      </c>
    </row>
    <row r="1216" s="37" customFormat="1" ht="15.75" spans="1:47">
      <c r="A1216" s="37">
        <v>1212</v>
      </c>
      <c r="B1216" s="37" t="s">
        <v>4413</v>
      </c>
      <c r="C1216" s="37" t="s">
        <v>4414</v>
      </c>
      <c r="D1216" s="37">
        <v>1</v>
      </c>
      <c r="E1216" s="37">
        <v>0</v>
      </c>
      <c r="G1216" s="37">
        <v>1</v>
      </c>
      <c r="H1216" s="291" t="s">
        <v>4415</v>
      </c>
      <c r="I1216" s="10">
        <f>373/30</f>
        <v>12.4333333333333</v>
      </c>
      <c r="J1216" s="63">
        <f t="shared" si="139"/>
        <v>12.4333333333333</v>
      </c>
      <c r="L1216" s="37">
        <v>1</v>
      </c>
      <c r="M1216" s="63">
        <f t="shared" si="140"/>
        <v>12.0333333333333</v>
      </c>
      <c r="N1216" s="37" t="s">
        <v>4416</v>
      </c>
      <c r="O1216" s="37">
        <v>1</v>
      </c>
      <c r="P1216" s="37">
        <v>25</v>
      </c>
      <c r="Q1216" s="37">
        <v>0</v>
      </c>
      <c r="V1216" s="37">
        <v>1</v>
      </c>
      <c r="W1216" s="37">
        <v>6</v>
      </c>
      <c r="X1216" s="303">
        <v>4</v>
      </c>
      <c r="Y1216" s="37">
        <v>-0.1</v>
      </c>
      <c r="Z1216" s="37">
        <v>0</v>
      </c>
      <c r="AB1216" s="63">
        <f t="shared" ref="AB1216:AB1220" si="141">I1216-0.3</f>
        <v>12.1333333333333</v>
      </c>
      <c r="AC1216" s="37">
        <v>1</v>
      </c>
      <c r="AD1216" s="37">
        <v>1</v>
      </c>
      <c r="AE1216" s="63" t="s">
        <v>4417</v>
      </c>
      <c r="AF1216" s="37">
        <v>0.5</v>
      </c>
      <c r="AN1216" s="311"/>
      <c r="AP1216" s="37">
        <v>4599</v>
      </c>
      <c r="AQ1216" s="37" t="s">
        <v>136</v>
      </c>
      <c r="AU1216" s="37">
        <v>1</v>
      </c>
    </row>
    <row r="1217" s="37" customFormat="1" spans="1:47">
      <c r="A1217" s="37">
        <v>1213</v>
      </c>
      <c r="B1217" s="37" t="s">
        <v>4418</v>
      </c>
      <c r="C1217" s="37" t="s">
        <v>4419</v>
      </c>
      <c r="D1217" s="37">
        <v>1</v>
      </c>
      <c r="E1217" s="37">
        <v>0</v>
      </c>
      <c r="G1217" s="37">
        <v>1</v>
      </c>
      <c r="H1217" s="291" t="s">
        <v>4420</v>
      </c>
      <c r="I1217" s="10">
        <f>360/30</f>
        <v>12</v>
      </c>
      <c r="J1217" s="63">
        <f t="shared" si="139"/>
        <v>12</v>
      </c>
      <c r="L1217" s="37">
        <v>1</v>
      </c>
      <c r="M1217" s="63">
        <f t="shared" si="140"/>
        <v>11.6</v>
      </c>
      <c r="N1217" s="37" t="s">
        <v>4421</v>
      </c>
      <c r="O1217" s="37">
        <v>1</v>
      </c>
      <c r="P1217" s="37">
        <v>2.5</v>
      </c>
      <c r="Q1217" s="37">
        <v>0</v>
      </c>
      <c r="V1217" s="37">
        <v>1</v>
      </c>
      <c r="W1217" s="37">
        <v>0</v>
      </c>
      <c r="X1217" s="303">
        <v>1</v>
      </c>
      <c r="Y1217" s="37">
        <v>-0.1</v>
      </c>
      <c r="Z1217" s="37">
        <v>0</v>
      </c>
      <c r="AB1217" s="63">
        <f t="shared" si="141"/>
        <v>11.7</v>
      </c>
      <c r="AC1217" s="37">
        <v>1</v>
      </c>
      <c r="AD1217" s="37">
        <v>1</v>
      </c>
      <c r="AE1217" s="63" t="s">
        <v>4422</v>
      </c>
      <c r="AF1217" s="37">
        <v>0.5</v>
      </c>
      <c r="AN1217" s="311"/>
      <c r="AP1217" s="37">
        <v>4600</v>
      </c>
      <c r="AQ1217" s="37" t="s">
        <v>136</v>
      </c>
      <c r="AU1217" s="37">
        <v>1</v>
      </c>
    </row>
    <row r="1218" s="37" customFormat="1" spans="1:47">
      <c r="A1218" s="37">
        <v>1214</v>
      </c>
      <c r="B1218" s="37" t="s">
        <v>4423</v>
      </c>
      <c r="C1218" s="37" t="s">
        <v>4424</v>
      </c>
      <c r="D1218" s="37">
        <v>1</v>
      </c>
      <c r="E1218" s="37">
        <v>0</v>
      </c>
      <c r="G1218" s="37">
        <v>1</v>
      </c>
      <c r="H1218" s="291" t="s">
        <v>4425</v>
      </c>
      <c r="I1218" s="10">
        <f>271/30</f>
        <v>9.03333333333333</v>
      </c>
      <c r="J1218" s="63">
        <f t="shared" si="139"/>
        <v>9.03333333333333</v>
      </c>
      <c r="L1218" s="37">
        <v>1</v>
      </c>
      <c r="M1218" s="63">
        <f t="shared" si="140"/>
        <v>8.63333333333333</v>
      </c>
      <c r="N1218" s="37" t="s">
        <v>4426</v>
      </c>
      <c r="O1218" s="37">
        <v>1</v>
      </c>
      <c r="P1218" s="37">
        <v>2.5</v>
      </c>
      <c r="Q1218" s="37">
        <v>0</v>
      </c>
      <c r="V1218" s="37">
        <v>1</v>
      </c>
      <c r="W1218" s="37">
        <v>0</v>
      </c>
      <c r="X1218" s="303">
        <v>5</v>
      </c>
      <c r="Y1218" s="37">
        <v>-0.1</v>
      </c>
      <c r="Z1218" s="37">
        <v>0</v>
      </c>
      <c r="AB1218" s="63">
        <f t="shared" si="141"/>
        <v>8.73333333333333</v>
      </c>
      <c r="AC1218" s="37">
        <v>1</v>
      </c>
      <c r="AD1218" s="37">
        <v>1</v>
      </c>
      <c r="AE1218" s="63" t="s">
        <v>4427</v>
      </c>
      <c r="AF1218" s="37">
        <v>0.5</v>
      </c>
      <c r="AN1218" s="311"/>
      <c r="AP1218" s="37">
        <v>4602</v>
      </c>
      <c r="AQ1218" s="37" t="s">
        <v>136</v>
      </c>
      <c r="AU1218" s="37">
        <v>1</v>
      </c>
    </row>
    <row r="1219" s="27" customFormat="1" ht="16.5" spans="1:43">
      <c r="A1219" s="27">
        <v>1215</v>
      </c>
      <c r="B1219" s="27" t="s">
        <v>4428</v>
      </c>
      <c r="D1219" s="27">
        <v>1</v>
      </c>
      <c r="E1219" s="27">
        <v>0</v>
      </c>
      <c r="G1219" s="27">
        <v>1</v>
      </c>
      <c r="H1219" s="502" t="s">
        <v>4429</v>
      </c>
      <c r="I1219" s="27">
        <v>2.33333333333333</v>
      </c>
      <c r="J1219" s="63">
        <f t="shared" ref="J1219:J1232" si="142">I1219</f>
        <v>2.33333333333333</v>
      </c>
      <c r="L1219" s="27">
        <v>1</v>
      </c>
      <c r="M1219" s="27">
        <f t="shared" ref="M1219:M1234" si="143">I1219-0.4</f>
        <v>1.93333333333333</v>
      </c>
      <c r="N1219" s="590" t="s">
        <v>4430</v>
      </c>
      <c r="O1219" s="27">
        <v>1</v>
      </c>
      <c r="P1219" s="27">
        <v>2.5</v>
      </c>
      <c r="Q1219" s="27">
        <v>0</v>
      </c>
      <c r="V1219" s="27">
        <v>1</v>
      </c>
      <c r="W1219" s="27">
        <v>0</v>
      </c>
      <c r="X1219" s="217">
        <v>3</v>
      </c>
      <c r="Y1219" s="27">
        <v>-0.1</v>
      </c>
      <c r="Z1219" s="27">
        <v>0</v>
      </c>
      <c r="AN1219" s="213"/>
      <c r="AP1219" s="604">
        <v>4608</v>
      </c>
      <c r="AQ1219" s="27" t="s">
        <v>136</v>
      </c>
    </row>
    <row r="1220" s="27" customFormat="1" spans="1:47">
      <c r="A1220" s="27">
        <v>1216</v>
      </c>
      <c r="B1220" s="27" t="s">
        <v>4431</v>
      </c>
      <c r="C1220" s="27" t="s">
        <v>4432</v>
      </c>
      <c r="D1220" s="27">
        <v>1</v>
      </c>
      <c r="E1220" s="27">
        <v>0</v>
      </c>
      <c r="G1220" s="27">
        <v>1</v>
      </c>
      <c r="H1220" s="502" t="s">
        <v>4433</v>
      </c>
      <c r="I1220" s="27">
        <v>3.8</v>
      </c>
      <c r="J1220" s="63">
        <f t="shared" si="142"/>
        <v>3.8</v>
      </c>
      <c r="L1220" s="27">
        <v>1</v>
      </c>
      <c r="M1220" s="27">
        <f t="shared" si="143"/>
        <v>3.4</v>
      </c>
      <c r="N1220" s="27" t="s">
        <v>4434</v>
      </c>
      <c r="O1220" s="27">
        <v>1</v>
      </c>
      <c r="P1220" s="27">
        <v>2.5</v>
      </c>
      <c r="Q1220" s="27">
        <v>0</v>
      </c>
      <c r="V1220" s="27">
        <v>1</v>
      </c>
      <c r="W1220" s="27">
        <v>6</v>
      </c>
      <c r="X1220" s="217">
        <v>1</v>
      </c>
      <c r="Y1220" s="27">
        <v>-0.1</v>
      </c>
      <c r="Z1220" s="27">
        <v>0</v>
      </c>
      <c r="AB1220" s="27">
        <f t="shared" si="141"/>
        <v>3.5</v>
      </c>
      <c r="AC1220" s="27">
        <v>1</v>
      </c>
      <c r="AD1220" s="27">
        <v>1</v>
      </c>
      <c r="AE1220" s="27" t="s">
        <v>4435</v>
      </c>
      <c r="AF1220" s="27">
        <v>4</v>
      </c>
      <c r="AN1220" s="213">
        <v>4613</v>
      </c>
      <c r="AO1220" s="27" t="s">
        <v>4436</v>
      </c>
      <c r="AP1220" s="27">
        <v>4612</v>
      </c>
      <c r="AQ1220" s="27" t="s">
        <v>136</v>
      </c>
      <c r="AU1220" s="27">
        <v>1</v>
      </c>
    </row>
    <row r="1221" s="27" customFormat="1" spans="1:47">
      <c r="A1221" s="27">
        <v>1217</v>
      </c>
      <c r="B1221" s="27" t="s">
        <v>4437</v>
      </c>
      <c r="C1221" s="27" t="s">
        <v>4438</v>
      </c>
      <c r="D1221" s="27">
        <v>1</v>
      </c>
      <c r="E1221" s="27">
        <v>0</v>
      </c>
      <c r="G1221" s="27">
        <v>1</v>
      </c>
      <c r="H1221" s="502" t="s">
        <v>4439</v>
      </c>
      <c r="I1221" s="27">
        <v>7.33333333333333</v>
      </c>
      <c r="J1221" s="63">
        <f t="shared" si="142"/>
        <v>7.33333333333333</v>
      </c>
      <c r="L1221" s="27">
        <v>1</v>
      </c>
      <c r="M1221" s="27">
        <f t="shared" si="143"/>
        <v>6.93333333333333</v>
      </c>
      <c r="N1221" s="27" t="s">
        <v>4440</v>
      </c>
      <c r="O1221" s="27">
        <v>1</v>
      </c>
      <c r="P1221" s="27">
        <v>2.5</v>
      </c>
      <c r="Q1221" s="27">
        <v>0</v>
      </c>
      <c r="V1221" s="27">
        <v>1</v>
      </c>
      <c r="W1221" s="27">
        <v>6</v>
      </c>
      <c r="X1221" s="217">
        <v>1</v>
      </c>
      <c r="Y1221" s="27">
        <v>-0.1</v>
      </c>
      <c r="Z1221" s="27">
        <v>0</v>
      </c>
      <c r="AB1221" s="27">
        <f t="shared" ref="AB1221:AB1233" si="144">I1221-0.3</f>
        <v>7.03333333333333</v>
      </c>
      <c r="AC1221" s="27">
        <v>1</v>
      </c>
      <c r="AD1221" s="27">
        <v>1</v>
      </c>
      <c r="AE1221" s="27" t="s">
        <v>4441</v>
      </c>
      <c r="AF1221" s="27">
        <v>4</v>
      </c>
      <c r="AN1221" s="213">
        <v>4627</v>
      </c>
      <c r="AO1221" s="27" t="s">
        <v>4442</v>
      </c>
      <c r="AP1221" s="27">
        <v>4614</v>
      </c>
      <c r="AQ1221" s="27" t="s">
        <v>136</v>
      </c>
      <c r="AU1221" s="27">
        <v>1</v>
      </c>
    </row>
    <row r="1222" s="27" customFormat="1" spans="1:47">
      <c r="A1222" s="27">
        <v>1218</v>
      </c>
      <c r="B1222" s="27" t="s">
        <v>4443</v>
      </c>
      <c r="C1222" s="27" t="s">
        <v>4444</v>
      </c>
      <c r="D1222" s="27">
        <v>1</v>
      </c>
      <c r="E1222" s="27">
        <v>0</v>
      </c>
      <c r="G1222" s="27">
        <v>1</v>
      </c>
      <c r="H1222" s="502" t="s">
        <v>4445</v>
      </c>
      <c r="I1222" s="27">
        <v>5.66666666666667</v>
      </c>
      <c r="J1222" s="63">
        <f t="shared" si="142"/>
        <v>5.66666666666667</v>
      </c>
      <c r="L1222" s="27">
        <v>1</v>
      </c>
      <c r="M1222" s="27">
        <f t="shared" si="143"/>
        <v>5.26666666666667</v>
      </c>
      <c r="N1222" s="27" t="s">
        <v>4446</v>
      </c>
      <c r="O1222" s="27">
        <v>1</v>
      </c>
      <c r="P1222" s="27">
        <v>2.5</v>
      </c>
      <c r="Q1222" s="27">
        <v>0</v>
      </c>
      <c r="V1222" s="27">
        <v>1</v>
      </c>
      <c r="W1222" s="27">
        <v>6</v>
      </c>
      <c r="X1222" s="217">
        <v>1</v>
      </c>
      <c r="Y1222" s="27">
        <v>-0.1</v>
      </c>
      <c r="Z1222" s="27">
        <v>0</v>
      </c>
      <c r="AB1222" s="27">
        <f t="shared" si="144"/>
        <v>5.36666666666667</v>
      </c>
      <c r="AC1222" s="27">
        <v>1</v>
      </c>
      <c r="AD1222" s="27">
        <v>1</v>
      </c>
      <c r="AE1222" s="27" t="s">
        <v>4447</v>
      </c>
      <c r="AF1222" s="27">
        <v>4</v>
      </c>
      <c r="AN1222" s="213"/>
      <c r="AP1222" s="27">
        <v>4615</v>
      </c>
      <c r="AQ1222" s="27" t="s">
        <v>136</v>
      </c>
      <c r="AU1222" s="27">
        <v>1</v>
      </c>
    </row>
    <row r="1223" s="27" customFormat="1" spans="1:47">
      <c r="A1223" s="27">
        <v>1219</v>
      </c>
      <c r="B1223" s="27" t="s">
        <v>4448</v>
      </c>
      <c r="C1223" s="27" t="s">
        <v>4449</v>
      </c>
      <c r="D1223" s="27">
        <v>1</v>
      </c>
      <c r="E1223" s="27">
        <v>0</v>
      </c>
      <c r="G1223" s="27">
        <v>1</v>
      </c>
      <c r="H1223" s="502" t="s">
        <v>4450</v>
      </c>
      <c r="I1223" s="27">
        <v>4.1</v>
      </c>
      <c r="J1223" s="63">
        <f t="shared" si="142"/>
        <v>4.1</v>
      </c>
      <c r="L1223" s="27">
        <v>1</v>
      </c>
      <c r="M1223" s="27">
        <f t="shared" si="143"/>
        <v>3.7</v>
      </c>
      <c r="N1223" s="27" t="s">
        <v>4451</v>
      </c>
      <c r="O1223" s="27">
        <v>1</v>
      </c>
      <c r="P1223" s="27">
        <v>2.5</v>
      </c>
      <c r="Q1223" s="27">
        <v>0</v>
      </c>
      <c r="V1223" s="27">
        <v>1</v>
      </c>
      <c r="W1223" s="27">
        <v>6</v>
      </c>
      <c r="X1223" s="217">
        <v>1</v>
      </c>
      <c r="Y1223" s="27">
        <v>-0.1</v>
      </c>
      <c r="Z1223" s="27">
        <v>0</v>
      </c>
      <c r="AB1223" s="27">
        <f t="shared" si="144"/>
        <v>3.8</v>
      </c>
      <c r="AC1223" s="27">
        <v>1</v>
      </c>
      <c r="AD1223" s="27">
        <v>1</v>
      </c>
      <c r="AE1223" s="27" t="s">
        <v>4452</v>
      </c>
      <c r="AF1223" s="27">
        <v>4</v>
      </c>
      <c r="AN1223" s="213">
        <v>4617</v>
      </c>
      <c r="AO1223" s="27" t="s">
        <v>4436</v>
      </c>
      <c r="AP1223" s="27">
        <v>4616</v>
      </c>
      <c r="AQ1223" s="27" t="s">
        <v>136</v>
      </c>
      <c r="AU1223" s="27">
        <v>1</v>
      </c>
    </row>
    <row r="1224" s="27" customFormat="1" spans="1:47">
      <c r="A1224" s="27">
        <v>1220</v>
      </c>
      <c r="B1224" s="27" t="s">
        <v>4453</v>
      </c>
      <c r="C1224" s="27" t="s">
        <v>4454</v>
      </c>
      <c r="D1224" s="27">
        <v>1</v>
      </c>
      <c r="E1224" s="27">
        <v>0</v>
      </c>
      <c r="G1224" s="27">
        <v>1</v>
      </c>
      <c r="H1224" s="502" t="s">
        <v>4455</v>
      </c>
      <c r="I1224" s="27">
        <v>10.7</v>
      </c>
      <c r="J1224" s="63">
        <f t="shared" si="142"/>
        <v>10.7</v>
      </c>
      <c r="L1224" s="27">
        <v>1</v>
      </c>
      <c r="M1224" s="27">
        <f t="shared" si="143"/>
        <v>10.3</v>
      </c>
      <c r="N1224" s="590" t="s">
        <v>4456</v>
      </c>
      <c r="O1224" s="27">
        <v>1</v>
      </c>
      <c r="P1224" s="27">
        <v>14</v>
      </c>
      <c r="Q1224" s="27">
        <v>0</v>
      </c>
      <c r="V1224" s="27">
        <v>1</v>
      </c>
      <c r="W1224" s="27">
        <v>6</v>
      </c>
      <c r="X1224" s="217">
        <v>1</v>
      </c>
      <c r="Y1224" s="27">
        <v>-0.1</v>
      </c>
      <c r="Z1224" s="27">
        <v>0</v>
      </c>
      <c r="AB1224" s="27">
        <f t="shared" si="144"/>
        <v>10.4</v>
      </c>
      <c r="AC1224" s="27">
        <v>1</v>
      </c>
      <c r="AD1224" s="27">
        <v>1</v>
      </c>
      <c r="AE1224" s="27" t="s">
        <v>4457</v>
      </c>
      <c r="AF1224" s="27">
        <v>0.5</v>
      </c>
      <c r="AN1224" s="213"/>
      <c r="AP1224" s="27">
        <v>4618</v>
      </c>
      <c r="AQ1224" s="27" t="s">
        <v>136</v>
      </c>
      <c r="AU1224" s="27">
        <v>1</v>
      </c>
    </row>
    <row r="1225" s="27" customFormat="1" spans="1:47">
      <c r="A1225" s="27">
        <v>1221</v>
      </c>
      <c r="B1225" s="27" t="s">
        <v>4458</v>
      </c>
      <c r="C1225" s="27" t="s">
        <v>4459</v>
      </c>
      <c r="D1225" s="27">
        <v>1</v>
      </c>
      <c r="E1225" s="27">
        <v>0</v>
      </c>
      <c r="G1225" s="27">
        <v>1</v>
      </c>
      <c r="H1225" s="502" t="s">
        <v>4460</v>
      </c>
      <c r="I1225" s="27">
        <v>10.3333333333333</v>
      </c>
      <c r="J1225" s="63">
        <f t="shared" si="142"/>
        <v>10.3333333333333</v>
      </c>
      <c r="L1225" s="27">
        <v>1</v>
      </c>
      <c r="M1225" s="27">
        <f t="shared" si="143"/>
        <v>9.9333333333333</v>
      </c>
      <c r="N1225" s="590" t="s">
        <v>4461</v>
      </c>
      <c r="O1225" s="27">
        <v>1</v>
      </c>
      <c r="P1225" s="27">
        <v>2.5</v>
      </c>
      <c r="Q1225" s="27">
        <v>0</v>
      </c>
      <c r="V1225" s="27">
        <v>1</v>
      </c>
      <c r="W1225" s="27">
        <v>6</v>
      </c>
      <c r="X1225" s="217">
        <v>2</v>
      </c>
      <c r="Y1225" s="27">
        <v>-0.1</v>
      </c>
      <c r="Z1225" s="27">
        <v>0</v>
      </c>
      <c r="AB1225" s="27">
        <f t="shared" si="144"/>
        <v>10.0333333333333</v>
      </c>
      <c r="AC1225" s="27">
        <v>1</v>
      </c>
      <c r="AD1225" s="27">
        <v>1</v>
      </c>
      <c r="AE1225" s="27" t="s">
        <v>4462</v>
      </c>
      <c r="AF1225" s="27">
        <v>0.5</v>
      </c>
      <c r="AN1225" s="213"/>
      <c r="AP1225" s="27">
        <v>4619</v>
      </c>
      <c r="AQ1225" s="27" t="s">
        <v>136</v>
      </c>
      <c r="AU1225" s="27">
        <v>1</v>
      </c>
    </row>
    <row r="1226" s="27" customFormat="1" spans="1:47">
      <c r="A1226" s="27">
        <v>1222</v>
      </c>
      <c r="B1226" s="27" t="s">
        <v>4463</v>
      </c>
      <c r="C1226" s="27" t="s">
        <v>4464</v>
      </c>
      <c r="D1226" s="27">
        <v>1</v>
      </c>
      <c r="E1226" s="27">
        <v>0</v>
      </c>
      <c r="G1226" s="27">
        <v>1</v>
      </c>
      <c r="H1226" s="502" t="s">
        <v>4465</v>
      </c>
      <c r="I1226" s="27">
        <v>10.8666666666667</v>
      </c>
      <c r="J1226" s="63">
        <f t="shared" si="142"/>
        <v>10.8666666666667</v>
      </c>
      <c r="L1226" s="27">
        <v>1</v>
      </c>
      <c r="M1226" s="27">
        <f t="shared" si="143"/>
        <v>10.4666666666667</v>
      </c>
      <c r="N1226" s="27" t="s">
        <v>4466</v>
      </c>
      <c r="O1226" s="27">
        <v>1</v>
      </c>
      <c r="P1226" s="27">
        <v>2.5</v>
      </c>
      <c r="Q1226" s="27">
        <v>0</v>
      </c>
      <c r="V1226" s="27">
        <v>1</v>
      </c>
      <c r="W1226" s="27">
        <v>6</v>
      </c>
      <c r="X1226" s="217">
        <v>3</v>
      </c>
      <c r="Y1226" s="27">
        <v>-0.1</v>
      </c>
      <c r="Z1226" s="27">
        <v>0</v>
      </c>
      <c r="AB1226" s="27">
        <f t="shared" si="144"/>
        <v>10.5666666666667</v>
      </c>
      <c r="AC1226" s="27">
        <v>1</v>
      </c>
      <c r="AD1226" s="27">
        <v>1</v>
      </c>
      <c r="AE1226" s="27" t="s">
        <v>4467</v>
      </c>
      <c r="AF1226" s="27">
        <v>0.5</v>
      </c>
      <c r="AN1226" s="213">
        <v>4621</v>
      </c>
      <c r="AO1226" s="27" t="s">
        <v>4442</v>
      </c>
      <c r="AP1226" s="27">
        <v>4620</v>
      </c>
      <c r="AQ1226" s="27" t="s">
        <v>136</v>
      </c>
      <c r="AU1226" s="27">
        <v>1</v>
      </c>
    </row>
    <row r="1227" s="61" customFormat="1" spans="1:47">
      <c r="A1227" s="61">
        <v>1223</v>
      </c>
      <c r="B1227" s="61" t="s">
        <v>4468</v>
      </c>
      <c r="C1227" s="61" t="s">
        <v>4432</v>
      </c>
      <c r="D1227" s="61">
        <v>1</v>
      </c>
      <c r="E1227" s="61">
        <v>0</v>
      </c>
      <c r="G1227" s="61">
        <v>1</v>
      </c>
      <c r="H1227" s="582" t="s">
        <v>4433</v>
      </c>
      <c r="I1227" s="61">
        <v>3.8</v>
      </c>
      <c r="J1227" s="63">
        <f t="shared" si="142"/>
        <v>3.8</v>
      </c>
      <c r="L1227" s="61">
        <v>1</v>
      </c>
      <c r="M1227" s="61">
        <f t="shared" si="143"/>
        <v>3.4</v>
      </c>
      <c r="N1227" s="27" t="s">
        <v>4434</v>
      </c>
      <c r="O1227" s="61">
        <v>1</v>
      </c>
      <c r="P1227" s="61">
        <v>2.5</v>
      </c>
      <c r="Q1227" s="61">
        <v>0</v>
      </c>
      <c r="V1227" s="61">
        <v>1</v>
      </c>
      <c r="W1227" s="61">
        <v>0</v>
      </c>
      <c r="X1227" s="575">
        <v>1</v>
      </c>
      <c r="Y1227" s="61">
        <v>-0.1</v>
      </c>
      <c r="Z1227" s="61">
        <v>0</v>
      </c>
      <c r="AB1227" s="61">
        <f t="shared" si="144"/>
        <v>3.5</v>
      </c>
      <c r="AC1227" s="61">
        <v>1</v>
      </c>
      <c r="AD1227" s="61">
        <v>1</v>
      </c>
      <c r="AE1227" s="61" t="s">
        <v>4435</v>
      </c>
      <c r="AF1227" s="61">
        <v>4</v>
      </c>
      <c r="AN1227" s="578">
        <v>4613</v>
      </c>
      <c r="AO1227" s="61" t="s">
        <v>4436</v>
      </c>
      <c r="AP1227" s="61">
        <v>4612</v>
      </c>
      <c r="AQ1227" s="61" t="s">
        <v>136</v>
      </c>
      <c r="AU1227" s="61">
        <v>1</v>
      </c>
    </row>
    <row r="1228" s="61" customFormat="1" spans="1:47">
      <c r="A1228" s="61">
        <v>1224</v>
      </c>
      <c r="B1228" s="61" t="s">
        <v>4469</v>
      </c>
      <c r="C1228" s="61" t="s">
        <v>4438</v>
      </c>
      <c r="D1228" s="61">
        <v>1</v>
      </c>
      <c r="E1228" s="61">
        <v>0</v>
      </c>
      <c r="G1228" s="61">
        <v>1</v>
      </c>
      <c r="H1228" s="582" t="s">
        <v>4439</v>
      </c>
      <c r="I1228" s="61">
        <v>7.33333333333333</v>
      </c>
      <c r="J1228" s="63">
        <f t="shared" si="142"/>
        <v>7.33333333333333</v>
      </c>
      <c r="L1228" s="61">
        <v>1</v>
      </c>
      <c r="M1228" s="61">
        <f t="shared" si="143"/>
        <v>6.93333333333333</v>
      </c>
      <c r="N1228" s="27" t="s">
        <v>4440</v>
      </c>
      <c r="O1228" s="61">
        <v>1</v>
      </c>
      <c r="P1228" s="61">
        <v>2.5</v>
      </c>
      <c r="Q1228" s="61">
        <v>0</v>
      </c>
      <c r="V1228" s="61">
        <v>1</v>
      </c>
      <c r="W1228" s="61">
        <v>0</v>
      </c>
      <c r="X1228" s="575">
        <v>1</v>
      </c>
      <c r="Y1228" s="61">
        <v>-0.1</v>
      </c>
      <c r="Z1228" s="61">
        <v>0</v>
      </c>
      <c r="AB1228" s="61">
        <f t="shared" si="144"/>
        <v>7.03333333333333</v>
      </c>
      <c r="AC1228" s="61">
        <v>1</v>
      </c>
      <c r="AD1228" s="61">
        <v>1</v>
      </c>
      <c r="AE1228" s="61" t="s">
        <v>4441</v>
      </c>
      <c r="AF1228" s="61">
        <v>4</v>
      </c>
      <c r="AN1228" s="578">
        <v>4627</v>
      </c>
      <c r="AO1228" s="61" t="s">
        <v>4442</v>
      </c>
      <c r="AP1228" s="61">
        <v>4614</v>
      </c>
      <c r="AQ1228" s="61" t="s">
        <v>136</v>
      </c>
      <c r="AU1228" s="61">
        <v>1</v>
      </c>
    </row>
    <row r="1229" s="61" customFormat="1" spans="1:47">
      <c r="A1229" s="61">
        <v>1225</v>
      </c>
      <c r="B1229" s="61" t="s">
        <v>4470</v>
      </c>
      <c r="C1229" s="61" t="s">
        <v>4444</v>
      </c>
      <c r="D1229" s="61">
        <v>1</v>
      </c>
      <c r="E1229" s="61">
        <v>0</v>
      </c>
      <c r="G1229" s="61">
        <v>1</v>
      </c>
      <c r="H1229" s="582" t="s">
        <v>4445</v>
      </c>
      <c r="I1229" s="61">
        <v>5.66666666666667</v>
      </c>
      <c r="J1229" s="63">
        <f t="shared" si="142"/>
        <v>5.66666666666667</v>
      </c>
      <c r="L1229" s="61">
        <v>1</v>
      </c>
      <c r="M1229" s="61">
        <f t="shared" si="143"/>
        <v>5.26666666666667</v>
      </c>
      <c r="N1229" s="27" t="s">
        <v>4446</v>
      </c>
      <c r="O1229" s="61">
        <v>1</v>
      </c>
      <c r="P1229" s="61">
        <v>2.5</v>
      </c>
      <c r="Q1229" s="61">
        <v>0</v>
      </c>
      <c r="V1229" s="61">
        <v>1</v>
      </c>
      <c r="W1229" s="61">
        <v>0</v>
      </c>
      <c r="X1229" s="575">
        <v>1</v>
      </c>
      <c r="Y1229" s="61">
        <v>-0.1</v>
      </c>
      <c r="Z1229" s="61">
        <v>0</v>
      </c>
      <c r="AB1229" s="61">
        <f t="shared" si="144"/>
        <v>5.36666666666667</v>
      </c>
      <c r="AC1229" s="61">
        <v>1</v>
      </c>
      <c r="AD1229" s="61">
        <v>1</v>
      </c>
      <c r="AE1229" s="61" t="s">
        <v>4447</v>
      </c>
      <c r="AF1229" s="61">
        <v>4</v>
      </c>
      <c r="AN1229" s="578"/>
      <c r="AP1229" s="61">
        <v>4615</v>
      </c>
      <c r="AQ1229" s="61" t="s">
        <v>136</v>
      </c>
      <c r="AU1229" s="61">
        <v>1</v>
      </c>
    </row>
    <row r="1230" s="61" customFormat="1" spans="1:47">
      <c r="A1230" s="61">
        <v>1226</v>
      </c>
      <c r="B1230" s="61" t="s">
        <v>4471</v>
      </c>
      <c r="C1230" s="61" t="s">
        <v>4449</v>
      </c>
      <c r="D1230" s="61">
        <v>1</v>
      </c>
      <c r="E1230" s="61">
        <v>0</v>
      </c>
      <c r="G1230" s="61">
        <v>1</v>
      </c>
      <c r="H1230" s="582" t="s">
        <v>4450</v>
      </c>
      <c r="I1230" s="61">
        <v>4.1</v>
      </c>
      <c r="J1230" s="63">
        <f t="shared" si="142"/>
        <v>4.1</v>
      </c>
      <c r="L1230" s="61">
        <v>1</v>
      </c>
      <c r="M1230" s="61">
        <f t="shared" si="143"/>
        <v>3.7</v>
      </c>
      <c r="N1230" s="27" t="s">
        <v>4451</v>
      </c>
      <c r="O1230" s="61">
        <v>1</v>
      </c>
      <c r="P1230" s="61">
        <v>2.5</v>
      </c>
      <c r="Q1230" s="61">
        <v>0</v>
      </c>
      <c r="V1230" s="61">
        <v>1</v>
      </c>
      <c r="W1230" s="61">
        <v>0</v>
      </c>
      <c r="X1230" s="575">
        <v>1</v>
      </c>
      <c r="Y1230" s="61">
        <v>-0.1</v>
      </c>
      <c r="Z1230" s="61">
        <v>0</v>
      </c>
      <c r="AB1230" s="61">
        <f t="shared" si="144"/>
        <v>3.8</v>
      </c>
      <c r="AC1230" s="61">
        <v>1</v>
      </c>
      <c r="AD1230" s="61">
        <v>1</v>
      </c>
      <c r="AE1230" s="61" t="s">
        <v>4452</v>
      </c>
      <c r="AF1230" s="61">
        <v>4</v>
      </c>
      <c r="AN1230" s="578">
        <v>4617</v>
      </c>
      <c r="AO1230" s="61" t="s">
        <v>4436</v>
      </c>
      <c r="AP1230" s="61">
        <v>4616</v>
      </c>
      <c r="AQ1230" s="61" t="s">
        <v>136</v>
      </c>
      <c r="AU1230" s="61">
        <v>1</v>
      </c>
    </row>
    <row r="1231" s="61" customFormat="1" spans="1:47">
      <c r="A1231" s="61">
        <v>1227</v>
      </c>
      <c r="B1231" s="61" t="s">
        <v>4472</v>
      </c>
      <c r="C1231" s="61" t="s">
        <v>4454</v>
      </c>
      <c r="D1231" s="61">
        <v>1</v>
      </c>
      <c r="E1231" s="61">
        <v>0</v>
      </c>
      <c r="G1231" s="61">
        <v>1</v>
      </c>
      <c r="H1231" s="582" t="s">
        <v>4455</v>
      </c>
      <c r="I1231" s="61">
        <v>10.7</v>
      </c>
      <c r="J1231" s="63">
        <f t="shared" si="142"/>
        <v>10.7</v>
      </c>
      <c r="L1231" s="61">
        <v>1</v>
      </c>
      <c r="M1231" s="61">
        <f t="shared" si="143"/>
        <v>10.3</v>
      </c>
      <c r="N1231" s="27" t="s">
        <v>4473</v>
      </c>
      <c r="O1231" s="61">
        <v>1</v>
      </c>
      <c r="P1231" s="61">
        <v>14</v>
      </c>
      <c r="Q1231" s="61">
        <v>0</v>
      </c>
      <c r="V1231" s="61">
        <v>1</v>
      </c>
      <c r="W1231" s="61">
        <v>0</v>
      </c>
      <c r="X1231" s="575">
        <v>1</v>
      </c>
      <c r="Y1231" s="61">
        <v>-0.1</v>
      </c>
      <c r="Z1231" s="61">
        <v>0</v>
      </c>
      <c r="AB1231" s="61">
        <f t="shared" si="144"/>
        <v>10.4</v>
      </c>
      <c r="AC1231" s="61">
        <v>1</v>
      </c>
      <c r="AD1231" s="61">
        <v>1</v>
      </c>
      <c r="AE1231" s="61" t="s">
        <v>4457</v>
      </c>
      <c r="AF1231" s="61">
        <v>0.5</v>
      </c>
      <c r="AN1231" s="578"/>
      <c r="AP1231" s="61">
        <v>4618</v>
      </c>
      <c r="AQ1231" s="61" t="s">
        <v>136</v>
      </c>
      <c r="AU1231" s="61">
        <v>1</v>
      </c>
    </row>
    <row r="1232" s="61" customFormat="1" spans="1:47">
      <c r="A1232" s="61">
        <v>1228</v>
      </c>
      <c r="B1232" s="61" t="s">
        <v>4474</v>
      </c>
      <c r="C1232" s="61" t="s">
        <v>4464</v>
      </c>
      <c r="D1232" s="61">
        <v>1</v>
      </c>
      <c r="E1232" s="61">
        <v>0</v>
      </c>
      <c r="G1232" s="61">
        <v>1</v>
      </c>
      <c r="H1232" s="582" t="s">
        <v>4465</v>
      </c>
      <c r="I1232" s="61">
        <v>10.8666666666667</v>
      </c>
      <c r="J1232" s="63">
        <f t="shared" si="142"/>
        <v>10.8666666666667</v>
      </c>
      <c r="L1232" s="61">
        <v>1</v>
      </c>
      <c r="M1232" s="61">
        <f t="shared" si="143"/>
        <v>10.4666666666667</v>
      </c>
      <c r="N1232" s="27" t="s">
        <v>4466</v>
      </c>
      <c r="O1232" s="61">
        <v>1</v>
      </c>
      <c r="P1232" s="61">
        <v>2.5</v>
      </c>
      <c r="Q1232" s="61">
        <v>0</v>
      </c>
      <c r="V1232" s="61">
        <v>1</v>
      </c>
      <c r="W1232" s="61">
        <v>0</v>
      </c>
      <c r="X1232" s="575">
        <v>3</v>
      </c>
      <c r="Y1232" s="61">
        <v>-0.1</v>
      </c>
      <c r="Z1232" s="61">
        <v>0</v>
      </c>
      <c r="AB1232" s="61">
        <f t="shared" si="144"/>
        <v>10.5666666666667</v>
      </c>
      <c r="AC1232" s="61">
        <v>1</v>
      </c>
      <c r="AD1232" s="61">
        <v>1</v>
      </c>
      <c r="AE1232" s="61" t="s">
        <v>4467</v>
      </c>
      <c r="AF1232" s="61">
        <v>0.5</v>
      </c>
      <c r="AN1232" s="578">
        <v>4621</v>
      </c>
      <c r="AO1232" s="61" t="s">
        <v>4442</v>
      </c>
      <c r="AP1232" s="61">
        <v>4620</v>
      </c>
      <c r="AQ1232" s="61" t="s">
        <v>136</v>
      </c>
      <c r="AU1232" s="61">
        <v>1</v>
      </c>
    </row>
    <row r="1233" s="64" customFormat="1" spans="1:43">
      <c r="A1233" s="64">
        <v>1229</v>
      </c>
      <c r="B1233" s="64" t="s">
        <v>4475</v>
      </c>
      <c r="D1233" s="64">
        <v>1</v>
      </c>
      <c r="E1233" s="64">
        <v>0</v>
      </c>
      <c r="G1233" s="64">
        <v>1</v>
      </c>
      <c r="H1233" s="583" t="s">
        <v>4476</v>
      </c>
      <c r="I1233" s="80">
        <f>86/30</f>
        <v>2.86666666666667</v>
      </c>
      <c r="J1233" s="64">
        <f t="shared" ref="J1233:J1252" si="145">I1233</f>
        <v>2.86666666666667</v>
      </c>
      <c r="L1233" s="64">
        <v>1</v>
      </c>
      <c r="M1233" s="64">
        <f t="shared" ref="M1233:M1291" si="146">I1233-0.4</f>
        <v>2.46666666666667</v>
      </c>
      <c r="N1233" s="64" t="s">
        <v>4477</v>
      </c>
      <c r="O1233" s="64">
        <v>1</v>
      </c>
      <c r="P1233" s="64">
        <f>2.5+0.85</f>
        <v>3.35</v>
      </c>
      <c r="Q1233" s="64">
        <v>0</v>
      </c>
      <c r="R1233" s="64">
        <v>1</v>
      </c>
      <c r="S1233" s="64">
        <v>1</v>
      </c>
      <c r="U1233" s="64">
        <v>0.2</v>
      </c>
      <c r="V1233" s="64">
        <v>1</v>
      </c>
      <c r="W1233" s="64">
        <v>0</v>
      </c>
      <c r="X1233" s="595">
        <v>3</v>
      </c>
      <c r="Y1233" s="64">
        <v>-0.1</v>
      </c>
      <c r="Z1233" s="64">
        <v>0</v>
      </c>
      <c r="AB1233" s="64">
        <f t="shared" ref="AB1233:AB1251" si="147">I1233-0.3</f>
        <v>2.56666666666667</v>
      </c>
      <c r="AN1233" s="600"/>
      <c r="AP1233" s="64">
        <v>4632</v>
      </c>
      <c r="AQ1233" s="64" t="s">
        <v>136</v>
      </c>
    </row>
    <row r="1234" s="64" customFormat="1" spans="1:43">
      <c r="A1234" s="64">
        <v>1230</v>
      </c>
      <c r="B1234" s="64" t="s">
        <v>4478</v>
      </c>
      <c r="C1234" s="64" t="s">
        <v>4479</v>
      </c>
      <c r="D1234" s="64">
        <v>1</v>
      </c>
      <c r="E1234" s="64">
        <v>0</v>
      </c>
      <c r="G1234" s="64">
        <v>1</v>
      </c>
      <c r="H1234" s="583" t="s">
        <v>4480</v>
      </c>
      <c r="I1234" s="80">
        <f>68/30</f>
        <v>2.26666666666667</v>
      </c>
      <c r="J1234" s="64">
        <f t="shared" si="145"/>
        <v>2.26666666666667</v>
      </c>
      <c r="L1234" s="64">
        <v>1</v>
      </c>
      <c r="M1234" s="64">
        <f t="shared" si="146"/>
        <v>1.86666666666667</v>
      </c>
      <c r="N1234" s="64" t="s">
        <v>4481</v>
      </c>
      <c r="O1234" s="64">
        <v>1</v>
      </c>
      <c r="P1234" s="64">
        <f t="shared" ref="P1234:P1240" si="148">2.5+0.85</f>
        <v>3.35</v>
      </c>
      <c r="Q1234" s="64">
        <v>0</v>
      </c>
      <c r="R1234" s="64">
        <v>1</v>
      </c>
      <c r="S1234" s="64">
        <v>1</v>
      </c>
      <c r="U1234" s="64">
        <v>0.2</v>
      </c>
      <c r="V1234" s="64">
        <v>1</v>
      </c>
      <c r="W1234" s="64">
        <v>4</v>
      </c>
      <c r="X1234" s="595">
        <v>1</v>
      </c>
      <c r="Y1234" s="64">
        <v>-0.1</v>
      </c>
      <c r="Z1234" s="64">
        <v>0</v>
      </c>
      <c r="AB1234" s="64">
        <f t="shared" si="147"/>
        <v>1.96666666666667</v>
      </c>
      <c r="AN1234" s="600"/>
      <c r="AP1234" s="64">
        <v>4635</v>
      </c>
      <c r="AQ1234" s="64" t="s">
        <v>136</v>
      </c>
    </row>
    <row r="1235" s="64" customFormat="1" spans="1:43">
      <c r="A1235" s="64">
        <v>1231</v>
      </c>
      <c r="B1235" s="64" t="s">
        <v>4482</v>
      </c>
      <c r="C1235" s="64" t="s">
        <v>4483</v>
      </c>
      <c r="D1235" s="64">
        <v>1</v>
      </c>
      <c r="E1235" s="64">
        <v>0</v>
      </c>
      <c r="G1235" s="64">
        <v>1</v>
      </c>
      <c r="H1235" s="583" t="s">
        <v>4484</v>
      </c>
      <c r="I1235" s="80">
        <f>92/30</f>
        <v>3.06666666666667</v>
      </c>
      <c r="J1235" s="64">
        <f t="shared" si="145"/>
        <v>3.06666666666667</v>
      </c>
      <c r="L1235" s="64">
        <v>1</v>
      </c>
      <c r="M1235" s="64">
        <f t="shared" si="146"/>
        <v>2.66666666666667</v>
      </c>
      <c r="N1235" s="64" t="s">
        <v>4485</v>
      </c>
      <c r="O1235" s="64">
        <v>1</v>
      </c>
      <c r="P1235" s="64">
        <f t="shared" si="148"/>
        <v>3.35</v>
      </c>
      <c r="Q1235" s="64">
        <v>0</v>
      </c>
      <c r="R1235" s="64">
        <v>1</v>
      </c>
      <c r="S1235" s="64">
        <v>1</v>
      </c>
      <c r="U1235" s="64">
        <v>0.2</v>
      </c>
      <c r="V1235" s="64">
        <v>1</v>
      </c>
      <c r="W1235" s="64">
        <v>6</v>
      </c>
      <c r="X1235" s="595">
        <v>7</v>
      </c>
      <c r="Y1235" s="64">
        <v>-0.1</v>
      </c>
      <c r="Z1235" s="64">
        <v>0</v>
      </c>
      <c r="AB1235" s="64">
        <f t="shared" si="147"/>
        <v>2.76666666666667</v>
      </c>
      <c r="AN1235" s="600"/>
      <c r="AP1235" s="64">
        <v>4637</v>
      </c>
      <c r="AQ1235" s="64" t="s">
        <v>136</v>
      </c>
    </row>
    <row r="1236" s="64" customFormat="1" spans="1:47">
      <c r="A1236" s="64">
        <v>1232</v>
      </c>
      <c r="B1236" s="64" t="s">
        <v>4486</v>
      </c>
      <c r="C1236" s="64" t="s">
        <v>4487</v>
      </c>
      <c r="D1236" s="64">
        <v>1</v>
      </c>
      <c r="E1236" s="64">
        <v>0</v>
      </c>
      <c r="G1236" s="64">
        <v>1</v>
      </c>
      <c r="H1236" s="583" t="s">
        <v>4488</v>
      </c>
      <c r="I1236" s="80">
        <f>115/30</f>
        <v>3.83333333333333</v>
      </c>
      <c r="J1236" s="64">
        <f t="shared" si="145"/>
        <v>3.83333333333333</v>
      </c>
      <c r="L1236" s="64">
        <v>1</v>
      </c>
      <c r="M1236" s="64">
        <f t="shared" si="146"/>
        <v>3.43333333333333</v>
      </c>
      <c r="N1236" s="64" t="s">
        <v>4489</v>
      </c>
      <c r="O1236" s="64">
        <v>1</v>
      </c>
      <c r="P1236" s="64">
        <f t="shared" si="148"/>
        <v>3.35</v>
      </c>
      <c r="Q1236" s="64">
        <v>0</v>
      </c>
      <c r="V1236" s="64">
        <v>1</v>
      </c>
      <c r="W1236" s="64">
        <v>0</v>
      </c>
      <c r="X1236" s="595">
        <v>4</v>
      </c>
      <c r="Y1236" s="64">
        <v>-0.1</v>
      </c>
      <c r="Z1236" s="64">
        <v>0</v>
      </c>
      <c r="AB1236" s="64">
        <f t="shared" si="147"/>
        <v>3.53333333333333</v>
      </c>
      <c r="AC1236" s="64">
        <v>1</v>
      </c>
      <c r="AD1236" s="64">
        <v>1</v>
      </c>
      <c r="AE1236" s="64" t="s">
        <v>4490</v>
      </c>
      <c r="AF1236" s="64">
        <v>0.5</v>
      </c>
      <c r="AN1236" s="600"/>
      <c r="AP1236" s="64">
        <v>4639</v>
      </c>
      <c r="AQ1236" s="64" t="s">
        <v>136</v>
      </c>
      <c r="AU1236" s="64">
        <v>1</v>
      </c>
    </row>
    <row r="1237" s="64" customFormat="1" spans="1:43">
      <c r="A1237" s="64">
        <v>1233</v>
      </c>
      <c r="B1237" s="64" t="s">
        <v>4491</v>
      </c>
      <c r="C1237" s="64" t="s">
        <v>4492</v>
      </c>
      <c r="D1237" s="64">
        <v>1</v>
      </c>
      <c r="E1237" s="64">
        <v>0</v>
      </c>
      <c r="G1237" s="64">
        <v>1</v>
      </c>
      <c r="H1237" s="583" t="s">
        <v>4493</v>
      </c>
      <c r="I1237" s="80">
        <f>88/30</f>
        <v>2.93333333333333</v>
      </c>
      <c r="J1237" s="64">
        <f t="shared" si="145"/>
        <v>2.93333333333333</v>
      </c>
      <c r="L1237" s="64">
        <v>1</v>
      </c>
      <c r="M1237" s="64">
        <f t="shared" si="146"/>
        <v>2.53333333333333</v>
      </c>
      <c r="N1237" s="64" t="s">
        <v>4494</v>
      </c>
      <c r="O1237" s="64">
        <v>1</v>
      </c>
      <c r="P1237" s="64">
        <f t="shared" si="148"/>
        <v>3.35</v>
      </c>
      <c r="Q1237" s="64">
        <v>0</v>
      </c>
      <c r="R1237" s="64">
        <v>1</v>
      </c>
      <c r="V1237" s="64">
        <v>1</v>
      </c>
      <c r="W1237" s="64">
        <v>0</v>
      </c>
      <c r="X1237" s="595">
        <v>3</v>
      </c>
      <c r="Y1237" s="64">
        <v>-0.1</v>
      </c>
      <c r="Z1237" s="64">
        <v>0</v>
      </c>
      <c r="AB1237" s="64">
        <f t="shared" si="147"/>
        <v>2.63333333333333</v>
      </c>
      <c r="AN1237" s="600"/>
      <c r="AP1237" s="64">
        <v>4640</v>
      </c>
      <c r="AQ1237" s="64" t="s">
        <v>136</v>
      </c>
    </row>
    <row r="1238" s="64" customFormat="1" spans="1:47">
      <c r="A1238" s="64">
        <v>1234</v>
      </c>
      <c r="B1238" s="64" t="s">
        <v>4495</v>
      </c>
      <c r="C1238" s="64" t="s">
        <v>4496</v>
      </c>
      <c r="D1238" s="64">
        <v>1</v>
      </c>
      <c r="E1238" s="64">
        <v>0</v>
      </c>
      <c r="G1238" s="64">
        <v>1</v>
      </c>
      <c r="H1238" s="583" t="s">
        <v>4497</v>
      </c>
      <c r="I1238" s="80">
        <f>368/30</f>
        <v>12.2666666666667</v>
      </c>
      <c r="J1238" s="64">
        <f t="shared" si="145"/>
        <v>12.2666666666667</v>
      </c>
      <c r="L1238" s="64">
        <v>1</v>
      </c>
      <c r="M1238" s="64">
        <f t="shared" si="146"/>
        <v>11.8666666666667</v>
      </c>
      <c r="N1238" s="64" t="s">
        <v>4498</v>
      </c>
      <c r="O1238" s="64">
        <v>1</v>
      </c>
      <c r="P1238" s="64">
        <v>26</v>
      </c>
      <c r="Q1238" s="64">
        <v>0</v>
      </c>
      <c r="V1238" s="64">
        <v>1</v>
      </c>
      <c r="W1238" s="64">
        <v>6</v>
      </c>
      <c r="X1238" s="595">
        <v>1</v>
      </c>
      <c r="Y1238" s="64">
        <v>-0.1</v>
      </c>
      <c r="Z1238" s="64">
        <v>0</v>
      </c>
      <c r="AB1238" s="64">
        <f t="shared" si="147"/>
        <v>11.9666666666667</v>
      </c>
      <c r="AC1238" s="64">
        <v>1</v>
      </c>
      <c r="AD1238" s="64">
        <v>1</v>
      </c>
      <c r="AE1238" s="64" t="s">
        <v>4499</v>
      </c>
      <c r="AF1238" s="64">
        <v>0.5</v>
      </c>
      <c r="AN1238" s="600"/>
      <c r="AP1238" s="64">
        <v>4643</v>
      </c>
      <c r="AQ1238" s="64" t="s">
        <v>136</v>
      </c>
      <c r="AU1238" s="64">
        <v>1</v>
      </c>
    </row>
    <row r="1239" s="64" customFormat="1" spans="1:47">
      <c r="A1239" s="64">
        <v>1235</v>
      </c>
      <c r="B1239" s="64" t="s">
        <v>4500</v>
      </c>
      <c r="C1239" s="64" t="s">
        <v>4501</v>
      </c>
      <c r="D1239" s="64">
        <v>1</v>
      </c>
      <c r="E1239" s="64">
        <v>0</v>
      </c>
      <c r="G1239" s="64">
        <v>1</v>
      </c>
      <c r="H1239" s="583" t="s">
        <v>4502</v>
      </c>
      <c r="I1239" s="80">
        <f>323/30</f>
        <v>10.7666666666667</v>
      </c>
      <c r="J1239" s="64">
        <f t="shared" si="145"/>
        <v>10.7666666666667</v>
      </c>
      <c r="L1239" s="64">
        <v>1</v>
      </c>
      <c r="M1239" s="64">
        <f t="shared" si="146"/>
        <v>10.3666666666667</v>
      </c>
      <c r="N1239" s="64" t="s">
        <v>4503</v>
      </c>
      <c r="O1239" s="64">
        <v>1</v>
      </c>
      <c r="P1239" s="64">
        <v>60</v>
      </c>
      <c r="Q1239" s="64">
        <v>0</v>
      </c>
      <c r="V1239" s="64">
        <v>1</v>
      </c>
      <c r="W1239" s="64">
        <v>6</v>
      </c>
      <c r="X1239" s="595">
        <v>6</v>
      </c>
      <c r="Y1239" s="64">
        <v>-0.1</v>
      </c>
      <c r="Z1239" s="64">
        <v>0</v>
      </c>
      <c r="AB1239" s="64">
        <f t="shared" si="147"/>
        <v>10.4666666666667</v>
      </c>
      <c r="AC1239" s="64">
        <v>1</v>
      </c>
      <c r="AD1239" s="64">
        <v>1</v>
      </c>
      <c r="AE1239" s="64" t="s">
        <v>4504</v>
      </c>
      <c r="AF1239" s="64">
        <v>0.5</v>
      </c>
      <c r="AN1239" s="600"/>
      <c r="AP1239" s="64">
        <v>4644</v>
      </c>
      <c r="AQ1239" s="64" t="s">
        <v>136</v>
      </c>
      <c r="AU1239" s="64">
        <v>1</v>
      </c>
    </row>
    <row r="1240" s="64" customFormat="1" spans="1:47">
      <c r="A1240" s="64">
        <v>1236</v>
      </c>
      <c r="B1240" s="64" t="s">
        <v>4505</v>
      </c>
      <c r="C1240" s="64" t="s">
        <v>4506</v>
      </c>
      <c r="D1240" s="64">
        <v>1</v>
      </c>
      <c r="E1240" s="64">
        <v>0</v>
      </c>
      <c r="G1240" s="64">
        <v>1</v>
      </c>
      <c r="H1240" s="583" t="s">
        <v>4507</v>
      </c>
      <c r="I1240" s="80">
        <f>388/30</f>
        <v>12.9333333333333</v>
      </c>
      <c r="J1240" s="64">
        <f t="shared" si="145"/>
        <v>12.9333333333333</v>
      </c>
      <c r="L1240" s="64">
        <v>1</v>
      </c>
      <c r="M1240" s="64">
        <f t="shared" si="146"/>
        <v>12.5333333333333</v>
      </c>
      <c r="N1240" s="64" t="s">
        <v>4508</v>
      </c>
      <c r="O1240" s="64">
        <v>1</v>
      </c>
      <c r="P1240" s="64">
        <v>114.5</v>
      </c>
      <c r="Q1240" s="64">
        <v>0</v>
      </c>
      <c r="V1240" s="64">
        <v>1</v>
      </c>
      <c r="W1240" s="64">
        <v>6</v>
      </c>
      <c r="X1240" s="595">
        <v>1</v>
      </c>
      <c r="Y1240" s="64">
        <v>-0.1</v>
      </c>
      <c r="Z1240" s="64">
        <v>0</v>
      </c>
      <c r="AB1240" s="64">
        <f t="shared" si="147"/>
        <v>12.6333333333333</v>
      </c>
      <c r="AC1240" s="64">
        <v>1</v>
      </c>
      <c r="AD1240" s="64">
        <v>1</v>
      </c>
      <c r="AE1240" s="64" t="s">
        <v>4509</v>
      </c>
      <c r="AF1240" s="64">
        <v>0.5</v>
      </c>
      <c r="AN1240" s="600"/>
      <c r="AP1240" s="64">
        <v>4645</v>
      </c>
      <c r="AQ1240" s="64" t="s">
        <v>136</v>
      </c>
      <c r="AU1240" s="64">
        <v>1</v>
      </c>
    </row>
    <row r="1241" s="62" customFormat="1" spans="1:47">
      <c r="A1241" s="64">
        <v>1237</v>
      </c>
      <c r="B1241" s="62" t="s">
        <v>4510</v>
      </c>
      <c r="C1241" s="584" t="s">
        <v>4511</v>
      </c>
      <c r="D1241" s="62">
        <v>1</v>
      </c>
      <c r="E1241" s="62">
        <v>0</v>
      </c>
      <c r="G1241" s="62">
        <v>1</v>
      </c>
      <c r="H1241" s="5" t="s">
        <v>4512</v>
      </c>
      <c r="I1241" s="28">
        <v>4.9</v>
      </c>
      <c r="J1241" s="62">
        <f t="shared" si="145"/>
        <v>4.9</v>
      </c>
      <c r="L1241" s="62">
        <v>1</v>
      </c>
      <c r="M1241" s="62">
        <f t="shared" si="146"/>
        <v>4.5</v>
      </c>
      <c r="N1241" s="62" t="s">
        <v>4513</v>
      </c>
      <c r="O1241" s="62">
        <v>1</v>
      </c>
      <c r="P1241" s="62">
        <v>8</v>
      </c>
      <c r="Q1241" s="62">
        <v>0</v>
      </c>
      <c r="V1241" s="62">
        <v>1</v>
      </c>
      <c r="W1241" s="62">
        <v>0</v>
      </c>
      <c r="X1241" s="576">
        <v>1</v>
      </c>
      <c r="Y1241" s="62">
        <v>-0.1</v>
      </c>
      <c r="Z1241" s="62">
        <v>0</v>
      </c>
      <c r="AB1241" s="50">
        <v>4.9</v>
      </c>
      <c r="AC1241" s="62">
        <v>1</v>
      </c>
      <c r="AD1241" s="62">
        <v>1</v>
      </c>
      <c r="AE1241" s="62" t="s">
        <v>4514</v>
      </c>
      <c r="AF1241" s="62">
        <v>0.5</v>
      </c>
      <c r="AN1241" s="62">
        <v>4647</v>
      </c>
      <c r="AO1241" s="62" t="s">
        <v>4515</v>
      </c>
      <c r="AP1241" s="579">
        <v>4646</v>
      </c>
      <c r="AQ1241" s="62" t="s">
        <v>136</v>
      </c>
      <c r="AU1241" s="62">
        <v>1</v>
      </c>
    </row>
    <row r="1242" s="62" customFormat="1" spans="1:47">
      <c r="A1242" s="64">
        <v>1238</v>
      </c>
      <c r="B1242" s="62" t="s">
        <v>4516</v>
      </c>
      <c r="C1242" s="584" t="s">
        <v>4517</v>
      </c>
      <c r="D1242" s="62">
        <v>1</v>
      </c>
      <c r="E1242" s="62">
        <v>0</v>
      </c>
      <c r="G1242" s="62">
        <v>1</v>
      </c>
      <c r="H1242" s="5" t="s">
        <v>4518</v>
      </c>
      <c r="I1242" s="28">
        <f>185/30</f>
        <v>6.16666666666667</v>
      </c>
      <c r="J1242" s="62">
        <f t="shared" si="145"/>
        <v>6.16666666666667</v>
      </c>
      <c r="L1242" s="62">
        <v>1</v>
      </c>
      <c r="M1242" s="62">
        <f t="shared" si="146"/>
        <v>5.76666666666667</v>
      </c>
      <c r="N1242" s="62" t="s">
        <v>4519</v>
      </c>
      <c r="O1242" s="62">
        <v>1</v>
      </c>
      <c r="P1242" s="62">
        <v>4</v>
      </c>
      <c r="Q1242" s="62">
        <v>0</v>
      </c>
      <c r="V1242" s="62">
        <v>1</v>
      </c>
      <c r="W1242" s="62">
        <v>6</v>
      </c>
      <c r="X1242" s="576">
        <v>6</v>
      </c>
      <c r="Y1242" s="62">
        <v>-0.1</v>
      </c>
      <c r="Z1242" s="62">
        <v>0</v>
      </c>
      <c r="AB1242" s="50">
        <f>I1242-0.3</f>
        <v>5.86666666666667</v>
      </c>
      <c r="AC1242" s="62">
        <v>1</v>
      </c>
      <c r="AD1242" s="62">
        <v>1</v>
      </c>
      <c r="AE1242" s="62" t="s">
        <v>4520</v>
      </c>
      <c r="AF1242" s="62">
        <v>0.5</v>
      </c>
      <c r="AN1242" s="311">
        <v>4650</v>
      </c>
      <c r="AO1242" s="37" t="s">
        <v>674</v>
      </c>
      <c r="AP1242" s="62">
        <v>4648</v>
      </c>
      <c r="AQ1242" s="62" t="s">
        <v>136</v>
      </c>
      <c r="AU1242" s="62">
        <v>1</v>
      </c>
    </row>
    <row r="1243" s="62" customFormat="1" spans="1:47">
      <c r="A1243" s="64">
        <v>1239</v>
      </c>
      <c r="B1243" s="62" t="s">
        <v>4521</v>
      </c>
      <c r="C1243" s="584" t="s">
        <v>4522</v>
      </c>
      <c r="D1243" s="62">
        <v>1</v>
      </c>
      <c r="E1243" s="62">
        <v>0</v>
      </c>
      <c r="G1243" s="62">
        <v>1</v>
      </c>
      <c r="H1243" s="405" t="s">
        <v>4523</v>
      </c>
      <c r="I1243" s="28">
        <f>510/30</f>
        <v>17</v>
      </c>
      <c r="J1243" s="62">
        <f t="shared" si="145"/>
        <v>17</v>
      </c>
      <c r="L1243" s="62">
        <v>1</v>
      </c>
      <c r="M1243" s="62">
        <f t="shared" si="146"/>
        <v>16.6</v>
      </c>
      <c r="N1243" s="62" t="s">
        <v>4524</v>
      </c>
      <c r="O1243" s="62">
        <v>1</v>
      </c>
      <c r="P1243" s="62">
        <v>4</v>
      </c>
      <c r="Q1243" s="62">
        <v>0</v>
      </c>
      <c r="V1243" s="62">
        <v>1</v>
      </c>
      <c r="W1243" s="62">
        <v>6</v>
      </c>
      <c r="X1243" s="576">
        <v>1</v>
      </c>
      <c r="Y1243" s="62">
        <v>-0.1</v>
      </c>
      <c r="Z1243" s="62">
        <v>0</v>
      </c>
      <c r="AB1243" s="50">
        <f t="shared" si="147"/>
        <v>16.7</v>
      </c>
      <c r="AC1243" s="62">
        <v>1</v>
      </c>
      <c r="AD1243" s="62">
        <v>1</v>
      </c>
      <c r="AE1243" s="62" t="s">
        <v>4525</v>
      </c>
      <c r="AF1243" s="62">
        <v>0.5</v>
      </c>
      <c r="AN1243" s="311" t="s">
        <v>4526</v>
      </c>
      <c r="AO1243" s="37" t="s">
        <v>4527</v>
      </c>
      <c r="AP1243" s="62">
        <v>4652</v>
      </c>
      <c r="AQ1243" s="62" t="s">
        <v>136</v>
      </c>
      <c r="AU1243" s="62">
        <v>1</v>
      </c>
    </row>
    <row r="1244" s="65" customFormat="1" spans="1:43">
      <c r="A1244" s="65">
        <v>1240</v>
      </c>
      <c r="B1244" s="65" t="s">
        <v>4528</v>
      </c>
      <c r="D1244" s="65">
        <v>1</v>
      </c>
      <c r="E1244" s="65">
        <v>0</v>
      </c>
      <c r="G1244" s="65">
        <v>1</v>
      </c>
      <c r="H1244" s="271" t="s">
        <v>4529</v>
      </c>
      <c r="I1244" s="591">
        <f>78/30</f>
        <v>2.6</v>
      </c>
      <c r="J1244" s="65">
        <f t="shared" si="145"/>
        <v>2.6</v>
      </c>
      <c r="L1244" s="65">
        <v>1</v>
      </c>
      <c r="M1244" s="65">
        <f t="shared" si="146"/>
        <v>2.2</v>
      </c>
      <c r="N1244" s="65" t="s">
        <v>4530</v>
      </c>
      <c r="O1244" s="65">
        <v>1</v>
      </c>
      <c r="P1244" s="65">
        <v>2</v>
      </c>
      <c r="Q1244" s="65">
        <v>0</v>
      </c>
      <c r="V1244" s="65">
        <v>1</v>
      </c>
      <c r="W1244" s="65">
        <v>0</v>
      </c>
      <c r="X1244" s="596">
        <v>3</v>
      </c>
      <c r="Y1244" s="65">
        <v>-0.1</v>
      </c>
      <c r="Z1244" s="65">
        <v>0</v>
      </c>
      <c r="AN1244" s="601">
        <v>4660</v>
      </c>
      <c r="AO1244" s="65" t="s">
        <v>1695</v>
      </c>
      <c r="AP1244" s="65">
        <v>4659</v>
      </c>
      <c r="AQ1244" s="65" t="s">
        <v>136</v>
      </c>
    </row>
    <row r="1245" s="65" customFormat="1" spans="1:43">
      <c r="A1245" s="65">
        <v>1241</v>
      </c>
      <c r="B1245" s="65" t="s">
        <v>4531</v>
      </c>
      <c r="C1245" s="65" t="s">
        <v>4532</v>
      </c>
      <c r="D1245" s="65">
        <v>1</v>
      </c>
      <c r="E1245" s="65">
        <v>0</v>
      </c>
      <c r="G1245" s="65">
        <v>1</v>
      </c>
      <c r="H1245" s="271" t="s">
        <v>4533</v>
      </c>
      <c r="I1245" s="591">
        <f>84/30</f>
        <v>2.8</v>
      </c>
      <c r="J1245" s="65">
        <f t="shared" si="145"/>
        <v>2.8</v>
      </c>
      <c r="L1245" s="65">
        <v>1</v>
      </c>
      <c r="M1245" s="65">
        <f t="shared" si="146"/>
        <v>2.4</v>
      </c>
      <c r="N1245" s="65" t="s">
        <v>4534</v>
      </c>
      <c r="O1245" s="65">
        <v>1</v>
      </c>
      <c r="P1245" s="65">
        <v>2</v>
      </c>
      <c r="Q1245" s="65">
        <v>0</v>
      </c>
      <c r="V1245" s="65">
        <v>1</v>
      </c>
      <c r="W1245" s="65">
        <v>0</v>
      </c>
      <c r="X1245" s="596">
        <v>1</v>
      </c>
      <c r="Y1245" s="65">
        <v>-0.1</v>
      </c>
      <c r="Z1245" s="65">
        <v>0</v>
      </c>
      <c r="AN1245" s="601">
        <v>4664</v>
      </c>
      <c r="AO1245" s="65" t="s">
        <v>1695</v>
      </c>
      <c r="AP1245" s="65">
        <v>4663</v>
      </c>
      <c r="AQ1245" s="65" t="s">
        <v>136</v>
      </c>
    </row>
    <row r="1246" s="65" customFormat="1" spans="1:43">
      <c r="A1246" s="65">
        <v>1242</v>
      </c>
      <c r="B1246" s="65" t="s">
        <v>4535</v>
      </c>
      <c r="C1246" s="65" t="s">
        <v>4536</v>
      </c>
      <c r="D1246" s="65">
        <v>1</v>
      </c>
      <c r="E1246" s="65">
        <v>0</v>
      </c>
      <c r="G1246" s="65">
        <v>1</v>
      </c>
      <c r="H1246" s="271" t="s">
        <v>4537</v>
      </c>
      <c r="I1246" s="591">
        <f>137/30</f>
        <v>4.56666666666667</v>
      </c>
      <c r="J1246" s="65">
        <f t="shared" si="145"/>
        <v>4.56666666666667</v>
      </c>
      <c r="L1246" s="65">
        <v>1</v>
      </c>
      <c r="M1246" s="65">
        <f t="shared" si="146"/>
        <v>4.16666666666667</v>
      </c>
      <c r="N1246" s="65" t="s">
        <v>4538</v>
      </c>
      <c r="O1246" s="65">
        <v>1</v>
      </c>
      <c r="P1246" s="65">
        <v>2</v>
      </c>
      <c r="Q1246" s="65">
        <v>0</v>
      </c>
      <c r="S1246" s="65">
        <v>3</v>
      </c>
      <c r="U1246" s="65">
        <v>1.6</v>
      </c>
      <c r="V1246" s="65">
        <v>1</v>
      </c>
      <c r="W1246" s="65">
        <v>0</v>
      </c>
      <c r="X1246" s="596">
        <v>7</v>
      </c>
      <c r="Y1246" s="65">
        <v>-0.1</v>
      </c>
      <c r="Z1246" s="65">
        <v>0</v>
      </c>
      <c r="AN1246" s="601">
        <v>4667</v>
      </c>
      <c r="AO1246" s="65" t="s">
        <v>1695</v>
      </c>
      <c r="AP1246" s="65">
        <v>4666</v>
      </c>
      <c r="AQ1246" s="65" t="s">
        <v>136</v>
      </c>
    </row>
    <row r="1247" s="65" customFormat="1" spans="1:43">
      <c r="A1247" s="65">
        <v>1243</v>
      </c>
      <c r="B1247" s="65" t="s">
        <v>4539</v>
      </c>
      <c r="C1247" s="65" t="s">
        <v>4540</v>
      </c>
      <c r="D1247" s="65">
        <v>1</v>
      </c>
      <c r="E1247" s="65">
        <v>0</v>
      </c>
      <c r="G1247" s="65">
        <v>1</v>
      </c>
      <c r="H1247" s="271" t="s">
        <v>4541</v>
      </c>
      <c r="I1247" s="591">
        <f>75/30</f>
        <v>2.5</v>
      </c>
      <c r="J1247" s="65">
        <f t="shared" si="145"/>
        <v>2.5</v>
      </c>
      <c r="L1247" s="65">
        <v>1</v>
      </c>
      <c r="M1247" s="65">
        <f t="shared" si="146"/>
        <v>2.1</v>
      </c>
      <c r="N1247" s="65" t="s">
        <v>4542</v>
      </c>
      <c r="O1247" s="65">
        <v>1</v>
      </c>
      <c r="P1247" s="65">
        <v>2</v>
      </c>
      <c r="Q1247" s="65">
        <v>0</v>
      </c>
      <c r="S1247" s="65">
        <v>3</v>
      </c>
      <c r="T1247" s="65">
        <v>1</v>
      </c>
      <c r="U1247" s="65">
        <v>1.5</v>
      </c>
      <c r="V1247" s="65">
        <v>1</v>
      </c>
      <c r="W1247" s="65">
        <v>0</v>
      </c>
      <c r="X1247" s="596">
        <v>1</v>
      </c>
      <c r="Y1247" s="65">
        <v>-0.1</v>
      </c>
      <c r="Z1247" s="65">
        <v>0</v>
      </c>
      <c r="AN1247" s="601" t="s">
        <v>4543</v>
      </c>
      <c r="AO1247" s="65" t="s">
        <v>2288</v>
      </c>
      <c r="AP1247" s="65">
        <v>4669</v>
      </c>
      <c r="AQ1247" s="65" t="s">
        <v>136</v>
      </c>
    </row>
    <row r="1248" s="65" customFormat="1" spans="1:43">
      <c r="A1248" s="65">
        <v>1244</v>
      </c>
      <c r="B1248" s="65" t="s">
        <v>4544</v>
      </c>
      <c r="C1248" s="65" t="s">
        <v>4545</v>
      </c>
      <c r="D1248" s="65">
        <v>2</v>
      </c>
      <c r="E1248" s="65">
        <v>1</v>
      </c>
      <c r="G1248" s="65">
        <v>1</v>
      </c>
      <c r="H1248" s="271" t="s">
        <v>4546</v>
      </c>
      <c r="I1248" s="591">
        <f>72/30</f>
        <v>2.4</v>
      </c>
      <c r="J1248" s="65">
        <f t="shared" si="145"/>
        <v>2.4</v>
      </c>
      <c r="L1248" s="65">
        <v>0</v>
      </c>
      <c r="M1248" s="65">
        <f t="shared" si="146"/>
        <v>2</v>
      </c>
      <c r="N1248" s="65" t="s">
        <v>4547</v>
      </c>
      <c r="O1248" s="65">
        <v>5</v>
      </c>
      <c r="P1248" s="65">
        <v>0</v>
      </c>
      <c r="Q1248" s="65">
        <v>0</v>
      </c>
      <c r="V1248" s="65">
        <v>1000</v>
      </c>
      <c r="W1248" s="65">
        <v>0</v>
      </c>
      <c r="X1248" s="596">
        <v>0</v>
      </c>
      <c r="Y1248" s="65">
        <v>-0.1</v>
      </c>
      <c r="Z1248" s="65">
        <v>0</v>
      </c>
      <c r="AN1248" s="601"/>
      <c r="AP1248" s="65">
        <v>4673</v>
      </c>
      <c r="AQ1248" s="65" t="s">
        <v>136</v>
      </c>
    </row>
    <row r="1249" s="65" customFormat="1" spans="1:47">
      <c r="A1249" s="65">
        <v>1245</v>
      </c>
      <c r="B1249" s="65" t="s">
        <v>4548</v>
      </c>
      <c r="C1249" s="65" t="s">
        <v>4549</v>
      </c>
      <c r="D1249" s="65">
        <v>1</v>
      </c>
      <c r="E1249" s="65">
        <v>0</v>
      </c>
      <c r="G1249" s="65">
        <v>1</v>
      </c>
      <c r="H1249" s="271" t="s">
        <v>4550</v>
      </c>
      <c r="I1249" s="591">
        <f>258/30</f>
        <v>8.6</v>
      </c>
      <c r="J1249" s="65">
        <f t="shared" si="145"/>
        <v>8.6</v>
      </c>
      <c r="L1249" s="65">
        <v>1</v>
      </c>
      <c r="M1249" s="65">
        <f t="shared" si="146"/>
        <v>8.2</v>
      </c>
      <c r="N1249" s="65" t="s">
        <v>4551</v>
      </c>
      <c r="O1249" s="65">
        <v>1</v>
      </c>
      <c r="P1249" s="65">
        <v>26</v>
      </c>
      <c r="Q1249" s="65">
        <v>0</v>
      </c>
      <c r="V1249" s="65">
        <v>1</v>
      </c>
      <c r="W1249" s="65">
        <v>0</v>
      </c>
      <c r="X1249" s="596">
        <v>2</v>
      </c>
      <c r="Y1249" s="65">
        <v>-0.1</v>
      </c>
      <c r="Z1249" s="65">
        <v>0</v>
      </c>
      <c r="AB1249" s="65">
        <f t="shared" si="147"/>
        <v>8.3</v>
      </c>
      <c r="AC1249" s="65">
        <v>1</v>
      </c>
      <c r="AD1249" s="65">
        <v>1</v>
      </c>
      <c r="AE1249" s="65" t="s">
        <v>4552</v>
      </c>
      <c r="AF1249" s="65">
        <v>0.5</v>
      </c>
      <c r="AN1249" s="601"/>
      <c r="AP1249" s="65">
        <v>4674</v>
      </c>
      <c r="AQ1249" s="65" t="s">
        <v>136</v>
      </c>
      <c r="AU1249" s="65">
        <v>1</v>
      </c>
    </row>
    <row r="1250" s="65" customFormat="1" spans="1:47">
      <c r="A1250" s="65">
        <v>1246</v>
      </c>
      <c r="B1250" s="65" t="s">
        <v>4553</v>
      </c>
      <c r="C1250" s="65" t="s">
        <v>4554</v>
      </c>
      <c r="D1250" s="65">
        <v>1</v>
      </c>
      <c r="E1250" s="65">
        <v>0</v>
      </c>
      <c r="G1250" s="65">
        <v>1</v>
      </c>
      <c r="H1250" s="271" t="s">
        <v>4555</v>
      </c>
      <c r="I1250" s="591">
        <f>390/30</f>
        <v>13</v>
      </c>
      <c r="J1250" s="65">
        <f t="shared" si="145"/>
        <v>13</v>
      </c>
      <c r="L1250" s="65">
        <v>1</v>
      </c>
      <c r="M1250" s="65">
        <f t="shared" si="146"/>
        <v>12.6</v>
      </c>
      <c r="N1250" s="65" t="s">
        <v>4556</v>
      </c>
      <c r="O1250" s="65">
        <v>1</v>
      </c>
      <c r="P1250" s="65">
        <v>61</v>
      </c>
      <c r="Q1250" s="65">
        <v>0</v>
      </c>
      <c r="V1250" s="65">
        <v>1</v>
      </c>
      <c r="W1250" s="65">
        <v>0</v>
      </c>
      <c r="X1250" s="596">
        <v>7</v>
      </c>
      <c r="Y1250" s="65">
        <v>-0.1</v>
      </c>
      <c r="Z1250" s="65">
        <v>0</v>
      </c>
      <c r="AB1250" s="65">
        <f>I1250-0.1</f>
        <v>12.9</v>
      </c>
      <c r="AC1250" s="65">
        <v>1</v>
      </c>
      <c r="AD1250" s="65">
        <v>1</v>
      </c>
      <c r="AE1250" s="65" t="s">
        <v>4557</v>
      </c>
      <c r="AF1250" s="65">
        <v>0.5</v>
      </c>
      <c r="AN1250" s="601" t="s">
        <v>4558</v>
      </c>
      <c r="AO1250" s="65" t="s">
        <v>4559</v>
      </c>
      <c r="AP1250" s="65">
        <v>4675</v>
      </c>
      <c r="AQ1250" s="65" t="s">
        <v>136</v>
      </c>
      <c r="AU1250" s="65">
        <v>1</v>
      </c>
    </row>
    <row r="1251" s="65" customFormat="1" spans="1:47">
      <c r="A1251" s="65">
        <v>1247</v>
      </c>
      <c r="B1251" s="65" t="s">
        <v>4560</v>
      </c>
      <c r="C1251" s="65" t="s">
        <v>4561</v>
      </c>
      <c r="D1251" s="65">
        <v>1</v>
      </c>
      <c r="E1251" s="65">
        <v>0</v>
      </c>
      <c r="G1251" s="65">
        <v>1</v>
      </c>
      <c r="H1251" s="271" t="s">
        <v>4562</v>
      </c>
      <c r="I1251" s="591">
        <f>376/30</f>
        <v>12.5333333333333</v>
      </c>
      <c r="J1251" s="65">
        <f t="shared" si="145"/>
        <v>12.5333333333333</v>
      </c>
      <c r="L1251" s="65">
        <v>1</v>
      </c>
      <c r="M1251" s="65">
        <f t="shared" si="146"/>
        <v>12.1333333333333</v>
      </c>
      <c r="N1251" s="65" t="s">
        <v>4563</v>
      </c>
      <c r="O1251" s="65">
        <v>1</v>
      </c>
      <c r="P1251" s="65">
        <v>14.5</v>
      </c>
      <c r="Q1251" s="65">
        <v>0</v>
      </c>
      <c r="V1251" s="65">
        <v>1</v>
      </c>
      <c r="W1251" s="65">
        <v>6</v>
      </c>
      <c r="X1251" s="596">
        <v>1</v>
      </c>
      <c r="Y1251" s="65">
        <v>-0.1</v>
      </c>
      <c r="Z1251" s="65">
        <v>0</v>
      </c>
      <c r="AB1251" s="65">
        <f>I1251-0.1</f>
        <v>12.4333333333333</v>
      </c>
      <c r="AC1251" s="65">
        <v>1</v>
      </c>
      <c r="AD1251" s="65">
        <v>1</v>
      </c>
      <c r="AE1251" s="65" t="s">
        <v>4564</v>
      </c>
      <c r="AF1251" s="65">
        <v>0.5</v>
      </c>
      <c r="AN1251" s="601"/>
      <c r="AP1251" s="65">
        <v>4679</v>
      </c>
      <c r="AQ1251" s="65" t="s">
        <v>136</v>
      </c>
      <c r="AU1251" s="65">
        <v>1</v>
      </c>
    </row>
    <row r="1252" s="65" customFormat="1" spans="1:47">
      <c r="A1252" s="65">
        <v>1248</v>
      </c>
      <c r="B1252" s="65" t="s">
        <v>4565</v>
      </c>
      <c r="C1252" s="65" t="s">
        <v>4549</v>
      </c>
      <c r="D1252" s="65">
        <v>1</v>
      </c>
      <c r="E1252" s="65">
        <v>0</v>
      </c>
      <c r="G1252" s="65">
        <v>1</v>
      </c>
      <c r="H1252" s="271" t="s">
        <v>4550</v>
      </c>
      <c r="I1252" s="591">
        <f>258/30</f>
        <v>8.6</v>
      </c>
      <c r="J1252" s="65">
        <f t="shared" si="145"/>
        <v>8.6</v>
      </c>
      <c r="L1252" s="65">
        <v>1</v>
      </c>
      <c r="M1252" s="65">
        <f t="shared" si="146"/>
        <v>8.2</v>
      </c>
      <c r="N1252" s="65" t="s">
        <v>4551</v>
      </c>
      <c r="O1252" s="65">
        <v>1</v>
      </c>
      <c r="P1252" s="65">
        <v>26</v>
      </c>
      <c r="Q1252" s="65">
        <v>0</v>
      </c>
      <c r="V1252" s="65">
        <v>1</v>
      </c>
      <c r="W1252" s="65">
        <v>6</v>
      </c>
      <c r="X1252" s="596">
        <v>2</v>
      </c>
      <c r="Y1252" s="65">
        <v>-0.1</v>
      </c>
      <c r="Z1252" s="65">
        <v>0</v>
      </c>
      <c r="AB1252" s="65">
        <f>I1252-0.3</f>
        <v>8.3</v>
      </c>
      <c r="AC1252" s="65">
        <v>1</v>
      </c>
      <c r="AD1252" s="65">
        <v>1</v>
      </c>
      <c r="AE1252" s="65" t="s">
        <v>4552</v>
      </c>
      <c r="AF1252" s="65">
        <v>0.5</v>
      </c>
      <c r="AN1252" s="601"/>
      <c r="AP1252" s="65">
        <v>4674</v>
      </c>
      <c r="AQ1252" s="65" t="s">
        <v>136</v>
      </c>
      <c r="AU1252" s="65">
        <v>1</v>
      </c>
    </row>
    <row r="1253" s="28" customFormat="1" ht="16.5" spans="1:45">
      <c r="A1253" s="28">
        <v>1249</v>
      </c>
      <c r="B1253" s="394" t="s">
        <v>3104</v>
      </c>
      <c r="C1253" s="28" t="s">
        <v>4566</v>
      </c>
      <c r="D1253" s="28">
        <v>1</v>
      </c>
      <c r="E1253" s="28">
        <v>0</v>
      </c>
      <c r="G1253" s="28">
        <v>1</v>
      </c>
      <c r="H1253" s="245" t="s">
        <v>4567</v>
      </c>
      <c r="I1253" s="28">
        <f>62/30</f>
        <v>2.06666666666667</v>
      </c>
      <c r="J1253" s="28">
        <f>107/30</f>
        <v>3.56666666666667</v>
      </c>
      <c r="L1253" s="28">
        <v>1</v>
      </c>
      <c r="M1253" s="28">
        <f t="shared" si="146"/>
        <v>1.66666666666667</v>
      </c>
      <c r="N1253" s="28" t="s">
        <v>4568</v>
      </c>
      <c r="O1253" s="28">
        <v>1</v>
      </c>
      <c r="P1253" s="229">
        <v>1.95</v>
      </c>
      <c r="Q1253" s="28">
        <v>0</v>
      </c>
      <c r="S1253" s="28">
        <v>0.5</v>
      </c>
      <c r="T1253" s="28">
        <v>1</v>
      </c>
      <c r="U1253" s="28">
        <v>0.5</v>
      </c>
      <c r="V1253" s="28">
        <v>6</v>
      </c>
      <c r="W1253" s="229">
        <v>6</v>
      </c>
      <c r="X1253" s="218">
        <v>2</v>
      </c>
      <c r="Y1253" s="28">
        <v>-0.1</v>
      </c>
      <c r="Z1253" s="28">
        <v>0</v>
      </c>
      <c r="AE1253" s="599"/>
      <c r="AN1253" s="221"/>
      <c r="AP1253" s="436">
        <v>4688</v>
      </c>
      <c r="AQ1253" s="28" t="s">
        <v>136</v>
      </c>
      <c r="AR1253" s="245"/>
      <c r="AS1253" s="424"/>
    </row>
    <row r="1254" s="28" customFormat="1" ht="16.5" spans="1:45">
      <c r="A1254" s="28">
        <v>1250</v>
      </c>
      <c r="B1254" s="394" t="s">
        <v>3104</v>
      </c>
      <c r="C1254" s="28" t="s">
        <v>4569</v>
      </c>
      <c r="D1254" s="28">
        <v>1</v>
      </c>
      <c r="E1254" s="28">
        <v>0</v>
      </c>
      <c r="G1254" s="28">
        <v>1</v>
      </c>
      <c r="H1254" s="245" t="s">
        <v>4570</v>
      </c>
      <c r="I1254" s="28">
        <f>114/30</f>
        <v>3.8</v>
      </c>
      <c r="J1254" s="28">
        <f>84/30</f>
        <v>2.8</v>
      </c>
      <c r="L1254" s="28">
        <v>1</v>
      </c>
      <c r="M1254" s="28">
        <f t="shared" si="146"/>
        <v>3.4</v>
      </c>
      <c r="N1254" s="28" t="s">
        <v>4571</v>
      </c>
      <c r="O1254" s="28">
        <v>1</v>
      </c>
      <c r="P1254" s="229">
        <v>1.95</v>
      </c>
      <c r="Q1254" s="28">
        <v>0</v>
      </c>
      <c r="S1254" s="28">
        <v>0.5</v>
      </c>
      <c r="T1254" s="28">
        <v>1</v>
      </c>
      <c r="U1254" s="28">
        <v>0.5</v>
      </c>
      <c r="V1254" s="28">
        <v>6</v>
      </c>
      <c r="W1254" s="229">
        <v>6</v>
      </c>
      <c r="X1254" s="218">
        <v>6</v>
      </c>
      <c r="Y1254" s="28">
        <v>-0.1</v>
      </c>
      <c r="Z1254" s="28">
        <v>0</v>
      </c>
      <c r="AE1254" s="599"/>
      <c r="AN1254" s="221"/>
      <c r="AP1254" s="436">
        <v>4690</v>
      </c>
      <c r="AQ1254" s="28" t="s">
        <v>136</v>
      </c>
      <c r="AR1254" s="245"/>
      <c r="AS1254" s="424"/>
    </row>
    <row r="1255" s="28" customFormat="1" ht="17" customHeight="1" spans="1:47">
      <c r="A1255" s="28">
        <v>1251</v>
      </c>
      <c r="B1255" s="394" t="s">
        <v>3104</v>
      </c>
      <c r="C1255" s="28" t="s">
        <v>4572</v>
      </c>
      <c r="D1255" s="28">
        <v>1</v>
      </c>
      <c r="E1255" s="28">
        <v>0</v>
      </c>
      <c r="G1255" s="28">
        <v>1</v>
      </c>
      <c r="H1255" s="245" t="s">
        <v>4573</v>
      </c>
      <c r="I1255" s="28">
        <f>296/30</f>
        <v>9.86666666666667</v>
      </c>
      <c r="J1255" s="28">
        <f>270/30</f>
        <v>9</v>
      </c>
      <c r="L1255" s="28">
        <v>1</v>
      </c>
      <c r="M1255" s="28">
        <f t="shared" si="146"/>
        <v>9.46666666666667</v>
      </c>
      <c r="N1255" s="28" t="s">
        <v>4574</v>
      </c>
      <c r="O1255" s="28">
        <v>1</v>
      </c>
      <c r="P1255" s="229">
        <v>-4.5</v>
      </c>
      <c r="Q1255" s="28">
        <v>0</v>
      </c>
      <c r="V1255" s="28">
        <v>6</v>
      </c>
      <c r="W1255" s="229">
        <v>0</v>
      </c>
      <c r="X1255" s="218">
        <v>6</v>
      </c>
      <c r="Y1255" s="28">
        <v>-0.1</v>
      </c>
      <c r="Z1255" s="28">
        <v>0</v>
      </c>
      <c r="AB1255" s="28">
        <f>I1255-0.1</f>
        <v>9.76666666666667</v>
      </c>
      <c r="AC1255" s="28">
        <v>1</v>
      </c>
      <c r="AD1255" s="28">
        <v>1</v>
      </c>
      <c r="AE1255" s="599" t="s">
        <v>4575</v>
      </c>
      <c r="AF1255" s="28">
        <v>0.5</v>
      </c>
      <c r="AN1255" s="221" t="s">
        <v>4576</v>
      </c>
      <c r="AO1255" s="28" t="s">
        <v>4577</v>
      </c>
      <c r="AP1255" s="436">
        <v>4692</v>
      </c>
      <c r="AQ1255" s="28" t="s">
        <v>136</v>
      </c>
      <c r="AR1255" s="476"/>
      <c r="AS1255" s="424"/>
      <c r="AU1255" s="28">
        <v>1</v>
      </c>
    </row>
    <row r="1256" s="65" customFormat="1" spans="1:43">
      <c r="A1256" s="65">
        <v>1252</v>
      </c>
      <c r="B1256" s="65" t="s">
        <v>4578</v>
      </c>
      <c r="D1256" s="65">
        <v>1</v>
      </c>
      <c r="E1256" s="65">
        <v>0</v>
      </c>
      <c r="G1256" s="65">
        <v>1</v>
      </c>
      <c r="H1256" s="271" t="s">
        <v>4579</v>
      </c>
      <c r="I1256" s="10">
        <f>68/30</f>
        <v>2.26666666666667</v>
      </c>
      <c r="J1256" s="65">
        <f t="shared" ref="J1256:J1277" si="149">I1256</f>
        <v>2.26666666666667</v>
      </c>
      <c r="L1256" s="65">
        <v>1</v>
      </c>
      <c r="M1256" s="65">
        <f t="shared" si="146"/>
        <v>1.86666666666667</v>
      </c>
      <c r="N1256" s="65" t="s">
        <v>4580</v>
      </c>
      <c r="O1256" s="65">
        <v>1</v>
      </c>
      <c r="P1256" s="65">
        <v>2</v>
      </c>
      <c r="Q1256" s="65">
        <v>0</v>
      </c>
      <c r="V1256" s="65">
        <v>1</v>
      </c>
      <c r="W1256" s="65">
        <v>0</v>
      </c>
      <c r="X1256" s="596">
        <v>3</v>
      </c>
      <c r="Y1256" s="65">
        <v>-0.1</v>
      </c>
      <c r="Z1256" s="65">
        <v>0</v>
      </c>
      <c r="AN1256" s="601"/>
      <c r="AP1256" s="65">
        <v>4703</v>
      </c>
      <c r="AQ1256" s="65" t="s">
        <v>136</v>
      </c>
    </row>
    <row r="1257" s="65" customFormat="1" spans="1:43">
      <c r="A1257" s="65">
        <v>1253</v>
      </c>
      <c r="B1257" s="65" t="s">
        <v>4581</v>
      </c>
      <c r="C1257" s="65" t="s">
        <v>4582</v>
      </c>
      <c r="D1257" s="65">
        <v>1</v>
      </c>
      <c r="E1257" s="65">
        <v>0</v>
      </c>
      <c r="G1257" s="65">
        <v>1</v>
      </c>
      <c r="H1257" s="271" t="s">
        <v>4583</v>
      </c>
      <c r="I1257" s="10">
        <f>114/30</f>
        <v>3.8</v>
      </c>
      <c r="J1257" s="65">
        <f t="shared" si="149"/>
        <v>3.8</v>
      </c>
      <c r="L1257" s="65">
        <v>1</v>
      </c>
      <c r="M1257" s="65">
        <f t="shared" si="146"/>
        <v>3.4</v>
      </c>
      <c r="N1257" s="65" t="s">
        <v>4584</v>
      </c>
      <c r="O1257" s="65">
        <v>1</v>
      </c>
      <c r="P1257" s="65">
        <v>2</v>
      </c>
      <c r="Q1257" s="65">
        <v>0</v>
      </c>
      <c r="S1257" s="65">
        <v>0.85</v>
      </c>
      <c r="T1257" s="65">
        <v>0.3</v>
      </c>
      <c r="U1257" s="65">
        <v>0.6</v>
      </c>
      <c r="V1257" s="65">
        <v>1</v>
      </c>
      <c r="W1257" s="65">
        <v>18</v>
      </c>
      <c r="X1257" s="596">
        <v>10</v>
      </c>
      <c r="Y1257" s="65">
        <v>-0.1</v>
      </c>
      <c r="Z1257" s="65">
        <v>0</v>
      </c>
      <c r="AN1257" s="601"/>
      <c r="AP1257" s="65">
        <v>4705</v>
      </c>
      <c r="AQ1257" s="65" t="s">
        <v>136</v>
      </c>
    </row>
    <row r="1258" s="65" customFormat="1" spans="1:43">
      <c r="A1258" s="65">
        <v>1254</v>
      </c>
      <c r="B1258" s="65" t="s">
        <v>4585</v>
      </c>
      <c r="C1258" s="65" t="s">
        <v>4586</v>
      </c>
      <c r="D1258" s="65">
        <v>1</v>
      </c>
      <c r="E1258" s="65">
        <v>0</v>
      </c>
      <c r="G1258" s="65">
        <v>1</v>
      </c>
      <c r="H1258" s="271" t="s">
        <v>4587</v>
      </c>
      <c r="I1258" s="10">
        <f>113/30</f>
        <v>3.76666666666667</v>
      </c>
      <c r="J1258" s="65">
        <f t="shared" si="149"/>
        <v>3.76666666666667</v>
      </c>
      <c r="L1258" s="65">
        <v>1</v>
      </c>
      <c r="M1258" s="65">
        <f t="shared" si="146"/>
        <v>3.36666666666667</v>
      </c>
      <c r="N1258" s="65" t="s">
        <v>4588</v>
      </c>
      <c r="O1258" s="65">
        <v>1</v>
      </c>
      <c r="P1258" s="65">
        <v>2</v>
      </c>
      <c r="Q1258" s="65">
        <v>0</v>
      </c>
      <c r="S1258" s="28">
        <v>0.5</v>
      </c>
      <c r="T1258" s="28">
        <v>0.6</v>
      </c>
      <c r="U1258" s="28"/>
      <c r="V1258" s="65">
        <v>1</v>
      </c>
      <c r="W1258" s="65">
        <v>6</v>
      </c>
      <c r="X1258" s="596">
        <v>1</v>
      </c>
      <c r="Y1258" s="65">
        <v>-0.1</v>
      </c>
      <c r="Z1258" s="65">
        <v>0</v>
      </c>
      <c r="AN1258" s="601"/>
      <c r="AP1258" s="65">
        <v>4706</v>
      </c>
      <c r="AQ1258" s="65" t="s">
        <v>136</v>
      </c>
    </row>
    <row r="1259" s="65" customFormat="1" spans="1:43">
      <c r="A1259" s="65">
        <v>1255</v>
      </c>
      <c r="B1259" s="65" t="s">
        <v>4589</v>
      </c>
      <c r="C1259" s="65" t="s">
        <v>4590</v>
      </c>
      <c r="D1259" s="65">
        <v>1</v>
      </c>
      <c r="E1259" s="65">
        <v>0</v>
      </c>
      <c r="G1259" s="65">
        <v>1</v>
      </c>
      <c r="H1259" s="271" t="s">
        <v>4591</v>
      </c>
      <c r="I1259" s="10">
        <f>79/30</f>
        <v>2.63333333333333</v>
      </c>
      <c r="J1259" s="65">
        <f t="shared" si="149"/>
        <v>2.63333333333333</v>
      </c>
      <c r="L1259" s="65">
        <v>1</v>
      </c>
      <c r="M1259" s="65">
        <f t="shared" si="146"/>
        <v>2.23333333333333</v>
      </c>
      <c r="N1259" s="65" t="s">
        <v>4592</v>
      </c>
      <c r="O1259" s="65">
        <v>1</v>
      </c>
      <c r="P1259" s="65">
        <v>2</v>
      </c>
      <c r="Q1259" s="65">
        <v>0</v>
      </c>
      <c r="S1259" s="65">
        <v>0.85</v>
      </c>
      <c r="T1259" s="65">
        <v>0.3</v>
      </c>
      <c r="V1259" s="65">
        <v>1</v>
      </c>
      <c r="W1259" s="65">
        <v>3</v>
      </c>
      <c r="X1259" s="596">
        <v>2</v>
      </c>
      <c r="Y1259" s="65">
        <v>-0.1</v>
      </c>
      <c r="Z1259" s="65">
        <v>0</v>
      </c>
      <c r="AN1259" s="601"/>
      <c r="AP1259" s="65">
        <v>4708</v>
      </c>
      <c r="AQ1259" s="65" t="s">
        <v>136</v>
      </c>
    </row>
    <row r="1260" s="65" customFormat="1" spans="1:43">
      <c r="A1260" s="65">
        <v>1256</v>
      </c>
      <c r="B1260" s="65" t="s">
        <v>4593</v>
      </c>
      <c r="C1260" s="65" t="s">
        <v>4594</v>
      </c>
      <c r="D1260" s="65">
        <v>1</v>
      </c>
      <c r="E1260" s="65">
        <v>0</v>
      </c>
      <c r="G1260" s="65">
        <v>1</v>
      </c>
      <c r="H1260" s="271" t="s">
        <v>4595</v>
      </c>
      <c r="I1260" s="10">
        <f>104/30</f>
        <v>3.46666666666667</v>
      </c>
      <c r="J1260" s="65">
        <f t="shared" si="149"/>
        <v>3.46666666666667</v>
      </c>
      <c r="L1260" s="65">
        <v>1</v>
      </c>
      <c r="M1260" s="65">
        <f t="shared" si="146"/>
        <v>3.06666666666667</v>
      </c>
      <c r="N1260" s="65" t="s">
        <v>4596</v>
      </c>
      <c r="O1260" s="65">
        <v>1</v>
      </c>
      <c r="P1260" s="65">
        <v>2</v>
      </c>
      <c r="Q1260" s="65">
        <v>0</v>
      </c>
      <c r="V1260" s="65">
        <v>1</v>
      </c>
      <c r="W1260" s="65">
        <v>0</v>
      </c>
      <c r="X1260" s="596">
        <v>3</v>
      </c>
      <c r="Y1260" s="65">
        <v>-0.1</v>
      </c>
      <c r="Z1260" s="65">
        <v>0</v>
      </c>
      <c r="AN1260" s="601"/>
      <c r="AP1260" s="65">
        <v>4710</v>
      </c>
      <c r="AQ1260" s="65" t="s">
        <v>136</v>
      </c>
    </row>
    <row r="1261" s="65" customFormat="1" spans="1:47">
      <c r="A1261" s="65">
        <v>1257</v>
      </c>
      <c r="B1261" s="65" t="s">
        <v>4597</v>
      </c>
      <c r="C1261" s="65" t="s">
        <v>4598</v>
      </c>
      <c r="D1261" s="65">
        <v>1</v>
      </c>
      <c r="E1261" s="65">
        <v>0</v>
      </c>
      <c r="G1261" s="65">
        <v>1</v>
      </c>
      <c r="H1261" s="271" t="s">
        <v>4599</v>
      </c>
      <c r="I1261" s="10">
        <f>310/30</f>
        <v>10.3333333333333</v>
      </c>
      <c r="J1261" s="65">
        <f t="shared" si="149"/>
        <v>10.3333333333333</v>
      </c>
      <c r="L1261" s="65">
        <v>1</v>
      </c>
      <c r="M1261" s="65">
        <f t="shared" si="146"/>
        <v>9.93333333333333</v>
      </c>
      <c r="N1261" s="65" t="s">
        <v>4600</v>
      </c>
      <c r="O1261" s="65">
        <v>1</v>
      </c>
      <c r="P1261" s="65">
        <v>26</v>
      </c>
      <c r="Q1261" s="65">
        <v>0</v>
      </c>
      <c r="V1261" s="65">
        <v>1</v>
      </c>
      <c r="W1261" s="65">
        <v>6</v>
      </c>
      <c r="X1261" s="596">
        <v>2</v>
      </c>
      <c r="Y1261" s="65">
        <v>-0.1</v>
      </c>
      <c r="Z1261" s="65">
        <v>0</v>
      </c>
      <c r="AB1261" s="65">
        <f>I1261-0.3</f>
        <v>10.0333333333333</v>
      </c>
      <c r="AC1261" s="65">
        <v>1</v>
      </c>
      <c r="AD1261" s="65">
        <v>1</v>
      </c>
      <c r="AE1261" s="65" t="s">
        <v>4601</v>
      </c>
      <c r="AF1261" s="65">
        <v>0.5</v>
      </c>
      <c r="AN1261" s="601"/>
      <c r="AP1261" s="65">
        <v>4711</v>
      </c>
      <c r="AQ1261" s="65" t="s">
        <v>136</v>
      </c>
      <c r="AU1261" s="65">
        <v>1</v>
      </c>
    </row>
    <row r="1262" s="65" customFormat="1" spans="1:47">
      <c r="A1262" s="65">
        <v>1258</v>
      </c>
      <c r="B1262" s="65" t="s">
        <v>4602</v>
      </c>
      <c r="C1262" s="65" t="s">
        <v>4603</v>
      </c>
      <c r="D1262" s="65">
        <v>1</v>
      </c>
      <c r="E1262" s="65">
        <v>0</v>
      </c>
      <c r="G1262" s="65">
        <v>1</v>
      </c>
      <c r="H1262" s="271" t="s">
        <v>4604</v>
      </c>
      <c r="I1262" s="10">
        <f>366/30</f>
        <v>12.2</v>
      </c>
      <c r="J1262" s="65">
        <f t="shared" si="149"/>
        <v>12.2</v>
      </c>
      <c r="L1262" s="65">
        <v>1</v>
      </c>
      <c r="M1262" s="65">
        <f t="shared" si="146"/>
        <v>11.8</v>
      </c>
      <c r="N1262" s="65" t="s">
        <v>4605</v>
      </c>
      <c r="O1262" s="65">
        <v>1</v>
      </c>
      <c r="P1262" s="65">
        <v>61</v>
      </c>
      <c r="Q1262" s="65">
        <v>0</v>
      </c>
      <c r="V1262" s="65">
        <v>1</v>
      </c>
      <c r="W1262" s="65">
        <v>6</v>
      </c>
      <c r="X1262" s="596">
        <v>1</v>
      </c>
      <c r="Y1262" s="65">
        <v>-0.1</v>
      </c>
      <c r="Z1262" s="65">
        <v>0</v>
      </c>
      <c r="AB1262" s="65">
        <f>I1262-0.1</f>
        <v>12.1</v>
      </c>
      <c r="AC1262" s="65">
        <v>1</v>
      </c>
      <c r="AD1262" s="65">
        <v>1</v>
      </c>
      <c r="AE1262" s="65" t="s">
        <v>4606</v>
      </c>
      <c r="AF1262" s="65">
        <v>0.5</v>
      </c>
      <c r="AN1262" s="601"/>
      <c r="AP1262" s="65">
        <v>4712</v>
      </c>
      <c r="AQ1262" s="65" t="s">
        <v>136</v>
      </c>
      <c r="AU1262" s="65">
        <v>1</v>
      </c>
    </row>
    <row r="1263" s="65" customFormat="1" spans="1:47">
      <c r="A1263" s="65">
        <v>1259</v>
      </c>
      <c r="B1263" s="65" t="s">
        <v>4607</v>
      </c>
      <c r="C1263" s="65" t="s">
        <v>4608</v>
      </c>
      <c r="D1263" s="65">
        <v>1</v>
      </c>
      <c r="E1263" s="65">
        <v>0</v>
      </c>
      <c r="G1263" s="65">
        <v>1</v>
      </c>
      <c r="H1263" s="271" t="s">
        <v>4609</v>
      </c>
      <c r="I1263" s="10">
        <f>308/30</f>
        <v>10.2666666666667</v>
      </c>
      <c r="J1263" s="65">
        <f t="shared" si="149"/>
        <v>10.2666666666667</v>
      </c>
      <c r="L1263" s="65">
        <v>1</v>
      </c>
      <c r="M1263" s="65">
        <f t="shared" si="146"/>
        <v>9.86666666666667</v>
      </c>
      <c r="N1263" s="65" t="s">
        <v>4610</v>
      </c>
      <c r="O1263" s="65">
        <v>1</v>
      </c>
      <c r="P1263" s="65">
        <v>14.5</v>
      </c>
      <c r="Q1263" s="65">
        <v>0</v>
      </c>
      <c r="V1263" s="65">
        <v>6</v>
      </c>
      <c r="W1263" s="65">
        <v>16</v>
      </c>
      <c r="X1263" s="596">
        <v>5</v>
      </c>
      <c r="Y1263" s="65">
        <v>-0.1</v>
      </c>
      <c r="Z1263" s="65">
        <v>0</v>
      </c>
      <c r="AB1263" s="65">
        <f>I1263-0.1</f>
        <v>10.1666666666667</v>
      </c>
      <c r="AC1263" s="65">
        <v>1</v>
      </c>
      <c r="AD1263" s="65">
        <v>1</v>
      </c>
      <c r="AE1263" s="65" t="s">
        <v>4611</v>
      </c>
      <c r="AF1263" s="65">
        <v>0.5</v>
      </c>
      <c r="AN1263" s="601"/>
      <c r="AP1263" s="65">
        <v>4713</v>
      </c>
      <c r="AQ1263" s="65" t="s">
        <v>136</v>
      </c>
      <c r="AU1263" s="65">
        <v>1</v>
      </c>
    </row>
    <row r="1264" s="66" customFormat="1" spans="1:43">
      <c r="A1264" s="66">
        <v>1260</v>
      </c>
      <c r="B1264" s="66" t="s">
        <v>4612</v>
      </c>
      <c r="D1264" s="66">
        <v>1</v>
      </c>
      <c r="E1264" s="66">
        <v>0</v>
      </c>
      <c r="G1264" s="66">
        <v>1</v>
      </c>
      <c r="H1264" s="585" t="s">
        <v>4613</v>
      </c>
      <c r="I1264" s="592">
        <f>111/30</f>
        <v>3.7</v>
      </c>
      <c r="J1264" s="66">
        <f t="shared" si="149"/>
        <v>3.7</v>
      </c>
      <c r="L1264" s="66">
        <v>1</v>
      </c>
      <c r="M1264" s="66">
        <f t="shared" si="146"/>
        <v>3.3</v>
      </c>
      <c r="N1264" s="66" t="s">
        <v>4614</v>
      </c>
      <c r="O1264" s="66">
        <v>1</v>
      </c>
      <c r="P1264" s="66">
        <v>3</v>
      </c>
      <c r="Q1264" s="66">
        <v>0</v>
      </c>
      <c r="U1264" s="66">
        <v>1</v>
      </c>
      <c r="V1264" s="66">
        <v>1</v>
      </c>
      <c r="W1264" s="66">
        <v>0</v>
      </c>
      <c r="X1264" s="597">
        <v>3</v>
      </c>
      <c r="Y1264" s="66">
        <v>-0.1</v>
      </c>
      <c r="Z1264" s="66">
        <v>0</v>
      </c>
      <c r="AN1264" s="602"/>
      <c r="AP1264" s="66">
        <v>4718</v>
      </c>
      <c r="AQ1264" s="66" t="s">
        <v>136</v>
      </c>
    </row>
    <row r="1265" s="66" customFormat="1" spans="1:43">
      <c r="A1265" s="66">
        <v>1261</v>
      </c>
      <c r="B1265" s="66" t="s">
        <v>4615</v>
      </c>
      <c r="C1265" s="66" t="s">
        <v>4616</v>
      </c>
      <c r="D1265" s="66">
        <v>1</v>
      </c>
      <c r="E1265" s="66">
        <v>0</v>
      </c>
      <c r="G1265" s="66">
        <v>1</v>
      </c>
      <c r="H1265" s="585" t="s">
        <v>4617</v>
      </c>
      <c r="I1265" s="592">
        <f>111/30</f>
        <v>3.7</v>
      </c>
      <c r="J1265" s="66">
        <f t="shared" si="149"/>
        <v>3.7</v>
      </c>
      <c r="L1265" s="66">
        <v>1</v>
      </c>
      <c r="M1265" s="66">
        <f t="shared" si="146"/>
        <v>3.3</v>
      </c>
      <c r="N1265" s="82" t="s">
        <v>4618</v>
      </c>
      <c r="O1265" s="66">
        <v>1</v>
      </c>
      <c r="P1265" s="66">
        <v>3</v>
      </c>
      <c r="Q1265" s="66">
        <v>0</v>
      </c>
      <c r="S1265" s="66">
        <v>0.85</v>
      </c>
      <c r="U1265" s="66">
        <v>1</v>
      </c>
      <c r="V1265" s="66">
        <v>1</v>
      </c>
      <c r="W1265" s="66">
        <v>0</v>
      </c>
      <c r="X1265" s="597">
        <v>2</v>
      </c>
      <c r="Y1265" s="66">
        <v>-0.1</v>
      </c>
      <c r="Z1265" s="66">
        <v>0</v>
      </c>
      <c r="AN1265" s="602"/>
      <c r="AP1265" s="66">
        <v>4720</v>
      </c>
      <c r="AQ1265" s="66" t="s">
        <v>136</v>
      </c>
    </row>
    <row r="1266" s="66" customFormat="1" spans="1:43">
      <c r="A1266" s="66">
        <v>1262</v>
      </c>
      <c r="B1266" s="66" t="s">
        <v>4619</v>
      </c>
      <c r="C1266" s="66" t="s">
        <v>4620</v>
      </c>
      <c r="D1266" s="66">
        <v>2</v>
      </c>
      <c r="E1266" s="66">
        <v>1</v>
      </c>
      <c r="G1266" s="66">
        <v>1</v>
      </c>
      <c r="H1266" s="585" t="s">
        <v>4621</v>
      </c>
      <c r="I1266" s="592">
        <f>69/30</f>
        <v>2.3</v>
      </c>
      <c r="J1266" s="66">
        <v>2.4</v>
      </c>
      <c r="L1266" s="66">
        <v>0</v>
      </c>
      <c r="M1266" s="66">
        <v>2</v>
      </c>
      <c r="N1266" s="66" t="s">
        <v>4622</v>
      </c>
      <c r="O1266" s="66">
        <v>5</v>
      </c>
      <c r="P1266" s="66">
        <v>0</v>
      </c>
      <c r="Q1266" s="66">
        <v>0</v>
      </c>
      <c r="U1266" s="66">
        <v>1</v>
      </c>
      <c r="V1266" s="66">
        <v>1000</v>
      </c>
      <c r="W1266" s="66">
        <v>0</v>
      </c>
      <c r="X1266" s="597">
        <v>0</v>
      </c>
      <c r="Y1266" s="66">
        <v>-0.1</v>
      </c>
      <c r="Z1266" s="66">
        <v>0</v>
      </c>
      <c r="AN1266" s="602"/>
      <c r="AP1266" s="66">
        <v>4722</v>
      </c>
      <c r="AQ1266" s="66" t="s">
        <v>136</v>
      </c>
    </row>
    <row r="1267" s="66" customFormat="1" spans="1:43">
      <c r="A1267" s="66">
        <v>1263</v>
      </c>
      <c r="B1267" s="66" t="s">
        <v>4623</v>
      </c>
      <c r="C1267" s="66" t="s">
        <v>4624</v>
      </c>
      <c r="D1267" s="66">
        <v>1</v>
      </c>
      <c r="E1267" s="66">
        <v>0</v>
      </c>
      <c r="G1267" s="66">
        <v>1</v>
      </c>
      <c r="H1267" s="585" t="s">
        <v>4625</v>
      </c>
      <c r="I1267" s="592">
        <f>75/30</f>
        <v>2.5</v>
      </c>
      <c r="J1267" s="66">
        <f t="shared" si="149"/>
        <v>2.5</v>
      </c>
      <c r="L1267" s="66">
        <v>1</v>
      </c>
      <c r="M1267" s="66">
        <f t="shared" si="146"/>
        <v>2.1</v>
      </c>
      <c r="N1267" s="66" t="s">
        <v>4626</v>
      </c>
      <c r="O1267" s="66">
        <v>1</v>
      </c>
      <c r="P1267" s="66">
        <v>3</v>
      </c>
      <c r="Q1267" s="66">
        <v>0</v>
      </c>
      <c r="S1267" s="28">
        <v>0.5</v>
      </c>
      <c r="T1267" s="28">
        <v>0.6</v>
      </c>
      <c r="U1267" s="66">
        <v>2</v>
      </c>
      <c r="V1267" s="66">
        <v>1</v>
      </c>
      <c r="W1267" s="66">
        <v>6</v>
      </c>
      <c r="X1267" s="597">
        <v>4</v>
      </c>
      <c r="Y1267" s="66">
        <v>-0.1</v>
      </c>
      <c r="Z1267" s="66">
        <v>0</v>
      </c>
      <c r="AN1267" s="602"/>
      <c r="AP1267" s="66">
        <v>4723</v>
      </c>
      <c r="AQ1267" s="66" t="s">
        <v>136</v>
      </c>
    </row>
    <row r="1268" s="66" customFormat="1" spans="1:43">
      <c r="A1268" s="66">
        <v>1264</v>
      </c>
      <c r="B1268" s="66" t="s">
        <v>4627</v>
      </c>
      <c r="C1268" s="66" t="s">
        <v>3769</v>
      </c>
      <c r="D1268" s="66">
        <v>1</v>
      </c>
      <c r="E1268" s="66">
        <v>0</v>
      </c>
      <c r="G1268" s="66">
        <v>1</v>
      </c>
      <c r="H1268" s="585" t="s">
        <v>4628</v>
      </c>
      <c r="I1268" s="592">
        <f>76/30</f>
        <v>2.53333333333333</v>
      </c>
      <c r="J1268" s="66">
        <f t="shared" si="149"/>
        <v>2.53333333333333</v>
      </c>
      <c r="L1268" s="66">
        <v>1</v>
      </c>
      <c r="M1268" s="66">
        <f t="shared" si="146"/>
        <v>2.13333333333333</v>
      </c>
      <c r="N1268" s="66" t="s">
        <v>4629</v>
      </c>
      <c r="O1268" s="66">
        <v>1</v>
      </c>
      <c r="P1268" s="66">
        <v>3</v>
      </c>
      <c r="Q1268" s="66">
        <v>0</v>
      </c>
      <c r="S1268" s="65">
        <v>5</v>
      </c>
      <c r="T1268" s="65"/>
      <c r="U1268" s="65">
        <v>3</v>
      </c>
      <c r="V1268" s="66">
        <v>1</v>
      </c>
      <c r="W1268" s="66">
        <v>8</v>
      </c>
      <c r="X1268" s="597">
        <v>1</v>
      </c>
      <c r="Y1268" s="66">
        <v>-0.1</v>
      </c>
      <c r="Z1268" s="66">
        <v>0</v>
      </c>
      <c r="AN1268" s="602">
        <v>4726</v>
      </c>
      <c r="AO1268" s="66" t="s">
        <v>4630</v>
      </c>
      <c r="AP1268" s="66">
        <v>4725</v>
      </c>
      <c r="AQ1268" s="66" t="s">
        <v>136</v>
      </c>
    </row>
    <row r="1269" s="66" customFormat="1" spans="1:47">
      <c r="A1269" s="66">
        <v>1265</v>
      </c>
      <c r="B1269" s="66" t="s">
        <v>4631</v>
      </c>
      <c r="C1269" s="66" t="s">
        <v>4632</v>
      </c>
      <c r="D1269" s="66">
        <v>1</v>
      </c>
      <c r="E1269" s="66">
        <v>0</v>
      </c>
      <c r="G1269" s="66">
        <v>1</v>
      </c>
      <c r="H1269" s="585" t="s">
        <v>4633</v>
      </c>
      <c r="I1269" s="592">
        <f>329/30</f>
        <v>10.9666666666667</v>
      </c>
      <c r="J1269" s="66">
        <f t="shared" si="149"/>
        <v>10.9666666666667</v>
      </c>
      <c r="L1269" s="66">
        <v>1</v>
      </c>
      <c r="M1269" s="66">
        <f t="shared" si="146"/>
        <v>10.5666666666667</v>
      </c>
      <c r="N1269" s="66" t="s">
        <v>4634</v>
      </c>
      <c r="O1269" s="66">
        <v>1</v>
      </c>
      <c r="P1269" s="66">
        <v>86</v>
      </c>
      <c r="Q1269" s="66">
        <v>0</v>
      </c>
      <c r="V1269" s="66">
        <v>1</v>
      </c>
      <c r="W1269" s="66">
        <v>6</v>
      </c>
      <c r="X1269" s="597">
        <v>3</v>
      </c>
      <c r="Y1269" s="66">
        <v>-0.1</v>
      </c>
      <c r="Z1269" s="66">
        <v>0</v>
      </c>
      <c r="AB1269" s="66">
        <f>I1269-0.3</f>
        <v>10.6666666666667</v>
      </c>
      <c r="AC1269" s="66">
        <v>1</v>
      </c>
      <c r="AD1269" s="66">
        <v>1</v>
      </c>
      <c r="AE1269" s="66" t="s">
        <v>4635</v>
      </c>
      <c r="AF1269" s="66">
        <v>0.5</v>
      </c>
      <c r="AN1269" s="602">
        <v>4729</v>
      </c>
      <c r="AO1269" s="66" t="s">
        <v>674</v>
      </c>
      <c r="AP1269" s="66">
        <v>4728</v>
      </c>
      <c r="AQ1269" s="66" t="s">
        <v>136</v>
      </c>
      <c r="AS1269" s="66" t="s">
        <v>4636</v>
      </c>
      <c r="AU1269" s="66">
        <v>1</v>
      </c>
    </row>
    <row r="1270" s="66" customFormat="1" ht="13" customHeight="1" spans="1:50">
      <c r="A1270" s="66">
        <v>1266</v>
      </c>
      <c r="B1270" s="66" t="s">
        <v>4637</v>
      </c>
      <c r="C1270" s="66" t="s">
        <v>4638</v>
      </c>
      <c r="D1270" s="66">
        <v>1</v>
      </c>
      <c r="E1270" s="66">
        <v>0</v>
      </c>
      <c r="G1270" s="66">
        <v>1</v>
      </c>
      <c r="H1270" s="585" t="s">
        <v>4639</v>
      </c>
      <c r="I1270" s="592">
        <f>265/30</f>
        <v>8.83333333333333</v>
      </c>
      <c r="J1270" s="66">
        <f t="shared" si="149"/>
        <v>8.83333333333333</v>
      </c>
      <c r="L1270" s="66">
        <v>1</v>
      </c>
      <c r="M1270" s="66">
        <f t="shared" si="146"/>
        <v>8.43333333333333</v>
      </c>
      <c r="N1270" s="593" t="s">
        <v>4640</v>
      </c>
      <c r="O1270" s="66">
        <v>1</v>
      </c>
      <c r="P1270" s="66">
        <v>61</v>
      </c>
      <c r="Q1270" s="66">
        <v>0</v>
      </c>
      <c r="V1270" s="66">
        <v>1</v>
      </c>
      <c r="W1270" s="66">
        <v>6</v>
      </c>
      <c r="X1270" s="597">
        <v>1</v>
      </c>
      <c r="Y1270" s="66">
        <v>-0.1</v>
      </c>
      <c r="Z1270" s="66">
        <v>0</v>
      </c>
      <c r="AB1270" s="66">
        <f t="shared" ref="AB1270:AB1272" si="150">I1270-0.1</f>
        <v>8.73333333333333</v>
      </c>
      <c r="AC1270" s="66">
        <v>1</v>
      </c>
      <c r="AD1270" s="66">
        <v>1</v>
      </c>
      <c r="AE1270" s="66" t="s">
        <v>4641</v>
      </c>
      <c r="AF1270" s="66">
        <v>0.5</v>
      </c>
      <c r="AP1270" s="66">
        <v>4739</v>
      </c>
      <c r="AQ1270" s="66" t="s">
        <v>136</v>
      </c>
      <c r="AS1270" s="66" t="s">
        <v>4642</v>
      </c>
      <c r="AU1270" s="66">
        <v>1</v>
      </c>
      <c r="AX1270" s="66">
        <v>1</v>
      </c>
    </row>
    <row r="1271" s="66" customFormat="1" spans="1:47">
      <c r="A1271" s="66">
        <v>1267</v>
      </c>
      <c r="B1271" s="66" t="s">
        <v>4643</v>
      </c>
      <c r="C1271" s="66" t="s">
        <v>3778</v>
      </c>
      <c r="D1271" s="66">
        <v>1</v>
      </c>
      <c r="E1271" s="66">
        <v>0</v>
      </c>
      <c r="G1271" s="66">
        <v>1</v>
      </c>
      <c r="H1271" s="585" t="s">
        <v>4644</v>
      </c>
      <c r="I1271" s="592">
        <f>243/30</f>
        <v>8.1</v>
      </c>
      <c r="J1271" s="66">
        <f t="shared" si="149"/>
        <v>8.1</v>
      </c>
      <c r="L1271" s="66">
        <v>1</v>
      </c>
      <c r="M1271" s="66">
        <f t="shared" si="146"/>
        <v>7.7</v>
      </c>
      <c r="N1271" s="66" t="s">
        <v>4645</v>
      </c>
      <c r="O1271" s="66">
        <v>1</v>
      </c>
      <c r="P1271" s="66">
        <v>14.5</v>
      </c>
      <c r="Q1271" s="66">
        <v>0</v>
      </c>
      <c r="V1271" s="66">
        <v>1</v>
      </c>
      <c r="W1271" s="66">
        <v>6</v>
      </c>
      <c r="X1271" s="597">
        <v>2</v>
      </c>
      <c r="Y1271" s="66">
        <v>-0.1</v>
      </c>
      <c r="Z1271" s="66">
        <v>0</v>
      </c>
      <c r="AB1271" s="66">
        <f t="shared" si="150"/>
        <v>8</v>
      </c>
      <c r="AC1271" s="66">
        <v>1</v>
      </c>
      <c r="AD1271" s="66">
        <v>1</v>
      </c>
      <c r="AE1271" s="66" t="s">
        <v>4646</v>
      </c>
      <c r="AF1271" s="66">
        <v>0.5</v>
      </c>
      <c r="AN1271" s="602" t="s">
        <v>4647</v>
      </c>
      <c r="AO1271" s="66" t="s">
        <v>4648</v>
      </c>
      <c r="AP1271" s="66">
        <v>4730</v>
      </c>
      <c r="AQ1271" s="66" t="s">
        <v>136</v>
      </c>
      <c r="AS1271" s="66" t="s">
        <v>4649</v>
      </c>
      <c r="AU1271" s="66">
        <v>1</v>
      </c>
    </row>
    <row r="1272" s="66" customFormat="1" spans="1:47">
      <c r="A1272" s="66">
        <v>1268</v>
      </c>
      <c r="B1272" s="66" t="s">
        <v>4650</v>
      </c>
      <c r="C1272" s="66" t="s">
        <v>4651</v>
      </c>
      <c r="D1272" s="66">
        <v>1</v>
      </c>
      <c r="E1272" s="66">
        <v>0</v>
      </c>
      <c r="G1272" s="66">
        <v>1</v>
      </c>
      <c r="H1272" s="585" t="s">
        <v>4652</v>
      </c>
      <c r="I1272" s="592">
        <f>457/30</f>
        <v>15.2333333333333</v>
      </c>
      <c r="J1272" s="66">
        <f t="shared" si="149"/>
        <v>15.2333333333333</v>
      </c>
      <c r="L1272" s="66">
        <v>1</v>
      </c>
      <c r="M1272" s="66">
        <f t="shared" si="146"/>
        <v>14.8333333333333</v>
      </c>
      <c r="N1272" s="66" t="s">
        <v>4653</v>
      </c>
      <c r="O1272" s="66">
        <v>1</v>
      </c>
      <c r="P1272" s="66">
        <v>121.5</v>
      </c>
      <c r="Q1272" s="66">
        <v>0</v>
      </c>
      <c r="V1272" s="66">
        <v>1</v>
      </c>
      <c r="W1272" s="66">
        <v>16</v>
      </c>
      <c r="X1272" s="597">
        <v>4</v>
      </c>
      <c r="Y1272" s="66">
        <v>-0.1</v>
      </c>
      <c r="Z1272" s="66">
        <v>0</v>
      </c>
      <c r="AB1272" s="66">
        <f t="shared" si="150"/>
        <v>15.1333333333333</v>
      </c>
      <c r="AC1272" s="66">
        <v>1</v>
      </c>
      <c r="AD1272" s="66">
        <v>1</v>
      </c>
      <c r="AE1272" s="66" t="s">
        <v>4654</v>
      </c>
      <c r="AF1272" s="66">
        <v>0.5</v>
      </c>
      <c r="AN1272" s="602">
        <v>4735</v>
      </c>
      <c r="AO1272" s="66" t="s">
        <v>3760</v>
      </c>
      <c r="AP1272" s="66">
        <v>4733</v>
      </c>
      <c r="AQ1272" s="66" t="s">
        <v>136</v>
      </c>
      <c r="AS1272" s="66" t="s">
        <v>4636</v>
      </c>
      <c r="AU1272" s="66">
        <v>1</v>
      </c>
    </row>
    <row r="1273" s="66" customFormat="1" spans="1:43">
      <c r="A1273" s="66">
        <v>1269</v>
      </c>
      <c r="B1273" s="66" t="s">
        <v>4627</v>
      </c>
      <c r="C1273" s="66" t="s">
        <v>4655</v>
      </c>
      <c r="D1273" s="66">
        <v>1</v>
      </c>
      <c r="E1273" s="66">
        <v>0</v>
      </c>
      <c r="G1273" s="66">
        <v>1</v>
      </c>
      <c r="H1273" s="585" t="s">
        <v>4628</v>
      </c>
      <c r="I1273" s="592">
        <f>76/30</f>
        <v>2.53333333333333</v>
      </c>
      <c r="J1273" s="66">
        <f t="shared" si="149"/>
        <v>2.53333333333333</v>
      </c>
      <c r="L1273" s="66">
        <v>1</v>
      </c>
      <c r="M1273" s="66">
        <f t="shared" si="146"/>
        <v>2.13333333333333</v>
      </c>
      <c r="N1273" s="66" t="s">
        <v>4629</v>
      </c>
      <c r="O1273" s="66">
        <v>1</v>
      </c>
      <c r="P1273" s="66">
        <v>3</v>
      </c>
      <c r="Q1273" s="66">
        <v>0</v>
      </c>
      <c r="S1273" s="65">
        <v>5</v>
      </c>
      <c r="T1273" s="65"/>
      <c r="U1273" s="65">
        <v>3</v>
      </c>
      <c r="V1273" s="66">
        <v>1</v>
      </c>
      <c r="W1273" s="66">
        <v>16</v>
      </c>
      <c r="X1273" s="597">
        <v>1</v>
      </c>
      <c r="Y1273" s="66">
        <v>-0.1</v>
      </c>
      <c r="Z1273" s="66">
        <v>0</v>
      </c>
      <c r="AN1273" s="602">
        <v>4726</v>
      </c>
      <c r="AO1273" s="66" t="s">
        <v>4630</v>
      </c>
      <c r="AP1273" s="66">
        <v>4725</v>
      </c>
      <c r="AQ1273" s="66" t="s">
        <v>136</v>
      </c>
    </row>
    <row r="1274" s="50" customFormat="1" spans="1:43">
      <c r="A1274" s="50">
        <v>1270</v>
      </c>
      <c r="B1274" s="50" t="s">
        <v>3681</v>
      </c>
      <c r="C1274" s="50" t="s">
        <v>4656</v>
      </c>
      <c r="D1274" s="50">
        <v>1</v>
      </c>
      <c r="E1274" s="50">
        <v>0</v>
      </c>
      <c r="G1274" s="50">
        <v>1</v>
      </c>
      <c r="H1274" s="586" t="s">
        <v>4657</v>
      </c>
      <c r="I1274" s="50">
        <f>66/30</f>
        <v>2.2</v>
      </c>
      <c r="J1274" s="50">
        <f t="shared" si="149"/>
        <v>2.2</v>
      </c>
      <c r="L1274" s="50">
        <v>1</v>
      </c>
      <c r="M1274" s="50">
        <f t="shared" si="146"/>
        <v>1.8</v>
      </c>
      <c r="N1274" s="50" t="s">
        <v>4658</v>
      </c>
      <c r="O1274" s="50">
        <v>1</v>
      </c>
      <c r="P1274" s="50">
        <v>4</v>
      </c>
      <c r="Q1274" s="50">
        <v>0</v>
      </c>
      <c r="S1274" s="50">
        <v>0.5</v>
      </c>
      <c r="T1274" s="50">
        <v>0.7</v>
      </c>
      <c r="U1274" s="50">
        <v>2</v>
      </c>
      <c r="V1274" s="50">
        <v>1</v>
      </c>
      <c r="W1274" s="50">
        <v>4</v>
      </c>
      <c r="X1274" s="466">
        <v>1</v>
      </c>
      <c r="Y1274" s="50">
        <v>-0.1</v>
      </c>
      <c r="Z1274" s="50">
        <v>0</v>
      </c>
      <c r="AN1274" s="469"/>
      <c r="AP1274" s="50">
        <v>4740</v>
      </c>
      <c r="AQ1274" s="50" t="s">
        <v>136</v>
      </c>
    </row>
    <row r="1275" s="50" customFormat="1" spans="1:43">
      <c r="A1275" s="50">
        <v>1271</v>
      </c>
      <c r="B1275" s="50" t="s">
        <v>3681</v>
      </c>
      <c r="C1275" s="50" t="s">
        <v>4659</v>
      </c>
      <c r="D1275" s="50">
        <v>1</v>
      </c>
      <c r="E1275" s="50">
        <v>0</v>
      </c>
      <c r="G1275" s="50">
        <v>1</v>
      </c>
      <c r="H1275" s="586" t="s">
        <v>4660</v>
      </c>
      <c r="I1275" s="50">
        <f>114/30</f>
        <v>3.8</v>
      </c>
      <c r="J1275" s="50">
        <f t="shared" si="149"/>
        <v>3.8</v>
      </c>
      <c r="L1275" s="50">
        <v>1</v>
      </c>
      <c r="M1275" s="50">
        <f t="shared" si="146"/>
        <v>3.4</v>
      </c>
      <c r="N1275" s="50" t="s">
        <v>4661</v>
      </c>
      <c r="O1275" s="50">
        <v>1</v>
      </c>
      <c r="P1275" s="50">
        <v>4</v>
      </c>
      <c r="Q1275" s="50">
        <v>0</v>
      </c>
      <c r="U1275" s="50">
        <v>2</v>
      </c>
      <c r="V1275" s="50">
        <v>1</v>
      </c>
      <c r="W1275" s="50">
        <v>7</v>
      </c>
      <c r="X1275" s="466">
        <v>5</v>
      </c>
      <c r="Y1275" s="50">
        <v>-0.1</v>
      </c>
      <c r="Z1275" s="50">
        <v>0</v>
      </c>
      <c r="AN1275" s="469"/>
      <c r="AP1275" s="50">
        <v>4742</v>
      </c>
      <c r="AQ1275" s="50" t="s">
        <v>136</v>
      </c>
    </row>
    <row r="1276" s="50" customFormat="1" spans="1:47">
      <c r="A1276" s="50">
        <v>1272</v>
      </c>
      <c r="B1276" s="50" t="s">
        <v>3681</v>
      </c>
      <c r="C1276" s="50" t="s">
        <v>4662</v>
      </c>
      <c r="D1276" s="50">
        <v>1</v>
      </c>
      <c r="E1276" s="50">
        <v>0</v>
      </c>
      <c r="G1276" s="50">
        <v>1</v>
      </c>
      <c r="H1276" s="586" t="s">
        <v>4663</v>
      </c>
      <c r="I1276" s="50">
        <f>306/30</f>
        <v>10.2</v>
      </c>
      <c r="J1276" s="50">
        <f t="shared" si="149"/>
        <v>10.2</v>
      </c>
      <c r="L1276" s="50">
        <v>1</v>
      </c>
      <c r="M1276" s="50">
        <f t="shared" si="146"/>
        <v>9.8</v>
      </c>
      <c r="N1276" s="50" t="s">
        <v>4664</v>
      </c>
      <c r="O1276" s="50">
        <v>1</v>
      </c>
      <c r="P1276" s="50">
        <v>68</v>
      </c>
      <c r="Q1276" s="50">
        <v>0</v>
      </c>
      <c r="V1276" s="50">
        <v>1</v>
      </c>
      <c r="W1276" s="50">
        <v>0</v>
      </c>
      <c r="X1276" s="466">
        <v>6</v>
      </c>
      <c r="Y1276" s="50">
        <v>-0.1</v>
      </c>
      <c r="Z1276" s="50">
        <v>0</v>
      </c>
      <c r="AB1276" s="50">
        <f>I1276-0.3</f>
        <v>9.9</v>
      </c>
      <c r="AC1276" s="50">
        <v>2</v>
      </c>
      <c r="AD1276" s="50">
        <v>1</v>
      </c>
      <c r="AE1276" s="50" t="s">
        <v>4665</v>
      </c>
      <c r="AF1276" s="50">
        <v>0.5</v>
      </c>
      <c r="AN1276" s="469"/>
      <c r="AP1276" s="50">
        <v>4744</v>
      </c>
      <c r="AQ1276" s="50" t="s">
        <v>136</v>
      </c>
      <c r="AU1276" s="50">
        <v>1</v>
      </c>
    </row>
    <row r="1277" s="63" customFormat="1" spans="1:44">
      <c r="A1277" s="587">
        <v>1273</v>
      </c>
      <c r="B1277" s="587" t="s">
        <v>4666</v>
      </c>
      <c r="C1277" s="587" t="s">
        <v>4667</v>
      </c>
      <c r="D1277" s="63">
        <v>1</v>
      </c>
      <c r="E1277" s="63">
        <v>0</v>
      </c>
      <c r="F1277" s="587"/>
      <c r="G1277" s="587">
        <v>1</v>
      </c>
      <c r="H1277" s="573" t="s">
        <v>4668</v>
      </c>
      <c r="I1277" s="63">
        <f>92/30</f>
        <v>3.06666666666667</v>
      </c>
      <c r="J1277" s="63">
        <f t="shared" si="149"/>
        <v>3.06666666666667</v>
      </c>
      <c r="K1277" s="587"/>
      <c r="L1277" s="63">
        <v>1</v>
      </c>
      <c r="M1277" s="63">
        <f t="shared" si="146"/>
        <v>2.66666666666667</v>
      </c>
      <c r="N1277" s="63" t="s">
        <v>4669</v>
      </c>
      <c r="O1277" s="63">
        <v>1</v>
      </c>
      <c r="P1277" s="63">
        <v>3</v>
      </c>
      <c r="Q1277" s="63">
        <v>0</v>
      </c>
      <c r="V1277" s="63">
        <v>1</v>
      </c>
      <c r="W1277" s="63">
        <v>0</v>
      </c>
      <c r="X1277" s="577">
        <v>7</v>
      </c>
      <c r="Y1277" s="63">
        <v>-0.1</v>
      </c>
      <c r="Z1277" s="63">
        <v>0</v>
      </c>
      <c r="AN1277" s="581"/>
      <c r="AP1277" s="581">
        <v>4755</v>
      </c>
      <c r="AQ1277" s="63" t="s">
        <v>136</v>
      </c>
      <c r="AR1277" s="605"/>
    </row>
    <row r="1278" s="63" customFormat="1" spans="1:44">
      <c r="A1278" s="587">
        <v>1274</v>
      </c>
      <c r="B1278" s="587" t="s">
        <v>4670</v>
      </c>
      <c r="C1278" s="587" t="s">
        <v>4671</v>
      </c>
      <c r="D1278" s="63">
        <v>1</v>
      </c>
      <c r="E1278" s="63">
        <v>0</v>
      </c>
      <c r="F1278" s="587"/>
      <c r="G1278" s="587">
        <v>1</v>
      </c>
      <c r="H1278" s="573" t="s">
        <v>4672</v>
      </c>
      <c r="I1278" s="63">
        <f t="shared" ref="I1278:I1282" si="151">117/30</f>
        <v>3.9</v>
      </c>
      <c r="J1278" s="63">
        <f t="shared" ref="J1278:J1310" si="152">I1278</f>
        <v>3.9</v>
      </c>
      <c r="K1278" s="587"/>
      <c r="L1278" s="63">
        <v>1</v>
      </c>
      <c r="M1278" s="63">
        <f t="shared" ref="M1278:M1310" si="153">I1278-0.4</f>
        <v>3.5</v>
      </c>
      <c r="N1278" s="63" t="s">
        <v>4673</v>
      </c>
      <c r="O1278" s="63">
        <v>1</v>
      </c>
      <c r="P1278" s="63">
        <v>3</v>
      </c>
      <c r="Q1278" s="63">
        <v>0</v>
      </c>
      <c r="S1278" s="63">
        <v>4</v>
      </c>
      <c r="U1278" s="63">
        <v>1.5</v>
      </c>
      <c r="V1278" s="63">
        <v>1</v>
      </c>
      <c r="W1278" s="63">
        <v>0</v>
      </c>
      <c r="X1278" s="577">
        <v>2</v>
      </c>
      <c r="Y1278" s="63">
        <v>-0.1</v>
      </c>
      <c r="Z1278" s="63">
        <v>0</v>
      </c>
      <c r="AN1278" s="574"/>
      <c r="AP1278" s="63">
        <v>4758</v>
      </c>
      <c r="AQ1278" s="63" t="s">
        <v>136</v>
      </c>
      <c r="AR1278" s="605"/>
    </row>
    <row r="1279" s="63" customFormat="1" spans="1:44">
      <c r="A1279" s="587">
        <v>1275</v>
      </c>
      <c r="B1279" s="587" t="s">
        <v>4674</v>
      </c>
      <c r="C1279" s="587" t="s">
        <v>3938</v>
      </c>
      <c r="D1279" s="63">
        <v>1</v>
      </c>
      <c r="E1279" s="63">
        <v>0</v>
      </c>
      <c r="F1279" s="587"/>
      <c r="G1279" s="587">
        <v>1</v>
      </c>
      <c r="H1279" s="573" t="s">
        <v>4675</v>
      </c>
      <c r="I1279" s="63">
        <f t="shared" si="151"/>
        <v>3.9</v>
      </c>
      <c r="J1279" s="63">
        <f t="shared" si="152"/>
        <v>3.9</v>
      </c>
      <c r="K1279" s="587"/>
      <c r="L1279" s="63">
        <v>1</v>
      </c>
      <c r="M1279" s="63">
        <f t="shared" si="153"/>
        <v>3.5</v>
      </c>
      <c r="N1279" s="594" t="s">
        <v>4676</v>
      </c>
      <c r="O1279" s="63">
        <v>1</v>
      </c>
      <c r="P1279" s="63">
        <v>3</v>
      </c>
      <c r="Q1279" s="63">
        <v>0</v>
      </c>
      <c r="S1279" s="63">
        <v>5</v>
      </c>
      <c r="U1279" s="63">
        <v>1.5</v>
      </c>
      <c r="V1279" s="63">
        <v>1</v>
      </c>
      <c r="W1279" s="63">
        <v>0</v>
      </c>
      <c r="X1279" s="577">
        <v>2</v>
      </c>
      <c r="Y1279" s="63">
        <v>-0.1</v>
      </c>
      <c r="Z1279" s="63">
        <v>0</v>
      </c>
      <c r="AN1279" s="581"/>
      <c r="AP1279" s="63">
        <v>4761</v>
      </c>
      <c r="AQ1279" s="63" t="s">
        <v>136</v>
      </c>
      <c r="AR1279" s="605"/>
    </row>
    <row r="1280" s="67" customFormat="1" spans="1:47">
      <c r="A1280" s="587">
        <v>1276</v>
      </c>
      <c r="B1280" s="588" t="s">
        <v>4677</v>
      </c>
      <c r="C1280" s="588" t="s">
        <v>4678</v>
      </c>
      <c r="D1280" s="67">
        <v>1</v>
      </c>
      <c r="E1280" s="67">
        <v>0</v>
      </c>
      <c r="F1280" s="588"/>
      <c r="G1280" s="588">
        <v>1</v>
      </c>
      <c r="H1280" s="589" t="s">
        <v>4679</v>
      </c>
      <c r="I1280" s="63">
        <f>470/30</f>
        <v>15.6666666666667</v>
      </c>
      <c r="J1280" s="63">
        <f t="shared" si="152"/>
        <v>15.6666666666667</v>
      </c>
      <c r="K1280" s="588"/>
      <c r="L1280" s="67">
        <v>1</v>
      </c>
      <c r="M1280" s="63">
        <f t="shared" si="153"/>
        <v>15.2666666666667</v>
      </c>
      <c r="N1280" s="63" t="s">
        <v>4680</v>
      </c>
      <c r="O1280" s="67">
        <v>1</v>
      </c>
      <c r="P1280" s="67">
        <v>10</v>
      </c>
      <c r="Q1280" s="67">
        <v>0</v>
      </c>
      <c r="V1280" s="67">
        <v>1</v>
      </c>
      <c r="W1280" s="67">
        <v>6</v>
      </c>
      <c r="X1280" s="598">
        <v>1</v>
      </c>
      <c r="Y1280" s="67">
        <v>-0.1</v>
      </c>
      <c r="Z1280" s="67">
        <v>0</v>
      </c>
      <c r="AC1280" s="67">
        <v>1</v>
      </c>
      <c r="AD1280" s="67">
        <v>1</v>
      </c>
      <c r="AE1280" s="67" t="s">
        <v>4681</v>
      </c>
      <c r="AF1280" s="67">
        <v>0.5</v>
      </c>
      <c r="AN1280" s="603"/>
      <c r="AP1280" s="63">
        <v>4762</v>
      </c>
      <c r="AQ1280" s="63" t="s">
        <v>136</v>
      </c>
      <c r="AR1280" s="606"/>
      <c r="AS1280" s="67" t="s">
        <v>4682</v>
      </c>
      <c r="AU1280" s="67">
        <v>1</v>
      </c>
    </row>
    <row r="1281" s="63" customFormat="1" spans="1:44">
      <c r="A1281" s="587">
        <v>1277</v>
      </c>
      <c r="B1281" s="587" t="s">
        <v>4683</v>
      </c>
      <c r="C1281" s="587" t="s">
        <v>4671</v>
      </c>
      <c r="D1281" s="63">
        <v>1</v>
      </c>
      <c r="E1281" s="63">
        <v>0</v>
      </c>
      <c r="F1281" s="587"/>
      <c r="G1281" s="587">
        <v>1</v>
      </c>
      <c r="H1281" s="573" t="s">
        <v>4684</v>
      </c>
      <c r="I1281" s="63">
        <f t="shared" si="151"/>
        <v>3.9</v>
      </c>
      <c r="J1281" s="63">
        <f t="shared" si="152"/>
        <v>3.9</v>
      </c>
      <c r="K1281" s="587"/>
      <c r="L1281" s="63">
        <v>1</v>
      </c>
      <c r="M1281" s="63">
        <f t="shared" si="153"/>
        <v>3.5</v>
      </c>
      <c r="N1281" s="63" t="s">
        <v>4685</v>
      </c>
      <c r="O1281" s="63">
        <v>1</v>
      </c>
      <c r="P1281" s="63">
        <v>3</v>
      </c>
      <c r="Q1281" s="63">
        <v>0</v>
      </c>
      <c r="S1281" s="63">
        <v>4</v>
      </c>
      <c r="U1281" s="63">
        <v>1.5</v>
      </c>
      <c r="V1281" s="63">
        <v>1</v>
      </c>
      <c r="W1281" s="63">
        <v>0</v>
      </c>
      <c r="X1281" s="577">
        <v>3</v>
      </c>
      <c r="Y1281" s="63">
        <v>-0.1</v>
      </c>
      <c r="Z1281" s="63">
        <v>0</v>
      </c>
      <c r="AN1281" s="574"/>
      <c r="AP1281" s="63">
        <v>4763</v>
      </c>
      <c r="AQ1281" s="63" t="s">
        <v>136</v>
      </c>
      <c r="AR1281" s="605"/>
    </row>
    <row r="1282" s="63" customFormat="1" spans="1:44">
      <c r="A1282" s="587">
        <v>1278</v>
      </c>
      <c r="B1282" s="587" t="s">
        <v>4686</v>
      </c>
      <c r="C1282" s="587" t="s">
        <v>3938</v>
      </c>
      <c r="D1282" s="63">
        <v>1</v>
      </c>
      <c r="E1282" s="63">
        <v>0</v>
      </c>
      <c r="F1282" s="587"/>
      <c r="G1282" s="587">
        <v>1</v>
      </c>
      <c r="H1282" s="573" t="s">
        <v>4687</v>
      </c>
      <c r="I1282" s="63">
        <f t="shared" si="151"/>
        <v>3.9</v>
      </c>
      <c r="J1282" s="63">
        <f t="shared" si="152"/>
        <v>3.9</v>
      </c>
      <c r="K1282" s="587"/>
      <c r="L1282" s="63">
        <v>1</v>
      </c>
      <c r="M1282" s="63">
        <f t="shared" si="153"/>
        <v>3.5</v>
      </c>
      <c r="N1282" s="63" t="s">
        <v>4688</v>
      </c>
      <c r="O1282" s="63">
        <v>1</v>
      </c>
      <c r="P1282" s="63">
        <v>3</v>
      </c>
      <c r="Q1282" s="63">
        <v>0</v>
      </c>
      <c r="S1282" s="63">
        <v>5</v>
      </c>
      <c r="U1282" s="63">
        <v>2</v>
      </c>
      <c r="V1282" s="63">
        <v>1</v>
      </c>
      <c r="W1282" s="63">
        <v>0</v>
      </c>
      <c r="X1282" s="577">
        <v>3</v>
      </c>
      <c r="Y1282" s="63">
        <v>-0.1</v>
      </c>
      <c r="Z1282" s="63">
        <v>0</v>
      </c>
      <c r="AN1282" s="581"/>
      <c r="AP1282" s="63">
        <v>4767</v>
      </c>
      <c r="AQ1282" s="63" t="s">
        <v>136</v>
      </c>
      <c r="AR1282" s="605"/>
    </row>
    <row r="1283" s="67" customFormat="1" spans="1:47">
      <c r="A1283" s="587">
        <v>1279</v>
      </c>
      <c r="B1283" s="588" t="s">
        <v>4689</v>
      </c>
      <c r="C1283" s="588" t="s">
        <v>4690</v>
      </c>
      <c r="D1283" s="67">
        <v>1</v>
      </c>
      <c r="E1283" s="67">
        <v>0</v>
      </c>
      <c r="F1283" s="588"/>
      <c r="G1283" s="588">
        <v>1</v>
      </c>
      <c r="H1283" s="589" t="s">
        <v>4691</v>
      </c>
      <c r="I1283" s="63">
        <f>460/30</f>
        <v>15.3333333333333</v>
      </c>
      <c r="J1283" s="63">
        <f t="shared" si="152"/>
        <v>15.3333333333333</v>
      </c>
      <c r="K1283" s="588"/>
      <c r="L1283" s="67">
        <v>1</v>
      </c>
      <c r="M1283" s="63">
        <f t="shared" si="153"/>
        <v>14.9333333333333</v>
      </c>
      <c r="N1283" s="63" t="s">
        <v>4692</v>
      </c>
      <c r="O1283" s="67">
        <v>1</v>
      </c>
      <c r="P1283" s="67">
        <v>-8</v>
      </c>
      <c r="Q1283" s="67">
        <v>0</v>
      </c>
      <c r="S1283" s="63">
        <v>5</v>
      </c>
      <c r="T1283" s="63"/>
      <c r="U1283" s="63">
        <v>1.5</v>
      </c>
      <c r="V1283" s="67">
        <v>1</v>
      </c>
      <c r="W1283" s="67">
        <v>6</v>
      </c>
      <c r="X1283" s="598">
        <v>12</v>
      </c>
      <c r="Y1283" s="67">
        <v>-0.1</v>
      </c>
      <c r="Z1283" s="67">
        <v>0</v>
      </c>
      <c r="AB1283" s="63">
        <f>I1283-0.3</f>
        <v>15.0333333333333</v>
      </c>
      <c r="AC1283" s="67">
        <v>1</v>
      </c>
      <c r="AD1283" s="67">
        <v>1</v>
      </c>
      <c r="AE1283" s="624" t="s">
        <v>4693</v>
      </c>
      <c r="AF1283" s="67">
        <v>0.5</v>
      </c>
      <c r="AN1283" s="603"/>
      <c r="AP1283" s="67">
        <v>4774</v>
      </c>
      <c r="AQ1283" s="63" t="s">
        <v>136</v>
      </c>
      <c r="AR1283" s="606"/>
      <c r="AU1283" s="67">
        <v>1</v>
      </c>
    </row>
    <row r="1284" s="63" customFormat="1" spans="1:44">
      <c r="A1284" s="587">
        <v>1280</v>
      </c>
      <c r="B1284" s="587" t="s">
        <v>4694</v>
      </c>
      <c r="C1284" s="587" t="s">
        <v>4695</v>
      </c>
      <c r="D1284" s="63">
        <v>1</v>
      </c>
      <c r="E1284" s="63">
        <v>0</v>
      </c>
      <c r="F1284" s="587"/>
      <c r="G1284" s="587">
        <v>1</v>
      </c>
      <c r="H1284" s="573" t="s">
        <v>4696</v>
      </c>
      <c r="I1284" s="63">
        <f>140/30</f>
        <v>4.66666666666667</v>
      </c>
      <c r="J1284" s="63">
        <f t="shared" si="152"/>
        <v>4.66666666666667</v>
      </c>
      <c r="K1284" s="587"/>
      <c r="L1284" s="63">
        <v>1</v>
      </c>
      <c r="M1284" s="63">
        <f t="shared" si="153"/>
        <v>4.26666666666667</v>
      </c>
      <c r="N1284" s="63" t="s">
        <v>4697</v>
      </c>
      <c r="O1284" s="63">
        <v>1</v>
      </c>
      <c r="P1284" s="63">
        <v>3</v>
      </c>
      <c r="Q1284" s="63">
        <v>0</v>
      </c>
      <c r="V1284" s="63">
        <v>1</v>
      </c>
      <c r="W1284" s="63">
        <v>0</v>
      </c>
      <c r="X1284" s="577">
        <v>3</v>
      </c>
      <c r="Y1284" s="63">
        <v>-0.1</v>
      </c>
      <c r="Z1284" s="63">
        <v>0</v>
      </c>
      <c r="AN1284" s="581"/>
      <c r="AP1284" s="581">
        <v>4768</v>
      </c>
      <c r="AQ1284" s="63" t="s">
        <v>136</v>
      </c>
      <c r="AR1284" s="605"/>
    </row>
    <row r="1285" s="63" customFormat="1" spans="1:44">
      <c r="A1285" s="587">
        <v>1281</v>
      </c>
      <c r="B1285" s="587" t="s">
        <v>4698</v>
      </c>
      <c r="C1285" s="587" t="s">
        <v>4699</v>
      </c>
      <c r="D1285" s="63">
        <v>1</v>
      </c>
      <c r="E1285" s="63">
        <v>0</v>
      </c>
      <c r="F1285" s="587"/>
      <c r="G1285" s="587">
        <v>1</v>
      </c>
      <c r="H1285" s="573" t="s">
        <v>4700</v>
      </c>
      <c r="I1285" s="63">
        <f>142/30</f>
        <v>4.73333333333333</v>
      </c>
      <c r="J1285" s="63">
        <f t="shared" si="152"/>
        <v>4.73333333333333</v>
      </c>
      <c r="K1285" s="587"/>
      <c r="L1285" s="63">
        <v>1</v>
      </c>
      <c r="M1285" s="63">
        <f t="shared" si="153"/>
        <v>4.33333333333333</v>
      </c>
      <c r="N1285" s="63" t="s">
        <v>4701</v>
      </c>
      <c r="O1285" s="63">
        <v>1</v>
      </c>
      <c r="P1285" s="63">
        <v>3</v>
      </c>
      <c r="Q1285" s="63">
        <v>0</v>
      </c>
      <c r="S1285" s="63">
        <v>9.5</v>
      </c>
      <c r="T1285" s="63">
        <v>-3</v>
      </c>
      <c r="U1285" s="63">
        <v>2</v>
      </c>
      <c r="V1285" s="63">
        <v>1</v>
      </c>
      <c r="W1285" s="63">
        <v>6</v>
      </c>
      <c r="X1285" s="577">
        <v>2</v>
      </c>
      <c r="Y1285" s="63">
        <v>-0.1</v>
      </c>
      <c r="Z1285" s="63">
        <v>0</v>
      </c>
      <c r="AN1285" s="574">
        <v>4771</v>
      </c>
      <c r="AO1285" s="63" t="s">
        <v>1103</v>
      </c>
      <c r="AP1285" s="63">
        <v>4770</v>
      </c>
      <c r="AQ1285" s="63" t="s">
        <v>136</v>
      </c>
      <c r="AR1285" s="605"/>
    </row>
    <row r="1286" s="67" customFormat="1" spans="1:47">
      <c r="A1286" s="587">
        <v>1282</v>
      </c>
      <c r="B1286" s="588" t="s">
        <v>4702</v>
      </c>
      <c r="C1286" s="588" t="s">
        <v>4703</v>
      </c>
      <c r="D1286" s="67">
        <v>1</v>
      </c>
      <c r="E1286" s="67">
        <v>0</v>
      </c>
      <c r="F1286" s="588"/>
      <c r="G1286" s="588">
        <v>1</v>
      </c>
      <c r="H1286" s="589" t="s">
        <v>4704</v>
      </c>
      <c r="I1286" s="63">
        <f>334/30</f>
        <v>11.1333333333333</v>
      </c>
      <c r="J1286" s="63">
        <f t="shared" si="152"/>
        <v>11.1333333333333</v>
      </c>
      <c r="K1286" s="588"/>
      <c r="L1286" s="67">
        <v>1</v>
      </c>
      <c r="M1286" s="63">
        <f t="shared" si="153"/>
        <v>10.7333333333333</v>
      </c>
      <c r="N1286" s="63" t="s">
        <v>4705</v>
      </c>
      <c r="O1286" s="67">
        <v>1</v>
      </c>
      <c r="P1286" s="67">
        <v>10</v>
      </c>
      <c r="Q1286" s="67">
        <v>0</v>
      </c>
      <c r="V1286" s="67">
        <v>1</v>
      </c>
      <c r="W1286" s="67">
        <v>0</v>
      </c>
      <c r="X1286" s="598">
        <v>1</v>
      </c>
      <c r="Y1286" s="67">
        <v>-0.1</v>
      </c>
      <c r="Z1286" s="67">
        <v>0</v>
      </c>
      <c r="AC1286" s="67">
        <v>1</v>
      </c>
      <c r="AD1286" s="67">
        <v>1</v>
      </c>
      <c r="AE1286" s="67" t="s">
        <v>4706</v>
      </c>
      <c r="AF1286" s="67">
        <v>0.5</v>
      </c>
      <c r="AN1286" s="603">
        <v>4773</v>
      </c>
      <c r="AO1286" s="67" t="s">
        <v>1103</v>
      </c>
      <c r="AP1286" s="67">
        <v>4772</v>
      </c>
      <c r="AQ1286" s="63" t="s">
        <v>136</v>
      </c>
      <c r="AR1286" s="606"/>
      <c r="AU1286" s="67">
        <v>1</v>
      </c>
    </row>
    <row r="1287" s="67" customFormat="1" spans="1:47">
      <c r="A1287" s="587">
        <v>1283</v>
      </c>
      <c r="B1287" s="588" t="s">
        <v>4707</v>
      </c>
      <c r="C1287" s="588" t="s">
        <v>4690</v>
      </c>
      <c r="D1287" s="67">
        <v>1</v>
      </c>
      <c r="E1287" s="67">
        <v>0</v>
      </c>
      <c r="F1287" s="588"/>
      <c r="G1287" s="588">
        <v>1</v>
      </c>
      <c r="H1287" s="589" t="s">
        <v>4708</v>
      </c>
      <c r="I1287" s="63">
        <f>460/30</f>
        <v>15.3333333333333</v>
      </c>
      <c r="J1287" s="63">
        <f t="shared" si="152"/>
        <v>15.3333333333333</v>
      </c>
      <c r="K1287" s="588"/>
      <c r="L1287" s="67">
        <v>1</v>
      </c>
      <c r="M1287" s="63">
        <f t="shared" si="153"/>
        <v>14.9333333333333</v>
      </c>
      <c r="N1287" s="63" t="s">
        <v>4692</v>
      </c>
      <c r="O1287" s="67">
        <v>1</v>
      </c>
      <c r="P1287" s="67">
        <v>-8</v>
      </c>
      <c r="Q1287" s="67">
        <v>0</v>
      </c>
      <c r="V1287" s="67">
        <v>1</v>
      </c>
      <c r="W1287" s="67">
        <v>0</v>
      </c>
      <c r="X1287" s="598">
        <v>12</v>
      </c>
      <c r="Y1287" s="67">
        <v>-0.1</v>
      </c>
      <c r="Z1287" s="67">
        <v>0</v>
      </c>
      <c r="AB1287" s="63">
        <f>I1287-0.3</f>
        <v>15.0333333333333</v>
      </c>
      <c r="AC1287" s="67">
        <v>1</v>
      </c>
      <c r="AD1287" s="67">
        <v>1</v>
      </c>
      <c r="AE1287" s="624" t="s">
        <v>4693</v>
      </c>
      <c r="AF1287" s="67">
        <v>0.5</v>
      </c>
      <c r="AN1287" s="603"/>
      <c r="AP1287" s="67">
        <v>4774</v>
      </c>
      <c r="AQ1287" s="63" t="s">
        <v>136</v>
      </c>
      <c r="AR1287" s="606"/>
      <c r="AU1287" s="67">
        <v>1</v>
      </c>
    </row>
    <row r="1288" s="63" customFormat="1" spans="1:44">
      <c r="A1288" s="587">
        <v>1284</v>
      </c>
      <c r="B1288" s="587" t="s">
        <v>4709</v>
      </c>
      <c r="C1288" s="587" t="s">
        <v>4710</v>
      </c>
      <c r="D1288" s="63">
        <v>1</v>
      </c>
      <c r="E1288" s="63">
        <v>0</v>
      </c>
      <c r="F1288" s="587"/>
      <c r="G1288" s="587">
        <v>1</v>
      </c>
      <c r="H1288" s="573" t="s">
        <v>4711</v>
      </c>
      <c r="I1288" s="63">
        <f>113/30</f>
        <v>3.76666666666667</v>
      </c>
      <c r="J1288" s="63">
        <f t="shared" si="152"/>
        <v>3.76666666666667</v>
      </c>
      <c r="K1288" s="587"/>
      <c r="L1288" s="63">
        <v>1</v>
      </c>
      <c r="M1288" s="63">
        <f t="shared" si="153"/>
        <v>3.36666666666667</v>
      </c>
      <c r="N1288" s="63" t="s">
        <v>4712</v>
      </c>
      <c r="O1288" s="63">
        <v>1</v>
      </c>
      <c r="P1288" s="63">
        <v>3</v>
      </c>
      <c r="Q1288" s="63">
        <v>0</v>
      </c>
      <c r="S1288" s="63">
        <v>7</v>
      </c>
      <c r="T1288" s="63">
        <v>-4.5</v>
      </c>
      <c r="U1288" s="63">
        <v>2</v>
      </c>
      <c r="V1288" s="63">
        <v>1</v>
      </c>
      <c r="W1288" s="63">
        <v>6</v>
      </c>
      <c r="X1288" s="577">
        <v>2</v>
      </c>
      <c r="Y1288" s="63">
        <v>-0.1</v>
      </c>
      <c r="Z1288" s="63">
        <v>0</v>
      </c>
      <c r="AN1288" s="574">
        <v>4777</v>
      </c>
      <c r="AO1288" s="63" t="s">
        <v>1103</v>
      </c>
      <c r="AP1288" s="63">
        <v>4776</v>
      </c>
      <c r="AQ1288" s="63" t="s">
        <v>136</v>
      </c>
      <c r="AR1288" s="605"/>
    </row>
    <row r="1289" s="59" customFormat="1" spans="1:47">
      <c r="A1289" s="607">
        <v>1285</v>
      </c>
      <c r="B1289" s="59" t="s">
        <v>3716</v>
      </c>
      <c r="C1289" s="59" t="s">
        <v>4713</v>
      </c>
      <c r="D1289" s="59">
        <v>1</v>
      </c>
      <c r="E1289" s="59">
        <v>0</v>
      </c>
      <c r="G1289" s="59">
        <v>1</v>
      </c>
      <c r="H1289" s="546" t="s">
        <v>4714</v>
      </c>
      <c r="I1289" s="59">
        <f>187/30</f>
        <v>6.23333333333333</v>
      </c>
      <c r="J1289" s="59">
        <f t="shared" si="152"/>
        <v>6.23333333333333</v>
      </c>
      <c r="L1289" s="59">
        <v>1</v>
      </c>
      <c r="M1289" s="59">
        <f t="shared" si="153"/>
        <v>5.83333333333333</v>
      </c>
      <c r="N1289" s="59" t="s">
        <v>4715</v>
      </c>
      <c r="O1289" s="619">
        <v>1</v>
      </c>
      <c r="P1289" s="59">
        <v>8</v>
      </c>
      <c r="Q1289" s="619">
        <v>0</v>
      </c>
      <c r="R1289" s="619"/>
      <c r="V1289" s="619">
        <v>1</v>
      </c>
      <c r="W1289" s="59">
        <v>6</v>
      </c>
      <c r="X1289" s="557">
        <v>13</v>
      </c>
      <c r="Y1289" s="59">
        <v>-0.1</v>
      </c>
      <c r="Z1289" s="619">
        <v>0</v>
      </c>
      <c r="AA1289" s="619"/>
      <c r="AB1289" s="59">
        <f>I1289-0.3</f>
        <v>5.93333333333333</v>
      </c>
      <c r="AC1289" s="625">
        <v>1</v>
      </c>
      <c r="AD1289" s="625">
        <v>1</v>
      </c>
      <c r="AE1289" s="625" t="s">
        <v>4716</v>
      </c>
      <c r="AF1289" s="59">
        <v>0.5</v>
      </c>
      <c r="AN1289" s="562">
        <v>4785</v>
      </c>
      <c r="AO1289" s="59" t="s">
        <v>4717</v>
      </c>
      <c r="AP1289" s="562">
        <v>4784</v>
      </c>
      <c r="AQ1289" s="59" t="s">
        <v>136</v>
      </c>
      <c r="AR1289" s="552"/>
      <c r="AU1289" s="59">
        <v>1</v>
      </c>
    </row>
    <row r="1290" s="59" customFormat="1" spans="1:47">
      <c r="A1290" s="607">
        <v>1286</v>
      </c>
      <c r="B1290" s="59" t="s">
        <v>3716</v>
      </c>
      <c r="C1290" s="59" t="s">
        <v>4718</v>
      </c>
      <c r="D1290" s="59">
        <v>1</v>
      </c>
      <c r="E1290" s="59">
        <v>0</v>
      </c>
      <c r="G1290" s="59">
        <v>1</v>
      </c>
      <c r="H1290" s="546" t="s">
        <v>4719</v>
      </c>
      <c r="I1290" s="59">
        <f>220/30</f>
        <v>7.33333333333333</v>
      </c>
      <c r="J1290" s="59">
        <f t="shared" si="152"/>
        <v>7.33333333333333</v>
      </c>
      <c r="L1290" s="59">
        <v>1</v>
      </c>
      <c r="M1290" s="59">
        <f t="shared" si="153"/>
        <v>6.93333333333333</v>
      </c>
      <c r="N1290" s="59" t="s">
        <v>4720</v>
      </c>
      <c r="O1290" s="619">
        <v>1</v>
      </c>
      <c r="P1290" s="59">
        <v>8</v>
      </c>
      <c r="Q1290" s="619">
        <v>0</v>
      </c>
      <c r="R1290" s="619"/>
      <c r="V1290" s="619">
        <v>1</v>
      </c>
      <c r="W1290" s="59">
        <v>0</v>
      </c>
      <c r="X1290" s="557">
        <v>10</v>
      </c>
      <c r="Y1290" s="59">
        <v>-0.1</v>
      </c>
      <c r="Z1290" s="619">
        <v>0</v>
      </c>
      <c r="AA1290" s="619"/>
      <c r="AB1290" s="59">
        <f>I1290-0.3</f>
        <v>7.03333333333333</v>
      </c>
      <c r="AC1290" s="625">
        <v>1</v>
      </c>
      <c r="AD1290" s="625">
        <v>1</v>
      </c>
      <c r="AE1290" s="625" t="s">
        <v>4721</v>
      </c>
      <c r="AF1290" s="59">
        <v>0.5</v>
      </c>
      <c r="AN1290" s="562">
        <v>4787</v>
      </c>
      <c r="AO1290" s="59" t="s">
        <v>4722</v>
      </c>
      <c r="AP1290" s="562">
        <v>4786</v>
      </c>
      <c r="AQ1290" s="59" t="s">
        <v>136</v>
      </c>
      <c r="AR1290" s="552"/>
      <c r="AU1290" s="59">
        <v>1</v>
      </c>
    </row>
    <row r="1291" s="59" customFormat="1" spans="1:47">
      <c r="A1291" s="607">
        <v>1287</v>
      </c>
      <c r="B1291" s="59" t="s">
        <v>3716</v>
      </c>
      <c r="C1291" s="59" t="s">
        <v>4723</v>
      </c>
      <c r="D1291" s="59">
        <v>1</v>
      </c>
      <c r="E1291" s="59">
        <v>0</v>
      </c>
      <c r="G1291" s="59">
        <v>1</v>
      </c>
      <c r="H1291" s="546" t="s">
        <v>4724</v>
      </c>
      <c r="I1291" s="59">
        <f>195/30</f>
        <v>6.5</v>
      </c>
      <c r="J1291" s="59">
        <f t="shared" si="152"/>
        <v>6.5</v>
      </c>
      <c r="L1291" s="59">
        <v>1</v>
      </c>
      <c r="M1291" s="59">
        <f t="shared" si="153"/>
        <v>6.1</v>
      </c>
      <c r="N1291" s="59" t="s">
        <v>4725</v>
      </c>
      <c r="O1291" s="619">
        <v>1</v>
      </c>
      <c r="P1291" s="59">
        <v>78</v>
      </c>
      <c r="Q1291" s="619">
        <v>0</v>
      </c>
      <c r="R1291" s="619"/>
      <c r="V1291" s="619">
        <v>1</v>
      </c>
      <c r="W1291" s="59">
        <v>6</v>
      </c>
      <c r="X1291" s="557">
        <v>3</v>
      </c>
      <c r="Y1291" s="59">
        <v>-0.1</v>
      </c>
      <c r="Z1291" s="619">
        <v>0</v>
      </c>
      <c r="AA1291" s="619"/>
      <c r="AB1291" s="59">
        <f>I1291-0.3</f>
        <v>6.2</v>
      </c>
      <c r="AC1291" s="625">
        <v>1</v>
      </c>
      <c r="AD1291" s="625">
        <v>1</v>
      </c>
      <c r="AE1291" s="625" t="s">
        <v>4726</v>
      </c>
      <c r="AF1291" s="59">
        <v>0.5</v>
      </c>
      <c r="AN1291" s="562" t="s">
        <v>4727</v>
      </c>
      <c r="AO1291" s="59" t="s">
        <v>4728</v>
      </c>
      <c r="AP1291" s="562">
        <v>4788</v>
      </c>
      <c r="AQ1291" s="59" t="s">
        <v>136</v>
      </c>
      <c r="AR1291" s="552"/>
      <c r="AU1291" s="59">
        <v>1</v>
      </c>
    </row>
    <row r="1292" s="66" customFormat="1" spans="1:43">
      <c r="A1292" s="66">
        <v>1288</v>
      </c>
      <c r="B1292" s="66" t="s">
        <v>4729</v>
      </c>
      <c r="D1292" s="66">
        <v>1</v>
      </c>
      <c r="E1292" s="66">
        <v>0</v>
      </c>
      <c r="G1292" s="66">
        <v>1</v>
      </c>
      <c r="H1292" s="585" t="s">
        <v>4730</v>
      </c>
      <c r="I1292" s="63">
        <f>58/30</f>
        <v>1.93333333333333</v>
      </c>
      <c r="J1292" s="66">
        <f t="shared" si="152"/>
        <v>1.93333333333333</v>
      </c>
      <c r="L1292" s="66">
        <v>1</v>
      </c>
      <c r="M1292" s="66">
        <f t="shared" si="153"/>
        <v>1.53333333333333</v>
      </c>
      <c r="N1292" s="66" t="s">
        <v>4731</v>
      </c>
      <c r="O1292" s="66">
        <v>1</v>
      </c>
      <c r="P1292" s="66">
        <v>2</v>
      </c>
      <c r="Q1292" s="66">
        <v>0</v>
      </c>
      <c r="V1292" s="66">
        <v>6</v>
      </c>
      <c r="W1292" s="66">
        <v>0</v>
      </c>
      <c r="X1292" s="597">
        <v>3</v>
      </c>
      <c r="Y1292" s="66">
        <v>-0.1</v>
      </c>
      <c r="Z1292" s="66">
        <v>0</v>
      </c>
      <c r="AN1292" s="602"/>
      <c r="AP1292" s="66">
        <v>4794</v>
      </c>
      <c r="AQ1292" s="59" t="s">
        <v>136</v>
      </c>
    </row>
    <row r="1293" s="66" customFormat="1" spans="1:43">
      <c r="A1293" s="66">
        <v>1289</v>
      </c>
      <c r="B1293" s="66" t="s">
        <v>4732</v>
      </c>
      <c r="C1293" s="66" t="s">
        <v>4733</v>
      </c>
      <c r="D1293" s="66">
        <v>1</v>
      </c>
      <c r="E1293" s="66">
        <v>0</v>
      </c>
      <c r="G1293" s="66">
        <v>1</v>
      </c>
      <c r="H1293" s="585" t="s">
        <v>4734</v>
      </c>
      <c r="I1293" s="63">
        <f>74/30</f>
        <v>2.46666666666667</v>
      </c>
      <c r="J1293" s="66">
        <f t="shared" si="152"/>
        <v>2.46666666666667</v>
      </c>
      <c r="L1293" s="66">
        <v>1</v>
      </c>
      <c r="M1293" s="66">
        <f t="shared" si="153"/>
        <v>2.06666666666667</v>
      </c>
      <c r="N1293" s="66" t="s">
        <v>4735</v>
      </c>
      <c r="O1293" s="66">
        <v>1</v>
      </c>
      <c r="P1293" s="66">
        <v>2</v>
      </c>
      <c r="Q1293" s="66">
        <v>0</v>
      </c>
      <c r="V1293" s="66">
        <v>6</v>
      </c>
      <c r="W1293" s="66">
        <v>0</v>
      </c>
      <c r="X1293" s="597">
        <v>2</v>
      </c>
      <c r="Y1293" s="66">
        <v>-0.1</v>
      </c>
      <c r="Z1293" s="66">
        <v>0</v>
      </c>
      <c r="AN1293" s="602">
        <v>4798</v>
      </c>
      <c r="AO1293" s="66" t="s">
        <v>4736</v>
      </c>
      <c r="AP1293" s="66">
        <v>4797</v>
      </c>
      <c r="AQ1293" s="59" t="s">
        <v>136</v>
      </c>
    </row>
    <row r="1294" s="66" customFormat="1" spans="1:43">
      <c r="A1294" s="66">
        <v>1290</v>
      </c>
      <c r="B1294" s="66" t="s">
        <v>4737</v>
      </c>
      <c r="C1294" s="66" t="s">
        <v>4738</v>
      </c>
      <c r="D1294" s="66">
        <v>1</v>
      </c>
      <c r="E1294" s="66">
        <v>0</v>
      </c>
      <c r="G1294" s="66">
        <v>1</v>
      </c>
      <c r="H1294" s="585" t="s">
        <v>4739</v>
      </c>
      <c r="I1294" s="63">
        <f>88/30</f>
        <v>2.93333333333333</v>
      </c>
      <c r="J1294" s="66">
        <f t="shared" si="152"/>
        <v>2.93333333333333</v>
      </c>
      <c r="L1294" s="66">
        <v>1</v>
      </c>
      <c r="M1294" s="66">
        <f t="shared" si="153"/>
        <v>2.53333333333333</v>
      </c>
      <c r="N1294" s="66" t="s">
        <v>4740</v>
      </c>
      <c r="O1294" s="66">
        <v>1</v>
      </c>
      <c r="P1294" s="66">
        <v>2</v>
      </c>
      <c r="Q1294" s="66">
        <v>0</v>
      </c>
      <c r="S1294" s="65">
        <v>2</v>
      </c>
      <c r="T1294" s="65">
        <v>1</v>
      </c>
      <c r="U1294" s="65">
        <v>1</v>
      </c>
      <c r="V1294" s="66">
        <v>6</v>
      </c>
      <c r="W1294" s="66">
        <v>0</v>
      </c>
      <c r="X1294" s="597">
        <v>1</v>
      </c>
      <c r="Y1294" s="66">
        <v>-0.1</v>
      </c>
      <c r="Z1294" s="66">
        <v>0</v>
      </c>
      <c r="AN1294" s="602">
        <v>4800</v>
      </c>
      <c r="AO1294" s="66" t="s">
        <v>4741</v>
      </c>
      <c r="AP1294" s="66">
        <v>4799</v>
      </c>
      <c r="AQ1294" s="59" t="s">
        <v>136</v>
      </c>
    </row>
    <row r="1295" s="66" customFormat="1" spans="1:43">
      <c r="A1295" s="66">
        <v>1291</v>
      </c>
      <c r="B1295" s="66" t="s">
        <v>4742</v>
      </c>
      <c r="C1295" s="66" t="s">
        <v>4743</v>
      </c>
      <c r="D1295" s="66">
        <v>1</v>
      </c>
      <c r="E1295" s="66">
        <v>0</v>
      </c>
      <c r="G1295" s="66">
        <v>1</v>
      </c>
      <c r="H1295" s="585" t="s">
        <v>4744</v>
      </c>
      <c r="I1295" s="63">
        <f>111/30</f>
        <v>3.7</v>
      </c>
      <c r="J1295" s="66">
        <f t="shared" si="152"/>
        <v>3.7</v>
      </c>
      <c r="L1295" s="66">
        <v>1</v>
      </c>
      <c r="M1295" s="66">
        <f t="shared" si="153"/>
        <v>3.3</v>
      </c>
      <c r="N1295" s="66" t="s">
        <v>4745</v>
      </c>
      <c r="O1295" s="66">
        <v>1</v>
      </c>
      <c r="P1295" s="66">
        <v>2</v>
      </c>
      <c r="Q1295" s="66">
        <v>0</v>
      </c>
      <c r="S1295" s="65">
        <v>2</v>
      </c>
      <c r="T1295" s="65">
        <v>1</v>
      </c>
      <c r="U1295" s="65">
        <v>1</v>
      </c>
      <c r="V1295" s="66">
        <v>6</v>
      </c>
      <c r="W1295" s="66">
        <v>0</v>
      </c>
      <c r="X1295" s="597">
        <v>3</v>
      </c>
      <c r="Y1295" s="66">
        <v>-0.1</v>
      </c>
      <c r="Z1295" s="66">
        <v>0</v>
      </c>
      <c r="AN1295" s="602">
        <v>4818</v>
      </c>
      <c r="AO1295" s="66" t="s">
        <v>4736</v>
      </c>
      <c r="AP1295" s="66">
        <v>4802</v>
      </c>
      <c r="AQ1295" s="59" t="s">
        <v>136</v>
      </c>
    </row>
    <row r="1296" s="21" customFormat="1" spans="1:48">
      <c r="A1296" s="66">
        <v>1292</v>
      </c>
      <c r="B1296" s="66" t="s">
        <v>4746</v>
      </c>
      <c r="C1296" s="21" t="s">
        <v>4747</v>
      </c>
      <c r="D1296" s="21">
        <v>2</v>
      </c>
      <c r="E1296" s="21">
        <v>1</v>
      </c>
      <c r="G1296" s="21">
        <v>1</v>
      </c>
      <c r="H1296" s="585" t="s">
        <v>4748</v>
      </c>
      <c r="I1296" s="63">
        <f>95/30</f>
        <v>3.16666666666667</v>
      </c>
      <c r="J1296" s="66">
        <f t="shared" si="152"/>
        <v>3.16666666666667</v>
      </c>
      <c r="L1296" s="21">
        <f>IF(X1296&gt;4,1,0)</f>
        <v>0</v>
      </c>
      <c r="M1296" s="66">
        <f t="shared" si="153"/>
        <v>2.76666666666667</v>
      </c>
      <c r="N1296" s="21" t="s">
        <v>4749</v>
      </c>
      <c r="O1296" s="110">
        <v>5</v>
      </c>
      <c r="P1296" s="21">
        <v>0</v>
      </c>
      <c r="Q1296" s="110">
        <v>0</v>
      </c>
      <c r="R1296" s="110"/>
      <c r="V1296" s="110">
        <v>101</v>
      </c>
      <c r="W1296" s="21">
        <v>0</v>
      </c>
      <c r="X1296" s="115">
        <v>0</v>
      </c>
      <c r="Y1296" s="21">
        <v>-0.1</v>
      </c>
      <c r="Z1296" s="110">
        <v>0</v>
      </c>
      <c r="AA1296" s="110"/>
      <c r="AB1296" s="110"/>
      <c r="AC1296" s="110"/>
      <c r="AD1296" s="110">
        <v>0</v>
      </c>
      <c r="AF1296" s="21">
        <f>IF(AD1296=--1,0.5,0)</f>
        <v>0</v>
      </c>
      <c r="AN1296" s="120" t="s">
        <v>4750</v>
      </c>
      <c r="AO1296" s="21" t="s">
        <v>4751</v>
      </c>
      <c r="AP1296" s="21">
        <v>4804</v>
      </c>
      <c r="AQ1296" s="59" t="s">
        <v>136</v>
      </c>
      <c r="AV1296" s="21">
        <v>0</v>
      </c>
    </row>
    <row r="1297" s="66" customFormat="1" spans="1:47">
      <c r="A1297" s="66">
        <v>1293</v>
      </c>
      <c r="B1297" s="66" t="s">
        <v>4752</v>
      </c>
      <c r="C1297" s="66" t="s">
        <v>4753</v>
      </c>
      <c r="D1297" s="66">
        <v>1</v>
      </c>
      <c r="E1297" s="66">
        <v>0</v>
      </c>
      <c r="G1297" s="66">
        <v>1</v>
      </c>
      <c r="H1297" s="585" t="s">
        <v>4754</v>
      </c>
      <c r="I1297" s="63">
        <f>224/30</f>
        <v>7.46666666666667</v>
      </c>
      <c r="J1297" s="66">
        <f t="shared" si="152"/>
        <v>7.46666666666667</v>
      </c>
      <c r="L1297" s="66">
        <v>1</v>
      </c>
      <c r="M1297" s="66">
        <f t="shared" si="153"/>
        <v>7.06666666666667</v>
      </c>
      <c r="N1297" s="66" t="s">
        <v>4755</v>
      </c>
      <c r="O1297" s="66">
        <v>1</v>
      </c>
      <c r="P1297" s="66">
        <v>2</v>
      </c>
      <c r="Q1297" s="66">
        <v>0</v>
      </c>
      <c r="V1297" s="66">
        <v>6</v>
      </c>
      <c r="W1297" s="66">
        <v>17</v>
      </c>
      <c r="X1297" s="597">
        <v>1</v>
      </c>
      <c r="Y1297" s="66">
        <v>-0.1</v>
      </c>
      <c r="Z1297" s="66">
        <v>0</v>
      </c>
      <c r="AB1297" s="66">
        <f>I1297-0.3</f>
        <v>7.16666666666667</v>
      </c>
      <c r="AC1297" s="66">
        <v>1</v>
      </c>
      <c r="AD1297" s="66">
        <v>1</v>
      </c>
      <c r="AE1297" s="66" t="s">
        <v>4756</v>
      </c>
      <c r="AF1297" s="66">
        <v>0.5</v>
      </c>
      <c r="AN1297" s="602" t="s">
        <v>4757</v>
      </c>
      <c r="AO1297" s="66" t="s">
        <v>4758</v>
      </c>
      <c r="AP1297" s="66">
        <v>4807</v>
      </c>
      <c r="AQ1297" s="59" t="s">
        <v>136</v>
      </c>
      <c r="AU1297" s="66">
        <v>1</v>
      </c>
    </row>
    <row r="1298" s="66" customFormat="1" ht="13" customHeight="1" spans="1:47">
      <c r="A1298" s="66">
        <v>1294</v>
      </c>
      <c r="B1298" s="66" t="s">
        <v>4759</v>
      </c>
      <c r="C1298" s="66" t="s">
        <v>4760</v>
      </c>
      <c r="D1298" s="66">
        <v>1</v>
      </c>
      <c r="E1298" s="66">
        <v>0</v>
      </c>
      <c r="G1298" s="66">
        <v>1</v>
      </c>
      <c r="H1298" s="585" t="s">
        <v>4761</v>
      </c>
      <c r="I1298" s="63">
        <f>163/30</f>
        <v>5.43333333333333</v>
      </c>
      <c r="J1298" s="66">
        <f t="shared" si="152"/>
        <v>5.43333333333333</v>
      </c>
      <c r="L1298" s="66">
        <v>1</v>
      </c>
      <c r="M1298" s="66">
        <f t="shared" si="153"/>
        <v>5.03333333333333</v>
      </c>
      <c r="N1298" s="66" t="s">
        <v>4762</v>
      </c>
      <c r="O1298" s="66">
        <v>1</v>
      </c>
      <c r="P1298" s="66">
        <v>2</v>
      </c>
      <c r="Q1298" s="66">
        <v>0</v>
      </c>
      <c r="V1298" s="66">
        <v>6</v>
      </c>
      <c r="W1298" s="66">
        <v>17</v>
      </c>
      <c r="X1298" s="597">
        <v>1</v>
      </c>
      <c r="Y1298" s="66">
        <v>-0.1</v>
      </c>
      <c r="Z1298" s="66">
        <v>0</v>
      </c>
      <c r="AB1298" s="66">
        <f t="shared" ref="AB1298:AB1302" si="154">I1298-0.1</f>
        <v>5.33333333333333</v>
      </c>
      <c r="AC1298" s="66">
        <v>1</v>
      </c>
      <c r="AD1298" s="66">
        <v>1</v>
      </c>
      <c r="AE1298" s="66" t="s">
        <v>4763</v>
      </c>
      <c r="AF1298" s="66">
        <v>0.5</v>
      </c>
      <c r="AP1298" s="66">
        <v>4812</v>
      </c>
      <c r="AQ1298" s="59" t="s">
        <v>136</v>
      </c>
      <c r="AU1298" s="66">
        <v>1</v>
      </c>
    </row>
    <row r="1299" s="66" customFormat="1" spans="1:47">
      <c r="A1299" s="66">
        <v>1295</v>
      </c>
      <c r="B1299" s="66" t="s">
        <v>4764</v>
      </c>
      <c r="C1299" s="66" t="s">
        <v>4765</v>
      </c>
      <c r="D1299" s="66">
        <v>1</v>
      </c>
      <c r="E1299" s="66">
        <v>0</v>
      </c>
      <c r="G1299" s="66">
        <v>1</v>
      </c>
      <c r="H1299" s="585" t="s">
        <v>4766</v>
      </c>
      <c r="I1299" s="63">
        <f>199/30</f>
        <v>6.63333333333333</v>
      </c>
      <c r="J1299" s="66">
        <f t="shared" si="152"/>
        <v>6.63333333333333</v>
      </c>
      <c r="L1299" s="66">
        <v>1</v>
      </c>
      <c r="M1299" s="66">
        <f t="shared" si="153"/>
        <v>6.23333333333333</v>
      </c>
      <c r="N1299" s="66" t="s">
        <v>4767</v>
      </c>
      <c r="O1299" s="66">
        <v>1</v>
      </c>
      <c r="P1299" s="66">
        <v>2.3</v>
      </c>
      <c r="Q1299" s="66">
        <v>0</v>
      </c>
      <c r="V1299" s="66">
        <v>6</v>
      </c>
      <c r="W1299" s="66">
        <v>0</v>
      </c>
      <c r="X1299" s="597">
        <v>1</v>
      </c>
      <c r="Y1299" s="66">
        <v>-0.1</v>
      </c>
      <c r="Z1299" s="66">
        <v>0</v>
      </c>
      <c r="AB1299" s="66">
        <f t="shared" si="154"/>
        <v>6.53333333333333</v>
      </c>
      <c r="AC1299" s="66">
        <v>1</v>
      </c>
      <c r="AD1299" s="66">
        <v>1</v>
      </c>
      <c r="AE1299" s="66" t="s">
        <v>4768</v>
      </c>
      <c r="AF1299" s="66">
        <v>0.5</v>
      </c>
      <c r="AN1299" s="120">
        <v>4819</v>
      </c>
      <c r="AO1299" s="66" t="s">
        <v>1695</v>
      </c>
      <c r="AP1299" s="66">
        <v>4814</v>
      </c>
      <c r="AQ1299" s="59" t="s">
        <v>136</v>
      </c>
      <c r="AU1299" s="66">
        <v>1</v>
      </c>
    </row>
    <row r="1300" s="60" customFormat="1" spans="1:43">
      <c r="A1300" s="60">
        <v>1296</v>
      </c>
      <c r="B1300" s="60" t="s">
        <v>4769</v>
      </c>
      <c r="C1300" s="60" t="s">
        <v>4770</v>
      </c>
      <c r="D1300" s="60">
        <v>1</v>
      </c>
      <c r="E1300" s="60">
        <v>0</v>
      </c>
      <c r="G1300" s="60">
        <v>1</v>
      </c>
      <c r="H1300" s="608" t="s">
        <v>4771</v>
      </c>
      <c r="I1300" s="60">
        <v>2.03333333333333</v>
      </c>
      <c r="J1300" s="60">
        <f t="shared" si="152"/>
        <v>2.03333333333333</v>
      </c>
      <c r="L1300" s="60">
        <v>1</v>
      </c>
      <c r="M1300" s="60">
        <f t="shared" si="153"/>
        <v>1.63333333333333</v>
      </c>
      <c r="N1300" s="60" t="s">
        <v>4772</v>
      </c>
      <c r="O1300" s="60">
        <v>1</v>
      </c>
      <c r="P1300" s="60">
        <v>1.8</v>
      </c>
      <c r="Q1300" s="60">
        <v>0</v>
      </c>
      <c r="S1300" s="60">
        <v>-1</v>
      </c>
      <c r="U1300" s="60">
        <v>1</v>
      </c>
      <c r="V1300" s="60">
        <v>6</v>
      </c>
      <c r="W1300" s="60">
        <v>6</v>
      </c>
      <c r="X1300" s="558">
        <v>1</v>
      </c>
      <c r="Y1300" s="60">
        <v>-0.1</v>
      </c>
      <c r="Z1300" s="60">
        <v>0</v>
      </c>
      <c r="AN1300" s="563"/>
      <c r="AP1300" s="60">
        <v>4820</v>
      </c>
      <c r="AQ1300" s="60" t="s">
        <v>136</v>
      </c>
    </row>
    <row r="1301" s="60" customFormat="1" ht="13" customHeight="1" spans="1:43">
      <c r="A1301" s="60">
        <v>1297</v>
      </c>
      <c r="B1301" s="60" t="s">
        <v>4773</v>
      </c>
      <c r="C1301" s="60" t="s">
        <v>642</v>
      </c>
      <c r="D1301" s="60">
        <v>1</v>
      </c>
      <c r="E1301" s="60">
        <v>0</v>
      </c>
      <c r="G1301" s="60">
        <v>1</v>
      </c>
      <c r="H1301" s="608" t="s">
        <v>4774</v>
      </c>
      <c r="I1301" s="60">
        <v>2.76666666666667</v>
      </c>
      <c r="J1301" s="60">
        <f t="shared" si="152"/>
        <v>2.76666666666667</v>
      </c>
      <c r="L1301" s="60">
        <v>1</v>
      </c>
      <c r="M1301" s="60">
        <f t="shared" si="153"/>
        <v>2.36666666666667</v>
      </c>
      <c r="N1301" s="60" t="s">
        <v>4775</v>
      </c>
      <c r="O1301" s="60">
        <v>1</v>
      </c>
      <c r="P1301" s="60">
        <v>1.8</v>
      </c>
      <c r="Q1301" s="60">
        <v>0</v>
      </c>
      <c r="S1301" s="60">
        <v>1</v>
      </c>
      <c r="U1301" s="60">
        <v>2</v>
      </c>
      <c r="V1301" s="60">
        <v>6</v>
      </c>
      <c r="W1301" s="60">
        <v>6</v>
      </c>
      <c r="X1301" s="558">
        <v>3</v>
      </c>
      <c r="Y1301" s="60">
        <v>-0.1</v>
      </c>
      <c r="Z1301" s="60">
        <v>0</v>
      </c>
      <c r="AN1301" s="563"/>
      <c r="AP1301" s="60">
        <v>4822</v>
      </c>
      <c r="AQ1301" s="60" t="s">
        <v>136</v>
      </c>
    </row>
    <row r="1302" s="60" customFormat="1" spans="1:47">
      <c r="A1302" s="60">
        <v>1298</v>
      </c>
      <c r="B1302" s="60" t="s">
        <v>4776</v>
      </c>
      <c r="C1302" s="60" t="s">
        <v>4777</v>
      </c>
      <c r="D1302" s="60">
        <v>1</v>
      </c>
      <c r="E1302" s="60">
        <v>0</v>
      </c>
      <c r="G1302" s="60">
        <v>1</v>
      </c>
      <c r="H1302" s="608" t="s">
        <v>4778</v>
      </c>
      <c r="I1302" s="60">
        <v>11.0333333333333</v>
      </c>
      <c r="J1302" s="60">
        <f t="shared" si="152"/>
        <v>11.0333333333333</v>
      </c>
      <c r="L1302" s="60">
        <v>1</v>
      </c>
      <c r="M1302" s="60">
        <f t="shared" si="153"/>
        <v>10.6333333333333</v>
      </c>
      <c r="N1302" s="60" t="s">
        <v>4779</v>
      </c>
      <c r="O1302" s="60">
        <v>1</v>
      </c>
      <c r="P1302" s="60">
        <v>9.8</v>
      </c>
      <c r="Q1302" s="60">
        <v>0</v>
      </c>
      <c r="V1302" s="60">
        <v>6</v>
      </c>
      <c r="W1302" s="60">
        <v>6</v>
      </c>
      <c r="X1302" s="558">
        <v>5</v>
      </c>
      <c r="Y1302" s="60">
        <v>-0.1</v>
      </c>
      <c r="Z1302" s="60">
        <v>0</v>
      </c>
      <c r="AB1302" s="60">
        <f t="shared" si="154"/>
        <v>10.9333333333333</v>
      </c>
      <c r="AC1302" s="60">
        <v>1</v>
      </c>
      <c r="AD1302" s="60">
        <v>1</v>
      </c>
      <c r="AE1302" s="60" t="s">
        <v>4780</v>
      </c>
      <c r="AF1302" s="60">
        <v>0.5</v>
      </c>
      <c r="AN1302" s="626"/>
      <c r="AP1302" s="60">
        <v>4824</v>
      </c>
      <c r="AQ1302" s="60" t="s">
        <v>136</v>
      </c>
      <c r="AU1302" s="60">
        <v>1</v>
      </c>
    </row>
    <row r="1303" s="46" customFormat="1" spans="1:43">
      <c r="A1303" s="46">
        <v>1299</v>
      </c>
      <c r="B1303" s="46" t="s">
        <v>4781</v>
      </c>
      <c r="D1303" s="46">
        <v>1</v>
      </c>
      <c r="E1303" s="46">
        <v>0</v>
      </c>
      <c r="G1303" s="46">
        <v>1</v>
      </c>
      <c r="H1303" s="609" t="s">
        <v>4782</v>
      </c>
      <c r="I1303" s="46">
        <v>3</v>
      </c>
      <c r="J1303" s="46">
        <f t="shared" si="152"/>
        <v>3</v>
      </c>
      <c r="L1303" s="46">
        <v>1</v>
      </c>
      <c r="M1303" s="46">
        <f t="shared" si="153"/>
        <v>2.6</v>
      </c>
      <c r="N1303" s="46" t="s">
        <v>4783</v>
      </c>
      <c r="O1303" s="46">
        <v>1</v>
      </c>
      <c r="P1303" s="46">
        <v>2.7</v>
      </c>
      <c r="Q1303" s="46">
        <v>0</v>
      </c>
      <c r="V1303" s="46">
        <v>6</v>
      </c>
      <c r="W1303" s="46">
        <v>0</v>
      </c>
      <c r="X1303" s="380">
        <v>3</v>
      </c>
      <c r="Y1303" s="46">
        <v>-0.1</v>
      </c>
      <c r="Z1303" s="46">
        <v>0</v>
      </c>
      <c r="AN1303" s="627"/>
      <c r="AP1303" s="46">
        <v>4850</v>
      </c>
      <c r="AQ1303" s="46" t="s">
        <v>136</v>
      </c>
    </row>
    <row r="1304" s="46" customFormat="1" ht="15" spans="1:40">
      <c r="A1304" s="46">
        <v>1300</v>
      </c>
      <c r="B1304" s="46" t="s">
        <v>4784</v>
      </c>
      <c r="C1304" s="46" t="s">
        <v>4785</v>
      </c>
      <c r="D1304" s="46">
        <v>1</v>
      </c>
      <c r="E1304" s="46">
        <v>0</v>
      </c>
      <c r="G1304" s="46">
        <v>1</v>
      </c>
      <c r="H1304" s="609" t="s">
        <v>4786</v>
      </c>
      <c r="I1304" s="46">
        <v>3.06666666666667</v>
      </c>
      <c r="J1304" s="46">
        <f t="shared" ref="J1304:J1314" si="155">I1304</f>
        <v>3.06666666666667</v>
      </c>
      <c r="L1304" s="46">
        <v>0</v>
      </c>
      <c r="M1304" s="46">
        <f t="shared" ref="M1304:M1315" si="156">I1304-0.4</f>
        <v>2.66666666666667</v>
      </c>
      <c r="N1304" s="46" t="s">
        <v>4787</v>
      </c>
      <c r="O1304" s="46">
        <v>1</v>
      </c>
      <c r="P1304" s="46">
        <v>2.7</v>
      </c>
      <c r="Q1304" s="46">
        <v>0</v>
      </c>
      <c r="V1304" s="46">
        <v>6</v>
      </c>
      <c r="W1304" s="46">
        <v>0</v>
      </c>
      <c r="X1304" s="380">
        <v>1</v>
      </c>
      <c r="Y1304" s="46">
        <v>-0.1</v>
      </c>
      <c r="Z1304" s="46">
        <v>0</v>
      </c>
      <c r="AN1304" s="627"/>
    </row>
    <row r="1305" s="46" customFormat="1" ht="15" spans="1:43">
      <c r="A1305" s="46">
        <v>1301</v>
      </c>
      <c r="B1305" s="46" t="s">
        <v>4788</v>
      </c>
      <c r="C1305" s="610" t="s">
        <v>4789</v>
      </c>
      <c r="D1305" s="46">
        <v>1</v>
      </c>
      <c r="E1305" s="46">
        <v>0</v>
      </c>
      <c r="G1305" s="46">
        <v>1</v>
      </c>
      <c r="H1305" s="609" t="s">
        <v>4790</v>
      </c>
      <c r="I1305" s="46">
        <v>3.96666666666667</v>
      </c>
      <c r="J1305" s="46">
        <f t="shared" si="155"/>
        <v>3.96666666666667</v>
      </c>
      <c r="L1305" s="46">
        <v>1</v>
      </c>
      <c r="M1305" s="46">
        <f t="shared" si="156"/>
        <v>3.56666666666667</v>
      </c>
      <c r="N1305" s="46" t="s">
        <v>4791</v>
      </c>
      <c r="O1305" s="46">
        <v>1</v>
      </c>
      <c r="P1305" s="46">
        <v>2.7</v>
      </c>
      <c r="Q1305" s="46">
        <v>0</v>
      </c>
      <c r="S1305" s="46">
        <v>2</v>
      </c>
      <c r="T1305" s="46">
        <v>1</v>
      </c>
      <c r="U1305" s="46">
        <v>1</v>
      </c>
      <c r="V1305" s="46">
        <v>6</v>
      </c>
      <c r="W1305" s="46">
        <v>6</v>
      </c>
      <c r="X1305" s="380">
        <v>5</v>
      </c>
      <c r="Y1305" s="46">
        <v>-0.1</v>
      </c>
      <c r="Z1305" s="46">
        <v>0</v>
      </c>
      <c r="AN1305" s="627"/>
      <c r="AP1305" s="46">
        <v>4855</v>
      </c>
      <c r="AQ1305" s="46" t="s">
        <v>136</v>
      </c>
    </row>
    <row r="1306" s="46" customFormat="1" ht="15" spans="1:43">
      <c r="A1306" s="46">
        <v>1302</v>
      </c>
      <c r="B1306" s="46" t="s">
        <v>4792</v>
      </c>
      <c r="C1306" s="610" t="s">
        <v>4793</v>
      </c>
      <c r="D1306" s="46">
        <v>1</v>
      </c>
      <c r="E1306" s="46">
        <v>0</v>
      </c>
      <c r="G1306" s="46">
        <v>1</v>
      </c>
      <c r="H1306" s="609" t="s">
        <v>4794</v>
      </c>
      <c r="I1306" s="46">
        <v>2.53333333333333</v>
      </c>
      <c r="J1306" s="46">
        <f t="shared" si="155"/>
        <v>2.53333333333333</v>
      </c>
      <c r="L1306" s="46">
        <v>1</v>
      </c>
      <c r="M1306" s="46">
        <f t="shared" si="156"/>
        <v>2.13333333333333</v>
      </c>
      <c r="N1306" s="46" t="s">
        <v>4795</v>
      </c>
      <c r="O1306" s="46">
        <v>1</v>
      </c>
      <c r="P1306" s="46">
        <v>2.7</v>
      </c>
      <c r="Q1306" s="46">
        <v>0</v>
      </c>
      <c r="S1306" s="46">
        <v>2</v>
      </c>
      <c r="T1306" s="46">
        <v>1</v>
      </c>
      <c r="U1306" s="46">
        <v>1</v>
      </c>
      <c r="V1306" s="46">
        <v>6</v>
      </c>
      <c r="W1306" s="46">
        <v>4</v>
      </c>
      <c r="X1306" s="380">
        <v>1</v>
      </c>
      <c r="Y1306" s="46">
        <v>-0.1</v>
      </c>
      <c r="Z1306" s="46">
        <v>0</v>
      </c>
      <c r="AN1306" s="627"/>
      <c r="AP1306" s="46">
        <v>4857</v>
      </c>
      <c r="AQ1306" s="46" t="s">
        <v>136</v>
      </c>
    </row>
    <row r="1307" s="46" customFormat="1" ht="15" spans="1:45">
      <c r="A1307" s="46">
        <v>1303</v>
      </c>
      <c r="B1307" s="46" t="s">
        <v>4796</v>
      </c>
      <c r="C1307" s="610" t="s">
        <v>4797</v>
      </c>
      <c r="D1307" s="46">
        <v>1</v>
      </c>
      <c r="E1307" s="46">
        <v>0</v>
      </c>
      <c r="G1307" s="46">
        <v>1</v>
      </c>
      <c r="H1307" s="609" t="s">
        <v>4798</v>
      </c>
      <c r="I1307" s="46">
        <v>2.3</v>
      </c>
      <c r="J1307" s="46">
        <f t="shared" si="155"/>
        <v>2.3</v>
      </c>
      <c r="L1307" s="46">
        <v>1</v>
      </c>
      <c r="M1307" s="46">
        <f t="shared" si="156"/>
        <v>1.9</v>
      </c>
      <c r="N1307" s="46" t="s">
        <v>4799</v>
      </c>
      <c r="O1307" s="46">
        <v>1</v>
      </c>
      <c r="P1307" s="46">
        <v>2.7</v>
      </c>
      <c r="Q1307" s="46">
        <v>0</v>
      </c>
      <c r="S1307" s="28">
        <v>1</v>
      </c>
      <c r="T1307" s="28"/>
      <c r="U1307" s="28">
        <v>2</v>
      </c>
      <c r="V1307" s="46">
        <v>6</v>
      </c>
      <c r="W1307" s="46">
        <v>8</v>
      </c>
      <c r="X1307" s="380">
        <v>1</v>
      </c>
      <c r="Y1307" s="46">
        <v>-0.1</v>
      </c>
      <c r="Z1307" s="46">
        <v>0</v>
      </c>
      <c r="AN1307" s="627"/>
      <c r="AP1307" s="46">
        <v>4859</v>
      </c>
      <c r="AQ1307" s="46" t="s">
        <v>136</v>
      </c>
      <c r="AS1307" s="67"/>
    </row>
    <row r="1308" s="46" customFormat="1" ht="15" spans="1:47">
      <c r="A1308" s="46">
        <v>1304</v>
      </c>
      <c r="B1308" s="46" t="s">
        <v>4800</v>
      </c>
      <c r="C1308" s="610" t="s">
        <v>4801</v>
      </c>
      <c r="D1308" s="46">
        <v>1</v>
      </c>
      <c r="E1308" s="46">
        <v>0</v>
      </c>
      <c r="G1308" s="46">
        <v>1</v>
      </c>
      <c r="H1308" s="609" t="s">
        <v>4802</v>
      </c>
      <c r="I1308" s="46">
        <v>11.4</v>
      </c>
      <c r="J1308" s="46">
        <f t="shared" si="155"/>
        <v>11.4</v>
      </c>
      <c r="L1308" s="46">
        <v>1</v>
      </c>
      <c r="M1308" s="46">
        <f t="shared" si="156"/>
        <v>11</v>
      </c>
      <c r="N1308" s="620" t="s">
        <v>4803</v>
      </c>
      <c r="O1308" s="46">
        <v>1</v>
      </c>
      <c r="P1308" s="46">
        <v>32</v>
      </c>
      <c r="Q1308" s="46">
        <v>0</v>
      </c>
      <c r="V1308" s="46">
        <v>6</v>
      </c>
      <c r="W1308" s="46">
        <v>0</v>
      </c>
      <c r="X1308" s="380">
        <v>1</v>
      </c>
      <c r="Y1308" s="46">
        <v>-0.1</v>
      </c>
      <c r="Z1308" s="46">
        <v>0</v>
      </c>
      <c r="AB1308" s="46">
        <f>I1308-0.3</f>
        <v>11.1</v>
      </c>
      <c r="AC1308" s="46">
        <v>1</v>
      </c>
      <c r="AD1308" s="46">
        <v>1</v>
      </c>
      <c r="AE1308" s="46" t="s">
        <v>4804</v>
      </c>
      <c r="AF1308" s="46">
        <v>0.5</v>
      </c>
      <c r="AN1308" s="627" t="s">
        <v>4805</v>
      </c>
      <c r="AO1308" s="46" t="s">
        <v>4806</v>
      </c>
      <c r="AP1308" s="46">
        <v>4861</v>
      </c>
      <c r="AQ1308" s="46" t="s">
        <v>136</v>
      </c>
      <c r="AS1308" s="46" t="s">
        <v>4807</v>
      </c>
      <c r="AU1308" s="46">
        <v>1</v>
      </c>
    </row>
    <row r="1309" s="46" customFormat="1" ht="13" customHeight="1" spans="1:47">
      <c r="A1309" s="46">
        <v>1305</v>
      </c>
      <c r="B1309" s="46" t="s">
        <v>4808</v>
      </c>
      <c r="C1309" s="610" t="s">
        <v>4809</v>
      </c>
      <c r="D1309" s="46">
        <v>1</v>
      </c>
      <c r="E1309" s="46">
        <v>0</v>
      </c>
      <c r="G1309" s="46">
        <v>1</v>
      </c>
      <c r="H1309" s="609" t="s">
        <v>4810</v>
      </c>
      <c r="I1309" s="46">
        <v>8.2</v>
      </c>
      <c r="J1309" s="46">
        <f t="shared" si="155"/>
        <v>8.2</v>
      </c>
      <c r="L1309" s="46">
        <v>1</v>
      </c>
      <c r="M1309" s="46">
        <f t="shared" si="156"/>
        <v>7.8</v>
      </c>
      <c r="N1309" s="46" t="s">
        <v>4811</v>
      </c>
      <c r="O1309" s="46">
        <v>1</v>
      </c>
      <c r="P1309" s="46">
        <v>65</v>
      </c>
      <c r="Q1309" s="46">
        <v>0</v>
      </c>
      <c r="V1309" s="46">
        <v>6</v>
      </c>
      <c r="W1309" s="46">
        <v>6</v>
      </c>
      <c r="X1309" s="380">
        <v>1</v>
      </c>
      <c r="Y1309" s="46">
        <v>-0.1</v>
      </c>
      <c r="Z1309" s="46">
        <v>0</v>
      </c>
      <c r="AB1309" s="46">
        <f>I1309-0.3</f>
        <v>7.9</v>
      </c>
      <c r="AC1309" s="46">
        <v>1</v>
      </c>
      <c r="AD1309" s="46">
        <v>1</v>
      </c>
      <c r="AE1309" s="46" t="s">
        <v>4812</v>
      </c>
      <c r="AF1309" s="46">
        <v>0.5</v>
      </c>
      <c r="AN1309" s="46" t="s">
        <v>4813</v>
      </c>
      <c r="AO1309" s="46" t="s">
        <v>4814</v>
      </c>
      <c r="AP1309" s="46">
        <v>4866</v>
      </c>
      <c r="AQ1309" s="46" t="s">
        <v>136</v>
      </c>
      <c r="AU1309" s="46">
        <v>1</v>
      </c>
    </row>
    <row r="1310" s="46" customFormat="1" ht="15" spans="1:47">
      <c r="A1310" s="46">
        <v>1306</v>
      </c>
      <c r="B1310" s="46" t="s">
        <v>4815</v>
      </c>
      <c r="C1310" s="610" t="s">
        <v>4816</v>
      </c>
      <c r="D1310" s="46">
        <v>1</v>
      </c>
      <c r="E1310" s="46">
        <v>0</v>
      </c>
      <c r="G1310" s="46">
        <v>1</v>
      </c>
      <c r="H1310" s="609" t="s">
        <v>4817</v>
      </c>
      <c r="I1310" s="46">
        <v>7.66666666666667</v>
      </c>
      <c r="J1310" s="46">
        <f t="shared" si="155"/>
        <v>7.66666666666667</v>
      </c>
      <c r="L1310" s="46">
        <v>1</v>
      </c>
      <c r="M1310" s="46">
        <f t="shared" si="156"/>
        <v>7.26666666666667</v>
      </c>
      <c r="N1310" s="46" t="s">
        <v>4818</v>
      </c>
      <c r="O1310" s="46">
        <v>1</v>
      </c>
      <c r="P1310" s="46">
        <v>23</v>
      </c>
      <c r="Q1310" s="46">
        <v>0</v>
      </c>
      <c r="V1310" s="46">
        <v>6</v>
      </c>
      <c r="W1310" s="46">
        <v>6</v>
      </c>
      <c r="X1310" s="380">
        <v>1</v>
      </c>
      <c r="Y1310" s="46">
        <v>-0.1</v>
      </c>
      <c r="Z1310" s="46">
        <v>0</v>
      </c>
      <c r="AB1310" s="46">
        <f>I1310-0.3</f>
        <v>7.36666666666667</v>
      </c>
      <c r="AC1310" s="46">
        <v>1</v>
      </c>
      <c r="AD1310" s="46">
        <v>1</v>
      </c>
      <c r="AE1310" s="46" t="s">
        <v>4819</v>
      </c>
      <c r="AF1310" s="46">
        <v>0.5</v>
      </c>
      <c r="AN1310" s="628">
        <v>4871</v>
      </c>
      <c r="AO1310" s="46" t="s">
        <v>4820</v>
      </c>
      <c r="AP1310" s="46">
        <v>4870</v>
      </c>
      <c r="AQ1310" s="46" t="s">
        <v>136</v>
      </c>
      <c r="AU1310" s="46">
        <v>1</v>
      </c>
    </row>
    <row r="1311" s="46" customFormat="1" ht="15" spans="1:43">
      <c r="A1311" s="46">
        <v>1307</v>
      </c>
      <c r="B1311" s="46" t="s">
        <v>4796</v>
      </c>
      <c r="C1311" s="611" t="s">
        <v>4821</v>
      </c>
      <c r="D1311" s="46">
        <v>1</v>
      </c>
      <c r="E1311" s="46">
        <v>0</v>
      </c>
      <c r="G1311" s="46">
        <v>1</v>
      </c>
      <c r="H1311" s="609" t="s">
        <v>4798</v>
      </c>
      <c r="I1311" s="46">
        <v>2.3</v>
      </c>
      <c r="J1311" s="46">
        <f t="shared" si="155"/>
        <v>2.3</v>
      </c>
      <c r="L1311" s="46">
        <v>1</v>
      </c>
      <c r="M1311" s="46">
        <f t="shared" si="156"/>
        <v>1.9</v>
      </c>
      <c r="N1311" s="46" t="s">
        <v>4799</v>
      </c>
      <c r="O1311" s="46">
        <v>1</v>
      </c>
      <c r="P1311" s="46">
        <v>2.7</v>
      </c>
      <c r="Q1311" s="46">
        <v>0</v>
      </c>
      <c r="S1311" s="28">
        <v>1</v>
      </c>
      <c r="T1311" s="28"/>
      <c r="U1311" s="28">
        <v>2</v>
      </c>
      <c r="V1311" s="46">
        <v>6</v>
      </c>
      <c r="W1311" s="46">
        <v>16</v>
      </c>
      <c r="X1311" s="380">
        <v>1</v>
      </c>
      <c r="Y1311" s="46">
        <v>-0.1</v>
      </c>
      <c r="Z1311" s="46">
        <v>0</v>
      </c>
      <c r="AN1311" s="627"/>
      <c r="AP1311" s="46">
        <v>4859</v>
      </c>
      <c r="AQ1311" s="46" t="s">
        <v>136</v>
      </c>
    </row>
    <row r="1312" s="28" customFormat="1" spans="1:43">
      <c r="A1312" s="28">
        <v>1308</v>
      </c>
      <c r="B1312" s="28" t="s">
        <v>4822</v>
      </c>
      <c r="C1312" s="28" t="s">
        <v>4823</v>
      </c>
      <c r="D1312" s="28">
        <v>1</v>
      </c>
      <c r="E1312" s="28">
        <v>0</v>
      </c>
      <c r="G1312" s="28">
        <v>1</v>
      </c>
      <c r="H1312" s="202">
        <v>10311</v>
      </c>
      <c r="I1312" s="28">
        <f>101/30</f>
        <v>3.36666666666667</v>
      </c>
      <c r="J1312" s="28">
        <f t="shared" si="155"/>
        <v>3.36666666666667</v>
      </c>
      <c r="L1312" s="28">
        <v>1</v>
      </c>
      <c r="M1312" s="28">
        <f t="shared" si="156"/>
        <v>2.96666666666667</v>
      </c>
      <c r="N1312" s="28" t="s">
        <v>4824</v>
      </c>
      <c r="O1312" s="28">
        <v>1</v>
      </c>
      <c r="P1312" s="463">
        <v>2.4</v>
      </c>
      <c r="Q1312" s="28">
        <v>0</v>
      </c>
      <c r="S1312" s="50">
        <v>0.5</v>
      </c>
      <c r="T1312" s="50"/>
      <c r="U1312" s="50">
        <v>0.5</v>
      </c>
      <c r="V1312" s="28">
        <v>6</v>
      </c>
      <c r="W1312" s="28">
        <v>0</v>
      </c>
      <c r="X1312" s="218">
        <v>6</v>
      </c>
      <c r="Y1312" s="28">
        <v>-0.1</v>
      </c>
      <c r="Z1312" s="28">
        <v>0</v>
      </c>
      <c r="AN1312" s="221"/>
      <c r="AP1312" s="28">
        <v>4877</v>
      </c>
      <c r="AQ1312" s="28" t="s">
        <v>136</v>
      </c>
    </row>
    <row r="1313" s="28" customFormat="1" ht="13" customHeight="1" spans="1:43">
      <c r="A1313" s="28">
        <v>1309</v>
      </c>
      <c r="B1313" s="28" t="s">
        <v>4825</v>
      </c>
      <c r="C1313" s="28" t="s">
        <v>4826</v>
      </c>
      <c r="D1313" s="28">
        <v>1</v>
      </c>
      <c r="E1313" s="28">
        <v>0</v>
      </c>
      <c r="G1313" s="28">
        <v>1</v>
      </c>
      <c r="H1313" s="202">
        <v>10312</v>
      </c>
      <c r="I1313" s="28">
        <f>59/30</f>
        <v>1.96666666666667</v>
      </c>
      <c r="J1313" s="28">
        <f t="shared" si="155"/>
        <v>1.96666666666667</v>
      </c>
      <c r="L1313" s="28">
        <v>1</v>
      </c>
      <c r="M1313" s="28">
        <f t="shared" si="156"/>
        <v>1.56666666666667</v>
      </c>
      <c r="N1313" s="28" t="s">
        <v>4827</v>
      </c>
      <c r="O1313" s="28">
        <v>1</v>
      </c>
      <c r="P1313" s="463">
        <v>2.4</v>
      </c>
      <c r="Q1313" s="28">
        <v>0</v>
      </c>
      <c r="S1313" s="50"/>
      <c r="T1313" s="50"/>
      <c r="U1313" s="50">
        <v>0.7</v>
      </c>
      <c r="V1313" s="28">
        <v>6</v>
      </c>
      <c r="W1313" s="28">
        <v>4</v>
      </c>
      <c r="X1313" s="218">
        <v>1</v>
      </c>
      <c r="Y1313" s="28">
        <v>-0.1</v>
      </c>
      <c r="Z1313" s="28">
        <v>0</v>
      </c>
      <c r="AP1313" s="28">
        <v>4880</v>
      </c>
      <c r="AQ1313" s="28" t="s">
        <v>136</v>
      </c>
    </row>
    <row r="1314" s="28" customFormat="1" spans="1:47">
      <c r="A1314" s="28">
        <v>1310</v>
      </c>
      <c r="B1314" s="28" t="s">
        <v>4828</v>
      </c>
      <c r="C1314" s="28" t="s">
        <v>4829</v>
      </c>
      <c r="D1314" s="28">
        <v>1</v>
      </c>
      <c r="E1314" s="28">
        <v>0</v>
      </c>
      <c r="G1314" s="28">
        <v>1</v>
      </c>
      <c r="H1314" s="202">
        <v>10313</v>
      </c>
      <c r="I1314" s="28">
        <f>305/30</f>
        <v>10.1666666666667</v>
      </c>
      <c r="J1314" s="28">
        <f t="shared" si="155"/>
        <v>10.1666666666667</v>
      </c>
      <c r="L1314" s="28">
        <v>1</v>
      </c>
      <c r="M1314" s="28">
        <f t="shared" si="156"/>
        <v>9.76666666666667</v>
      </c>
      <c r="N1314" s="28" t="s">
        <v>4830</v>
      </c>
      <c r="O1314" s="28">
        <v>1</v>
      </c>
      <c r="P1314" s="28">
        <v>35</v>
      </c>
      <c r="Q1314" s="28">
        <v>0</v>
      </c>
      <c r="V1314" s="28">
        <v>6</v>
      </c>
      <c r="W1314" s="28">
        <v>6</v>
      </c>
      <c r="X1314" s="218">
        <v>1</v>
      </c>
      <c r="Y1314" s="28">
        <v>-0.1</v>
      </c>
      <c r="Z1314" s="28">
        <v>0</v>
      </c>
      <c r="AB1314" s="28">
        <f>I1314-0.3</f>
        <v>9.86666666666667</v>
      </c>
      <c r="AC1314" s="28">
        <v>1</v>
      </c>
      <c r="AD1314" s="28">
        <v>1</v>
      </c>
      <c r="AE1314" s="28" t="s">
        <v>4831</v>
      </c>
      <c r="AF1314" s="28">
        <v>0.5</v>
      </c>
      <c r="AN1314" s="629"/>
      <c r="AP1314" s="28">
        <v>4882</v>
      </c>
      <c r="AQ1314" s="28" t="s">
        <v>136</v>
      </c>
      <c r="AU1314" s="28">
        <v>1</v>
      </c>
    </row>
    <row r="1315" s="68" customFormat="1" spans="1:43">
      <c r="A1315" s="80">
        <v>1311</v>
      </c>
      <c r="B1315" s="68" t="s">
        <v>4832</v>
      </c>
      <c r="C1315" s="68" t="s">
        <v>526</v>
      </c>
      <c r="D1315" s="68">
        <v>1</v>
      </c>
      <c r="E1315" s="68">
        <v>0</v>
      </c>
      <c r="G1315" s="68">
        <v>1</v>
      </c>
      <c r="H1315" s="612">
        <v>15101</v>
      </c>
      <c r="I1315" s="68">
        <v>2.7</v>
      </c>
      <c r="J1315" s="68">
        <v>2.7</v>
      </c>
      <c r="L1315" s="68">
        <v>1</v>
      </c>
      <c r="M1315" s="68">
        <v>2.3</v>
      </c>
      <c r="N1315" s="68" t="s">
        <v>4833</v>
      </c>
      <c r="O1315" s="621">
        <v>1</v>
      </c>
      <c r="P1315" s="621">
        <v>2.7</v>
      </c>
      <c r="Q1315" s="621">
        <v>0</v>
      </c>
      <c r="V1315" s="68">
        <v>6</v>
      </c>
      <c r="W1315" s="68">
        <v>0</v>
      </c>
      <c r="X1315" s="622">
        <v>3</v>
      </c>
      <c r="Y1315" s="68">
        <v>-0.1</v>
      </c>
      <c r="Z1315" s="68">
        <v>0</v>
      </c>
      <c r="AN1315" s="630" t="s">
        <v>4834</v>
      </c>
      <c r="AO1315" s="68" t="s">
        <v>2288</v>
      </c>
      <c r="AP1315" s="68">
        <v>4893</v>
      </c>
      <c r="AQ1315" s="68" t="s">
        <v>136</v>
      </c>
    </row>
    <row r="1316" s="68" customFormat="1" spans="1:43">
      <c r="A1316" s="80">
        <v>1312</v>
      </c>
      <c r="B1316" s="68" t="s">
        <v>4835</v>
      </c>
      <c r="C1316" s="68" t="s">
        <v>2923</v>
      </c>
      <c r="D1316" s="68">
        <v>1</v>
      </c>
      <c r="E1316" s="68">
        <v>0</v>
      </c>
      <c r="G1316" s="68">
        <v>1</v>
      </c>
      <c r="H1316" s="612">
        <v>15102</v>
      </c>
      <c r="I1316" s="68">
        <v>2.167</v>
      </c>
      <c r="J1316" s="68">
        <v>2.167</v>
      </c>
      <c r="L1316" s="68">
        <v>1</v>
      </c>
      <c r="M1316" s="68">
        <v>1.767</v>
      </c>
      <c r="N1316" s="68" t="s">
        <v>4836</v>
      </c>
      <c r="O1316" s="621">
        <v>1</v>
      </c>
      <c r="P1316" s="621">
        <v>2.7</v>
      </c>
      <c r="Q1316" s="621">
        <v>0</v>
      </c>
      <c r="V1316" s="68">
        <v>6</v>
      </c>
      <c r="W1316" s="68">
        <v>0</v>
      </c>
      <c r="X1316" s="622">
        <v>1</v>
      </c>
      <c r="Y1316" s="68">
        <v>-0.1</v>
      </c>
      <c r="Z1316" s="68">
        <v>0</v>
      </c>
      <c r="AN1316" s="630"/>
      <c r="AP1316" s="68">
        <v>4896</v>
      </c>
      <c r="AQ1316" s="68" t="s">
        <v>136</v>
      </c>
    </row>
    <row r="1317" s="68" customFormat="1" spans="1:43">
      <c r="A1317" s="80">
        <v>1313</v>
      </c>
      <c r="B1317" s="68" t="s">
        <v>4837</v>
      </c>
      <c r="C1317" s="68" t="s">
        <v>4838</v>
      </c>
      <c r="D1317" s="68">
        <v>1</v>
      </c>
      <c r="E1317" s="68">
        <v>0</v>
      </c>
      <c r="G1317" s="68">
        <v>2</v>
      </c>
      <c r="H1317" s="612">
        <v>15103</v>
      </c>
      <c r="I1317" s="68">
        <v>2.867</v>
      </c>
      <c r="J1317" s="68">
        <v>2.867</v>
      </c>
      <c r="L1317" s="68">
        <v>1</v>
      </c>
      <c r="M1317" s="68">
        <v>2.467</v>
      </c>
      <c r="N1317" s="68" t="s">
        <v>4839</v>
      </c>
      <c r="O1317" s="621">
        <v>1</v>
      </c>
      <c r="P1317" s="621">
        <v>2.7</v>
      </c>
      <c r="Q1317" s="621">
        <v>0</v>
      </c>
      <c r="V1317" s="68">
        <v>6</v>
      </c>
      <c r="W1317" s="68">
        <v>4</v>
      </c>
      <c r="X1317" s="622">
        <v>1</v>
      </c>
      <c r="Y1317" s="68">
        <v>-0.1</v>
      </c>
      <c r="Z1317" s="68">
        <v>0</v>
      </c>
      <c r="AN1317" s="630"/>
      <c r="AP1317" s="68">
        <v>4898</v>
      </c>
      <c r="AQ1317" s="68" t="s">
        <v>136</v>
      </c>
    </row>
    <row r="1318" s="68" customFormat="1" spans="1:47">
      <c r="A1318" s="80">
        <v>1314</v>
      </c>
      <c r="B1318" s="68" t="s">
        <v>4840</v>
      </c>
      <c r="C1318" s="613" t="s">
        <v>2914</v>
      </c>
      <c r="D1318" s="68">
        <v>1</v>
      </c>
      <c r="E1318" s="68">
        <v>0</v>
      </c>
      <c r="G1318" s="68">
        <v>2</v>
      </c>
      <c r="H1318" s="612">
        <v>15104</v>
      </c>
      <c r="I1318" s="68">
        <v>13.1</v>
      </c>
      <c r="J1318" s="68">
        <v>13.1</v>
      </c>
      <c r="L1318" s="68">
        <v>1</v>
      </c>
      <c r="M1318" s="68">
        <v>12.7</v>
      </c>
      <c r="N1318" s="68" t="s">
        <v>4841</v>
      </c>
      <c r="O1318" s="621">
        <v>0</v>
      </c>
      <c r="P1318" s="621">
        <v>2.7</v>
      </c>
      <c r="Q1318" s="621">
        <v>1</v>
      </c>
      <c r="V1318" s="68">
        <v>6</v>
      </c>
      <c r="W1318" s="68">
        <v>6</v>
      </c>
      <c r="X1318" s="622">
        <v>1</v>
      </c>
      <c r="Y1318" s="68">
        <v>-0.1</v>
      </c>
      <c r="Z1318" s="68">
        <v>0</v>
      </c>
      <c r="AB1318" s="68">
        <v>12.8</v>
      </c>
      <c r="AC1318" s="68">
        <v>1</v>
      </c>
      <c r="AD1318" s="68">
        <v>1</v>
      </c>
      <c r="AE1318" s="68" t="s">
        <v>4842</v>
      </c>
      <c r="AF1318" s="68">
        <v>0.5</v>
      </c>
      <c r="AN1318" s="630" t="s">
        <v>4843</v>
      </c>
      <c r="AO1318" s="68" t="s">
        <v>4844</v>
      </c>
      <c r="AP1318" s="68">
        <v>4900</v>
      </c>
      <c r="AQ1318" s="68" t="s">
        <v>136</v>
      </c>
      <c r="AU1318" s="68">
        <v>1</v>
      </c>
    </row>
    <row r="1319" s="68" customFormat="1" spans="1:47">
      <c r="A1319" s="80">
        <v>1315</v>
      </c>
      <c r="B1319" s="68" t="s">
        <v>4845</v>
      </c>
      <c r="C1319" s="613" t="s">
        <v>4846</v>
      </c>
      <c r="D1319" s="68">
        <v>1</v>
      </c>
      <c r="E1319" s="68">
        <v>0</v>
      </c>
      <c r="G1319" s="68">
        <v>1</v>
      </c>
      <c r="H1319" s="612">
        <v>15105</v>
      </c>
      <c r="I1319" s="68">
        <v>6.267</v>
      </c>
      <c r="J1319" s="68">
        <v>6.267</v>
      </c>
      <c r="L1319" s="68">
        <v>1</v>
      </c>
      <c r="M1319" s="68">
        <v>5.867</v>
      </c>
      <c r="N1319" s="68" t="s">
        <v>4847</v>
      </c>
      <c r="O1319" s="621">
        <v>1</v>
      </c>
      <c r="P1319" s="621">
        <v>5</v>
      </c>
      <c r="Q1319" s="621">
        <v>0</v>
      </c>
      <c r="V1319" s="68">
        <v>6</v>
      </c>
      <c r="W1319" s="68">
        <v>0</v>
      </c>
      <c r="X1319" s="622">
        <v>5</v>
      </c>
      <c r="Y1319" s="68">
        <v>-0.1</v>
      </c>
      <c r="Z1319" s="68">
        <v>0</v>
      </c>
      <c r="AB1319" s="68">
        <v>5.967</v>
      </c>
      <c r="AC1319" s="68">
        <v>1</v>
      </c>
      <c r="AD1319" s="68">
        <v>1</v>
      </c>
      <c r="AE1319" s="68" t="s">
        <v>4848</v>
      </c>
      <c r="AF1319" s="68">
        <v>0.5</v>
      </c>
      <c r="AN1319" s="630"/>
      <c r="AP1319" s="68">
        <v>4905</v>
      </c>
      <c r="AQ1319" s="68" t="s">
        <v>136</v>
      </c>
      <c r="AU1319" s="68">
        <v>1</v>
      </c>
    </row>
    <row r="1320" s="68" customFormat="1" spans="1:43">
      <c r="A1320" s="80">
        <v>1316</v>
      </c>
      <c r="B1320" s="68" t="s">
        <v>4849</v>
      </c>
      <c r="C1320" s="68" t="s">
        <v>4850</v>
      </c>
      <c r="D1320" s="68">
        <v>1</v>
      </c>
      <c r="E1320" s="68">
        <v>0</v>
      </c>
      <c r="G1320" s="68">
        <v>1</v>
      </c>
      <c r="H1320" s="612">
        <v>3010401</v>
      </c>
      <c r="I1320" s="68">
        <v>2.467</v>
      </c>
      <c r="J1320" s="68">
        <v>2.467</v>
      </c>
      <c r="L1320" s="68">
        <v>1</v>
      </c>
      <c r="M1320" s="68">
        <v>2.067</v>
      </c>
      <c r="N1320" s="68" t="s">
        <v>4851</v>
      </c>
      <c r="O1320" s="621">
        <v>1</v>
      </c>
      <c r="P1320" s="621">
        <v>2.7</v>
      </c>
      <c r="Q1320" s="621">
        <v>0</v>
      </c>
      <c r="V1320" s="68">
        <v>6</v>
      </c>
      <c r="W1320" s="68">
        <v>0</v>
      </c>
      <c r="X1320" s="622">
        <v>3</v>
      </c>
      <c r="Y1320" s="68">
        <v>-0.1</v>
      </c>
      <c r="Z1320" s="68">
        <v>0</v>
      </c>
      <c r="AN1320" s="630" t="s">
        <v>4852</v>
      </c>
      <c r="AO1320" s="68" t="s">
        <v>2288</v>
      </c>
      <c r="AP1320" s="68">
        <v>4907</v>
      </c>
      <c r="AQ1320" s="68" t="s">
        <v>136</v>
      </c>
    </row>
    <row r="1321" s="68" customFormat="1" spans="1:43">
      <c r="A1321" s="80">
        <v>1317</v>
      </c>
      <c r="B1321" s="68" t="s">
        <v>4853</v>
      </c>
      <c r="C1321" s="68" t="s">
        <v>4854</v>
      </c>
      <c r="D1321" s="68">
        <v>1</v>
      </c>
      <c r="E1321" s="68">
        <v>0</v>
      </c>
      <c r="G1321" s="68">
        <v>1</v>
      </c>
      <c r="H1321" s="612">
        <v>3010402</v>
      </c>
      <c r="I1321" s="68">
        <v>2.133</v>
      </c>
      <c r="J1321" s="68">
        <v>2.133</v>
      </c>
      <c r="L1321" s="68">
        <v>1</v>
      </c>
      <c r="M1321" s="68">
        <v>1.733</v>
      </c>
      <c r="N1321" s="68" t="s">
        <v>4855</v>
      </c>
      <c r="O1321" s="621">
        <v>1</v>
      </c>
      <c r="P1321" s="621">
        <v>2.7</v>
      </c>
      <c r="Q1321" s="621">
        <v>0</v>
      </c>
      <c r="V1321" s="68">
        <v>6</v>
      </c>
      <c r="W1321" s="68">
        <v>0</v>
      </c>
      <c r="X1321" s="622">
        <v>3</v>
      </c>
      <c r="Y1321" s="68">
        <v>-0.1</v>
      </c>
      <c r="Z1321" s="68">
        <v>0</v>
      </c>
      <c r="AN1321" s="630" t="s">
        <v>4856</v>
      </c>
      <c r="AO1321" s="68" t="s">
        <v>2288</v>
      </c>
      <c r="AP1321" s="68">
        <v>4911</v>
      </c>
      <c r="AQ1321" s="68" t="s">
        <v>136</v>
      </c>
    </row>
    <row r="1322" s="68" customFormat="1" spans="1:43">
      <c r="A1322" s="80">
        <v>1318</v>
      </c>
      <c r="B1322" s="68" t="s">
        <v>4857</v>
      </c>
      <c r="C1322" s="68" t="s">
        <v>2966</v>
      </c>
      <c r="D1322" s="68">
        <v>1</v>
      </c>
      <c r="E1322" s="68">
        <v>0</v>
      </c>
      <c r="G1322" s="68">
        <v>1</v>
      </c>
      <c r="H1322" s="612">
        <v>3010403</v>
      </c>
      <c r="I1322" s="68">
        <v>2.067</v>
      </c>
      <c r="J1322" s="68">
        <v>2.067</v>
      </c>
      <c r="L1322" s="68">
        <v>1</v>
      </c>
      <c r="M1322" s="68">
        <v>1.667</v>
      </c>
      <c r="N1322" s="68" t="s">
        <v>4858</v>
      </c>
      <c r="O1322" s="621">
        <v>1</v>
      </c>
      <c r="P1322" s="621">
        <v>2.7</v>
      </c>
      <c r="Q1322" s="621">
        <v>0</v>
      </c>
      <c r="V1322" s="68">
        <v>6</v>
      </c>
      <c r="W1322" s="68">
        <v>8</v>
      </c>
      <c r="X1322" s="622">
        <v>2</v>
      </c>
      <c r="Y1322" s="68">
        <v>-0.1</v>
      </c>
      <c r="Z1322" s="68">
        <v>0</v>
      </c>
      <c r="AN1322" s="630" t="s">
        <v>4859</v>
      </c>
      <c r="AO1322" s="68" t="s">
        <v>2288</v>
      </c>
      <c r="AP1322" s="68">
        <v>4915</v>
      </c>
      <c r="AQ1322" s="68" t="s">
        <v>136</v>
      </c>
    </row>
    <row r="1323" s="68" customFormat="1" spans="1:47">
      <c r="A1323" s="80">
        <v>1319</v>
      </c>
      <c r="B1323" s="68" t="s">
        <v>4860</v>
      </c>
      <c r="C1323" s="613" t="s">
        <v>4861</v>
      </c>
      <c r="D1323" s="68">
        <v>1</v>
      </c>
      <c r="E1323" s="68">
        <v>0</v>
      </c>
      <c r="G1323" s="68">
        <v>2</v>
      </c>
      <c r="H1323" s="612">
        <v>3010404</v>
      </c>
      <c r="I1323" s="68">
        <v>6.3</v>
      </c>
      <c r="J1323" s="68">
        <v>6.3</v>
      </c>
      <c r="L1323" s="68">
        <v>1</v>
      </c>
      <c r="M1323" s="68">
        <v>5.9</v>
      </c>
      <c r="N1323" s="68" t="s">
        <v>4862</v>
      </c>
      <c r="O1323" s="621">
        <v>0</v>
      </c>
      <c r="P1323" s="621">
        <v>2.7</v>
      </c>
      <c r="Q1323" s="621">
        <v>1</v>
      </c>
      <c r="V1323" s="68">
        <v>6</v>
      </c>
      <c r="W1323" s="68">
        <v>6</v>
      </c>
      <c r="X1323" s="622">
        <v>1</v>
      </c>
      <c r="Y1323" s="68">
        <v>-0.1</v>
      </c>
      <c r="Z1323" s="68">
        <v>0</v>
      </c>
      <c r="AB1323" s="68">
        <v>6</v>
      </c>
      <c r="AC1323" s="68">
        <v>1</v>
      </c>
      <c r="AD1323" s="68">
        <v>1</v>
      </c>
      <c r="AE1323" s="68" t="s">
        <v>4863</v>
      </c>
      <c r="AF1323" s="68">
        <v>0.5</v>
      </c>
      <c r="AN1323" s="630" t="s">
        <v>4864</v>
      </c>
      <c r="AO1323" s="68" t="s">
        <v>4865</v>
      </c>
      <c r="AP1323" s="68">
        <v>4919</v>
      </c>
      <c r="AQ1323" s="68" t="s">
        <v>136</v>
      </c>
      <c r="AU1323" s="68">
        <v>1</v>
      </c>
    </row>
    <row r="1324" s="69" customFormat="1" spans="1:47">
      <c r="A1324" s="614">
        <v>1320</v>
      </c>
      <c r="B1324" s="69" t="s">
        <v>4866</v>
      </c>
      <c r="C1324" s="69" t="s">
        <v>4867</v>
      </c>
      <c r="D1324" s="69">
        <v>1</v>
      </c>
      <c r="E1324" s="69">
        <v>0</v>
      </c>
      <c r="G1324" s="69">
        <v>1</v>
      </c>
      <c r="H1324" s="615">
        <v>15009</v>
      </c>
      <c r="I1324" s="69">
        <v>4.233</v>
      </c>
      <c r="J1324" s="69">
        <v>4.233</v>
      </c>
      <c r="L1324" s="69">
        <v>1</v>
      </c>
      <c r="M1324" s="69">
        <v>3.833</v>
      </c>
      <c r="N1324" s="69" t="s">
        <v>4868</v>
      </c>
      <c r="O1324" s="69">
        <v>1</v>
      </c>
      <c r="P1324" s="621">
        <v>30</v>
      </c>
      <c r="Q1324" s="69">
        <v>0</v>
      </c>
      <c r="V1324" s="69">
        <v>6</v>
      </c>
      <c r="W1324" s="69">
        <v>16</v>
      </c>
      <c r="X1324" s="623">
        <v>1</v>
      </c>
      <c r="Y1324" s="69">
        <v>-0.1</v>
      </c>
      <c r="Z1324" s="69">
        <v>0</v>
      </c>
      <c r="AA1324" s="69">
        <v>1</v>
      </c>
      <c r="AB1324" s="69">
        <f>I1324-0.4</f>
        <v>3.833</v>
      </c>
      <c r="AC1324" s="69">
        <v>1</v>
      </c>
      <c r="AD1324" s="69">
        <v>1</v>
      </c>
      <c r="AE1324" s="69" t="s">
        <v>4869</v>
      </c>
      <c r="AF1324" s="69">
        <v>0.5</v>
      </c>
      <c r="AN1324" s="631">
        <v>4889</v>
      </c>
      <c r="AO1324" s="69" t="s">
        <v>4870</v>
      </c>
      <c r="AP1324" s="69">
        <v>4888</v>
      </c>
      <c r="AQ1324" s="69" t="s">
        <v>136</v>
      </c>
      <c r="AU1324" s="69">
        <v>1</v>
      </c>
    </row>
    <row r="1325" s="69" customFormat="1" spans="1:47">
      <c r="A1325" s="614">
        <v>1321</v>
      </c>
      <c r="B1325" s="69" t="s">
        <v>4871</v>
      </c>
      <c r="C1325" s="69" t="s">
        <v>4872</v>
      </c>
      <c r="D1325" s="69">
        <v>1</v>
      </c>
      <c r="E1325" s="69">
        <v>0</v>
      </c>
      <c r="G1325" s="69">
        <v>1</v>
      </c>
      <c r="H1325" s="615">
        <v>15010</v>
      </c>
      <c r="I1325" s="69">
        <v>7.767</v>
      </c>
      <c r="J1325" s="69">
        <v>7.767</v>
      </c>
      <c r="L1325" s="69">
        <v>1</v>
      </c>
      <c r="M1325" s="69">
        <v>7.367</v>
      </c>
      <c r="N1325" s="69" t="s">
        <v>4873</v>
      </c>
      <c r="O1325" s="69">
        <v>1</v>
      </c>
      <c r="P1325" s="621">
        <v>2.7</v>
      </c>
      <c r="Q1325" s="69">
        <v>0</v>
      </c>
      <c r="V1325" s="69">
        <v>6</v>
      </c>
      <c r="W1325" s="69">
        <v>16</v>
      </c>
      <c r="X1325" s="623">
        <v>8</v>
      </c>
      <c r="Y1325" s="69">
        <v>-0.1</v>
      </c>
      <c r="Z1325" s="69">
        <v>0</v>
      </c>
      <c r="AB1325" s="69">
        <f>I1325-0.3</f>
        <v>7.467</v>
      </c>
      <c r="AC1325" s="69">
        <v>1</v>
      </c>
      <c r="AD1325" s="69">
        <v>1</v>
      </c>
      <c r="AE1325" s="69" t="s">
        <v>4874</v>
      </c>
      <c r="AF1325" s="69">
        <v>0.5</v>
      </c>
      <c r="AN1325" s="631"/>
      <c r="AP1325" s="69">
        <v>4891</v>
      </c>
      <c r="AQ1325" s="69" t="s">
        <v>136</v>
      </c>
      <c r="AU1325" s="69">
        <v>1</v>
      </c>
    </row>
    <row r="1326" s="28" customFormat="1" spans="1:43">
      <c r="A1326" s="28">
        <v>1322</v>
      </c>
      <c r="B1326" s="28" t="s">
        <v>4875</v>
      </c>
      <c r="C1326" s="28" t="s">
        <v>4876</v>
      </c>
      <c r="D1326" s="28">
        <v>1</v>
      </c>
      <c r="E1326" s="28">
        <v>0</v>
      </c>
      <c r="G1326" s="28">
        <v>1</v>
      </c>
      <c r="H1326" s="616">
        <v>4210</v>
      </c>
      <c r="I1326" s="54">
        <f>86/30</f>
        <v>2.86666666666667</v>
      </c>
      <c r="J1326" s="54">
        <f>86/30</f>
        <v>2.86666666666667</v>
      </c>
      <c r="L1326" s="28">
        <v>1</v>
      </c>
      <c r="M1326" s="28">
        <f>I1326-0.4</f>
        <v>2.46666666666667</v>
      </c>
      <c r="N1326" s="28" t="s">
        <v>4877</v>
      </c>
      <c r="O1326" s="28">
        <v>1</v>
      </c>
      <c r="P1326" s="463">
        <v>1.2</v>
      </c>
      <c r="Q1326" s="28">
        <v>0</v>
      </c>
      <c r="S1326" s="28">
        <v>1.5</v>
      </c>
      <c r="T1326" s="28">
        <v>0.5</v>
      </c>
      <c r="U1326" s="28">
        <v>1</v>
      </c>
      <c r="V1326" s="28">
        <v>1</v>
      </c>
      <c r="W1326" s="28">
        <v>0</v>
      </c>
      <c r="X1326" s="28">
        <v>5</v>
      </c>
      <c r="Y1326" s="28">
        <v>-0.1</v>
      </c>
      <c r="Z1326" s="28">
        <v>0</v>
      </c>
      <c r="AN1326" s="28" t="s">
        <v>4878</v>
      </c>
      <c r="AO1326" s="28" t="s">
        <v>4879</v>
      </c>
      <c r="AP1326" s="28">
        <v>4947</v>
      </c>
      <c r="AQ1326" s="28" t="s">
        <v>136</v>
      </c>
    </row>
    <row r="1327" s="28" customFormat="1" ht="13" customHeight="1" spans="1:43">
      <c r="A1327" s="28">
        <v>1323</v>
      </c>
      <c r="B1327" s="28" t="s">
        <v>4880</v>
      </c>
      <c r="C1327" s="28" t="s">
        <v>4881</v>
      </c>
      <c r="D1327" s="28">
        <v>1</v>
      </c>
      <c r="E1327" s="28">
        <v>0</v>
      </c>
      <c r="G1327" s="28">
        <v>1</v>
      </c>
      <c r="H1327" s="616">
        <v>4211</v>
      </c>
      <c r="I1327" s="54">
        <f>105/30</f>
        <v>3.5</v>
      </c>
      <c r="J1327" s="54">
        <f>105/30</f>
        <v>3.5</v>
      </c>
      <c r="L1327" s="28">
        <v>1</v>
      </c>
      <c r="M1327" s="28">
        <f>I1327-0.4</f>
        <v>3.1</v>
      </c>
      <c r="N1327" s="620" t="s">
        <v>4882</v>
      </c>
      <c r="O1327" s="28">
        <v>1</v>
      </c>
      <c r="P1327" s="463">
        <v>1.2</v>
      </c>
      <c r="Q1327" s="28">
        <v>0</v>
      </c>
      <c r="S1327" s="28">
        <v>8</v>
      </c>
      <c r="T1327" s="28">
        <v>1.5</v>
      </c>
      <c r="U1327" s="28">
        <v>2</v>
      </c>
      <c r="V1327" s="28">
        <v>1</v>
      </c>
      <c r="W1327" s="28">
        <v>6</v>
      </c>
      <c r="X1327" s="28">
        <v>3</v>
      </c>
      <c r="Y1327" s="28">
        <v>-0.1</v>
      </c>
      <c r="Z1327" s="28">
        <v>0</v>
      </c>
      <c r="AP1327" s="28">
        <v>4952</v>
      </c>
      <c r="AQ1327" s="28" t="s">
        <v>136</v>
      </c>
    </row>
    <row r="1328" s="28" customFormat="1" spans="1:47">
      <c r="A1328" s="28">
        <v>1324</v>
      </c>
      <c r="B1328" s="28" t="s">
        <v>4883</v>
      </c>
      <c r="C1328" s="28" t="s">
        <v>4884</v>
      </c>
      <c r="D1328" s="28">
        <v>1</v>
      </c>
      <c r="E1328" s="28">
        <v>0</v>
      </c>
      <c r="G1328" s="28">
        <v>1</v>
      </c>
      <c r="H1328" s="616">
        <v>4212</v>
      </c>
      <c r="I1328" s="54">
        <f>406/30</f>
        <v>13.5333333333333</v>
      </c>
      <c r="J1328" s="54">
        <f>406/30</f>
        <v>13.5333333333333</v>
      </c>
      <c r="L1328" s="28">
        <v>1</v>
      </c>
      <c r="M1328" s="28">
        <f>I1328-0.4</f>
        <v>13.1333333333333</v>
      </c>
      <c r="N1328" s="28" t="s">
        <v>4885</v>
      </c>
      <c r="O1328" s="28">
        <v>1</v>
      </c>
      <c r="P1328" s="463">
        <v>35</v>
      </c>
      <c r="Q1328" s="28">
        <v>0</v>
      </c>
      <c r="V1328" s="28">
        <v>1</v>
      </c>
      <c r="W1328" s="28">
        <v>6</v>
      </c>
      <c r="X1328" s="28">
        <v>1</v>
      </c>
      <c r="Y1328" s="28">
        <v>-0.1</v>
      </c>
      <c r="Z1328" s="28">
        <v>0</v>
      </c>
      <c r="AB1328" s="28">
        <f>I1328-0.3</f>
        <v>13.2333333333333</v>
      </c>
      <c r="AC1328" s="28">
        <v>1</v>
      </c>
      <c r="AD1328" s="28">
        <v>1</v>
      </c>
      <c r="AE1328" s="28" t="s">
        <v>4886</v>
      </c>
      <c r="AF1328" s="28">
        <v>0.5</v>
      </c>
      <c r="AP1328" s="28">
        <v>4954</v>
      </c>
      <c r="AQ1328" s="28" t="s">
        <v>136</v>
      </c>
      <c r="AS1328" s="28" t="s">
        <v>4887</v>
      </c>
      <c r="AU1328" s="28">
        <v>1</v>
      </c>
    </row>
    <row r="1329" s="49" customFormat="1" spans="1:43">
      <c r="A1329" s="49">
        <v>1325</v>
      </c>
      <c r="B1329" s="49" t="s">
        <v>4888</v>
      </c>
      <c r="C1329" s="49" t="s">
        <v>3629</v>
      </c>
      <c r="D1329" s="49">
        <v>1</v>
      </c>
      <c r="E1329" s="49">
        <v>0</v>
      </c>
      <c r="G1329" s="49">
        <v>1</v>
      </c>
      <c r="H1329" s="570">
        <v>15201</v>
      </c>
      <c r="I1329" s="49">
        <v>2.533333</v>
      </c>
      <c r="J1329" s="49">
        <v>2.533333</v>
      </c>
      <c r="L1329" s="49">
        <v>1</v>
      </c>
      <c r="M1329" s="49">
        <f t="shared" ref="M1329:M1359" si="157">I1329-0.4</f>
        <v>2.133333</v>
      </c>
      <c r="N1329" s="49" t="s">
        <v>4889</v>
      </c>
      <c r="O1329" s="49">
        <v>1</v>
      </c>
      <c r="P1329" s="404">
        <v>1.5</v>
      </c>
      <c r="Q1329" s="49">
        <v>0</v>
      </c>
      <c r="S1329" s="49">
        <v>1.5</v>
      </c>
      <c r="V1329" s="49">
        <v>1</v>
      </c>
      <c r="W1329" s="49">
        <v>0</v>
      </c>
      <c r="X1329" s="416">
        <v>3</v>
      </c>
      <c r="Y1329" s="49">
        <v>-0.1</v>
      </c>
      <c r="Z1329" s="49">
        <v>0</v>
      </c>
      <c r="AN1329" s="421"/>
      <c r="AP1329" s="49">
        <v>4960</v>
      </c>
      <c r="AQ1329" s="49" t="s">
        <v>136</v>
      </c>
    </row>
    <row r="1330" s="49" customFormat="1" spans="1:43">
      <c r="A1330" s="49">
        <v>1326</v>
      </c>
      <c r="B1330" s="49" t="s">
        <v>4890</v>
      </c>
      <c r="C1330" s="49" t="s">
        <v>1331</v>
      </c>
      <c r="D1330" s="49">
        <v>1</v>
      </c>
      <c r="E1330" s="49">
        <v>0</v>
      </c>
      <c r="G1330" s="49">
        <v>1</v>
      </c>
      <c r="H1330" s="570">
        <v>15202</v>
      </c>
      <c r="I1330" s="49">
        <v>2.3</v>
      </c>
      <c r="J1330" s="49">
        <v>2.3</v>
      </c>
      <c r="L1330" s="49">
        <v>1</v>
      </c>
      <c r="M1330" s="49">
        <f t="shared" si="157"/>
        <v>1.9</v>
      </c>
      <c r="N1330" s="49" t="s">
        <v>4891</v>
      </c>
      <c r="O1330" s="49">
        <v>1</v>
      </c>
      <c r="P1330" s="404">
        <v>1.5</v>
      </c>
      <c r="Q1330" s="49">
        <v>0</v>
      </c>
      <c r="V1330" s="49">
        <v>6</v>
      </c>
      <c r="W1330" s="49">
        <v>6</v>
      </c>
      <c r="X1330" s="416">
        <v>1</v>
      </c>
      <c r="Y1330" s="49">
        <v>-0.1</v>
      </c>
      <c r="Z1330" s="49">
        <v>0</v>
      </c>
      <c r="AN1330" s="421"/>
      <c r="AP1330" s="49">
        <v>4963</v>
      </c>
      <c r="AQ1330" s="49" t="s">
        <v>136</v>
      </c>
    </row>
    <row r="1331" s="49" customFormat="1" spans="1:43">
      <c r="A1331" s="49">
        <v>1327</v>
      </c>
      <c r="B1331" s="49" t="s">
        <v>4892</v>
      </c>
      <c r="C1331" s="49" t="s">
        <v>1139</v>
      </c>
      <c r="D1331" s="49">
        <v>1</v>
      </c>
      <c r="E1331" s="49">
        <v>0</v>
      </c>
      <c r="G1331" s="49">
        <v>1</v>
      </c>
      <c r="H1331" s="570">
        <v>15203</v>
      </c>
      <c r="I1331" s="49">
        <v>2.033333</v>
      </c>
      <c r="J1331" s="49">
        <v>2.033333</v>
      </c>
      <c r="L1331" s="49">
        <v>1</v>
      </c>
      <c r="M1331" s="49">
        <f t="shared" si="157"/>
        <v>1.633333</v>
      </c>
      <c r="N1331" s="49" t="s">
        <v>4893</v>
      </c>
      <c r="O1331" s="49">
        <v>1</v>
      </c>
      <c r="P1331" s="404">
        <v>1.5</v>
      </c>
      <c r="Q1331" s="49">
        <v>0</v>
      </c>
      <c r="V1331" s="49">
        <v>1</v>
      </c>
      <c r="W1331" s="49">
        <v>0</v>
      </c>
      <c r="X1331" s="416">
        <v>1</v>
      </c>
      <c r="Y1331" s="49">
        <v>-0.1</v>
      </c>
      <c r="Z1331" s="49">
        <v>0</v>
      </c>
      <c r="AN1331" s="421">
        <v>4966</v>
      </c>
      <c r="AO1331" s="49" t="s">
        <v>4894</v>
      </c>
      <c r="AP1331" s="49">
        <v>4965</v>
      </c>
      <c r="AQ1331" s="49" t="s">
        <v>136</v>
      </c>
    </row>
    <row r="1332" s="49" customFormat="1" spans="1:43">
      <c r="A1332" s="49">
        <v>1328</v>
      </c>
      <c r="B1332" s="49" t="s">
        <v>4895</v>
      </c>
      <c r="C1332" s="49" t="s">
        <v>1149</v>
      </c>
      <c r="D1332" s="49">
        <v>1</v>
      </c>
      <c r="E1332" s="49">
        <v>0</v>
      </c>
      <c r="G1332" s="49">
        <v>1</v>
      </c>
      <c r="H1332" s="570">
        <v>15204</v>
      </c>
      <c r="I1332" s="49">
        <v>3.7333333</v>
      </c>
      <c r="J1332" s="49">
        <v>3.7333333</v>
      </c>
      <c r="L1332" s="49">
        <v>1</v>
      </c>
      <c r="M1332" s="49">
        <f t="shared" si="157"/>
        <v>3.3333333</v>
      </c>
      <c r="N1332" s="49" t="s">
        <v>4896</v>
      </c>
      <c r="O1332" s="49">
        <v>1</v>
      </c>
      <c r="P1332" s="404">
        <v>1.5</v>
      </c>
      <c r="Q1332" s="49">
        <v>0</v>
      </c>
      <c r="S1332" s="49">
        <v>6</v>
      </c>
      <c r="V1332" s="49">
        <v>6</v>
      </c>
      <c r="W1332" s="49">
        <v>6</v>
      </c>
      <c r="X1332" s="416">
        <v>9</v>
      </c>
      <c r="Y1332" s="49">
        <v>-0.1</v>
      </c>
      <c r="Z1332" s="49">
        <v>0</v>
      </c>
      <c r="AN1332" s="421"/>
      <c r="AP1332" s="49">
        <v>4968</v>
      </c>
      <c r="AQ1332" s="49" t="s">
        <v>136</v>
      </c>
    </row>
    <row r="1333" s="49" customFormat="1" spans="1:47">
      <c r="A1333" s="49">
        <v>1329</v>
      </c>
      <c r="B1333" s="49" t="s">
        <v>4897</v>
      </c>
      <c r="C1333" s="49" t="s">
        <v>1152</v>
      </c>
      <c r="D1333" s="49">
        <v>1</v>
      </c>
      <c r="E1333" s="49">
        <v>0</v>
      </c>
      <c r="G1333" s="49">
        <v>1</v>
      </c>
      <c r="H1333" s="570">
        <v>15205</v>
      </c>
      <c r="I1333" s="49">
        <v>11.666667</v>
      </c>
      <c r="J1333" s="49">
        <v>11.666667</v>
      </c>
      <c r="L1333" s="49">
        <v>1</v>
      </c>
      <c r="M1333" s="49">
        <f t="shared" si="157"/>
        <v>11.266667</v>
      </c>
      <c r="N1333" s="49" t="s">
        <v>4898</v>
      </c>
      <c r="O1333" s="49">
        <v>1</v>
      </c>
      <c r="P1333" s="404">
        <v>35</v>
      </c>
      <c r="Q1333" s="49">
        <v>1</v>
      </c>
      <c r="V1333" s="49">
        <v>6</v>
      </c>
      <c r="W1333" s="49">
        <v>6</v>
      </c>
      <c r="X1333" s="416">
        <v>1</v>
      </c>
      <c r="Y1333" s="49">
        <v>-0.1</v>
      </c>
      <c r="Z1333" s="49">
        <v>0</v>
      </c>
      <c r="AB1333" s="49">
        <f t="shared" ref="AB1333:AB1340" si="158">I1333-0.3</f>
        <v>11.366667</v>
      </c>
      <c r="AC1333" s="49">
        <v>1</v>
      </c>
      <c r="AD1333" s="49">
        <v>1</v>
      </c>
      <c r="AE1333" s="49" t="s">
        <v>4899</v>
      </c>
      <c r="AF1333" s="49">
        <v>0.5</v>
      </c>
      <c r="AN1333" s="421">
        <v>4972</v>
      </c>
      <c r="AO1333" s="49" t="s">
        <v>4900</v>
      </c>
      <c r="AP1333" s="49">
        <v>4971</v>
      </c>
      <c r="AQ1333" s="49" t="s">
        <v>136</v>
      </c>
      <c r="AU1333" s="49">
        <v>1</v>
      </c>
    </row>
    <row r="1334" s="49" customFormat="1" spans="1:43">
      <c r="A1334" s="49">
        <v>1330</v>
      </c>
      <c r="B1334" s="49" t="s">
        <v>4901</v>
      </c>
      <c r="C1334" s="49" t="s">
        <v>4902</v>
      </c>
      <c r="D1334" s="49">
        <v>1</v>
      </c>
      <c r="E1334" s="49">
        <v>0</v>
      </c>
      <c r="G1334" s="49">
        <v>1</v>
      </c>
      <c r="H1334" s="570">
        <v>3010501</v>
      </c>
      <c r="I1334" s="49">
        <v>2.33333333333333</v>
      </c>
      <c r="J1334" s="49">
        <v>2.33333333333333</v>
      </c>
      <c r="L1334" s="49">
        <v>1</v>
      </c>
      <c r="M1334" s="49">
        <f t="shared" si="157"/>
        <v>1.93333333333333</v>
      </c>
      <c r="N1334" s="49" t="s">
        <v>4903</v>
      </c>
      <c r="O1334" s="49">
        <v>1</v>
      </c>
      <c r="P1334" s="404">
        <v>2.5</v>
      </c>
      <c r="Q1334" s="49">
        <v>0</v>
      </c>
      <c r="S1334" s="49">
        <v>6</v>
      </c>
      <c r="V1334" s="49">
        <v>1</v>
      </c>
      <c r="W1334" s="49">
        <v>0</v>
      </c>
      <c r="X1334" s="416">
        <v>1</v>
      </c>
      <c r="Y1334" s="49">
        <v>-0.1</v>
      </c>
      <c r="Z1334" s="49">
        <v>0</v>
      </c>
      <c r="AN1334" s="421"/>
      <c r="AP1334" s="49">
        <v>4978</v>
      </c>
      <c r="AQ1334" s="49" t="s">
        <v>136</v>
      </c>
    </row>
    <row r="1335" s="49" customFormat="1" spans="1:47">
      <c r="A1335" s="49">
        <v>1331</v>
      </c>
      <c r="B1335" s="49" t="s">
        <v>4904</v>
      </c>
      <c r="C1335" s="49" t="s">
        <v>4905</v>
      </c>
      <c r="D1335" s="49">
        <v>1</v>
      </c>
      <c r="E1335" s="49">
        <v>0</v>
      </c>
      <c r="G1335" s="49">
        <v>1</v>
      </c>
      <c r="H1335" s="570">
        <v>15206</v>
      </c>
      <c r="I1335" s="49">
        <v>12</v>
      </c>
      <c r="J1335" s="49">
        <v>12</v>
      </c>
      <c r="L1335" s="49">
        <v>1</v>
      </c>
      <c r="M1335" s="49">
        <f t="shared" si="157"/>
        <v>11.6</v>
      </c>
      <c r="N1335" s="49" t="s">
        <v>4906</v>
      </c>
      <c r="O1335" s="49">
        <v>0</v>
      </c>
      <c r="P1335" s="404">
        <v>35</v>
      </c>
      <c r="Q1335" s="49">
        <v>0</v>
      </c>
      <c r="V1335" s="49">
        <v>6</v>
      </c>
      <c r="W1335" s="49">
        <v>4</v>
      </c>
      <c r="X1335" s="416">
        <v>1</v>
      </c>
      <c r="Y1335" s="49">
        <v>-0.1</v>
      </c>
      <c r="Z1335" s="49">
        <v>0</v>
      </c>
      <c r="AB1335" s="49">
        <f>I1335-0.4</f>
        <v>11.6</v>
      </c>
      <c r="AC1335" s="49">
        <v>1</v>
      </c>
      <c r="AD1335" s="49">
        <v>1</v>
      </c>
      <c r="AE1335" s="49" t="s">
        <v>4907</v>
      </c>
      <c r="AF1335" s="49">
        <v>0.5</v>
      </c>
      <c r="AN1335" s="421"/>
      <c r="AP1335" s="49">
        <v>4974</v>
      </c>
      <c r="AQ1335" s="49" t="s">
        <v>136</v>
      </c>
      <c r="AU1335" s="49">
        <v>1</v>
      </c>
    </row>
    <row r="1336" s="49" customFormat="1" spans="1:43">
      <c r="A1336" s="49">
        <v>1332</v>
      </c>
      <c r="B1336" s="49" t="s">
        <v>4908</v>
      </c>
      <c r="C1336" s="49" t="s">
        <v>4909</v>
      </c>
      <c r="D1336" s="49">
        <v>1</v>
      </c>
      <c r="E1336" s="49">
        <v>0</v>
      </c>
      <c r="G1336" s="49">
        <v>1</v>
      </c>
      <c r="H1336" s="570">
        <v>3010502</v>
      </c>
      <c r="I1336" s="49">
        <v>3.4</v>
      </c>
      <c r="J1336" s="49">
        <v>3.4</v>
      </c>
      <c r="L1336" s="49">
        <v>1</v>
      </c>
      <c r="M1336" s="49">
        <f t="shared" si="157"/>
        <v>3</v>
      </c>
      <c r="N1336" s="49" t="s">
        <v>4910</v>
      </c>
      <c r="O1336" s="49">
        <v>1</v>
      </c>
      <c r="P1336" s="404">
        <v>2.5</v>
      </c>
      <c r="Q1336" s="49">
        <v>0</v>
      </c>
      <c r="S1336" s="49">
        <v>5</v>
      </c>
      <c r="V1336" s="49">
        <v>1</v>
      </c>
      <c r="W1336" s="49">
        <v>0</v>
      </c>
      <c r="X1336" s="416">
        <v>3</v>
      </c>
      <c r="Y1336" s="49">
        <v>-0.1</v>
      </c>
      <c r="Z1336" s="49">
        <v>0</v>
      </c>
      <c r="AN1336" s="421"/>
      <c r="AP1336" s="49">
        <v>4981</v>
      </c>
      <c r="AQ1336" s="49" t="s">
        <v>136</v>
      </c>
    </row>
    <row r="1337" s="49" customFormat="1" spans="1:47">
      <c r="A1337" s="49">
        <v>1333</v>
      </c>
      <c r="B1337" s="49" t="s">
        <v>4911</v>
      </c>
      <c r="C1337" s="49" t="s">
        <v>4912</v>
      </c>
      <c r="D1337" s="49">
        <v>1</v>
      </c>
      <c r="E1337" s="49">
        <v>0</v>
      </c>
      <c r="G1337" s="49">
        <v>1</v>
      </c>
      <c r="H1337" s="570">
        <v>3010503</v>
      </c>
      <c r="I1337" s="49">
        <v>8.33333333333333</v>
      </c>
      <c r="J1337" s="49">
        <v>8.33333333333333</v>
      </c>
      <c r="L1337" s="49">
        <v>1</v>
      </c>
      <c r="M1337" s="49">
        <f t="shared" si="157"/>
        <v>7.93333333333333</v>
      </c>
      <c r="N1337" s="49" t="s">
        <v>4913</v>
      </c>
      <c r="O1337" s="49">
        <v>1</v>
      </c>
      <c r="P1337" s="404">
        <v>14</v>
      </c>
      <c r="Q1337" s="49">
        <v>0</v>
      </c>
      <c r="V1337" s="49">
        <v>1</v>
      </c>
      <c r="W1337" s="49">
        <v>0</v>
      </c>
      <c r="X1337" s="416">
        <v>13</v>
      </c>
      <c r="Y1337" s="49">
        <v>-0.1</v>
      </c>
      <c r="Z1337" s="49">
        <v>0</v>
      </c>
      <c r="AB1337" s="49">
        <f t="shared" si="158"/>
        <v>8.03333333333333</v>
      </c>
      <c r="AC1337" s="49">
        <v>1</v>
      </c>
      <c r="AD1337" s="49">
        <v>1</v>
      </c>
      <c r="AE1337" s="49" t="s">
        <v>4914</v>
      </c>
      <c r="AF1337" s="49">
        <v>0.5</v>
      </c>
      <c r="AN1337" s="421"/>
      <c r="AP1337" s="49">
        <v>4975</v>
      </c>
      <c r="AQ1337" s="49" t="s">
        <v>136</v>
      </c>
      <c r="AU1337" s="49">
        <v>1</v>
      </c>
    </row>
    <row r="1338" s="27" customFormat="1" ht="16" customHeight="1" spans="1:47">
      <c r="A1338" s="229">
        <v>1334</v>
      </c>
      <c r="B1338" s="516" t="s">
        <v>3628</v>
      </c>
      <c r="C1338" s="27" t="s">
        <v>4915</v>
      </c>
      <c r="D1338" s="27">
        <v>1</v>
      </c>
      <c r="E1338" s="27">
        <v>0</v>
      </c>
      <c r="G1338" s="27">
        <v>1</v>
      </c>
      <c r="H1338" s="5" t="s">
        <v>4916</v>
      </c>
      <c r="I1338" s="27">
        <f>375/30</f>
        <v>12.5</v>
      </c>
      <c r="J1338" s="27">
        <f>I1338</f>
        <v>12.5</v>
      </c>
      <c r="L1338" s="27">
        <v>1</v>
      </c>
      <c r="M1338" s="28">
        <f t="shared" si="157"/>
        <v>12.1</v>
      </c>
      <c r="N1338" t="s">
        <v>4917</v>
      </c>
      <c r="O1338" s="27">
        <v>1</v>
      </c>
      <c r="P1338" s="27">
        <v>26</v>
      </c>
      <c r="Q1338" s="516">
        <v>0</v>
      </c>
      <c r="R1338" s="516"/>
      <c r="V1338" s="516">
        <v>1</v>
      </c>
      <c r="W1338" s="492">
        <v>6</v>
      </c>
      <c r="X1338" s="217">
        <v>5</v>
      </c>
      <c r="Y1338" s="1">
        <v>-0.1</v>
      </c>
      <c r="Z1338" s="27">
        <v>0</v>
      </c>
      <c r="AB1338" s="49">
        <f t="shared" si="158"/>
        <v>12.2</v>
      </c>
      <c r="AC1338" s="27">
        <v>1</v>
      </c>
      <c r="AD1338" s="27">
        <v>1</v>
      </c>
      <c r="AE1338" s="520" t="s">
        <v>4918</v>
      </c>
      <c r="AF1338" s="27">
        <v>0.5</v>
      </c>
      <c r="AN1338" s="213">
        <v>4987</v>
      </c>
      <c r="AO1338" s="27" t="s">
        <v>4919</v>
      </c>
      <c r="AP1338" s="213">
        <v>4986</v>
      </c>
      <c r="AQ1338" s="27" t="s">
        <v>136</v>
      </c>
      <c r="AR1338" s="494"/>
      <c r="AS1338" s="519"/>
      <c r="AU1338" s="27">
        <v>1</v>
      </c>
    </row>
    <row r="1339" s="27" customFormat="1" spans="1:47">
      <c r="A1339" s="229">
        <v>1335</v>
      </c>
      <c r="B1339" s="516" t="s">
        <v>3628</v>
      </c>
      <c r="C1339" s="27" t="s">
        <v>4920</v>
      </c>
      <c r="D1339" s="27">
        <v>1</v>
      </c>
      <c r="E1339" s="27">
        <v>0</v>
      </c>
      <c r="G1339" s="27">
        <v>1</v>
      </c>
      <c r="H1339" s="5" t="s">
        <v>4921</v>
      </c>
      <c r="I1339" s="27">
        <f>403/30</f>
        <v>13.4333333333333</v>
      </c>
      <c r="J1339" s="27">
        <f>I1339</f>
        <v>13.4333333333333</v>
      </c>
      <c r="L1339" s="27">
        <v>1</v>
      </c>
      <c r="M1339" s="28">
        <f t="shared" si="157"/>
        <v>13.0333333333333</v>
      </c>
      <c r="N1339" t="s">
        <v>4922</v>
      </c>
      <c r="O1339" s="27">
        <v>1</v>
      </c>
      <c r="P1339" s="27">
        <v>15</v>
      </c>
      <c r="Q1339" s="516">
        <v>0</v>
      </c>
      <c r="R1339" s="516"/>
      <c r="V1339" s="516">
        <v>1</v>
      </c>
      <c r="W1339" s="492">
        <v>6</v>
      </c>
      <c r="X1339" s="217">
        <v>1</v>
      </c>
      <c r="Y1339" s="1">
        <v>-0.1</v>
      </c>
      <c r="Z1339" s="27">
        <v>0</v>
      </c>
      <c r="AB1339" s="49">
        <f t="shared" si="158"/>
        <v>13.1333333333333</v>
      </c>
      <c r="AC1339" s="27">
        <v>1</v>
      </c>
      <c r="AD1339" s="27">
        <v>1</v>
      </c>
      <c r="AE1339" s="520" t="s">
        <v>4923</v>
      </c>
      <c r="AF1339" s="27">
        <v>0.5</v>
      </c>
      <c r="AP1339" s="213">
        <v>4984</v>
      </c>
      <c r="AQ1339" s="71" t="s">
        <v>136</v>
      </c>
      <c r="AR1339" s="494"/>
      <c r="AS1339" s="519" t="s">
        <v>4924</v>
      </c>
      <c r="AU1339" s="27">
        <v>1</v>
      </c>
    </row>
    <row r="1340" s="27" customFormat="1" spans="1:47">
      <c r="A1340" s="229">
        <v>1336</v>
      </c>
      <c r="B1340" s="516" t="s">
        <v>3628</v>
      </c>
      <c r="C1340" s="27" t="s">
        <v>4925</v>
      </c>
      <c r="D1340" s="27">
        <v>1</v>
      </c>
      <c r="E1340" s="27">
        <v>0</v>
      </c>
      <c r="G1340" s="27">
        <v>1</v>
      </c>
      <c r="H1340" s="5" t="s">
        <v>4926</v>
      </c>
      <c r="I1340" s="27">
        <f>480/30</f>
        <v>16</v>
      </c>
      <c r="J1340" s="27">
        <f>I1340</f>
        <v>16</v>
      </c>
      <c r="L1340" s="27">
        <v>1</v>
      </c>
      <c r="M1340" s="28">
        <f t="shared" si="157"/>
        <v>15.6</v>
      </c>
      <c r="N1340" t="s">
        <v>4927</v>
      </c>
      <c r="O1340" s="27">
        <v>1</v>
      </c>
      <c r="P1340" s="27">
        <v>45</v>
      </c>
      <c r="Q1340" s="516">
        <v>0</v>
      </c>
      <c r="R1340" s="516"/>
      <c r="V1340" s="516">
        <v>1</v>
      </c>
      <c r="W1340" s="492">
        <v>6</v>
      </c>
      <c r="X1340" s="217">
        <v>1</v>
      </c>
      <c r="Y1340" s="1">
        <v>-0.1</v>
      </c>
      <c r="Z1340" s="27">
        <v>0</v>
      </c>
      <c r="AB1340" s="49">
        <f t="shared" si="158"/>
        <v>15.7</v>
      </c>
      <c r="AC1340" s="27">
        <v>1</v>
      </c>
      <c r="AD1340" s="27">
        <v>1</v>
      </c>
      <c r="AE1340" s="520" t="s">
        <v>4928</v>
      </c>
      <c r="AF1340" s="27">
        <v>0.5</v>
      </c>
      <c r="AP1340" s="213">
        <v>4985</v>
      </c>
      <c r="AQ1340" s="71" t="s">
        <v>136</v>
      </c>
      <c r="AR1340" s="494"/>
      <c r="AS1340" s="519"/>
      <c r="AU1340" s="27">
        <v>1</v>
      </c>
    </row>
    <row r="1341" s="63" customFormat="1" spans="1:43">
      <c r="A1341" s="63">
        <v>1337</v>
      </c>
      <c r="B1341" s="63" t="s">
        <v>4929</v>
      </c>
      <c r="C1341" s="63" t="s">
        <v>526</v>
      </c>
      <c r="D1341" s="63">
        <v>1</v>
      </c>
      <c r="E1341" s="63">
        <v>0</v>
      </c>
      <c r="G1341" s="63">
        <v>1</v>
      </c>
      <c r="H1341" s="617" t="s">
        <v>4930</v>
      </c>
      <c r="I1341" s="63">
        <v>4</v>
      </c>
      <c r="J1341" s="63">
        <v>4</v>
      </c>
      <c r="L1341" s="63">
        <v>1</v>
      </c>
      <c r="M1341" s="63">
        <f t="shared" si="157"/>
        <v>3.6</v>
      </c>
      <c r="N1341" t="s">
        <v>4931</v>
      </c>
      <c r="O1341" s="63">
        <v>1</v>
      </c>
      <c r="P1341" s="587">
        <v>4</v>
      </c>
      <c r="Q1341" s="63">
        <v>0</v>
      </c>
      <c r="S1341" s="63">
        <v>10</v>
      </c>
      <c r="V1341" s="63">
        <v>1</v>
      </c>
      <c r="W1341" s="63">
        <v>0</v>
      </c>
      <c r="X1341" s="577">
        <v>1</v>
      </c>
      <c r="Y1341" s="63">
        <v>-0.1</v>
      </c>
      <c r="Z1341" s="63">
        <v>0</v>
      </c>
      <c r="AN1341" s="581">
        <v>5019</v>
      </c>
      <c r="AO1341" s="63" t="s">
        <v>4932</v>
      </c>
      <c r="AP1341" s="63">
        <v>4988</v>
      </c>
      <c r="AQ1341" s="63" t="s">
        <v>136</v>
      </c>
    </row>
    <row r="1342" s="63" customFormat="1" spans="1:43">
      <c r="A1342" s="63">
        <v>1338</v>
      </c>
      <c r="B1342" s="63" t="s">
        <v>4933</v>
      </c>
      <c r="C1342" s="63" t="s">
        <v>4934</v>
      </c>
      <c r="D1342" s="63">
        <v>1</v>
      </c>
      <c r="E1342" s="63">
        <v>0</v>
      </c>
      <c r="G1342" s="63">
        <v>1</v>
      </c>
      <c r="H1342" s="617" t="s">
        <v>4935</v>
      </c>
      <c r="I1342" s="63">
        <v>2.66666666666667</v>
      </c>
      <c r="J1342" s="63">
        <v>2.66666666666667</v>
      </c>
      <c r="L1342" s="63">
        <v>1</v>
      </c>
      <c r="M1342" s="63">
        <f t="shared" si="157"/>
        <v>2.26666666666667</v>
      </c>
      <c r="N1342" t="s">
        <v>4936</v>
      </c>
      <c r="O1342" s="63">
        <v>1</v>
      </c>
      <c r="P1342" s="587">
        <v>4</v>
      </c>
      <c r="Q1342" s="63">
        <v>0</v>
      </c>
      <c r="S1342" s="63">
        <v>6</v>
      </c>
      <c r="V1342" s="63">
        <v>1</v>
      </c>
      <c r="W1342" s="63">
        <v>6</v>
      </c>
      <c r="X1342" s="577">
        <v>1</v>
      </c>
      <c r="Y1342" s="63">
        <v>-0.1</v>
      </c>
      <c r="Z1342" s="63">
        <v>0</v>
      </c>
      <c r="AP1342" s="63">
        <v>4991</v>
      </c>
      <c r="AQ1342" s="63" t="s">
        <v>136</v>
      </c>
    </row>
    <row r="1343" s="63" customFormat="1" spans="1:43">
      <c r="A1343" s="63">
        <v>1339</v>
      </c>
      <c r="B1343" s="63" t="s">
        <v>4937</v>
      </c>
      <c r="C1343" s="618" t="s">
        <v>4938</v>
      </c>
      <c r="D1343" s="63">
        <v>1</v>
      </c>
      <c r="E1343" s="63">
        <v>0</v>
      </c>
      <c r="G1343" s="63">
        <v>1</v>
      </c>
      <c r="H1343" s="617" t="s">
        <v>4939</v>
      </c>
      <c r="I1343" s="63">
        <v>3.6</v>
      </c>
      <c r="J1343" s="63">
        <v>3.6</v>
      </c>
      <c r="L1343" s="63">
        <v>1</v>
      </c>
      <c r="M1343" s="63">
        <f t="shared" si="157"/>
        <v>3.2</v>
      </c>
      <c r="N1343" t="s">
        <v>4940</v>
      </c>
      <c r="O1343" s="63">
        <v>1</v>
      </c>
      <c r="P1343" s="587">
        <v>4</v>
      </c>
      <c r="Q1343" s="63">
        <v>0</v>
      </c>
      <c r="S1343" s="63">
        <v>6</v>
      </c>
      <c r="V1343" s="63">
        <v>1</v>
      </c>
      <c r="W1343" s="63">
        <v>8</v>
      </c>
      <c r="X1343" s="577">
        <v>1</v>
      </c>
      <c r="Y1343" s="63">
        <v>-0.1</v>
      </c>
      <c r="Z1343" s="63">
        <v>0</v>
      </c>
      <c r="AP1343" s="63">
        <v>4993</v>
      </c>
      <c r="AQ1343" s="63" t="s">
        <v>136</v>
      </c>
    </row>
    <row r="1344" s="63" customFormat="1" spans="1:47">
      <c r="A1344" s="63">
        <v>1340</v>
      </c>
      <c r="B1344" s="63" t="s">
        <v>4941</v>
      </c>
      <c r="C1344" s="63" t="s">
        <v>4942</v>
      </c>
      <c r="D1344" s="63">
        <v>1</v>
      </c>
      <c r="E1344" s="63">
        <v>0</v>
      </c>
      <c r="G1344" s="63">
        <v>1</v>
      </c>
      <c r="H1344" s="617" t="s">
        <v>4943</v>
      </c>
      <c r="I1344" s="63">
        <v>6.03333333333333</v>
      </c>
      <c r="J1344" s="63">
        <v>6.03333333333333</v>
      </c>
      <c r="L1344" s="63">
        <v>1</v>
      </c>
      <c r="M1344" s="63">
        <f t="shared" si="157"/>
        <v>5.63333333333333</v>
      </c>
      <c r="N1344" s="63" t="s">
        <v>4944</v>
      </c>
      <c r="O1344" s="63">
        <v>1</v>
      </c>
      <c r="P1344" s="587">
        <v>30</v>
      </c>
      <c r="Q1344" s="63">
        <v>0</v>
      </c>
      <c r="V1344" s="63">
        <v>1</v>
      </c>
      <c r="W1344" s="63">
        <v>6</v>
      </c>
      <c r="X1344" s="577">
        <v>1</v>
      </c>
      <c r="Y1344" s="63">
        <v>-0.1</v>
      </c>
      <c r="Z1344" s="63">
        <v>0</v>
      </c>
      <c r="AB1344" s="63">
        <f t="shared" ref="AB1344:AB1354" si="159">I1344-0.3</f>
        <v>5.73333333333333</v>
      </c>
      <c r="AC1344" s="63">
        <v>1</v>
      </c>
      <c r="AD1344" s="63">
        <v>1</v>
      </c>
      <c r="AE1344" s="63" t="s">
        <v>4945</v>
      </c>
      <c r="AF1344" s="63">
        <v>0.5</v>
      </c>
      <c r="AN1344" s="581">
        <v>4996</v>
      </c>
      <c r="AO1344" s="63" t="s">
        <v>4946</v>
      </c>
      <c r="AP1344" s="63">
        <v>4995</v>
      </c>
      <c r="AQ1344" s="63" t="s">
        <v>136</v>
      </c>
      <c r="AU1344" s="63">
        <v>1</v>
      </c>
    </row>
    <row r="1345" s="63" customFormat="1" spans="1:47">
      <c r="A1345" s="63">
        <v>1341</v>
      </c>
      <c r="B1345" s="63" t="s">
        <v>4947</v>
      </c>
      <c r="C1345" s="63" t="s">
        <v>4948</v>
      </c>
      <c r="D1345" s="63">
        <v>1</v>
      </c>
      <c r="E1345" s="63">
        <v>0</v>
      </c>
      <c r="G1345" s="63">
        <v>1</v>
      </c>
      <c r="H1345" s="63" t="s">
        <v>4949</v>
      </c>
      <c r="I1345" s="63">
        <f>231/30</f>
        <v>7.7</v>
      </c>
      <c r="J1345" s="63">
        <f>231/30</f>
        <v>7.7</v>
      </c>
      <c r="L1345" s="63">
        <v>1</v>
      </c>
      <c r="M1345" s="63">
        <f t="shared" si="157"/>
        <v>7.3</v>
      </c>
      <c r="N1345" s="63" t="s">
        <v>4950</v>
      </c>
      <c r="O1345" s="63">
        <v>1</v>
      </c>
      <c r="P1345" s="63">
        <v>30</v>
      </c>
      <c r="Q1345" s="63">
        <v>0</v>
      </c>
      <c r="V1345" s="63">
        <v>1</v>
      </c>
      <c r="W1345" s="63">
        <v>6</v>
      </c>
      <c r="X1345" s="63">
        <v>1</v>
      </c>
      <c r="Y1345" s="63">
        <v>-0.1</v>
      </c>
      <c r="Z1345" s="63">
        <v>0</v>
      </c>
      <c r="AB1345" s="63">
        <f t="shared" si="159"/>
        <v>7.4</v>
      </c>
      <c r="AC1345" s="63">
        <v>1</v>
      </c>
      <c r="AD1345" s="63">
        <v>1</v>
      </c>
      <c r="AE1345" s="63" t="s">
        <v>4951</v>
      </c>
      <c r="AF1345" s="63">
        <v>0.5</v>
      </c>
      <c r="AN1345" s="63" t="s">
        <v>4952</v>
      </c>
      <c r="AO1345" s="63" t="s">
        <v>4953</v>
      </c>
      <c r="AP1345" s="63">
        <v>4997</v>
      </c>
      <c r="AQ1345" s="63" t="s">
        <v>136</v>
      </c>
      <c r="AU1345" s="63">
        <v>1</v>
      </c>
    </row>
    <row r="1346" s="63" customFormat="1" spans="1:47">
      <c r="A1346" s="63">
        <v>1342</v>
      </c>
      <c r="B1346" s="63" t="s">
        <v>4954</v>
      </c>
      <c r="C1346" s="63" t="s">
        <v>4955</v>
      </c>
      <c r="D1346" s="63">
        <v>1</v>
      </c>
      <c r="E1346" s="63">
        <v>0</v>
      </c>
      <c r="G1346" s="63">
        <v>2</v>
      </c>
      <c r="H1346" s="617">
        <v>3010701</v>
      </c>
      <c r="I1346" s="63">
        <v>2.66666666666667</v>
      </c>
      <c r="J1346" s="63">
        <v>2.66666666666667</v>
      </c>
      <c r="L1346" s="63">
        <v>1</v>
      </c>
      <c r="M1346" s="63">
        <f t="shared" si="157"/>
        <v>2.26666666666667</v>
      </c>
      <c r="N1346" s="63" t="s">
        <v>4956</v>
      </c>
      <c r="O1346" s="63">
        <v>0</v>
      </c>
      <c r="P1346" s="63">
        <v>0</v>
      </c>
      <c r="Q1346" s="63">
        <v>0</v>
      </c>
      <c r="V1346" s="63">
        <v>1</v>
      </c>
      <c r="W1346" s="63">
        <v>0</v>
      </c>
      <c r="X1346" s="63">
        <v>1</v>
      </c>
      <c r="Y1346" s="63">
        <v>-0.1</v>
      </c>
      <c r="Z1346" s="63">
        <v>0</v>
      </c>
      <c r="AD1346" s="63">
        <v>1</v>
      </c>
      <c r="AE1346" s="63" t="s">
        <v>4957</v>
      </c>
      <c r="AF1346" s="63">
        <v>2.66666666666667</v>
      </c>
      <c r="AN1346" s="63">
        <v>5010</v>
      </c>
      <c r="AO1346" s="63" t="s">
        <v>4958</v>
      </c>
      <c r="AP1346" s="63">
        <v>5009</v>
      </c>
      <c r="AQ1346" s="63" t="s">
        <v>136</v>
      </c>
      <c r="AU1346" s="63">
        <v>1</v>
      </c>
    </row>
    <row r="1347" s="63" customFormat="1" spans="1:47">
      <c r="A1347" s="63">
        <v>1343</v>
      </c>
      <c r="B1347" s="63" t="s">
        <v>4959</v>
      </c>
      <c r="C1347" s="63" t="s">
        <v>4960</v>
      </c>
      <c r="D1347" s="63">
        <v>1</v>
      </c>
      <c r="E1347" s="63">
        <v>0</v>
      </c>
      <c r="G1347" s="63">
        <v>2</v>
      </c>
      <c r="H1347" s="617">
        <v>3010702</v>
      </c>
      <c r="I1347" s="63">
        <v>3.06666666666667</v>
      </c>
      <c r="J1347" s="63">
        <v>3.06666666666667</v>
      </c>
      <c r="L1347" s="63">
        <v>1</v>
      </c>
      <c r="M1347" s="63">
        <f t="shared" si="157"/>
        <v>2.66666666666667</v>
      </c>
      <c r="N1347" s="63" t="s">
        <v>4961</v>
      </c>
      <c r="O1347" s="63">
        <v>0</v>
      </c>
      <c r="P1347" s="587">
        <v>0</v>
      </c>
      <c r="Q1347" s="63">
        <v>0</v>
      </c>
      <c r="V1347" s="63">
        <v>1</v>
      </c>
      <c r="W1347" s="63">
        <v>6</v>
      </c>
      <c r="X1347" s="577">
        <v>4</v>
      </c>
      <c r="Y1347" s="63">
        <v>-0.1</v>
      </c>
      <c r="Z1347" s="63">
        <v>0</v>
      </c>
      <c r="AD1347" s="63">
        <v>1</v>
      </c>
      <c r="AE1347" s="63" t="s">
        <v>4957</v>
      </c>
      <c r="AF1347" s="63">
        <v>3.06666666666667</v>
      </c>
      <c r="AN1347" s="581"/>
      <c r="AP1347" s="63">
        <v>5011</v>
      </c>
      <c r="AQ1347" s="63" t="s">
        <v>136</v>
      </c>
      <c r="AU1347" s="63">
        <v>1</v>
      </c>
    </row>
    <row r="1348" s="63" customFormat="1" spans="1:47">
      <c r="A1348" s="63">
        <v>1344</v>
      </c>
      <c r="B1348" s="63" t="s">
        <v>4962</v>
      </c>
      <c r="C1348" s="63" t="s">
        <v>4963</v>
      </c>
      <c r="D1348" s="63">
        <v>1</v>
      </c>
      <c r="E1348" s="63">
        <v>0</v>
      </c>
      <c r="G1348" s="63">
        <v>2</v>
      </c>
      <c r="H1348" s="617">
        <v>3010703</v>
      </c>
      <c r="I1348" s="63">
        <v>3.13333333333333</v>
      </c>
      <c r="J1348" s="63">
        <v>3.13333333333333</v>
      </c>
      <c r="L1348" s="63">
        <v>1</v>
      </c>
      <c r="M1348" s="63">
        <f t="shared" si="157"/>
        <v>2.73333333333333</v>
      </c>
      <c r="N1348" t="s">
        <v>4964</v>
      </c>
      <c r="O1348" s="63">
        <v>0</v>
      </c>
      <c r="P1348" s="587">
        <v>0</v>
      </c>
      <c r="Q1348" s="63">
        <v>0</v>
      </c>
      <c r="V1348" s="63">
        <v>1</v>
      </c>
      <c r="W1348" s="63">
        <v>6</v>
      </c>
      <c r="X1348" s="577">
        <v>1</v>
      </c>
      <c r="Y1348" s="63">
        <v>-0.1</v>
      </c>
      <c r="Z1348" s="63">
        <v>0</v>
      </c>
      <c r="AD1348" s="63">
        <v>1</v>
      </c>
      <c r="AE1348" s="63" t="s">
        <v>4957</v>
      </c>
      <c r="AF1348" s="63">
        <v>3.13333333333333</v>
      </c>
      <c r="AN1348" s="581">
        <v>5002</v>
      </c>
      <c r="AO1348" s="63" t="s">
        <v>4965</v>
      </c>
      <c r="AP1348" s="63">
        <v>5000</v>
      </c>
      <c r="AQ1348" s="63" t="s">
        <v>136</v>
      </c>
      <c r="AU1348" s="63">
        <v>1</v>
      </c>
    </row>
    <row r="1349" s="63" customFormat="1" spans="1:47">
      <c r="A1349" s="63">
        <v>1345</v>
      </c>
      <c r="B1349" s="63" t="s">
        <v>4966</v>
      </c>
      <c r="C1349" s="63" t="s">
        <v>4967</v>
      </c>
      <c r="D1349" s="63">
        <v>1</v>
      </c>
      <c r="E1349" s="63">
        <v>0</v>
      </c>
      <c r="G1349" s="63">
        <v>1</v>
      </c>
      <c r="H1349" s="617">
        <v>3010704</v>
      </c>
      <c r="I1349" s="63">
        <v>5.33333333333333</v>
      </c>
      <c r="J1349" s="63">
        <v>5.33333333333333</v>
      </c>
      <c r="L1349" s="63">
        <v>1</v>
      </c>
      <c r="M1349" s="63">
        <f t="shared" si="157"/>
        <v>4.93333333333333</v>
      </c>
      <c r="N1349" s="63" t="s">
        <v>4968</v>
      </c>
      <c r="O1349" s="63">
        <v>1</v>
      </c>
      <c r="P1349" s="587">
        <v>30</v>
      </c>
      <c r="Q1349" s="63">
        <v>0</v>
      </c>
      <c r="V1349" s="63">
        <v>1</v>
      </c>
      <c r="W1349" s="63">
        <v>6</v>
      </c>
      <c r="X1349" s="577">
        <v>1</v>
      </c>
      <c r="Y1349" s="63">
        <v>-0.1</v>
      </c>
      <c r="Z1349" s="63">
        <v>0</v>
      </c>
      <c r="AB1349" s="63">
        <f t="shared" si="159"/>
        <v>5.03333333333333</v>
      </c>
      <c r="AC1349" s="63">
        <v>1</v>
      </c>
      <c r="AD1349" s="63">
        <v>1</v>
      </c>
      <c r="AE1349" s="63" t="s">
        <v>4969</v>
      </c>
      <c r="AF1349" s="63">
        <v>0.5</v>
      </c>
      <c r="AN1349" s="581"/>
      <c r="AP1349" s="63">
        <v>5013</v>
      </c>
      <c r="AQ1349" s="63" t="s">
        <v>136</v>
      </c>
      <c r="AS1349" s="63" t="s">
        <v>4970</v>
      </c>
      <c r="AU1349" s="63">
        <v>1</v>
      </c>
    </row>
    <row r="1350" s="63" customFormat="1" spans="1:47">
      <c r="A1350" s="63">
        <v>1346</v>
      </c>
      <c r="B1350" s="63" t="s">
        <v>4971</v>
      </c>
      <c r="C1350" s="63" t="s">
        <v>4972</v>
      </c>
      <c r="D1350" s="63">
        <v>1</v>
      </c>
      <c r="E1350" s="63">
        <v>0</v>
      </c>
      <c r="G1350" s="63">
        <v>1</v>
      </c>
      <c r="H1350" s="617">
        <v>3010705</v>
      </c>
      <c r="I1350" s="63">
        <v>9.8</v>
      </c>
      <c r="J1350" s="63">
        <v>9.8</v>
      </c>
      <c r="L1350" s="63">
        <v>1</v>
      </c>
      <c r="M1350" s="63">
        <f t="shared" si="157"/>
        <v>9.4</v>
      </c>
      <c r="N1350" t="s">
        <v>4973</v>
      </c>
      <c r="O1350" s="63">
        <v>1</v>
      </c>
      <c r="P1350" s="587">
        <v>30</v>
      </c>
      <c r="Q1350" s="63">
        <v>0</v>
      </c>
      <c r="V1350" s="63">
        <v>1</v>
      </c>
      <c r="W1350" s="63">
        <v>6</v>
      </c>
      <c r="X1350" s="577">
        <v>1</v>
      </c>
      <c r="Y1350" s="63">
        <v>-0.1</v>
      </c>
      <c r="Z1350" s="63">
        <v>0</v>
      </c>
      <c r="AB1350" s="63">
        <f t="shared" si="159"/>
        <v>9.5</v>
      </c>
      <c r="AC1350" s="63">
        <v>1</v>
      </c>
      <c r="AD1350" s="63">
        <v>1</v>
      </c>
      <c r="AE1350" s="63" t="s">
        <v>4974</v>
      </c>
      <c r="AF1350" s="63">
        <v>0.5</v>
      </c>
      <c r="AN1350" s="581"/>
      <c r="AP1350" s="63">
        <v>5014</v>
      </c>
      <c r="AQ1350" s="63" t="s">
        <v>136</v>
      </c>
      <c r="AS1350" s="63" t="s">
        <v>4975</v>
      </c>
      <c r="AU1350" s="63">
        <v>1</v>
      </c>
    </row>
    <row r="1351" s="63" customFormat="1" spans="1:51">
      <c r="A1351" s="63">
        <v>1347</v>
      </c>
      <c r="B1351" s="63" t="s">
        <v>4976</v>
      </c>
      <c r="C1351" s="63" t="s">
        <v>4977</v>
      </c>
      <c r="D1351" s="63">
        <v>1</v>
      </c>
      <c r="E1351" s="63">
        <v>0</v>
      </c>
      <c r="G1351" s="63">
        <v>1</v>
      </c>
      <c r="H1351" s="617">
        <v>3010706</v>
      </c>
      <c r="I1351" s="63">
        <f>380/30</f>
        <v>12.6666666666667</v>
      </c>
      <c r="J1351" s="63">
        <f>380/30</f>
        <v>12.6666666666667</v>
      </c>
      <c r="L1351" s="63">
        <v>1</v>
      </c>
      <c r="M1351" s="63">
        <f t="shared" si="157"/>
        <v>12.2666666666667</v>
      </c>
      <c r="N1351" t="s">
        <v>4978</v>
      </c>
      <c r="O1351" s="63">
        <v>1</v>
      </c>
      <c r="P1351" s="587">
        <v>30</v>
      </c>
      <c r="Q1351" s="63">
        <v>0</v>
      </c>
      <c r="V1351" s="63">
        <v>1</v>
      </c>
      <c r="W1351" s="63">
        <v>6</v>
      </c>
      <c r="X1351" s="577">
        <v>1</v>
      </c>
      <c r="Y1351" s="63">
        <v>-0.1</v>
      </c>
      <c r="Z1351" s="63">
        <v>0</v>
      </c>
      <c r="AB1351" s="63">
        <f t="shared" si="159"/>
        <v>12.3666666666667</v>
      </c>
      <c r="AC1351" s="63">
        <v>1</v>
      </c>
      <c r="AD1351" s="63">
        <v>1</v>
      </c>
      <c r="AE1351" s="63" t="s">
        <v>4979</v>
      </c>
      <c r="AF1351" s="63">
        <v>0.5</v>
      </c>
      <c r="AN1351" s="581"/>
      <c r="AP1351" s="63">
        <v>5003</v>
      </c>
      <c r="AQ1351" s="63" t="s">
        <v>136</v>
      </c>
      <c r="AS1351" s="63" t="s">
        <v>4980</v>
      </c>
      <c r="AU1351" s="63">
        <v>1</v>
      </c>
      <c r="AY1351" s="63" t="s">
        <v>4981</v>
      </c>
    </row>
    <row r="1352" s="63" customFormat="1" spans="1:47">
      <c r="A1352" s="63">
        <v>1348</v>
      </c>
      <c r="B1352" s="63" t="s">
        <v>4982</v>
      </c>
      <c r="C1352" s="63" t="s">
        <v>4983</v>
      </c>
      <c r="D1352" s="63">
        <v>1</v>
      </c>
      <c r="E1352" s="63">
        <v>0</v>
      </c>
      <c r="G1352" s="63">
        <v>1</v>
      </c>
      <c r="H1352" s="617">
        <v>3010802</v>
      </c>
      <c r="I1352" s="63">
        <v>10.1</v>
      </c>
      <c r="J1352" s="63">
        <v>10.1</v>
      </c>
      <c r="L1352" s="63">
        <v>1</v>
      </c>
      <c r="M1352" s="63">
        <f t="shared" si="157"/>
        <v>9.7</v>
      </c>
      <c r="N1352" t="s">
        <v>4984</v>
      </c>
      <c r="O1352" s="63">
        <v>1</v>
      </c>
      <c r="P1352" s="587">
        <v>30</v>
      </c>
      <c r="Q1352" s="63">
        <v>0</v>
      </c>
      <c r="V1352" s="63">
        <v>1</v>
      </c>
      <c r="W1352" s="63">
        <v>6</v>
      </c>
      <c r="X1352" s="577">
        <v>1</v>
      </c>
      <c r="Y1352" s="63">
        <v>-0.1</v>
      </c>
      <c r="Z1352" s="63">
        <v>0</v>
      </c>
      <c r="AB1352" s="63">
        <f t="shared" si="159"/>
        <v>9.8</v>
      </c>
      <c r="AC1352" s="63">
        <v>1</v>
      </c>
      <c r="AD1352" s="63">
        <v>1</v>
      </c>
      <c r="AE1352" s="63" t="s">
        <v>4985</v>
      </c>
      <c r="AF1352" s="63">
        <v>0.5</v>
      </c>
      <c r="AN1352" s="581"/>
      <c r="AP1352" s="63">
        <v>5016</v>
      </c>
      <c r="AQ1352" s="63" t="s">
        <v>136</v>
      </c>
      <c r="AS1352" s="63" t="s">
        <v>4986</v>
      </c>
      <c r="AU1352" s="63">
        <v>1</v>
      </c>
    </row>
    <row r="1353" s="63" customFormat="1" spans="1:47">
      <c r="A1353" s="63">
        <v>1349</v>
      </c>
      <c r="B1353" s="63" t="s">
        <v>4987</v>
      </c>
      <c r="C1353" s="63" t="s">
        <v>4988</v>
      </c>
      <c r="D1353" s="63">
        <v>2</v>
      </c>
      <c r="E1353" s="63">
        <v>0</v>
      </c>
      <c r="G1353" s="63">
        <v>1</v>
      </c>
      <c r="H1353" s="617">
        <v>3010801</v>
      </c>
      <c r="I1353" s="63">
        <v>5.83333333333333</v>
      </c>
      <c r="J1353" s="63">
        <v>5.83333333333333</v>
      </c>
      <c r="L1353" s="63">
        <v>0</v>
      </c>
      <c r="M1353" s="63">
        <f t="shared" si="157"/>
        <v>5.43333333333333</v>
      </c>
      <c r="N1353" s="63" t="s">
        <v>4989</v>
      </c>
      <c r="O1353" s="63">
        <v>1</v>
      </c>
      <c r="P1353" s="587">
        <v>30</v>
      </c>
      <c r="Q1353" s="63">
        <v>0</v>
      </c>
      <c r="V1353" s="63">
        <v>101</v>
      </c>
      <c r="W1353" s="63">
        <v>0</v>
      </c>
      <c r="X1353" s="577">
        <v>0</v>
      </c>
      <c r="Y1353" s="63">
        <v>-0.1</v>
      </c>
      <c r="Z1353" s="63">
        <v>0</v>
      </c>
      <c r="AB1353" s="63">
        <f t="shared" si="159"/>
        <v>5.53333333333333</v>
      </c>
      <c r="AC1353" s="63">
        <v>2</v>
      </c>
      <c r="AD1353" s="63">
        <v>1</v>
      </c>
      <c r="AE1353" s="63" t="s">
        <v>4990</v>
      </c>
      <c r="AF1353" s="63">
        <v>0.5</v>
      </c>
      <c r="AN1353" s="581"/>
      <c r="AP1353" s="63">
        <v>5015</v>
      </c>
      <c r="AQ1353" s="63" t="s">
        <v>136</v>
      </c>
      <c r="AS1353" s="63" t="s">
        <v>4991</v>
      </c>
      <c r="AU1353" s="63">
        <v>1</v>
      </c>
    </row>
    <row r="1354" s="63" customFormat="1" spans="1:47">
      <c r="A1354" s="63">
        <v>1350</v>
      </c>
      <c r="B1354" s="63" t="s">
        <v>4992</v>
      </c>
      <c r="C1354" s="63" t="s">
        <v>4993</v>
      </c>
      <c r="D1354" s="63">
        <v>2</v>
      </c>
      <c r="E1354" s="63">
        <v>0</v>
      </c>
      <c r="G1354" s="63">
        <v>1</v>
      </c>
      <c r="H1354" s="617">
        <v>3010803</v>
      </c>
      <c r="I1354" s="63">
        <v>2</v>
      </c>
      <c r="J1354" s="63">
        <v>2</v>
      </c>
      <c r="L1354" s="63">
        <v>0</v>
      </c>
      <c r="M1354" s="63">
        <f t="shared" si="157"/>
        <v>1.6</v>
      </c>
      <c r="N1354" s="63" t="s">
        <v>4994</v>
      </c>
      <c r="O1354" s="63">
        <v>1</v>
      </c>
      <c r="P1354" s="587">
        <v>30</v>
      </c>
      <c r="Q1354" s="63">
        <v>0</v>
      </c>
      <c r="V1354" s="63">
        <v>101</v>
      </c>
      <c r="W1354" s="63">
        <v>0</v>
      </c>
      <c r="X1354" s="577">
        <v>0</v>
      </c>
      <c r="Y1354" s="63">
        <v>-0.1</v>
      </c>
      <c r="Z1354" s="63">
        <v>0</v>
      </c>
      <c r="AB1354" s="63">
        <f t="shared" si="159"/>
        <v>1.7</v>
      </c>
      <c r="AC1354" s="63">
        <v>2</v>
      </c>
      <c r="AD1354" s="63">
        <v>1</v>
      </c>
      <c r="AE1354" s="63" t="s">
        <v>4995</v>
      </c>
      <c r="AF1354" s="63">
        <v>0.5</v>
      </c>
      <c r="AN1354" s="581"/>
      <c r="AP1354" s="63">
        <v>5017</v>
      </c>
      <c r="AQ1354" s="63" t="s">
        <v>136</v>
      </c>
      <c r="AU1354" s="63">
        <v>1</v>
      </c>
    </row>
    <row r="1355" s="28" customFormat="1" spans="1:43">
      <c r="A1355" s="28">
        <v>1351</v>
      </c>
      <c r="B1355" s="28" t="s">
        <v>4996</v>
      </c>
      <c r="C1355" s="28" t="s">
        <v>4997</v>
      </c>
      <c r="D1355" s="28">
        <v>1</v>
      </c>
      <c r="E1355" s="28">
        <v>0</v>
      </c>
      <c r="G1355" s="28">
        <v>1</v>
      </c>
      <c r="H1355" s="513" t="s">
        <v>4998</v>
      </c>
      <c r="I1355" s="28">
        <f>115/30</f>
        <v>3.83333333333333</v>
      </c>
      <c r="J1355" s="28">
        <f>115/30</f>
        <v>3.83333333333333</v>
      </c>
      <c r="L1355" s="28">
        <v>1</v>
      </c>
      <c r="M1355" s="28">
        <f t="shared" si="157"/>
        <v>3.43333333333333</v>
      </c>
      <c r="N1355" t="s">
        <v>4999</v>
      </c>
      <c r="O1355" s="28">
        <v>1</v>
      </c>
      <c r="P1355" s="28">
        <v>2.1</v>
      </c>
      <c r="Q1355" s="28">
        <v>0</v>
      </c>
      <c r="S1355" s="28">
        <v>0.6</v>
      </c>
      <c r="U1355" s="28">
        <v>0.3</v>
      </c>
      <c r="V1355" s="28">
        <v>6</v>
      </c>
      <c r="W1355" s="28">
        <v>6</v>
      </c>
      <c r="X1355" s="218">
        <v>1</v>
      </c>
      <c r="Y1355" s="28">
        <v>-0.1</v>
      </c>
      <c r="Z1355" s="28">
        <v>0</v>
      </c>
      <c r="AN1355" s="221"/>
      <c r="AP1355" s="28">
        <v>5036</v>
      </c>
      <c r="AQ1355" s="28" t="s">
        <v>136</v>
      </c>
    </row>
    <row r="1356" s="28" customFormat="1" spans="1:43">
      <c r="A1356" s="28">
        <v>1352</v>
      </c>
      <c r="B1356" s="28" t="s">
        <v>5000</v>
      </c>
      <c r="C1356" s="28" t="s">
        <v>5001</v>
      </c>
      <c r="D1356" s="28">
        <v>1</v>
      </c>
      <c r="E1356" s="28">
        <v>0</v>
      </c>
      <c r="G1356" s="28">
        <v>1</v>
      </c>
      <c r="H1356" s="513" t="s">
        <v>5002</v>
      </c>
      <c r="I1356" s="28">
        <f>112/30</f>
        <v>3.73333333333333</v>
      </c>
      <c r="J1356" s="28">
        <f>112/30</f>
        <v>3.73333333333333</v>
      </c>
      <c r="L1356" s="28">
        <v>1</v>
      </c>
      <c r="M1356" s="28">
        <f t="shared" si="157"/>
        <v>3.33333333333333</v>
      </c>
      <c r="N1356" t="s">
        <v>5003</v>
      </c>
      <c r="O1356" s="28">
        <v>1</v>
      </c>
      <c r="P1356" s="28">
        <v>2.1</v>
      </c>
      <c r="Q1356" s="28">
        <v>0</v>
      </c>
      <c r="S1356" s="28">
        <v>0.6</v>
      </c>
      <c r="U1356" s="28">
        <v>0.3</v>
      </c>
      <c r="V1356" s="28">
        <v>6</v>
      </c>
      <c r="W1356" s="28">
        <v>6</v>
      </c>
      <c r="X1356" s="218">
        <v>1</v>
      </c>
      <c r="Y1356" s="28">
        <v>-0.1</v>
      </c>
      <c r="Z1356" s="28">
        <v>0</v>
      </c>
      <c r="AN1356" s="221"/>
      <c r="AP1356" s="28">
        <v>5038</v>
      </c>
      <c r="AQ1356" s="28" t="s">
        <v>136</v>
      </c>
    </row>
    <row r="1357" s="28" customFormat="1" spans="1:47">
      <c r="A1357" s="28">
        <v>1353</v>
      </c>
      <c r="B1357" s="28" t="s">
        <v>5004</v>
      </c>
      <c r="C1357" s="28" t="s">
        <v>5005</v>
      </c>
      <c r="D1357" s="28">
        <v>1</v>
      </c>
      <c r="E1357" s="28">
        <v>0</v>
      </c>
      <c r="G1357" s="28">
        <v>1</v>
      </c>
      <c r="H1357" s="513" t="s">
        <v>5006</v>
      </c>
      <c r="I1357" s="28">
        <f>396/30</f>
        <v>13.2</v>
      </c>
      <c r="J1357" s="28">
        <f>396/30</f>
        <v>13.2</v>
      </c>
      <c r="L1357" s="28">
        <v>1</v>
      </c>
      <c r="M1357" s="28">
        <f t="shared" si="157"/>
        <v>12.8</v>
      </c>
      <c r="N1357" t="s">
        <v>5007</v>
      </c>
      <c r="O1357" s="28">
        <v>1</v>
      </c>
      <c r="P1357" s="28">
        <v>20</v>
      </c>
      <c r="Q1357" s="28">
        <v>0</v>
      </c>
      <c r="V1357" s="28">
        <v>6</v>
      </c>
      <c r="W1357" s="28">
        <v>0</v>
      </c>
      <c r="X1357" s="218">
        <v>1</v>
      </c>
      <c r="Y1357" s="28">
        <v>-0.1</v>
      </c>
      <c r="Z1357" s="28">
        <v>0</v>
      </c>
      <c r="AB1357" s="28">
        <f>I1357-0.3</f>
        <v>12.9</v>
      </c>
      <c r="AC1357" s="28">
        <v>1</v>
      </c>
      <c r="AD1357" s="28">
        <v>1</v>
      </c>
      <c r="AE1357" s="28" t="s">
        <v>5008</v>
      </c>
      <c r="AF1357" s="28">
        <v>0.5</v>
      </c>
      <c r="AN1357" s="221">
        <v>5041</v>
      </c>
      <c r="AO1357" s="245" t="s">
        <v>5009</v>
      </c>
      <c r="AP1357" s="28">
        <v>5040</v>
      </c>
      <c r="AQ1357" s="28" t="s">
        <v>136</v>
      </c>
      <c r="AU1357" s="28">
        <v>1</v>
      </c>
    </row>
    <row r="1358" s="28" customFormat="1" spans="1:45">
      <c r="A1358" s="28">
        <v>1354</v>
      </c>
      <c r="B1358" s="28" t="s">
        <v>5010</v>
      </c>
      <c r="C1358" s="28" t="s">
        <v>3189</v>
      </c>
      <c r="D1358" s="28">
        <v>1</v>
      </c>
      <c r="E1358" s="28">
        <v>0</v>
      </c>
      <c r="G1358" s="28">
        <v>1</v>
      </c>
      <c r="H1358" s="513" t="s">
        <v>3190</v>
      </c>
      <c r="I1358" s="28">
        <v>10.0666666666667</v>
      </c>
      <c r="J1358" s="28">
        <v>10.0666666666667</v>
      </c>
      <c r="L1358" s="28">
        <v>1</v>
      </c>
      <c r="M1358" s="28">
        <v>9.6666666666667</v>
      </c>
      <c r="N1358" s="28" t="s">
        <v>3191</v>
      </c>
      <c r="O1358" s="28">
        <v>1</v>
      </c>
      <c r="P1358" s="28">
        <v>2</v>
      </c>
      <c r="Q1358" s="28">
        <v>0</v>
      </c>
      <c r="V1358" s="28">
        <v>6</v>
      </c>
      <c r="W1358" s="28">
        <v>6</v>
      </c>
      <c r="X1358" s="218">
        <v>2</v>
      </c>
      <c r="Y1358" s="28">
        <v>-0.1</v>
      </c>
      <c r="Z1358" s="28">
        <v>0</v>
      </c>
      <c r="AB1358" s="28">
        <v>9.76666666666667</v>
      </c>
      <c r="AC1358" s="28">
        <v>1</v>
      </c>
      <c r="AD1358" s="28">
        <v>1</v>
      </c>
      <c r="AE1358" s="28" t="s">
        <v>3192</v>
      </c>
      <c r="AF1358" s="28">
        <v>0.5</v>
      </c>
      <c r="AN1358" s="221"/>
      <c r="AP1358" s="28">
        <v>3299</v>
      </c>
      <c r="AQ1358" s="28" t="s">
        <v>136</v>
      </c>
      <c r="AS1358" s="28" t="s">
        <v>3193</v>
      </c>
    </row>
    <row r="1359" s="28" customFormat="1" spans="1:45">
      <c r="A1359" s="28">
        <v>1355</v>
      </c>
      <c r="B1359" s="28" t="s">
        <v>3169</v>
      </c>
      <c r="C1359" s="28" t="s">
        <v>5011</v>
      </c>
      <c r="D1359" s="28">
        <v>1</v>
      </c>
      <c r="E1359" s="28">
        <v>0</v>
      </c>
      <c r="G1359" s="28">
        <v>1</v>
      </c>
      <c r="H1359" s="245" t="s">
        <v>3185</v>
      </c>
      <c r="I1359" s="28">
        <v>9.93333333333333</v>
      </c>
      <c r="J1359" s="28">
        <v>9.93333333333333</v>
      </c>
      <c r="L1359" s="28">
        <v>1</v>
      </c>
      <c r="M1359" s="28">
        <v>9.53333333333333</v>
      </c>
      <c r="N1359" s="28" t="s">
        <v>3186</v>
      </c>
      <c r="O1359" s="28">
        <v>1</v>
      </c>
      <c r="P1359" s="28">
        <v>2</v>
      </c>
      <c r="Q1359" s="28">
        <v>0</v>
      </c>
      <c r="V1359" s="28">
        <v>6</v>
      </c>
      <c r="W1359" s="28">
        <v>16</v>
      </c>
      <c r="X1359" s="218">
        <v>1</v>
      </c>
      <c r="Y1359" s="28">
        <v>-0.1</v>
      </c>
      <c r="Z1359" s="28">
        <v>0</v>
      </c>
      <c r="AB1359" s="28">
        <v>9.81333333333333</v>
      </c>
      <c r="AC1359" s="28">
        <v>1</v>
      </c>
      <c r="AD1359" s="28">
        <v>1</v>
      </c>
      <c r="AE1359" s="28" t="s">
        <v>3187</v>
      </c>
      <c r="AF1359" s="28">
        <v>0.5</v>
      </c>
      <c r="AN1359" s="221"/>
      <c r="AP1359" s="28">
        <v>3288</v>
      </c>
      <c r="AQ1359" s="28" t="s">
        <v>136</v>
      </c>
      <c r="AS1359" s="28" t="s">
        <v>3188</v>
      </c>
    </row>
    <row r="1360" s="60" customFormat="1" spans="1:43">
      <c r="A1360" s="60">
        <v>1356</v>
      </c>
      <c r="B1360" s="60" t="s">
        <v>5012</v>
      </c>
      <c r="C1360" s="60" t="s">
        <v>5013</v>
      </c>
      <c r="D1360" s="60">
        <v>1</v>
      </c>
      <c r="E1360" s="60">
        <v>0</v>
      </c>
      <c r="G1360" s="60">
        <v>1</v>
      </c>
      <c r="H1360" s="608" t="s">
        <v>5014</v>
      </c>
      <c r="I1360" s="60">
        <v>4.2</v>
      </c>
      <c r="J1360" s="60">
        <f>66/30+2</f>
        <v>4.2</v>
      </c>
      <c r="L1360" s="60">
        <v>1</v>
      </c>
      <c r="M1360" s="60">
        <v>1.8</v>
      </c>
      <c r="N1360" s="638" t="s">
        <v>5015</v>
      </c>
      <c r="O1360" s="60">
        <v>1</v>
      </c>
      <c r="P1360" s="60">
        <v>1.5</v>
      </c>
      <c r="Q1360" s="60">
        <v>0</v>
      </c>
      <c r="V1360" s="60">
        <v>1</v>
      </c>
      <c r="W1360" s="60">
        <v>0</v>
      </c>
      <c r="X1360" s="558">
        <v>4</v>
      </c>
      <c r="Y1360" s="60">
        <v>-0.8</v>
      </c>
      <c r="Z1360" s="60">
        <v>0</v>
      </c>
      <c r="AN1360" s="563"/>
      <c r="AP1360" s="60">
        <v>5045</v>
      </c>
      <c r="AQ1360" s="60" t="s">
        <v>136</v>
      </c>
    </row>
    <row r="1361" s="60" customFormat="1" spans="1:43">
      <c r="A1361" s="60">
        <v>1357</v>
      </c>
      <c r="B1361" s="60" t="s">
        <v>5016</v>
      </c>
      <c r="C1361" s="60" t="s">
        <v>2875</v>
      </c>
      <c r="D1361" s="60">
        <v>1</v>
      </c>
      <c r="E1361" s="60">
        <v>0</v>
      </c>
      <c r="G1361" s="60">
        <v>1</v>
      </c>
      <c r="H1361" s="608" t="s">
        <v>5017</v>
      </c>
      <c r="I1361" s="60">
        <f>68/30</f>
        <v>2.26666666666667</v>
      </c>
      <c r="J1361" s="60">
        <f t="shared" ref="J1361:J1376" si="160">I1361+2</f>
        <v>4.26666666666667</v>
      </c>
      <c r="L1361" s="60">
        <v>1</v>
      </c>
      <c r="M1361" s="60">
        <v>1.86666666666667</v>
      </c>
      <c r="N1361" s="639" t="s">
        <v>5018</v>
      </c>
      <c r="O1361" s="60">
        <v>1</v>
      </c>
      <c r="P1361" s="60">
        <v>1.5</v>
      </c>
      <c r="Q1361" s="60">
        <v>0</v>
      </c>
      <c r="V1361" s="60">
        <v>1</v>
      </c>
      <c r="W1361" s="60">
        <v>6</v>
      </c>
      <c r="X1361" s="558">
        <v>1</v>
      </c>
      <c r="Y1361" s="60">
        <v>-0.3</v>
      </c>
      <c r="Z1361" s="60">
        <v>0</v>
      </c>
      <c r="AN1361" s="563"/>
      <c r="AP1361" s="60">
        <v>5048</v>
      </c>
      <c r="AQ1361" s="60" t="s">
        <v>136</v>
      </c>
    </row>
    <row r="1362" s="60" customFormat="1" spans="1:43">
      <c r="A1362" s="60">
        <v>1358</v>
      </c>
      <c r="B1362" s="60" t="s">
        <v>5019</v>
      </c>
      <c r="C1362" s="60" t="s">
        <v>5020</v>
      </c>
      <c r="D1362" s="60">
        <v>1</v>
      </c>
      <c r="E1362" s="60">
        <v>0</v>
      </c>
      <c r="G1362" s="60">
        <v>1</v>
      </c>
      <c r="H1362" s="608" t="s">
        <v>5021</v>
      </c>
      <c r="I1362" s="60">
        <f>71/30</f>
        <v>2.36666666666667</v>
      </c>
      <c r="J1362" s="60">
        <f t="shared" si="160"/>
        <v>4.36666666666667</v>
      </c>
      <c r="L1362" s="60">
        <v>1</v>
      </c>
      <c r="M1362" s="60">
        <v>1.96666666666667</v>
      </c>
      <c r="N1362" s="638" t="s">
        <v>5022</v>
      </c>
      <c r="O1362" s="60">
        <v>1</v>
      </c>
      <c r="P1362" s="60">
        <v>1.5</v>
      </c>
      <c r="Q1362" s="60">
        <v>0</v>
      </c>
      <c r="V1362" s="60">
        <v>1</v>
      </c>
      <c r="W1362" s="60">
        <v>6</v>
      </c>
      <c r="X1362" s="558">
        <v>21</v>
      </c>
      <c r="Y1362" s="60">
        <v>-0.3</v>
      </c>
      <c r="Z1362" s="60">
        <v>0</v>
      </c>
      <c r="AN1362" s="563"/>
      <c r="AP1362" s="60">
        <v>5050</v>
      </c>
      <c r="AQ1362" s="60" t="s">
        <v>136</v>
      </c>
    </row>
    <row r="1363" s="60" customFormat="1" spans="1:43">
      <c r="A1363" s="60">
        <v>1359</v>
      </c>
      <c r="B1363" s="60" t="s">
        <v>5023</v>
      </c>
      <c r="C1363" s="60" t="s">
        <v>5024</v>
      </c>
      <c r="D1363" s="60">
        <v>3</v>
      </c>
      <c r="E1363" s="60">
        <v>1</v>
      </c>
      <c r="G1363" s="60">
        <v>1</v>
      </c>
      <c r="H1363" s="608" t="s">
        <v>5025</v>
      </c>
      <c r="I1363" s="60">
        <f>60/30</f>
        <v>2</v>
      </c>
      <c r="J1363" s="60">
        <f t="shared" si="160"/>
        <v>4</v>
      </c>
      <c r="L1363" s="60">
        <v>0</v>
      </c>
      <c r="M1363" s="60">
        <v>1.6</v>
      </c>
      <c r="N1363" s="638" t="s">
        <v>5026</v>
      </c>
      <c r="O1363" s="60">
        <v>1</v>
      </c>
      <c r="P1363" s="60">
        <v>1.5</v>
      </c>
      <c r="Q1363" s="60">
        <v>0</v>
      </c>
      <c r="V1363" s="63">
        <v>1000</v>
      </c>
      <c r="W1363" s="60">
        <v>0</v>
      </c>
      <c r="X1363" s="558">
        <v>0</v>
      </c>
      <c r="Y1363" s="60">
        <v>-0.3</v>
      </c>
      <c r="Z1363" s="60">
        <v>0</v>
      </c>
      <c r="AN1363" s="563"/>
      <c r="AP1363" s="60">
        <v>5052</v>
      </c>
      <c r="AQ1363" s="60" t="s">
        <v>136</v>
      </c>
    </row>
    <row r="1364" s="60" customFormat="1" spans="1:43">
      <c r="A1364" s="60">
        <v>1360</v>
      </c>
      <c r="B1364" s="60" t="s">
        <v>5027</v>
      </c>
      <c r="C1364" s="60" t="s">
        <v>5028</v>
      </c>
      <c r="D1364" s="60">
        <v>3</v>
      </c>
      <c r="E1364" s="60">
        <v>1</v>
      </c>
      <c r="G1364" s="60">
        <v>1</v>
      </c>
      <c r="H1364" s="608" t="s">
        <v>5029</v>
      </c>
      <c r="I1364" s="60">
        <f>60/30</f>
        <v>2</v>
      </c>
      <c r="J1364" s="60">
        <f t="shared" si="160"/>
        <v>4</v>
      </c>
      <c r="L1364" s="60">
        <v>0</v>
      </c>
      <c r="M1364" s="60">
        <v>1.6</v>
      </c>
      <c r="N1364" s="638" t="s">
        <v>5030</v>
      </c>
      <c r="O1364" s="60">
        <v>1</v>
      </c>
      <c r="P1364" s="60">
        <v>1.5</v>
      </c>
      <c r="Q1364" s="60">
        <v>0</v>
      </c>
      <c r="V1364" s="63">
        <v>1000</v>
      </c>
      <c r="W1364" s="60">
        <v>0</v>
      </c>
      <c r="X1364" s="558">
        <v>0</v>
      </c>
      <c r="Y1364" s="60">
        <v>-0.3</v>
      </c>
      <c r="Z1364" s="60">
        <v>0</v>
      </c>
      <c r="AN1364" s="563"/>
      <c r="AP1364" s="60">
        <v>5052</v>
      </c>
      <c r="AQ1364" s="60" t="s">
        <v>136</v>
      </c>
    </row>
    <row r="1365" s="17" customFormat="1" ht="13" customHeight="1" spans="1:47">
      <c r="A1365" s="17">
        <v>1363</v>
      </c>
      <c r="B1365" s="17" t="s">
        <v>5031</v>
      </c>
      <c r="C1365" s="17" t="s">
        <v>5032</v>
      </c>
      <c r="D1365" s="17">
        <v>1</v>
      </c>
      <c r="E1365" s="17">
        <v>0</v>
      </c>
      <c r="G1365" s="17">
        <v>1</v>
      </c>
      <c r="H1365" s="273" t="s">
        <v>5033</v>
      </c>
      <c r="I1365" s="17">
        <f>451/30</f>
        <v>15.0333333333333</v>
      </c>
      <c r="J1365" s="17">
        <f>451/30</f>
        <v>15.0333333333333</v>
      </c>
      <c r="L1365" s="17">
        <v>1</v>
      </c>
      <c r="M1365" s="17">
        <v>14.6333333333333</v>
      </c>
      <c r="N1365" s="640" t="s">
        <v>5034</v>
      </c>
      <c r="O1365" s="17">
        <v>1</v>
      </c>
      <c r="P1365" s="17">
        <v>20</v>
      </c>
      <c r="Q1365" s="17">
        <v>0</v>
      </c>
      <c r="V1365" s="17">
        <v>1</v>
      </c>
      <c r="W1365" s="17">
        <v>6</v>
      </c>
      <c r="X1365" s="116">
        <v>1</v>
      </c>
      <c r="Y1365" s="17">
        <v>-0.3</v>
      </c>
      <c r="Z1365" s="17">
        <v>0</v>
      </c>
      <c r="AB1365" s="17">
        <v>15.3</v>
      </c>
      <c r="AC1365" s="17">
        <v>1</v>
      </c>
      <c r="AD1365" s="17">
        <v>1</v>
      </c>
      <c r="AE1365" s="17" t="s">
        <v>5035</v>
      </c>
      <c r="AF1365" s="17">
        <v>0.5</v>
      </c>
      <c r="AN1365" s="121"/>
      <c r="AP1365" s="17">
        <v>5057</v>
      </c>
      <c r="AQ1365" s="17" t="s">
        <v>136</v>
      </c>
      <c r="AS1365" s="17" t="s">
        <v>5036</v>
      </c>
      <c r="AU1365" s="17">
        <v>1</v>
      </c>
    </row>
    <row r="1366" s="60" customFormat="1" spans="1:43">
      <c r="A1366" s="60">
        <v>1365</v>
      </c>
      <c r="B1366" s="60" t="s">
        <v>5037</v>
      </c>
      <c r="C1366" s="60" t="s">
        <v>5038</v>
      </c>
      <c r="D1366" s="60">
        <v>1</v>
      </c>
      <c r="E1366" s="60">
        <v>0</v>
      </c>
      <c r="G1366" s="60">
        <v>1</v>
      </c>
      <c r="H1366" s="632">
        <v>3012001</v>
      </c>
      <c r="I1366" s="60">
        <v>2.76666666666667</v>
      </c>
      <c r="J1366" s="60">
        <v>2.76666666666667</v>
      </c>
      <c r="L1366" s="60">
        <v>1</v>
      </c>
      <c r="M1366" s="60">
        <v>2.36666666666667</v>
      </c>
      <c r="N1366" s="638" t="s">
        <v>5039</v>
      </c>
      <c r="O1366" s="60">
        <v>1</v>
      </c>
      <c r="P1366" s="60">
        <v>2</v>
      </c>
      <c r="Q1366" s="60">
        <v>0</v>
      </c>
      <c r="V1366" s="60">
        <v>1</v>
      </c>
      <c r="W1366" s="60">
        <v>0</v>
      </c>
      <c r="X1366" s="558">
        <v>12</v>
      </c>
      <c r="Y1366" s="60">
        <v>-0.3</v>
      </c>
      <c r="Z1366" s="60">
        <v>0</v>
      </c>
      <c r="AN1366" s="563"/>
      <c r="AP1366" s="60">
        <v>5060</v>
      </c>
      <c r="AQ1366" s="60" t="s">
        <v>136</v>
      </c>
    </row>
    <row r="1367" s="60" customFormat="1" spans="1:43">
      <c r="A1367" s="60">
        <v>1366</v>
      </c>
      <c r="B1367" s="60" t="s">
        <v>5040</v>
      </c>
      <c r="C1367" s="60" t="s">
        <v>667</v>
      </c>
      <c r="D1367" s="60">
        <v>1</v>
      </c>
      <c r="E1367" s="60">
        <v>0</v>
      </c>
      <c r="G1367" s="60">
        <v>1</v>
      </c>
      <c r="H1367" s="632">
        <v>3012002</v>
      </c>
      <c r="I1367" s="60">
        <v>2</v>
      </c>
      <c r="J1367" s="60">
        <f t="shared" si="160"/>
        <v>4</v>
      </c>
      <c r="L1367" s="60">
        <v>1</v>
      </c>
      <c r="M1367" s="60">
        <v>1.6</v>
      </c>
      <c r="N1367" s="638" t="s">
        <v>5041</v>
      </c>
      <c r="O1367" s="60">
        <v>1</v>
      </c>
      <c r="P1367" s="60">
        <v>2</v>
      </c>
      <c r="Q1367" s="60">
        <v>0</v>
      </c>
      <c r="V1367" s="60">
        <v>1</v>
      </c>
      <c r="W1367" s="60">
        <v>6</v>
      </c>
      <c r="X1367" s="558">
        <v>1</v>
      </c>
      <c r="Y1367" s="60">
        <v>-0.3</v>
      </c>
      <c r="Z1367" s="60">
        <v>0</v>
      </c>
      <c r="AN1367" s="563"/>
      <c r="AP1367" s="60">
        <v>5069</v>
      </c>
      <c r="AQ1367" s="60" t="s">
        <v>136</v>
      </c>
    </row>
    <row r="1368" s="17" customFormat="1" spans="1:47">
      <c r="A1368" s="17">
        <v>1367</v>
      </c>
      <c r="B1368" s="17" t="s">
        <v>5042</v>
      </c>
      <c r="C1368" s="17" t="s">
        <v>5043</v>
      </c>
      <c r="D1368" s="17">
        <v>1</v>
      </c>
      <c r="E1368" s="17">
        <v>0</v>
      </c>
      <c r="G1368" s="17">
        <v>1</v>
      </c>
      <c r="H1368" s="210">
        <v>3012003</v>
      </c>
      <c r="I1368" s="17">
        <v>7.66666666666667</v>
      </c>
      <c r="J1368" s="17">
        <v>7.66666666666667</v>
      </c>
      <c r="L1368" s="17">
        <v>1</v>
      </c>
      <c r="M1368" s="17">
        <v>7.26666666666667</v>
      </c>
      <c r="N1368" s="640" t="s">
        <v>5044</v>
      </c>
      <c r="O1368" s="17">
        <v>1</v>
      </c>
      <c r="P1368" s="17">
        <v>20</v>
      </c>
      <c r="Q1368" s="17">
        <v>0</v>
      </c>
      <c r="V1368" s="17">
        <v>1</v>
      </c>
      <c r="W1368" s="17">
        <v>6</v>
      </c>
      <c r="X1368" s="116">
        <v>1</v>
      </c>
      <c r="Y1368" s="17">
        <v>-0.3</v>
      </c>
      <c r="Z1368" s="17">
        <v>1</v>
      </c>
      <c r="AB1368" s="17">
        <f>I1368-0.3</f>
        <v>7.36666666666667</v>
      </c>
      <c r="AC1368" s="17">
        <v>1</v>
      </c>
      <c r="AD1368" s="17">
        <v>1</v>
      </c>
      <c r="AE1368" s="17" t="s">
        <v>5045</v>
      </c>
      <c r="AF1368" s="17">
        <v>0.5</v>
      </c>
      <c r="AN1368" s="121"/>
      <c r="AP1368" s="17">
        <v>5071</v>
      </c>
      <c r="AQ1368" s="17" t="s">
        <v>136</v>
      </c>
      <c r="AU1368" s="17">
        <v>1</v>
      </c>
    </row>
    <row r="1369" s="60" customFormat="1" spans="1:43">
      <c r="A1369" s="60">
        <v>1368</v>
      </c>
      <c r="B1369" s="60" t="s">
        <v>5046</v>
      </c>
      <c r="C1369" s="60" t="s">
        <v>5047</v>
      </c>
      <c r="D1369" s="60">
        <v>2</v>
      </c>
      <c r="E1369" s="60">
        <v>0</v>
      </c>
      <c r="G1369" s="60">
        <v>1</v>
      </c>
      <c r="H1369" s="632">
        <v>15411</v>
      </c>
      <c r="I1369" s="60">
        <v>4</v>
      </c>
      <c r="J1369" s="60">
        <f t="shared" si="160"/>
        <v>6</v>
      </c>
      <c r="L1369" s="60">
        <v>0</v>
      </c>
      <c r="M1369" s="60">
        <v>3.6</v>
      </c>
      <c r="N1369" s="638" t="s">
        <v>5048</v>
      </c>
      <c r="O1369" s="60">
        <v>1</v>
      </c>
      <c r="P1369" s="60">
        <v>1.5</v>
      </c>
      <c r="Q1369" s="60">
        <v>0</v>
      </c>
      <c r="V1369" s="63">
        <v>101</v>
      </c>
      <c r="W1369" s="60">
        <v>0</v>
      </c>
      <c r="X1369" s="558">
        <v>0</v>
      </c>
      <c r="Y1369" s="60">
        <v>-0.3</v>
      </c>
      <c r="Z1369" s="60">
        <v>0</v>
      </c>
      <c r="AN1369" s="563"/>
      <c r="AP1369" s="60">
        <v>5063</v>
      </c>
      <c r="AQ1369" s="60" t="s">
        <v>136</v>
      </c>
    </row>
    <row r="1370" s="60" customFormat="1" spans="1:43">
      <c r="A1370" s="60">
        <v>1369</v>
      </c>
      <c r="B1370" s="60" t="s">
        <v>5049</v>
      </c>
      <c r="C1370" s="60" t="s">
        <v>5050</v>
      </c>
      <c r="D1370" s="60">
        <v>2</v>
      </c>
      <c r="E1370" s="60">
        <v>0</v>
      </c>
      <c r="G1370" s="60">
        <v>1</v>
      </c>
      <c r="H1370" s="632">
        <v>15410</v>
      </c>
      <c r="I1370" s="60">
        <v>4</v>
      </c>
      <c r="J1370" s="60">
        <f t="shared" si="160"/>
        <v>6</v>
      </c>
      <c r="L1370" s="60">
        <v>0</v>
      </c>
      <c r="M1370" s="60">
        <v>3.6</v>
      </c>
      <c r="N1370" s="638" t="s">
        <v>5051</v>
      </c>
      <c r="O1370" s="60">
        <v>1</v>
      </c>
      <c r="P1370" s="60">
        <v>1.5</v>
      </c>
      <c r="Q1370" s="60">
        <v>0</v>
      </c>
      <c r="V1370" s="63">
        <v>101</v>
      </c>
      <c r="W1370" s="60">
        <v>0</v>
      </c>
      <c r="X1370" s="558">
        <v>0</v>
      </c>
      <c r="Y1370" s="60">
        <v>-0.3</v>
      </c>
      <c r="Z1370" s="60">
        <v>0</v>
      </c>
      <c r="AN1370" s="563"/>
      <c r="AP1370" s="60">
        <v>5063</v>
      </c>
      <c r="AQ1370" s="60" t="s">
        <v>136</v>
      </c>
    </row>
    <row r="1371" s="60" customFormat="1" spans="1:43">
      <c r="A1371" s="60">
        <v>1370</v>
      </c>
      <c r="B1371" s="60" t="s">
        <v>5052</v>
      </c>
      <c r="C1371" s="60" t="s">
        <v>5053</v>
      </c>
      <c r="D1371" s="60">
        <v>2</v>
      </c>
      <c r="E1371" s="60">
        <v>0</v>
      </c>
      <c r="G1371" s="60">
        <v>1</v>
      </c>
      <c r="H1371" s="632">
        <v>15412</v>
      </c>
      <c r="I1371" s="60">
        <v>4</v>
      </c>
      <c r="J1371" s="60">
        <f t="shared" si="160"/>
        <v>6</v>
      </c>
      <c r="L1371" s="60">
        <v>0</v>
      </c>
      <c r="M1371" s="60">
        <v>3.6</v>
      </c>
      <c r="N1371" s="638" t="s">
        <v>5054</v>
      </c>
      <c r="O1371" s="60">
        <v>1</v>
      </c>
      <c r="P1371" s="60">
        <v>1.5</v>
      </c>
      <c r="Q1371" s="60">
        <v>0</v>
      </c>
      <c r="V1371" s="63">
        <v>101</v>
      </c>
      <c r="W1371" s="60">
        <v>0</v>
      </c>
      <c r="X1371" s="558">
        <v>0</v>
      </c>
      <c r="Y1371" s="60">
        <v>-0.3</v>
      </c>
      <c r="Z1371" s="60">
        <v>0</v>
      </c>
      <c r="AN1371" s="649">
        <v>5068</v>
      </c>
      <c r="AO1371" s="649" t="s">
        <v>136</v>
      </c>
      <c r="AP1371" s="60">
        <v>5063</v>
      </c>
      <c r="AQ1371" s="60" t="s">
        <v>136</v>
      </c>
    </row>
    <row r="1372" s="60" customFormat="1" spans="1:43">
      <c r="A1372" s="60">
        <v>1371</v>
      </c>
      <c r="B1372" s="60" t="s">
        <v>5055</v>
      </c>
      <c r="C1372" s="60" t="s">
        <v>5013</v>
      </c>
      <c r="D1372" s="60">
        <v>1</v>
      </c>
      <c r="E1372" s="60">
        <v>0</v>
      </c>
      <c r="G1372" s="60">
        <v>1</v>
      </c>
      <c r="H1372" s="608">
        <v>3012201</v>
      </c>
      <c r="I1372" s="60">
        <v>4.2</v>
      </c>
      <c r="J1372" s="60">
        <f>66/30+2</f>
        <v>4.2</v>
      </c>
      <c r="L1372" s="60">
        <v>1</v>
      </c>
      <c r="M1372" s="60">
        <v>1.8</v>
      </c>
      <c r="N1372" s="638" t="s">
        <v>5015</v>
      </c>
      <c r="O1372" s="60">
        <v>1</v>
      </c>
      <c r="P1372" s="60">
        <v>1.5</v>
      </c>
      <c r="Q1372" s="60">
        <v>0</v>
      </c>
      <c r="V1372" s="60">
        <v>1</v>
      </c>
      <c r="W1372" s="60">
        <v>0</v>
      </c>
      <c r="X1372" s="558">
        <v>4</v>
      </c>
      <c r="Y1372" s="60">
        <v>-0.3</v>
      </c>
      <c r="Z1372" s="60">
        <v>0</v>
      </c>
      <c r="AN1372" s="563"/>
      <c r="AP1372" s="60">
        <v>5045</v>
      </c>
      <c r="AQ1372" s="60" t="s">
        <v>136</v>
      </c>
    </row>
    <row r="1373" s="60" customFormat="1" spans="1:43">
      <c r="A1373" s="60">
        <v>1361</v>
      </c>
      <c r="B1373" s="60" t="s">
        <v>5056</v>
      </c>
      <c r="C1373" s="60" t="s">
        <v>1331</v>
      </c>
      <c r="D1373" s="60">
        <v>1</v>
      </c>
      <c r="E1373" s="60">
        <v>0</v>
      </c>
      <c r="G1373" s="60">
        <v>1</v>
      </c>
      <c r="H1373" s="608" t="s">
        <v>5057</v>
      </c>
      <c r="I1373" s="60">
        <f>86/30</f>
        <v>2.86666666666667</v>
      </c>
      <c r="J1373" s="60">
        <f t="shared" si="160"/>
        <v>4.86666666666667</v>
      </c>
      <c r="L1373" s="60">
        <v>1</v>
      </c>
      <c r="M1373" s="60">
        <v>2.46666666666667</v>
      </c>
      <c r="N1373" s="638" t="s">
        <v>5058</v>
      </c>
      <c r="O1373" s="60">
        <v>1</v>
      </c>
      <c r="P1373" s="60">
        <v>1.5</v>
      </c>
      <c r="Q1373" s="60">
        <v>0</v>
      </c>
      <c r="S1373" s="60">
        <v>6</v>
      </c>
      <c r="V1373" s="60">
        <v>1</v>
      </c>
      <c r="W1373" s="60">
        <v>6</v>
      </c>
      <c r="X1373" s="558">
        <v>4</v>
      </c>
      <c r="Y1373" s="60">
        <v>-0.3</v>
      </c>
      <c r="Z1373" s="60">
        <v>0</v>
      </c>
      <c r="AN1373" s="563"/>
      <c r="AP1373" s="60">
        <v>5053</v>
      </c>
      <c r="AQ1373" s="60" t="s">
        <v>136</v>
      </c>
    </row>
    <row r="1374" s="60" customFormat="1" spans="1:43">
      <c r="A1374" s="60">
        <v>1362</v>
      </c>
      <c r="B1374" s="60" t="s">
        <v>5059</v>
      </c>
      <c r="C1374" s="60" t="s">
        <v>5060</v>
      </c>
      <c r="D1374" s="60">
        <v>1</v>
      </c>
      <c r="E1374" s="60">
        <v>0</v>
      </c>
      <c r="G1374" s="60">
        <v>1</v>
      </c>
      <c r="H1374" s="608" t="s">
        <v>5061</v>
      </c>
      <c r="I1374" s="60">
        <f>91/30</f>
        <v>3.03333333333333</v>
      </c>
      <c r="J1374" s="60">
        <f t="shared" si="160"/>
        <v>5.03333333333333</v>
      </c>
      <c r="L1374" s="60">
        <v>1</v>
      </c>
      <c r="M1374" s="60">
        <v>2.63333333333333</v>
      </c>
      <c r="N1374" s="639" t="s">
        <v>5062</v>
      </c>
      <c r="O1374" s="60">
        <v>1</v>
      </c>
      <c r="P1374" s="60">
        <v>1.5</v>
      </c>
      <c r="Q1374" s="60">
        <v>0</v>
      </c>
      <c r="V1374" s="60">
        <v>1</v>
      </c>
      <c r="W1374" s="60">
        <v>6</v>
      </c>
      <c r="X1374" s="558">
        <v>5</v>
      </c>
      <c r="Y1374" s="60">
        <v>-0.3</v>
      </c>
      <c r="Z1374" s="60">
        <v>0</v>
      </c>
      <c r="AN1374" s="563"/>
      <c r="AP1374" s="60">
        <v>5055</v>
      </c>
      <c r="AQ1374" s="60" t="s">
        <v>136</v>
      </c>
    </row>
    <row r="1375" s="17" customFormat="1" spans="1:47">
      <c r="A1375" s="17">
        <v>1364</v>
      </c>
      <c r="B1375" s="17" t="s">
        <v>5063</v>
      </c>
      <c r="C1375" s="17" t="s">
        <v>5064</v>
      </c>
      <c r="D1375" s="17">
        <v>1</v>
      </c>
      <c r="E1375" s="17">
        <v>0</v>
      </c>
      <c r="G1375" s="17">
        <v>1</v>
      </c>
      <c r="H1375" s="273" t="s">
        <v>5065</v>
      </c>
      <c r="I1375" s="17">
        <f>232/30</f>
        <v>7.73333333333333</v>
      </c>
      <c r="J1375" s="17">
        <f>232/30</f>
        <v>7.73333333333333</v>
      </c>
      <c r="L1375" s="17">
        <v>1</v>
      </c>
      <c r="M1375" s="17">
        <v>7.33333333333333</v>
      </c>
      <c r="N1375" s="640" t="s">
        <v>5066</v>
      </c>
      <c r="O1375" s="17">
        <v>1</v>
      </c>
      <c r="P1375" s="17">
        <v>20</v>
      </c>
      <c r="Q1375" s="17">
        <v>0</v>
      </c>
      <c r="V1375" s="17">
        <v>1</v>
      </c>
      <c r="W1375" s="17">
        <v>6</v>
      </c>
      <c r="X1375" s="116">
        <v>1</v>
      </c>
      <c r="Y1375" s="17">
        <v>-0.3</v>
      </c>
      <c r="Z1375" s="17">
        <v>0</v>
      </c>
      <c r="AB1375" s="17">
        <f>I1375-0.3</f>
        <v>7.43333333333333</v>
      </c>
      <c r="AC1375" s="17">
        <v>1</v>
      </c>
      <c r="AD1375" s="17">
        <v>1</v>
      </c>
      <c r="AE1375" s="17" t="s">
        <v>5067</v>
      </c>
      <c r="AF1375" s="17">
        <v>0.5</v>
      </c>
      <c r="AN1375" s="121">
        <v>5059</v>
      </c>
      <c r="AO1375" s="17" t="s">
        <v>674</v>
      </c>
      <c r="AP1375" s="17">
        <v>5058</v>
      </c>
      <c r="AQ1375" s="17" t="s">
        <v>136</v>
      </c>
      <c r="AS1375" s="17" t="s">
        <v>5068</v>
      </c>
      <c r="AU1375" s="17">
        <v>1</v>
      </c>
    </row>
    <row r="1376" s="60" customFormat="1" spans="1:43">
      <c r="A1376" s="60">
        <v>1372</v>
      </c>
      <c r="B1376" s="60" t="s">
        <v>5016</v>
      </c>
      <c r="C1376" s="60" t="s">
        <v>5069</v>
      </c>
      <c r="D1376" s="60">
        <v>1</v>
      </c>
      <c r="E1376" s="60">
        <v>0</v>
      </c>
      <c r="G1376" s="60">
        <v>1</v>
      </c>
      <c r="H1376" s="633" t="s">
        <v>5017</v>
      </c>
      <c r="I1376" s="60">
        <v>2.26666666666667</v>
      </c>
      <c r="J1376" s="60">
        <f t="shared" si="160"/>
        <v>4.26666666666667</v>
      </c>
      <c r="L1376" s="60">
        <v>1</v>
      </c>
      <c r="M1376" s="60">
        <v>1.86666666666667</v>
      </c>
      <c r="N1376" s="639" t="s">
        <v>5018</v>
      </c>
      <c r="O1376" s="60">
        <v>1</v>
      </c>
      <c r="P1376" s="60">
        <v>1.5</v>
      </c>
      <c r="Q1376" s="60">
        <v>0</v>
      </c>
      <c r="V1376" s="60">
        <v>1</v>
      </c>
      <c r="W1376" s="60">
        <v>0</v>
      </c>
      <c r="X1376" s="558">
        <v>1</v>
      </c>
      <c r="Y1376" s="60">
        <v>-0.3</v>
      </c>
      <c r="Z1376" s="60">
        <v>0</v>
      </c>
      <c r="AN1376" s="563"/>
      <c r="AP1376" s="60">
        <v>5048</v>
      </c>
      <c r="AQ1376" s="60" t="s">
        <v>136</v>
      </c>
    </row>
    <row r="1377" s="70" customFormat="1" spans="1:43">
      <c r="A1377" s="70">
        <v>1373</v>
      </c>
      <c r="B1377" s="70" t="s">
        <v>5070</v>
      </c>
      <c r="C1377" s="70" t="s">
        <v>5013</v>
      </c>
      <c r="D1377" s="70">
        <v>1</v>
      </c>
      <c r="E1377" s="70">
        <v>0</v>
      </c>
      <c r="G1377" s="70">
        <v>1</v>
      </c>
      <c r="H1377" s="634">
        <v>15501</v>
      </c>
      <c r="I1377" s="641">
        <f>83/30</f>
        <v>2.76666666666667</v>
      </c>
      <c r="J1377" s="70">
        <f>I1377</f>
        <v>2.76666666666667</v>
      </c>
      <c r="L1377" s="70">
        <v>1</v>
      </c>
      <c r="M1377" s="70">
        <f>I1377-0.4</f>
        <v>2.36666666666667</v>
      </c>
      <c r="N1377" s="642" t="s">
        <v>5071</v>
      </c>
      <c r="O1377" s="70">
        <v>1</v>
      </c>
      <c r="P1377" s="70">
        <v>3.5</v>
      </c>
      <c r="Q1377" s="70">
        <v>0</v>
      </c>
      <c r="V1377" s="70">
        <v>1</v>
      </c>
      <c r="W1377" s="70">
        <v>0</v>
      </c>
      <c r="X1377" s="647">
        <v>3</v>
      </c>
      <c r="Y1377" s="70">
        <v>-0.1</v>
      </c>
      <c r="Z1377" s="70">
        <v>0</v>
      </c>
      <c r="AN1377" s="650"/>
      <c r="AP1377" s="70">
        <v>5073</v>
      </c>
      <c r="AQ1377" s="70" t="s">
        <v>136</v>
      </c>
    </row>
    <row r="1378" s="70" customFormat="1" spans="1:43">
      <c r="A1378" s="70">
        <v>1374</v>
      </c>
      <c r="B1378" s="70" t="s">
        <v>5072</v>
      </c>
      <c r="C1378" s="70" t="s">
        <v>5073</v>
      </c>
      <c r="D1378" s="70">
        <v>1</v>
      </c>
      <c r="E1378" s="70">
        <v>0</v>
      </c>
      <c r="G1378" s="70">
        <v>1</v>
      </c>
      <c r="H1378" s="634">
        <v>15502</v>
      </c>
      <c r="I1378" s="641">
        <f>100/30</f>
        <v>3.33333333333333</v>
      </c>
      <c r="J1378" s="70">
        <f t="shared" ref="J1378:J1386" si="161">I1378</f>
        <v>3.33333333333333</v>
      </c>
      <c r="L1378" s="70">
        <v>1</v>
      </c>
      <c r="M1378" s="70">
        <f t="shared" ref="M1378:M1391" si="162">I1378-0.4</f>
        <v>2.93333333333333</v>
      </c>
      <c r="N1378" s="643" t="s">
        <v>5074</v>
      </c>
      <c r="O1378" s="70">
        <v>1</v>
      </c>
      <c r="P1378" s="70">
        <v>3.5</v>
      </c>
      <c r="Q1378" s="70">
        <v>0</v>
      </c>
      <c r="V1378" s="70">
        <v>1</v>
      </c>
      <c r="W1378" s="70">
        <v>6</v>
      </c>
      <c r="X1378" s="647">
        <v>7</v>
      </c>
      <c r="Y1378" s="70">
        <v>-0.1</v>
      </c>
      <c r="Z1378" s="70">
        <v>0</v>
      </c>
      <c r="AN1378" s="650"/>
      <c r="AP1378" s="70">
        <v>5075</v>
      </c>
      <c r="AQ1378" s="70" t="s">
        <v>136</v>
      </c>
    </row>
    <row r="1379" s="70" customFormat="1" spans="1:43">
      <c r="A1379" s="70">
        <v>1375</v>
      </c>
      <c r="B1379" s="70" t="s">
        <v>5075</v>
      </c>
      <c r="C1379" s="70" t="s">
        <v>5076</v>
      </c>
      <c r="D1379" s="70">
        <v>1</v>
      </c>
      <c r="E1379" s="70">
        <v>0</v>
      </c>
      <c r="G1379" s="70">
        <v>1</v>
      </c>
      <c r="H1379" s="634">
        <v>15503</v>
      </c>
      <c r="I1379" s="641">
        <f>101/30</f>
        <v>3.36666666666667</v>
      </c>
      <c r="J1379" s="70">
        <f t="shared" si="161"/>
        <v>3.36666666666667</v>
      </c>
      <c r="L1379" s="70">
        <v>1</v>
      </c>
      <c r="M1379" s="70">
        <f t="shared" si="162"/>
        <v>2.96666666666667</v>
      </c>
      <c r="N1379" s="642" t="s">
        <v>5077</v>
      </c>
      <c r="O1379" s="70">
        <v>1</v>
      </c>
      <c r="P1379" s="70">
        <v>3.5</v>
      </c>
      <c r="Q1379" s="70">
        <v>0</v>
      </c>
      <c r="S1379" s="70">
        <v>6</v>
      </c>
      <c r="V1379" s="70">
        <v>1</v>
      </c>
      <c r="W1379" s="70">
        <v>6</v>
      </c>
      <c r="X1379" s="647">
        <v>5</v>
      </c>
      <c r="Y1379" s="70">
        <v>-0.1</v>
      </c>
      <c r="Z1379" s="70">
        <v>0</v>
      </c>
      <c r="AN1379" s="650"/>
      <c r="AP1379" s="70">
        <v>5078</v>
      </c>
      <c r="AQ1379" s="70" t="s">
        <v>136</v>
      </c>
    </row>
    <row r="1380" s="70" customFormat="1" spans="1:43">
      <c r="A1380" s="70">
        <v>1376</v>
      </c>
      <c r="B1380" s="70" t="s">
        <v>5078</v>
      </c>
      <c r="C1380" s="70" t="s">
        <v>5079</v>
      </c>
      <c r="D1380" s="70">
        <v>1</v>
      </c>
      <c r="E1380" s="70">
        <v>0</v>
      </c>
      <c r="G1380" s="70">
        <v>1</v>
      </c>
      <c r="H1380" s="634">
        <v>15505</v>
      </c>
      <c r="I1380" s="70">
        <f>69/30</f>
        <v>2.3</v>
      </c>
      <c r="J1380" s="70">
        <f t="shared" si="161"/>
        <v>2.3</v>
      </c>
      <c r="L1380" s="70">
        <v>1</v>
      </c>
      <c r="M1380" s="70">
        <f t="shared" si="162"/>
        <v>1.9</v>
      </c>
      <c r="N1380" s="642" t="s">
        <v>5080</v>
      </c>
      <c r="O1380" s="70">
        <v>1</v>
      </c>
      <c r="P1380" s="70">
        <v>3.5</v>
      </c>
      <c r="Q1380" s="70">
        <v>0</v>
      </c>
      <c r="S1380" s="70">
        <v>5</v>
      </c>
      <c r="V1380" s="70">
        <v>1</v>
      </c>
      <c r="W1380" s="70">
        <v>0</v>
      </c>
      <c r="X1380" s="647">
        <v>1</v>
      </c>
      <c r="Y1380" s="70">
        <v>-0.1</v>
      </c>
      <c r="Z1380" s="70">
        <v>0</v>
      </c>
      <c r="AN1380" s="650"/>
      <c r="AP1380" s="70">
        <v>5082</v>
      </c>
      <c r="AQ1380" s="70" t="s">
        <v>136</v>
      </c>
    </row>
    <row r="1381" s="70" customFormat="1" spans="1:47">
      <c r="A1381" s="70">
        <v>1377</v>
      </c>
      <c r="B1381" s="70" t="s">
        <v>5081</v>
      </c>
      <c r="C1381" s="70" t="s">
        <v>2875</v>
      </c>
      <c r="D1381" s="70">
        <v>1</v>
      </c>
      <c r="E1381" s="70">
        <v>0</v>
      </c>
      <c r="G1381" s="70">
        <v>1</v>
      </c>
      <c r="H1381" s="634">
        <v>15506</v>
      </c>
      <c r="I1381" s="70">
        <f>366/30</f>
        <v>12.2</v>
      </c>
      <c r="J1381" s="70">
        <f t="shared" si="161"/>
        <v>12.2</v>
      </c>
      <c r="L1381" s="70">
        <v>1</v>
      </c>
      <c r="M1381" s="70">
        <f t="shared" si="162"/>
        <v>11.8</v>
      </c>
      <c r="N1381" s="642" t="s">
        <v>5082</v>
      </c>
      <c r="O1381" s="70">
        <v>1</v>
      </c>
      <c r="P1381" s="70">
        <v>10</v>
      </c>
      <c r="Q1381" s="70">
        <v>0</v>
      </c>
      <c r="V1381" s="70">
        <v>1</v>
      </c>
      <c r="W1381" s="70">
        <v>4</v>
      </c>
      <c r="X1381" s="647">
        <v>1</v>
      </c>
      <c r="Y1381" s="70">
        <v>-0.1</v>
      </c>
      <c r="Z1381" s="70">
        <v>0</v>
      </c>
      <c r="AB1381" s="70">
        <f>I1381-0.3</f>
        <v>11.9</v>
      </c>
      <c r="AC1381" s="70">
        <v>1</v>
      </c>
      <c r="AD1381" s="70">
        <v>1</v>
      </c>
      <c r="AE1381" s="70" t="s">
        <v>5083</v>
      </c>
      <c r="AF1381" s="70">
        <v>0.5</v>
      </c>
      <c r="AN1381" s="650"/>
      <c r="AP1381" s="70">
        <v>5085</v>
      </c>
      <c r="AQ1381" s="70" t="s">
        <v>136</v>
      </c>
      <c r="AS1381" s="70" t="s">
        <v>5084</v>
      </c>
      <c r="AU1381" s="70">
        <v>1</v>
      </c>
    </row>
    <row r="1382" s="70" customFormat="1" spans="1:43">
      <c r="A1382" s="70">
        <v>1378</v>
      </c>
      <c r="B1382" s="70" t="s">
        <v>5085</v>
      </c>
      <c r="C1382" s="70" t="s">
        <v>5086</v>
      </c>
      <c r="D1382" s="70">
        <v>1</v>
      </c>
      <c r="E1382" s="70">
        <v>0</v>
      </c>
      <c r="G1382" s="70">
        <v>1</v>
      </c>
      <c r="H1382" s="634">
        <v>3012601</v>
      </c>
      <c r="I1382" s="70">
        <f>72/30</f>
        <v>2.4</v>
      </c>
      <c r="J1382" s="70">
        <f t="shared" si="161"/>
        <v>2.4</v>
      </c>
      <c r="L1382" s="70">
        <v>1</v>
      </c>
      <c r="M1382" s="70">
        <f t="shared" si="162"/>
        <v>2</v>
      </c>
      <c r="N1382" s="642" t="s">
        <v>5087</v>
      </c>
      <c r="O1382" s="70">
        <v>1</v>
      </c>
      <c r="P1382" s="70">
        <v>3.5</v>
      </c>
      <c r="Q1382" s="70">
        <v>0</v>
      </c>
      <c r="S1382" s="70">
        <v>6</v>
      </c>
      <c r="V1382" s="70">
        <v>1</v>
      </c>
      <c r="W1382" s="70">
        <v>6</v>
      </c>
      <c r="X1382" s="647">
        <v>1</v>
      </c>
      <c r="Y1382" s="70">
        <v>-0.1</v>
      </c>
      <c r="Z1382" s="70">
        <v>0</v>
      </c>
      <c r="AN1382" s="650"/>
      <c r="AP1382" s="70">
        <v>5080</v>
      </c>
      <c r="AQ1382" s="70" t="s">
        <v>136</v>
      </c>
    </row>
    <row r="1383" s="70" customFormat="1" spans="1:47">
      <c r="A1383" s="70">
        <v>1379</v>
      </c>
      <c r="B1383" s="70" t="s">
        <v>5088</v>
      </c>
      <c r="C1383" s="70" t="s">
        <v>5089</v>
      </c>
      <c r="D1383" s="70">
        <v>1</v>
      </c>
      <c r="E1383" s="70">
        <v>0</v>
      </c>
      <c r="G1383" s="70">
        <v>1</v>
      </c>
      <c r="H1383" s="634" t="s">
        <v>5090</v>
      </c>
      <c r="I1383" s="70">
        <v>8.83333333333333</v>
      </c>
      <c r="J1383" s="70">
        <f t="shared" si="161"/>
        <v>8.83333333333333</v>
      </c>
      <c r="L1383" s="70">
        <v>1</v>
      </c>
      <c r="M1383" s="70">
        <f t="shared" si="162"/>
        <v>8.43333333333333</v>
      </c>
      <c r="N1383" s="642" t="s">
        <v>5091</v>
      </c>
      <c r="O1383" s="70">
        <v>1</v>
      </c>
      <c r="P1383" s="70">
        <v>25</v>
      </c>
      <c r="Q1383" s="70">
        <v>0</v>
      </c>
      <c r="V1383" s="70">
        <v>1</v>
      </c>
      <c r="W1383" s="70">
        <v>0</v>
      </c>
      <c r="X1383" s="647">
        <v>1</v>
      </c>
      <c r="Y1383" s="70">
        <v>-0.1</v>
      </c>
      <c r="Z1383" s="70">
        <v>0</v>
      </c>
      <c r="AB1383" s="70">
        <f>I1383-0.3</f>
        <v>8.53333333333333</v>
      </c>
      <c r="AC1383" s="70">
        <v>1</v>
      </c>
      <c r="AD1383" s="70">
        <v>1</v>
      </c>
      <c r="AE1383" s="70" t="s">
        <v>5092</v>
      </c>
      <c r="AF1383" s="70">
        <v>0.5</v>
      </c>
      <c r="AN1383" s="650"/>
      <c r="AP1383" s="70">
        <v>5086</v>
      </c>
      <c r="AQ1383" s="70" t="s">
        <v>136</v>
      </c>
      <c r="AS1383" s="70" t="s">
        <v>5093</v>
      </c>
      <c r="AU1383" s="70">
        <v>1</v>
      </c>
    </row>
    <row r="1384" s="70" customFormat="1" spans="1:47">
      <c r="A1384" s="70">
        <v>1380</v>
      </c>
      <c r="B1384" s="70" t="s">
        <v>5094</v>
      </c>
      <c r="C1384" s="70" t="s">
        <v>5060</v>
      </c>
      <c r="D1384" s="70">
        <v>1</v>
      </c>
      <c r="E1384" s="70">
        <v>0</v>
      </c>
      <c r="G1384" s="70">
        <v>1</v>
      </c>
      <c r="H1384" s="634" t="s">
        <v>5095</v>
      </c>
      <c r="I1384" s="70">
        <v>12</v>
      </c>
      <c r="J1384" s="70">
        <f t="shared" si="161"/>
        <v>12</v>
      </c>
      <c r="L1384" s="70">
        <v>1</v>
      </c>
      <c r="M1384" s="70">
        <f t="shared" si="162"/>
        <v>11.6</v>
      </c>
      <c r="N1384" s="644" t="s">
        <v>5096</v>
      </c>
      <c r="O1384" s="70">
        <v>1</v>
      </c>
      <c r="P1384" s="70">
        <v>27.5</v>
      </c>
      <c r="Q1384" s="70">
        <v>0</v>
      </c>
      <c r="V1384" s="70">
        <v>1</v>
      </c>
      <c r="W1384" s="70">
        <v>6</v>
      </c>
      <c r="X1384" s="647">
        <v>5</v>
      </c>
      <c r="Y1384" s="70">
        <v>-0.1</v>
      </c>
      <c r="Z1384" s="70">
        <v>0</v>
      </c>
      <c r="AB1384" s="70">
        <f>I1384-0.3</f>
        <v>11.7</v>
      </c>
      <c r="AC1384" s="70">
        <v>1</v>
      </c>
      <c r="AD1384" s="70">
        <v>1</v>
      </c>
      <c r="AE1384" s="70" t="s">
        <v>5097</v>
      </c>
      <c r="AF1384" s="70">
        <v>0.5</v>
      </c>
      <c r="AN1384" s="650"/>
      <c r="AP1384" s="70">
        <v>5087</v>
      </c>
      <c r="AQ1384" s="70" t="s">
        <v>136</v>
      </c>
      <c r="AU1384" s="70">
        <v>1</v>
      </c>
    </row>
    <row r="1385" s="70" customFormat="1" spans="1:43">
      <c r="A1385" s="70">
        <v>1381</v>
      </c>
      <c r="B1385" s="70" t="s">
        <v>5098</v>
      </c>
      <c r="C1385" s="70" t="s">
        <v>5099</v>
      </c>
      <c r="D1385" s="70">
        <v>1</v>
      </c>
      <c r="E1385" s="70">
        <v>0</v>
      </c>
      <c r="G1385" s="70">
        <v>1</v>
      </c>
      <c r="H1385" s="634">
        <v>3012605</v>
      </c>
      <c r="I1385" s="641">
        <f>83/30</f>
        <v>2.76666666666667</v>
      </c>
      <c r="J1385" s="70">
        <f t="shared" si="161"/>
        <v>2.76666666666667</v>
      </c>
      <c r="L1385" s="70">
        <v>1</v>
      </c>
      <c r="M1385" s="70">
        <f t="shared" si="162"/>
        <v>2.36666666666667</v>
      </c>
      <c r="N1385" s="642" t="s">
        <v>5071</v>
      </c>
      <c r="O1385" s="70">
        <v>1</v>
      </c>
      <c r="P1385" s="70">
        <v>3.5</v>
      </c>
      <c r="Q1385" s="70">
        <v>0</v>
      </c>
      <c r="V1385" s="70">
        <v>1</v>
      </c>
      <c r="W1385" s="70">
        <v>0</v>
      </c>
      <c r="X1385" s="647">
        <v>1</v>
      </c>
      <c r="Y1385" s="70">
        <v>-0.1</v>
      </c>
      <c r="Z1385" s="70">
        <v>0</v>
      </c>
      <c r="AN1385" s="650"/>
      <c r="AP1385" s="70">
        <v>5073</v>
      </c>
      <c r="AQ1385" s="70" t="s">
        <v>136</v>
      </c>
    </row>
    <row r="1386" s="70" customFormat="1" spans="1:43">
      <c r="A1386" s="70">
        <v>1382</v>
      </c>
      <c r="B1386" s="70" t="s">
        <v>5100</v>
      </c>
      <c r="C1386" s="70" t="s">
        <v>5101</v>
      </c>
      <c r="D1386" s="70">
        <v>1</v>
      </c>
      <c r="E1386" s="70">
        <v>0</v>
      </c>
      <c r="G1386" s="70">
        <v>1</v>
      </c>
      <c r="H1386" s="634">
        <v>15529</v>
      </c>
      <c r="I1386" s="70">
        <f>72/30</f>
        <v>2.4</v>
      </c>
      <c r="J1386" s="70">
        <f t="shared" si="161"/>
        <v>2.4</v>
      </c>
      <c r="L1386" s="70">
        <v>1</v>
      </c>
      <c r="M1386" s="70">
        <f t="shared" si="162"/>
        <v>2</v>
      </c>
      <c r="N1386" s="642" t="s">
        <v>5087</v>
      </c>
      <c r="O1386" s="70">
        <v>1</v>
      </c>
      <c r="P1386" s="70">
        <v>3.5</v>
      </c>
      <c r="Q1386" s="70">
        <v>0</v>
      </c>
      <c r="S1386" s="70">
        <v>6</v>
      </c>
      <c r="V1386" s="70">
        <v>1</v>
      </c>
      <c r="W1386" s="70">
        <v>6</v>
      </c>
      <c r="X1386" s="647">
        <v>1</v>
      </c>
      <c r="Y1386" s="70">
        <v>-0.1</v>
      </c>
      <c r="Z1386" s="70">
        <v>0</v>
      </c>
      <c r="AN1386" s="650"/>
      <c r="AP1386" s="70">
        <v>5080</v>
      </c>
      <c r="AQ1386" s="70" t="s">
        <v>136</v>
      </c>
    </row>
    <row r="1387" s="17" customFormat="1" spans="1:43">
      <c r="A1387" s="17">
        <v>1383</v>
      </c>
      <c r="B1387" s="17" t="s">
        <v>5102</v>
      </c>
      <c r="C1387" s="431" t="s">
        <v>5103</v>
      </c>
      <c r="D1387" s="17">
        <v>1</v>
      </c>
      <c r="E1387" s="17">
        <v>0</v>
      </c>
      <c r="G1387" s="17">
        <v>1</v>
      </c>
      <c r="H1387" s="210">
        <v>8109</v>
      </c>
      <c r="I1387" s="17">
        <v>4.63333333333333</v>
      </c>
      <c r="J1387" s="17">
        <v>4.63333333333333</v>
      </c>
      <c r="L1387" s="17">
        <v>1</v>
      </c>
      <c r="M1387" s="17">
        <f t="shared" si="162"/>
        <v>4.23333333333333</v>
      </c>
      <c r="N1387" s="642" t="s">
        <v>5104</v>
      </c>
      <c r="O1387" s="17">
        <v>1</v>
      </c>
      <c r="P1387" s="17">
        <v>2.12</v>
      </c>
      <c r="Q1387" s="17">
        <v>0</v>
      </c>
      <c r="V1387" s="17">
        <v>1</v>
      </c>
      <c r="W1387" s="17">
        <v>7</v>
      </c>
      <c r="X1387" s="116">
        <v>4</v>
      </c>
      <c r="Y1387" s="17">
        <v>-0.1</v>
      </c>
      <c r="Z1387" s="17">
        <v>0</v>
      </c>
      <c r="AN1387" s="121"/>
      <c r="AP1387" s="17">
        <v>5094</v>
      </c>
      <c r="AQ1387" s="17" t="s">
        <v>136</v>
      </c>
    </row>
    <row r="1388" s="17" customFormat="1" spans="1:43">
      <c r="A1388" s="17">
        <v>1384</v>
      </c>
      <c r="B1388" s="17" t="s">
        <v>5105</v>
      </c>
      <c r="C1388" s="17" t="s">
        <v>5106</v>
      </c>
      <c r="D1388" s="17">
        <v>1</v>
      </c>
      <c r="E1388" s="17">
        <v>0</v>
      </c>
      <c r="G1388" s="17">
        <v>1</v>
      </c>
      <c r="H1388" s="210" t="s">
        <v>5107</v>
      </c>
      <c r="I1388" s="17">
        <v>4.4</v>
      </c>
      <c r="J1388" s="17">
        <v>4.4</v>
      </c>
      <c r="L1388" s="17">
        <v>1</v>
      </c>
      <c r="M1388" s="17">
        <f t="shared" si="162"/>
        <v>4</v>
      </c>
      <c r="N1388" s="642" t="s">
        <v>5108</v>
      </c>
      <c r="O1388" s="17">
        <v>1</v>
      </c>
      <c r="P1388" s="17">
        <v>2.12</v>
      </c>
      <c r="Q1388" s="17">
        <v>0</v>
      </c>
      <c r="V1388" s="17">
        <v>1</v>
      </c>
      <c r="W1388" s="17">
        <v>6</v>
      </c>
      <c r="X1388" s="116">
        <v>3</v>
      </c>
      <c r="Y1388" s="17">
        <v>-0.1</v>
      </c>
      <c r="Z1388" s="17">
        <v>0</v>
      </c>
      <c r="AN1388" s="121" t="s">
        <v>5109</v>
      </c>
      <c r="AO1388" s="17" t="s">
        <v>2288</v>
      </c>
      <c r="AP1388" s="17">
        <v>5096</v>
      </c>
      <c r="AQ1388" s="17" t="s">
        <v>136</v>
      </c>
    </row>
    <row r="1389" s="17" customFormat="1" spans="1:47">
      <c r="A1389" s="17">
        <v>1385</v>
      </c>
      <c r="B1389" s="17" t="s">
        <v>5110</v>
      </c>
      <c r="C1389" s="17" t="s">
        <v>5111</v>
      </c>
      <c r="D1389" s="17">
        <v>1</v>
      </c>
      <c r="E1389" s="17">
        <v>0</v>
      </c>
      <c r="G1389" s="17">
        <v>1</v>
      </c>
      <c r="H1389" s="210" t="s">
        <v>5112</v>
      </c>
      <c r="I1389" s="17">
        <v>10.3333333333333</v>
      </c>
      <c r="J1389" s="17">
        <v>10.3333333333333</v>
      </c>
      <c r="L1389" s="17">
        <v>1</v>
      </c>
      <c r="M1389" s="17">
        <f t="shared" si="162"/>
        <v>9.9333333333333</v>
      </c>
      <c r="N1389" s="642" t="s">
        <v>5113</v>
      </c>
      <c r="O1389" s="17">
        <v>1</v>
      </c>
      <c r="P1389" s="17">
        <v>20</v>
      </c>
      <c r="Q1389" s="17">
        <v>0</v>
      </c>
      <c r="V1389" s="17">
        <v>1</v>
      </c>
      <c r="W1389" s="17">
        <v>0</v>
      </c>
      <c r="X1389" s="116">
        <v>7</v>
      </c>
      <c r="Y1389" s="17">
        <v>-0.1</v>
      </c>
      <c r="Z1389" s="17">
        <v>0</v>
      </c>
      <c r="AB1389" s="17">
        <f t="shared" ref="AB1389:AB1394" si="163">I1389-0.3</f>
        <v>10.0333333333333</v>
      </c>
      <c r="AC1389" s="17">
        <v>1</v>
      </c>
      <c r="AD1389" s="17">
        <v>1</v>
      </c>
      <c r="AE1389" s="17" t="s">
        <v>5114</v>
      </c>
      <c r="AF1389" s="17">
        <v>0.5</v>
      </c>
      <c r="AN1389" s="121"/>
      <c r="AP1389" s="17">
        <v>5101</v>
      </c>
      <c r="AQ1389" s="17" t="s">
        <v>136</v>
      </c>
      <c r="AU1389" s="17">
        <v>1</v>
      </c>
    </row>
    <row r="1390" s="17" customFormat="1" spans="1:47">
      <c r="A1390" s="17">
        <v>1386</v>
      </c>
      <c r="B1390" s="17" t="s">
        <v>5115</v>
      </c>
      <c r="C1390" s="17" t="s">
        <v>5116</v>
      </c>
      <c r="D1390" s="17">
        <v>1</v>
      </c>
      <c r="E1390" s="17">
        <v>0</v>
      </c>
      <c r="G1390" s="17">
        <v>1</v>
      </c>
      <c r="H1390" s="210" t="s">
        <v>5117</v>
      </c>
      <c r="I1390" s="17">
        <v>10</v>
      </c>
      <c r="J1390" s="17">
        <v>10</v>
      </c>
      <c r="L1390" s="17">
        <v>1</v>
      </c>
      <c r="M1390" s="17">
        <f t="shared" si="162"/>
        <v>9.6</v>
      </c>
      <c r="N1390" s="642" t="s">
        <v>5118</v>
      </c>
      <c r="O1390" s="17">
        <v>1</v>
      </c>
      <c r="P1390" s="17">
        <v>20</v>
      </c>
      <c r="Q1390" s="17">
        <v>0</v>
      </c>
      <c r="V1390" s="17">
        <v>1</v>
      </c>
      <c r="W1390" s="17">
        <v>6</v>
      </c>
      <c r="X1390" s="116">
        <v>1</v>
      </c>
      <c r="Y1390" s="17">
        <v>-0.1</v>
      </c>
      <c r="Z1390" s="17">
        <v>0</v>
      </c>
      <c r="AB1390" s="17">
        <f t="shared" si="163"/>
        <v>9.7</v>
      </c>
      <c r="AC1390" s="17">
        <v>1</v>
      </c>
      <c r="AD1390" s="17">
        <v>1</v>
      </c>
      <c r="AE1390" s="17" t="s">
        <v>5119</v>
      </c>
      <c r="AF1390" s="17">
        <v>0.5</v>
      </c>
      <c r="AN1390" s="121"/>
      <c r="AP1390" s="17">
        <v>5102</v>
      </c>
      <c r="AQ1390" s="17" t="s">
        <v>136</v>
      </c>
      <c r="AU1390" s="17">
        <v>1</v>
      </c>
    </row>
    <row r="1391" s="37" customFormat="1" spans="1:43">
      <c r="A1391" s="37">
        <v>1387</v>
      </c>
      <c r="B1391" s="37" t="s">
        <v>5120</v>
      </c>
      <c r="D1391" s="37">
        <v>1</v>
      </c>
      <c r="E1391" s="37">
        <v>0</v>
      </c>
      <c r="G1391" s="37">
        <v>1</v>
      </c>
      <c r="H1391" s="635">
        <v>15601</v>
      </c>
      <c r="I1391" s="645">
        <f>44/30</f>
        <v>1.46666666666667</v>
      </c>
      <c r="J1391" s="645">
        <f>44/30</f>
        <v>1.46666666666667</v>
      </c>
      <c r="L1391" s="37">
        <v>1</v>
      </c>
      <c r="M1391" s="37">
        <f t="shared" ref="M1391:M1409" si="164">I1391-0.4</f>
        <v>1.06666666666667</v>
      </c>
      <c r="N1391" s="642" t="s">
        <v>5121</v>
      </c>
      <c r="O1391" s="37">
        <v>1</v>
      </c>
      <c r="P1391" s="37">
        <v>5</v>
      </c>
      <c r="Q1391" s="37">
        <v>0</v>
      </c>
      <c r="S1391" s="37">
        <v>6</v>
      </c>
      <c r="V1391" s="37">
        <v>1</v>
      </c>
      <c r="W1391" s="37">
        <v>0</v>
      </c>
      <c r="X1391" s="303">
        <v>1</v>
      </c>
      <c r="Y1391" s="37">
        <v>-0.1</v>
      </c>
      <c r="Z1391" s="37">
        <v>0</v>
      </c>
      <c r="AN1391" s="311"/>
      <c r="AP1391" s="37">
        <v>5106</v>
      </c>
      <c r="AQ1391" s="37" t="s">
        <v>136</v>
      </c>
    </row>
    <row r="1392" s="37" customFormat="1" spans="1:43">
      <c r="A1392" s="37">
        <v>1388</v>
      </c>
      <c r="B1392" s="37" t="s">
        <v>5122</v>
      </c>
      <c r="C1392" s="37" t="s">
        <v>1051</v>
      </c>
      <c r="D1392" s="37">
        <v>1</v>
      </c>
      <c r="E1392" s="37">
        <v>0</v>
      </c>
      <c r="G1392" s="37">
        <v>1</v>
      </c>
      <c r="H1392" s="635">
        <v>15602</v>
      </c>
      <c r="I1392" s="645">
        <f>72/30</f>
        <v>2.4</v>
      </c>
      <c r="J1392" s="645">
        <f>72/30</f>
        <v>2.4</v>
      </c>
      <c r="L1392" s="37">
        <v>1</v>
      </c>
      <c r="M1392" s="37">
        <f t="shared" si="164"/>
        <v>2</v>
      </c>
      <c r="N1392" s="642" t="s">
        <v>5123</v>
      </c>
      <c r="O1392" s="37">
        <v>1</v>
      </c>
      <c r="P1392" s="37">
        <v>5</v>
      </c>
      <c r="Q1392" s="37">
        <v>0</v>
      </c>
      <c r="S1392" s="37">
        <v>4</v>
      </c>
      <c r="V1392" s="37">
        <v>1</v>
      </c>
      <c r="W1392" s="37">
        <v>7</v>
      </c>
      <c r="X1392" s="303">
        <v>10</v>
      </c>
      <c r="Y1392" s="37">
        <v>-0.1</v>
      </c>
      <c r="Z1392" s="37">
        <v>0</v>
      </c>
      <c r="AN1392" s="311"/>
      <c r="AP1392" s="37">
        <v>5107</v>
      </c>
      <c r="AQ1392" s="37" t="s">
        <v>136</v>
      </c>
    </row>
    <row r="1393" s="37" customFormat="1" spans="1:43">
      <c r="A1393" s="37">
        <v>1389</v>
      </c>
      <c r="B1393" s="37" t="s">
        <v>5124</v>
      </c>
      <c r="C1393" s="37" t="s">
        <v>1041</v>
      </c>
      <c r="D1393" s="37">
        <v>1</v>
      </c>
      <c r="E1393" s="37">
        <v>0</v>
      </c>
      <c r="G1393" s="37">
        <v>1</v>
      </c>
      <c r="H1393" s="635">
        <v>15603</v>
      </c>
      <c r="I1393" s="645">
        <f>37/30</f>
        <v>1.23333333333333</v>
      </c>
      <c r="J1393" s="645">
        <f>37/30</f>
        <v>1.23333333333333</v>
      </c>
      <c r="L1393" s="37">
        <v>1</v>
      </c>
      <c r="M1393" s="37">
        <f t="shared" si="164"/>
        <v>0.833333333333333</v>
      </c>
      <c r="N1393" s="642" t="s">
        <v>5125</v>
      </c>
      <c r="O1393" s="37">
        <v>1</v>
      </c>
      <c r="P1393" s="37">
        <v>5</v>
      </c>
      <c r="Q1393" s="37">
        <v>0</v>
      </c>
      <c r="S1393" s="37">
        <v>4</v>
      </c>
      <c r="V1393" s="37">
        <v>1</v>
      </c>
      <c r="W1393" s="37">
        <v>0</v>
      </c>
      <c r="X1393" s="303">
        <v>1</v>
      </c>
      <c r="Y1393" s="37">
        <v>-0.1</v>
      </c>
      <c r="Z1393" s="37">
        <v>0</v>
      </c>
      <c r="AN1393" s="311"/>
      <c r="AP1393" s="37">
        <v>5110</v>
      </c>
      <c r="AQ1393" s="37" t="s">
        <v>136</v>
      </c>
    </row>
    <row r="1394" s="37" customFormat="1" spans="1:47">
      <c r="A1394" s="37">
        <v>1390</v>
      </c>
      <c r="B1394" s="37" t="s">
        <v>5126</v>
      </c>
      <c r="C1394" s="37" t="s">
        <v>1055</v>
      </c>
      <c r="D1394" s="37">
        <v>1</v>
      </c>
      <c r="E1394" s="37">
        <v>0</v>
      </c>
      <c r="G1394" s="37">
        <v>1</v>
      </c>
      <c r="H1394" s="635">
        <v>15604</v>
      </c>
      <c r="I1394" s="645">
        <f>342/30</f>
        <v>11.4</v>
      </c>
      <c r="J1394" s="645">
        <f>342/30</f>
        <v>11.4</v>
      </c>
      <c r="L1394" s="37">
        <v>1</v>
      </c>
      <c r="M1394" s="37">
        <f t="shared" si="164"/>
        <v>11</v>
      </c>
      <c r="N1394" s="642" t="s">
        <v>5127</v>
      </c>
      <c r="O1394" s="37">
        <v>1</v>
      </c>
      <c r="P1394" s="37">
        <v>20</v>
      </c>
      <c r="Q1394" s="37">
        <v>0</v>
      </c>
      <c r="V1394" s="37">
        <v>1</v>
      </c>
      <c r="W1394" s="37">
        <v>6</v>
      </c>
      <c r="X1394" s="303">
        <v>1</v>
      </c>
      <c r="Y1394" s="37">
        <v>-0.1</v>
      </c>
      <c r="Z1394" s="37">
        <v>0</v>
      </c>
      <c r="AB1394" s="37">
        <f t="shared" si="163"/>
        <v>11.1</v>
      </c>
      <c r="AC1394" s="37">
        <v>1</v>
      </c>
      <c r="AD1394" s="37">
        <v>1</v>
      </c>
      <c r="AE1394" s="37" t="s">
        <v>5128</v>
      </c>
      <c r="AF1394" s="37">
        <v>0.5</v>
      </c>
      <c r="AN1394" s="311" t="s">
        <v>5129</v>
      </c>
      <c r="AO1394" s="37" t="s">
        <v>4879</v>
      </c>
      <c r="AP1394" s="37">
        <v>5111</v>
      </c>
      <c r="AQ1394" s="37" t="s">
        <v>136</v>
      </c>
      <c r="AU1394" s="37">
        <v>1</v>
      </c>
    </row>
    <row r="1395" s="37" customFormat="1" spans="1:43">
      <c r="A1395" s="37">
        <v>1391</v>
      </c>
      <c r="B1395" s="37" t="s">
        <v>5130</v>
      </c>
      <c r="D1395" s="37">
        <v>1</v>
      </c>
      <c r="E1395" s="37">
        <v>0</v>
      </c>
      <c r="G1395" s="37">
        <v>1</v>
      </c>
      <c r="H1395" s="635">
        <v>15605</v>
      </c>
      <c r="I1395" s="37">
        <v>1.8</v>
      </c>
      <c r="J1395" s="37">
        <v>1.8</v>
      </c>
      <c r="L1395" s="37">
        <v>1</v>
      </c>
      <c r="M1395" s="37">
        <f t="shared" si="164"/>
        <v>1.4</v>
      </c>
      <c r="N1395" s="642" t="s">
        <v>5131</v>
      </c>
      <c r="O1395" s="37">
        <v>1</v>
      </c>
      <c r="P1395" s="37">
        <v>5</v>
      </c>
      <c r="Q1395" s="37">
        <v>0</v>
      </c>
      <c r="S1395" s="37">
        <v>6</v>
      </c>
      <c r="V1395" s="37">
        <v>1</v>
      </c>
      <c r="W1395" s="37">
        <v>6</v>
      </c>
      <c r="X1395" s="303">
        <v>1</v>
      </c>
      <c r="Y1395" s="37">
        <v>-0.1</v>
      </c>
      <c r="Z1395" s="37">
        <v>0</v>
      </c>
      <c r="AN1395" s="311" t="s">
        <v>5132</v>
      </c>
      <c r="AO1395" s="37" t="s">
        <v>5133</v>
      </c>
      <c r="AP1395" s="37">
        <v>5115</v>
      </c>
      <c r="AQ1395" s="37" t="s">
        <v>136</v>
      </c>
    </row>
    <row r="1396" s="37" customFormat="1" spans="1:43">
      <c r="A1396" s="37">
        <v>1392</v>
      </c>
      <c r="B1396" s="37" t="s">
        <v>5134</v>
      </c>
      <c r="C1396" s="37" t="s">
        <v>5135</v>
      </c>
      <c r="D1396" s="37">
        <v>1</v>
      </c>
      <c r="E1396" s="37">
        <v>0</v>
      </c>
      <c r="G1396" s="37">
        <v>1</v>
      </c>
      <c r="H1396" s="635">
        <v>15606</v>
      </c>
      <c r="I1396" s="37">
        <v>1.86666666666667</v>
      </c>
      <c r="J1396" s="37">
        <v>1.86666666666667</v>
      </c>
      <c r="L1396" s="37">
        <v>1</v>
      </c>
      <c r="M1396" s="37">
        <f t="shared" si="164"/>
        <v>1.46666666666667</v>
      </c>
      <c r="N1396" s="642" t="s">
        <v>5136</v>
      </c>
      <c r="O1396" s="37">
        <v>1</v>
      </c>
      <c r="P1396" s="37">
        <v>5</v>
      </c>
      <c r="Q1396" s="37">
        <v>0</v>
      </c>
      <c r="S1396" s="37">
        <v>6</v>
      </c>
      <c r="V1396" s="37">
        <v>1</v>
      </c>
      <c r="W1396" s="37">
        <v>6</v>
      </c>
      <c r="X1396" s="303">
        <v>10</v>
      </c>
      <c r="Y1396" s="37">
        <v>-0.1</v>
      </c>
      <c r="Z1396" s="37">
        <v>0</v>
      </c>
      <c r="AN1396" s="311" t="s">
        <v>5137</v>
      </c>
      <c r="AO1396" s="37" t="s">
        <v>5138</v>
      </c>
      <c r="AP1396" s="37">
        <v>5121</v>
      </c>
      <c r="AQ1396" s="37" t="s">
        <v>136</v>
      </c>
    </row>
    <row r="1397" s="37" customFormat="1" spans="1:47">
      <c r="A1397" s="37">
        <v>1393</v>
      </c>
      <c r="B1397" s="37" t="s">
        <v>5139</v>
      </c>
      <c r="C1397" s="524" t="s">
        <v>5140</v>
      </c>
      <c r="D1397" s="37">
        <v>1</v>
      </c>
      <c r="E1397" s="37">
        <v>0</v>
      </c>
      <c r="G1397" s="37">
        <v>1</v>
      </c>
      <c r="H1397" s="635">
        <v>15607</v>
      </c>
      <c r="I1397" s="37">
        <v>9.16666666666667</v>
      </c>
      <c r="J1397" s="37">
        <v>9.16666666666667</v>
      </c>
      <c r="L1397" s="37">
        <v>1</v>
      </c>
      <c r="M1397" s="37">
        <f t="shared" si="164"/>
        <v>8.76666666666667</v>
      </c>
      <c r="N1397" s="642" t="s">
        <v>5141</v>
      </c>
      <c r="O1397" s="37">
        <v>1</v>
      </c>
      <c r="P1397" s="37">
        <v>20</v>
      </c>
      <c r="Q1397" s="37">
        <v>0</v>
      </c>
      <c r="V1397" s="37">
        <v>1</v>
      </c>
      <c r="W1397" s="37">
        <v>6</v>
      </c>
      <c r="X1397" s="303">
        <v>1</v>
      </c>
      <c r="Y1397" s="37">
        <v>-0.1</v>
      </c>
      <c r="Z1397" s="37">
        <v>0</v>
      </c>
      <c r="AB1397" s="37">
        <f t="shared" ref="AB1397:AB1401" si="165">I1397-0.3</f>
        <v>8.86666666666667</v>
      </c>
      <c r="AC1397" s="37">
        <v>1</v>
      </c>
      <c r="AD1397" s="37">
        <v>1</v>
      </c>
      <c r="AE1397" s="37" t="s">
        <v>5142</v>
      </c>
      <c r="AF1397" s="37">
        <v>0.5</v>
      </c>
      <c r="AN1397" s="311"/>
      <c r="AP1397" s="37">
        <v>5123</v>
      </c>
      <c r="AQ1397" s="37" t="s">
        <v>136</v>
      </c>
      <c r="AS1397" s="37" t="s">
        <v>5143</v>
      </c>
      <c r="AU1397" s="37">
        <v>1</v>
      </c>
    </row>
    <row r="1398" s="37" customFormat="1" spans="1:47">
      <c r="A1398" s="37">
        <v>1394</v>
      </c>
      <c r="B1398" s="37" t="s">
        <v>5144</v>
      </c>
      <c r="C1398" s="524" t="s">
        <v>5145</v>
      </c>
      <c r="D1398" s="37">
        <v>1</v>
      </c>
      <c r="E1398" s="37">
        <v>0</v>
      </c>
      <c r="G1398" s="37">
        <v>1</v>
      </c>
      <c r="H1398" s="635">
        <v>15608</v>
      </c>
      <c r="I1398" s="37">
        <v>8.6</v>
      </c>
      <c r="J1398" s="37">
        <v>8.6</v>
      </c>
      <c r="L1398" s="37">
        <v>1</v>
      </c>
      <c r="M1398" s="37">
        <f t="shared" si="164"/>
        <v>8.2</v>
      </c>
      <c r="N1398" s="642" t="s">
        <v>5146</v>
      </c>
      <c r="O1398" s="37">
        <v>1</v>
      </c>
      <c r="P1398" s="37">
        <v>85</v>
      </c>
      <c r="Q1398" s="37">
        <v>0</v>
      </c>
      <c r="V1398" s="37">
        <v>1</v>
      </c>
      <c r="W1398" s="37">
        <v>6</v>
      </c>
      <c r="X1398" s="303">
        <v>15</v>
      </c>
      <c r="Y1398" s="37">
        <v>-0.1</v>
      </c>
      <c r="Z1398" s="37">
        <v>0</v>
      </c>
      <c r="AB1398" s="37">
        <f t="shared" si="165"/>
        <v>8.3</v>
      </c>
      <c r="AC1398" s="37">
        <v>1</v>
      </c>
      <c r="AD1398" s="37">
        <v>1</v>
      </c>
      <c r="AE1398" s="37" t="s">
        <v>5147</v>
      </c>
      <c r="AF1398" s="37">
        <v>0.5</v>
      </c>
      <c r="AN1398" s="311">
        <v>5125</v>
      </c>
      <c r="AO1398" s="37" t="s">
        <v>674</v>
      </c>
      <c r="AP1398" s="37">
        <v>5124</v>
      </c>
      <c r="AQ1398" s="37" t="s">
        <v>136</v>
      </c>
      <c r="AS1398" s="37" t="s">
        <v>5148</v>
      </c>
      <c r="AU1398" s="37">
        <v>1</v>
      </c>
    </row>
    <row r="1399" s="1" customFormat="1" spans="1:43">
      <c r="A1399" s="1">
        <v>1395</v>
      </c>
      <c r="B1399" s="1" t="s">
        <v>5149</v>
      </c>
      <c r="C1399" s="636"/>
      <c r="D1399" s="1">
        <v>1</v>
      </c>
      <c r="E1399" s="1">
        <v>0</v>
      </c>
      <c r="G1399" s="1">
        <v>1</v>
      </c>
      <c r="H1399" s="637">
        <v>15701</v>
      </c>
      <c r="I1399" s="1">
        <v>3.66666666666667</v>
      </c>
      <c r="J1399" s="1">
        <v>3.66666666666667</v>
      </c>
      <c r="L1399" s="1">
        <v>1</v>
      </c>
      <c r="M1399" s="1">
        <f t="shared" si="164"/>
        <v>3.26666666666667</v>
      </c>
      <c r="N1399" s="646" t="s">
        <v>5150</v>
      </c>
      <c r="O1399" s="1">
        <v>1</v>
      </c>
      <c r="P1399" s="1">
        <v>2.5</v>
      </c>
      <c r="Q1399" s="1">
        <v>0</v>
      </c>
      <c r="V1399" s="1">
        <v>1</v>
      </c>
      <c r="W1399" s="1">
        <v>0</v>
      </c>
      <c r="X1399" s="648">
        <v>1</v>
      </c>
      <c r="Y1399" s="1">
        <v>-0.1</v>
      </c>
      <c r="Z1399" s="1">
        <v>0</v>
      </c>
      <c r="AN1399" s="355" t="s">
        <v>5151</v>
      </c>
      <c r="AO1399" s="1" t="s">
        <v>524</v>
      </c>
      <c r="AP1399" s="1">
        <v>5135</v>
      </c>
      <c r="AQ1399" s="1" t="s">
        <v>136</v>
      </c>
    </row>
    <row r="1400" s="1" customFormat="1" spans="1:43">
      <c r="A1400" s="1">
        <v>1396</v>
      </c>
      <c r="B1400" s="1" t="s">
        <v>5152</v>
      </c>
      <c r="C1400" s="636" t="s">
        <v>5153</v>
      </c>
      <c r="D1400" s="1">
        <v>1</v>
      </c>
      <c r="E1400" s="1">
        <v>0</v>
      </c>
      <c r="G1400" s="1">
        <v>1</v>
      </c>
      <c r="H1400" s="637">
        <v>15702</v>
      </c>
      <c r="I1400" s="1">
        <v>4.7</v>
      </c>
      <c r="J1400" s="1">
        <v>4.7</v>
      </c>
      <c r="L1400" s="1">
        <v>1</v>
      </c>
      <c r="M1400" s="1">
        <f t="shared" si="164"/>
        <v>4.3</v>
      </c>
      <c r="N1400" s="646" t="s">
        <v>5154</v>
      </c>
      <c r="O1400" s="1">
        <v>1</v>
      </c>
      <c r="P1400" s="1">
        <v>2.5</v>
      </c>
      <c r="Q1400" s="1">
        <v>0</v>
      </c>
      <c r="S1400" s="1">
        <v>6</v>
      </c>
      <c r="U1400" s="1">
        <v>2</v>
      </c>
      <c r="V1400" s="1">
        <v>1</v>
      </c>
      <c r="W1400" s="1">
        <v>6</v>
      </c>
      <c r="X1400" s="648">
        <v>2</v>
      </c>
      <c r="Y1400" s="1">
        <v>-0.1</v>
      </c>
      <c r="Z1400" s="1">
        <v>0</v>
      </c>
      <c r="AN1400" s="355"/>
      <c r="AP1400" s="1">
        <v>5139</v>
      </c>
      <c r="AQ1400" s="1" t="s">
        <v>136</v>
      </c>
    </row>
    <row r="1401" s="1" customFormat="1" spans="1:47">
      <c r="A1401" s="1">
        <v>1397</v>
      </c>
      <c r="B1401" s="1" t="s">
        <v>5155</v>
      </c>
      <c r="C1401" s="636" t="s">
        <v>5156</v>
      </c>
      <c r="D1401" s="1">
        <v>1</v>
      </c>
      <c r="E1401" s="1">
        <v>0</v>
      </c>
      <c r="G1401" s="1">
        <v>1</v>
      </c>
      <c r="H1401" s="637">
        <v>15703</v>
      </c>
      <c r="I1401" s="1">
        <v>5.83333333333333</v>
      </c>
      <c r="J1401" s="1">
        <v>5.83333333333333</v>
      </c>
      <c r="L1401" s="1">
        <v>1</v>
      </c>
      <c r="M1401" s="1">
        <f t="shared" si="164"/>
        <v>5.43333333333333</v>
      </c>
      <c r="N1401" s="646" t="s">
        <v>5157</v>
      </c>
      <c r="O1401" s="1">
        <v>1</v>
      </c>
      <c r="P1401" s="1">
        <v>2.5</v>
      </c>
      <c r="Q1401" s="1">
        <v>0</v>
      </c>
      <c r="V1401" s="1">
        <v>1</v>
      </c>
      <c r="W1401" s="1">
        <v>0</v>
      </c>
      <c r="X1401" s="648">
        <v>2</v>
      </c>
      <c r="Y1401" s="1">
        <v>-0.1</v>
      </c>
      <c r="Z1401" s="1">
        <v>0</v>
      </c>
      <c r="AB1401" s="1">
        <f t="shared" si="165"/>
        <v>5.53333333333333</v>
      </c>
      <c r="AD1401" s="1">
        <v>1</v>
      </c>
      <c r="AE1401" s="1" t="s">
        <v>5158</v>
      </c>
      <c r="AF1401" s="1">
        <f>AB1401-0.4</f>
        <v>5.13333333333333</v>
      </c>
      <c r="AN1401" s="355"/>
      <c r="AP1401" s="1">
        <v>5141</v>
      </c>
      <c r="AQ1401" s="1" t="s">
        <v>136</v>
      </c>
      <c r="AU1401" s="1">
        <v>1</v>
      </c>
    </row>
    <row r="1402" s="1" customFormat="1" spans="1:43">
      <c r="A1402" s="1">
        <v>1398</v>
      </c>
      <c r="B1402" s="1" t="s">
        <v>5159</v>
      </c>
      <c r="C1402" s="636" t="s">
        <v>5160</v>
      </c>
      <c r="D1402" s="1">
        <v>1</v>
      </c>
      <c r="E1402" s="1">
        <v>0</v>
      </c>
      <c r="G1402" s="1">
        <v>1</v>
      </c>
      <c r="H1402" s="637">
        <v>15704</v>
      </c>
      <c r="I1402" s="1">
        <v>2.5</v>
      </c>
      <c r="J1402" s="1">
        <v>2.5</v>
      </c>
      <c r="L1402" s="1">
        <v>1</v>
      </c>
      <c r="M1402" s="1">
        <f t="shared" si="164"/>
        <v>2.1</v>
      </c>
      <c r="N1402" s="646" t="s">
        <v>5161</v>
      </c>
      <c r="O1402" s="1">
        <v>1</v>
      </c>
      <c r="P1402" s="1">
        <v>2.5</v>
      </c>
      <c r="Q1402" s="1">
        <v>1</v>
      </c>
      <c r="V1402" s="1">
        <v>1</v>
      </c>
      <c r="W1402" s="1">
        <v>6</v>
      </c>
      <c r="X1402" s="648">
        <v>1</v>
      </c>
      <c r="Y1402" s="1">
        <v>-0.1</v>
      </c>
      <c r="Z1402" s="1">
        <v>0</v>
      </c>
      <c r="AN1402" s="355">
        <v>5160</v>
      </c>
      <c r="AO1402" s="1" t="s">
        <v>1103</v>
      </c>
      <c r="AP1402" s="1">
        <v>5142</v>
      </c>
      <c r="AQ1402" s="1" t="s">
        <v>136</v>
      </c>
    </row>
    <row r="1403" s="1" customFormat="1" spans="1:47">
      <c r="A1403" s="1">
        <v>1399</v>
      </c>
      <c r="B1403" s="1" t="s">
        <v>5162</v>
      </c>
      <c r="C1403" s="636" t="s">
        <v>2054</v>
      </c>
      <c r="D1403" s="1">
        <v>1</v>
      </c>
      <c r="E1403" s="1">
        <v>0</v>
      </c>
      <c r="G1403" s="1">
        <v>1</v>
      </c>
      <c r="H1403" s="637">
        <v>15705</v>
      </c>
      <c r="I1403" s="1">
        <v>8.46666666666667</v>
      </c>
      <c r="J1403" s="1">
        <v>8.46666666666667</v>
      </c>
      <c r="L1403" s="1">
        <v>1</v>
      </c>
      <c r="M1403" s="1">
        <f t="shared" si="164"/>
        <v>8.06666666666667</v>
      </c>
      <c r="N1403" s="646" t="s">
        <v>5163</v>
      </c>
      <c r="O1403" s="1">
        <v>1</v>
      </c>
      <c r="P1403" s="1">
        <v>2.5</v>
      </c>
      <c r="Q1403" s="1">
        <v>0</v>
      </c>
      <c r="V1403" s="1">
        <v>1</v>
      </c>
      <c r="W1403" s="1">
        <v>6</v>
      </c>
      <c r="X1403" s="648">
        <v>3</v>
      </c>
      <c r="Y1403" s="1">
        <v>-0.1</v>
      </c>
      <c r="Z1403" s="1">
        <v>0</v>
      </c>
      <c r="AB1403" s="1">
        <f t="shared" ref="AB1403:AB1408" si="166">I1403-0.3</f>
        <v>8.16666666666667</v>
      </c>
      <c r="AC1403" s="1">
        <v>1</v>
      </c>
      <c r="AD1403" s="1">
        <v>1</v>
      </c>
      <c r="AE1403" s="1" t="s">
        <v>5164</v>
      </c>
      <c r="AF1403" s="1">
        <v>8.46666666666667</v>
      </c>
      <c r="AN1403" s="355" t="s">
        <v>5165</v>
      </c>
      <c r="AO1403" s="1" t="s">
        <v>524</v>
      </c>
      <c r="AP1403" s="1">
        <v>5144</v>
      </c>
      <c r="AQ1403" s="1" t="s">
        <v>136</v>
      </c>
      <c r="AU1403" s="1">
        <v>1</v>
      </c>
    </row>
    <row r="1404" s="1" customFormat="1" spans="1:52">
      <c r="A1404" s="1">
        <v>1400</v>
      </c>
      <c r="B1404" s="1" t="s">
        <v>5166</v>
      </c>
      <c r="C1404" s="636" t="s">
        <v>2050</v>
      </c>
      <c r="D1404" s="1">
        <v>1</v>
      </c>
      <c r="E1404" s="1">
        <v>0</v>
      </c>
      <c r="G1404" s="1">
        <v>1</v>
      </c>
      <c r="H1404" s="637">
        <v>15706</v>
      </c>
      <c r="I1404" s="1">
        <v>14.7333333333333</v>
      </c>
      <c r="J1404" s="1">
        <v>14.7333333333333</v>
      </c>
      <c r="L1404" s="1">
        <v>1</v>
      </c>
      <c r="M1404" s="1">
        <f t="shared" si="164"/>
        <v>14.3333333333333</v>
      </c>
      <c r="N1404" s="646" t="s">
        <v>5167</v>
      </c>
      <c r="O1404" s="1">
        <v>1</v>
      </c>
      <c r="P1404" s="1">
        <v>20</v>
      </c>
      <c r="Q1404" s="1">
        <v>0</v>
      </c>
      <c r="V1404" s="1">
        <v>1</v>
      </c>
      <c r="W1404" s="1">
        <v>6</v>
      </c>
      <c r="X1404" s="648">
        <v>2</v>
      </c>
      <c r="Y1404" s="1">
        <v>-0.1</v>
      </c>
      <c r="Z1404" s="1">
        <v>0</v>
      </c>
      <c r="AB1404" s="1">
        <f t="shared" si="166"/>
        <v>14.4333333333333</v>
      </c>
      <c r="AC1404" s="1">
        <v>2</v>
      </c>
      <c r="AD1404" s="1">
        <v>1</v>
      </c>
      <c r="AE1404" s="1" t="s">
        <v>5168</v>
      </c>
      <c r="AF1404" s="1">
        <v>0.5</v>
      </c>
      <c r="AN1404" s="355"/>
      <c r="AP1404" s="1">
        <v>5147</v>
      </c>
      <c r="AQ1404" s="1" t="s">
        <v>136</v>
      </c>
      <c r="AU1404" s="1">
        <v>1</v>
      </c>
      <c r="AZ1404" s="1">
        <v>1</v>
      </c>
    </row>
    <row r="1405" s="1" customFormat="1" spans="1:52">
      <c r="A1405" s="1">
        <v>1401</v>
      </c>
      <c r="B1405" s="1" t="s">
        <v>5169</v>
      </c>
      <c r="C1405" s="636" t="s">
        <v>5170</v>
      </c>
      <c r="D1405" s="1">
        <v>1</v>
      </c>
      <c r="E1405" s="1">
        <v>0</v>
      </c>
      <c r="G1405" s="1">
        <v>1</v>
      </c>
      <c r="H1405" s="637">
        <v>15707</v>
      </c>
      <c r="I1405" s="1">
        <v>10.2</v>
      </c>
      <c r="J1405" s="1">
        <v>10.2</v>
      </c>
      <c r="L1405" s="1">
        <v>1</v>
      </c>
      <c r="M1405" s="1">
        <f t="shared" si="164"/>
        <v>9.8</v>
      </c>
      <c r="N1405" s="646" t="s">
        <v>5171</v>
      </c>
      <c r="O1405" s="1">
        <v>1</v>
      </c>
      <c r="P1405" s="1">
        <v>20</v>
      </c>
      <c r="Q1405" s="1">
        <v>0</v>
      </c>
      <c r="V1405" s="1">
        <v>1</v>
      </c>
      <c r="W1405" s="1">
        <v>6</v>
      </c>
      <c r="X1405" s="648">
        <v>1</v>
      </c>
      <c r="Y1405" s="1">
        <v>-0.1</v>
      </c>
      <c r="Z1405" s="1">
        <v>0</v>
      </c>
      <c r="AB1405" s="1">
        <f t="shared" si="166"/>
        <v>9.9</v>
      </c>
      <c r="AC1405" s="1">
        <v>1</v>
      </c>
      <c r="AD1405" s="1">
        <v>1</v>
      </c>
      <c r="AE1405" s="1" t="s">
        <v>5172</v>
      </c>
      <c r="AF1405" s="1">
        <v>0.5</v>
      </c>
      <c r="AN1405" s="355" t="s">
        <v>5173</v>
      </c>
      <c r="AO1405" s="1" t="s">
        <v>5174</v>
      </c>
      <c r="AP1405" s="1">
        <v>5148</v>
      </c>
      <c r="AQ1405" s="1" t="s">
        <v>136</v>
      </c>
      <c r="AS1405" s="1" t="s">
        <v>5175</v>
      </c>
      <c r="AU1405" s="1">
        <v>1</v>
      </c>
      <c r="AZ1405" s="1">
        <v>1</v>
      </c>
    </row>
    <row r="1406" s="1" customFormat="1" spans="1:52">
      <c r="A1406" s="1">
        <v>1402</v>
      </c>
      <c r="B1406" s="1" t="s">
        <v>5176</v>
      </c>
      <c r="C1406" s="636" t="s">
        <v>5177</v>
      </c>
      <c r="D1406" s="1">
        <v>1</v>
      </c>
      <c r="E1406" s="1">
        <v>0</v>
      </c>
      <c r="G1406" s="1">
        <v>1</v>
      </c>
      <c r="H1406" s="637">
        <v>15708</v>
      </c>
      <c r="I1406" s="1">
        <v>15.5</v>
      </c>
      <c r="J1406" s="1">
        <v>15.5</v>
      </c>
      <c r="L1406" s="1">
        <v>1</v>
      </c>
      <c r="M1406" s="1">
        <f t="shared" si="164"/>
        <v>15.1</v>
      </c>
      <c r="N1406" s="646" t="s">
        <v>5178</v>
      </c>
      <c r="O1406" s="1">
        <v>1</v>
      </c>
      <c r="P1406" s="1">
        <v>20</v>
      </c>
      <c r="Q1406" s="1">
        <v>0</v>
      </c>
      <c r="V1406" s="1">
        <v>1</v>
      </c>
      <c r="W1406" s="1">
        <v>6</v>
      </c>
      <c r="X1406" s="648">
        <v>3</v>
      </c>
      <c r="Y1406" s="1">
        <v>-0.1</v>
      </c>
      <c r="Z1406" s="1">
        <v>0</v>
      </c>
      <c r="AB1406" s="1">
        <f t="shared" si="166"/>
        <v>15.2</v>
      </c>
      <c r="AC1406" s="1">
        <v>2</v>
      </c>
      <c r="AD1406" s="1">
        <v>1</v>
      </c>
      <c r="AE1406" s="1" t="s">
        <v>5179</v>
      </c>
      <c r="AF1406" s="1">
        <v>0.5</v>
      </c>
      <c r="AN1406" s="355"/>
      <c r="AP1406" s="1">
        <v>5151</v>
      </c>
      <c r="AQ1406" s="1" t="s">
        <v>136</v>
      </c>
      <c r="AS1406" s="1" t="s">
        <v>5180</v>
      </c>
      <c r="AU1406" s="1">
        <v>1</v>
      </c>
      <c r="AZ1406" s="1">
        <v>1</v>
      </c>
    </row>
    <row r="1407" s="1" customFormat="1" spans="1:52">
      <c r="A1407" s="1">
        <v>1403</v>
      </c>
      <c r="B1407" s="1" t="s">
        <v>5181</v>
      </c>
      <c r="C1407" s="636" t="s">
        <v>5182</v>
      </c>
      <c r="D1407" s="1">
        <v>1</v>
      </c>
      <c r="E1407" s="1">
        <v>0</v>
      </c>
      <c r="G1407" s="1">
        <v>1</v>
      </c>
      <c r="H1407" s="637">
        <v>15709</v>
      </c>
      <c r="I1407" s="1">
        <v>5</v>
      </c>
      <c r="J1407" s="1">
        <v>5</v>
      </c>
      <c r="L1407" s="1">
        <v>1</v>
      </c>
      <c r="M1407" s="1">
        <f t="shared" si="164"/>
        <v>4.6</v>
      </c>
      <c r="N1407" s="646" t="s">
        <v>5183</v>
      </c>
      <c r="O1407" s="1">
        <v>1</v>
      </c>
      <c r="P1407" s="1">
        <v>20</v>
      </c>
      <c r="Q1407" s="1">
        <v>0</v>
      </c>
      <c r="V1407" s="1">
        <v>1</v>
      </c>
      <c r="W1407" s="1">
        <v>6</v>
      </c>
      <c r="X1407" s="648">
        <v>2</v>
      </c>
      <c r="Y1407" s="1">
        <v>-0.1</v>
      </c>
      <c r="Z1407" s="1">
        <v>0</v>
      </c>
      <c r="AB1407" s="1">
        <f t="shared" si="166"/>
        <v>4.7</v>
      </c>
      <c r="AC1407" s="1">
        <v>2</v>
      </c>
      <c r="AD1407" s="1">
        <v>1</v>
      </c>
      <c r="AE1407" s="1" t="s">
        <v>5184</v>
      </c>
      <c r="AF1407" s="1">
        <v>0.5</v>
      </c>
      <c r="AN1407" s="355"/>
      <c r="AP1407" s="1">
        <v>5152</v>
      </c>
      <c r="AQ1407" s="1" t="s">
        <v>136</v>
      </c>
      <c r="AU1407" s="1">
        <v>1</v>
      </c>
      <c r="AZ1407" s="1">
        <v>1</v>
      </c>
    </row>
    <row r="1408" s="1" customFormat="1" spans="1:52">
      <c r="A1408" s="1">
        <v>1404</v>
      </c>
      <c r="B1408" s="1" t="s">
        <v>5185</v>
      </c>
      <c r="C1408" s="636" t="s">
        <v>5186</v>
      </c>
      <c r="D1408" s="1">
        <v>1</v>
      </c>
      <c r="E1408" s="1">
        <v>0</v>
      </c>
      <c r="G1408" s="1">
        <v>1</v>
      </c>
      <c r="H1408" s="637">
        <v>15710</v>
      </c>
      <c r="I1408" s="1">
        <f>108/30</f>
        <v>3.6</v>
      </c>
      <c r="J1408" s="1">
        <f>108/30</f>
        <v>3.6</v>
      </c>
      <c r="L1408" s="1">
        <v>1</v>
      </c>
      <c r="M1408" s="1">
        <f t="shared" si="164"/>
        <v>3.2</v>
      </c>
      <c r="N1408" s="646" t="s">
        <v>5187</v>
      </c>
      <c r="O1408" s="1">
        <v>1</v>
      </c>
      <c r="P1408" s="1">
        <v>20</v>
      </c>
      <c r="Q1408" s="1">
        <v>0</v>
      </c>
      <c r="V1408" s="1">
        <v>1</v>
      </c>
      <c r="W1408" s="1">
        <v>6</v>
      </c>
      <c r="X1408" s="648">
        <v>1</v>
      </c>
      <c r="Y1408" s="1">
        <v>-0.1</v>
      </c>
      <c r="Z1408" s="1">
        <v>0</v>
      </c>
      <c r="AB1408" s="1">
        <f t="shared" si="166"/>
        <v>3.3</v>
      </c>
      <c r="AC1408" s="1">
        <v>1</v>
      </c>
      <c r="AD1408" s="1">
        <v>1</v>
      </c>
      <c r="AE1408" s="1" t="s">
        <v>5188</v>
      </c>
      <c r="AF1408" s="1">
        <v>0.5</v>
      </c>
      <c r="AN1408" s="355">
        <v>5154</v>
      </c>
      <c r="AO1408" s="1" t="s">
        <v>690</v>
      </c>
      <c r="AP1408" s="1">
        <v>5153</v>
      </c>
      <c r="AQ1408" s="1" t="s">
        <v>136</v>
      </c>
      <c r="AU1408" s="1">
        <v>1</v>
      </c>
      <c r="AZ1408" s="1">
        <v>1</v>
      </c>
    </row>
    <row r="1409" s="1" customFormat="1" spans="1:52">
      <c r="A1409" s="1">
        <v>1405</v>
      </c>
      <c r="B1409" s="1" t="s">
        <v>5189</v>
      </c>
      <c r="C1409" s="636" t="s">
        <v>3563</v>
      </c>
      <c r="D1409" s="1">
        <v>1</v>
      </c>
      <c r="E1409" s="1">
        <v>0</v>
      </c>
      <c r="G1409" s="1">
        <v>1</v>
      </c>
      <c r="H1409" s="637">
        <v>15711</v>
      </c>
      <c r="I1409" s="1">
        <v>12</v>
      </c>
      <c r="J1409" s="1">
        <v>12</v>
      </c>
      <c r="L1409" s="1">
        <v>1</v>
      </c>
      <c r="M1409" s="1">
        <v>11.2666666666667</v>
      </c>
      <c r="N1409" s="646" t="s">
        <v>3565</v>
      </c>
      <c r="O1409" s="1">
        <v>1</v>
      </c>
      <c r="P1409" s="1">
        <v>20</v>
      </c>
      <c r="Q1409" s="1">
        <v>0</v>
      </c>
      <c r="V1409" s="1">
        <v>1</v>
      </c>
      <c r="W1409" s="1">
        <v>29</v>
      </c>
      <c r="X1409" s="648">
        <v>4</v>
      </c>
      <c r="Y1409" s="1">
        <v>-0.1</v>
      </c>
      <c r="Z1409" s="1">
        <v>0</v>
      </c>
      <c r="AB1409" s="1">
        <v>11.3666666666667</v>
      </c>
      <c r="AC1409" s="1">
        <v>2</v>
      </c>
      <c r="AD1409" s="1">
        <v>1</v>
      </c>
      <c r="AE1409" s="1" t="s">
        <v>3566</v>
      </c>
      <c r="AF1409" s="1">
        <v>0.5</v>
      </c>
      <c r="AN1409" s="355"/>
      <c r="AP1409" s="1">
        <v>3720</v>
      </c>
      <c r="AQ1409" s="1" t="s">
        <v>136</v>
      </c>
      <c r="AU1409" s="1">
        <v>1</v>
      </c>
      <c r="AZ1409" s="1">
        <v>1</v>
      </c>
    </row>
    <row r="1410" s="51" customFormat="1" ht="16.5" spans="1:47">
      <c r="A1410" s="651">
        <v>1406</v>
      </c>
      <c r="B1410" s="268" t="s">
        <v>1334</v>
      </c>
      <c r="C1410" s="652" t="s">
        <v>5190</v>
      </c>
      <c r="D1410" s="51">
        <v>1</v>
      </c>
      <c r="E1410" s="51">
        <v>0</v>
      </c>
      <c r="G1410" s="51">
        <v>2</v>
      </c>
      <c r="H1410" s="653">
        <v>5013</v>
      </c>
      <c r="I1410" s="51">
        <v>8.933</v>
      </c>
      <c r="J1410" s="51">
        <v>8.933</v>
      </c>
      <c r="L1410" s="51">
        <v>1</v>
      </c>
      <c r="M1410" s="51">
        <v>8.533</v>
      </c>
      <c r="N1410" s="651" t="s">
        <v>5191</v>
      </c>
      <c r="O1410" s="51">
        <v>1</v>
      </c>
      <c r="P1410" s="268">
        <v>5</v>
      </c>
      <c r="Q1410" s="51">
        <v>0</v>
      </c>
      <c r="V1410" s="51">
        <v>1</v>
      </c>
      <c r="W1410" s="268">
        <v>6</v>
      </c>
      <c r="X1410" s="660">
        <v>5</v>
      </c>
      <c r="Y1410" s="51">
        <v>-0.1</v>
      </c>
      <c r="Z1410" s="51">
        <v>0</v>
      </c>
      <c r="AB1410" s="51">
        <v>8.733</v>
      </c>
      <c r="AC1410" s="51">
        <v>1</v>
      </c>
      <c r="AD1410" s="51">
        <v>1</v>
      </c>
      <c r="AE1410" s="662" t="s">
        <v>5192</v>
      </c>
      <c r="AF1410" s="51">
        <v>1</v>
      </c>
      <c r="AN1410" s="663"/>
      <c r="AP1410" s="665">
        <v>5162</v>
      </c>
      <c r="AQ1410" s="51" t="s">
        <v>136</v>
      </c>
      <c r="AR1410" s="269"/>
      <c r="AS1410" s="666"/>
      <c r="AU1410" s="51">
        <v>1</v>
      </c>
    </row>
    <row r="1411" s="71" customFormat="1" spans="1:48">
      <c r="A1411" s="71">
        <v>10000</v>
      </c>
      <c r="B1411" s="71" t="s">
        <v>5193</v>
      </c>
      <c r="C1411" s="71" t="s">
        <v>526</v>
      </c>
      <c r="D1411" s="71">
        <v>1</v>
      </c>
      <c r="E1411" s="71">
        <v>0</v>
      </c>
      <c r="G1411" s="71">
        <v>1</v>
      </c>
      <c r="H1411" s="654">
        <v>101401</v>
      </c>
      <c r="I1411" s="71">
        <v>1.93333333333333</v>
      </c>
      <c r="J1411" s="71">
        <v>1.93333333333333</v>
      </c>
      <c r="L1411" s="71">
        <f t="shared" ref="L1411:L1430" si="167">IF(X1411&gt;4,1,0)</f>
        <v>0</v>
      </c>
      <c r="M1411" s="71">
        <f>I1411-0.4</f>
        <v>1.53333333333333</v>
      </c>
      <c r="N1411" s="71" t="s">
        <v>5194</v>
      </c>
      <c r="O1411" s="71">
        <v>1</v>
      </c>
      <c r="P1411" s="71">
        <v>1</v>
      </c>
      <c r="Q1411" s="71">
        <v>0</v>
      </c>
      <c r="S1411" s="71">
        <v>0</v>
      </c>
      <c r="V1411" s="71">
        <v>1</v>
      </c>
      <c r="W1411" s="71">
        <v>0</v>
      </c>
      <c r="X1411" s="661">
        <v>2</v>
      </c>
      <c r="Y1411" s="71">
        <v>-0.1</v>
      </c>
      <c r="Z1411" s="71">
        <v>0</v>
      </c>
      <c r="AF1411" s="71">
        <f t="shared" ref="AF1411:AF1422" si="168">IF(AD1411=--1,0.5,0)</f>
        <v>0</v>
      </c>
      <c r="AN1411" s="664">
        <v>506</v>
      </c>
      <c r="AO1411" s="71" t="s">
        <v>136</v>
      </c>
      <c r="AP1411" s="53"/>
      <c r="AV1411" s="71">
        <v>1</v>
      </c>
    </row>
    <row r="1412" s="71" customFormat="1" spans="1:48">
      <c r="A1412" s="71">
        <v>10001</v>
      </c>
      <c r="B1412" s="71" t="s">
        <v>5195</v>
      </c>
      <c r="C1412" s="655" t="s">
        <v>526</v>
      </c>
      <c r="D1412" s="71">
        <v>1</v>
      </c>
      <c r="E1412" s="71">
        <v>0</v>
      </c>
      <c r="G1412" s="71">
        <v>1</v>
      </c>
      <c r="H1412" s="654">
        <v>101501</v>
      </c>
      <c r="I1412" s="658">
        <v>1.86666666666667</v>
      </c>
      <c r="J1412" s="658">
        <v>1.86666666666667</v>
      </c>
      <c r="L1412" s="71">
        <f t="shared" si="167"/>
        <v>0</v>
      </c>
      <c r="M1412" s="71">
        <f t="shared" ref="M1412:M1448" si="169">I1412-0.4</f>
        <v>1.46666666666667</v>
      </c>
      <c r="N1412" s="71" t="s">
        <v>5196</v>
      </c>
      <c r="O1412" s="71">
        <v>1</v>
      </c>
      <c r="P1412" s="71">
        <v>1</v>
      </c>
      <c r="Q1412" s="71">
        <v>0</v>
      </c>
      <c r="S1412" s="71">
        <v>0</v>
      </c>
      <c r="V1412" s="71">
        <v>1</v>
      </c>
      <c r="W1412" s="71">
        <v>0</v>
      </c>
      <c r="X1412" s="661">
        <v>3</v>
      </c>
      <c r="Y1412" s="71">
        <v>-0.1</v>
      </c>
      <c r="Z1412" s="71">
        <v>0</v>
      </c>
      <c r="AF1412" s="71">
        <f t="shared" si="168"/>
        <v>0</v>
      </c>
      <c r="AN1412" s="664">
        <v>507</v>
      </c>
      <c r="AO1412" s="71" t="s">
        <v>136</v>
      </c>
      <c r="AV1412" s="71">
        <v>1</v>
      </c>
    </row>
    <row r="1413" s="71" customFormat="1" spans="1:48">
      <c r="A1413" s="71">
        <v>10002</v>
      </c>
      <c r="B1413" s="71" t="s">
        <v>5197</v>
      </c>
      <c r="C1413" s="655" t="s">
        <v>526</v>
      </c>
      <c r="D1413" s="71">
        <v>1</v>
      </c>
      <c r="E1413" s="71">
        <v>0</v>
      </c>
      <c r="G1413" s="71">
        <v>2</v>
      </c>
      <c r="H1413" s="654">
        <v>101901</v>
      </c>
      <c r="I1413" s="658">
        <v>2</v>
      </c>
      <c r="J1413" s="658">
        <v>2</v>
      </c>
      <c r="L1413" s="71">
        <f t="shared" si="167"/>
        <v>0</v>
      </c>
      <c r="M1413" s="71">
        <f t="shared" si="169"/>
        <v>1.6</v>
      </c>
      <c r="N1413" s="71" t="s">
        <v>5198</v>
      </c>
      <c r="O1413" s="71">
        <v>1</v>
      </c>
      <c r="P1413" s="71">
        <v>5</v>
      </c>
      <c r="Q1413" s="71">
        <v>0</v>
      </c>
      <c r="S1413" s="71">
        <v>0</v>
      </c>
      <c r="V1413" s="71">
        <v>1</v>
      </c>
      <c r="W1413" s="71">
        <v>0</v>
      </c>
      <c r="X1413" s="661">
        <v>4</v>
      </c>
      <c r="Y1413" s="71">
        <v>-0.1</v>
      </c>
      <c r="Z1413" s="71">
        <v>0</v>
      </c>
      <c r="AF1413" s="71">
        <f t="shared" si="168"/>
        <v>0</v>
      </c>
      <c r="AN1413" s="664">
        <v>508</v>
      </c>
      <c r="AO1413" s="71" t="s">
        <v>136</v>
      </c>
      <c r="AV1413" s="71">
        <v>1</v>
      </c>
    </row>
    <row r="1414" s="71" customFormat="1" spans="1:48">
      <c r="A1414" s="71">
        <v>10003</v>
      </c>
      <c r="B1414" s="71" t="s">
        <v>5199</v>
      </c>
      <c r="C1414" s="655" t="s">
        <v>526</v>
      </c>
      <c r="D1414" s="71">
        <v>1</v>
      </c>
      <c r="E1414" s="71">
        <v>0</v>
      </c>
      <c r="G1414" s="71">
        <v>2</v>
      </c>
      <c r="H1414" s="654">
        <v>102001</v>
      </c>
      <c r="I1414" s="71">
        <v>2.33333333333333</v>
      </c>
      <c r="J1414" s="71">
        <v>2.33333333333333</v>
      </c>
      <c r="L1414" s="71">
        <f t="shared" si="167"/>
        <v>0</v>
      </c>
      <c r="M1414" s="71">
        <f t="shared" si="169"/>
        <v>1.93333333333333</v>
      </c>
      <c r="N1414" s="71" t="s">
        <v>5200</v>
      </c>
      <c r="O1414" s="71">
        <v>1</v>
      </c>
      <c r="P1414" s="71">
        <v>5</v>
      </c>
      <c r="Q1414" s="71">
        <v>0</v>
      </c>
      <c r="S1414" s="71">
        <v>0</v>
      </c>
      <c r="V1414" s="71">
        <v>1</v>
      </c>
      <c r="W1414" s="71">
        <v>0</v>
      </c>
      <c r="X1414" s="661">
        <v>2</v>
      </c>
      <c r="Y1414" s="71">
        <v>-0.1</v>
      </c>
      <c r="Z1414" s="71">
        <v>0</v>
      </c>
      <c r="AF1414" s="71">
        <f t="shared" si="168"/>
        <v>0</v>
      </c>
      <c r="AN1414" s="664">
        <v>510</v>
      </c>
      <c r="AO1414" s="71" t="s">
        <v>136</v>
      </c>
      <c r="AV1414" s="71">
        <v>1</v>
      </c>
    </row>
    <row r="1415" s="71" customFormat="1" spans="1:48">
      <c r="A1415" s="71">
        <v>10004</v>
      </c>
      <c r="B1415" s="71" t="s">
        <v>5201</v>
      </c>
      <c r="C1415" s="655" t="s">
        <v>526</v>
      </c>
      <c r="D1415" s="71">
        <v>1</v>
      </c>
      <c r="E1415" s="71">
        <v>0</v>
      </c>
      <c r="G1415" s="71">
        <v>1</v>
      </c>
      <c r="H1415" s="654">
        <v>101801</v>
      </c>
      <c r="I1415" s="71">
        <v>2</v>
      </c>
      <c r="J1415" s="71">
        <v>2</v>
      </c>
      <c r="L1415" s="71">
        <f t="shared" si="167"/>
        <v>0</v>
      </c>
      <c r="M1415" s="71">
        <f t="shared" si="169"/>
        <v>1.6</v>
      </c>
      <c r="N1415" s="71" t="s">
        <v>5202</v>
      </c>
      <c r="O1415" s="71">
        <v>1</v>
      </c>
      <c r="P1415" s="71">
        <v>1</v>
      </c>
      <c r="Q1415" s="71">
        <v>0</v>
      </c>
      <c r="S1415" s="71">
        <v>0</v>
      </c>
      <c r="V1415" s="71">
        <v>1</v>
      </c>
      <c r="W1415" s="71">
        <v>0</v>
      </c>
      <c r="X1415" s="661">
        <v>2</v>
      </c>
      <c r="Y1415" s="71">
        <v>-0.1</v>
      </c>
      <c r="Z1415" s="71">
        <v>0</v>
      </c>
      <c r="AF1415" s="71">
        <f t="shared" si="168"/>
        <v>0</v>
      </c>
      <c r="AN1415" s="664">
        <v>511</v>
      </c>
      <c r="AO1415" s="71" t="s">
        <v>136</v>
      </c>
      <c r="AV1415" s="71">
        <v>1</v>
      </c>
    </row>
    <row r="1416" s="71" customFormat="1" spans="1:48">
      <c r="A1416" s="71">
        <v>10005</v>
      </c>
      <c r="B1416" s="71" t="s">
        <v>5203</v>
      </c>
      <c r="C1416" s="655" t="s">
        <v>526</v>
      </c>
      <c r="D1416" s="71">
        <v>1</v>
      </c>
      <c r="E1416" s="71">
        <v>0</v>
      </c>
      <c r="G1416" s="71">
        <v>2</v>
      </c>
      <c r="H1416" s="654">
        <v>102101</v>
      </c>
      <c r="I1416" s="71">
        <v>1.06666666666667</v>
      </c>
      <c r="J1416" s="71">
        <v>1.06666666666667</v>
      </c>
      <c r="L1416" s="71">
        <f t="shared" si="167"/>
        <v>0</v>
      </c>
      <c r="M1416" s="71">
        <f t="shared" si="169"/>
        <v>0.66666666666667</v>
      </c>
      <c r="N1416" s="71" t="s">
        <v>5204</v>
      </c>
      <c r="O1416" s="71">
        <v>1</v>
      </c>
      <c r="P1416" s="71">
        <v>3</v>
      </c>
      <c r="Q1416" s="71">
        <v>0</v>
      </c>
      <c r="S1416" s="71">
        <v>0</v>
      </c>
      <c r="V1416" s="71">
        <v>1</v>
      </c>
      <c r="W1416" s="71">
        <v>0</v>
      </c>
      <c r="X1416" s="661">
        <v>3</v>
      </c>
      <c r="Y1416" s="71">
        <v>-0.1</v>
      </c>
      <c r="Z1416" s="71">
        <v>0</v>
      </c>
      <c r="AF1416" s="71">
        <f t="shared" si="168"/>
        <v>0</v>
      </c>
      <c r="AN1416" s="664">
        <v>512</v>
      </c>
      <c r="AO1416" s="71" t="s">
        <v>136</v>
      </c>
      <c r="AV1416" s="71">
        <v>1</v>
      </c>
    </row>
    <row r="1417" s="71" customFormat="1" spans="1:48">
      <c r="A1417" s="71">
        <v>10006</v>
      </c>
      <c r="B1417" s="71" t="s">
        <v>5205</v>
      </c>
      <c r="C1417" s="655" t="s">
        <v>526</v>
      </c>
      <c r="D1417" s="71">
        <v>1</v>
      </c>
      <c r="E1417" s="71">
        <v>0</v>
      </c>
      <c r="G1417" s="71">
        <v>2</v>
      </c>
      <c r="H1417" s="654">
        <v>102201</v>
      </c>
      <c r="I1417" s="71">
        <v>1.06666666666667</v>
      </c>
      <c r="J1417" s="71">
        <v>1.06666666666667</v>
      </c>
      <c r="L1417" s="71">
        <f t="shared" si="167"/>
        <v>0</v>
      </c>
      <c r="M1417" s="71">
        <f t="shared" si="169"/>
        <v>0.66666666666667</v>
      </c>
      <c r="N1417" s="71" t="s">
        <v>5206</v>
      </c>
      <c r="O1417" s="71">
        <v>1</v>
      </c>
      <c r="P1417" s="71">
        <v>5</v>
      </c>
      <c r="Q1417" s="71">
        <v>0</v>
      </c>
      <c r="S1417" s="71">
        <v>0</v>
      </c>
      <c r="V1417" s="71">
        <v>1</v>
      </c>
      <c r="W1417" s="71">
        <v>0</v>
      </c>
      <c r="X1417" s="661">
        <v>2</v>
      </c>
      <c r="Y1417" s="71">
        <v>-0.1</v>
      </c>
      <c r="Z1417" s="71">
        <v>0</v>
      </c>
      <c r="AF1417" s="71">
        <f t="shared" si="168"/>
        <v>0</v>
      </c>
      <c r="AN1417" s="664">
        <v>513</v>
      </c>
      <c r="AO1417" s="71" t="s">
        <v>136</v>
      </c>
      <c r="AV1417" s="71">
        <v>1</v>
      </c>
    </row>
    <row r="1418" s="71" customFormat="1" spans="1:48">
      <c r="A1418" s="71">
        <v>10007</v>
      </c>
      <c r="B1418" s="71" t="s">
        <v>5207</v>
      </c>
      <c r="C1418" s="655" t="s">
        <v>526</v>
      </c>
      <c r="D1418" s="71">
        <v>1</v>
      </c>
      <c r="E1418" s="71">
        <v>0</v>
      </c>
      <c r="G1418" s="71">
        <v>1</v>
      </c>
      <c r="H1418" s="654">
        <v>102301</v>
      </c>
      <c r="I1418" s="71">
        <v>2</v>
      </c>
      <c r="J1418" s="71">
        <v>2</v>
      </c>
      <c r="L1418" s="71">
        <f t="shared" si="167"/>
        <v>0</v>
      </c>
      <c r="M1418" s="71">
        <f t="shared" si="169"/>
        <v>1.6</v>
      </c>
      <c r="N1418" s="71" t="s">
        <v>5208</v>
      </c>
      <c r="O1418" s="71">
        <v>1</v>
      </c>
      <c r="P1418" s="71">
        <v>1</v>
      </c>
      <c r="Q1418" s="71">
        <v>0</v>
      </c>
      <c r="S1418" s="71">
        <v>0</v>
      </c>
      <c r="V1418" s="71">
        <v>1</v>
      </c>
      <c r="W1418" s="71">
        <v>0</v>
      </c>
      <c r="X1418" s="661">
        <v>2</v>
      </c>
      <c r="Y1418" s="71">
        <v>-0.1</v>
      </c>
      <c r="Z1418" s="71">
        <v>0</v>
      </c>
      <c r="AF1418" s="71">
        <f t="shared" si="168"/>
        <v>0</v>
      </c>
      <c r="AN1418" s="664">
        <v>514</v>
      </c>
      <c r="AO1418" s="71" t="s">
        <v>136</v>
      </c>
      <c r="AV1418" s="71">
        <v>1</v>
      </c>
    </row>
    <row r="1419" s="71" customFormat="1" spans="1:48">
      <c r="A1419" s="71">
        <v>10008</v>
      </c>
      <c r="B1419" s="71" t="s">
        <v>5209</v>
      </c>
      <c r="C1419" s="655" t="s">
        <v>526</v>
      </c>
      <c r="D1419" s="71">
        <v>1</v>
      </c>
      <c r="E1419" s="71">
        <v>0</v>
      </c>
      <c r="G1419" s="71">
        <v>2</v>
      </c>
      <c r="H1419" s="654">
        <v>102401</v>
      </c>
      <c r="I1419" s="71">
        <v>1.66666666666667</v>
      </c>
      <c r="J1419" s="71">
        <v>1.66666666666667</v>
      </c>
      <c r="L1419" s="71">
        <f t="shared" si="167"/>
        <v>0</v>
      </c>
      <c r="M1419" s="71">
        <f t="shared" si="169"/>
        <v>1.26666666666667</v>
      </c>
      <c r="N1419" s="71" t="s">
        <v>5210</v>
      </c>
      <c r="O1419" s="71">
        <v>1</v>
      </c>
      <c r="P1419" s="71">
        <v>5</v>
      </c>
      <c r="Q1419" s="71">
        <v>0</v>
      </c>
      <c r="S1419" s="71">
        <v>0</v>
      </c>
      <c r="V1419" s="71">
        <v>1</v>
      </c>
      <c r="W1419" s="71">
        <v>0</v>
      </c>
      <c r="X1419" s="661">
        <v>2</v>
      </c>
      <c r="Y1419" s="71">
        <v>-0.1</v>
      </c>
      <c r="Z1419" s="71">
        <v>0</v>
      </c>
      <c r="AF1419" s="71">
        <f t="shared" si="168"/>
        <v>0</v>
      </c>
      <c r="AN1419" s="664">
        <v>515</v>
      </c>
      <c r="AO1419" s="71" t="s">
        <v>136</v>
      </c>
      <c r="AV1419" s="71">
        <v>1</v>
      </c>
    </row>
    <row r="1420" s="71" customFormat="1" spans="1:48">
      <c r="A1420" s="71">
        <v>10009</v>
      </c>
      <c r="B1420" s="71" t="s">
        <v>5211</v>
      </c>
      <c r="C1420" s="655" t="s">
        <v>526</v>
      </c>
      <c r="D1420" s="71">
        <v>1</v>
      </c>
      <c r="E1420" s="71">
        <v>0</v>
      </c>
      <c r="G1420" s="71">
        <v>2</v>
      </c>
      <c r="H1420" s="654">
        <v>102501</v>
      </c>
      <c r="I1420" s="71">
        <v>2</v>
      </c>
      <c r="J1420" s="71">
        <v>2</v>
      </c>
      <c r="L1420" s="71">
        <f t="shared" si="167"/>
        <v>0</v>
      </c>
      <c r="M1420" s="71">
        <f t="shared" si="169"/>
        <v>1.6</v>
      </c>
      <c r="N1420" s="71" t="s">
        <v>5212</v>
      </c>
      <c r="O1420" s="71">
        <v>1</v>
      </c>
      <c r="P1420" s="71">
        <v>5</v>
      </c>
      <c r="Q1420" s="71">
        <v>0</v>
      </c>
      <c r="S1420" s="71">
        <v>0</v>
      </c>
      <c r="V1420" s="71">
        <v>1</v>
      </c>
      <c r="W1420" s="71">
        <v>0</v>
      </c>
      <c r="X1420" s="661">
        <v>1</v>
      </c>
      <c r="Y1420" s="71">
        <v>-0.1</v>
      </c>
      <c r="Z1420" s="71">
        <v>0</v>
      </c>
      <c r="AF1420" s="71">
        <f t="shared" si="168"/>
        <v>0</v>
      </c>
      <c r="AN1420" s="664"/>
      <c r="AP1420" s="664">
        <v>516</v>
      </c>
      <c r="AQ1420" s="71" t="s">
        <v>136</v>
      </c>
      <c r="AV1420" s="71">
        <v>1</v>
      </c>
    </row>
    <row r="1421" s="71" customFormat="1" spans="1:48">
      <c r="A1421" s="71">
        <v>10010</v>
      </c>
      <c r="B1421" s="71" t="s">
        <v>5213</v>
      </c>
      <c r="C1421" s="655" t="s">
        <v>526</v>
      </c>
      <c r="D1421" s="71">
        <v>1</v>
      </c>
      <c r="E1421" s="71">
        <v>0</v>
      </c>
      <c r="G1421" s="71">
        <v>1</v>
      </c>
      <c r="H1421" s="654">
        <v>102601</v>
      </c>
      <c r="I1421" s="71">
        <v>2</v>
      </c>
      <c r="J1421" s="71">
        <v>2</v>
      </c>
      <c r="L1421" s="71">
        <f t="shared" si="167"/>
        <v>0</v>
      </c>
      <c r="M1421" s="71">
        <f t="shared" si="169"/>
        <v>1.6</v>
      </c>
      <c r="N1421" s="71" t="s">
        <v>5214</v>
      </c>
      <c r="O1421" s="71">
        <v>1</v>
      </c>
      <c r="P1421" s="71">
        <v>1</v>
      </c>
      <c r="Q1421" s="71">
        <v>0</v>
      </c>
      <c r="S1421" s="71">
        <v>0</v>
      </c>
      <c r="V1421" s="71">
        <v>1</v>
      </c>
      <c r="W1421" s="71">
        <v>0</v>
      </c>
      <c r="X1421" s="661">
        <v>2</v>
      </c>
      <c r="Y1421" s="71">
        <v>-0.1</v>
      </c>
      <c r="Z1421" s="71">
        <v>0</v>
      </c>
      <c r="AF1421" s="71">
        <f t="shared" si="168"/>
        <v>0</v>
      </c>
      <c r="AN1421" s="664">
        <v>519</v>
      </c>
      <c r="AO1421" s="71" t="s">
        <v>136</v>
      </c>
      <c r="AV1421" s="71">
        <v>1</v>
      </c>
    </row>
    <row r="1422" s="71" customFormat="1" spans="1:48">
      <c r="A1422" s="71">
        <v>10011</v>
      </c>
      <c r="B1422" s="71" t="s">
        <v>5215</v>
      </c>
      <c r="C1422" s="655" t="s">
        <v>526</v>
      </c>
      <c r="D1422" s="71">
        <v>1</v>
      </c>
      <c r="E1422" s="71">
        <v>0</v>
      </c>
      <c r="G1422" s="71">
        <v>1</v>
      </c>
      <c r="H1422" s="654">
        <v>102701</v>
      </c>
      <c r="I1422" s="71">
        <v>1.66666666666667</v>
      </c>
      <c r="J1422" s="71">
        <v>1.66666666666667</v>
      </c>
      <c r="L1422" s="71">
        <f t="shared" si="167"/>
        <v>0</v>
      </c>
      <c r="M1422" s="71">
        <f t="shared" si="169"/>
        <v>1.26666666666667</v>
      </c>
      <c r="N1422" s="71" t="s">
        <v>5216</v>
      </c>
      <c r="O1422" s="71">
        <v>1</v>
      </c>
      <c r="P1422" s="71">
        <v>1</v>
      </c>
      <c r="Q1422" s="71">
        <v>0</v>
      </c>
      <c r="S1422" s="71">
        <v>0</v>
      </c>
      <c r="V1422" s="71">
        <v>1</v>
      </c>
      <c r="W1422" s="71">
        <v>0</v>
      </c>
      <c r="X1422" s="661">
        <v>2</v>
      </c>
      <c r="Y1422" s="71">
        <v>-0.1</v>
      </c>
      <c r="Z1422" s="71">
        <v>0</v>
      </c>
      <c r="AF1422" s="71">
        <f t="shared" si="168"/>
        <v>0</v>
      </c>
      <c r="AN1422" s="664">
        <v>520</v>
      </c>
      <c r="AO1422" s="71" t="s">
        <v>136</v>
      </c>
      <c r="AV1422" s="71">
        <v>1</v>
      </c>
    </row>
    <row r="1423" s="71" customFormat="1" spans="1:48">
      <c r="A1423" s="71">
        <v>10012</v>
      </c>
      <c r="B1423" s="71" t="s">
        <v>5217</v>
      </c>
      <c r="C1423" s="655" t="s">
        <v>526</v>
      </c>
      <c r="D1423" s="71">
        <v>1</v>
      </c>
      <c r="E1423" s="71">
        <v>0</v>
      </c>
      <c r="G1423" s="71">
        <v>1</v>
      </c>
      <c r="H1423" s="654">
        <v>101601</v>
      </c>
      <c r="I1423" s="71">
        <v>1.33333333333333</v>
      </c>
      <c r="J1423" s="71">
        <v>1.33333333333333</v>
      </c>
      <c r="L1423" s="71">
        <f t="shared" si="167"/>
        <v>0</v>
      </c>
      <c r="M1423" s="71">
        <f t="shared" si="169"/>
        <v>0.93333333333333</v>
      </c>
      <c r="N1423" s="71" t="s">
        <v>5218</v>
      </c>
      <c r="O1423" s="71">
        <v>1</v>
      </c>
      <c r="P1423" s="71">
        <v>1</v>
      </c>
      <c r="Q1423" s="71">
        <v>0</v>
      </c>
      <c r="S1423" s="71">
        <v>0</v>
      </c>
      <c r="V1423" s="71">
        <v>1</v>
      </c>
      <c r="W1423" s="71">
        <v>0</v>
      </c>
      <c r="X1423" s="661">
        <v>2</v>
      </c>
      <c r="Y1423" s="71">
        <v>-0.1</v>
      </c>
      <c r="Z1423" s="71">
        <v>0</v>
      </c>
      <c r="AF1423" s="71">
        <f t="shared" ref="AF1423:AF1486" si="170">IF(AD1423=--1,0.5,0)</f>
        <v>0</v>
      </c>
      <c r="AN1423" s="664">
        <v>521</v>
      </c>
      <c r="AO1423" s="71" t="s">
        <v>136</v>
      </c>
      <c r="AV1423" s="71">
        <v>1</v>
      </c>
    </row>
    <row r="1424" s="71" customFormat="1" spans="1:48">
      <c r="A1424" s="71">
        <v>10013</v>
      </c>
      <c r="B1424" s="71" t="s">
        <v>5219</v>
      </c>
      <c r="C1424" s="655" t="s">
        <v>526</v>
      </c>
      <c r="D1424" s="71">
        <v>1</v>
      </c>
      <c r="E1424" s="71">
        <v>0</v>
      </c>
      <c r="G1424" s="71">
        <v>1</v>
      </c>
      <c r="H1424" s="654">
        <v>102901</v>
      </c>
      <c r="I1424" s="71">
        <v>2.56666666666667</v>
      </c>
      <c r="J1424" s="71">
        <v>2.56666666666667</v>
      </c>
      <c r="L1424" s="71">
        <f t="shared" si="167"/>
        <v>0</v>
      </c>
      <c r="M1424" s="71">
        <f t="shared" si="169"/>
        <v>2.16666666666667</v>
      </c>
      <c r="N1424" s="71" t="s">
        <v>5220</v>
      </c>
      <c r="O1424" s="71">
        <v>1</v>
      </c>
      <c r="P1424" s="71">
        <v>1</v>
      </c>
      <c r="Q1424" s="71">
        <v>0</v>
      </c>
      <c r="S1424" s="71">
        <v>0</v>
      </c>
      <c r="V1424" s="71">
        <v>1</v>
      </c>
      <c r="W1424" s="71">
        <v>0</v>
      </c>
      <c r="X1424" s="661">
        <v>3</v>
      </c>
      <c r="Y1424" s="71">
        <v>-0.1</v>
      </c>
      <c r="Z1424" s="71">
        <v>0</v>
      </c>
      <c r="AF1424" s="71">
        <f t="shared" si="170"/>
        <v>0</v>
      </c>
      <c r="AN1424" s="664">
        <v>522</v>
      </c>
      <c r="AO1424" s="71" t="s">
        <v>136</v>
      </c>
      <c r="AV1424" s="71">
        <v>1</v>
      </c>
    </row>
    <row r="1425" s="71" customFormat="1" spans="1:48">
      <c r="A1425" s="71">
        <v>10014</v>
      </c>
      <c r="B1425" s="71" t="s">
        <v>5221</v>
      </c>
      <c r="C1425" s="655" t="s">
        <v>526</v>
      </c>
      <c r="D1425" s="71">
        <v>1</v>
      </c>
      <c r="E1425" s="71">
        <v>0</v>
      </c>
      <c r="G1425" s="71">
        <v>2</v>
      </c>
      <c r="H1425" s="654">
        <v>103001</v>
      </c>
      <c r="I1425" s="71">
        <v>1.5</v>
      </c>
      <c r="J1425" s="71">
        <v>1.5</v>
      </c>
      <c r="L1425" s="71">
        <f t="shared" si="167"/>
        <v>0</v>
      </c>
      <c r="M1425" s="71">
        <f t="shared" si="169"/>
        <v>1.1</v>
      </c>
      <c r="N1425" s="71" t="s">
        <v>5222</v>
      </c>
      <c r="O1425" s="71">
        <v>1</v>
      </c>
      <c r="P1425" s="71">
        <v>5</v>
      </c>
      <c r="Q1425" s="71">
        <v>0</v>
      </c>
      <c r="S1425" s="71">
        <v>0</v>
      </c>
      <c r="V1425" s="71">
        <v>1</v>
      </c>
      <c r="W1425" s="71">
        <v>0</v>
      </c>
      <c r="X1425" s="661">
        <v>1</v>
      </c>
      <c r="Y1425" s="71">
        <v>-0.1</v>
      </c>
      <c r="Z1425" s="71">
        <v>0</v>
      </c>
      <c r="AF1425" s="71">
        <f t="shared" si="170"/>
        <v>0</v>
      </c>
      <c r="AN1425" s="664"/>
      <c r="AP1425" s="664">
        <v>523</v>
      </c>
      <c r="AQ1425" s="71" t="s">
        <v>136</v>
      </c>
      <c r="AV1425" s="71">
        <v>1</v>
      </c>
    </row>
    <row r="1426" s="71" customFormat="1" spans="1:48">
      <c r="A1426" s="71">
        <v>10015</v>
      </c>
      <c r="B1426" s="71" t="s">
        <v>5223</v>
      </c>
      <c r="C1426" s="655" t="s">
        <v>526</v>
      </c>
      <c r="D1426" s="71">
        <v>1</v>
      </c>
      <c r="E1426" s="71">
        <v>0</v>
      </c>
      <c r="G1426" s="71">
        <v>1</v>
      </c>
      <c r="H1426" s="654">
        <v>101701</v>
      </c>
      <c r="I1426" s="71">
        <v>1.83333333333333</v>
      </c>
      <c r="J1426" s="71">
        <v>1.83333333333333</v>
      </c>
      <c r="L1426" s="71">
        <f t="shared" si="167"/>
        <v>0</v>
      </c>
      <c r="M1426" s="71">
        <f t="shared" si="169"/>
        <v>1.43333333333333</v>
      </c>
      <c r="N1426" s="71" t="s">
        <v>5224</v>
      </c>
      <c r="O1426" s="71">
        <v>1</v>
      </c>
      <c r="P1426" s="71">
        <v>2</v>
      </c>
      <c r="Q1426" s="71">
        <v>0</v>
      </c>
      <c r="S1426" s="71">
        <v>0</v>
      </c>
      <c r="V1426" s="71">
        <v>1</v>
      </c>
      <c r="W1426" s="71">
        <v>0</v>
      </c>
      <c r="X1426" s="661">
        <v>1</v>
      </c>
      <c r="Y1426" s="71">
        <v>-0.1</v>
      </c>
      <c r="Z1426" s="71">
        <v>0</v>
      </c>
      <c r="AF1426" s="71">
        <f t="shared" si="170"/>
        <v>0</v>
      </c>
      <c r="AN1426" s="664">
        <v>526</v>
      </c>
      <c r="AO1426" s="71" t="s">
        <v>136</v>
      </c>
      <c r="AV1426" s="71">
        <v>1</v>
      </c>
    </row>
    <row r="1427" s="71" customFormat="1" spans="1:41">
      <c r="A1427" s="71">
        <v>10016</v>
      </c>
      <c r="B1427" s="71" t="s">
        <v>5223</v>
      </c>
      <c r="C1427" s="655" t="s">
        <v>5225</v>
      </c>
      <c r="D1427" s="71">
        <v>1</v>
      </c>
      <c r="E1427" s="71">
        <v>0</v>
      </c>
      <c r="G1427" s="71">
        <v>1</v>
      </c>
      <c r="H1427" s="654">
        <v>101702</v>
      </c>
      <c r="I1427" s="71">
        <v>2.16666666666667</v>
      </c>
      <c r="J1427" s="71">
        <v>2.16666666666667</v>
      </c>
      <c r="L1427" s="71">
        <f t="shared" si="167"/>
        <v>0</v>
      </c>
      <c r="M1427" s="71">
        <f t="shared" si="169"/>
        <v>1.76666666666667</v>
      </c>
      <c r="N1427" s="71" t="s">
        <v>5226</v>
      </c>
      <c r="O1427" s="71">
        <v>1</v>
      </c>
      <c r="P1427" s="71">
        <v>2</v>
      </c>
      <c r="Q1427" s="71">
        <v>0</v>
      </c>
      <c r="R1427" s="71">
        <v>1</v>
      </c>
      <c r="S1427" s="71">
        <v>0</v>
      </c>
      <c r="V1427" s="71">
        <v>1</v>
      </c>
      <c r="W1427" s="71">
        <v>0</v>
      </c>
      <c r="X1427" s="661">
        <v>1</v>
      </c>
      <c r="Y1427" s="71">
        <v>-0.1</v>
      </c>
      <c r="Z1427" s="71">
        <v>0</v>
      </c>
      <c r="AF1427" s="71">
        <f t="shared" si="170"/>
        <v>0</v>
      </c>
      <c r="AN1427" s="664">
        <v>527</v>
      </c>
      <c r="AO1427" s="71" t="s">
        <v>136</v>
      </c>
    </row>
    <row r="1428" s="71" customFormat="1" spans="1:48">
      <c r="A1428" s="71">
        <v>10017</v>
      </c>
      <c r="B1428" s="656" t="s">
        <v>5227</v>
      </c>
      <c r="C1428" s="71" t="s">
        <v>5228</v>
      </c>
      <c r="D1428" s="71">
        <v>1</v>
      </c>
      <c r="E1428" s="71">
        <v>0</v>
      </c>
      <c r="G1428" s="71">
        <v>1</v>
      </c>
      <c r="H1428" s="654">
        <v>100101</v>
      </c>
      <c r="I1428" s="71">
        <v>1.46666666666667</v>
      </c>
      <c r="J1428" s="71">
        <v>1.46666666666667</v>
      </c>
      <c r="L1428" s="71">
        <f t="shared" si="167"/>
        <v>0</v>
      </c>
      <c r="M1428" s="71">
        <f t="shared" si="169"/>
        <v>1.06666666666667</v>
      </c>
      <c r="N1428" s="71" t="s">
        <v>5229</v>
      </c>
      <c r="O1428" s="659">
        <v>1</v>
      </c>
      <c r="P1428" s="71">
        <v>1.3</v>
      </c>
      <c r="Q1428" s="659">
        <v>0</v>
      </c>
      <c r="R1428" s="659"/>
      <c r="S1428" s="71">
        <v>0</v>
      </c>
      <c r="V1428" s="659">
        <v>1</v>
      </c>
      <c r="W1428" s="71">
        <v>0</v>
      </c>
      <c r="X1428" s="661">
        <v>1</v>
      </c>
      <c r="Y1428" s="71">
        <v>-0.1</v>
      </c>
      <c r="Z1428" s="659">
        <v>0</v>
      </c>
      <c r="AA1428" s="659"/>
      <c r="AB1428" s="659"/>
      <c r="AC1428" s="659"/>
      <c r="AD1428" s="659"/>
      <c r="AF1428" s="71">
        <f t="shared" si="170"/>
        <v>0</v>
      </c>
      <c r="AN1428" s="664">
        <v>97</v>
      </c>
      <c r="AO1428" s="71" t="s">
        <v>136</v>
      </c>
      <c r="AV1428" s="71">
        <v>1</v>
      </c>
    </row>
    <row r="1429" s="71" customFormat="1" spans="1:48">
      <c r="A1429" s="71">
        <v>10018</v>
      </c>
      <c r="B1429" s="656" t="s">
        <v>5230</v>
      </c>
      <c r="C1429" s="71" t="s">
        <v>5231</v>
      </c>
      <c r="D1429" s="71">
        <v>1</v>
      </c>
      <c r="E1429" s="71">
        <v>0</v>
      </c>
      <c r="G1429" s="71">
        <v>1</v>
      </c>
      <c r="H1429" s="654">
        <v>100201</v>
      </c>
      <c r="I1429" s="71">
        <v>2</v>
      </c>
      <c r="J1429" s="71">
        <v>2</v>
      </c>
      <c r="L1429" s="71">
        <f t="shared" si="167"/>
        <v>1</v>
      </c>
      <c r="M1429" s="71">
        <f t="shared" si="169"/>
        <v>1.6</v>
      </c>
      <c r="N1429" s="71" t="s">
        <v>5232</v>
      </c>
      <c r="O1429" s="659">
        <v>1</v>
      </c>
      <c r="P1429" s="71">
        <v>1.3</v>
      </c>
      <c r="Q1429" s="659">
        <v>0</v>
      </c>
      <c r="R1429" s="659"/>
      <c r="S1429" s="71">
        <v>0</v>
      </c>
      <c r="V1429" s="659">
        <v>1</v>
      </c>
      <c r="W1429" s="71">
        <v>0</v>
      </c>
      <c r="X1429" s="661">
        <v>8</v>
      </c>
      <c r="Y1429" s="71">
        <v>-0.1</v>
      </c>
      <c r="Z1429" s="659">
        <v>0</v>
      </c>
      <c r="AA1429" s="659"/>
      <c r="AB1429" s="659"/>
      <c r="AC1429" s="659"/>
      <c r="AD1429" s="659"/>
      <c r="AF1429" s="71">
        <f t="shared" si="170"/>
        <v>0</v>
      </c>
      <c r="AN1429" s="664">
        <v>96</v>
      </c>
      <c r="AO1429" s="71" t="s">
        <v>136</v>
      </c>
      <c r="AV1429" s="71">
        <v>1</v>
      </c>
    </row>
    <row r="1430" s="71" customFormat="1" spans="1:52">
      <c r="A1430" s="71">
        <v>10019</v>
      </c>
      <c r="B1430" s="71" t="s">
        <v>5233</v>
      </c>
      <c r="C1430" s="71" t="s">
        <v>5234</v>
      </c>
      <c r="D1430" s="71">
        <v>1</v>
      </c>
      <c r="E1430" s="71">
        <v>0</v>
      </c>
      <c r="G1430" s="71">
        <v>1</v>
      </c>
      <c r="H1430" s="654">
        <v>100301</v>
      </c>
      <c r="I1430" s="71">
        <v>2.5</v>
      </c>
      <c r="J1430" s="71">
        <v>2.5</v>
      </c>
      <c r="L1430" s="71">
        <f t="shared" si="167"/>
        <v>0</v>
      </c>
      <c r="M1430" s="71">
        <f t="shared" si="169"/>
        <v>2.1</v>
      </c>
      <c r="N1430" s="71" t="s">
        <v>5235</v>
      </c>
      <c r="O1430" s="659">
        <v>1</v>
      </c>
      <c r="P1430" s="71">
        <v>0.9</v>
      </c>
      <c r="Q1430" s="659">
        <v>0</v>
      </c>
      <c r="R1430" s="659"/>
      <c r="S1430" s="71">
        <v>0</v>
      </c>
      <c r="V1430" s="659">
        <v>1</v>
      </c>
      <c r="W1430" s="71">
        <v>0</v>
      </c>
      <c r="X1430" s="661">
        <v>2</v>
      </c>
      <c r="Y1430" s="71">
        <v>-0.1</v>
      </c>
      <c r="Z1430" s="659">
        <v>0</v>
      </c>
      <c r="AA1430" s="659"/>
      <c r="AB1430" s="659"/>
      <c r="AC1430" s="659"/>
      <c r="AD1430" s="659"/>
      <c r="AF1430" s="71">
        <f t="shared" si="170"/>
        <v>0</v>
      </c>
      <c r="AN1430" s="664">
        <v>109</v>
      </c>
      <c r="AO1430" s="71" t="s">
        <v>136</v>
      </c>
      <c r="AV1430" s="71">
        <v>1</v>
      </c>
      <c r="AY1430" s="28"/>
      <c r="AZ1430" s="28"/>
    </row>
    <row r="1431" s="71" customFormat="1" spans="1:48">
      <c r="A1431" s="71">
        <v>10020</v>
      </c>
      <c r="B1431" s="71" t="s">
        <v>5236</v>
      </c>
      <c r="C1431" s="71" t="s">
        <v>5237</v>
      </c>
      <c r="D1431" s="71">
        <v>1</v>
      </c>
      <c r="E1431" s="71">
        <v>0</v>
      </c>
      <c r="G1431" s="71">
        <v>1</v>
      </c>
      <c r="H1431" s="654">
        <v>100401</v>
      </c>
      <c r="I1431" s="71">
        <v>1.06666666666667</v>
      </c>
      <c r="J1431" s="71">
        <v>1.06666666666667</v>
      </c>
      <c r="L1431" s="71">
        <f t="shared" ref="L1431:L1494" si="171">IF(X1431&gt;4,1,0)</f>
        <v>0</v>
      </c>
      <c r="M1431" s="71">
        <f t="shared" si="169"/>
        <v>0.66666666666667</v>
      </c>
      <c r="N1431" s="71" t="s">
        <v>5238</v>
      </c>
      <c r="O1431" s="659">
        <v>1</v>
      </c>
      <c r="P1431" s="71">
        <v>0.9</v>
      </c>
      <c r="Q1431" s="659">
        <v>0</v>
      </c>
      <c r="R1431" s="659"/>
      <c r="S1431" s="71">
        <v>0</v>
      </c>
      <c r="V1431" s="659">
        <v>1</v>
      </c>
      <c r="W1431" s="71">
        <v>0</v>
      </c>
      <c r="X1431" s="661">
        <v>1</v>
      </c>
      <c r="Y1431" s="71">
        <v>-0.1</v>
      </c>
      <c r="Z1431" s="659">
        <v>0</v>
      </c>
      <c r="AA1431" s="659"/>
      <c r="AB1431" s="659"/>
      <c r="AC1431" s="659"/>
      <c r="AD1431" s="659"/>
      <c r="AF1431" s="71">
        <f t="shared" si="170"/>
        <v>0</v>
      </c>
      <c r="AN1431" s="664">
        <v>110</v>
      </c>
      <c r="AO1431" s="71" t="s">
        <v>136</v>
      </c>
      <c r="AV1431" s="71">
        <v>1</v>
      </c>
    </row>
    <row r="1432" s="71" customFormat="1" spans="1:48">
      <c r="A1432" s="71">
        <v>10021</v>
      </c>
      <c r="B1432" s="71" t="s">
        <v>5239</v>
      </c>
      <c r="C1432" s="654" t="s">
        <v>526</v>
      </c>
      <c r="D1432" s="71">
        <v>1</v>
      </c>
      <c r="E1432" s="71">
        <v>0</v>
      </c>
      <c r="F1432" s="654"/>
      <c r="G1432" s="71">
        <v>1</v>
      </c>
      <c r="H1432" s="657" t="s">
        <v>5240</v>
      </c>
      <c r="I1432" s="71">
        <v>1.66666666666667</v>
      </c>
      <c r="J1432" s="71">
        <v>1.66666666666667</v>
      </c>
      <c r="L1432" s="71">
        <f t="shared" si="171"/>
        <v>0</v>
      </c>
      <c r="M1432" s="71">
        <f t="shared" si="169"/>
        <v>1.26666666666667</v>
      </c>
      <c r="N1432" s="71" t="s">
        <v>5241</v>
      </c>
      <c r="O1432" s="659">
        <v>1</v>
      </c>
      <c r="P1432" s="659">
        <v>1</v>
      </c>
      <c r="Q1432" s="659">
        <v>0</v>
      </c>
      <c r="R1432" s="659"/>
      <c r="S1432" s="71">
        <v>0</v>
      </c>
      <c r="V1432" s="659">
        <v>1</v>
      </c>
      <c r="W1432" s="71">
        <v>0</v>
      </c>
      <c r="X1432" s="661">
        <v>2</v>
      </c>
      <c r="Y1432" s="71">
        <v>-0.1</v>
      </c>
      <c r="Z1432" s="659">
        <v>0</v>
      </c>
      <c r="AA1432" s="659"/>
      <c r="AB1432" s="659"/>
      <c r="AC1432" s="659"/>
      <c r="AD1432" s="659"/>
      <c r="AF1432" s="71">
        <f t="shared" si="170"/>
        <v>0</v>
      </c>
      <c r="AN1432" s="656">
        <v>314</v>
      </c>
      <c r="AO1432" s="667" t="s">
        <v>136</v>
      </c>
      <c r="AV1432" s="71">
        <v>1</v>
      </c>
    </row>
    <row r="1433" s="71" customFormat="1" spans="1:48">
      <c r="A1433" s="71">
        <v>10022</v>
      </c>
      <c r="B1433" s="71" t="s">
        <v>5242</v>
      </c>
      <c r="C1433" s="654" t="s">
        <v>526</v>
      </c>
      <c r="D1433" s="71">
        <v>1</v>
      </c>
      <c r="E1433" s="71">
        <v>0</v>
      </c>
      <c r="G1433" s="71">
        <v>1</v>
      </c>
      <c r="H1433" s="654">
        <v>103101</v>
      </c>
      <c r="I1433" s="71">
        <v>2.06666666666667</v>
      </c>
      <c r="J1433" s="71">
        <v>2.06666666666667</v>
      </c>
      <c r="L1433" s="71">
        <f t="shared" si="171"/>
        <v>0</v>
      </c>
      <c r="M1433" s="71">
        <f t="shared" si="169"/>
        <v>1.66666666666667</v>
      </c>
      <c r="N1433" s="71" t="s">
        <v>5243</v>
      </c>
      <c r="O1433" s="659">
        <v>1</v>
      </c>
      <c r="P1433" s="659">
        <v>1</v>
      </c>
      <c r="Q1433" s="659">
        <v>0</v>
      </c>
      <c r="R1433" s="659"/>
      <c r="S1433" s="71">
        <v>0</v>
      </c>
      <c r="V1433" s="659">
        <v>1</v>
      </c>
      <c r="W1433" s="71">
        <v>0</v>
      </c>
      <c r="X1433" s="661">
        <v>2</v>
      </c>
      <c r="Y1433" s="71">
        <v>-0.1</v>
      </c>
      <c r="Z1433" s="659">
        <v>0</v>
      </c>
      <c r="AA1433" s="659"/>
      <c r="AB1433" s="659"/>
      <c r="AC1433" s="659"/>
      <c r="AD1433" s="659"/>
      <c r="AF1433" s="71">
        <f t="shared" si="170"/>
        <v>0</v>
      </c>
      <c r="AN1433" s="656">
        <v>534</v>
      </c>
      <c r="AO1433" s="667" t="s">
        <v>136</v>
      </c>
      <c r="AV1433" s="71">
        <v>1</v>
      </c>
    </row>
    <row r="1434" s="71" customFormat="1" spans="1:48">
      <c r="A1434" s="71">
        <v>10023</v>
      </c>
      <c r="B1434" s="71" t="s">
        <v>5244</v>
      </c>
      <c r="C1434" s="654" t="s">
        <v>526</v>
      </c>
      <c r="D1434" s="71">
        <v>1</v>
      </c>
      <c r="E1434" s="71">
        <v>0</v>
      </c>
      <c r="G1434" s="71">
        <v>1</v>
      </c>
      <c r="H1434" s="654">
        <v>103201</v>
      </c>
      <c r="I1434" s="71">
        <v>1.73333333333333</v>
      </c>
      <c r="J1434" s="71">
        <v>1.73333333333333</v>
      </c>
      <c r="L1434" s="71">
        <f t="shared" si="171"/>
        <v>0</v>
      </c>
      <c r="M1434" s="71">
        <f t="shared" si="169"/>
        <v>1.33333333333333</v>
      </c>
      <c r="N1434" s="71" t="s">
        <v>5245</v>
      </c>
      <c r="O1434" s="659">
        <v>1</v>
      </c>
      <c r="P1434" s="659">
        <v>1</v>
      </c>
      <c r="Q1434" s="659">
        <v>0</v>
      </c>
      <c r="R1434" s="659"/>
      <c r="S1434" s="71">
        <v>0</v>
      </c>
      <c r="V1434" s="659">
        <v>1</v>
      </c>
      <c r="W1434" s="71">
        <v>0</v>
      </c>
      <c r="X1434" s="661">
        <v>4</v>
      </c>
      <c r="Y1434" s="71">
        <v>-0.1</v>
      </c>
      <c r="Z1434" s="659">
        <v>0</v>
      </c>
      <c r="AA1434" s="659"/>
      <c r="AB1434" s="659"/>
      <c r="AC1434" s="659"/>
      <c r="AD1434" s="659"/>
      <c r="AF1434" s="71">
        <f t="shared" si="170"/>
        <v>0</v>
      </c>
      <c r="AN1434" s="656">
        <v>535</v>
      </c>
      <c r="AO1434" s="667" t="s">
        <v>136</v>
      </c>
      <c r="AV1434" s="71">
        <v>1</v>
      </c>
    </row>
    <row r="1435" s="71" customFormat="1" spans="1:48">
      <c r="A1435" s="71">
        <v>10024</v>
      </c>
      <c r="B1435" s="71" t="s">
        <v>5246</v>
      </c>
      <c r="C1435" s="654" t="s">
        <v>526</v>
      </c>
      <c r="D1435" s="71">
        <v>1</v>
      </c>
      <c r="E1435" s="71">
        <v>0</v>
      </c>
      <c r="G1435" s="71">
        <v>1</v>
      </c>
      <c r="H1435" s="654">
        <v>103301</v>
      </c>
      <c r="I1435" s="71">
        <v>3.2</v>
      </c>
      <c r="J1435" s="71">
        <v>3.2</v>
      </c>
      <c r="L1435" s="71">
        <f t="shared" si="171"/>
        <v>0</v>
      </c>
      <c r="M1435" s="71">
        <f t="shared" si="169"/>
        <v>2.8</v>
      </c>
      <c r="N1435" s="71" t="s">
        <v>5247</v>
      </c>
      <c r="O1435" s="659">
        <v>1</v>
      </c>
      <c r="P1435" s="659">
        <v>1</v>
      </c>
      <c r="Q1435" s="659">
        <v>0</v>
      </c>
      <c r="R1435" s="659"/>
      <c r="S1435" s="71">
        <v>0</v>
      </c>
      <c r="V1435" s="659">
        <v>1</v>
      </c>
      <c r="W1435" s="71">
        <v>0</v>
      </c>
      <c r="X1435" s="661">
        <v>3</v>
      </c>
      <c r="Y1435" s="71">
        <v>-0.1</v>
      </c>
      <c r="Z1435" s="659">
        <v>0</v>
      </c>
      <c r="AA1435" s="659"/>
      <c r="AB1435" s="659"/>
      <c r="AC1435" s="659"/>
      <c r="AD1435" s="659"/>
      <c r="AF1435" s="71">
        <f t="shared" si="170"/>
        <v>0</v>
      </c>
      <c r="AN1435" s="656">
        <v>536</v>
      </c>
      <c r="AO1435" s="667" t="s">
        <v>136</v>
      </c>
      <c r="AV1435" s="71">
        <v>1</v>
      </c>
    </row>
    <row r="1436" s="71" customFormat="1" spans="1:48">
      <c r="A1436" s="71">
        <v>10025</v>
      </c>
      <c r="B1436" s="71" t="s">
        <v>761</v>
      </c>
      <c r="C1436" s="654" t="s">
        <v>5248</v>
      </c>
      <c r="D1436" s="71">
        <v>1</v>
      </c>
      <c r="E1436" s="71">
        <v>0</v>
      </c>
      <c r="F1436" s="654"/>
      <c r="G1436" s="71">
        <v>1</v>
      </c>
      <c r="H1436" s="657" t="s">
        <v>762</v>
      </c>
      <c r="I1436" s="71">
        <v>1</v>
      </c>
      <c r="J1436" s="71">
        <v>1</v>
      </c>
      <c r="L1436" s="71">
        <f t="shared" si="171"/>
        <v>0</v>
      </c>
      <c r="M1436" s="71">
        <f t="shared" si="169"/>
        <v>0.6</v>
      </c>
      <c r="N1436" s="71" t="s">
        <v>763</v>
      </c>
      <c r="O1436" s="659">
        <v>1</v>
      </c>
      <c r="P1436" s="71">
        <v>1.5</v>
      </c>
      <c r="Q1436" s="659">
        <v>0</v>
      </c>
      <c r="R1436" s="659"/>
      <c r="S1436" s="71">
        <v>0</v>
      </c>
      <c r="V1436" s="659">
        <v>1</v>
      </c>
      <c r="W1436" s="71">
        <v>0</v>
      </c>
      <c r="X1436" s="661">
        <v>2</v>
      </c>
      <c r="Y1436" s="71">
        <v>-0.1</v>
      </c>
      <c r="Z1436" s="659">
        <v>0</v>
      </c>
      <c r="AA1436" s="659"/>
      <c r="AB1436" s="659"/>
      <c r="AC1436" s="659"/>
      <c r="AD1436" s="659"/>
      <c r="AF1436" s="71">
        <f t="shared" si="170"/>
        <v>0</v>
      </c>
      <c r="AN1436" s="664">
        <v>248</v>
      </c>
      <c r="AO1436" s="71" t="s">
        <v>136</v>
      </c>
      <c r="AV1436" s="71">
        <v>1</v>
      </c>
    </row>
    <row r="1437" spans="1:41">
      <c r="A1437" s="71">
        <v>10026</v>
      </c>
      <c r="B1437" s="71" t="s">
        <v>5197</v>
      </c>
      <c r="C1437" s="654" t="s">
        <v>5225</v>
      </c>
      <c r="D1437">
        <v>1</v>
      </c>
      <c r="E1437">
        <v>0</v>
      </c>
      <c r="G1437">
        <v>2</v>
      </c>
      <c r="H1437" s="82">
        <v>101902</v>
      </c>
      <c r="I1437">
        <v>2.5</v>
      </c>
      <c r="J1437">
        <v>2.5</v>
      </c>
      <c r="L1437">
        <f t="shared" si="171"/>
        <v>0</v>
      </c>
      <c r="M1437">
        <f t="shared" si="169"/>
        <v>2.1</v>
      </c>
      <c r="N1437" s="71" t="s">
        <v>5249</v>
      </c>
      <c r="O1437" s="659">
        <v>1</v>
      </c>
      <c r="P1437" s="71">
        <v>5</v>
      </c>
      <c r="Q1437" s="659">
        <v>0</v>
      </c>
      <c r="S1437">
        <v>0</v>
      </c>
      <c r="V1437" s="659">
        <v>1</v>
      </c>
      <c r="W1437" s="71">
        <v>0</v>
      </c>
      <c r="X1437" s="661">
        <v>2</v>
      </c>
      <c r="Y1437" s="71">
        <v>-0.1</v>
      </c>
      <c r="Z1437" s="659">
        <v>0</v>
      </c>
      <c r="AF1437">
        <f t="shared" si="170"/>
        <v>0</v>
      </c>
      <c r="AO1437" s="654"/>
    </row>
    <row r="1438" spans="1:41">
      <c r="A1438" s="71">
        <v>10027</v>
      </c>
      <c r="B1438" s="71" t="s">
        <v>5217</v>
      </c>
      <c r="C1438" s="654" t="s">
        <v>5225</v>
      </c>
      <c r="D1438">
        <v>1</v>
      </c>
      <c r="E1438">
        <v>0</v>
      </c>
      <c r="G1438">
        <v>1</v>
      </c>
      <c r="H1438" s="82">
        <v>101602</v>
      </c>
      <c r="I1438">
        <v>2.16666666666667</v>
      </c>
      <c r="J1438">
        <v>2.16666666666667</v>
      </c>
      <c r="L1438">
        <f t="shared" si="171"/>
        <v>0</v>
      </c>
      <c r="M1438">
        <f t="shared" si="169"/>
        <v>1.76666666666667</v>
      </c>
      <c r="N1438" s="71" t="s">
        <v>5250</v>
      </c>
      <c r="O1438" s="659">
        <v>1</v>
      </c>
      <c r="P1438" s="71">
        <v>1</v>
      </c>
      <c r="Q1438">
        <v>0</v>
      </c>
      <c r="S1438">
        <v>0</v>
      </c>
      <c r="V1438" s="659">
        <v>1</v>
      </c>
      <c r="W1438" s="71">
        <v>0</v>
      </c>
      <c r="X1438" s="661">
        <v>1</v>
      </c>
      <c r="Y1438" s="71">
        <v>-0.1</v>
      </c>
      <c r="Z1438" s="659">
        <v>0</v>
      </c>
      <c r="AF1438">
        <f t="shared" si="170"/>
        <v>0</v>
      </c>
      <c r="AN1438" s="8">
        <v>548</v>
      </c>
      <c r="AO1438" s="654" t="s">
        <v>136</v>
      </c>
    </row>
    <row r="1439" spans="1:48">
      <c r="A1439">
        <v>10028</v>
      </c>
      <c r="B1439" t="s">
        <v>5251</v>
      </c>
      <c r="C1439" s="211" t="s">
        <v>526</v>
      </c>
      <c r="D1439">
        <v>1</v>
      </c>
      <c r="E1439">
        <v>0</v>
      </c>
      <c r="G1439">
        <v>1</v>
      </c>
      <c r="H1439" s="82">
        <v>104001</v>
      </c>
      <c r="I1439" s="20">
        <v>2.33333333333333</v>
      </c>
      <c r="J1439" s="20">
        <v>2.33333333333333</v>
      </c>
      <c r="K1439" s="20"/>
      <c r="L1439">
        <f t="shared" si="171"/>
        <v>0</v>
      </c>
      <c r="M1439">
        <f t="shared" si="169"/>
        <v>1.93333333333333</v>
      </c>
      <c r="N1439" s="20" t="s">
        <v>5252</v>
      </c>
      <c r="O1439" s="20">
        <v>1</v>
      </c>
      <c r="P1439">
        <v>1.2</v>
      </c>
      <c r="Q1439" s="20">
        <v>0</v>
      </c>
      <c r="R1439" s="20"/>
      <c r="S1439">
        <v>0</v>
      </c>
      <c r="V1439" s="20">
        <v>1</v>
      </c>
      <c r="W1439">
        <v>0</v>
      </c>
      <c r="X1439" s="7">
        <v>3</v>
      </c>
      <c r="Y1439">
        <v>-0.1</v>
      </c>
      <c r="Z1439" s="20">
        <v>0</v>
      </c>
      <c r="AA1439" s="20"/>
      <c r="AB1439" s="20"/>
      <c r="AC1439" s="20"/>
      <c r="AD1439" s="20">
        <v>0</v>
      </c>
      <c r="AE1439" s="20"/>
      <c r="AF1439">
        <f t="shared" si="170"/>
        <v>0</v>
      </c>
      <c r="AG1439" s="20"/>
      <c r="AH1439" s="20"/>
      <c r="AI1439" s="20"/>
      <c r="AJ1439" s="20"/>
      <c r="AK1439" s="20"/>
      <c r="AL1439" s="20"/>
      <c r="AM1439" s="20"/>
      <c r="AN1439" s="119">
        <v>563</v>
      </c>
      <c r="AO1439" s="654" t="s">
        <v>136</v>
      </c>
      <c r="AP1439" s="20"/>
      <c r="AQ1439" s="20"/>
      <c r="AV1439">
        <v>1</v>
      </c>
    </row>
    <row r="1440" spans="1:43">
      <c r="A1440">
        <v>10029</v>
      </c>
      <c r="B1440" t="s">
        <v>5251</v>
      </c>
      <c r="C1440" s="211" t="s">
        <v>5253</v>
      </c>
      <c r="D1440">
        <v>1</v>
      </c>
      <c r="E1440">
        <v>0</v>
      </c>
      <c r="G1440">
        <v>1</v>
      </c>
      <c r="H1440" s="82">
        <v>104002</v>
      </c>
      <c r="I1440" s="20">
        <v>2.83333333333333</v>
      </c>
      <c r="J1440" s="20">
        <v>2.83333333333333</v>
      </c>
      <c r="K1440" s="20"/>
      <c r="L1440">
        <f t="shared" si="171"/>
        <v>0</v>
      </c>
      <c r="M1440">
        <f t="shared" si="169"/>
        <v>2.43333333333333</v>
      </c>
      <c r="N1440" s="20" t="s">
        <v>5254</v>
      </c>
      <c r="O1440" s="20">
        <v>1</v>
      </c>
      <c r="P1440">
        <v>1.2</v>
      </c>
      <c r="Q1440" s="20">
        <v>0</v>
      </c>
      <c r="R1440" s="20"/>
      <c r="S1440">
        <v>0</v>
      </c>
      <c r="V1440" s="20">
        <v>1</v>
      </c>
      <c r="W1440">
        <v>0</v>
      </c>
      <c r="X1440" s="7">
        <v>2</v>
      </c>
      <c r="Y1440">
        <v>-0.1</v>
      </c>
      <c r="Z1440" s="20">
        <v>0</v>
      </c>
      <c r="AA1440" s="20"/>
      <c r="AB1440" s="20"/>
      <c r="AC1440" s="20"/>
      <c r="AD1440" s="20">
        <v>0</v>
      </c>
      <c r="AE1440" s="20"/>
      <c r="AF1440">
        <f t="shared" si="170"/>
        <v>0</v>
      </c>
      <c r="AG1440" s="20"/>
      <c r="AH1440" s="20"/>
      <c r="AI1440" s="20"/>
      <c r="AJ1440" s="20"/>
      <c r="AK1440" s="20"/>
      <c r="AL1440" s="20"/>
      <c r="AM1440" s="20"/>
      <c r="AN1440" s="119">
        <v>568</v>
      </c>
      <c r="AO1440" s="654" t="s">
        <v>136</v>
      </c>
      <c r="AP1440" s="20"/>
      <c r="AQ1440" s="20"/>
    </row>
    <row r="1441" spans="1:48">
      <c r="A1441">
        <v>10030</v>
      </c>
      <c r="B1441" s="71" t="s">
        <v>5255</v>
      </c>
      <c r="C1441" s="82" t="s">
        <v>526</v>
      </c>
      <c r="D1441">
        <v>1</v>
      </c>
      <c r="E1441">
        <v>0</v>
      </c>
      <c r="G1441">
        <v>2</v>
      </c>
      <c r="H1441" s="82">
        <v>103801</v>
      </c>
      <c r="I1441">
        <v>1.16666666666667</v>
      </c>
      <c r="J1441">
        <v>1.16666666666667</v>
      </c>
      <c r="L1441">
        <f t="shared" si="171"/>
        <v>1</v>
      </c>
      <c r="M1441">
        <f t="shared" si="169"/>
        <v>0.76666666666667</v>
      </c>
      <c r="N1441" t="s">
        <v>5256</v>
      </c>
      <c r="O1441" s="659">
        <v>1</v>
      </c>
      <c r="P1441" s="71">
        <v>3</v>
      </c>
      <c r="Q1441" s="20">
        <v>0</v>
      </c>
      <c r="S1441">
        <v>0</v>
      </c>
      <c r="V1441" s="20">
        <v>1</v>
      </c>
      <c r="W1441">
        <v>0</v>
      </c>
      <c r="X1441" s="7">
        <v>6</v>
      </c>
      <c r="Y1441">
        <v>-0.1</v>
      </c>
      <c r="Z1441" s="20">
        <v>0</v>
      </c>
      <c r="AF1441">
        <f t="shared" si="170"/>
        <v>0</v>
      </c>
      <c r="AN1441" s="8">
        <v>569</v>
      </c>
      <c r="AO1441" s="654" t="s">
        <v>136</v>
      </c>
      <c r="AV1441">
        <v>1</v>
      </c>
    </row>
    <row r="1442" spans="1:41">
      <c r="A1442">
        <v>10031</v>
      </c>
      <c r="B1442" s="71" t="s">
        <v>5255</v>
      </c>
      <c r="C1442" t="s">
        <v>5257</v>
      </c>
      <c r="D1442">
        <v>1</v>
      </c>
      <c r="E1442">
        <v>0</v>
      </c>
      <c r="G1442">
        <v>2</v>
      </c>
      <c r="H1442" s="82">
        <v>103802</v>
      </c>
      <c r="I1442">
        <v>2.83333333333333</v>
      </c>
      <c r="J1442">
        <v>2.83333333333333</v>
      </c>
      <c r="L1442">
        <f t="shared" si="171"/>
        <v>1</v>
      </c>
      <c r="M1442">
        <f t="shared" si="169"/>
        <v>2.43333333333333</v>
      </c>
      <c r="N1442" t="s">
        <v>5258</v>
      </c>
      <c r="O1442" s="659">
        <v>1</v>
      </c>
      <c r="P1442" s="71">
        <v>3</v>
      </c>
      <c r="Q1442" s="20">
        <v>0</v>
      </c>
      <c r="S1442">
        <v>0</v>
      </c>
      <c r="V1442" s="20">
        <v>1</v>
      </c>
      <c r="W1442">
        <v>0</v>
      </c>
      <c r="X1442" s="7">
        <v>7</v>
      </c>
      <c r="Y1442">
        <v>-0.1</v>
      </c>
      <c r="Z1442" s="20">
        <v>0</v>
      </c>
      <c r="AF1442">
        <f t="shared" si="170"/>
        <v>0</v>
      </c>
      <c r="AN1442" s="8">
        <v>570</v>
      </c>
      <c r="AO1442" s="654" t="s">
        <v>136</v>
      </c>
    </row>
    <row r="1443" spans="1:48">
      <c r="A1443">
        <v>10032</v>
      </c>
      <c r="B1443" s="71" t="s">
        <v>5259</v>
      </c>
      <c r="C1443" t="s">
        <v>526</v>
      </c>
      <c r="D1443">
        <v>1</v>
      </c>
      <c r="E1443">
        <v>0</v>
      </c>
      <c r="G1443">
        <v>1</v>
      </c>
      <c r="H1443" s="82">
        <v>104401</v>
      </c>
      <c r="I1443">
        <v>2.83333333333333</v>
      </c>
      <c r="J1443">
        <v>2.83333333333333</v>
      </c>
      <c r="L1443">
        <f t="shared" si="171"/>
        <v>0</v>
      </c>
      <c r="M1443">
        <f t="shared" si="169"/>
        <v>2.43333333333333</v>
      </c>
      <c r="N1443" t="s">
        <v>5260</v>
      </c>
      <c r="O1443" s="659">
        <v>1</v>
      </c>
      <c r="P1443" s="71">
        <v>1</v>
      </c>
      <c r="Q1443" s="20">
        <v>0</v>
      </c>
      <c r="S1443">
        <v>0</v>
      </c>
      <c r="V1443" s="20">
        <v>1</v>
      </c>
      <c r="W1443">
        <v>0</v>
      </c>
      <c r="X1443" s="7">
        <v>1</v>
      </c>
      <c r="Y1443">
        <v>-0.1</v>
      </c>
      <c r="Z1443" s="20">
        <v>0</v>
      </c>
      <c r="AF1443">
        <f t="shared" si="170"/>
        <v>0</v>
      </c>
      <c r="AN1443" s="8">
        <v>571</v>
      </c>
      <c r="AO1443" s="654" t="s">
        <v>136</v>
      </c>
      <c r="AV1443">
        <v>1</v>
      </c>
    </row>
    <row r="1444" spans="1:41">
      <c r="A1444">
        <v>10033</v>
      </c>
      <c r="B1444" s="71" t="s">
        <v>5259</v>
      </c>
      <c r="C1444" t="s">
        <v>5261</v>
      </c>
      <c r="D1444">
        <v>1</v>
      </c>
      <c r="E1444">
        <v>0</v>
      </c>
      <c r="G1444">
        <v>1</v>
      </c>
      <c r="H1444" s="82">
        <v>104402</v>
      </c>
      <c r="I1444">
        <v>2.5</v>
      </c>
      <c r="J1444">
        <v>2.5</v>
      </c>
      <c r="L1444">
        <f t="shared" si="171"/>
        <v>0</v>
      </c>
      <c r="M1444">
        <f t="shared" si="169"/>
        <v>2.1</v>
      </c>
      <c r="N1444" t="s">
        <v>5262</v>
      </c>
      <c r="O1444" s="659">
        <v>1</v>
      </c>
      <c r="P1444" s="71">
        <v>1</v>
      </c>
      <c r="Q1444" s="20">
        <v>0</v>
      </c>
      <c r="S1444">
        <v>0</v>
      </c>
      <c r="V1444" s="20">
        <v>1</v>
      </c>
      <c r="W1444">
        <v>0</v>
      </c>
      <c r="X1444" s="7">
        <v>3</v>
      </c>
      <c r="Y1444">
        <v>-0.1</v>
      </c>
      <c r="Z1444" s="20">
        <v>0</v>
      </c>
      <c r="AF1444">
        <f t="shared" si="170"/>
        <v>0</v>
      </c>
      <c r="AN1444" s="8">
        <v>572</v>
      </c>
      <c r="AO1444" s="654" t="s">
        <v>136</v>
      </c>
    </row>
    <row r="1445" spans="1:48">
      <c r="A1445">
        <v>10034</v>
      </c>
      <c r="B1445" s="71" t="s">
        <v>5263</v>
      </c>
      <c r="C1445" t="s">
        <v>526</v>
      </c>
      <c r="D1445">
        <v>1</v>
      </c>
      <c r="E1445">
        <v>0</v>
      </c>
      <c r="G1445">
        <v>1</v>
      </c>
      <c r="H1445" s="82">
        <v>104301</v>
      </c>
      <c r="I1445">
        <v>2.5</v>
      </c>
      <c r="J1445">
        <v>2.5</v>
      </c>
      <c r="L1445">
        <f t="shared" si="171"/>
        <v>0</v>
      </c>
      <c r="M1445">
        <f t="shared" si="169"/>
        <v>2.1</v>
      </c>
      <c r="N1445" t="s">
        <v>5264</v>
      </c>
      <c r="O1445" s="659">
        <v>1</v>
      </c>
      <c r="P1445">
        <v>1.2</v>
      </c>
      <c r="Q1445" s="20">
        <v>0</v>
      </c>
      <c r="S1445">
        <v>0</v>
      </c>
      <c r="V1445" s="20">
        <v>1</v>
      </c>
      <c r="W1445">
        <v>0</v>
      </c>
      <c r="X1445" s="7">
        <v>2</v>
      </c>
      <c r="Y1445">
        <v>-0.1</v>
      </c>
      <c r="Z1445" s="20">
        <v>0</v>
      </c>
      <c r="AF1445">
        <f t="shared" si="170"/>
        <v>0</v>
      </c>
      <c r="AN1445" s="8">
        <v>573</v>
      </c>
      <c r="AO1445" s="654" t="s">
        <v>136</v>
      </c>
      <c r="AV1445">
        <v>1</v>
      </c>
    </row>
    <row r="1446" spans="1:43">
      <c r="A1446">
        <v>10035</v>
      </c>
      <c r="B1446" s="71" t="s">
        <v>5263</v>
      </c>
      <c r="C1446" t="s">
        <v>5265</v>
      </c>
      <c r="D1446">
        <v>1</v>
      </c>
      <c r="E1446">
        <v>0</v>
      </c>
      <c r="G1446">
        <v>1</v>
      </c>
      <c r="H1446" s="82">
        <v>104302</v>
      </c>
      <c r="I1446">
        <v>2.33333333333333</v>
      </c>
      <c r="J1446">
        <v>2.33333333333333</v>
      </c>
      <c r="L1446">
        <f t="shared" si="171"/>
        <v>0</v>
      </c>
      <c r="M1446">
        <f t="shared" si="169"/>
        <v>1.93333333333333</v>
      </c>
      <c r="N1446" t="s">
        <v>5266</v>
      </c>
      <c r="O1446" s="659">
        <v>1</v>
      </c>
      <c r="P1446">
        <v>1.2</v>
      </c>
      <c r="Q1446" s="20">
        <v>0</v>
      </c>
      <c r="S1446">
        <v>1</v>
      </c>
      <c r="T1446">
        <v>1</v>
      </c>
      <c r="U1446">
        <v>1</v>
      </c>
      <c r="V1446" s="20">
        <v>1</v>
      </c>
      <c r="W1446">
        <v>0</v>
      </c>
      <c r="X1446" s="7">
        <v>1</v>
      </c>
      <c r="Y1446">
        <v>-0.1</v>
      </c>
      <c r="Z1446" s="20">
        <v>0</v>
      </c>
      <c r="AF1446">
        <f t="shared" si="170"/>
        <v>0</v>
      </c>
      <c r="AP1446" s="8">
        <v>574</v>
      </c>
      <c r="AQ1446" s="654" t="s">
        <v>136</v>
      </c>
    </row>
    <row r="1447" spans="1:48">
      <c r="A1447">
        <v>10036</v>
      </c>
      <c r="B1447" s="71" t="s">
        <v>5267</v>
      </c>
      <c r="C1447" t="s">
        <v>526</v>
      </c>
      <c r="D1447">
        <v>1</v>
      </c>
      <c r="E1447">
        <v>0</v>
      </c>
      <c r="G1447">
        <v>2</v>
      </c>
      <c r="H1447" s="82">
        <v>104501</v>
      </c>
      <c r="I1447">
        <v>2.53333333333333</v>
      </c>
      <c r="J1447">
        <v>2.53333333333333</v>
      </c>
      <c r="L1447">
        <v>0</v>
      </c>
      <c r="M1447">
        <v>2.13333333333333</v>
      </c>
      <c r="N1447" t="s">
        <v>5268</v>
      </c>
      <c r="O1447" s="659">
        <v>0</v>
      </c>
      <c r="P1447" s="71">
        <v>1</v>
      </c>
      <c r="Q1447" s="20">
        <v>1</v>
      </c>
      <c r="S1447">
        <v>0</v>
      </c>
      <c r="V1447" s="20">
        <v>1</v>
      </c>
      <c r="W1447">
        <v>0</v>
      </c>
      <c r="X1447" s="7">
        <v>3</v>
      </c>
      <c r="Y1447">
        <v>-0.1</v>
      </c>
      <c r="Z1447" s="20">
        <v>0</v>
      </c>
      <c r="AF1447">
        <v>0</v>
      </c>
      <c r="AN1447" s="10">
        <v>593</v>
      </c>
      <c r="AO1447" t="s">
        <v>5269</v>
      </c>
      <c r="AP1447" s="10"/>
      <c r="AV1447">
        <v>1</v>
      </c>
    </row>
    <row r="1448" spans="1:42">
      <c r="A1448">
        <v>10037</v>
      </c>
      <c r="B1448" s="71" t="s">
        <v>5267</v>
      </c>
      <c r="C1448" t="s">
        <v>5270</v>
      </c>
      <c r="D1448">
        <v>1</v>
      </c>
      <c r="E1448">
        <v>0</v>
      </c>
      <c r="G1448">
        <v>2</v>
      </c>
      <c r="H1448" s="82">
        <v>104502</v>
      </c>
      <c r="I1448">
        <v>2.53333333333333</v>
      </c>
      <c r="J1448">
        <v>2.53333333333333</v>
      </c>
      <c r="L1448">
        <v>0</v>
      </c>
      <c r="M1448">
        <v>2.13333333333333</v>
      </c>
      <c r="N1448" t="s">
        <v>5271</v>
      </c>
      <c r="O1448" s="659">
        <v>0</v>
      </c>
      <c r="P1448" s="71">
        <v>1</v>
      </c>
      <c r="Q1448" s="20">
        <v>1</v>
      </c>
      <c r="S1448">
        <v>0</v>
      </c>
      <c r="V1448" s="20">
        <v>1</v>
      </c>
      <c r="W1448">
        <v>0</v>
      </c>
      <c r="X1448" s="7">
        <v>1</v>
      </c>
      <c r="Y1448">
        <v>-0.1</v>
      </c>
      <c r="Z1448" s="20">
        <v>0</v>
      </c>
      <c r="AF1448">
        <v>0</v>
      </c>
      <c r="AN1448" s="10">
        <v>594</v>
      </c>
      <c r="AO1448" t="s">
        <v>5269</v>
      </c>
      <c r="AP1448" s="10"/>
    </row>
    <row r="1449" spans="1:48">
      <c r="A1449">
        <v>10038</v>
      </c>
      <c r="B1449" s="71" t="s">
        <v>5272</v>
      </c>
      <c r="C1449" t="s">
        <v>526</v>
      </c>
      <c r="D1449">
        <v>1</v>
      </c>
      <c r="E1449">
        <v>0</v>
      </c>
      <c r="G1449">
        <v>1</v>
      </c>
      <c r="H1449" s="82">
        <v>104201</v>
      </c>
      <c r="I1449">
        <v>2.73333333333333</v>
      </c>
      <c r="J1449">
        <v>2.73333333333333</v>
      </c>
      <c r="L1449">
        <f t="shared" si="171"/>
        <v>0</v>
      </c>
      <c r="M1449">
        <v>2.33333333333333</v>
      </c>
      <c r="N1449" t="s">
        <v>5273</v>
      </c>
      <c r="O1449" s="659">
        <v>1</v>
      </c>
      <c r="P1449" s="71">
        <v>1.2</v>
      </c>
      <c r="Q1449" s="20">
        <v>0</v>
      </c>
      <c r="S1449">
        <v>1</v>
      </c>
      <c r="T1449">
        <v>1</v>
      </c>
      <c r="U1449">
        <v>1</v>
      </c>
      <c r="V1449" s="20">
        <v>1</v>
      </c>
      <c r="W1449">
        <v>0</v>
      </c>
      <c r="X1449" s="7">
        <v>3</v>
      </c>
      <c r="Y1449">
        <v>-0.1</v>
      </c>
      <c r="Z1449" s="20">
        <v>0</v>
      </c>
      <c r="AF1449">
        <f t="shared" si="170"/>
        <v>0</v>
      </c>
      <c r="AP1449" s="8">
        <v>601</v>
      </c>
      <c r="AQ1449" t="s">
        <v>136</v>
      </c>
      <c r="AV1449">
        <v>1</v>
      </c>
    </row>
    <row r="1450" spans="1:43">
      <c r="A1450">
        <v>10039</v>
      </c>
      <c r="B1450" s="71" t="s">
        <v>5272</v>
      </c>
      <c r="C1450" t="s">
        <v>5225</v>
      </c>
      <c r="D1450">
        <v>1</v>
      </c>
      <c r="E1450">
        <v>0</v>
      </c>
      <c r="G1450">
        <v>1</v>
      </c>
      <c r="H1450" s="82">
        <v>104202</v>
      </c>
      <c r="I1450">
        <v>2.33333333333333</v>
      </c>
      <c r="J1450">
        <v>2.33333333333333</v>
      </c>
      <c r="L1450">
        <f t="shared" si="171"/>
        <v>0</v>
      </c>
      <c r="M1450">
        <v>1.93333333333333</v>
      </c>
      <c r="N1450" t="s">
        <v>5274</v>
      </c>
      <c r="O1450" s="659">
        <v>1</v>
      </c>
      <c r="P1450">
        <v>1.2</v>
      </c>
      <c r="Q1450" s="20">
        <v>0</v>
      </c>
      <c r="R1450">
        <v>1</v>
      </c>
      <c r="S1450">
        <v>2</v>
      </c>
      <c r="T1450">
        <v>1</v>
      </c>
      <c r="U1450">
        <v>1</v>
      </c>
      <c r="V1450" s="20">
        <v>1</v>
      </c>
      <c r="W1450">
        <v>0</v>
      </c>
      <c r="X1450" s="7">
        <v>1</v>
      </c>
      <c r="Y1450">
        <v>-0.1</v>
      </c>
      <c r="Z1450" s="20">
        <v>0</v>
      </c>
      <c r="AF1450">
        <f t="shared" si="170"/>
        <v>0</v>
      </c>
      <c r="AP1450" s="8">
        <v>602</v>
      </c>
      <c r="AQ1450" t="s">
        <v>136</v>
      </c>
    </row>
    <row r="1451" spans="1:43">
      <c r="A1451">
        <v>10040</v>
      </c>
      <c r="B1451" s="71" t="s">
        <v>5275</v>
      </c>
      <c r="D1451">
        <v>1</v>
      </c>
      <c r="E1451">
        <v>0</v>
      </c>
      <c r="G1451">
        <v>1</v>
      </c>
      <c r="H1451" s="82">
        <v>103901</v>
      </c>
      <c r="I1451">
        <v>1.8</v>
      </c>
      <c r="J1451">
        <v>1.8</v>
      </c>
      <c r="L1451">
        <f t="shared" si="171"/>
        <v>0</v>
      </c>
      <c r="M1451">
        <f t="shared" ref="M1451:M1470" si="172">I1451-0.4</f>
        <v>1.4</v>
      </c>
      <c r="N1451" t="s">
        <v>5276</v>
      </c>
      <c r="O1451" s="659">
        <v>1</v>
      </c>
      <c r="P1451">
        <v>1</v>
      </c>
      <c r="Q1451" s="20">
        <v>0</v>
      </c>
      <c r="S1451">
        <v>0</v>
      </c>
      <c r="V1451" s="20">
        <v>1</v>
      </c>
      <c r="W1451">
        <v>0</v>
      </c>
      <c r="X1451" s="7">
        <v>3</v>
      </c>
      <c r="Y1451">
        <v>-0.1</v>
      </c>
      <c r="Z1451" s="20">
        <v>0</v>
      </c>
      <c r="AF1451">
        <f t="shared" si="170"/>
        <v>0</v>
      </c>
      <c r="AP1451" s="8">
        <v>649</v>
      </c>
      <c r="AQ1451" t="s">
        <v>136</v>
      </c>
    </row>
    <row r="1452" spans="1:43">
      <c r="A1452">
        <v>10041</v>
      </c>
      <c r="B1452" s="71" t="s">
        <v>5277</v>
      </c>
      <c r="D1452">
        <v>1</v>
      </c>
      <c r="E1452">
        <v>0</v>
      </c>
      <c r="G1452">
        <v>1</v>
      </c>
      <c r="H1452" s="82">
        <v>103701</v>
      </c>
      <c r="I1452">
        <v>2.13333333333333</v>
      </c>
      <c r="J1452">
        <v>2.13333333333333</v>
      </c>
      <c r="L1452">
        <f t="shared" si="171"/>
        <v>0</v>
      </c>
      <c r="M1452">
        <f t="shared" si="172"/>
        <v>1.73333333333333</v>
      </c>
      <c r="N1452" t="s">
        <v>5278</v>
      </c>
      <c r="O1452" s="659">
        <v>1</v>
      </c>
      <c r="P1452">
        <v>2</v>
      </c>
      <c r="Q1452" s="20">
        <v>0</v>
      </c>
      <c r="S1452">
        <v>0</v>
      </c>
      <c r="V1452" s="20">
        <v>1</v>
      </c>
      <c r="W1452">
        <v>0</v>
      </c>
      <c r="X1452" s="7">
        <v>3</v>
      </c>
      <c r="Y1452">
        <v>-0.1</v>
      </c>
      <c r="Z1452" s="20">
        <v>0</v>
      </c>
      <c r="AF1452">
        <f t="shared" si="170"/>
        <v>0</v>
      </c>
      <c r="AP1452" s="8">
        <v>647</v>
      </c>
      <c r="AQ1452" t="s">
        <v>136</v>
      </c>
    </row>
    <row r="1453" spans="1:43">
      <c r="A1453">
        <v>10042</v>
      </c>
      <c r="B1453" s="71" t="s">
        <v>5277</v>
      </c>
      <c r="D1453">
        <v>1</v>
      </c>
      <c r="E1453">
        <v>0</v>
      </c>
      <c r="G1453">
        <v>1</v>
      </c>
      <c r="H1453" s="82">
        <v>103702</v>
      </c>
      <c r="I1453">
        <v>1.86666666666667</v>
      </c>
      <c r="J1453">
        <v>1.86666666666667</v>
      </c>
      <c r="L1453">
        <f t="shared" si="171"/>
        <v>0</v>
      </c>
      <c r="M1453">
        <f t="shared" si="172"/>
        <v>1.46666666666667</v>
      </c>
      <c r="N1453" t="s">
        <v>5279</v>
      </c>
      <c r="O1453" s="659">
        <v>1</v>
      </c>
      <c r="P1453">
        <v>2</v>
      </c>
      <c r="Q1453" s="20">
        <v>0</v>
      </c>
      <c r="R1453">
        <v>1</v>
      </c>
      <c r="S1453">
        <v>1</v>
      </c>
      <c r="V1453" s="20">
        <v>1</v>
      </c>
      <c r="W1453">
        <v>0</v>
      </c>
      <c r="X1453" s="7">
        <v>1</v>
      </c>
      <c r="Y1453">
        <v>-0.1</v>
      </c>
      <c r="Z1453" s="20">
        <v>0</v>
      </c>
      <c r="AF1453">
        <f t="shared" si="170"/>
        <v>0</v>
      </c>
      <c r="AP1453" s="8">
        <v>648</v>
      </c>
      <c r="AQ1453" t="s">
        <v>136</v>
      </c>
    </row>
    <row r="1454" spans="1:43">
      <c r="A1454">
        <v>10043</v>
      </c>
      <c r="B1454" s="71" t="s">
        <v>5280</v>
      </c>
      <c r="D1454">
        <v>1</v>
      </c>
      <c r="E1454">
        <v>0</v>
      </c>
      <c r="G1454">
        <v>1</v>
      </c>
      <c r="H1454" s="82">
        <v>104901</v>
      </c>
      <c r="I1454">
        <v>2.03333333333333</v>
      </c>
      <c r="J1454">
        <v>2.03333333333333</v>
      </c>
      <c r="L1454">
        <f t="shared" si="171"/>
        <v>0</v>
      </c>
      <c r="M1454">
        <f t="shared" si="172"/>
        <v>1.63333333333333</v>
      </c>
      <c r="N1454" t="s">
        <v>5281</v>
      </c>
      <c r="O1454" s="659">
        <v>1</v>
      </c>
      <c r="P1454">
        <v>1</v>
      </c>
      <c r="Q1454" s="20">
        <v>0</v>
      </c>
      <c r="S1454">
        <v>0</v>
      </c>
      <c r="V1454" s="20">
        <v>1</v>
      </c>
      <c r="W1454">
        <v>0</v>
      </c>
      <c r="X1454" s="7">
        <v>3</v>
      </c>
      <c r="Y1454">
        <v>-0.1</v>
      </c>
      <c r="Z1454" s="20">
        <v>0</v>
      </c>
      <c r="AF1454">
        <f t="shared" si="170"/>
        <v>0</v>
      </c>
      <c r="AP1454" s="8">
        <v>652</v>
      </c>
      <c r="AQ1454" t="s">
        <v>136</v>
      </c>
    </row>
    <row r="1455" spans="1:43">
      <c r="A1455">
        <v>10044</v>
      </c>
      <c r="B1455" t="s">
        <v>5282</v>
      </c>
      <c r="D1455">
        <v>1</v>
      </c>
      <c r="E1455">
        <v>0</v>
      </c>
      <c r="G1455">
        <v>2</v>
      </c>
      <c r="H1455" s="82">
        <v>104601</v>
      </c>
      <c r="I1455">
        <v>2.46666666666667</v>
      </c>
      <c r="J1455">
        <v>2.46666666666667</v>
      </c>
      <c r="L1455">
        <f t="shared" si="171"/>
        <v>0</v>
      </c>
      <c r="M1455">
        <f t="shared" si="172"/>
        <v>2.06666666666667</v>
      </c>
      <c r="N1455" t="s">
        <v>5283</v>
      </c>
      <c r="O1455" s="659">
        <v>3</v>
      </c>
      <c r="P1455">
        <v>0</v>
      </c>
      <c r="Q1455" s="20">
        <v>0</v>
      </c>
      <c r="S1455">
        <v>0</v>
      </c>
      <c r="V1455" s="20">
        <v>8</v>
      </c>
      <c r="W1455">
        <v>0</v>
      </c>
      <c r="X1455" s="7">
        <v>2</v>
      </c>
      <c r="Y1455">
        <v>-0.1</v>
      </c>
      <c r="Z1455" s="20">
        <v>0</v>
      </c>
      <c r="AF1455">
        <f t="shared" si="170"/>
        <v>0</v>
      </c>
      <c r="AP1455" s="8">
        <v>645</v>
      </c>
      <c r="AQ1455" t="s">
        <v>157</v>
      </c>
    </row>
    <row r="1456" spans="1:43">
      <c r="A1456">
        <v>10045</v>
      </c>
      <c r="B1456" t="s">
        <v>5284</v>
      </c>
      <c r="D1456">
        <v>1</v>
      </c>
      <c r="E1456">
        <v>0</v>
      </c>
      <c r="G1456">
        <v>1</v>
      </c>
      <c r="H1456" s="82">
        <v>104701</v>
      </c>
      <c r="I1456">
        <v>1.6</v>
      </c>
      <c r="J1456">
        <v>1.6</v>
      </c>
      <c r="L1456">
        <f t="shared" si="171"/>
        <v>0</v>
      </c>
      <c r="M1456">
        <f t="shared" si="172"/>
        <v>1.2</v>
      </c>
      <c r="N1456" t="s">
        <v>5285</v>
      </c>
      <c r="O1456" s="659">
        <v>1</v>
      </c>
      <c r="P1456">
        <v>1</v>
      </c>
      <c r="Q1456" s="20">
        <v>0</v>
      </c>
      <c r="S1456">
        <v>0</v>
      </c>
      <c r="V1456" s="20">
        <v>1</v>
      </c>
      <c r="W1456">
        <v>0</v>
      </c>
      <c r="X1456" s="7">
        <v>2</v>
      </c>
      <c r="Y1456">
        <v>-0.1</v>
      </c>
      <c r="Z1456" s="20">
        <v>0</v>
      </c>
      <c r="AF1456">
        <f t="shared" si="170"/>
        <v>0</v>
      </c>
      <c r="AP1456" s="8">
        <v>650</v>
      </c>
      <c r="AQ1456" t="s">
        <v>157</v>
      </c>
    </row>
    <row r="1457" spans="1:42">
      <c r="A1457">
        <v>10046</v>
      </c>
      <c r="B1457" t="s">
        <v>5284</v>
      </c>
      <c r="D1457">
        <v>1</v>
      </c>
      <c r="E1457">
        <v>0</v>
      </c>
      <c r="G1457">
        <v>1</v>
      </c>
      <c r="H1457" s="82">
        <v>104702</v>
      </c>
      <c r="I1457">
        <v>4.03333333333333</v>
      </c>
      <c r="J1457">
        <v>4.03333333333333</v>
      </c>
      <c r="L1457">
        <f t="shared" si="171"/>
        <v>0</v>
      </c>
      <c r="M1457">
        <f t="shared" si="172"/>
        <v>3.63333333333333</v>
      </c>
      <c r="N1457" t="s">
        <v>5286</v>
      </c>
      <c r="O1457" s="659">
        <v>1</v>
      </c>
      <c r="P1457">
        <v>1</v>
      </c>
      <c r="Q1457" s="20">
        <v>0</v>
      </c>
      <c r="S1457">
        <v>0</v>
      </c>
      <c r="V1457" s="20">
        <v>1</v>
      </c>
      <c r="W1457">
        <v>0</v>
      </c>
      <c r="X1457" s="7">
        <v>2</v>
      </c>
      <c r="Y1457">
        <v>-0.1</v>
      </c>
      <c r="Z1457" s="20">
        <v>0</v>
      </c>
      <c r="AF1457">
        <f t="shared" si="170"/>
        <v>0</v>
      </c>
      <c r="AP1457" s="8"/>
    </row>
    <row r="1458" spans="1:42">
      <c r="A1458">
        <v>10047</v>
      </c>
      <c r="B1458" t="s">
        <v>5284</v>
      </c>
      <c r="D1458">
        <v>1</v>
      </c>
      <c r="E1458">
        <v>0</v>
      </c>
      <c r="G1458">
        <v>1</v>
      </c>
      <c r="H1458" s="82">
        <v>104703</v>
      </c>
      <c r="I1458">
        <v>6.33333333333333</v>
      </c>
      <c r="J1458">
        <v>6.33333333333333</v>
      </c>
      <c r="L1458">
        <v>1</v>
      </c>
      <c r="M1458">
        <f t="shared" si="172"/>
        <v>5.93333333333333</v>
      </c>
      <c r="N1458" t="s">
        <v>5287</v>
      </c>
      <c r="O1458" s="659">
        <v>1</v>
      </c>
      <c r="P1458">
        <v>13</v>
      </c>
      <c r="Q1458" s="20">
        <v>0</v>
      </c>
      <c r="R1458">
        <v>1</v>
      </c>
      <c r="S1458">
        <v>0</v>
      </c>
      <c r="V1458" s="20">
        <v>1</v>
      </c>
      <c r="W1458">
        <v>0</v>
      </c>
      <c r="X1458" s="7">
        <v>2</v>
      </c>
      <c r="Y1458">
        <v>-0.1</v>
      </c>
      <c r="Z1458" s="20">
        <v>0</v>
      </c>
      <c r="AD1458">
        <v>1</v>
      </c>
      <c r="AE1458" t="s">
        <v>5288</v>
      </c>
      <c r="AF1458">
        <f t="shared" si="170"/>
        <v>0.5</v>
      </c>
      <c r="AP1458" s="8"/>
    </row>
    <row r="1459" spans="1:43">
      <c r="A1459">
        <v>10048</v>
      </c>
      <c r="B1459" t="s">
        <v>5289</v>
      </c>
      <c r="D1459">
        <v>1</v>
      </c>
      <c r="E1459">
        <v>0</v>
      </c>
      <c r="G1459">
        <v>1</v>
      </c>
      <c r="H1459" s="82">
        <v>105001</v>
      </c>
      <c r="I1459">
        <v>2.06666666666667</v>
      </c>
      <c r="J1459">
        <v>2.06666666666667</v>
      </c>
      <c r="L1459">
        <f t="shared" si="171"/>
        <v>0</v>
      </c>
      <c r="M1459">
        <f t="shared" si="172"/>
        <v>1.66666666666667</v>
      </c>
      <c r="N1459" t="s">
        <v>5290</v>
      </c>
      <c r="O1459" s="659">
        <v>0</v>
      </c>
      <c r="P1459">
        <v>5</v>
      </c>
      <c r="Q1459" s="20">
        <v>1</v>
      </c>
      <c r="S1459">
        <v>0</v>
      </c>
      <c r="V1459" s="20">
        <v>1</v>
      </c>
      <c r="W1459">
        <v>0</v>
      </c>
      <c r="X1459" s="7">
        <v>1</v>
      </c>
      <c r="Y1459">
        <v>-0.1</v>
      </c>
      <c r="Z1459" s="20">
        <v>0</v>
      </c>
      <c r="AF1459">
        <f t="shared" si="170"/>
        <v>0</v>
      </c>
      <c r="AP1459" s="8">
        <v>653</v>
      </c>
      <c r="AQ1459" t="s">
        <v>157</v>
      </c>
    </row>
    <row r="1460" spans="1:43">
      <c r="A1460">
        <v>10049</v>
      </c>
      <c r="B1460" t="s">
        <v>5291</v>
      </c>
      <c r="D1460">
        <v>1</v>
      </c>
      <c r="E1460">
        <v>0</v>
      </c>
      <c r="G1460">
        <v>1</v>
      </c>
      <c r="H1460" s="82">
        <v>105101</v>
      </c>
      <c r="I1460">
        <v>3</v>
      </c>
      <c r="J1460">
        <v>3</v>
      </c>
      <c r="L1460">
        <f t="shared" si="171"/>
        <v>0</v>
      </c>
      <c r="M1460">
        <f t="shared" si="172"/>
        <v>2.6</v>
      </c>
      <c r="N1460" t="s">
        <v>5292</v>
      </c>
      <c r="O1460" s="659">
        <v>1</v>
      </c>
      <c r="P1460">
        <v>1.3</v>
      </c>
      <c r="Q1460" s="20">
        <v>0</v>
      </c>
      <c r="S1460">
        <v>0</v>
      </c>
      <c r="V1460" s="20">
        <v>1</v>
      </c>
      <c r="W1460">
        <v>0</v>
      </c>
      <c r="X1460" s="7">
        <v>2</v>
      </c>
      <c r="Y1460">
        <v>-0.1</v>
      </c>
      <c r="Z1460" s="20">
        <v>0</v>
      </c>
      <c r="AF1460">
        <f t="shared" si="170"/>
        <v>0</v>
      </c>
      <c r="AP1460" s="8">
        <v>654</v>
      </c>
      <c r="AQ1460" t="s">
        <v>157</v>
      </c>
    </row>
    <row r="1461" spans="1:43">
      <c r="A1461">
        <v>10050</v>
      </c>
      <c r="B1461" t="s">
        <v>5293</v>
      </c>
      <c r="D1461">
        <v>1</v>
      </c>
      <c r="E1461">
        <v>0</v>
      </c>
      <c r="G1461">
        <v>2</v>
      </c>
      <c r="H1461" s="82">
        <v>105201</v>
      </c>
      <c r="I1461">
        <v>2.16666666666667</v>
      </c>
      <c r="J1461">
        <v>2.16666666666667</v>
      </c>
      <c r="L1461">
        <f t="shared" si="171"/>
        <v>0</v>
      </c>
      <c r="M1461">
        <f t="shared" si="172"/>
        <v>1.76666666666667</v>
      </c>
      <c r="N1461" t="s">
        <v>5294</v>
      </c>
      <c r="O1461" s="659">
        <v>0</v>
      </c>
      <c r="P1461">
        <v>0</v>
      </c>
      <c r="Q1461" s="20">
        <v>1</v>
      </c>
      <c r="S1461">
        <v>0</v>
      </c>
      <c r="V1461" s="20">
        <v>8</v>
      </c>
      <c r="W1461">
        <v>0</v>
      </c>
      <c r="X1461" s="7">
        <v>1</v>
      </c>
      <c r="Y1461">
        <v>-0.1</v>
      </c>
      <c r="Z1461" s="20">
        <v>0</v>
      </c>
      <c r="AF1461">
        <f t="shared" si="170"/>
        <v>0</v>
      </c>
      <c r="AP1461" s="8">
        <v>655</v>
      </c>
      <c r="AQ1461" t="s">
        <v>157</v>
      </c>
    </row>
    <row r="1462" spans="1:43">
      <c r="A1462">
        <v>10051</v>
      </c>
      <c r="B1462" t="s">
        <v>5295</v>
      </c>
      <c r="D1462">
        <v>1</v>
      </c>
      <c r="E1462">
        <v>0</v>
      </c>
      <c r="G1462">
        <v>1</v>
      </c>
      <c r="H1462" s="82">
        <v>105301</v>
      </c>
      <c r="I1462">
        <v>2.53333333333333</v>
      </c>
      <c r="J1462">
        <v>2.53333333333333</v>
      </c>
      <c r="L1462">
        <f t="shared" si="171"/>
        <v>0</v>
      </c>
      <c r="M1462">
        <f t="shared" si="172"/>
        <v>2.13333333333333</v>
      </c>
      <c r="N1462" t="s">
        <v>5296</v>
      </c>
      <c r="O1462" s="659">
        <v>1</v>
      </c>
      <c r="P1462">
        <v>1.3</v>
      </c>
      <c r="Q1462" s="20">
        <v>0</v>
      </c>
      <c r="S1462">
        <v>0</v>
      </c>
      <c r="V1462" s="20">
        <v>1</v>
      </c>
      <c r="W1462">
        <v>0</v>
      </c>
      <c r="X1462" s="7">
        <v>3</v>
      </c>
      <c r="Y1462">
        <v>-0.1</v>
      </c>
      <c r="Z1462" s="20">
        <v>0</v>
      </c>
      <c r="AF1462">
        <f t="shared" si="170"/>
        <v>0</v>
      </c>
      <c r="AP1462" s="8">
        <v>674</v>
      </c>
      <c r="AQ1462" t="s">
        <v>157</v>
      </c>
    </row>
    <row r="1463" spans="1:43">
      <c r="A1463">
        <v>10052</v>
      </c>
      <c r="B1463" t="s">
        <v>5297</v>
      </c>
      <c r="D1463">
        <v>1</v>
      </c>
      <c r="E1463">
        <v>0</v>
      </c>
      <c r="G1463">
        <v>2</v>
      </c>
      <c r="H1463" s="82">
        <v>105401</v>
      </c>
      <c r="I1463">
        <v>2.83333333333333</v>
      </c>
      <c r="J1463">
        <v>2.83333333333333</v>
      </c>
      <c r="L1463">
        <f t="shared" si="171"/>
        <v>0</v>
      </c>
      <c r="M1463">
        <f t="shared" si="172"/>
        <v>2.43333333333333</v>
      </c>
      <c r="N1463" t="s">
        <v>5298</v>
      </c>
      <c r="O1463" s="659">
        <v>0</v>
      </c>
      <c r="P1463">
        <v>0</v>
      </c>
      <c r="Q1463" s="20">
        <v>1</v>
      </c>
      <c r="S1463">
        <v>0</v>
      </c>
      <c r="V1463" s="20">
        <v>1</v>
      </c>
      <c r="W1463">
        <v>0</v>
      </c>
      <c r="X1463" s="7">
        <v>2</v>
      </c>
      <c r="Y1463">
        <v>-0.1</v>
      </c>
      <c r="Z1463" s="20">
        <v>0</v>
      </c>
      <c r="AF1463">
        <f t="shared" si="170"/>
        <v>0</v>
      </c>
      <c r="AP1463" s="8">
        <v>836</v>
      </c>
      <c r="AQ1463" t="s">
        <v>157</v>
      </c>
    </row>
    <row r="1464" spans="1:43">
      <c r="A1464">
        <v>10053</v>
      </c>
      <c r="B1464" t="s">
        <v>5299</v>
      </c>
      <c r="D1464">
        <v>1</v>
      </c>
      <c r="E1464">
        <v>0</v>
      </c>
      <c r="G1464">
        <v>1</v>
      </c>
      <c r="H1464" s="82">
        <v>105501</v>
      </c>
      <c r="I1464">
        <v>2.3</v>
      </c>
      <c r="J1464">
        <v>2.3</v>
      </c>
      <c r="L1464">
        <f t="shared" si="171"/>
        <v>0</v>
      </c>
      <c r="M1464">
        <f t="shared" si="172"/>
        <v>1.9</v>
      </c>
      <c r="N1464" t="s">
        <v>5300</v>
      </c>
      <c r="O1464" s="659">
        <v>1</v>
      </c>
      <c r="P1464">
        <v>1.4</v>
      </c>
      <c r="Q1464" s="20">
        <v>0</v>
      </c>
      <c r="S1464">
        <v>0</v>
      </c>
      <c r="V1464" s="20">
        <v>1</v>
      </c>
      <c r="W1464">
        <v>0</v>
      </c>
      <c r="X1464" s="7">
        <v>2</v>
      </c>
      <c r="Y1464">
        <v>-0.1</v>
      </c>
      <c r="Z1464" s="20">
        <v>0</v>
      </c>
      <c r="AF1464">
        <f t="shared" si="170"/>
        <v>0</v>
      </c>
      <c r="AP1464" s="8">
        <v>839</v>
      </c>
      <c r="AQ1464" t="s">
        <v>157</v>
      </c>
    </row>
    <row r="1465" spans="1:43">
      <c r="A1465">
        <v>10054</v>
      </c>
      <c r="B1465" t="s">
        <v>5301</v>
      </c>
      <c r="D1465">
        <v>1</v>
      </c>
      <c r="E1465">
        <v>0</v>
      </c>
      <c r="G1465">
        <v>1</v>
      </c>
      <c r="H1465" s="82">
        <v>104801</v>
      </c>
      <c r="I1465">
        <f>70/30</f>
        <v>2.33333333333333</v>
      </c>
      <c r="J1465">
        <f>70/30</f>
        <v>2.33333333333333</v>
      </c>
      <c r="L1465">
        <f t="shared" si="171"/>
        <v>0</v>
      </c>
      <c r="M1465">
        <f t="shared" si="172"/>
        <v>1.93333333333333</v>
      </c>
      <c r="N1465" t="s">
        <v>5302</v>
      </c>
      <c r="O1465" s="659">
        <v>1</v>
      </c>
      <c r="P1465">
        <v>1.3</v>
      </c>
      <c r="Q1465" s="20">
        <v>0</v>
      </c>
      <c r="S1465">
        <v>0</v>
      </c>
      <c r="V1465" s="20">
        <v>1</v>
      </c>
      <c r="W1465">
        <v>0</v>
      </c>
      <c r="X1465" s="7">
        <v>3</v>
      </c>
      <c r="Y1465">
        <v>-0.1</v>
      </c>
      <c r="Z1465" s="20">
        <v>0</v>
      </c>
      <c r="AF1465">
        <f t="shared" si="170"/>
        <v>0</v>
      </c>
      <c r="AP1465" s="8">
        <v>646</v>
      </c>
      <c r="AQ1465" t="s">
        <v>157</v>
      </c>
    </row>
    <row r="1466" spans="1:43">
      <c r="A1466">
        <v>10055</v>
      </c>
      <c r="B1466" t="s">
        <v>5303</v>
      </c>
      <c r="D1466">
        <v>1</v>
      </c>
      <c r="E1466">
        <v>0</v>
      </c>
      <c r="G1466">
        <v>1</v>
      </c>
      <c r="H1466" s="82">
        <v>103501</v>
      </c>
      <c r="I1466">
        <v>1.8</v>
      </c>
      <c r="J1466">
        <v>1.8</v>
      </c>
      <c r="L1466">
        <f t="shared" si="171"/>
        <v>0</v>
      </c>
      <c r="M1466">
        <f t="shared" si="172"/>
        <v>1.4</v>
      </c>
      <c r="N1466" t="s">
        <v>5304</v>
      </c>
      <c r="O1466" s="659">
        <v>1</v>
      </c>
      <c r="P1466">
        <v>1.5</v>
      </c>
      <c r="Q1466" s="20">
        <v>0</v>
      </c>
      <c r="S1466">
        <v>0</v>
      </c>
      <c r="V1466" s="20">
        <v>1</v>
      </c>
      <c r="W1466">
        <v>0</v>
      </c>
      <c r="X1466" s="7">
        <v>2</v>
      </c>
      <c r="Y1466">
        <v>-0.1</v>
      </c>
      <c r="Z1466" s="20">
        <v>0</v>
      </c>
      <c r="AF1466">
        <f t="shared" si="170"/>
        <v>0</v>
      </c>
      <c r="AP1466" s="8">
        <v>673</v>
      </c>
      <c r="AQ1466" t="s">
        <v>157</v>
      </c>
    </row>
    <row r="1467" spans="1:42">
      <c r="A1467">
        <v>10056</v>
      </c>
      <c r="B1467" t="s">
        <v>5305</v>
      </c>
      <c r="D1467">
        <v>1</v>
      </c>
      <c r="E1467">
        <v>0</v>
      </c>
      <c r="G1467">
        <v>2</v>
      </c>
      <c r="H1467" s="82">
        <v>103601</v>
      </c>
      <c r="I1467">
        <v>2.16666666666667</v>
      </c>
      <c r="J1467">
        <v>2.16666666666667</v>
      </c>
      <c r="L1467">
        <f t="shared" si="171"/>
        <v>0</v>
      </c>
      <c r="M1467">
        <f t="shared" si="172"/>
        <v>1.76666666666667</v>
      </c>
      <c r="N1467" t="s">
        <v>5306</v>
      </c>
      <c r="O1467" s="659">
        <v>3</v>
      </c>
      <c r="P1467">
        <v>0</v>
      </c>
      <c r="Q1467" s="20">
        <v>0</v>
      </c>
      <c r="S1467">
        <v>0</v>
      </c>
      <c r="V1467" s="20">
        <v>8</v>
      </c>
      <c r="W1467">
        <v>0</v>
      </c>
      <c r="X1467" s="7">
        <v>2</v>
      </c>
      <c r="Y1467">
        <v>-0.1</v>
      </c>
      <c r="Z1467" s="20">
        <v>0</v>
      </c>
      <c r="AF1467">
        <f t="shared" si="170"/>
        <v>0</v>
      </c>
      <c r="AP1467" s="8"/>
    </row>
    <row r="1468" spans="1:43">
      <c r="A1468">
        <v>10057</v>
      </c>
      <c r="B1468" t="s">
        <v>5307</v>
      </c>
      <c r="D1468">
        <v>1</v>
      </c>
      <c r="E1468">
        <v>0</v>
      </c>
      <c r="G1468">
        <v>1</v>
      </c>
      <c r="H1468" s="82">
        <v>105601</v>
      </c>
      <c r="I1468">
        <v>1.73333333333333</v>
      </c>
      <c r="J1468">
        <v>1.73333333333333</v>
      </c>
      <c r="L1468">
        <f t="shared" si="171"/>
        <v>0</v>
      </c>
      <c r="M1468">
        <f t="shared" si="172"/>
        <v>1.33333333333333</v>
      </c>
      <c r="N1468" t="s">
        <v>5308</v>
      </c>
      <c r="O1468" s="659">
        <v>1</v>
      </c>
      <c r="P1468">
        <v>1.5</v>
      </c>
      <c r="Q1468" s="20">
        <v>0</v>
      </c>
      <c r="S1468">
        <v>0</v>
      </c>
      <c r="V1468" s="20">
        <v>1</v>
      </c>
      <c r="W1468">
        <v>0</v>
      </c>
      <c r="X1468" s="7">
        <v>1</v>
      </c>
      <c r="Y1468">
        <v>-0.1</v>
      </c>
      <c r="Z1468" s="20">
        <v>0</v>
      </c>
      <c r="AF1468">
        <f t="shared" si="170"/>
        <v>0</v>
      </c>
      <c r="AP1468" s="10">
        <v>675</v>
      </c>
      <c r="AQ1468" t="s">
        <v>157</v>
      </c>
    </row>
    <row r="1469" spans="1:43">
      <c r="A1469">
        <v>10058</v>
      </c>
      <c r="B1469" t="s">
        <v>5307</v>
      </c>
      <c r="C1469" t="s">
        <v>5225</v>
      </c>
      <c r="D1469">
        <v>1</v>
      </c>
      <c r="E1469">
        <v>0</v>
      </c>
      <c r="G1469">
        <v>1</v>
      </c>
      <c r="H1469" s="82">
        <v>105602</v>
      </c>
      <c r="I1469">
        <v>2.33333333333333</v>
      </c>
      <c r="J1469">
        <v>2.33333333333333</v>
      </c>
      <c r="L1469">
        <f t="shared" si="171"/>
        <v>0</v>
      </c>
      <c r="M1469">
        <f t="shared" si="172"/>
        <v>1.93333333333333</v>
      </c>
      <c r="N1469" t="s">
        <v>5309</v>
      </c>
      <c r="O1469" s="659">
        <v>1</v>
      </c>
      <c r="P1469">
        <v>1.5</v>
      </c>
      <c r="Q1469" s="20">
        <v>0</v>
      </c>
      <c r="S1469">
        <v>0</v>
      </c>
      <c r="V1469" s="20">
        <v>1</v>
      </c>
      <c r="W1469">
        <v>0</v>
      </c>
      <c r="X1469" s="7">
        <v>3</v>
      </c>
      <c r="Y1469">
        <v>-0.1</v>
      </c>
      <c r="Z1469" s="20">
        <v>0</v>
      </c>
      <c r="AF1469">
        <f t="shared" si="170"/>
        <v>0</v>
      </c>
      <c r="AP1469" s="10">
        <v>676</v>
      </c>
      <c r="AQ1469" t="s">
        <v>157</v>
      </c>
    </row>
    <row r="1470" spans="1:43">
      <c r="A1470">
        <v>10059</v>
      </c>
      <c r="B1470" t="s">
        <v>5310</v>
      </c>
      <c r="D1470">
        <v>1</v>
      </c>
      <c r="E1470">
        <v>0</v>
      </c>
      <c r="G1470">
        <v>1</v>
      </c>
      <c r="H1470" s="82">
        <v>105701</v>
      </c>
      <c r="I1470">
        <v>1.76666666666667</v>
      </c>
      <c r="J1470">
        <v>1.76666666666667</v>
      </c>
      <c r="L1470">
        <f t="shared" si="171"/>
        <v>0</v>
      </c>
      <c r="M1470">
        <f t="shared" si="172"/>
        <v>1.36666666666667</v>
      </c>
      <c r="N1470" t="s">
        <v>5311</v>
      </c>
      <c r="O1470" s="659">
        <v>1</v>
      </c>
      <c r="P1470">
        <v>1.2</v>
      </c>
      <c r="Q1470" s="20">
        <v>0</v>
      </c>
      <c r="S1470">
        <v>0</v>
      </c>
      <c r="V1470" s="20">
        <v>1</v>
      </c>
      <c r="W1470">
        <v>0</v>
      </c>
      <c r="X1470" s="7">
        <v>2</v>
      </c>
      <c r="Y1470">
        <v>-0.1</v>
      </c>
      <c r="Z1470" s="20">
        <v>0</v>
      </c>
      <c r="AF1470">
        <f t="shared" si="170"/>
        <v>0</v>
      </c>
      <c r="AP1470" s="10">
        <v>677</v>
      </c>
      <c r="AQ1470" t="s">
        <v>157</v>
      </c>
    </row>
    <row r="1471" spans="1:48">
      <c r="A1471">
        <v>10060</v>
      </c>
      <c r="B1471" t="s">
        <v>5312</v>
      </c>
      <c r="C1471" t="s">
        <v>526</v>
      </c>
      <c r="D1471">
        <v>1</v>
      </c>
      <c r="E1471">
        <v>0</v>
      </c>
      <c r="G1471">
        <v>1</v>
      </c>
      <c r="H1471" s="82">
        <v>103401</v>
      </c>
      <c r="I1471">
        <v>2.16666666666667</v>
      </c>
      <c r="J1471">
        <v>2.16666666666667</v>
      </c>
      <c r="L1471">
        <f t="shared" si="171"/>
        <v>0</v>
      </c>
      <c r="M1471">
        <f>J1471-0.5</f>
        <v>1.66666666666667</v>
      </c>
      <c r="O1471">
        <v>1</v>
      </c>
      <c r="P1471">
        <v>1.5</v>
      </c>
      <c r="Q1471" s="20">
        <v>0</v>
      </c>
      <c r="S1471">
        <v>0</v>
      </c>
      <c r="V1471">
        <v>1</v>
      </c>
      <c r="W1471">
        <v>0</v>
      </c>
      <c r="X1471" s="7">
        <v>1</v>
      </c>
      <c r="Y1471">
        <v>-0.1</v>
      </c>
      <c r="Z1471">
        <v>0</v>
      </c>
      <c r="AF1471">
        <f t="shared" si="170"/>
        <v>0</v>
      </c>
      <c r="AP1471" s="8">
        <v>688</v>
      </c>
      <c r="AQ1471" t="s">
        <v>136</v>
      </c>
      <c r="AV1471">
        <v>1</v>
      </c>
    </row>
    <row r="1472" spans="1:43">
      <c r="A1472">
        <v>10061</v>
      </c>
      <c r="B1472" t="s">
        <v>5312</v>
      </c>
      <c r="C1472" t="s">
        <v>5225</v>
      </c>
      <c r="D1472">
        <v>1</v>
      </c>
      <c r="E1472">
        <v>0</v>
      </c>
      <c r="G1472">
        <v>1</v>
      </c>
      <c r="H1472" s="82">
        <v>103402</v>
      </c>
      <c r="I1472">
        <v>2.16666666666667</v>
      </c>
      <c r="J1472">
        <v>2.16666666666667</v>
      </c>
      <c r="L1472">
        <f t="shared" si="171"/>
        <v>0</v>
      </c>
      <c r="M1472">
        <f>J1472-0.5</f>
        <v>1.66666666666667</v>
      </c>
      <c r="O1472">
        <v>1</v>
      </c>
      <c r="P1472">
        <v>1.5</v>
      </c>
      <c r="Q1472" s="20">
        <v>0</v>
      </c>
      <c r="R1472">
        <v>1</v>
      </c>
      <c r="S1472">
        <v>1</v>
      </c>
      <c r="V1472">
        <v>1</v>
      </c>
      <c r="W1472">
        <v>0</v>
      </c>
      <c r="X1472" s="7">
        <v>1</v>
      </c>
      <c r="Y1472">
        <v>-0.1</v>
      </c>
      <c r="Z1472">
        <v>0</v>
      </c>
      <c r="AF1472">
        <f t="shared" si="170"/>
        <v>0</v>
      </c>
      <c r="AP1472" s="8">
        <v>689</v>
      </c>
      <c r="AQ1472" t="s">
        <v>136</v>
      </c>
    </row>
    <row r="1473" spans="1:48">
      <c r="A1473">
        <v>10062</v>
      </c>
      <c r="B1473" t="s">
        <v>5313</v>
      </c>
      <c r="C1473" t="s">
        <v>526</v>
      </c>
      <c r="D1473">
        <v>1</v>
      </c>
      <c r="E1473">
        <v>0</v>
      </c>
      <c r="G1473">
        <v>1</v>
      </c>
      <c r="H1473" s="5" t="s">
        <v>5314</v>
      </c>
      <c r="I1473">
        <v>2.33333333333333</v>
      </c>
      <c r="J1473">
        <v>2.33333333333333</v>
      </c>
      <c r="L1473">
        <f t="shared" si="171"/>
        <v>0</v>
      </c>
      <c r="M1473">
        <f>J1473-0.5</f>
        <v>1.83333333333333</v>
      </c>
      <c r="O1473">
        <v>1</v>
      </c>
      <c r="P1473">
        <v>1.2</v>
      </c>
      <c r="Q1473" s="20">
        <v>0</v>
      </c>
      <c r="S1473">
        <v>0</v>
      </c>
      <c r="V1473">
        <v>1</v>
      </c>
      <c r="W1473">
        <v>0</v>
      </c>
      <c r="X1473" s="7">
        <v>2</v>
      </c>
      <c r="Y1473">
        <v>-0.1</v>
      </c>
      <c r="Z1473">
        <v>0</v>
      </c>
      <c r="AF1473">
        <f t="shared" si="170"/>
        <v>0</v>
      </c>
      <c r="AP1473" s="8">
        <v>690</v>
      </c>
      <c r="AQ1473" t="s">
        <v>136</v>
      </c>
      <c r="AV1473">
        <v>1</v>
      </c>
    </row>
    <row r="1474" spans="1:48">
      <c r="A1474">
        <v>10063</v>
      </c>
      <c r="B1474" t="s">
        <v>5315</v>
      </c>
      <c r="C1474" t="s">
        <v>526</v>
      </c>
      <c r="D1474">
        <v>1</v>
      </c>
      <c r="E1474">
        <v>0</v>
      </c>
      <c r="G1474">
        <v>1</v>
      </c>
      <c r="H1474" s="5" t="s">
        <v>5316</v>
      </c>
      <c r="I1474">
        <v>2.16666666666667</v>
      </c>
      <c r="J1474">
        <v>2.16666666666667</v>
      </c>
      <c r="L1474">
        <f t="shared" si="171"/>
        <v>0</v>
      </c>
      <c r="M1474">
        <f>J1474-0.5</f>
        <v>1.66666666666667</v>
      </c>
      <c r="O1474">
        <v>1</v>
      </c>
      <c r="P1474">
        <v>1.2</v>
      </c>
      <c r="Q1474" s="20">
        <v>0</v>
      </c>
      <c r="S1474">
        <v>0</v>
      </c>
      <c r="V1474">
        <v>1</v>
      </c>
      <c r="W1474">
        <v>0</v>
      </c>
      <c r="X1474" s="7">
        <v>1</v>
      </c>
      <c r="Y1474">
        <v>-0.1</v>
      </c>
      <c r="Z1474">
        <v>0</v>
      </c>
      <c r="AF1474">
        <f t="shared" si="170"/>
        <v>0</v>
      </c>
      <c r="AP1474" s="8">
        <v>691</v>
      </c>
      <c r="AQ1474" t="s">
        <v>136</v>
      </c>
      <c r="AV1474">
        <v>1</v>
      </c>
    </row>
    <row r="1475" spans="1:48">
      <c r="A1475">
        <v>10064</v>
      </c>
      <c r="B1475" t="s">
        <v>5317</v>
      </c>
      <c r="C1475" t="s">
        <v>526</v>
      </c>
      <c r="D1475">
        <v>1</v>
      </c>
      <c r="E1475">
        <v>0</v>
      </c>
      <c r="G1475">
        <v>1</v>
      </c>
      <c r="H1475" s="5" t="s">
        <v>5318</v>
      </c>
      <c r="I1475">
        <v>2.26666666666667</v>
      </c>
      <c r="J1475">
        <v>2.26666666666667</v>
      </c>
      <c r="L1475">
        <f t="shared" si="171"/>
        <v>0</v>
      </c>
      <c r="M1475">
        <f>J1475-0.5</f>
        <v>1.76666666666667</v>
      </c>
      <c r="O1475">
        <v>1</v>
      </c>
      <c r="P1475">
        <v>1.2</v>
      </c>
      <c r="Q1475" s="20">
        <v>0</v>
      </c>
      <c r="S1475">
        <v>0</v>
      </c>
      <c r="V1475">
        <v>1</v>
      </c>
      <c r="W1475">
        <v>0</v>
      </c>
      <c r="X1475" s="7">
        <v>3</v>
      </c>
      <c r="Y1475">
        <v>-0.1</v>
      </c>
      <c r="Z1475">
        <v>0</v>
      </c>
      <c r="AF1475">
        <f t="shared" si="170"/>
        <v>0</v>
      </c>
      <c r="AP1475" s="8">
        <v>692</v>
      </c>
      <c r="AQ1475" t="s">
        <v>136</v>
      </c>
      <c r="AV1475">
        <v>1</v>
      </c>
    </row>
    <row r="1476" spans="1:48">
      <c r="A1476">
        <v>10065</v>
      </c>
      <c r="B1476" t="s">
        <v>5319</v>
      </c>
      <c r="C1476" t="s">
        <v>526</v>
      </c>
      <c r="D1476">
        <v>1</v>
      </c>
      <c r="E1476">
        <v>0</v>
      </c>
      <c r="G1476">
        <v>1</v>
      </c>
      <c r="H1476" s="82" t="s">
        <v>5320</v>
      </c>
      <c r="I1476">
        <v>2</v>
      </c>
      <c r="J1476">
        <v>2</v>
      </c>
      <c r="L1476">
        <f t="shared" si="171"/>
        <v>0</v>
      </c>
      <c r="M1476">
        <v>1.5</v>
      </c>
      <c r="N1476" t="s">
        <v>5321</v>
      </c>
      <c r="O1476">
        <v>1</v>
      </c>
      <c r="P1476">
        <v>1</v>
      </c>
      <c r="Q1476" s="20">
        <v>0</v>
      </c>
      <c r="S1476">
        <v>0</v>
      </c>
      <c r="V1476">
        <v>1</v>
      </c>
      <c r="W1476">
        <v>0</v>
      </c>
      <c r="X1476" s="7">
        <v>2</v>
      </c>
      <c r="Y1476">
        <v>-0.1</v>
      </c>
      <c r="Z1476">
        <v>0</v>
      </c>
      <c r="AF1476">
        <f t="shared" si="170"/>
        <v>0</v>
      </c>
      <c r="AP1476" s="8">
        <v>697</v>
      </c>
      <c r="AQ1476" t="s">
        <v>136</v>
      </c>
      <c r="AV1476">
        <v>1</v>
      </c>
    </row>
    <row r="1477" spans="1:48">
      <c r="A1477">
        <v>10066</v>
      </c>
      <c r="B1477" t="s">
        <v>5322</v>
      </c>
      <c r="C1477" t="s">
        <v>526</v>
      </c>
      <c r="D1477">
        <v>1</v>
      </c>
      <c r="E1477">
        <v>0</v>
      </c>
      <c r="G1477">
        <v>2</v>
      </c>
      <c r="H1477" s="82" t="s">
        <v>5323</v>
      </c>
      <c r="I1477">
        <v>2</v>
      </c>
      <c r="J1477">
        <v>2</v>
      </c>
      <c r="L1477">
        <f t="shared" si="171"/>
        <v>0</v>
      </c>
      <c r="M1477">
        <v>1.5</v>
      </c>
      <c r="N1477" t="s">
        <v>5324</v>
      </c>
      <c r="O1477">
        <v>3</v>
      </c>
      <c r="P1477">
        <v>0</v>
      </c>
      <c r="Q1477" s="20">
        <v>0</v>
      </c>
      <c r="S1477">
        <v>0</v>
      </c>
      <c r="V1477">
        <v>1</v>
      </c>
      <c r="W1477">
        <v>0</v>
      </c>
      <c r="X1477" s="7">
        <v>2</v>
      </c>
      <c r="Y1477">
        <v>-0.1</v>
      </c>
      <c r="Z1477">
        <v>0</v>
      </c>
      <c r="AF1477">
        <f t="shared" si="170"/>
        <v>0</v>
      </c>
      <c r="AP1477" s="8">
        <v>698</v>
      </c>
      <c r="AQ1477" t="s">
        <v>136</v>
      </c>
      <c r="AV1477">
        <v>1</v>
      </c>
    </row>
    <row r="1478" spans="1:48">
      <c r="A1478">
        <v>10067</v>
      </c>
      <c r="B1478" t="s">
        <v>5325</v>
      </c>
      <c r="C1478" t="s">
        <v>526</v>
      </c>
      <c r="D1478">
        <v>1</v>
      </c>
      <c r="E1478">
        <v>0</v>
      </c>
      <c r="G1478">
        <v>1</v>
      </c>
      <c r="H1478" s="82" t="s">
        <v>5326</v>
      </c>
      <c r="I1478">
        <v>3.4</v>
      </c>
      <c r="J1478">
        <v>3.4</v>
      </c>
      <c r="L1478">
        <f t="shared" si="171"/>
        <v>0</v>
      </c>
      <c r="M1478">
        <v>2.9</v>
      </c>
      <c r="N1478" t="s">
        <v>5327</v>
      </c>
      <c r="O1478">
        <v>1</v>
      </c>
      <c r="P1478">
        <v>1</v>
      </c>
      <c r="Q1478" s="20">
        <v>0</v>
      </c>
      <c r="S1478">
        <v>0</v>
      </c>
      <c r="V1478">
        <v>1</v>
      </c>
      <c r="W1478">
        <v>0</v>
      </c>
      <c r="X1478" s="7">
        <v>3</v>
      </c>
      <c r="Y1478">
        <v>-0.1</v>
      </c>
      <c r="Z1478">
        <v>0</v>
      </c>
      <c r="AF1478">
        <f t="shared" si="170"/>
        <v>0</v>
      </c>
      <c r="AP1478" s="8">
        <v>699</v>
      </c>
      <c r="AQ1478" t="s">
        <v>136</v>
      </c>
      <c r="AV1478">
        <v>1</v>
      </c>
    </row>
    <row r="1479" spans="1:48">
      <c r="A1479">
        <v>10068</v>
      </c>
      <c r="B1479" t="s">
        <v>5328</v>
      </c>
      <c r="C1479" t="s">
        <v>526</v>
      </c>
      <c r="D1479">
        <v>1</v>
      </c>
      <c r="E1479">
        <v>0</v>
      </c>
      <c r="G1479">
        <v>1</v>
      </c>
      <c r="H1479" s="82" t="s">
        <v>5329</v>
      </c>
      <c r="I1479">
        <v>3.16666666666667</v>
      </c>
      <c r="J1479">
        <v>3.16666666666667</v>
      </c>
      <c r="L1479">
        <f t="shared" si="171"/>
        <v>0</v>
      </c>
      <c r="M1479">
        <v>2.66666666666667</v>
      </c>
      <c r="N1479" t="s">
        <v>5330</v>
      </c>
      <c r="O1479">
        <v>1</v>
      </c>
      <c r="P1479">
        <v>1</v>
      </c>
      <c r="Q1479" s="20">
        <v>0</v>
      </c>
      <c r="S1479">
        <v>0</v>
      </c>
      <c r="V1479">
        <v>1</v>
      </c>
      <c r="W1479">
        <v>0</v>
      </c>
      <c r="X1479" s="7">
        <v>2</v>
      </c>
      <c r="Y1479">
        <v>-0.1</v>
      </c>
      <c r="Z1479">
        <v>0</v>
      </c>
      <c r="AF1479">
        <f t="shared" si="170"/>
        <v>0</v>
      </c>
      <c r="AP1479" s="8">
        <v>700</v>
      </c>
      <c r="AQ1479" t="s">
        <v>136</v>
      </c>
      <c r="AV1479">
        <v>1</v>
      </c>
    </row>
    <row r="1480" spans="1:48">
      <c r="A1480">
        <v>10069</v>
      </c>
      <c r="B1480" t="s">
        <v>5331</v>
      </c>
      <c r="C1480" t="s">
        <v>526</v>
      </c>
      <c r="D1480">
        <v>1</v>
      </c>
      <c r="E1480">
        <v>0</v>
      </c>
      <c r="G1480">
        <v>1</v>
      </c>
      <c r="H1480" s="82">
        <v>106201</v>
      </c>
      <c r="I1480">
        <v>2.8</v>
      </c>
      <c r="J1480">
        <v>2.8</v>
      </c>
      <c r="L1480">
        <f t="shared" si="171"/>
        <v>0</v>
      </c>
      <c r="M1480">
        <v>2.3</v>
      </c>
      <c r="N1480" t="s">
        <v>5332</v>
      </c>
      <c r="O1480">
        <v>1</v>
      </c>
      <c r="P1480">
        <v>2</v>
      </c>
      <c r="Q1480" s="20">
        <v>0</v>
      </c>
      <c r="S1480">
        <v>0</v>
      </c>
      <c r="U1480">
        <v>0.8</v>
      </c>
      <c r="V1480">
        <v>1</v>
      </c>
      <c r="W1480">
        <v>0</v>
      </c>
      <c r="X1480" s="7">
        <v>3</v>
      </c>
      <c r="Y1480">
        <v>-0.1</v>
      </c>
      <c r="Z1480">
        <v>0</v>
      </c>
      <c r="AF1480">
        <f t="shared" si="170"/>
        <v>0</v>
      </c>
      <c r="AP1480" s="8">
        <v>703</v>
      </c>
      <c r="AQ1480" t="s">
        <v>136</v>
      </c>
      <c r="AV1480">
        <v>1</v>
      </c>
    </row>
    <row r="1481" spans="1:43">
      <c r="A1481">
        <v>10070</v>
      </c>
      <c r="B1481" t="s">
        <v>5331</v>
      </c>
      <c r="D1481">
        <v>1</v>
      </c>
      <c r="E1481">
        <v>0</v>
      </c>
      <c r="G1481">
        <v>1</v>
      </c>
      <c r="H1481" s="82">
        <v>106202</v>
      </c>
      <c r="I1481">
        <v>2.33333333333333</v>
      </c>
      <c r="J1481">
        <v>2.33333333333333</v>
      </c>
      <c r="L1481">
        <f t="shared" si="171"/>
        <v>0</v>
      </c>
      <c r="M1481">
        <v>1.83333333333333</v>
      </c>
      <c r="N1481" t="s">
        <v>5333</v>
      </c>
      <c r="O1481">
        <v>1</v>
      </c>
      <c r="P1481">
        <v>2</v>
      </c>
      <c r="Q1481" s="20">
        <v>0</v>
      </c>
      <c r="S1481">
        <v>0</v>
      </c>
      <c r="U1481">
        <v>0.8</v>
      </c>
      <c r="V1481">
        <v>1</v>
      </c>
      <c r="W1481">
        <v>0</v>
      </c>
      <c r="X1481" s="7">
        <v>1</v>
      </c>
      <c r="Y1481">
        <v>-0.1</v>
      </c>
      <c r="Z1481">
        <v>0</v>
      </c>
      <c r="AF1481">
        <f t="shared" si="170"/>
        <v>0</v>
      </c>
      <c r="AP1481" s="10">
        <v>704</v>
      </c>
      <c r="AQ1481" t="s">
        <v>136</v>
      </c>
    </row>
    <row r="1482" spans="1:43">
      <c r="A1482">
        <v>10071</v>
      </c>
      <c r="B1482" t="s">
        <v>5331</v>
      </c>
      <c r="D1482">
        <v>1</v>
      </c>
      <c r="E1482">
        <v>0</v>
      </c>
      <c r="G1482">
        <v>1</v>
      </c>
      <c r="H1482" s="82">
        <v>106203</v>
      </c>
      <c r="I1482">
        <v>1.83333333333333</v>
      </c>
      <c r="J1482">
        <v>1.83333333333333</v>
      </c>
      <c r="L1482">
        <f t="shared" si="171"/>
        <v>0</v>
      </c>
      <c r="M1482">
        <v>1.33333333333333</v>
      </c>
      <c r="N1482" t="s">
        <v>5334</v>
      </c>
      <c r="O1482">
        <v>1</v>
      </c>
      <c r="P1482">
        <v>2</v>
      </c>
      <c r="Q1482" s="20">
        <v>0</v>
      </c>
      <c r="R1482">
        <v>1</v>
      </c>
      <c r="S1482">
        <v>4</v>
      </c>
      <c r="U1482">
        <v>0.8</v>
      </c>
      <c r="V1482">
        <v>1</v>
      </c>
      <c r="W1482">
        <v>6</v>
      </c>
      <c r="X1482" s="7">
        <v>1</v>
      </c>
      <c r="Y1482">
        <v>-0.1</v>
      </c>
      <c r="Z1482">
        <v>0</v>
      </c>
      <c r="AF1482">
        <f t="shared" si="170"/>
        <v>0</v>
      </c>
      <c r="AP1482" s="10">
        <v>705</v>
      </c>
      <c r="AQ1482" t="s">
        <v>136</v>
      </c>
    </row>
    <row r="1483" spans="1:48">
      <c r="A1483">
        <v>10072</v>
      </c>
      <c r="B1483" t="s">
        <v>5335</v>
      </c>
      <c r="C1483" t="s">
        <v>526</v>
      </c>
      <c r="D1483">
        <v>1</v>
      </c>
      <c r="E1483">
        <v>0</v>
      </c>
      <c r="G1483">
        <v>1</v>
      </c>
      <c r="H1483" s="82">
        <v>106301</v>
      </c>
      <c r="I1483">
        <v>2.4</v>
      </c>
      <c r="J1483">
        <v>2.4</v>
      </c>
      <c r="L1483">
        <f t="shared" si="171"/>
        <v>0</v>
      </c>
      <c r="M1483">
        <v>1.9</v>
      </c>
      <c r="N1483" t="s">
        <v>5336</v>
      </c>
      <c r="O1483">
        <v>1</v>
      </c>
      <c r="P1483">
        <v>1.5</v>
      </c>
      <c r="Q1483" s="20">
        <v>0</v>
      </c>
      <c r="S1483">
        <v>0</v>
      </c>
      <c r="V1483">
        <v>1</v>
      </c>
      <c r="W1483">
        <v>0</v>
      </c>
      <c r="X1483" s="7">
        <v>1</v>
      </c>
      <c r="Y1483">
        <v>-0.1</v>
      </c>
      <c r="Z1483">
        <v>0</v>
      </c>
      <c r="AF1483">
        <f t="shared" si="170"/>
        <v>0</v>
      </c>
      <c r="AP1483" s="8">
        <v>706</v>
      </c>
      <c r="AQ1483" t="s">
        <v>136</v>
      </c>
      <c r="AV1483">
        <v>1</v>
      </c>
    </row>
    <row r="1484" spans="1:43">
      <c r="A1484">
        <v>10073</v>
      </c>
      <c r="B1484" t="s">
        <v>5335</v>
      </c>
      <c r="D1484">
        <v>1</v>
      </c>
      <c r="E1484">
        <v>0</v>
      </c>
      <c r="G1484">
        <v>1</v>
      </c>
      <c r="H1484" s="82">
        <v>106302</v>
      </c>
      <c r="I1484">
        <v>3.83333333333333</v>
      </c>
      <c r="J1484">
        <v>3.83333333333333</v>
      </c>
      <c r="L1484">
        <f t="shared" si="171"/>
        <v>1</v>
      </c>
      <c r="M1484">
        <v>3.33333333333333</v>
      </c>
      <c r="N1484" t="s">
        <v>5337</v>
      </c>
      <c r="O1484">
        <v>1</v>
      </c>
      <c r="P1484">
        <v>1.5</v>
      </c>
      <c r="Q1484" s="20">
        <v>0</v>
      </c>
      <c r="S1484">
        <v>0</v>
      </c>
      <c r="V1484">
        <v>1</v>
      </c>
      <c r="W1484">
        <v>0</v>
      </c>
      <c r="X1484" s="7">
        <v>5</v>
      </c>
      <c r="Y1484">
        <v>-0.1</v>
      </c>
      <c r="Z1484">
        <v>0</v>
      </c>
      <c r="AF1484">
        <f t="shared" si="170"/>
        <v>0</v>
      </c>
      <c r="AP1484" s="8">
        <v>708</v>
      </c>
      <c r="AQ1484" t="s">
        <v>136</v>
      </c>
    </row>
    <row r="1485" spans="1:43">
      <c r="A1485">
        <v>10074</v>
      </c>
      <c r="B1485" t="s">
        <v>5335</v>
      </c>
      <c r="C1485" t="s">
        <v>5338</v>
      </c>
      <c r="D1485">
        <v>1</v>
      </c>
      <c r="E1485">
        <v>0</v>
      </c>
      <c r="G1485">
        <v>1</v>
      </c>
      <c r="H1485" s="82">
        <v>106303</v>
      </c>
      <c r="I1485">
        <v>5</v>
      </c>
      <c r="J1485">
        <v>5</v>
      </c>
      <c r="L1485">
        <v>1</v>
      </c>
      <c r="M1485">
        <v>4.5</v>
      </c>
      <c r="N1485" t="s">
        <v>5339</v>
      </c>
      <c r="O1485">
        <v>1</v>
      </c>
      <c r="P1485">
        <v>8</v>
      </c>
      <c r="Q1485" s="20">
        <v>0</v>
      </c>
      <c r="S1485">
        <v>0</v>
      </c>
      <c r="V1485">
        <v>1</v>
      </c>
      <c r="W1485">
        <v>0</v>
      </c>
      <c r="X1485" s="7">
        <v>1</v>
      </c>
      <c r="Y1485">
        <v>-0.1</v>
      </c>
      <c r="Z1485">
        <v>0</v>
      </c>
      <c r="AB1485">
        <v>4.8</v>
      </c>
      <c r="AC1485">
        <v>2</v>
      </c>
      <c r="AD1485">
        <v>1</v>
      </c>
      <c r="AE1485" s="99" t="s">
        <v>5340</v>
      </c>
      <c r="AF1485">
        <f t="shared" si="170"/>
        <v>0.5</v>
      </c>
      <c r="AP1485" s="8">
        <v>710</v>
      </c>
      <c r="AQ1485" t="s">
        <v>136</v>
      </c>
    </row>
    <row r="1486" spans="1:48">
      <c r="A1486">
        <v>10075</v>
      </c>
      <c r="B1486" t="s">
        <v>5341</v>
      </c>
      <c r="C1486" t="s">
        <v>526</v>
      </c>
      <c r="D1486">
        <v>1</v>
      </c>
      <c r="E1486">
        <v>0</v>
      </c>
      <c r="G1486">
        <v>1</v>
      </c>
      <c r="H1486" s="82">
        <v>106401</v>
      </c>
      <c r="I1486">
        <v>2.63333333333333</v>
      </c>
      <c r="J1486">
        <v>2.63333333333333</v>
      </c>
      <c r="L1486">
        <f t="shared" si="171"/>
        <v>0</v>
      </c>
      <c r="M1486">
        <v>2.13333333333333</v>
      </c>
      <c r="N1486" t="s">
        <v>5342</v>
      </c>
      <c r="O1486">
        <v>1</v>
      </c>
      <c r="P1486">
        <v>1</v>
      </c>
      <c r="Q1486" s="20">
        <v>0</v>
      </c>
      <c r="S1486">
        <v>0</v>
      </c>
      <c r="V1486">
        <v>1</v>
      </c>
      <c r="W1486">
        <v>0</v>
      </c>
      <c r="X1486" s="7">
        <v>1</v>
      </c>
      <c r="Y1486">
        <v>-0.1</v>
      </c>
      <c r="Z1486">
        <v>0</v>
      </c>
      <c r="AF1486">
        <f t="shared" si="170"/>
        <v>0</v>
      </c>
      <c r="AP1486" s="8">
        <v>714</v>
      </c>
      <c r="AQ1486" t="s">
        <v>136</v>
      </c>
      <c r="AV1486">
        <v>1</v>
      </c>
    </row>
    <row r="1487" spans="1:43">
      <c r="A1487">
        <v>10076</v>
      </c>
      <c r="B1487" t="s">
        <v>5341</v>
      </c>
      <c r="C1487" t="s">
        <v>5343</v>
      </c>
      <c r="D1487">
        <v>1</v>
      </c>
      <c r="E1487">
        <v>0</v>
      </c>
      <c r="G1487">
        <v>1</v>
      </c>
      <c r="H1487" s="82">
        <v>106402</v>
      </c>
      <c r="I1487">
        <v>2.93333333333333</v>
      </c>
      <c r="J1487">
        <v>2.93333333333333</v>
      </c>
      <c r="L1487">
        <f t="shared" si="171"/>
        <v>0</v>
      </c>
      <c r="M1487">
        <v>2.43333333333333</v>
      </c>
      <c r="N1487" t="s">
        <v>5344</v>
      </c>
      <c r="O1487">
        <v>1</v>
      </c>
      <c r="P1487">
        <v>1</v>
      </c>
      <c r="Q1487" s="20">
        <v>0</v>
      </c>
      <c r="S1487">
        <v>0</v>
      </c>
      <c r="V1487">
        <v>1</v>
      </c>
      <c r="W1487">
        <v>0</v>
      </c>
      <c r="X1487" s="7">
        <v>1</v>
      </c>
      <c r="Y1487">
        <v>-0.1</v>
      </c>
      <c r="Z1487">
        <v>0</v>
      </c>
      <c r="AF1487">
        <f t="shared" ref="AF1487:AF1502" si="173">IF(AD1487=--1,0.5,0)</f>
        <v>0</v>
      </c>
      <c r="AP1487" s="8">
        <v>715</v>
      </c>
      <c r="AQ1487" t="s">
        <v>136</v>
      </c>
    </row>
    <row r="1488" spans="1:43">
      <c r="A1488">
        <v>10077</v>
      </c>
      <c r="B1488" t="s">
        <v>5341</v>
      </c>
      <c r="C1488" t="s">
        <v>5345</v>
      </c>
      <c r="D1488">
        <v>1</v>
      </c>
      <c r="E1488">
        <v>0</v>
      </c>
      <c r="G1488">
        <v>1</v>
      </c>
      <c r="H1488" s="82">
        <v>106403</v>
      </c>
      <c r="I1488">
        <v>5</v>
      </c>
      <c r="J1488">
        <v>5</v>
      </c>
      <c r="L1488">
        <v>1</v>
      </c>
      <c r="M1488">
        <v>4.5</v>
      </c>
      <c r="N1488" t="s">
        <v>5346</v>
      </c>
      <c r="O1488">
        <v>1</v>
      </c>
      <c r="P1488">
        <v>7</v>
      </c>
      <c r="Q1488" s="20">
        <v>0</v>
      </c>
      <c r="S1488">
        <v>0</v>
      </c>
      <c r="V1488">
        <v>1</v>
      </c>
      <c r="W1488">
        <v>0</v>
      </c>
      <c r="X1488" s="7">
        <v>1</v>
      </c>
      <c r="Y1488">
        <v>-0.1</v>
      </c>
      <c r="Z1488">
        <v>0</v>
      </c>
      <c r="AB1488">
        <v>4.8</v>
      </c>
      <c r="AC1488">
        <v>2</v>
      </c>
      <c r="AD1488">
        <v>1</v>
      </c>
      <c r="AE1488" t="s">
        <v>5347</v>
      </c>
      <c r="AF1488">
        <f t="shared" si="173"/>
        <v>0.5</v>
      </c>
      <c r="AP1488" s="8">
        <v>716</v>
      </c>
      <c r="AQ1488" t="s">
        <v>136</v>
      </c>
    </row>
    <row r="1489" spans="1:48">
      <c r="A1489">
        <v>10078</v>
      </c>
      <c r="B1489" t="s">
        <v>5348</v>
      </c>
      <c r="C1489" t="s">
        <v>526</v>
      </c>
      <c r="D1489">
        <v>1</v>
      </c>
      <c r="E1489">
        <v>0</v>
      </c>
      <c r="G1489">
        <v>1</v>
      </c>
      <c r="H1489" s="82">
        <v>106501</v>
      </c>
      <c r="I1489">
        <v>2.1</v>
      </c>
      <c r="J1489">
        <v>2.1</v>
      </c>
      <c r="L1489">
        <f t="shared" si="171"/>
        <v>0</v>
      </c>
      <c r="M1489">
        <v>1.6</v>
      </c>
      <c r="N1489" t="s">
        <v>5349</v>
      </c>
      <c r="O1489">
        <v>1</v>
      </c>
      <c r="P1489">
        <v>2.2</v>
      </c>
      <c r="Q1489" s="20">
        <v>0</v>
      </c>
      <c r="S1489">
        <v>0</v>
      </c>
      <c r="U1489">
        <v>0.8</v>
      </c>
      <c r="V1489">
        <v>1</v>
      </c>
      <c r="W1489">
        <v>0</v>
      </c>
      <c r="X1489" s="7">
        <v>2</v>
      </c>
      <c r="Y1489">
        <v>-0.1</v>
      </c>
      <c r="Z1489">
        <v>0</v>
      </c>
      <c r="AF1489">
        <f t="shared" si="173"/>
        <v>0</v>
      </c>
      <c r="AP1489" s="8">
        <v>720</v>
      </c>
      <c r="AQ1489" t="s">
        <v>136</v>
      </c>
      <c r="AV1489">
        <v>1</v>
      </c>
    </row>
    <row r="1490" spans="1:43">
      <c r="A1490">
        <v>10079</v>
      </c>
      <c r="B1490" t="s">
        <v>5348</v>
      </c>
      <c r="C1490" t="s">
        <v>5350</v>
      </c>
      <c r="D1490">
        <v>1</v>
      </c>
      <c r="E1490">
        <v>0</v>
      </c>
      <c r="G1490">
        <v>1</v>
      </c>
      <c r="H1490" s="82">
        <v>106502</v>
      </c>
      <c r="I1490">
        <v>2.66666666666667</v>
      </c>
      <c r="J1490">
        <v>2.66666666666667</v>
      </c>
      <c r="L1490">
        <f t="shared" si="171"/>
        <v>0</v>
      </c>
      <c r="M1490">
        <v>2.16666666666667</v>
      </c>
      <c r="N1490" t="s">
        <v>5351</v>
      </c>
      <c r="O1490">
        <v>1</v>
      </c>
      <c r="P1490">
        <v>2.2</v>
      </c>
      <c r="Q1490" s="20">
        <v>0</v>
      </c>
      <c r="S1490">
        <v>-1.5</v>
      </c>
      <c r="U1490">
        <v>0.8</v>
      </c>
      <c r="V1490">
        <v>1</v>
      </c>
      <c r="W1490">
        <v>4</v>
      </c>
      <c r="X1490" s="7">
        <v>1</v>
      </c>
      <c r="Y1490">
        <v>-0.1</v>
      </c>
      <c r="Z1490">
        <v>0</v>
      </c>
      <c r="AE1490" s="20"/>
      <c r="AF1490">
        <f t="shared" si="173"/>
        <v>0</v>
      </c>
      <c r="AP1490" s="8">
        <v>721</v>
      </c>
      <c r="AQ1490" t="s">
        <v>136</v>
      </c>
    </row>
    <row r="1491" spans="1:43">
      <c r="A1491">
        <v>10080</v>
      </c>
      <c r="B1491" t="s">
        <v>5348</v>
      </c>
      <c r="C1491" t="s">
        <v>5352</v>
      </c>
      <c r="D1491">
        <v>1</v>
      </c>
      <c r="E1491">
        <v>0</v>
      </c>
      <c r="G1491">
        <v>1</v>
      </c>
      <c r="H1491" s="82">
        <v>106503</v>
      </c>
      <c r="I1491">
        <v>2.66666666666667</v>
      </c>
      <c r="J1491">
        <v>2.66666666666667</v>
      </c>
      <c r="L1491">
        <f t="shared" si="171"/>
        <v>0</v>
      </c>
      <c r="M1491">
        <v>2.16666666666667</v>
      </c>
      <c r="N1491" t="s">
        <v>5353</v>
      </c>
      <c r="O1491">
        <v>1</v>
      </c>
      <c r="P1491">
        <v>2.2</v>
      </c>
      <c r="Q1491" s="20">
        <v>0</v>
      </c>
      <c r="S1491">
        <v>-1.5</v>
      </c>
      <c r="U1491">
        <v>0.8</v>
      </c>
      <c r="V1491">
        <v>1</v>
      </c>
      <c r="W1491">
        <v>3</v>
      </c>
      <c r="X1491" s="7">
        <v>2</v>
      </c>
      <c r="Y1491">
        <v>-0.1</v>
      </c>
      <c r="Z1491">
        <v>0</v>
      </c>
      <c r="AF1491">
        <f t="shared" si="173"/>
        <v>0</v>
      </c>
      <c r="AN1491" s="8">
        <v>723</v>
      </c>
      <c r="AO1491" t="s">
        <v>5354</v>
      </c>
      <c r="AP1491" s="8">
        <v>722</v>
      </c>
      <c r="AQ1491" t="s">
        <v>136</v>
      </c>
    </row>
    <row r="1492" spans="1:48">
      <c r="A1492">
        <v>10081</v>
      </c>
      <c r="B1492" t="s">
        <v>5355</v>
      </c>
      <c r="C1492" t="s">
        <v>526</v>
      </c>
      <c r="D1492">
        <v>1</v>
      </c>
      <c r="E1492">
        <v>0</v>
      </c>
      <c r="G1492">
        <v>1</v>
      </c>
      <c r="H1492" s="82">
        <v>104101</v>
      </c>
      <c r="I1492">
        <v>2</v>
      </c>
      <c r="J1492">
        <v>2</v>
      </c>
      <c r="L1492">
        <f t="shared" si="171"/>
        <v>0</v>
      </c>
      <c r="M1492">
        <v>1.5</v>
      </c>
      <c r="N1492" t="s">
        <v>5356</v>
      </c>
      <c r="O1492">
        <v>1</v>
      </c>
      <c r="P1492">
        <v>1</v>
      </c>
      <c r="Q1492" s="20">
        <v>0</v>
      </c>
      <c r="S1492">
        <v>0</v>
      </c>
      <c r="V1492">
        <v>1</v>
      </c>
      <c r="W1492">
        <v>0</v>
      </c>
      <c r="X1492" s="7">
        <v>2</v>
      </c>
      <c r="Y1492">
        <v>-0.1</v>
      </c>
      <c r="Z1492">
        <v>0</v>
      </c>
      <c r="AF1492">
        <f t="shared" si="173"/>
        <v>0</v>
      </c>
      <c r="AP1492" s="8">
        <v>725</v>
      </c>
      <c r="AQ1492" t="s">
        <v>136</v>
      </c>
      <c r="AV1492">
        <v>1</v>
      </c>
    </row>
    <row r="1493" spans="1:43">
      <c r="A1493">
        <v>10082</v>
      </c>
      <c r="B1493" t="s">
        <v>5355</v>
      </c>
      <c r="D1493">
        <v>1</v>
      </c>
      <c r="E1493">
        <v>0</v>
      </c>
      <c r="G1493">
        <v>1</v>
      </c>
      <c r="H1493" s="82">
        <v>104102</v>
      </c>
      <c r="I1493">
        <v>2.5</v>
      </c>
      <c r="J1493">
        <v>2.5</v>
      </c>
      <c r="L1493">
        <f t="shared" si="171"/>
        <v>0</v>
      </c>
      <c r="M1493">
        <v>2</v>
      </c>
      <c r="N1493" t="s">
        <v>5357</v>
      </c>
      <c r="O1493">
        <v>1</v>
      </c>
      <c r="P1493">
        <v>1</v>
      </c>
      <c r="Q1493" s="20">
        <v>0</v>
      </c>
      <c r="S1493">
        <v>-0.8</v>
      </c>
      <c r="T1493">
        <v>1.5</v>
      </c>
      <c r="U1493">
        <v>1</v>
      </c>
      <c r="V1493">
        <v>1</v>
      </c>
      <c r="W1493">
        <v>4</v>
      </c>
      <c r="X1493" s="7">
        <v>2</v>
      </c>
      <c r="Y1493">
        <v>-0.1</v>
      </c>
      <c r="Z1493">
        <v>0</v>
      </c>
      <c r="AF1493">
        <f t="shared" si="173"/>
        <v>0</v>
      </c>
      <c r="AP1493" s="8">
        <v>726</v>
      </c>
      <c r="AQ1493" t="s">
        <v>136</v>
      </c>
    </row>
    <row r="1494" spans="1:48">
      <c r="A1494">
        <v>10083</v>
      </c>
      <c r="B1494" t="s">
        <v>5358</v>
      </c>
      <c r="C1494" t="s">
        <v>526</v>
      </c>
      <c r="D1494">
        <v>1</v>
      </c>
      <c r="E1494">
        <v>0</v>
      </c>
      <c r="G1494">
        <v>1</v>
      </c>
      <c r="H1494" s="82">
        <v>106601</v>
      </c>
      <c r="I1494">
        <v>2.26666666666667</v>
      </c>
      <c r="J1494">
        <v>2.26666666666667</v>
      </c>
      <c r="L1494">
        <f t="shared" si="171"/>
        <v>0</v>
      </c>
      <c r="M1494">
        <v>1.76666666666667</v>
      </c>
      <c r="N1494" t="s">
        <v>5359</v>
      </c>
      <c r="O1494">
        <v>1</v>
      </c>
      <c r="P1494">
        <v>1.3</v>
      </c>
      <c r="Q1494" s="20">
        <v>0</v>
      </c>
      <c r="S1494">
        <v>0</v>
      </c>
      <c r="V1494">
        <v>1</v>
      </c>
      <c r="W1494">
        <v>0</v>
      </c>
      <c r="X1494" s="7">
        <v>2</v>
      </c>
      <c r="Y1494">
        <v>-0.1</v>
      </c>
      <c r="Z1494">
        <v>0</v>
      </c>
      <c r="AF1494">
        <f t="shared" si="173"/>
        <v>0</v>
      </c>
      <c r="AP1494" s="8">
        <v>727</v>
      </c>
      <c r="AQ1494" t="s">
        <v>136</v>
      </c>
      <c r="AV1494">
        <v>1</v>
      </c>
    </row>
    <row r="1495" spans="1:43">
      <c r="A1495">
        <v>10084</v>
      </c>
      <c r="B1495" t="s">
        <v>5358</v>
      </c>
      <c r="C1495" t="s">
        <v>5360</v>
      </c>
      <c r="D1495">
        <v>1</v>
      </c>
      <c r="E1495">
        <v>0</v>
      </c>
      <c r="G1495">
        <v>1</v>
      </c>
      <c r="H1495" s="82">
        <v>106602</v>
      </c>
      <c r="I1495">
        <v>2</v>
      </c>
      <c r="J1495">
        <v>2</v>
      </c>
      <c r="L1495">
        <f t="shared" ref="L1495:L1502" si="174">IF(X1495&gt;4,1,0)</f>
        <v>0</v>
      </c>
      <c r="M1495">
        <v>1.5</v>
      </c>
      <c r="N1495" t="s">
        <v>5361</v>
      </c>
      <c r="O1495">
        <v>1</v>
      </c>
      <c r="P1495">
        <v>1.3</v>
      </c>
      <c r="Q1495" s="20">
        <v>0</v>
      </c>
      <c r="R1495">
        <v>1</v>
      </c>
      <c r="S1495">
        <v>-0.8</v>
      </c>
      <c r="U1495">
        <v>1</v>
      </c>
      <c r="V1495">
        <v>1</v>
      </c>
      <c r="W1495">
        <v>2</v>
      </c>
      <c r="X1495" s="7">
        <v>2</v>
      </c>
      <c r="Y1495">
        <v>-0.1</v>
      </c>
      <c r="Z1495">
        <v>0</v>
      </c>
      <c r="AF1495">
        <f t="shared" si="173"/>
        <v>0</v>
      </c>
      <c r="AP1495" s="8">
        <v>728</v>
      </c>
      <c r="AQ1495" t="s">
        <v>136</v>
      </c>
    </row>
    <row r="1496" spans="1:48">
      <c r="A1496">
        <v>10085</v>
      </c>
      <c r="B1496" t="s">
        <v>5362</v>
      </c>
      <c r="C1496" t="s">
        <v>526</v>
      </c>
      <c r="D1496">
        <v>1</v>
      </c>
      <c r="E1496">
        <v>0</v>
      </c>
      <c r="G1496">
        <v>1</v>
      </c>
      <c r="H1496" s="82">
        <v>106701</v>
      </c>
      <c r="I1496">
        <v>1.83333333333333</v>
      </c>
      <c r="J1496">
        <v>1.83333333333333</v>
      </c>
      <c r="L1496">
        <f t="shared" si="174"/>
        <v>0</v>
      </c>
      <c r="M1496">
        <v>1.5</v>
      </c>
      <c r="N1496" t="s">
        <v>5363</v>
      </c>
      <c r="O1496">
        <v>1</v>
      </c>
      <c r="P1496">
        <v>2</v>
      </c>
      <c r="Q1496" s="20">
        <v>0</v>
      </c>
      <c r="S1496">
        <v>1</v>
      </c>
      <c r="T1496">
        <v>1</v>
      </c>
      <c r="U1496">
        <v>1</v>
      </c>
      <c r="V1496">
        <v>1</v>
      </c>
      <c r="W1496">
        <v>0</v>
      </c>
      <c r="X1496" s="7">
        <v>2</v>
      </c>
      <c r="Y1496">
        <v>-0.1</v>
      </c>
      <c r="Z1496">
        <v>0</v>
      </c>
      <c r="AF1496">
        <f t="shared" si="173"/>
        <v>0</v>
      </c>
      <c r="AP1496" s="8">
        <v>729</v>
      </c>
      <c r="AQ1496" t="s">
        <v>136</v>
      </c>
      <c r="AV1496">
        <v>1</v>
      </c>
    </row>
    <row r="1497" spans="1:48">
      <c r="A1497">
        <v>10086</v>
      </c>
      <c r="B1497" t="s">
        <v>5364</v>
      </c>
      <c r="C1497" t="s">
        <v>526</v>
      </c>
      <c r="D1497">
        <v>1</v>
      </c>
      <c r="E1497">
        <v>0</v>
      </c>
      <c r="G1497">
        <v>2</v>
      </c>
      <c r="H1497" s="5" t="s">
        <v>5365</v>
      </c>
      <c r="I1497">
        <v>3.2</v>
      </c>
      <c r="J1497">
        <v>3.2</v>
      </c>
      <c r="L1497">
        <f t="shared" si="174"/>
        <v>0</v>
      </c>
      <c r="M1497">
        <f t="shared" ref="M1497:M1560" si="175">J1497-0.4</f>
        <v>2.8</v>
      </c>
      <c r="N1497" t="s">
        <v>5366</v>
      </c>
      <c r="O1497">
        <v>3</v>
      </c>
      <c r="P1497">
        <v>0</v>
      </c>
      <c r="Q1497">
        <v>0</v>
      </c>
      <c r="V1497">
        <v>3</v>
      </c>
      <c r="W1497">
        <v>0</v>
      </c>
      <c r="X1497" s="7">
        <v>2</v>
      </c>
      <c r="Y1497">
        <v>-0.1</v>
      </c>
      <c r="Z1497">
        <v>0</v>
      </c>
      <c r="AF1497">
        <f t="shared" si="173"/>
        <v>0</v>
      </c>
      <c r="AM1497" s="669"/>
      <c r="AP1497" s="8">
        <v>732</v>
      </c>
      <c r="AQ1497" t="s">
        <v>136</v>
      </c>
      <c r="AV1497">
        <v>1</v>
      </c>
    </row>
    <row r="1498" spans="1:48">
      <c r="A1498">
        <v>10087</v>
      </c>
      <c r="B1498" t="s">
        <v>5367</v>
      </c>
      <c r="C1498" t="s">
        <v>526</v>
      </c>
      <c r="D1498">
        <v>1</v>
      </c>
      <c r="E1498">
        <v>0</v>
      </c>
      <c r="G1498">
        <v>1</v>
      </c>
      <c r="H1498" s="5" t="s">
        <v>5368</v>
      </c>
      <c r="I1498">
        <v>3.06666666666667</v>
      </c>
      <c r="J1498">
        <v>3.06666666666667</v>
      </c>
      <c r="L1498">
        <f t="shared" si="174"/>
        <v>0</v>
      </c>
      <c r="M1498">
        <f t="shared" si="175"/>
        <v>2.66666666666667</v>
      </c>
      <c r="N1498" t="s">
        <v>5369</v>
      </c>
      <c r="O1498">
        <v>1</v>
      </c>
      <c r="P1498">
        <v>1.5</v>
      </c>
      <c r="Q1498">
        <v>0</v>
      </c>
      <c r="V1498">
        <v>6</v>
      </c>
      <c r="W1498">
        <v>0</v>
      </c>
      <c r="X1498" s="7">
        <v>3</v>
      </c>
      <c r="Y1498">
        <v>-0.1</v>
      </c>
      <c r="Z1498">
        <v>0</v>
      </c>
      <c r="AF1498">
        <f t="shared" si="173"/>
        <v>0</v>
      </c>
      <c r="AM1498" s="669"/>
      <c r="AP1498" s="8">
        <v>733</v>
      </c>
      <c r="AQ1498" t="s">
        <v>136</v>
      </c>
      <c r="AV1498">
        <v>1</v>
      </c>
    </row>
    <row r="1499" spans="1:48">
      <c r="A1499">
        <v>10088</v>
      </c>
      <c r="B1499" t="s">
        <v>5370</v>
      </c>
      <c r="C1499" t="s">
        <v>526</v>
      </c>
      <c r="D1499">
        <v>1</v>
      </c>
      <c r="E1499">
        <v>0</v>
      </c>
      <c r="G1499">
        <v>2</v>
      </c>
      <c r="H1499" s="5" t="s">
        <v>5371</v>
      </c>
      <c r="I1499">
        <v>2.46666666666667</v>
      </c>
      <c r="J1499">
        <v>2.46666666666667</v>
      </c>
      <c r="L1499">
        <f t="shared" si="174"/>
        <v>0</v>
      </c>
      <c r="M1499">
        <f t="shared" si="175"/>
        <v>2.06666666666667</v>
      </c>
      <c r="N1499" t="s">
        <v>5372</v>
      </c>
      <c r="O1499">
        <v>0</v>
      </c>
      <c r="P1499">
        <v>0</v>
      </c>
      <c r="Q1499">
        <v>1</v>
      </c>
      <c r="V1499">
        <v>0</v>
      </c>
      <c r="W1499">
        <v>6</v>
      </c>
      <c r="X1499" s="7">
        <v>3</v>
      </c>
      <c r="Y1499">
        <v>-0.1</v>
      </c>
      <c r="Z1499">
        <v>0</v>
      </c>
      <c r="AF1499">
        <f t="shared" si="173"/>
        <v>0</v>
      </c>
      <c r="AM1499" s="669"/>
      <c r="AP1499" s="8">
        <v>850</v>
      </c>
      <c r="AQ1499" t="s">
        <v>136</v>
      </c>
      <c r="AV1499">
        <v>1</v>
      </c>
    </row>
    <row r="1500" spans="1:48">
      <c r="A1500">
        <v>10089</v>
      </c>
      <c r="B1500" t="s">
        <v>5373</v>
      </c>
      <c r="C1500" t="s">
        <v>526</v>
      </c>
      <c r="D1500">
        <v>1</v>
      </c>
      <c r="E1500">
        <v>0</v>
      </c>
      <c r="G1500">
        <v>2</v>
      </c>
      <c r="H1500" s="5" t="s">
        <v>5374</v>
      </c>
      <c r="I1500">
        <v>3.66666666666667</v>
      </c>
      <c r="J1500">
        <v>3.66666666666667</v>
      </c>
      <c r="L1500">
        <f t="shared" si="174"/>
        <v>0</v>
      </c>
      <c r="M1500">
        <f t="shared" si="175"/>
        <v>3.26666666666667</v>
      </c>
      <c r="N1500" t="s">
        <v>5375</v>
      </c>
      <c r="O1500">
        <v>0</v>
      </c>
      <c r="P1500">
        <v>0</v>
      </c>
      <c r="Q1500">
        <v>1</v>
      </c>
      <c r="V1500">
        <v>1</v>
      </c>
      <c r="W1500">
        <v>0</v>
      </c>
      <c r="X1500" s="7">
        <v>2</v>
      </c>
      <c r="Y1500">
        <v>-0.1</v>
      </c>
      <c r="Z1500">
        <v>0</v>
      </c>
      <c r="AF1500">
        <f t="shared" si="173"/>
        <v>0</v>
      </c>
      <c r="AM1500" s="669"/>
      <c r="AP1500" s="8">
        <v>851</v>
      </c>
      <c r="AQ1500" t="s">
        <v>136</v>
      </c>
      <c r="AV1500">
        <v>1</v>
      </c>
    </row>
    <row r="1501" spans="1:48">
      <c r="A1501">
        <v>10090</v>
      </c>
      <c r="B1501" t="s">
        <v>5376</v>
      </c>
      <c r="C1501" t="s">
        <v>526</v>
      </c>
      <c r="D1501">
        <v>1</v>
      </c>
      <c r="E1501">
        <v>0</v>
      </c>
      <c r="G1501">
        <v>1</v>
      </c>
      <c r="H1501" s="5" t="s">
        <v>5377</v>
      </c>
      <c r="I1501">
        <v>2.7</v>
      </c>
      <c r="J1501">
        <v>2.7</v>
      </c>
      <c r="L1501">
        <f t="shared" si="174"/>
        <v>0</v>
      </c>
      <c r="M1501">
        <f t="shared" si="175"/>
        <v>2.3</v>
      </c>
      <c r="N1501" t="s">
        <v>5378</v>
      </c>
      <c r="O1501">
        <v>1</v>
      </c>
      <c r="P1501">
        <v>1.1</v>
      </c>
      <c r="Q1501">
        <v>0</v>
      </c>
      <c r="V1501">
        <v>1</v>
      </c>
      <c r="W1501">
        <v>0</v>
      </c>
      <c r="X1501" s="7">
        <v>2</v>
      </c>
      <c r="Y1501">
        <v>-0.1</v>
      </c>
      <c r="Z1501">
        <v>0</v>
      </c>
      <c r="AF1501">
        <f t="shared" si="173"/>
        <v>0</v>
      </c>
      <c r="AM1501" s="669"/>
      <c r="AP1501" s="8">
        <v>847</v>
      </c>
      <c r="AQ1501" t="s">
        <v>1444</v>
      </c>
      <c r="AV1501">
        <v>1</v>
      </c>
    </row>
    <row r="1502" spans="1:48">
      <c r="A1502">
        <v>10091</v>
      </c>
      <c r="B1502" t="s">
        <v>5379</v>
      </c>
      <c r="C1502" t="s">
        <v>526</v>
      </c>
      <c r="D1502">
        <v>1</v>
      </c>
      <c r="E1502">
        <v>0</v>
      </c>
      <c r="G1502">
        <v>2</v>
      </c>
      <c r="H1502" s="5" t="s">
        <v>5380</v>
      </c>
      <c r="I1502">
        <v>3.83333333333333</v>
      </c>
      <c r="J1502">
        <v>3.83333333333333</v>
      </c>
      <c r="L1502">
        <f t="shared" si="174"/>
        <v>0</v>
      </c>
      <c r="M1502">
        <f t="shared" si="175"/>
        <v>3.43333333333333</v>
      </c>
      <c r="N1502" t="s">
        <v>5381</v>
      </c>
      <c r="O1502">
        <v>0</v>
      </c>
      <c r="P1502">
        <v>0</v>
      </c>
      <c r="Q1502">
        <v>1</v>
      </c>
      <c r="V1502">
        <v>3</v>
      </c>
      <c r="W1502">
        <v>1</v>
      </c>
      <c r="X1502" s="7">
        <v>2</v>
      </c>
      <c r="Y1502">
        <v>-0.1</v>
      </c>
      <c r="Z1502">
        <v>0</v>
      </c>
      <c r="AF1502">
        <f t="shared" si="173"/>
        <v>0</v>
      </c>
      <c r="AM1502" s="669"/>
      <c r="AP1502" s="8">
        <v>852</v>
      </c>
      <c r="AQ1502" t="s">
        <v>1444</v>
      </c>
      <c r="AV1502">
        <v>1</v>
      </c>
    </row>
    <row r="1503" spans="1:48">
      <c r="A1503">
        <v>10092</v>
      </c>
      <c r="B1503" t="s">
        <v>5382</v>
      </c>
      <c r="C1503" t="s">
        <v>526</v>
      </c>
      <c r="D1503">
        <v>1</v>
      </c>
      <c r="E1503">
        <v>0</v>
      </c>
      <c r="G1503">
        <v>1</v>
      </c>
      <c r="H1503" s="5" t="s">
        <v>5383</v>
      </c>
      <c r="I1503">
        <v>2</v>
      </c>
      <c r="J1503">
        <v>2</v>
      </c>
      <c r="L1503">
        <v>0</v>
      </c>
      <c r="M1503">
        <f t="shared" si="175"/>
        <v>1.6</v>
      </c>
      <c r="N1503" t="s">
        <v>5384</v>
      </c>
      <c r="O1503">
        <v>1</v>
      </c>
      <c r="P1503">
        <v>1.5</v>
      </c>
      <c r="Q1503">
        <v>0</v>
      </c>
      <c r="V1503">
        <v>1</v>
      </c>
      <c r="W1503">
        <v>0</v>
      </c>
      <c r="X1503" s="7">
        <v>1</v>
      </c>
      <c r="Y1503">
        <v>-0.1</v>
      </c>
      <c r="Z1503">
        <v>0</v>
      </c>
      <c r="AF1503">
        <v>0</v>
      </c>
      <c r="AM1503" s="669"/>
      <c r="AP1503" s="8">
        <v>869</v>
      </c>
      <c r="AQ1503" t="s">
        <v>1444</v>
      </c>
      <c r="AV1503">
        <v>1</v>
      </c>
    </row>
    <row r="1504" spans="1:43">
      <c r="A1504">
        <v>10093</v>
      </c>
      <c r="B1504" t="s">
        <v>5382</v>
      </c>
      <c r="C1504" t="s">
        <v>5225</v>
      </c>
      <c r="D1504">
        <v>1</v>
      </c>
      <c r="E1504">
        <v>0</v>
      </c>
      <c r="G1504">
        <v>1</v>
      </c>
      <c r="H1504" s="5" t="s">
        <v>5385</v>
      </c>
      <c r="I1504">
        <v>2.66666666666667</v>
      </c>
      <c r="J1504">
        <v>2.66666666666667</v>
      </c>
      <c r="L1504">
        <v>0</v>
      </c>
      <c r="M1504">
        <f t="shared" si="175"/>
        <v>2.26666666666667</v>
      </c>
      <c r="N1504" t="s">
        <v>5386</v>
      </c>
      <c r="O1504">
        <v>1</v>
      </c>
      <c r="P1504">
        <v>1.5</v>
      </c>
      <c r="Q1504">
        <v>0</v>
      </c>
      <c r="S1504">
        <v>-1.5</v>
      </c>
      <c r="U1504">
        <v>0.8</v>
      </c>
      <c r="V1504">
        <v>1</v>
      </c>
      <c r="W1504">
        <v>4</v>
      </c>
      <c r="X1504" s="7">
        <v>1</v>
      </c>
      <c r="Y1504">
        <v>-0.1</v>
      </c>
      <c r="Z1504">
        <v>0</v>
      </c>
      <c r="AF1504">
        <v>0</v>
      </c>
      <c r="AM1504" s="669"/>
      <c r="AP1504" s="8">
        <v>870</v>
      </c>
      <c r="AQ1504" t="s">
        <v>1444</v>
      </c>
    </row>
    <row r="1505" spans="1:48">
      <c r="A1505">
        <v>10094</v>
      </c>
      <c r="B1505" t="s">
        <v>5387</v>
      </c>
      <c r="C1505" t="s">
        <v>526</v>
      </c>
      <c r="D1505">
        <v>1</v>
      </c>
      <c r="E1505">
        <v>0</v>
      </c>
      <c r="G1505">
        <v>2</v>
      </c>
      <c r="H1505" s="5" t="s">
        <v>5388</v>
      </c>
      <c r="I1505">
        <v>1.83333333333333</v>
      </c>
      <c r="J1505">
        <v>1.83333333333333</v>
      </c>
      <c r="L1505">
        <v>0</v>
      </c>
      <c r="M1505">
        <f t="shared" si="175"/>
        <v>1.43333333333333</v>
      </c>
      <c r="N1505" t="s">
        <v>5389</v>
      </c>
      <c r="O1505">
        <v>0</v>
      </c>
      <c r="P1505">
        <v>0</v>
      </c>
      <c r="Q1505">
        <v>1</v>
      </c>
      <c r="V1505">
        <v>2</v>
      </c>
      <c r="W1505">
        <v>0</v>
      </c>
      <c r="X1505" s="7">
        <v>1</v>
      </c>
      <c r="Y1505">
        <v>-0.1</v>
      </c>
      <c r="Z1505">
        <v>0</v>
      </c>
      <c r="AF1505">
        <v>0</v>
      </c>
      <c r="AM1505" s="669"/>
      <c r="AP1505" s="8">
        <v>871</v>
      </c>
      <c r="AQ1505" t="s">
        <v>1444</v>
      </c>
      <c r="AV1505">
        <v>1</v>
      </c>
    </row>
    <row r="1506" spans="1:48">
      <c r="A1506">
        <v>10095</v>
      </c>
      <c r="B1506" t="s">
        <v>5390</v>
      </c>
      <c r="C1506" t="s">
        <v>526</v>
      </c>
      <c r="D1506">
        <v>1</v>
      </c>
      <c r="E1506">
        <v>0</v>
      </c>
      <c r="G1506">
        <v>1</v>
      </c>
      <c r="H1506" s="5" t="s">
        <v>5391</v>
      </c>
      <c r="I1506">
        <v>2</v>
      </c>
      <c r="J1506">
        <v>2</v>
      </c>
      <c r="L1506">
        <v>0</v>
      </c>
      <c r="M1506">
        <f t="shared" si="175"/>
        <v>1.6</v>
      </c>
      <c r="N1506" t="s">
        <v>5392</v>
      </c>
      <c r="O1506">
        <v>1</v>
      </c>
      <c r="P1506">
        <v>1.7</v>
      </c>
      <c r="Q1506">
        <v>0</v>
      </c>
      <c r="V1506">
        <v>1</v>
      </c>
      <c r="W1506">
        <v>0</v>
      </c>
      <c r="X1506" s="7">
        <v>1</v>
      </c>
      <c r="Y1506">
        <v>-0.1</v>
      </c>
      <c r="Z1506">
        <v>0</v>
      </c>
      <c r="AF1506">
        <v>0</v>
      </c>
      <c r="AM1506" s="669"/>
      <c r="AP1506" s="8">
        <v>872</v>
      </c>
      <c r="AQ1506" t="s">
        <v>1444</v>
      </c>
      <c r="AV1506">
        <v>1</v>
      </c>
    </row>
    <row r="1507" spans="1:48">
      <c r="A1507">
        <v>10096</v>
      </c>
      <c r="B1507" t="s">
        <v>5393</v>
      </c>
      <c r="C1507" t="s">
        <v>526</v>
      </c>
      <c r="D1507">
        <v>1</v>
      </c>
      <c r="E1507">
        <v>0</v>
      </c>
      <c r="G1507">
        <v>1</v>
      </c>
      <c r="H1507" s="11" t="s">
        <v>5394</v>
      </c>
      <c r="I1507">
        <v>3.26666666666667</v>
      </c>
      <c r="J1507">
        <v>3.26666666666667</v>
      </c>
      <c r="L1507">
        <v>0</v>
      </c>
      <c r="M1507">
        <f t="shared" si="175"/>
        <v>2.86666666666667</v>
      </c>
      <c r="N1507" t="s">
        <v>5395</v>
      </c>
      <c r="O1507">
        <v>1</v>
      </c>
      <c r="P1507">
        <v>1.5</v>
      </c>
      <c r="Q1507">
        <v>0</v>
      </c>
      <c r="U1507">
        <v>0.8</v>
      </c>
      <c r="V1507">
        <v>1</v>
      </c>
      <c r="W1507">
        <v>0</v>
      </c>
      <c r="X1507" s="7">
        <v>4</v>
      </c>
      <c r="Y1507">
        <v>-0.1</v>
      </c>
      <c r="Z1507">
        <v>0</v>
      </c>
      <c r="AF1507">
        <v>0</v>
      </c>
      <c r="AM1507" s="669"/>
      <c r="AP1507" s="8">
        <v>707</v>
      </c>
      <c r="AQ1507" t="s">
        <v>1444</v>
      </c>
      <c r="AV1507">
        <v>1</v>
      </c>
    </row>
    <row r="1508" spans="1:48">
      <c r="A1508">
        <v>10097</v>
      </c>
      <c r="B1508" t="s">
        <v>5396</v>
      </c>
      <c r="C1508" t="s">
        <v>526</v>
      </c>
      <c r="D1508">
        <v>1</v>
      </c>
      <c r="E1508">
        <v>0</v>
      </c>
      <c r="G1508">
        <v>1</v>
      </c>
      <c r="H1508" s="5" t="s">
        <v>5397</v>
      </c>
      <c r="I1508">
        <v>2.5</v>
      </c>
      <c r="J1508">
        <v>2.5</v>
      </c>
      <c r="L1508">
        <v>0</v>
      </c>
      <c r="M1508">
        <f t="shared" si="175"/>
        <v>2.1</v>
      </c>
      <c r="N1508" t="s">
        <v>5398</v>
      </c>
      <c r="O1508">
        <v>1</v>
      </c>
      <c r="P1508">
        <v>3</v>
      </c>
      <c r="Q1508">
        <v>0</v>
      </c>
      <c r="V1508">
        <v>1</v>
      </c>
      <c r="W1508">
        <v>0</v>
      </c>
      <c r="X1508" s="7">
        <v>2</v>
      </c>
      <c r="Y1508">
        <v>-0.1</v>
      </c>
      <c r="Z1508">
        <v>0</v>
      </c>
      <c r="AF1508">
        <v>0</v>
      </c>
      <c r="AM1508" s="669"/>
      <c r="AP1508" s="8"/>
      <c r="AV1508">
        <v>1</v>
      </c>
    </row>
    <row r="1509" spans="1:43">
      <c r="A1509">
        <v>10098</v>
      </c>
      <c r="B1509" t="s">
        <v>5396</v>
      </c>
      <c r="C1509" t="s">
        <v>5399</v>
      </c>
      <c r="D1509">
        <v>1</v>
      </c>
      <c r="E1509">
        <v>0</v>
      </c>
      <c r="G1509">
        <v>1</v>
      </c>
      <c r="H1509" s="5" t="s">
        <v>5400</v>
      </c>
      <c r="I1509">
        <v>2</v>
      </c>
      <c r="J1509">
        <v>2</v>
      </c>
      <c r="L1509">
        <v>0</v>
      </c>
      <c r="M1509">
        <f t="shared" si="175"/>
        <v>1.6</v>
      </c>
      <c r="N1509" t="s">
        <v>5401</v>
      </c>
      <c r="O1509">
        <v>1</v>
      </c>
      <c r="P1509">
        <v>3</v>
      </c>
      <c r="Q1509">
        <v>0</v>
      </c>
      <c r="V1509">
        <v>1000</v>
      </c>
      <c r="W1509">
        <v>6</v>
      </c>
      <c r="X1509" s="7">
        <v>1</v>
      </c>
      <c r="Y1509">
        <v>-0.1</v>
      </c>
      <c r="Z1509">
        <v>0</v>
      </c>
      <c r="AF1509">
        <v>0</v>
      </c>
      <c r="AM1509" s="669"/>
      <c r="AP1509" s="8" t="s">
        <v>5402</v>
      </c>
      <c r="AQ1509" t="s">
        <v>5403</v>
      </c>
    </row>
    <row r="1510" spans="1:43">
      <c r="A1510">
        <v>10099</v>
      </c>
      <c r="B1510" t="s">
        <v>5404</v>
      </c>
      <c r="C1510" s="668"/>
      <c r="D1510">
        <v>1</v>
      </c>
      <c r="E1510">
        <v>0</v>
      </c>
      <c r="G1510">
        <v>1</v>
      </c>
      <c r="H1510" s="11" t="s">
        <v>5405</v>
      </c>
      <c r="I1510">
        <v>2.43333333333333</v>
      </c>
      <c r="J1510">
        <v>2.43333333333333</v>
      </c>
      <c r="L1510">
        <v>0</v>
      </c>
      <c r="M1510">
        <v>2.03333333333333</v>
      </c>
      <c r="N1510" t="s">
        <v>5406</v>
      </c>
      <c r="O1510">
        <v>1</v>
      </c>
      <c r="P1510">
        <v>1.5</v>
      </c>
      <c r="Q1510">
        <v>0</v>
      </c>
      <c r="V1510">
        <v>1</v>
      </c>
      <c r="W1510">
        <v>0</v>
      </c>
      <c r="X1510" s="7">
        <v>3</v>
      </c>
      <c r="Y1510">
        <v>-0.1</v>
      </c>
      <c r="Z1510">
        <v>0</v>
      </c>
      <c r="AF1510">
        <v>0</v>
      </c>
      <c r="AM1510" s="669"/>
      <c r="AP1510" s="8">
        <v>906</v>
      </c>
      <c r="AQ1510" t="s">
        <v>136</v>
      </c>
    </row>
    <row r="1511" spans="1:43">
      <c r="A1511">
        <v>10100</v>
      </c>
      <c r="B1511" t="s">
        <v>5404</v>
      </c>
      <c r="C1511" s="668" t="s">
        <v>5407</v>
      </c>
      <c r="D1511">
        <v>1</v>
      </c>
      <c r="E1511">
        <v>0</v>
      </c>
      <c r="G1511">
        <v>1</v>
      </c>
      <c r="H1511" s="11" t="s">
        <v>5408</v>
      </c>
      <c r="I1511">
        <v>2.16666666666667</v>
      </c>
      <c r="J1511">
        <v>2.16666666666667</v>
      </c>
      <c r="L1511">
        <v>0</v>
      </c>
      <c r="M1511">
        <v>1.76666666666667</v>
      </c>
      <c r="N1511" t="s">
        <v>5409</v>
      </c>
      <c r="O1511">
        <v>1</v>
      </c>
      <c r="P1511">
        <v>1.5</v>
      </c>
      <c r="Q1511">
        <v>0</v>
      </c>
      <c r="S1511">
        <v>1</v>
      </c>
      <c r="T1511">
        <v>1</v>
      </c>
      <c r="U1511">
        <v>1.5</v>
      </c>
      <c r="V1511">
        <v>1</v>
      </c>
      <c r="W1511">
        <v>0</v>
      </c>
      <c r="X1511" s="7">
        <v>1</v>
      </c>
      <c r="Y1511">
        <v>-0.1</v>
      </c>
      <c r="Z1511">
        <v>0</v>
      </c>
      <c r="AF1511">
        <v>0</v>
      </c>
      <c r="AM1511" s="669"/>
      <c r="AP1511" s="8">
        <v>907</v>
      </c>
      <c r="AQ1511" t="s">
        <v>136</v>
      </c>
    </row>
    <row r="1512" spans="1:43">
      <c r="A1512">
        <v>10101</v>
      </c>
      <c r="B1512" t="s">
        <v>5410</v>
      </c>
      <c r="C1512" s="668"/>
      <c r="D1512">
        <v>1</v>
      </c>
      <c r="E1512">
        <v>0</v>
      </c>
      <c r="G1512">
        <v>1</v>
      </c>
      <c r="H1512" s="11" t="s">
        <v>5411</v>
      </c>
      <c r="I1512">
        <v>2.23333333333333</v>
      </c>
      <c r="J1512">
        <v>2.23333333333333</v>
      </c>
      <c r="L1512">
        <v>0</v>
      </c>
      <c r="M1512">
        <v>1.83333333333333</v>
      </c>
      <c r="N1512" t="s">
        <v>5412</v>
      </c>
      <c r="O1512">
        <v>1</v>
      </c>
      <c r="P1512">
        <v>2</v>
      </c>
      <c r="Q1512">
        <v>0</v>
      </c>
      <c r="T1512">
        <v>1</v>
      </c>
      <c r="U1512">
        <v>1</v>
      </c>
      <c r="V1512">
        <v>1</v>
      </c>
      <c r="W1512">
        <v>0</v>
      </c>
      <c r="X1512" s="7">
        <v>1</v>
      </c>
      <c r="Y1512">
        <v>-0.1</v>
      </c>
      <c r="Z1512">
        <v>0</v>
      </c>
      <c r="AF1512">
        <v>0</v>
      </c>
      <c r="AM1512" s="669"/>
      <c r="AP1512" s="8">
        <v>910</v>
      </c>
      <c r="AQ1512" t="s">
        <v>136</v>
      </c>
    </row>
    <row r="1513" spans="1:43">
      <c r="A1513">
        <v>10102</v>
      </c>
      <c r="B1513" t="s">
        <v>5410</v>
      </c>
      <c r="C1513" s="668" t="s">
        <v>5413</v>
      </c>
      <c r="D1513">
        <v>1</v>
      </c>
      <c r="E1513">
        <v>0</v>
      </c>
      <c r="G1513">
        <v>1</v>
      </c>
      <c r="H1513" s="11" t="s">
        <v>5414</v>
      </c>
      <c r="I1513">
        <f>80/30</f>
        <v>2.66666666666667</v>
      </c>
      <c r="J1513">
        <f>80/30</f>
        <v>2.66666666666667</v>
      </c>
      <c r="L1513">
        <v>0</v>
      </c>
      <c r="M1513">
        <f>J1513-0.4</f>
        <v>2.26666666666667</v>
      </c>
      <c r="N1513" t="s">
        <v>5415</v>
      </c>
      <c r="O1513">
        <v>1</v>
      </c>
      <c r="P1513">
        <v>2</v>
      </c>
      <c r="Q1513">
        <v>0</v>
      </c>
      <c r="S1513">
        <v>1</v>
      </c>
      <c r="T1513">
        <v>-1</v>
      </c>
      <c r="U1513">
        <v>2</v>
      </c>
      <c r="V1513">
        <v>1</v>
      </c>
      <c r="W1513">
        <v>1</v>
      </c>
      <c r="X1513" s="7">
        <v>1</v>
      </c>
      <c r="Y1513">
        <v>-0.1</v>
      </c>
      <c r="Z1513">
        <v>0</v>
      </c>
      <c r="AF1513">
        <v>0</v>
      </c>
      <c r="AM1513" s="669"/>
      <c r="AP1513" s="8">
        <v>911</v>
      </c>
      <c r="AQ1513" t="s">
        <v>136</v>
      </c>
    </row>
    <row r="1514" spans="1:43">
      <c r="A1514">
        <v>10103</v>
      </c>
      <c r="B1514" t="s">
        <v>5416</v>
      </c>
      <c r="C1514" s="668"/>
      <c r="D1514">
        <v>1</v>
      </c>
      <c r="E1514">
        <v>0</v>
      </c>
      <c r="G1514">
        <v>2</v>
      </c>
      <c r="H1514" s="11" t="s">
        <v>5417</v>
      </c>
      <c r="I1514">
        <v>1.83333333333333</v>
      </c>
      <c r="J1514">
        <v>1.83333333333333</v>
      </c>
      <c r="L1514">
        <v>0</v>
      </c>
      <c r="M1514">
        <v>1.43333333333333</v>
      </c>
      <c r="N1514" t="s">
        <v>5418</v>
      </c>
      <c r="O1514">
        <v>1</v>
      </c>
      <c r="P1514">
        <v>1.5</v>
      </c>
      <c r="Q1514">
        <v>0</v>
      </c>
      <c r="V1514">
        <v>1</v>
      </c>
      <c r="W1514">
        <v>0</v>
      </c>
      <c r="X1514" s="7">
        <v>3</v>
      </c>
      <c r="Y1514">
        <v>-0.1</v>
      </c>
      <c r="Z1514">
        <v>0</v>
      </c>
      <c r="AF1514">
        <v>0</v>
      </c>
      <c r="AM1514" s="669"/>
      <c r="AP1514" s="8">
        <v>913</v>
      </c>
      <c r="AQ1514" t="s">
        <v>136</v>
      </c>
    </row>
    <row r="1515" spans="1:43">
      <c r="A1515">
        <v>10104</v>
      </c>
      <c r="B1515" t="s">
        <v>5416</v>
      </c>
      <c r="C1515" s="668" t="s">
        <v>5413</v>
      </c>
      <c r="D1515">
        <v>1</v>
      </c>
      <c r="E1515">
        <v>0</v>
      </c>
      <c r="G1515">
        <v>2</v>
      </c>
      <c r="H1515" s="11" t="s">
        <v>5419</v>
      </c>
      <c r="I1515">
        <v>1.83333333333333</v>
      </c>
      <c r="J1515">
        <v>1.83333333333333</v>
      </c>
      <c r="L1515">
        <v>0</v>
      </c>
      <c r="M1515">
        <v>1.43333333333333</v>
      </c>
      <c r="N1515" t="s">
        <v>5420</v>
      </c>
      <c r="O1515">
        <v>1</v>
      </c>
      <c r="P1515">
        <v>1.5</v>
      </c>
      <c r="Q1515">
        <v>0</v>
      </c>
      <c r="S1515">
        <v>1.5</v>
      </c>
      <c r="T1515">
        <v>1.5</v>
      </c>
      <c r="U1515">
        <v>1.5</v>
      </c>
      <c r="V1515">
        <v>1</v>
      </c>
      <c r="W1515">
        <v>0</v>
      </c>
      <c r="X1515" s="7">
        <v>1</v>
      </c>
      <c r="Y1515">
        <v>-0.1</v>
      </c>
      <c r="Z1515">
        <v>0</v>
      </c>
      <c r="AF1515">
        <v>0</v>
      </c>
      <c r="AM1515" s="669"/>
      <c r="AP1515" s="8">
        <v>914</v>
      </c>
      <c r="AQ1515" t="s">
        <v>136</v>
      </c>
    </row>
    <row r="1516" spans="1:43">
      <c r="A1516">
        <v>10105</v>
      </c>
      <c r="B1516" t="s">
        <v>5421</v>
      </c>
      <c r="C1516" s="668"/>
      <c r="D1516">
        <v>1</v>
      </c>
      <c r="E1516">
        <v>0</v>
      </c>
      <c r="G1516">
        <v>1</v>
      </c>
      <c r="H1516" s="11" t="s">
        <v>5422</v>
      </c>
      <c r="I1516">
        <v>2.46666666666667</v>
      </c>
      <c r="J1516">
        <v>2.46666666666667</v>
      </c>
      <c r="L1516">
        <v>0</v>
      </c>
      <c r="M1516">
        <v>2.06666666666667</v>
      </c>
      <c r="N1516" t="s">
        <v>5423</v>
      </c>
      <c r="O1516">
        <v>1</v>
      </c>
      <c r="P1516">
        <v>1.5</v>
      </c>
      <c r="Q1516">
        <v>0</v>
      </c>
      <c r="S1516">
        <v>1</v>
      </c>
      <c r="T1516">
        <v>1</v>
      </c>
      <c r="U1516">
        <v>1</v>
      </c>
      <c r="V1516">
        <v>1</v>
      </c>
      <c r="W1516">
        <v>0</v>
      </c>
      <c r="X1516" s="7">
        <v>3</v>
      </c>
      <c r="Y1516">
        <v>-0.1</v>
      </c>
      <c r="Z1516">
        <v>0</v>
      </c>
      <c r="AF1516">
        <v>0</v>
      </c>
      <c r="AM1516" s="669"/>
      <c r="AP1516" s="8">
        <v>920</v>
      </c>
      <c r="AQ1516" t="s">
        <v>136</v>
      </c>
    </row>
    <row r="1517" spans="1:43">
      <c r="A1517">
        <v>10106</v>
      </c>
      <c r="B1517" t="s">
        <v>5421</v>
      </c>
      <c r="C1517" s="668" t="s">
        <v>5413</v>
      </c>
      <c r="D1517">
        <v>1</v>
      </c>
      <c r="E1517">
        <v>0</v>
      </c>
      <c r="G1517">
        <v>1</v>
      </c>
      <c r="H1517" s="11" t="s">
        <v>5424</v>
      </c>
      <c r="I1517">
        <v>4</v>
      </c>
      <c r="J1517">
        <v>4</v>
      </c>
      <c r="L1517">
        <v>0</v>
      </c>
      <c r="M1517">
        <v>3.6</v>
      </c>
      <c r="N1517" t="s">
        <v>5425</v>
      </c>
      <c r="O1517">
        <v>1</v>
      </c>
      <c r="P1517">
        <v>1.5</v>
      </c>
      <c r="Q1517">
        <v>0</v>
      </c>
      <c r="S1517">
        <v>1</v>
      </c>
      <c r="T1517">
        <v>1</v>
      </c>
      <c r="U1517">
        <v>1</v>
      </c>
      <c r="V1517">
        <v>1</v>
      </c>
      <c r="W1517">
        <v>0</v>
      </c>
      <c r="X1517" s="7">
        <v>1</v>
      </c>
      <c r="Y1517">
        <v>-0.1</v>
      </c>
      <c r="Z1517">
        <v>0</v>
      </c>
      <c r="AE1517" s="99"/>
      <c r="AF1517">
        <v>0</v>
      </c>
      <c r="AM1517" s="669"/>
      <c r="AP1517" s="8" t="s">
        <v>5426</v>
      </c>
      <c r="AQ1517" t="s">
        <v>972</v>
      </c>
    </row>
    <row r="1518" spans="1:43">
      <c r="A1518">
        <v>10107</v>
      </c>
      <c r="B1518" t="s">
        <v>5421</v>
      </c>
      <c r="C1518" s="668" t="s">
        <v>5427</v>
      </c>
      <c r="D1518">
        <v>1</v>
      </c>
      <c r="E1518">
        <v>0</v>
      </c>
      <c r="G1518">
        <v>1</v>
      </c>
      <c r="H1518" s="11" t="s">
        <v>5428</v>
      </c>
      <c r="I1518">
        <v>5.53333333333333</v>
      </c>
      <c r="J1518">
        <v>5.53333333333333</v>
      </c>
      <c r="L1518">
        <v>1</v>
      </c>
      <c r="M1518">
        <v>5.13333333333333</v>
      </c>
      <c r="N1518" t="s">
        <v>5429</v>
      </c>
      <c r="O1518">
        <v>1</v>
      </c>
      <c r="P1518">
        <v>1.5</v>
      </c>
      <c r="Q1518">
        <v>0</v>
      </c>
      <c r="V1518">
        <v>1</v>
      </c>
      <c r="W1518">
        <v>0</v>
      </c>
      <c r="X1518" s="7">
        <v>1</v>
      </c>
      <c r="Y1518">
        <v>-0.1</v>
      </c>
      <c r="Z1518">
        <v>0</v>
      </c>
      <c r="AB1518">
        <v>5.3</v>
      </c>
      <c r="AC1518">
        <v>2</v>
      </c>
      <c r="AD1518">
        <v>1</v>
      </c>
      <c r="AE1518" t="s">
        <v>5430</v>
      </c>
      <c r="AF1518">
        <v>0.5</v>
      </c>
      <c r="AM1518" s="669"/>
      <c r="AP1518" s="8">
        <v>923</v>
      </c>
      <c r="AQ1518" t="s">
        <v>136</v>
      </c>
    </row>
    <row r="1519" spans="1:43">
      <c r="A1519">
        <v>10108</v>
      </c>
      <c r="B1519" t="s">
        <v>5431</v>
      </c>
      <c r="C1519" s="668"/>
      <c r="D1519">
        <v>1</v>
      </c>
      <c r="E1519">
        <v>0</v>
      </c>
      <c r="G1519">
        <v>1</v>
      </c>
      <c r="H1519" s="11" t="s">
        <v>5432</v>
      </c>
      <c r="I1519">
        <v>1.96666666666667</v>
      </c>
      <c r="J1519">
        <v>1.96666666666667</v>
      </c>
      <c r="L1519">
        <v>0</v>
      </c>
      <c r="M1519">
        <v>1.56666666666667</v>
      </c>
      <c r="N1519" t="s">
        <v>5433</v>
      </c>
      <c r="O1519">
        <v>1</v>
      </c>
      <c r="P1519">
        <v>1.3</v>
      </c>
      <c r="Q1519">
        <v>0</v>
      </c>
      <c r="T1519">
        <v>1</v>
      </c>
      <c r="V1519">
        <v>1</v>
      </c>
      <c r="W1519">
        <v>0</v>
      </c>
      <c r="X1519" s="7">
        <v>3</v>
      </c>
      <c r="Y1519">
        <v>-0.1</v>
      </c>
      <c r="Z1519">
        <v>0</v>
      </c>
      <c r="AF1519">
        <v>0</v>
      </c>
      <c r="AM1519" s="669"/>
      <c r="AP1519" s="8">
        <v>917</v>
      </c>
      <c r="AQ1519" t="s">
        <v>136</v>
      </c>
    </row>
    <row r="1520" spans="1:43">
      <c r="A1520">
        <v>10109</v>
      </c>
      <c r="B1520" t="s">
        <v>5431</v>
      </c>
      <c r="C1520" s="668" t="s">
        <v>5413</v>
      </c>
      <c r="D1520">
        <v>2</v>
      </c>
      <c r="E1520">
        <v>1</v>
      </c>
      <c r="G1520">
        <v>1</v>
      </c>
      <c r="H1520" s="11" t="s">
        <v>5434</v>
      </c>
      <c r="I1520">
        <v>1.66666666666667</v>
      </c>
      <c r="J1520">
        <v>1.66666666666667</v>
      </c>
      <c r="L1520">
        <v>0</v>
      </c>
      <c r="M1520">
        <v>1.26666666666667</v>
      </c>
      <c r="N1520" t="s">
        <v>5435</v>
      </c>
      <c r="O1520">
        <v>5</v>
      </c>
      <c r="P1520">
        <v>0</v>
      </c>
      <c r="Q1520">
        <v>0</v>
      </c>
      <c r="S1520">
        <v>1</v>
      </c>
      <c r="V1520">
        <v>1000</v>
      </c>
      <c r="W1520">
        <v>0</v>
      </c>
      <c r="X1520" s="7">
        <v>1</v>
      </c>
      <c r="Y1520">
        <v>-0.1</v>
      </c>
      <c r="Z1520">
        <v>0</v>
      </c>
      <c r="AF1520">
        <v>0</v>
      </c>
      <c r="AM1520" s="669"/>
      <c r="AP1520" s="8">
        <v>918</v>
      </c>
      <c r="AQ1520" t="s">
        <v>136</v>
      </c>
    </row>
    <row r="1521" spans="1:43">
      <c r="A1521">
        <v>10110</v>
      </c>
      <c r="B1521" t="s">
        <v>5431</v>
      </c>
      <c r="C1521" s="668" t="s">
        <v>5427</v>
      </c>
      <c r="D1521">
        <v>1</v>
      </c>
      <c r="E1521">
        <v>0</v>
      </c>
      <c r="G1521">
        <v>1</v>
      </c>
      <c r="H1521" s="11" t="s">
        <v>5436</v>
      </c>
      <c r="I1521">
        <v>2</v>
      </c>
      <c r="J1521">
        <v>2</v>
      </c>
      <c r="L1521">
        <v>0</v>
      </c>
      <c r="M1521">
        <v>1.6</v>
      </c>
      <c r="N1521" t="s">
        <v>5437</v>
      </c>
      <c r="O1521">
        <v>1</v>
      </c>
      <c r="P1521">
        <v>1.3</v>
      </c>
      <c r="Q1521">
        <v>0</v>
      </c>
      <c r="S1521">
        <v>-1.5</v>
      </c>
      <c r="U1521">
        <v>0.8</v>
      </c>
      <c r="V1521">
        <v>1</v>
      </c>
      <c r="W1521">
        <v>4</v>
      </c>
      <c r="X1521" s="7">
        <v>2</v>
      </c>
      <c r="Y1521">
        <v>-0.1</v>
      </c>
      <c r="Z1521">
        <v>0</v>
      </c>
      <c r="AF1521">
        <v>0</v>
      </c>
      <c r="AM1521" s="669"/>
      <c r="AP1521" s="8">
        <v>919</v>
      </c>
      <c r="AQ1521" t="s">
        <v>136</v>
      </c>
    </row>
    <row r="1522" spans="1:43">
      <c r="A1522">
        <v>10111</v>
      </c>
      <c r="B1522" t="s">
        <v>5438</v>
      </c>
      <c r="C1522" s="668"/>
      <c r="D1522">
        <v>1</v>
      </c>
      <c r="E1522">
        <v>0</v>
      </c>
      <c r="G1522">
        <v>1</v>
      </c>
      <c r="H1522" s="11" t="s">
        <v>5439</v>
      </c>
      <c r="I1522">
        <v>2.33333333333333</v>
      </c>
      <c r="J1522">
        <v>2.33333333333333</v>
      </c>
      <c r="L1522">
        <v>0</v>
      </c>
      <c r="M1522">
        <v>1.93333333333333</v>
      </c>
      <c r="N1522" t="s">
        <v>5440</v>
      </c>
      <c r="O1522">
        <v>1</v>
      </c>
      <c r="P1522">
        <v>1.5</v>
      </c>
      <c r="Q1522">
        <v>0</v>
      </c>
      <c r="V1522">
        <v>1</v>
      </c>
      <c r="W1522">
        <v>0</v>
      </c>
      <c r="X1522" s="7">
        <v>2</v>
      </c>
      <c r="Y1522">
        <v>-0.1</v>
      </c>
      <c r="Z1522">
        <v>0</v>
      </c>
      <c r="AF1522">
        <v>0</v>
      </c>
      <c r="AM1522" s="669"/>
      <c r="AP1522" s="8">
        <v>926</v>
      </c>
      <c r="AQ1522" t="s">
        <v>136</v>
      </c>
    </row>
    <row r="1523" spans="1:43">
      <c r="A1523">
        <v>10112</v>
      </c>
      <c r="B1523" t="s">
        <v>5438</v>
      </c>
      <c r="C1523" s="668" t="s">
        <v>5413</v>
      </c>
      <c r="D1523">
        <v>1</v>
      </c>
      <c r="E1523">
        <v>0</v>
      </c>
      <c r="G1523">
        <v>1</v>
      </c>
      <c r="H1523" s="11" t="s">
        <v>5441</v>
      </c>
      <c r="I1523">
        <v>4.16666666666667</v>
      </c>
      <c r="J1523">
        <v>4.16666666666667</v>
      </c>
      <c r="L1523">
        <v>1</v>
      </c>
      <c r="M1523">
        <v>3.76666666666667</v>
      </c>
      <c r="N1523" t="s">
        <v>5442</v>
      </c>
      <c r="O1523">
        <v>1</v>
      </c>
      <c r="P1523">
        <v>1.5</v>
      </c>
      <c r="Q1523">
        <v>0</v>
      </c>
      <c r="V1523">
        <v>1</v>
      </c>
      <c r="W1523">
        <v>0</v>
      </c>
      <c r="X1523" s="7">
        <v>1</v>
      </c>
      <c r="Y1523">
        <v>-0.1</v>
      </c>
      <c r="Z1523">
        <v>0</v>
      </c>
      <c r="AD1523">
        <v>1</v>
      </c>
      <c r="AE1523" t="s">
        <v>5443</v>
      </c>
      <c r="AF1523">
        <v>0.5</v>
      </c>
      <c r="AM1523" s="669"/>
      <c r="AP1523" s="8">
        <v>927</v>
      </c>
      <c r="AQ1523" t="s">
        <v>136</v>
      </c>
    </row>
    <row r="1524" spans="1:43">
      <c r="A1524">
        <v>10113</v>
      </c>
      <c r="B1524" t="s">
        <v>5438</v>
      </c>
      <c r="C1524" s="668" t="s">
        <v>5427</v>
      </c>
      <c r="D1524">
        <v>1</v>
      </c>
      <c r="E1524">
        <v>0</v>
      </c>
      <c r="G1524">
        <v>1</v>
      </c>
      <c r="H1524" s="11" t="s">
        <v>5444</v>
      </c>
      <c r="I1524">
        <v>6.33333333333333</v>
      </c>
      <c r="J1524">
        <v>6.33333333333333</v>
      </c>
      <c r="L1524">
        <v>1</v>
      </c>
      <c r="M1524">
        <v>5.93333333333333</v>
      </c>
      <c r="N1524" t="s">
        <v>5445</v>
      </c>
      <c r="O1524">
        <v>1</v>
      </c>
      <c r="P1524">
        <v>1.5</v>
      </c>
      <c r="Q1524">
        <v>0</v>
      </c>
      <c r="V1524">
        <v>1</v>
      </c>
      <c r="W1524">
        <v>0</v>
      </c>
      <c r="X1524" s="7">
        <v>11</v>
      </c>
      <c r="Y1524">
        <v>-0.1</v>
      </c>
      <c r="Z1524">
        <v>0</v>
      </c>
      <c r="AB1524">
        <v>6</v>
      </c>
      <c r="AC1524">
        <v>2</v>
      </c>
      <c r="AD1524">
        <v>1</v>
      </c>
      <c r="AE1524" t="s">
        <v>5446</v>
      </c>
      <c r="AF1524">
        <v>0.5</v>
      </c>
      <c r="AM1524" s="669"/>
      <c r="AP1524" s="8" t="s">
        <v>5447</v>
      </c>
      <c r="AQ1524" t="s">
        <v>5448</v>
      </c>
    </row>
    <row r="1525" spans="1:43">
      <c r="A1525">
        <v>10114</v>
      </c>
      <c r="B1525" t="s">
        <v>5449</v>
      </c>
      <c r="C1525" s="668"/>
      <c r="D1525">
        <v>1</v>
      </c>
      <c r="E1525">
        <v>0</v>
      </c>
      <c r="G1525">
        <v>1</v>
      </c>
      <c r="H1525" s="11" t="s">
        <v>5450</v>
      </c>
      <c r="I1525">
        <v>1.96666666666667</v>
      </c>
      <c r="J1525">
        <v>1.96666666666667</v>
      </c>
      <c r="L1525">
        <v>0</v>
      </c>
      <c r="M1525">
        <f t="shared" si="175"/>
        <v>1.56666666666667</v>
      </c>
      <c r="N1525" t="s">
        <v>5451</v>
      </c>
      <c r="O1525">
        <v>1</v>
      </c>
      <c r="P1525">
        <v>1.5</v>
      </c>
      <c r="Q1525">
        <v>0</v>
      </c>
      <c r="V1525">
        <v>1</v>
      </c>
      <c r="W1525">
        <v>0</v>
      </c>
      <c r="X1525" s="7">
        <v>2</v>
      </c>
      <c r="Y1525">
        <v>-0.1</v>
      </c>
      <c r="Z1525">
        <v>0</v>
      </c>
      <c r="AF1525">
        <v>0</v>
      </c>
      <c r="AM1525" s="669"/>
      <c r="AP1525" s="8">
        <v>930</v>
      </c>
      <c r="AQ1525" t="s">
        <v>1444</v>
      </c>
    </row>
    <row r="1526" spans="1:43">
      <c r="A1526">
        <v>10115</v>
      </c>
      <c r="B1526" t="s">
        <v>5449</v>
      </c>
      <c r="C1526" s="668" t="s">
        <v>5413</v>
      </c>
      <c r="D1526">
        <v>1</v>
      </c>
      <c r="E1526">
        <v>0</v>
      </c>
      <c r="G1526">
        <v>1</v>
      </c>
      <c r="H1526" s="11" t="s">
        <v>5452</v>
      </c>
      <c r="I1526">
        <v>2.83333333333333</v>
      </c>
      <c r="J1526">
        <v>2.83333333333333</v>
      </c>
      <c r="L1526">
        <v>0</v>
      </c>
      <c r="M1526">
        <f t="shared" si="175"/>
        <v>2.43333333333333</v>
      </c>
      <c r="N1526" t="s">
        <v>5453</v>
      </c>
      <c r="O1526">
        <v>1</v>
      </c>
      <c r="P1526">
        <v>1.5</v>
      </c>
      <c r="Q1526">
        <v>0</v>
      </c>
      <c r="S1526">
        <v>-1.2</v>
      </c>
      <c r="U1526">
        <v>0.8</v>
      </c>
      <c r="V1526">
        <v>1</v>
      </c>
      <c r="W1526">
        <v>3</v>
      </c>
      <c r="X1526" s="7">
        <v>1</v>
      </c>
      <c r="Y1526">
        <v>-0.1</v>
      </c>
      <c r="Z1526">
        <v>0</v>
      </c>
      <c r="AF1526">
        <v>0</v>
      </c>
      <c r="AM1526" s="669"/>
      <c r="AP1526" s="8">
        <v>931</v>
      </c>
      <c r="AQ1526" t="s">
        <v>1444</v>
      </c>
    </row>
    <row r="1527" spans="1:43">
      <c r="A1527">
        <v>10116</v>
      </c>
      <c r="B1527" t="s">
        <v>747</v>
      </c>
      <c r="C1527" s="668"/>
      <c r="D1527">
        <v>1</v>
      </c>
      <c r="E1527">
        <v>0</v>
      </c>
      <c r="G1527">
        <v>1</v>
      </c>
      <c r="H1527" s="11" t="s">
        <v>5454</v>
      </c>
      <c r="I1527">
        <v>1.8</v>
      </c>
      <c r="J1527">
        <v>1.8</v>
      </c>
      <c r="L1527">
        <v>0</v>
      </c>
      <c r="M1527">
        <f t="shared" si="175"/>
        <v>1.4</v>
      </c>
      <c r="N1527" t="s">
        <v>5455</v>
      </c>
      <c r="O1527">
        <v>1</v>
      </c>
      <c r="P1527">
        <v>1.2</v>
      </c>
      <c r="Q1527">
        <v>0</v>
      </c>
      <c r="T1527">
        <v>1</v>
      </c>
      <c r="U1527">
        <v>1</v>
      </c>
      <c r="V1527">
        <v>1</v>
      </c>
      <c r="W1527">
        <v>0</v>
      </c>
      <c r="X1527" s="7">
        <v>2</v>
      </c>
      <c r="Y1527">
        <v>-0.1</v>
      </c>
      <c r="Z1527">
        <v>0</v>
      </c>
      <c r="AF1527">
        <v>0</v>
      </c>
      <c r="AM1527" s="669"/>
      <c r="AP1527" s="8">
        <v>938</v>
      </c>
      <c r="AQ1527" t="s">
        <v>1444</v>
      </c>
    </row>
    <row r="1528" spans="1:43">
      <c r="A1528">
        <v>10117</v>
      </c>
      <c r="B1528" t="s">
        <v>747</v>
      </c>
      <c r="C1528" s="668" t="s">
        <v>5413</v>
      </c>
      <c r="D1528">
        <v>1</v>
      </c>
      <c r="E1528">
        <v>0</v>
      </c>
      <c r="G1528">
        <v>1</v>
      </c>
      <c r="H1528" s="11" t="s">
        <v>5456</v>
      </c>
      <c r="I1528">
        <v>2</v>
      </c>
      <c r="J1528">
        <v>2</v>
      </c>
      <c r="L1528">
        <v>0</v>
      </c>
      <c r="M1528">
        <f t="shared" si="175"/>
        <v>1.6</v>
      </c>
      <c r="N1528" t="s">
        <v>5457</v>
      </c>
      <c r="O1528">
        <v>1</v>
      </c>
      <c r="P1528">
        <v>1.2</v>
      </c>
      <c r="Q1528">
        <v>0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0</v>
      </c>
      <c r="X1528" s="7">
        <v>3</v>
      </c>
      <c r="Y1528">
        <v>-0.1</v>
      </c>
      <c r="Z1528">
        <v>0</v>
      </c>
      <c r="AF1528">
        <v>0</v>
      </c>
      <c r="AM1528" s="669"/>
      <c r="AP1528" s="8">
        <v>939</v>
      </c>
      <c r="AQ1528" t="s">
        <v>1444</v>
      </c>
    </row>
    <row r="1529" spans="1:43">
      <c r="A1529">
        <v>10118</v>
      </c>
      <c r="B1529" t="s">
        <v>747</v>
      </c>
      <c r="C1529" s="668" t="s">
        <v>5427</v>
      </c>
      <c r="D1529">
        <v>1</v>
      </c>
      <c r="E1529">
        <v>0</v>
      </c>
      <c r="G1529">
        <v>1</v>
      </c>
      <c r="H1529" s="11" t="s">
        <v>5458</v>
      </c>
      <c r="I1529">
        <v>3.06666666666667</v>
      </c>
      <c r="J1529">
        <v>3.06666666666667</v>
      </c>
      <c r="L1529">
        <v>1</v>
      </c>
      <c r="M1529">
        <f t="shared" si="175"/>
        <v>2.66666666666667</v>
      </c>
      <c r="N1529" t="s">
        <v>5459</v>
      </c>
      <c r="O1529">
        <v>4</v>
      </c>
      <c r="P1529">
        <v>10</v>
      </c>
      <c r="Q1529">
        <v>1</v>
      </c>
      <c r="V1529">
        <v>1</v>
      </c>
      <c r="W1529">
        <v>4</v>
      </c>
      <c r="X1529" s="7">
        <v>3</v>
      </c>
      <c r="Y1529">
        <v>-0.1</v>
      </c>
      <c r="Z1529">
        <v>0</v>
      </c>
      <c r="AB1529">
        <v>2.8</v>
      </c>
      <c r="AC1529">
        <v>2</v>
      </c>
      <c r="AD1529">
        <v>1</v>
      </c>
      <c r="AE1529" t="s">
        <v>5460</v>
      </c>
      <c r="AF1529">
        <v>0.5</v>
      </c>
      <c r="AM1529" s="669"/>
      <c r="AP1529" s="8">
        <v>940</v>
      </c>
      <c r="AQ1529" t="s">
        <v>1444</v>
      </c>
    </row>
    <row r="1530" spans="1:43">
      <c r="A1530">
        <v>10119</v>
      </c>
      <c r="B1530" t="s">
        <v>769</v>
      </c>
      <c r="C1530" s="668"/>
      <c r="D1530">
        <v>1</v>
      </c>
      <c r="E1530">
        <v>0</v>
      </c>
      <c r="G1530">
        <v>1</v>
      </c>
      <c r="H1530" s="11" t="s">
        <v>5461</v>
      </c>
      <c r="I1530">
        <v>1.66666666666667</v>
      </c>
      <c r="J1530">
        <v>1.66666666666667</v>
      </c>
      <c r="L1530">
        <v>0</v>
      </c>
      <c r="M1530">
        <f t="shared" si="175"/>
        <v>1.26666666666667</v>
      </c>
      <c r="N1530" t="s">
        <v>5462</v>
      </c>
      <c r="O1530">
        <v>1</v>
      </c>
      <c r="P1530">
        <v>1.2</v>
      </c>
      <c r="Q1530">
        <v>0</v>
      </c>
      <c r="V1530">
        <v>1</v>
      </c>
      <c r="W1530">
        <v>0</v>
      </c>
      <c r="X1530" s="7">
        <v>2</v>
      </c>
      <c r="Y1530">
        <v>-0.1</v>
      </c>
      <c r="Z1530">
        <v>0</v>
      </c>
      <c r="AF1530">
        <v>0</v>
      </c>
      <c r="AM1530" s="669"/>
      <c r="AP1530" s="8">
        <v>941</v>
      </c>
      <c r="AQ1530" t="s">
        <v>1444</v>
      </c>
    </row>
    <row r="1531" spans="1:43">
      <c r="A1531">
        <v>10120</v>
      </c>
      <c r="B1531" t="s">
        <v>769</v>
      </c>
      <c r="C1531" s="668" t="s">
        <v>5413</v>
      </c>
      <c r="D1531">
        <v>1</v>
      </c>
      <c r="E1531">
        <v>0</v>
      </c>
      <c r="G1531">
        <v>1</v>
      </c>
      <c r="H1531" s="11" t="s">
        <v>5463</v>
      </c>
      <c r="I1531">
        <v>2.6</v>
      </c>
      <c r="J1531">
        <v>2.6</v>
      </c>
      <c r="L1531">
        <v>0</v>
      </c>
      <c r="M1531">
        <f t="shared" si="175"/>
        <v>2.2</v>
      </c>
      <c r="N1531" t="s">
        <v>5464</v>
      </c>
      <c r="O1531">
        <v>1</v>
      </c>
      <c r="P1531">
        <v>1.2</v>
      </c>
      <c r="Q1531">
        <v>0</v>
      </c>
      <c r="S1531">
        <v>1</v>
      </c>
      <c r="T1531">
        <v>1</v>
      </c>
      <c r="U1531">
        <v>1</v>
      </c>
      <c r="V1531">
        <v>1</v>
      </c>
      <c r="W1531">
        <v>0</v>
      </c>
      <c r="X1531" s="7">
        <v>3</v>
      </c>
      <c r="Y1531">
        <v>-0.1</v>
      </c>
      <c r="Z1531">
        <v>0</v>
      </c>
      <c r="AF1531">
        <v>0</v>
      </c>
      <c r="AM1531" s="669"/>
      <c r="AP1531" s="8">
        <v>942</v>
      </c>
      <c r="AQ1531" t="s">
        <v>1444</v>
      </c>
    </row>
    <row r="1532" spans="1:43">
      <c r="A1532">
        <v>10121</v>
      </c>
      <c r="B1532" t="s">
        <v>5465</v>
      </c>
      <c r="C1532" s="668"/>
      <c r="D1532">
        <v>1</v>
      </c>
      <c r="E1532">
        <v>0</v>
      </c>
      <c r="G1532">
        <v>1</v>
      </c>
      <c r="H1532" s="11" t="s">
        <v>5466</v>
      </c>
      <c r="I1532">
        <v>2.43333333333333</v>
      </c>
      <c r="J1532">
        <v>2.43333333333333</v>
      </c>
      <c r="L1532">
        <v>0</v>
      </c>
      <c r="M1532">
        <f t="shared" si="175"/>
        <v>2.03333333333333</v>
      </c>
      <c r="N1532" t="s">
        <v>5467</v>
      </c>
      <c r="O1532">
        <v>1</v>
      </c>
      <c r="P1532">
        <v>1.5</v>
      </c>
      <c r="Q1532">
        <v>0</v>
      </c>
      <c r="V1532">
        <v>1</v>
      </c>
      <c r="W1532">
        <v>0</v>
      </c>
      <c r="X1532" s="7">
        <v>2</v>
      </c>
      <c r="Y1532">
        <v>-0.1</v>
      </c>
      <c r="Z1532">
        <v>0</v>
      </c>
      <c r="AF1532">
        <v>0</v>
      </c>
      <c r="AM1532" s="669"/>
      <c r="AP1532" s="8">
        <v>935</v>
      </c>
      <c r="AQ1532" t="s">
        <v>1444</v>
      </c>
    </row>
    <row r="1533" spans="1:43">
      <c r="A1533">
        <v>10122</v>
      </c>
      <c r="B1533" t="s">
        <v>5465</v>
      </c>
      <c r="C1533" s="668" t="s">
        <v>5413</v>
      </c>
      <c r="D1533">
        <v>1</v>
      </c>
      <c r="E1533">
        <v>0</v>
      </c>
      <c r="G1533">
        <v>1</v>
      </c>
      <c r="H1533" s="11" t="s">
        <v>5468</v>
      </c>
      <c r="I1533">
        <v>4.1</v>
      </c>
      <c r="J1533">
        <v>4.1</v>
      </c>
      <c r="L1533">
        <v>0</v>
      </c>
      <c r="M1533">
        <f t="shared" si="175"/>
        <v>3.7</v>
      </c>
      <c r="N1533" t="s">
        <v>5469</v>
      </c>
      <c r="O1533">
        <v>1</v>
      </c>
      <c r="P1533">
        <v>1.5</v>
      </c>
      <c r="Q1533">
        <v>0</v>
      </c>
      <c r="V1533">
        <v>1</v>
      </c>
      <c r="W1533">
        <v>0</v>
      </c>
      <c r="X1533" s="7">
        <v>5</v>
      </c>
      <c r="Y1533">
        <v>-0.1</v>
      </c>
      <c r="Z1533">
        <v>0</v>
      </c>
      <c r="AF1533">
        <v>0</v>
      </c>
      <c r="AM1533" s="669"/>
      <c r="AP1533" s="8">
        <v>936</v>
      </c>
      <c r="AQ1533" t="s">
        <v>1444</v>
      </c>
    </row>
    <row r="1534" spans="1:43">
      <c r="A1534">
        <v>10123</v>
      </c>
      <c r="B1534" t="s">
        <v>5470</v>
      </c>
      <c r="C1534" s="668"/>
      <c r="D1534">
        <v>1</v>
      </c>
      <c r="E1534">
        <v>0</v>
      </c>
      <c r="G1534">
        <v>1</v>
      </c>
      <c r="H1534" s="11" t="s">
        <v>5471</v>
      </c>
      <c r="I1534">
        <v>2.66666666666667</v>
      </c>
      <c r="J1534">
        <v>2.66666666666667</v>
      </c>
      <c r="L1534">
        <v>0</v>
      </c>
      <c r="M1534">
        <f t="shared" si="175"/>
        <v>2.26666666666667</v>
      </c>
      <c r="N1534" t="s">
        <v>5472</v>
      </c>
      <c r="O1534">
        <v>1</v>
      </c>
      <c r="P1534">
        <v>1.5</v>
      </c>
      <c r="Q1534">
        <v>0</v>
      </c>
      <c r="V1534">
        <v>1</v>
      </c>
      <c r="W1534">
        <v>0</v>
      </c>
      <c r="X1534" s="7">
        <v>2</v>
      </c>
      <c r="Y1534">
        <v>-0.1</v>
      </c>
      <c r="Z1534">
        <v>0</v>
      </c>
      <c r="AF1534">
        <v>0</v>
      </c>
      <c r="AM1534" s="669"/>
      <c r="AP1534" s="8">
        <v>932</v>
      </c>
      <c r="AQ1534" t="s">
        <v>1444</v>
      </c>
    </row>
    <row r="1535" spans="1:43">
      <c r="A1535">
        <v>10124</v>
      </c>
      <c r="B1535" t="s">
        <v>5470</v>
      </c>
      <c r="C1535" s="668" t="s">
        <v>5413</v>
      </c>
      <c r="D1535">
        <v>1</v>
      </c>
      <c r="E1535">
        <v>0</v>
      </c>
      <c r="G1535">
        <v>1</v>
      </c>
      <c r="H1535" s="11" t="s">
        <v>5473</v>
      </c>
      <c r="I1535">
        <v>3.63333333333333</v>
      </c>
      <c r="J1535">
        <v>3.63333333333333</v>
      </c>
      <c r="L1535">
        <v>0</v>
      </c>
      <c r="M1535">
        <f t="shared" si="175"/>
        <v>3.23333333333333</v>
      </c>
      <c r="N1535" t="s">
        <v>5474</v>
      </c>
      <c r="O1535">
        <v>1</v>
      </c>
      <c r="P1535">
        <v>1.5</v>
      </c>
      <c r="Q1535">
        <v>0</v>
      </c>
      <c r="V1535">
        <v>1</v>
      </c>
      <c r="W1535">
        <v>0</v>
      </c>
      <c r="X1535" s="7">
        <v>4</v>
      </c>
      <c r="Y1535">
        <v>-0.1</v>
      </c>
      <c r="Z1535">
        <v>0</v>
      </c>
      <c r="AF1535">
        <v>0</v>
      </c>
      <c r="AM1535" s="669"/>
      <c r="AP1535" s="8">
        <v>933</v>
      </c>
      <c r="AQ1535" t="s">
        <v>1444</v>
      </c>
    </row>
    <row r="1536" spans="1:43">
      <c r="A1536">
        <v>10125</v>
      </c>
      <c r="B1536" t="s">
        <v>5475</v>
      </c>
      <c r="C1536" s="668"/>
      <c r="D1536">
        <v>1</v>
      </c>
      <c r="E1536">
        <v>0</v>
      </c>
      <c r="G1536">
        <v>1</v>
      </c>
      <c r="H1536" s="11" t="s">
        <v>5476</v>
      </c>
      <c r="I1536">
        <v>2</v>
      </c>
      <c r="J1536">
        <v>2</v>
      </c>
      <c r="L1536">
        <v>0</v>
      </c>
      <c r="M1536">
        <f t="shared" si="175"/>
        <v>1.6</v>
      </c>
      <c r="N1536" t="s">
        <v>5477</v>
      </c>
      <c r="O1536">
        <v>1</v>
      </c>
      <c r="P1536">
        <v>2.5</v>
      </c>
      <c r="Q1536">
        <v>0</v>
      </c>
      <c r="U1536">
        <v>0.8</v>
      </c>
      <c r="V1536">
        <v>1</v>
      </c>
      <c r="W1536">
        <v>0</v>
      </c>
      <c r="X1536" s="7">
        <v>1</v>
      </c>
      <c r="Y1536">
        <v>-0.1</v>
      </c>
      <c r="Z1536">
        <v>0</v>
      </c>
      <c r="AF1536">
        <v>0</v>
      </c>
      <c r="AM1536" s="669"/>
      <c r="AP1536" s="8">
        <v>943</v>
      </c>
      <c r="AQ1536" t="s">
        <v>1444</v>
      </c>
    </row>
    <row r="1537" spans="1:43">
      <c r="A1537">
        <v>10126</v>
      </c>
      <c r="B1537" t="s">
        <v>5475</v>
      </c>
      <c r="C1537" s="668" t="s">
        <v>5413</v>
      </c>
      <c r="D1537">
        <v>1</v>
      </c>
      <c r="E1537">
        <v>1</v>
      </c>
      <c r="G1537">
        <v>1</v>
      </c>
      <c r="H1537" s="11" t="s">
        <v>5478</v>
      </c>
      <c r="I1537">
        <v>1.83333333333333</v>
      </c>
      <c r="J1537">
        <v>1.83333333333333</v>
      </c>
      <c r="L1537">
        <v>0</v>
      </c>
      <c r="M1537">
        <f t="shared" si="175"/>
        <v>1.43333333333333</v>
      </c>
      <c r="N1537" t="s">
        <v>5479</v>
      </c>
      <c r="O1537">
        <v>1</v>
      </c>
      <c r="P1537">
        <v>2.5</v>
      </c>
      <c r="Q1537">
        <v>0</v>
      </c>
      <c r="T1537">
        <v>1.5</v>
      </c>
      <c r="U1537">
        <v>0.8</v>
      </c>
      <c r="V1537">
        <v>1000</v>
      </c>
      <c r="W1537">
        <v>0</v>
      </c>
      <c r="X1537" s="7">
        <v>1</v>
      </c>
      <c r="Y1537">
        <v>-0.1</v>
      </c>
      <c r="Z1537">
        <v>0</v>
      </c>
      <c r="AF1537">
        <v>0</v>
      </c>
      <c r="AM1537" s="669"/>
      <c r="AP1537" s="8">
        <v>944</v>
      </c>
      <c r="AQ1537" t="s">
        <v>1444</v>
      </c>
    </row>
    <row r="1538" spans="1:43">
      <c r="A1538">
        <v>10127</v>
      </c>
      <c r="B1538" t="s">
        <v>5475</v>
      </c>
      <c r="C1538" s="668" t="s">
        <v>5427</v>
      </c>
      <c r="D1538">
        <v>1</v>
      </c>
      <c r="E1538">
        <v>0</v>
      </c>
      <c r="G1538">
        <v>1</v>
      </c>
      <c r="H1538" s="11" t="s">
        <v>5480</v>
      </c>
      <c r="I1538">
        <v>3</v>
      </c>
      <c r="J1538">
        <v>3</v>
      </c>
      <c r="L1538">
        <v>0</v>
      </c>
      <c r="M1538">
        <f t="shared" si="175"/>
        <v>2.6</v>
      </c>
      <c r="N1538" t="s">
        <v>5481</v>
      </c>
      <c r="O1538">
        <v>1</v>
      </c>
      <c r="P1538">
        <v>2.5</v>
      </c>
      <c r="Q1538">
        <v>0</v>
      </c>
      <c r="U1538">
        <v>0.8</v>
      </c>
      <c r="V1538">
        <v>1</v>
      </c>
      <c r="W1538">
        <v>0</v>
      </c>
      <c r="X1538" s="7">
        <v>3</v>
      </c>
      <c r="Y1538">
        <v>-0.1</v>
      </c>
      <c r="Z1538">
        <v>0</v>
      </c>
      <c r="AF1538">
        <v>0</v>
      </c>
      <c r="AM1538" s="669"/>
      <c r="AP1538" s="8">
        <v>945</v>
      </c>
      <c r="AQ1538" t="s">
        <v>1444</v>
      </c>
    </row>
    <row r="1539" spans="1:43">
      <c r="A1539">
        <v>10128</v>
      </c>
      <c r="B1539" t="s">
        <v>5475</v>
      </c>
      <c r="C1539" s="668" t="s">
        <v>5482</v>
      </c>
      <c r="D1539">
        <v>1</v>
      </c>
      <c r="E1539">
        <v>0</v>
      </c>
      <c r="G1539">
        <v>1</v>
      </c>
      <c r="H1539" s="11" t="s">
        <v>5483</v>
      </c>
      <c r="I1539">
        <v>9.26666666666667</v>
      </c>
      <c r="J1539">
        <v>9.26666666666667</v>
      </c>
      <c r="L1539">
        <v>1</v>
      </c>
      <c r="M1539">
        <f t="shared" si="175"/>
        <v>8.86666666666667</v>
      </c>
      <c r="N1539" t="s">
        <v>5484</v>
      </c>
      <c r="O1539">
        <v>1</v>
      </c>
      <c r="P1539">
        <v>1.5</v>
      </c>
      <c r="Q1539">
        <v>0</v>
      </c>
      <c r="V1539">
        <v>1</v>
      </c>
      <c r="W1539">
        <v>0</v>
      </c>
      <c r="X1539" s="7">
        <v>3</v>
      </c>
      <c r="Y1539">
        <v>-0.1</v>
      </c>
      <c r="Z1539">
        <v>0</v>
      </c>
      <c r="AB1539">
        <v>9</v>
      </c>
      <c r="AC1539">
        <v>2</v>
      </c>
      <c r="AD1539">
        <v>1</v>
      </c>
      <c r="AE1539" t="s">
        <v>5485</v>
      </c>
      <c r="AF1539">
        <v>0.5</v>
      </c>
      <c r="AM1539" s="669"/>
      <c r="AP1539" s="8" t="s">
        <v>5486</v>
      </c>
      <c r="AQ1539" t="s">
        <v>5487</v>
      </c>
    </row>
    <row r="1540" spans="1:43">
      <c r="A1540">
        <v>10129</v>
      </c>
      <c r="B1540" t="s">
        <v>5488</v>
      </c>
      <c r="C1540" s="668"/>
      <c r="D1540">
        <v>1</v>
      </c>
      <c r="E1540">
        <v>0</v>
      </c>
      <c r="G1540">
        <v>1</v>
      </c>
      <c r="H1540" s="11" t="s">
        <v>5489</v>
      </c>
      <c r="I1540">
        <v>2</v>
      </c>
      <c r="J1540">
        <v>2</v>
      </c>
      <c r="L1540">
        <v>0</v>
      </c>
      <c r="M1540">
        <f t="shared" si="175"/>
        <v>1.6</v>
      </c>
      <c r="N1540" t="s">
        <v>5490</v>
      </c>
      <c r="O1540">
        <v>1</v>
      </c>
      <c r="P1540">
        <v>2</v>
      </c>
      <c r="Q1540">
        <v>0</v>
      </c>
      <c r="V1540">
        <v>1</v>
      </c>
      <c r="W1540">
        <v>0</v>
      </c>
      <c r="X1540" s="7">
        <v>2</v>
      </c>
      <c r="Y1540">
        <v>-0.1</v>
      </c>
      <c r="Z1540">
        <v>0</v>
      </c>
      <c r="AF1540">
        <v>0</v>
      </c>
      <c r="AM1540" s="669"/>
      <c r="AP1540" s="8">
        <v>958</v>
      </c>
      <c r="AQ1540" t="s">
        <v>1444</v>
      </c>
    </row>
    <row r="1541" spans="1:43">
      <c r="A1541">
        <v>10130</v>
      </c>
      <c r="B1541" t="s">
        <v>5491</v>
      </c>
      <c r="C1541" s="668"/>
      <c r="D1541">
        <v>1</v>
      </c>
      <c r="E1541">
        <v>0</v>
      </c>
      <c r="G1541">
        <v>1</v>
      </c>
      <c r="H1541" s="11" t="s">
        <v>5492</v>
      </c>
      <c r="I1541">
        <v>1.8</v>
      </c>
      <c r="J1541">
        <v>1.8</v>
      </c>
      <c r="L1541">
        <v>0</v>
      </c>
      <c r="M1541">
        <f t="shared" si="175"/>
        <v>1.4</v>
      </c>
      <c r="N1541" t="s">
        <v>5493</v>
      </c>
      <c r="O1541">
        <v>1</v>
      </c>
      <c r="P1541">
        <v>1.5</v>
      </c>
      <c r="Q1541">
        <v>0</v>
      </c>
      <c r="V1541">
        <v>1</v>
      </c>
      <c r="W1541">
        <v>0</v>
      </c>
      <c r="X1541" s="7">
        <v>2</v>
      </c>
      <c r="Y1541">
        <v>-0.1</v>
      </c>
      <c r="Z1541">
        <v>0</v>
      </c>
      <c r="AF1541">
        <v>0</v>
      </c>
      <c r="AM1541" s="669"/>
      <c r="AP1541" s="8">
        <v>959</v>
      </c>
      <c r="AQ1541" t="s">
        <v>1444</v>
      </c>
    </row>
    <row r="1542" spans="1:43">
      <c r="A1542">
        <v>10131</v>
      </c>
      <c r="B1542" t="s">
        <v>5494</v>
      </c>
      <c r="C1542" s="668"/>
      <c r="D1542">
        <v>1</v>
      </c>
      <c r="E1542">
        <v>0</v>
      </c>
      <c r="G1542">
        <v>1</v>
      </c>
      <c r="H1542" s="11" t="s">
        <v>5495</v>
      </c>
      <c r="I1542">
        <v>2.33333333333333</v>
      </c>
      <c r="J1542">
        <v>2.33333333333333</v>
      </c>
      <c r="L1542">
        <v>0</v>
      </c>
      <c r="M1542">
        <f t="shared" si="175"/>
        <v>1.93333333333333</v>
      </c>
      <c r="N1542" t="s">
        <v>5496</v>
      </c>
      <c r="O1542">
        <v>1</v>
      </c>
      <c r="P1542">
        <v>1.5</v>
      </c>
      <c r="Q1542">
        <v>0</v>
      </c>
      <c r="V1542">
        <v>1</v>
      </c>
      <c r="W1542">
        <v>0</v>
      </c>
      <c r="X1542" s="7">
        <v>3</v>
      </c>
      <c r="Y1542">
        <v>-0.1</v>
      </c>
      <c r="Z1542">
        <v>0</v>
      </c>
      <c r="AF1542">
        <v>0</v>
      </c>
      <c r="AM1542" s="669"/>
      <c r="AP1542" s="8">
        <v>960</v>
      </c>
      <c r="AQ1542" t="s">
        <v>1444</v>
      </c>
    </row>
    <row r="1543" spans="1:43">
      <c r="A1543">
        <v>10132</v>
      </c>
      <c r="B1543" t="s">
        <v>5497</v>
      </c>
      <c r="C1543" s="668"/>
      <c r="D1543">
        <v>1</v>
      </c>
      <c r="E1543">
        <v>0</v>
      </c>
      <c r="G1543">
        <v>1</v>
      </c>
      <c r="H1543" s="11" t="s">
        <v>5498</v>
      </c>
      <c r="I1543">
        <v>1.66666666666667</v>
      </c>
      <c r="J1543">
        <v>1.66666666666667</v>
      </c>
      <c r="L1543">
        <v>0</v>
      </c>
      <c r="M1543">
        <f t="shared" si="175"/>
        <v>1.26666666666667</v>
      </c>
      <c r="N1543" t="s">
        <v>5499</v>
      </c>
      <c r="O1543">
        <v>1</v>
      </c>
      <c r="P1543">
        <v>1.5</v>
      </c>
      <c r="Q1543">
        <v>0</v>
      </c>
      <c r="V1543">
        <v>1</v>
      </c>
      <c r="W1543">
        <v>0</v>
      </c>
      <c r="X1543" s="7">
        <v>2</v>
      </c>
      <c r="Y1543">
        <v>-0.1</v>
      </c>
      <c r="Z1543">
        <v>0</v>
      </c>
      <c r="AF1543">
        <v>0</v>
      </c>
      <c r="AM1543" s="669"/>
      <c r="AP1543" s="8">
        <v>961</v>
      </c>
      <c r="AQ1543" t="s">
        <v>1444</v>
      </c>
    </row>
    <row r="1544" spans="1:43">
      <c r="A1544">
        <v>10133</v>
      </c>
      <c r="B1544" t="s">
        <v>5500</v>
      </c>
      <c r="C1544" s="668"/>
      <c r="D1544">
        <v>1</v>
      </c>
      <c r="E1544">
        <v>0</v>
      </c>
      <c r="G1544">
        <v>1</v>
      </c>
      <c r="H1544" s="11" t="s">
        <v>5501</v>
      </c>
      <c r="I1544">
        <v>1.66666666666667</v>
      </c>
      <c r="J1544">
        <v>1.66666666666667</v>
      </c>
      <c r="L1544">
        <v>0</v>
      </c>
      <c r="M1544">
        <f t="shared" si="175"/>
        <v>1.26666666666667</v>
      </c>
      <c r="N1544" t="s">
        <v>5502</v>
      </c>
      <c r="O1544">
        <v>1</v>
      </c>
      <c r="P1544">
        <v>1.5</v>
      </c>
      <c r="Q1544">
        <v>0</v>
      </c>
      <c r="V1544">
        <v>1</v>
      </c>
      <c r="W1544">
        <v>0</v>
      </c>
      <c r="X1544" s="7">
        <v>4</v>
      </c>
      <c r="Y1544">
        <v>-0.1</v>
      </c>
      <c r="Z1544">
        <v>0</v>
      </c>
      <c r="AF1544">
        <v>0</v>
      </c>
      <c r="AM1544" s="669"/>
      <c r="AP1544" s="8">
        <v>962</v>
      </c>
      <c r="AQ1544" t="s">
        <v>1444</v>
      </c>
    </row>
    <row r="1545" spans="1:43">
      <c r="A1545">
        <v>10134</v>
      </c>
      <c r="B1545" t="s">
        <v>5503</v>
      </c>
      <c r="C1545" s="668"/>
      <c r="D1545">
        <v>1</v>
      </c>
      <c r="E1545">
        <v>0</v>
      </c>
      <c r="G1545">
        <v>1</v>
      </c>
      <c r="H1545" s="11" t="s">
        <v>5504</v>
      </c>
      <c r="I1545">
        <v>2</v>
      </c>
      <c r="J1545">
        <v>2</v>
      </c>
      <c r="L1545">
        <v>0</v>
      </c>
      <c r="M1545">
        <f t="shared" si="175"/>
        <v>1.6</v>
      </c>
      <c r="N1545" t="s">
        <v>5505</v>
      </c>
      <c r="O1545">
        <v>1</v>
      </c>
      <c r="P1545">
        <v>1.5</v>
      </c>
      <c r="Q1545">
        <v>0</v>
      </c>
      <c r="V1545">
        <v>1</v>
      </c>
      <c r="W1545">
        <v>0</v>
      </c>
      <c r="X1545" s="7">
        <v>3</v>
      </c>
      <c r="Y1545">
        <v>-0.1</v>
      </c>
      <c r="Z1545">
        <v>0</v>
      </c>
      <c r="AF1545">
        <v>0</v>
      </c>
      <c r="AM1545" s="669"/>
      <c r="AP1545" s="8">
        <v>963</v>
      </c>
      <c r="AQ1545" t="s">
        <v>1444</v>
      </c>
    </row>
    <row r="1546" spans="1:43">
      <c r="A1546">
        <v>10135</v>
      </c>
      <c r="B1546" t="s">
        <v>5506</v>
      </c>
      <c r="C1546" s="668"/>
      <c r="D1546">
        <v>1</v>
      </c>
      <c r="E1546">
        <v>0</v>
      </c>
      <c r="G1546">
        <v>1</v>
      </c>
      <c r="H1546" s="11" t="s">
        <v>5507</v>
      </c>
      <c r="I1546">
        <v>2.16666666666667</v>
      </c>
      <c r="J1546">
        <v>2.16666666666667</v>
      </c>
      <c r="L1546">
        <v>0</v>
      </c>
      <c r="M1546">
        <f t="shared" si="175"/>
        <v>1.76666666666667</v>
      </c>
      <c r="N1546" t="s">
        <v>5508</v>
      </c>
      <c r="O1546">
        <v>1</v>
      </c>
      <c r="P1546">
        <v>1.5</v>
      </c>
      <c r="Q1546">
        <v>0</v>
      </c>
      <c r="V1546">
        <v>6</v>
      </c>
      <c r="W1546">
        <v>0</v>
      </c>
      <c r="X1546" s="7">
        <v>2</v>
      </c>
      <c r="Y1546">
        <v>-0.1</v>
      </c>
      <c r="Z1546">
        <v>0</v>
      </c>
      <c r="AF1546">
        <v>0</v>
      </c>
      <c r="AM1546" s="669"/>
      <c r="AP1546" s="8">
        <v>968</v>
      </c>
      <c r="AQ1546" t="s">
        <v>1444</v>
      </c>
    </row>
    <row r="1547" spans="1:43">
      <c r="A1547">
        <v>10136</v>
      </c>
      <c r="B1547" t="s">
        <v>5509</v>
      </c>
      <c r="C1547" s="668"/>
      <c r="D1547">
        <v>1</v>
      </c>
      <c r="E1547">
        <v>0</v>
      </c>
      <c r="G1547">
        <v>1</v>
      </c>
      <c r="H1547" s="11" t="s">
        <v>5510</v>
      </c>
      <c r="I1547">
        <v>2.16666666666667</v>
      </c>
      <c r="J1547">
        <v>2.16666666666667</v>
      </c>
      <c r="L1547">
        <v>0</v>
      </c>
      <c r="M1547">
        <f t="shared" si="175"/>
        <v>1.76666666666667</v>
      </c>
      <c r="N1547" t="s">
        <v>5511</v>
      </c>
      <c r="O1547">
        <v>1</v>
      </c>
      <c r="P1547">
        <v>3.5</v>
      </c>
      <c r="Q1547">
        <v>0</v>
      </c>
      <c r="V1547">
        <v>1</v>
      </c>
      <c r="W1547">
        <v>0</v>
      </c>
      <c r="X1547" s="7">
        <v>2</v>
      </c>
      <c r="Y1547">
        <v>-0.1</v>
      </c>
      <c r="Z1547">
        <v>0</v>
      </c>
      <c r="AF1547">
        <v>0</v>
      </c>
      <c r="AM1547" s="669"/>
      <c r="AP1547" s="8">
        <v>969</v>
      </c>
      <c r="AQ1547" t="s">
        <v>1444</v>
      </c>
    </row>
    <row r="1548" spans="1:43">
      <c r="A1548">
        <v>10137</v>
      </c>
      <c r="B1548" t="s">
        <v>5512</v>
      </c>
      <c r="C1548" s="668"/>
      <c r="D1548">
        <v>1</v>
      </c>
      <c r="E1548">
        <v>0</v>
      </c>
      <c r="G1548">
        <v>2</v>
      </c>
      <c r="H1548" s="11" t="s">
        <v>5513</v>
      </c>
      <c r="I1548">
        <v>1.83333333333333</v>
      </c>
      <c r="J1548">
        <v>1.83333333333333</v>
      </c>
      <c r="L1548">
        <v>0</v>
      </c>
      <c r="M1548">
        <f t="shared" si="175"/>
        <v>1.43333333333333</v>
      </c>
      <c r="N1548" t="s">
        <v>5514</v>
      </c>
      <c r="O1548">
        <v>1</v>
      </c>
      <c r="P1548">
        <v>5</v>
      </c>
      <c r="Q1548">
        <v>0</v>
      </c>
      <c r="V1548">
        <v>1</v>
      </c>
      <c r="W1548">
        <v>0</v>
      </c>
      <c r="X1548" s="7">
        <v>2</v>
      </c>
      <c r="Y1548">
        <v>-0.1</v>
      </c>
      <c r="Z1548">
        <v>0</v>
      </c>
      <c r="AF1548">
        <v>0</v>
      </c>
      <c r="AM1548" s="669"/>
      <c r="AP1548" s="8">
        <v>966</v>
      </c>
      <c r="AQ1548" t="s">
        <v>1444</v>
      </c>
    </row>
    <row r="1549" spans="1:43">
      <c r="A1549">
        <v>10138</v>
      </c>
      <c r="B1549" t="s">
        <v>5515</v>
      </c>
      <c r="C1549" s="668"/>
      <c r="D1549">
        <v>1</v>
      </c>
      <c r="E1549">
        <v>0</v>
      </c>
      <c r="G1549">
        <v>2</v>
      </c>
      <c r="H1549" s="11" t="s">
        <v>5516</v>
      </c>
      <c r="I1549">
        <v>2.5</v>
      </c>
      <c r="J1549">
        <v>2.5</v>
      </c>
      <c r="L1549">
        <v>0</v>
      </c>
      <c r="M1549">
        <f t="shared" si="175"/>
        <v>2.1</v>
      </c>
      <c r="N1549" t="s">
        <v>5517</v>
      </c>
      <c r="O1549">
        <v>0</v>
      </c>
      <c r="P1549">
        <v>0</v>
      </c>
      <c r="Q1549">
        <v>1</v>
      </c>
      <c r="V1549">
        <v>8</v>
      </c>
      <c r="W1549">
        <v>0</v>
      </c>
      <c r="X1549" s="7">
        <v>2</v>
      </c>
      <c r="Y1549">
        <v>-0.1</v>
      </c>
      <c r="Z1549">
        <v>0</v>
      </c>
      <c r="AF1549">
        <v>0</v>
      </c>
      <c r="AM1549" s="669"/>
      <c r="AP1549" s="8">
        <v>967</v>
      </c>
      <c r="AQ1549" t="s">
        <v>1444</v>
      </c>
    </row>
    <row r="1550" spans="1:43">
      <c r="A1550">
        <v>10139</v>
      </c>
      <c r="B1550" t="s">
        <v>5518</v>
      </c>
      <c r="C1550" s="668"/>
      <c r="D1550">
        <v>1</v>
      </c>
      <c r="E1550">
        <v>0</v>
      </c>
      <c r="G1550">
        <v>2</v>
      </c>
      <c r="H1550" s="11" t="s">
        <v>5519</v>
      </c>
      <c r="I1550">
        <v>3.2</v>
      </c>
      <c r="J1550">
        <v>3.2</v>
      </c>
      <c r="L1550">
        <v>0</v>
      </c>
      <c r="M1550">
        <f t="shared" si="175"/>
        <v>2.8</v>
      </c>
      <c r="N1550" t="s">
        <v>5520</v>
      </c>
      <c r="O1550">
        <v>0</v>
      </c>
      <c r="P1550">
        <v>0</v>
      </c>
      <c r="Q1550">
        <v>1</v>
      </c>
      <c r="V1550">
        <v>1</v>
      </c>
      <c r="W1550">
        <v>0</v>
      </c>
      <c r="X1550" s="7">
        <v>2</v>
      </c>
      <c r="Y1550">
        <v>-0.1</v>
      </c>
      <c r="Z1550">
        <v>0</v>
      </c>
      <c r="AF1550">
        <v>0</v>
      </c>
      <c r="AM1550" s="669"/>
      <c r="AP1550" s="8">
        <v>964</v>
      </c>
      <c r="AQ1550" t="s">
        <v>1444</v>
      </c>
    </row>
    <row r="1551" spans="1:43">
      <c r="A1551">
        <v>10140</v>
      </c>
      <c r="B1551" t="s">
        <v>5521</v>
      </c>
      <c r="C1551" s="668"/>
      <c r="D1551">
        <v>1</v>
      </c>
      <c r="E1551">
        <v>0</v>
      </c>
      <c r="G1551">
        <v>2</v>
      </c>
      <c r="H1551" s="11" t="s">
        <v>5522</v>
      </c>
      <c r="I1551">
        <v>2.76666666666667</v>
      </c>
      <c r="J1551">
        <v>2.76666666666667</v>
      </c>
      <c r="L1551">
        <v>0</v>
      </c>
      <c r="M1551">
        <f t="shared" si="175"/>
        <v>2.36666666666667</v>
      </c>
      <c r="N1551" t="s">
        <v>5523</v>
      </c>
      <c r="O1551">
        <v>1</v>
      </c>
      <c r="P1551">
        <v>5</v>
      </c>
      <c r="Q1551">
        <v>0</v>
      </c>
      <c r="V1551">
        <v>1</v>
      </c>
      <c r="W1551">
        <v>0</v>
      </c>
      <c r="X1551" s="7">
        <v>2</v>
      </c>
      <c r="Y1551">
        <v>-0.1</v>
      </c>
      <c r="Z1551">
        <v>0</v>
      </c>
      <c r="AF1551">
        <v>0</v>
      </c>
      <c r="AM1551" s="669"/>
      <c r="AP1551" s="8">
        <v>965</v>
      </c>
      <c r="AQ1551" t="s">
        <v>1444</v>
      </c>
    </row>
    <row r="1552" spans="1:43">
      <c r="A1552">
        <v>10141</v>
      </c>
      <c r="B1552" t="s">
        <v>5524</v>
      </c>
      <c r="C1552" s="668"/>
      <c r="D1552">
        <v>1</v>
      </c>
      <c r="E1552">
        <v>0</v>
      </c>
      <c r="G1552">
        <v>1</v>
      </c>
      <c r="H1552" s="11" t="s">
        <v>5525</v>
      </c>
      <c r="I1552">
        <v>2.33333333333333</v>
      </c>
      <c r="J1552">
        <v>2.33333333333333</v>
      </c>
      <c r="L1552">
        <v>0</v>
      </c>
      <c r="M1552">
        <f t="shared" si="175"/>
        <v>1.93333333333333</v>
      </c>
      <c r="N1552" t="s">
        <v>5526</v>
      </c>
      <c r="O1552">
        <v>1</v>
      </c>
      <c r="P1552">
        <v>1.5</v>
      </c>
      <c r="Q1552">
        <v>0</v>
      </c>
      <c r="T1552">
        <v>1</v>
      </c>
      <c r="U1552">
        <v>1</v>
      </c>
      <c r="V1552">
        <v>1</v>
      </c>
      <c r="W1552">
        <v>0</v>
      </c>
      <c r="X1552" s="7">
        <v>1</v>
      </c>
      <c r="Y1552">
        <v>-0.1</v>
      </c>
      <c r="Z1552">
        <v>0</v>
      </c>
      <c r="AM1552" s="669"/>
      <c r="AP1552" s="8">
        <v>989</v>
      </c>
      <c r="AQ1552" t="s">
        <v>1444</v>
      </c>
    </row>
    <row r="1553" spans="1:43">
      <c r="A1553">
        <v>10142</v>
      </c>
      <c r="B1553" t="s">
        <v>5524</v>
      </c>
      <c r="C1553" s="668"/>
      <c r="D1553">
        <v>1</v>
      </c>
      <c r="E1553">
        <v>0</v>
      </c>
      <c r="G1553">
        <v>1</v>
      </c>
      <c r="H1553" s="11" t="s">
        <v>5527</v>
      </c>
      <c r="I1553">
        <v>3.33333333333333</v>
      </c>
      <c r="J1553">
        <v>3.33333333333333</v>
      </c>
      <c r="L1553">
        <v>0</v>
      </c>
      <c r="M1553">
        <f t="shared" si="175"/>
        <v>2.93333333333333</v>
      </c>
      <c r="N1553" t="s">
        <v>5528</v>
      </c>
      <c r="O1553">
        <v>1</v>
      </c>
      <c r="P1553">
        <v>1.5</v>
      </c>
      <c r="Q1553">
        <v>0</v>
      </c>
      <c r="T1553">
        <v>1</v>
      </c>
      <c r="U1553">
        <v>1</v>
      </c>
      <c r="V1553">
        <v>1</v>
      </c>
      <c r="W1553">
        <v>0</v>
      </c>
      <c r="X1553" s="7">
        <v>1</v>
      </c>
      <c r="Y1553">
        <v>-0.1</v>
      </c>
      <c r="Z1553">
        <v>0</v>
      </c>
      <c r="AM1553" s="669"/>
      <c r="AP1553" s="8">
        <v>990</v>
      </c>
      <c r="AQ1553" t="s">
        <v>1444</v>
      </c>
    </row>
    <row r="1554" spans="1:43">
      <c r="A1554">
        <v>10143</v>
      </c>
      <c r="B1554" t="s">
        <v>5524</v>
      </c>
      <c r="C1554" s="668"/>
      <c r="D1554">
        <v>1</v>
      </c>
      <c r="E1554">
        <v>0</v>
      </c>
      <c r="G1554">
        <v>1</v>
      </c>
      <c r="H1554" s="11" t="s">
        <v>5529</v>
      </c>
      <c r="I1554">
        <v>3.33333333333333</v>
      </c>
      <c r="J1554">
        <v>3.33333333333333</v>
      </c>
      <c r="L1554">
        <v>0</v>
      </c>
      <c r="M1554">
        <f t="shared" si="175"/>
        <v>2.93333333333333</v>
      </c>
      <c r="N1554" t="s">
        <v>5530</v>
      </c>
      <c r="O1554">
        <v>1</v>
      </c>
      <c r="P1554">
        <v>1.5</v>
      </c>
      <c r="Q1554">
        <v>0</v>
      </c>
      <c r="T1554">
        <v>1</v>
      </c>
      <c r="U1554">
        <v>1</v>
      </c>
      <c r="V1554">
        <v>1</v>
      </c>
      <c r="W1554">
        <v>0</v>
      </c>
      <c r="X1554" s="7">
        <v>1</v>
      </c>
      <c r="Y1554">
        <v>-0.1</v>
      </c>
      <c r="Z1554">
        <v>0</v>
      </c>
      <c r="AM1554" s="669"/>
      <c r="AN1554" s="8">
        <v>1</v>
      </c>
      <c r="AP1554" s="8" t="s">
        <v>5531</v>
      </c>
      <c r="AQ1554" t="s">
        <v>5532</v>
      </c>
    </row>
    <row r="1555" spans="1:43">
      <c r="A1555">
        <v>10144</v>
      </c>
      <c r="B1555" t="s">
        <v>5524</v>
      </c>
      <c r="C1555" s="668"/>
      <c r="D1555">
        <v>1</v>
      </c>
      <c r="E1555">
        <v>0</v>
      </c>
      <c r="G1555">
        <v>1</v>
      </c>
      <c r="H1555" s="11" t="s">
        <v>5533</v>
      </c>
      <c r="I1555">
        <v>5.33333333333333</v>
      </c>
      <c r="J1555">
        <v>5.33333333333333</v>
      </c>
      <c r="L1555">
        <v>1</v>
      </c>
      <c r="M1555">
        <f t="shared" si="175"/>
        <v>4.93333333333333</v>
      </c>
      <c r="N1555" t="s">
        <v>5534</v>
      </c>
      <c r="O1555">
        <v>1</v>
      </c>
      <c r="P1555">
        <v>1.5</v>
      </c>
      <c r="Q1555">
        <v>0</v>
      </c>
      <c r="T1555">
        <v>1</v>
      </c>
      <c r="U1555">
        <v>1</v>
      </c>
      <c r="V1555">
        <v>1</v>
      </c>
      <c r="W1555">
        <v>0</v>
      </c>
      <c r="X1555" s="7">
        <v>1</v>
      </c>
      <c r="Y1555">
        <v>-0.1</v>
      </c>
      <c r="Z1555">
        <v>0</v>
      </c>
      <c r="AB1555">
        <v>5</v>
      </c>
      <c r="AC1555">
        <v>2</v>
      </c>
      <c r="AD1555">
        <v>1</v>
      </c>
      <c r="AE1555" t="s">
        <v>5535</v>
      </c>
      <c r="AF1555">
        <v>0.5</v>
      </c>
      <c r="AM1555" s="669"/>
      <c r="AP1555" s="8">
        <v>995</v>
      </c>
      <c r="AQ1555" t="s">
        <v>1444</v>
      </c>
    </row>
    <row r="1556" spans="1:43">
      <c r="A1556">
        <v>10145</v>
      </c>
      <c r="B1556" t="s">
        <v>5536</v>
      </c>
      <c r="C1556" s="668"/>
      <c r="D1556">
        <v>1</v>
      </c>
      <c r="E1556">
        <v>0</v>
      </c>
      <c r="G1556">
        <v>1</v>
      </c>
      <c r="H1556" s="11" t="s">
        <v>5537</v>
      </c>
      <c r="I1556">
        <v>2</v>
      </c>
      <c r="J1556">
        <v>2</v>
      </c>
      <c r="L1556">
        <v>0</v>
      </c>
      <c r="M1556">
        <f t="shared" si="175"/>
        <v>1.6</v>
      </c>
      <c r="N1556" t="s">
        <v>5538</v>
      </c>
      <c r="O1556">
        <v>1</v>
      </c>
      <c r="P1556">
        <v>1.5</v>
      </c>
      <c r="Q1556">
        <v>0</v>
      </c>
      <c r="V1556">
        <v>1</v>
      </c>
      <c r="W1556">
        <v>4</v>
      </c>
      <c r="X1556" s="7">
        <v>1</v>
      </c>
      <c r="Y1556">
        <v>-0.1</v>
      </c>
      <c r="Z1556">
        <v>0</v>
      </c>
      <c r="AM1556" s="669"/>
      <c r="AP1556" s="8">
        <v>996</v>
      </c>
      <c r="AQ1556" t="s">
        <v>1444</v>
      </c>
    </row>
    <row r="1557" spans="1:43">
      <c r="A1557">
        <v>10146</v>
      </c>
      <c r="B1557" t="s">
        <v>5536</v>
      </c>
      <c r="C1557" s="668"/>
      <c r="D1557">
        <v>1</v>
      </c>
      <c r="E1557">
        <v>0</v>
      </c>
      <c r="G1557">
        <v>1</v>
      </c>
      <c r="H1557" s="11" t="s">
        <v>5539</v>
      </c>
      <c r="I1557">
        <v>2.5</v>
      </c>
      <c r="J1557">
        <v>2.5</v>
      </c>
      <c r="L1557">
        <v>0</v>
      </c>
      <c r="M1557">
        <f t="shared" si="175"/>
        <v>2.1</v>
      </c>
      <c r="N1557" t="s">
        <v>5540</v>
      </c>
      <c r="O1557">
        <v>1</v>
      </c>
      <c r="P1557">
        <v>1.5</v>
      </c>
      <c r="Q1557">
        <v>0</v>
      </c>
      <c r="V1557">
        <v>1</v>
      </c>
      <c r="W1557">
        <v>14</v>
      </c>
      <c r="X1557" s="7">
        <v>1</v>
      </c>
      <c r="Y1557">
        <v>-0.1</v>
      </c>
      <c r="Z1557">
        <v>0</v>
      </c>
      <c r="AM1557" s="669"/>
      <c r="AP1557" s="8" t="s">
        <v>5541</v>
      </c>
      <c r="AQ1557" t="s">
        <v>5542</v>
      </c>
    </row>
    <row r="1558" spans="1:43">
      <c r="A1558">
        <v>10147</v>
      </c>
      <c r="B1558" t="s">
        <v>5543</v>
      </c>
      <c r="C1558" s="668"/>
      <c r="D1558">
        <v>1</v>
      </c>
      <c r="E1558">
        <v>0</v>
      </c>
      <c r="G1558">
        <v>1</v>
      </c>
      <c r="H1558" s="11" t="s">
        <v>5544</v>
      </c>
      <c r="I1558">
        <v>2.83333333333333</v>
      </c>
      <c r="J1558">
        <v>2.83333333333333</v>
      </c>
      <c r="L1558">
        <v>0</v>
      </c>
      <c r="M1558">
        <f t="shared" si="175"/>
        <v>2.43333333333333</v>
      </c>
      <c r="N1558" t="s">
        <v>5545</v>
      </c>
      <c r="O1558">
        <v>1</v>
      </c>
      <c r="P1558" s="236">
        <v>2.2</v>
      </c>
      <c r="Q1558">
        <v>0</v>
      </c>
      <c r="U1558" s="236">
        <v>1.7</v>
      </c>
      <c r="V1558">
        <v>1</v>
      </c>
      <c r="W1558">
        <v>0</v>
      </c>
      <c r="X1558" s="7">
        <v>1</v>
      </c>
      <c r="Y1558">
        <v>-0.1</v>
      </c>
      <c r="Z1558">
        <v>0</v>
      </c>
      <c r="AM1558" s="669"/>
      <c r="AP1558" s="8">
        <v>999</v>
      </c>
      <c r="AQ1558" t="s">
        <v>1444</v>
      </c>
    </row>
    <row r="1559" spans="1:43">
      <c r="A1559">
        <v>10148</v>
      </c>
      <c r="B1559" t="s">
        <v>5546</v>
      </c>
      <c r="C1559" s="668"/>
      <c r="D1559">
        <v>1</v>
      </c>
      <c r="E1559">
        <v>0</v>
      </c>
      <c r="G1559">
        <v>1</v>
      </c>
      <c r="H1559" s="11" t="s">
        <v>5547</v>
      </c>
      <c r="I1559">
        <v>3.33333333333333</v>
      </c>
      <c r="J1559">
        <v>3.33333333333333</v>
      </c>
      <c r="L1559">
        <v>0</v>
      </c>
      <c r="M1559">
        <f t="shared" si="175"/>
        <v>2.93333333333333</v>
      </c>
      <c r="N1559" t="s">
        <v>5548</v>
      </c>
      <c r="O1559">
        <v>1</v>
      </c>
      <c r="P1559">
        <v>1.5</v>
      </c>
      <c r="Q1559">
        <v>0</v>
      </c>
      <c r="U1559">
        <v>1</v>
      </c>
      <c r="V1559">
        <v>1</v>
      </c>
      <c r="W1559">
        <v>0</v>
      </c>
      <c r="X1559" s="7">
        <v>1</v>
      </c>
      <c r="Y1559">
        <v>-0.1</v>
      </c>
      <c r="Z1559">
        <v>0</v>
      </c>
      <c r="AM1559" s="669"/>
      <c r="AP1559" s="8">
        <v>1000</v>
      </c>
      <c r="AQ1559" t="s">
        <v>1444</v>
      </c>
    </row>
    <row r="1560" spans="1:43">
      <c r="A1560">
        <v>10149</v>
      </c>
      <c r="B1560" t="s">
        <v>5546</v>
      </c>
      <c r="C1560" s="668"/>
      <c r="D1560">
        <v>1</v>
      </c>
      <c r="E1560">
        <v>0</v>
      </c>
      <c r="G1560">
        <v>1</v>
      </c>
      <c r="H1560" s="11" t="s">
        <v>5549</v>
      </c>
      <c r="I1560">
        <v>2.66666666666667</v>
      </c>
      <c r="J1560">
        <v>2.66666666666667</v>
      </c>
      <c r="L1560">
        <v>0</v>
      </c>
      <c r="M1560">
        <f t="shared" si="175"/>
        <v>2.26666666666667</v>
      </c>
      <c r="N1560" t="s">
        <v>5550</v>
      </c>
      <c r="O1560">
        <v>1</v>
      </c>
      <c r="P1560">
        <v>1.5</v>
      </c>
      <c r="Q1560">
        <v>0</v>
      </c>
      <c r="U1560">
        <v>1</v>
      </c>
      <c r="V1560">
        <v>1</v>
      </c>
      <c r="W1560">
        <v>0</v>
      </c>
      <c r="X1560" s="7">
        <v>1</v>
      </c>
      <c r="Y1560">
        <v>-0.1</v>
      </c>
      <c r="Z1560">
        <v>0</v>
      </c>
      <c r="AM1560" s="669"/>
      <c r="AP1560" s="8">
        <v>1001</v>
      </c>
      <c r="AQ1560" t="s">
        <v>1444</v>
      </c>
    </row>
    <row r="1561" spans="1:43">
      <c r="A1561">
        <v>10150</v>
      </c>
      <c r="B1561" t="s">
        <v>5438</v>
      </c>
      <c r="C1561" s="668" t="s">
        <v>5413</v>
      </c>
      <c r="D1561">
        <v>1</v>
      </c>
      <c r="E1561">
        <v>0</v>
      </c>
      <c r="G1561">
        <v>1</v>
      </c>
      <c r="H1561" s="11" t="s">
        <v>5441</v>
      </c>
      <c r="I1561">
        <v>4.16666666666667</v>
      </c>
      <c r="J1561">
        <v>4.16666666666667</v>
      </c>
      <c r="L1561">
        <v>1</v>
      </c>
      <c r="M1561">
        <v>3.76666666666667</v>
      </c>
      <c r="N1561" t="s">
        <v>5442</v>
      </c>
      <c r="O1561">
        <v>1</v>
      </c>
      <c r="P1561">
        <v>1.5</v>
      </c>
      <c r="Q1561">
        <v>0</v>
      </c>
      <c r="V1561">
        <v>1</v>
      </c>
      <c r="W1561">
        <v>4</v>
      </c>
      <c r="X1561" s="7">
        <v>1</v>
      </c>
      <c r="Y1561">
        <v>-0.1</v>
      </c>
      <c r="Z1561">
        <v>0</v>
      </c>
      <c r="AD1561">
        <v>1</v>
      </c>
      <c r="AE1561" t="s">
        <v>5443</v>
      </c>
      <c r="AF1561">
        <v>0.5</v>
      </c>
      <c r="AM1561" s="669"/>
      <c r="AP1561" s="8">
        <v>927</v>
      </c>
      <c r="AQ1561" t="s">
        <v>136</v>
      </c>
    </row>
    <row r="1562" spans="1:43">
      <c r="A1562">
        <v>10151</v>
      </c>
      <c r="B1562" t="s">
        <v>5438</v>
      </c>
      <c r="C1562" s="668" t="s">
        <v>5427</v>
      </c>
      <c r="D1562">
        <v>1</v>
      </c>
      <c r="E1562">
        <v>0</v>
      </c>
      <c r="G1562">
        <v>1</v>
      </c>
      <c r="H1562" s="11" t="s">
        <v>5444</v>
      </c>
      <c r="I1562">
        <v>6.33333333333333</v>
      </c>
      <c r="J1562">
        <v>6.33333333333333</v>
      </c>
      <c r="L1562">
        <v>1</v>
      </c>
      <c r="M1562">
        <v>5.93333333333333</v>
      </c>
      <c r="N1562" t="s">
        <v>5445</v>
      </c>
      <c r="O1562">
        <v>1</v>
      </c>
      <c r="P1562">
        <v>1.5</v>
      </c>
      <c r="Q1562">
        <v>0</v>
      </c>
      <c r="V1562">
        <v>1</v>
      </c>
      <c r="W1562">
        <v>0</v>
      </c>
      <c r="X1562" s="7">
        <v>11</v>
      </c>
      <c r="Y1562">
        <v>-0.1</v>
      </c>
      <c r="Z1562">
        <v>0</v>
      </c>
      <c r="AB1562">
        <v>6</v>
      </c>
      <c r="AC1562">
        <v>2</v>
      </c>
      <c r="AD1562">
        <v>1</v>
      </c>
      <c r="AE1562" t="s">
        <v>5446</v>
      </c>
      <c r="AF1562">
        <v>0.5</v>
      </c>
      <c r="AM1562" s="669"/>
      <c r="AP1562" s="8" t="s">
        <v>5447</v>
      </c>
      <c r="AQ1562" t="s">
        <v>5448</v>
      </c>
    </row>
    <row r="1563" spans="1:42">
      <c r="A1563">
        <v>10152</v>
      </c>
      <c r="B1563" t="s">
        <v>5551</v>
      </c>
      <c r="C1563" s="668"/>
      <c r="D1563">
        <v>1</v>
      </c>
      <c r="E1563">
        <v>0</v>
      </c>
      <c r="G1563">
        <v>1</v>
      </c>
      <c r="H1563" s="11" t="s">
        <v>5552</v>
      </c>
      <c r="I1563">
        <v>2.16666666666667</v>
      </c>
      <c r="J1563">
        <v>2.16666666666667</v>
      </c>
      <c r="L1563">
        <v>1</v>
      </c>
      <c r="M1563">
        <v>5.93333333333333</v>
      </c>
      <c r="N1563" t="s">
        <v>5553</v>
      </c>
      <c r="O1563">
        <v>1</v>
      </c>
      <c r="P1563">
        <v>1.5</v>
      </c>
      <c r="Q1563">
        <v>0</v>
      </c>
      <c r="V1563">
        <v>1</v>
      </c>
      <c r="W1563">
        <v>0</v>
      </c>
      <c r="X1563" s="7">
        <v>1</v>
      </c>
      <c r="Y1563">
        <v>-0.1</v>
      </c>
      <c r="Z1563">
        <v>0</v>
      </c>
      <c r="AM1563" s="669"/>
      <c r="AP1563" s="8"/>
    </row>
    <row r="1564" spans="1:48">
      <c r="A1564">
        <v>10153</v>
      </c>
      <c r="B1564" t="s">
        <v>5554</v>
      </c>
      <c r="C1564" s="668" t="s">
        <v>526</v>
      </c>
      <c r="D1564">
        <v>1</v>
      </c>
      <c r="E1564">
        <v>0</v>
      </c>
      <c r="G1564">
        <v>1</v>
      </c>
      <c r="H1564" s="5" t="s">
        <v>5555</v>
      </c>
      <c r="I1564">
        <v>2.16666666666667</v>
      </c>
      <c r="J1564">
        <v>2.16666666666667</v>
      </c>
      <c r="L1564">
        <v>0</v>
      </c>
      <c r="M1564">
        <f>J1564-0.4</f>
        <v>1.76666666666667</v>
      </c>
      <c r="N1564" t="s">
        <v>5556</v>
      </c>
      <c r="O1564">
        <v>1</v>
      </c>
      <c r="P1564">
        <v>0.95</v>
      </c>
      <c r="Q1564">
        <v>0</v>
      </c>
      <c r="V1564">
        <v>1</v>
      </c>
      <c r="W1564">
        <v>0</v>
      </c>
      <c r="X1564" s="7">
        <v>2</v>
      </c>
      <c r="Y1564">
        <v>-0.1</v>
      </c>
      <c r="Z1564">
        <v>0</v>
      </c>
      <c r="AM1564" s="669"/>
      <c r="AP1564" s="8">
        <v>1038</v>
      </c>
      <c r="AQ1564" t="s">
        <v>136</v>
      </c>
      <c r="AV1564">
        <v>1</v>
      </c>
    </row>
    <row r="1565" spans="1:48">
      <c r="A1565">
        <v>10154</v>
      </c>
      <c r="B1565" t="s">
        <v>5554</v>
      </c>
      <c r="C1565" s="668" t="s">
        <v>5557</v>
      </c>
      <c r="D1565">
        <v>1</v>
      </c>
      <c r="E1565">
        <v>0</v>
      </c>
      <c r="G1565">
        <v>2</v>
      </c>
      <c r="H1565" s="5" t="s">
        <v>5558</v>
      </c>
      <c r="I1565">
        <v>2</v>
      </c>
      <c r="J1565">
        <v>2</v>
      </c>
      <c r="L1565">
        <v>0</v>
      </c>
      <c r="M1565">
        <f>J1565-0.4</f>
        <v>1.6</v>
      </c>
      <c r="N1565" t="s">
        <v>5559</v>
      </c>
      <c r="O1565">
        <v>0</v>
      </c>
      <c r="P1565">
        <v>0</v>
      </c>
      <c r="Q1565">
        <v>1</v>
      </c>
      <c r="V1565">
        <v>1</v>
      </c>
      <c r="W1565">
        <v>0</v>
      </c>
      <c r="X1565" s="7">
        <v>4</v>
      </c>
      <c r="Y1565">
        <v>-0.1</v>
      </c>
      <c r="Z1565">
        <v>0</v>
      </c>
      <c r="AM1565" s="669"/>
      <c r="AP1565" s="8">
        <v>1039</v>
      </c>
      <c r="AQ1565" t="s">
        <v>136</v>
      </c>
      <c r="AV1565">
        <v>1</v>
      </c>
    </row>
    <row r="1566" spans="1:48">
      <c r="A1566">
        <v>10155</v>
      </c>
      <c r="B1566" t="s">
        <v>5560</v>
      </c>
      <c r="C1566" s="668" t="s">
        <v>526</v>
      </c>
      <c r="D1566">
        <v>1</v>
      </c>
      <c r="E1566">
        <v>0</v>
      </c>
      <c r="G1566">
        <v>1</v>
      </c>
      <c r="H1566" s="670" t="s">
        <v>5561</v>
      </c>
      <c r="I1566">
        <v>2</v>
      </c>
      <c r="J1566">
        <v>2</v>
      </c>
      <c r="L1566">
        <v>0</v>
      </c>
      <c r="M1566">
        <f>J1566-0.4</f>
        <v>1.6</v>
      </c>
      <c r="N1566" t="s">
        <v>5562</v>
      </c>
      <c r="O1566">
        <v>1</v>
      </c>
      <c r="P1566">
        <v>1.2</v>
      </c>
      <c r="Q1566">
        <v>0</v>
      </c>
      <c r="V1566">
        <v>1</v>
      </c>
      <c r="W1566">
        <v>0</v>
      </c>
      <c r="X1566" s="7">
        <v>2</v>
      </c>
      <c r="Y1566">
        <v>-0.1</v>
      </c>
      <c r="Z1566">
        <v>0</v>
      </c>
      <c r="AM1566" s="669"/>
      <c r="AP1566" s="673">
        <v>1042</v>
      </c>
      <c r="AQ1566" t="s">
        <v>136</v>
      </c>
      <c r="AV1566">
        <v>1</v>
      </c>
    </row>
    <row r="1567" spans="1:48">
      <c r="A1567">
        <v>10156</v>
      </c>
      <c r="B1567" t="s">
        <v>5563</v>
      </c>
      <c r="C1567" s="668" t="s">
        <v>526</v>
      </c>
      <c r="D1567">
        <v>1</v>
      </c>
      <c r="E1567">
        <v>0</v>
      </c>
      <c r="G1567">
        <v>1</v>
      </c>
      <c r="H1567" s="670" t="s">
        <v>5564</v>
      </c>
      <c r="I1567">
        <v>1.66666666666667</v>
      </c>
      <c r="J1567">
        <v>1.66666666666667</v>
      </c>
      <c r="L1567">
        <v>0</v>
      </c>
      <c r="M1567">
        <f t="shared" ref="M1567:M1578" si="176">J1567-0.4</f>
        <v>1.26666666666667</v>
      </c>
      <c r="N1567" t="s">
        <v>5565</v>
      </c>
      <c r="O1567">
        <v>1</v>
      </c>
      <c r="P1567">
        <v>1.4</v>
      </c>
      <c r="Q1567">
        <v>0</v>
      </c>
      <c r="V1567">
        <v>1</v>
      </c>
      <c r="W1567">
        <v>0</v>
      </c>
      <c r="X1567" s="7">
        <v>3</v>
      </c>
      <c r="Y1567">
        <v>-0.1</v>
      </c>
      <c r="Z1567">
        <v>0</v>
      </c>
      <c r="AM1567" s="669"/>
      <c r="AP1567" s="673">
        <v>1043</v>
      </c>
      <c r="AQ1567" t="s">
        <v>136</v>
      </c>
      <c r="AV1567">
        <v>1</v>
      </c>
    </row>
    <row r="1568" spans="1:48">
      <c r="A1568">
        <v>10157</v>
      </c>
      <c r="B1568" t="s">
        <v>5566</v>
      </c>
      <c r="C1568" s="668" t="s">
        <v>526</v>
      </c>
      <c r="D1568">
        <v>1</v>
      </c>
      <c r="E1568">
        <v>0</v>
      </c>
      <c r="G1568">
        <v>1</v>
      </c>
      <c r="H1568" s="670" t="s">
        <v>5567</v>
      </c>
      <c r="I1568">
        <v>1.66666666666667</v>
      </c>
      <c r="J1568">
        <v>1.66666666666667</v>
      </c>
      <c r="L1568">
        <v>0</v>
      </c>
      <c r="M1568">
        <f t="shared" si="176"/>
        <v>1.26666666666667</v>
      </c>
      <c r="N1568" t="s">
        <v>5568</v>
      </c>
      <c r="O1568">
        <v>1</v>
      </c>
      <c r="P1568">
        <v>1.2</v>
      </c>
      <c r="Q1568">
        <v>0</v>
      </c>
      <c r="V1568">
        <v>1</v>
      </c>
      <c r="W1568">
        <v>0</v>
      </c>
      <c r="X1568" s="7">
        <v>3</v>
      </c>
      <c r="Y1568">
        <v>-0.1</v>
      </c>
      <c r="Z1568">
        <v>0</v>
      </c>
      <c r="AM1568" s="669"/>
      <c r="AP1568" s="673">
        <v>1044</v>
      </c>
      <c r="AQ1568" t="s">
        <v>136</v>
      </c>
      <c r="AV1568">
        <v>1</v>
      </c>
    </row>
    <row r="1569" spans="1:48">
      <c r="A1569">
        <v>10158</v>
      </c>
      <c r="B1569" t="s">
        <v>5569</v>
      </c>
      <c r="C1569" s="668" t="s">
        <v>526</v>
      </c>
      <c r="D1569">
        <v>1</v>
      </c>
      <c r="E1569">
        <v>0</v>
      </c>
      <c r="G1569">
        <v>1</v>
      </c>
      <c r="H1569" s="670" t="s">
        <v>5570</v>
      </c>
      <c r="I1569">
        <v>1.66666666666667</v>
      </c>
      <c r="J1569">
        <v>1.66666666666667</v>
      </c>
      <c r="L1569">
        <v>0</v>
      </c>
      <c r="M1569">
        <f t="shared" si="176"/>
        <v>1.26666666666667</v>
      </c>
      <c r="N1569" t="s">
        <v>5571</v>
      </c>
      <c r="O1569">
        <v>1</v>
      </c>
      <c r="P1569">
        <v>1.2</v>
      </c>
      <c r="Q1569">
        <v>0</v>
      </c>
      <c r="V1569">
        <v>1</v>
      </c>
      <c r="W1569">
        <v>0</v>
      </c>
      <c r="X1569" s="7">
        <v>2</v>
      </c>
      <c r="Y1569">
        <v>-0.1</v>
      </c>
      <c r="Z1569">
        <v>0</v>
      </c>
      <c r="AM1569" s="669"/>
      <c r="AP1569" s="673">
        <v>1045</v>
      </c>
      <c r="AQ1569" t="s">
        <v>136</v>
      </c>
      <c r="AV1569">
        <v>1</v>
      </c>
    </row>
    <row r="1570" spans="1:48">
      <c r="A1570">
        <v>10159</v>
      </c>
      <c r="B1570" t="s">
        <v>5572</v>
      </c>
      <c r="C1570" s="668" t="s">
        <v>526</v>
      </c>
      <c r="D1570">
        <v>1</v>
      </c>
      <c r="E1570">
        <v>0</v>
      </c>
      <c r="G1570">
        <v>1</v>
      </c>
      <c r="H1570" s="670" t="s">
        <v>5573</v>
      </c>
      <c r="I1570">
        <v>1.33333333333333</v>
      </c>
      <c r="J1570">
        <v>1.33333333333333</v>
      </c>
      <c r="L1570">
        <v>0</v>
      </c>
      <c r="M1570">
        <f t="shared" si="176"/>
        <v>0.93333333333333</v>
      </c>
      <c r="N1570" t="s">
        <v>5574</v>
      </c>
      <c r="O1570">
        <v>1</v>
      </c>
      <c r="P1570">
        <v>1.4</v>
      </c>
      <c r="Q1570">
        <v>0</v>
      </c>
      <c r="V1570">
        <v>1</v>
      </c>
      <c r="W1570">
        <v>0</v>
      </c>
      <c r="X1570" s="7">
        <v>2</v>
      </c>
      <c r="Y1570">
        <v>-0.1</v>
      </c>
      <c r="Z1570">
        <v>0</v>
      </c>
      <c r="AM1570" s="669"/>
      <c r="AP1570" s="673">
        <v>1046</v>
      </c>
      <c r="AQ1570" t="s">
        <v>136</v>
      </c>
      <c r="AV1570">
        <v>1</v>
      </c>
    </row>
    <row r="1571" spans="1:48">
      <c r="A1571">
        <v>10160</v>
      </c>
      <c r="B1571" t="s">
        <v>5575</v>
      </c>
      <c r="C1571" s="668" t="s">
        <v>526</v>
      </c>
      <c r="D1571">
        <v>1</v>
      </c>
      <c r="E1571">
        <v>0</v>
      </c>
      <c r="G1571">
        <v>1</v>
      </c>
      <c r="H1571" s="670" t="s">
        <v>5576</v>
      </c>
      <c r="I1571">
        <v>2</v>
      </c>
      <c r="J1571">
        <v>2</v>
      </c>
      <c r="L1571">
        <v>0</v>
      </c>
      <c r="M1571">
        <f t="shared" si="176"/>
        <v>1.6</v>
      </c>
      <c r="N1571" t="s">
        <v>5577</v>
      </c>
      <c r="O1571">
        <v>1</v>
      </c>
      <c r="P1571">
        <v>1.25</v>
      </c>
      <c r="Q1571">
        <v>0</v>
      </c>
      <c r="V1571">
        <v>1</v>
      </c>
      <c r="W1571">
        <v>0</v>
      </c>
      <c r="X1571" s="7">
        <v>2</v>
      </c>
      <c r="Y1571">
        <v>-0.1</v>
      </c>
      <c r="Z1571">
        <v>0</v>
      </c>
      <c r="AM1571" s="669"/>
      <c r="AP1571" s="673">
        <v>1047</v>
      </c>
      <c r="AQ1571" t="s">
        <v>136</v>
      </c>
      <c r="AV1571">
        <v>1</v>
      </c>
    </row>
    <row r="1572" spans="1:48">
      <c r="A1572">
        <v>10161</v>
      </c>
      <c r="B1572" t="s">
        <v>5578</v>
      </c>
      <c r="C1572" s="668" t="s">
        <v>526</v>
      </c>
      <c r="D1572">
        <v>1</v>
      </c>
      <c r="E1572">
        <v>0</v>
      </c>
      <c r="G1572">
        <v>1</v>
      </c>
      <c r="H1572" s="670" t="s">
        <v>5579</v>
      </c>
      <c r="I1572">
        <v>2.33333333333333</v>
      </c>
      <c r="J1572">
        <v>2.33333333333333</v>
      </c>
      <c r="L1572">
        <v>0</v>
      </c>
      <c r="M1572">
        <f t="shared" si="176"/>
        <v>1.93333333333333</v>
      </c>
      <c r="N1572" t="s">
        <v>5580</v>
      </c>
      <c r="O1572">
        <v>1</v>
      </c>
      <c r="P1572">
        <v>1.4</v>
      </c>
      <c r="Q1572">
        <v>0</v>
      </c>
      <c r="V1572">
        <v>1</v>
      </c>
      <c r="W1572">
        <v>0</v>
      </c>
      <c r="X1572" s="7">
        <v>3</v>
      </c>
      <c r="Y1572">
        <v>-0.1</v>
      </c>
      <c r="Z1572">
        <v>0</v>
      </c>
      <c r="AM1572" s="669"/>
      <c r="AP1572" s="673">
        <v>1048</v>
      </c>
      <c r="AQ1572" t="s">
        <v>136</v>
      </c>
      <c r="AV1572">
        <v>1</v>
      </c>
    </row>
    <row r="1573" spans="1:48">
      <c r="A1573">
        <v>10162</v>
      </c>
      <c r="B1573" s="669" t="s">
        <v>5581</v>
      </c>
      <c r="C1573" s="668" t="s">
        <v>526</v>
      </c>
      <c r="D1573">
        <v>1</v>
      </c>
      <c r="E1573">
        <v>0</v>
      </c>
      <c r="G1573">
        <v>1</v>
      </c>
      <c r="H1573" s="670" t="s">
        <v>5582</v>
      </c>
      <c r="I1573">
        <v>2.33333333333333</v>
      </c>
      <c r="J1573">
        <v>2.33333333333333</v>
      </c>
      <c r="L1573">
        <v>0</v>
      </c>
      <c r="M1573">
        <f t="shared" si="176"/>
        <v>1.93333333333333</v>
      </c>
      <c r="N1573" t="s">
        <v>5583</v>
      </c>
      <c r="O1573">
        <v>1</v>
      </c>
      <c r="P1573">
        <v>1.5</v>
      </c>
      <c r="Q1573">
        <v>0</v>
      </c>
      <c r="U1573">
        <v>0.5</v>
      </c>
      <c r="V1573">
        <v>1</v>
      </c>
      <c r="W1573">
        <v>0</v>
      </c>
      <c r="X1573" s="7">
        <v>2</v>
      </c>
      <c r="Y1573">
        <v>-0.1</v>
      </c>
      <c r="Z1573">
        <v>0</v>
      </c>
      <c r="AM1573" s="669"/>
      <c r="AP1573" s="673">
        <v>1049</v>
      </c>
      <c r="AQ1573" t="s">
        <v>136</v>
      </c>
      <c r="AV1573">
        <v>1</v>
      </c>
    </row>
    <row r="1574" spans="1:48">
      <c r="A1574">
        <v>10163</v>
      </c>
      <c r="B1574" s="669" t="s">
        <v>5584</v>
      </c>
      <c r="C1574" s="668" t="s">
        <v>526</v>
      </c>
      <c r="D1574">
        <v>1</v>
      </c>
      <c r="E1574">
        <v>0</v>
      </c>
      <c r="G1574">
        <v>1</v>
      </c>
      <c r="H1574" s="670" t="s">
        <v>5585</v>
      </c>
      <c r="I1574">
        <v>2.16666666666667</v>
      </c>
      <c r="J1574">
        <v>2.16666666666667</v>
      </c>
      <c r="L1574">
        <v>0</v>
      </c>
      <c r="M1574">
        <f t="shared" si="176"/>
        <v>1.76666666666667</v>
      </c>
      <c r="N1574" t="s">
        <v>5586</v>
      </c>
      <c r="O1574">
        <v>1</v>
      </c>
      <c r="P1574">
        <v>1.5</v>
      </c>
      <c r="Q1574">
        <v>0</v>
      </c>
      <c r="U1574">
        <v>0.65</v>
      </c>
      <c r="V1574">
        <v>1</v>
      </c>
      <c r="W1574">
        <v>0</v>
      </c>
      <c r="X1574" s="7">
        <v>3</v>
      </c>
      <c r="Y1574">
        <v>-0.1</v>
      </c>
      <c r="Z1574">
        <v>0</v>
      </c>
      <c r="AM1574" s="669"/>
      <c r="AP1574" s="673">
        <v>1050</v>
      </c>
      <c r="AQ1574" t="s">
        <v>136</v>
      </c>
      <c r="AV1574">
        <v>1</v>
      </c>
    </row>
    <row r="1575" spans="1:48">
      <c r="A1575">
        <v>10164</v>
      </c>
      <c r="B1575" s="669" t="s">
        <v>5587</v>
      </c>
      <c r="C1575" s="668" t="s">
        <v>526</v>
      </c>
      <c r="D1575">
        <v>1</v>
      </c>
      <c r="E1575">
        <v>0</v>
      </c>
      <c r="G1575">
        <v>1</v>
      </c>
      <c r="H1575" s="670" t="s">
        <v>5588</v>
      </c>
      <c r="I1575">
        <v>2.83333333333333</v>
      </c>
      <c r="J1575">
        <v>2.83333333333333</v>
      </c>
      <c r="L1575">
        <v>0</v>
      </c>
      <c r="M1575">
        <f t="shared" si="176"/>
        <v>2.43333333333333</v>
      </c>
      <c r="N1575" t="s">
        <v>5589</v>
      </c>
      <c r="O1575">
        <v>1</v>
      </c>
      <c r="P1575">
        <v>2.1</v>
      </c>
      <c r="Q1575">
        <v>0</v>
      </c>
      <c r="U1575">
        <v>0.5</v>
      </c>
      <c r="V1575">
        <v>1</v>
      </c>
      <c r="W1575">
        <v>0</v>
      </c>
      <c r="X1575" s="7">
        <v>3</v>
      </c>
      <c r="Y1575">
        <v>-0.1</v>
      </c>
      <c r="Z1575">
        <v>0</v>
      </c>
      <c r="AM1575" s="669"/>
      <c r="AP1575" s="673">
        <v>1051</v>
      </c>
      <c r="AQ1575" t="s">
        <v>136</v>
      </c>
      <c r="AV1575">
        <v>1</v>
      </c>
    </row>
    <row r="1576" spans="1:48">
      <c r="A1576">
        <v>10165</v>
      </c>
      <c r="B1576" s="669" t="s">
        <v>5590</v>
      </c>
      <c r="C1576" s="668" t="s">
        <v>526</v>
      </c>
      <c r="D1576">
        <v>1</v>
      </c>
      <c r="E1576">
        <v>0</v>
      </c>
      <c r="G1576">
        <v>1</v>
      </c>
      <c r="H1576" s="670" t="s">
        <v>5591</v>
      </c>
      <c r="I1576">
        <v>3.36666666666667</v>
      </c>
      <c r="J1576">
        <v>3.36666666666667</v>
      </c>
      <c r="L1576">
        <v>0</v>
      </c>
      <c r="M1576">
        <f t="shared" si="176"/>
        <v>2.96666666666667</v>
      </c>
      <c r="N1576" t="s">
        <v>5592</v>
      </c>
      <c r="O1576">
        <v>1</v>
      </c>
      <c r="P1576">
        <v>5.5</v>
      </c>
      <c r="Q1576">
        <v>0</v>
      </c>
      <c r="S1576">
        <v>2.5</v>
      </c>
      <c r="T1576">
        <v>0.3</v>
      </c>
      <c r="U1576">
        <v>0.5</v>
      </c>
      <c r="V1576">
        <v>1</v>
      </c>
      <c r="W1576">
        <v>0</v>
      </c>
      <c r="X1576" s="7">
        <v>1</v>
      </c>
      <c r="Y1576">
        <v>-0.1</v>
      </c>
      <c r="Z1576">
        <v>0</v>
      </c>
      <c r="AM1576" s="669"/>
      <c r="AP1576" s="673">
        <v>1052</v>
      </c>
      <c r="AQ1576" t="s">
        <v>136</v>
      </c>
      <c r="AV1576">
        <v>1</v>
      </c>
    </row>
    <row r="1577" spans="1:48">
      <c r="A1577">
        <v>10166</v>
      </c>
      <c r="B1577" s="669" t="s">
        <v>5593</v>
      </c>
      <c r="C1577" s="668" t="s">
        <v>526</v>
      </c>
      <c r="D1577">
        <v>1</v>
      </c>
      <c r="E1577">
        <v>0</v>
      </c>
      <c r="G1577">
        <v>1</v>
      </c>
      <c r="H1577" s="670" t="s">
        <v>5594</v>
      </c>
      <c r="I1577">
        <v>1.83333333333333</v>
      </c>
      <c r="J1577">
        <v>1.83333333333333</v>
      </c>
      <c r="L1577">
        <v>0</v>
      </c>
      <c r="M1577">
        <f t="shared" si="176"/>
        <v>1.43333333333333</v>
      </c>
      <c r="N1577" t="s">
        <v>5595</v>
      </c>
      <c r="O1577">
        <v>1</v>
      </c>
      <c r="P1577">
        <v>1.5</v>
      </c>
      <c r="Q1577">
        <v>0</v>
      </c>
      <c r="V1577">
        <v>1</v>
      </c>
      <c r="W1577">
        <v>0</v>
      </c>
      <c r="X1577" s="7">
        <v>2</v>
      </c>
      <c r="Y1577">
        <v>-0.1</v>
      </c>
      <c r="Z1577">
        <v>0</v>
      </c>
      <c r="AM1577" s="669"/>
      <c r="AP1577" s="673">
        <v>1053</v>
      </c>
      <c r="AQ1577" t="s">
        <v>136</v>
      </c>
      <c r="AV1577">
        <v>1</v>
      </c>
    </row>
    <row r="1578" spans="1:48">
      <c r="A1578">
        <v>10167</v>
      </c>
      <c r="B1578" s="669" t="s">
        <v>5596</v>
      </c>
      <c r="C1578" s="668" t="s">
        <v>526</v>
      </c>
      <c r="D1578">
        <v>1</v>
      </c>
      <c r="E1578">
        <v>0</v>
      </c>
      <c r="G1578">
        <v>1</v>
      </c>
      <c r="H1578" s="670" t="s">
        <v>5597</v>
      </c>
      <c r="I1578">
        <v>2.33333333333333</v>
      </c>
      <c r="J1578">
        <v>2.33333333333333</v>
      </c>
      <c r="L1578">
        <v>0</v>
      </c>
      <c r="M1578">
        <f t="shared" si="176"/>
        <v>1.93333333333333</v>
      </c>
      <c r="N1578" t="s">
        <v>5598</v>
      </c>
      <c r="O1578">
        <v>1</v>
      </c>
      <c r="P1578">
        <v>1.5</v>
      </c>
      <c r="Q1578">
        <v>0</v>
      </c>
      <c r="V1578">
        <v>1</v>
      </c>
      <c r="W1578">
        <v>0</v>
      </c>
      <c r="X1578" s="7">
        <v>3</v>
      </c>
      <c r="Y1578">
        <v>-0.1</v>
      </c>
      <c r="Z1578">
        <v>0</v>
      </c>
      <c r="AM1578" s="669"/>
      <c r="AP1578" s="673">
        <v>1054</v>
      </c>
      <c r="AQ1578" t="s">
        <v>136</v>
      </c>
      <c r="AV1578">
        <v>1</v>
      </c>
    </row>
    <row r="1579" spans="1:43">
      <c r="A1579">
        <v>10168</v>
      </c>
      <c r="B1579" s="669" t="s">
        <v>5599</v>
      </c>
      <c r="C1579" s="668" t="s">
        <v>5600</v>
      </c>
      <c r="D1579">
        <v>1</v>
      </c>
      <c r="E1579">
        <v>0</v>
      </c>
      <c r="G1579">
        <v>1</v>
      </c>
      <c r="H1579" s="670">
        <v>112601</v>
      </c>
      <c r="I1579">
        <v>2</v>
      </c>
      <c r="J1579">
        <v>2</v>
      </c>
      <c r="L1579">
        <v>0</v>
      </c>
      <c r="M1579">
        <f t="shared" ref="M1579:M1590" si="177">J1579-0.4</f>
        <v>1.6</v>
      </c>
      <c r="N1579" t="s">
        <v>5601</v>
      </c>
      <c r="O1579">
        <v>0</v>
      </c>
      <c r="P1579">
        <v>0</v>
      </c>
      <c r="Q1579">
        <v>0</v>
      </c>
      <c r="U1579">
        <v>0.5</v>
      </c>
      <c r="V1579">
        <v>1</v>
      </c>
      <c r="W1579">
        <v>6</v>
      </c>
      <c r="X1579" s="7">
        <v>3</v>
      </c>
      <c r="Y1579">
        <v>-0.1</v>
      </c>
      <c r="Z1579">
        <v>0</v>
      </c>
      <c r="AM1579" s="669"/>
      <c r="AP1579" s="511">
        <v>1094</v>
      </c>
      <c r="AQ1579" t="s">
        <v>136</v>
      </c>
    </row>
    <row r="1580" spans="1:43">
      <c r="A1580">
        <v>10169</v>
      </c>
      <c r="B1580" s="669" t="s">
        <v>5599</v>
      </c>
      <c r="C1580" s="668" t="s">
        <v>5602</v>
      </c>
      <c r="D1580">
        <v>1</v>
      </c>
      <c r="E1580">
        <v>0</v>
      </c>
      <c r="G1580">
        <v>1</v>
      </c>
      <c r="H1580" s="670">
        <v>112602</v>
      </c>
      <c r="I1580">
        <v>1.66666666666667</v>
      </c>
      <c r="J1580">
        <v>1.66666666666667</v>
      </c>
      <c r="L1580">
        <v>0</v>
      </c>
      <c r="M1580">
        <f t="shared" si="177"/>
        <v>1.26666666666667</v>
      </c>
      <c r="N1580" t="s">
        <v>5603</v>
      </c>
      <c r="O1580">
        <v>0</v>
      </c>
      <c r="P1580">
        <v>0</v>
      </c>
      <c r="Q1580">
        <v>0</v>
      </c>
      <c r="U1580">
        <v>0.5</v>
      </c>
      <c r="V1580">
        <v>1</v>
      </c>
      <c r="W1580">
        <v>0</v>
      </c>
      <c r="X1580" s="7">
        <v>2</v>
      </c>
      <c r="Y1580">
        <v>-0.1</v>
      </c>
      <c r="Z1580">
        <v>0</v>
      </c>
      <c r="AM1580" s="669"/>
      <c r="AP1580" s="511">
        <v>1093</v>
      </c>
      <c r="AQ1580" t="s">
        <v>136</v>
      </c>
    </row>
    <row r="1581" spans="1:43">
      <c r="A1581">
        <v>10170</v>
      </c>
      <c r="B1581" s="669" t="s">
        <v>5599</v>
      </c>
      <c r="C1581" s="668" t="s">
        <v>5604</v>
      </c>
      <c r="D1581">
        <v>1</v>
      </c>
      <c r="E1581">
        <v>0</v>
      </c>
      <c r="G1581">
        <v>1</v>
      </c>
      <c r="H1581" s="670">
        <v>112603</v>
      </c>
      <c r="I1581">
        <v>5</v>
      </c>
      <c r="J1581">
        <v>5</v>
      </c>
      <c r="K1581">
        <v>0.4</v>
      </c>
      <c r="L1581">
        <v>1</v>
      </c>
      <c r="M1581">
        <f t="shared" si="177"/>
        <v>4.6</v>
      </c>
      <c r="N1581" t="s">
        <v>5605</v>
      </c>
      <c r="O1581">
        <v>1</v>
      </c>
      <c r="P1581">
        <v>13</v>
      </c>
      <c r="Q1581">
        <v>0</v>
      </c>
      <c r="V1581">
        <v>1</v>
      </c>
      <c r="W1581">
        <v>6</v>
      </c>
      <c r="X1581" s="7">
        <v>1</v>
      </c>
      <c r="Y1581">
        <v>-0.1</v>
      </c>
      <c r="Z1581">
        <v>0</v>
      </c>
      <c r="AD1581">
        <v>1</v>
      </c>
      <c r="AE1581" t="s">
        <v>5606</v>
      </c>
      <c r="AF1581">
        <v>0.5</v>
      </c>
      <c r="AM1581" s="669"/>
      <c r="AP1581" s="672">
        <v>1095</v>
      </c>
      <c r="AQ1581" t="s">
        <v>136</v>
      </c>
    </row>
    <row r="1582" spans="1:48">
      <c r="A1582">
        <v>10171</v>
      </c>
      <c r="B1582" s="669" t="s">
        <v>5607</v>
      </c>
      <c r="C1582" s="668" t="s">
        <v>526</v>
      </c>
      <c r="D1582">
        <v>1</v>
      </c>
      <c r="E1582">
        <v>0</v>
      </c>
      <c r="G1582">
        <v>1</v>
      </c>
      <c r="H1582" s="670">
        <v>112701</v>
      </c>
      <c r="I1582">
        <v>2</v>
      </c>
      <c r="J1582">
        <v>2</v>
      </c>
      <c r="L1582">
        <v>0</v>
      </c>
      <c r="M1582">
        <f t="shared" si="177"/>
        <v>1.6</v>
      </c>
      <c r="N1582" t="s">
        <v>5608</v>
      </c>
      <c r="O1582">
        <v>1</v>
      </c>
      <c r="P1582">
        <v>2</v>
      </c>
      <c r="Q1582">
        <v>0</v>
      </c>
      <c r="U1582">
        <v>0.8</v>
      </c>
      <c r="V1582">
        <v>1</v>
      </c>
      <c r="W1582">
        <v>0</v>
      </c>
      <c r="X1582" s="7">
        <v>3</v>
      </c>
      <c r="Y1582">
        <v>-0.1</v>
      </c>
      <c r="Z1582">
        <v>0</v>
      </c>
      <c r="AM1582" s="669"/>
      <c r="AP1582" s="672">
        <v>1075</v>
      </c>
      <c r="AQ1582" t="s">
        <v>136</v>
      </c>
      <c r="AV1582">
        <v>1</v>
      </c>
    </row>
    <row r="1583" spans="1:43">
      <c r="A1583">
        <v>10172</v>
      </c>
      <c r="B1583" s="669" t="s">
        <v>5607</v>
      </c>
      <c r="C1583" s="668" t="s">
        <v>5225</v>
      </c>
      <c r="D1583">
        <v>1</v>
      </c>
      <c r="E1583">
        <v>0</v>
      </c>
      <c r="G1583">
        <v>1</v>
      </c>
      <c r="H1583" s="670">
        <v>112702</v>
      </c>
      <c r="I1583">
        <v>2.06666666666667</v>
      </c>
      <c r="J1583">
        <v>2.06666666666667</v>
      </c>
      <c r="L1583">
        <v>0</v>
      </c>
      <c r="M1583">
        <f t="shared" si="177"/>
        <v>1.66666666666667</v>
      </c>
      <c r="N1583" t="s">
        <v>5609</v>
      </c>
      <c r="O1583">
        <v>1</v>
      </c>
      <c r="P1583">
        <v>2</v>
      </c>
      <c r="Q1583">
        <v>0</v>
      </c>
      <c r="R1583">
        <v>1</v>
      </c>
      <c r="U1583">
        <v>0.8</v>
      </c>
      <c r="V1583">
        <v>1</v>
      </c>
      <c r="W1583">
        <v>0</v>
      </c>
      <c r="X1583" s="7">
        <v>1</v>
      </c>
      <c r="Y1583">
        <v>-0.1</v>
      </c>
      <c r="Z1583">
        <v>0</v>
      </c>
      <c r="AM1583" s="669"/>
      <c r="AP1583" s="672">
        <v>1076</v>
      </c>
      <c r="AQ1583" t="s">
        <v>136</v>
      </c>
    </row>
    <row r="1584" spans="1:43">
      <c r="A1584">
        <v>10173</v>
      </c>
      <c r="B1584" s="669" t="s">
        <v>5607</v>
      </c>
      <c r="C1584" s="668" t="s">
        <v>5610</v>
      </c>
      <c r="D1584">
        <v>1</v>
      </c>
      <c r="E1584">
        <v>0</v>
      </c>
      <c r="G1584">
        <v>1</v>
      </c>
      <c r="H1584" s="670">
        <v>112703</v>
      </c>
      <c r="I1584">
        <v>4</v>
      </c>
      <c r="J1584">
        <v>4</v>
      </c>
      <c r="L1584">
        <v>1</v>
      </c>
      <c r="M1584">
        <f t="shared" si="177"/>
        <v>3.6</v>
      </c>
      <c r="N1584" t="s">
        <v>5611</v>
      </c>
      <c r="O1584">
        <v>1</v>
      </c>
      <c r="P1584">
        <v>6.1</v>
      </c>
      <c r="Q1584">
        <v>0</v>
      </c>
      <c r="V1584">
        <v>1</v>
      </c>
      <c r="W1584">
        <v>0</v>
      </c>
      <c r="X1584" s="7">
        <v>1</v>
      </c>
      <c r="Y1584">
        <v>-0.1</v>
      </c>
      <c r="Z1584">
        <v>0</v>
      </c>
      <c r="AD1584">
        <v>1</v>
      </c>
      <c r="AE1584" t="s">
        <v>5612</v>
      </c>
      <c r="AF1584">
        <v>0.5</v>
      </c>
      <c r="AM1584" s="669"/>
      <c r="AP1584" s="672">
        <v>1077</v>
      </c>
      <c r="AQ1584" t="s">
        <v>136</v>
      </c>
    </row>
    <row r="1585" spans="1:48">
      <c r="A1585">
        <v>10174</v>
      </c>
      <c r="B1585" s="669" t="s">
        <v>5613</v>
      </c>
      <c r="C1585" s="668" t="s">
        <v>526</v>
      </c>
      <c r="D1585">
        <v>1</v>
      </c>
      <c r="E1585">
        <v>0</v>
      </c>
      <c r="G1585">
        <v>1</v>
      </c>
      <c r="H1585" s="670">
        <v>112801</v>
      </c>
      <c r="I1585">
        <v>3.33333333333333</v>
      </c>
      <c r="J1585">
        <v>3.33333333333333</v>
      </c>
      <c r="L1585">
        <v>0</v>
      </c>
      <c r="M1585">
        <f t="shared" si="177"/>
        <v>2.93333333333333</v>
      </c>
      <c r="N1585" t="s">
        <v>5614</v>
      </c>
      <c r="O1585">
        <v>1</v>
      </c>
      <c r="P1585">
        <v>1.4</v>
      </c>
      <c r="Q1585">
        <v>0</v>
      </c>
      <c r="V1585">
        <v>1</v>
      </c>
      <c r="W1585">
        <v>0</v>
      </c>
      <c r="X1585" s="7">
        <v>4</v>
      </c>
      <c r="Y1585">
        <v>-0.1</v>
      </c>
      <c r="Z1585">
        <v>0</v>
      </c>
      <c r="AM1585" s="669"/>
      <c r="AP1585" s="672">
        <v>1080</v>
      </c>
      <c r="AQ1585" t="s">
        <v>136</v>
      </c>
      <c r="AV1585">
        <v>1</v>
      </c>
    </row>
    <row r="1586" spans="1:43">
      <c r="A1586">
        <v>10175</v>
      </c>
      <c r="B1586" s="669" t="s">
        <v>5613</v>
      </c>
      <c r="C1586" s="668" t="s">
        <v>5615</v>
      </c>
      <c r="D1586">
        <v>1</v>
      </c>
      <c r="E1586">
        <v>0</v>
      </c>
      <c r="G1586">
        <v>1</v>
      </c>
      <c r="H1586" s="670">
        <v>112802</v>
      </c>
      <c r="I1586">
        <v>2</v>
      </c>
      <c r="J1586">
        <v>2</v>
      </c>
      <c r="L1586">
        <v>0</v>
      </c>
      <c r="M1586">
        <f t="shared" si="177"/>
        <v>1.6</v>
      </c>
      <c r="N1586" t="s">
        <v>5616</v>
      </c>
      <c r="O1586">
        <v>1</v>
      </c>
      <c r="P1586">
        <v>1.4</v>
      </c>
      <c r="Q1586">
        <v>0</v>
      </c>
      <c r="S1586">
        <v>-1.5</v>
      </c>
      <c r="U1586">
        <v>0.8</v>
      </c>
      <c r="V1586">
        <v>1</v>
      </c>
      <c r="W1586">
        <v>4</v>
      </c>
      <c r="X1586" s="7">
        <v>1</v>
      </c>
      <c r="Y1586">
        <v>0.4</v>
      </c>
      <c r="Z1586">
        <v>0</v>
      </c>
      <c r="AM1586" s="669"/>
      <c r="AP1586" s="672">
        <v>1081</v>
      </c>
      <c r="AQ1586" t="s">
        <v>136</v>
      </c>
    </row>
    <row r="1587" spans="1:43">
      <c r="A1587">
        <v>10176</v>
      </c>
      <c r="B1587" s="669" t="s">
        <v>5613</v>
      </c>
      <c r="C1587" s="668" t="s">
        <v>5617</v>
      </c>
      <c r="D1587">
        <v>1</v>
      </c>
      <c r="E1587">
        <v>0</v>
      </c>
      <c r="G1587">
        <v>1</v>
      </c>
      <c r="H1587" s="670">
        <v>112803</v>
      </c>
      <c r="I1587">
        <v>2.16666666666667</v>
      </c>
      <c r="J1587">
        <v>2.16666666666667</v>
      </c>
      <c r="L1587">
        <v>0</v>
      </c>
      <c r="M1587">
        <f t="shared" si="177"/>
        <v>1.76666666666667</v>
      </c>
      <c r="N1587" t="s">
        <v>5618</v>
      </c>
      <c r="O1587">
        <v>1</v>
      </c>
      <c r="P1587">
        <v>1.4</v>
      </c>
      <c r="Q1587">
        <v>0</v>
      </c>
      <c r="V1587">
        <v>1</v>
      </c>
      <c r="W1587">
        <v>0</v>
      </c>
      <c r="X1587" s="7">
        <v>1</v>
      </c>
      <c r="Y1587">
        <v>-0.1</v>
      </c>
      <c r="Z1587">
        <v>0</v>
      </c>
      <c r="AM1587" s="669"/>
      <c r="AP1587" s="672">
        <v>1082</v>
      </c>
      <c r="AQ1587" t="s">
        <v>136</v>
      </c>
    </row>
    <row r="1588" spans="1:48">
      <c r="A1588">
        <v>10177</v>
      </c>
      <c r="B1588" s="669" t="s">
        <v>5619</v>
      </c>
      <c r="C1588" s="668" t="s">
        <v>526</v>
      </c>
      <c r="D1588">
        <v>1</v>
      </c>
      <c r="E1588">
        <v>0</v>
      </c>
      <c r="G1588">
        <v>1</v>
      </c>
      <c r="H1588" s="670">
        <v>112901</v>
      </c>
      <c r="I1588">
        <v>1.16666666666667</v>
      </c>
      <c r="J1588">
        <v>1.16666666666667</v>
      </c>
      <c r="L1588">
        <v>0</v>
      </c>
      <c r="M1588">
        <f t="shared" si="177"/>
        <v>0.76666666666667</v>
      </c>
      <c r="N1588" t="s">
        <v>5620</v>
      </c>
      <c r="O1588">
        <v>1</v>
      </c>
      <c r="P1588">
        <v>1</v>
      </c>
      <c r="Q1588">
        <v>0</v>
      </c>
      <c r="V1588">
        <v>1</v>
      </c>
      <c r="W1588">
        <v>0</v>
      </c>
      <c r="X1588" s="7">
        <v>1</v>
      </c>
      <c r="Y1588">
        <v>-0.1</v>
      </c>
      <c r="Z1588">
        <v>0</v>
      </c>
      <c r="AM1588" s="669"/>
      <c r="AP1588" s="672">
        <v>1087</v>
      </c>
      <c r="AQ1588" t="s">
        <v>136</v>
      </c>
      <c r="AV1588">
        <v>1</v>
      </c>
    </row>
    <row r="1589" spans="1:43">
      <c r="A1589">
        <v>10178</v>
      </c>
      <c r="B1589" s="669" t="s">
        <v>5619</v>
      </c>
      <c r="C1589" s="668" t="s">
        <v>5225</v>
      </c>
      <c r="D1589">
        <v>1</v>
      </c>
      <c r="E1589">
        <v>0</v>
      </c>
      <c r="G1589">
        <v>1</v>
      </c>
      <c r="H1589" s="670">
        <v>112902</v>
      </c>
      <c r="I1589">
        <v>2.66666666666667</v>
      </c>
      <c r="J1589">
        <v>2.66666666666667</v>
      </c>
      <c r="L1589">
        <v>0</v>
      </c>
      <c r="M1589">
        <f t="shared" si="177"/>
        <v>2.26666666666667</v>
      </c>
      <c r="N1589" t="s">
        <v>5621</v>
      </c>
      <c r="O1589">
        <v>1</v>
      </c>
      <c r="P1589">
        <v>1</v>
      </c>
      <c r="Q1589">
        <v>0</v>
      </c>
      <c r="V1589">
        <v>1</v>
      </c>
      <c r="W1589">
        <v>0</v>
      </c>
      <c r="X1589" s="7">
        <v>3</v>
      </c>
      <c r="Y1589">
        <v>-0.1</v>
      </c>
      <c r="Z1589">
        <v>0</v>
      </c>
      <c r="AM1589" s="669"/>
      <c r="AP1589" s="672">
        <v>1088</v>
      </c>
      <c r="AQ1589" t="s">
        <v>136</v>
      </c>
    </row>
    <row r="1590" spans="1:43">
      <c r="A1590">
        <v>10179</v>
      </c>
      <c r="B1590" s="669" t="s">
        <v>5619</v>
      </c>
      <c r="C1590" s="668" t="s">
        <v>5610</v>
      </c>
      <c r="D1590">
        <v>1</v>
      </c>
      <c r="E1590">
        <v>0</v>
      </c>
      <c r="G1590">
        <v>1</v>
      </c>
      <c r="H1590" s="670">
        <v>112903</v>
      </c>
      <c r="I1590">
        <v>3.83333333333333</v>
      </c>
      <c r="J1590">
        <v>3.83333333333333</v>
      </c>
      <c r="L1590">
        <v>1</v>
      </c>
      <c r="M1590">
        <f t="shared" si="177"/>
        <v>3.43333333333333</v>
      </c>
      <c r="N1590" t="s">
        <v>5622</v>
      </c>
      <c r="O1590">
        <v>1</v>
      </c>
      <c r="P1590">
        <v>1</v>
      </c>
      <c r="Q1590">
        <v>0</v>
      </c>
      <c r="V1590">
        <v>1</v>
      </c>
      <c r="W1590">
        <v>0</v>
      </c>
      <c r="X1590" s="7">
        <v>10</v>
      </c>
      <c r="Y1590">
        <v>-0.1</v>
      </c>
      <c r="Z1590">
        <v>0</v>
      </c>
      <c r="AD1590">
        <v>1</v>
      </c>
      <c r="AE1590" t="s">
        <v>5623</v>
      </c>
      <c r="AF1590">
        <v>0.5</v>
      </c>
      <c r="AM1590" s="669"/>
      <c r="AP1590" s="672">
        <v>1089</v>
      </c>
      <c r="AQ1590" t="s">
        <v>136</v>
      </c>
    </row>
    <row r="1591" spans="1:48">
      <c r="A1591">
        <v>10180</v>
      </c>
      <c r="B1591" s="669" t="s">
        <v>5624</v>
      </c>
      <c r="C1591" s="668" t="s">
        <v>526</v>
      </c>
      <c r="D1591">
        <v>1</v>
      </c>
      <c r="E1591">
        <v>0</v>
      </c>
      <c r="G1591">
        <v>1</v>
      </c>
      <c r="H1591" s="670" t="s">
        <v>5625</v>
      </c>
      <c r="I1591">
        <v>4</v>
      </c>
      <c r="J1591">
        <v>4</v>
      </c>
      <c r="L1591">
        <v>0</v>
      </c>
      <c r="M1591">
        <f t="shared" ref="M1591:M1596" si="178">J1591-0.4</f>
        <v>3.6</v>
      </c>
      <c r="N1591" t="s">
        <v>5626</v>
      </c>
      <c r="O1591">
        <v>0</v>
      </c>
      <c r="P1591">
        <v>0</v>
      </c>
      <c r="Q1591">
        <v>2</v>
      </c>
      <c r="V1591">
        <v>1</v>
      </c>
      <c r="W1591">
        <v>6</v>
      </c>
      <c r="X1591" s="7">
        <v>1</v>
      </c>
      <c r="Y1591">
        <v>-0.1</v>
      </c>
      <c r="Z1591">
        <v>0</v>
      </c>
      <c r="AM1591" s="669"/>
      <c r="AN1591" s="672">
        <v>1100</v>
      </c>
      <c r="AO1591" t="s">
        <v>136</v>
      </c>
      <c r="AV1591">
        <v>1</v>
      </c>
    </row>
    <row r="1592" spans="1:41">
      <c r="A1592">
        <v>10181</v>
      </c>
      <c r="B1592" s="669" t="s">
        <v>5624</v>
      </c>
      <c r="C1592" s="668" t="s">
        <v>5225</v>
      </c>
      <c r="D1592">
        <v>1</v>
      </c>
      <c r="E1592">
        <v>0</v>
      </c>
      <c r="G1592">
        <v>1</v>
      </c>
      <c r="H1592" s="670" t="s">
        <v>5627</v>
      </c>
      <c r="I1592">
        <v>4</v>
      </c>
      <c r="J1592">
        <v>4</v>
      </c>
      <c r="L1592">
        <v>0</v>
      </c>
      <c r="M1592">
        <f t="shared" si="178"/>
        <v>3.6</v>
      </c>
      <c r="N1592" t="s">
        <v>5628</v>
      </c>
      <c r="O1592">
        <v>0</v>
      </c>
      <c r="P1592">
        <v>0</v>
      </c>
      <c r="Q1592">
        <v>2</v>
      </c>
      <c r="V1592">
        <v>1</v>
      </c>
      <c r="W1592">
        <v>6</v>
      </c>
      <c r="X1592" s="7">
        <v>1</v>
      </c>
      <c r="Y1592">
        <v>-0.1</v>
      </c>
      <c r="Z1592">
        <v>0</v>
      </c>
      <c r="AM1592" s="669"/>
      <c r="AN1592" s="672">
        <v>1101</v>
      </c>
      <c r="AO1592" t="s">
        <v>136</v>
      </c>
    </row>
    <row r="1593" spans="1:41">
      <c r="A1593">
        <v>10182</v>
      </c>
      <c r="B1593" s="669" t="s">
        <v>5624</v>
      </c>
      <c r="C1593" s="668" t="s">
        <v>5413</v>
      </c>
      <c r="D1593">
        <v>1</v>
      </c>
      <c r="E1593">
        <v>0</v>
      </c>
      <c r="G1593">
        <v>1</v>
      </c>
      <c r="H1593" s="670" t="s">
        <v>5629</v>
      </c>
      <c r="I1593">
        <v>4</v>
      </c>
      <c r="J1593">
        <v>4</v>
      </c>
      <c r="L1593">
        <v>0</v>
      </c>
      <c r="M1593">
        <f t="shared" si="178"/>
        <v>3.6</v>
      </c>
      <c r="N1593" t="s">
        <v>5630</v>
      </c>
      <c r="O1593">
        <v>0</v>
      </c>
      <c r="P1593">
        <v>0</v>
      </c>
      <c r="Q1593">
        <v>2</v>
      </c>
      <c r="V1593">
        <v>1</v>
      </c>
      <c r="W1593">
        <v>6</v>
      </c>
      <c r="X1593" s="7">
        <v>1</v>
      </c>
      <c r="Y1593">
        <v>-0.1</v>
      </c>
      <c r="Z1593">
        <v>0</v>
      </c>
      <c r="AM1593" s="669"/>
      <c r="AN1593" s="672">
        <v>1102</v>
      </c>
      <c r="AO1593" t="s">
        <v>136</v>
      </c>
    </row>
    <row r="1594" spans="1:43">
      <c r="A1594">
        <v>10183</v>
      </c>
      <c r="B1594" s="669" t="s">
        <v>5624</v>
      </c>
      <c r="C1594" s="668" t="s">
        <v>5631</v>
      </c>
      <c r="D1594">
        <v>1</v>
      </c>
      <c r="E1594">
        <v>0</v>
      </c>
      <c r="G1594">
        <v>1</v>
      </c>
      <c r="H1594" s="670" t="s">
        <v>5632</v>
      </c>
      <c r="I1594">
        <v>5.66666666666667</v>
      </c>
      <c r="J1594">
        <v>5.66666666666667</v>
      </c>
      <c r="K1594">
        <v>0.3</v>
      </c>
      <c r="L1594">
        <v>1</v>
      </c>
      <c r="M1594">
        <f t="shared" si="178"/>
        <v>5.26666666666667</v>
      </c>
      <c r="N1594" t="s">
        <v>5633</v>
      </c>
      <c r="O1594">
        <v>0</v>
      </c>
      <c r="P1594">
        <v>0</v>
      </c>
      <c r="Q1594">
        <v>2</v>
      </c>
      <c r="V1594">
        <v>1</v>
      </c>
      <c r="W1594">
        <v>6</v>
      </c>
      <c r="X1594" s="7">
        <v>1</v>
      </c>
      <c r="Y1594">
        <v>-0.1</v>
      </c>
      <c r="Z1594">
        <v>0</v>
      </c>
      <c r="AB1594">
        <f>5.66666666666667-0.333333</f>
        <v>5.33333366666667</v>
      </c>
      <c r="AC1594">
        <v>2</v>
      </c>
      <c r="AD1594">
        <v>1</v>
      </c>
      <c r="AE1594" t="s">
        <v>5634</v>
      </c>
      <c r="AF1594">
        <v>0.5</v>
      </c>
      <c r="AG1594" t="s">
        <v>5635</v>
      </c>
      <c r="AM1594" s="669"/>
      <c r="AP1594" s="672">
        <v>1103</v>
      </c>
      <c r="AQ1594" t="s">
        <v>136</v>
      </c>
    </row>
    <row r="1595" spans="1:43">
      <c r="A1595">
        <v>10184</v>
      </c>
      <c r="B1595" s="669" t="s">
        <v>5624</v>
      </c>
      <c r="C1595" s="668" t="s">
        <v>5636</v>
      </c>
      <c r="D1595">
        <v>1</v>
      </c>
      <c r="E1595">
        <v>0</v>
      </c>
      <c r="G1595">
        <v>1</v>
      </c>
      <c r="H1595" s="670" t="s">
        <v>5637</v>
      </c>
      <c r="I1595">
        <v>7.53333333333333</v>
      </c>
      <c r="J1595">
        <v>7.53333333333333</v>
      </c>
      <c r="K1595">
        <v>0.3</v>
      </c>
      <c r="L1595">
        <v>1</v>
      </c>
      <c r="M1595">
        <f t="shared" si="178"/>
        <v>7.13333333333333</v>
      </c>
      <c r="N1595" t="s">
        <v>5638</v>
      </c>
      <c r="O1595">
        <v>0</v>
      </c>
      <c r="P1595">
        <v>0</v>
      </c>
      <c r="Q1595">
        <v>2</v>
      </c>
      <c r="V1595">
        <v>1</v>
      </c>
      <c r="W1595">
        <v>6</v>
      </c>
      <c r="X1595" s="7">
        <v>1</v>
      </c>
      <c r="Y1595">
        <v>-0.1</v>
      </c>
      <c r="Z1595">
        <v>0</v>
      </c>
      <c r="AB1595">
        <f>7.53333333333333-0.3333333</f>
        <v>7.20000003333333</v>
      </c>
      <c r="AC1595">
        <v>2</v>
      </c>
      <c r="AD1595">
        <v>1</v>
      </c>
      <c r="AE1595" t="s">
        <v>5639</v>
      </c>
      <c r="AF1595">
        <v>0.5</v>
      </c>
      <c r="AG1595" t="s">
        <v>5635</v>
      </c>
      <c r="AM1595" s="669"/>
      <c r="AN1595" s="8">
        <v>1133</v>
      </c>
      <c r="AO1595" t="s">
        <v>3151</v>
      </c>
      <c r="AP1595" s="674">
        <v>1104</v>
      </c>
      <c r="AQ1595" t="s">
        <v>136</v>
      </c>
    </row>
    <row r="1596" spans="1:43">
      <c r="A1596">
        <v>10185</v>
      </c>
      <c r="B1596" s="669" t="s">
        <v>5624</v>
      </c>
      <c r="C1596" s="668" t="s">
        <v>5640</v>
      </c>
      <c r="D1596">
        <v>1</v>
      </c>
      <c r="E1596">
        <v>0</v>
      </c>
      <c r="G1596">
        <v>1</v>
      </c>
      <c r="H1596" s="670" t="s">
        <v>5641</v>
      </c>
      <c r="I1596">
        <v>13.9666666666667</v>
      </c>
      <c r="J1596">
        <v>13.9666666666667</v>
      </c>
      <c r="K1596">
        <v>0.3</v>
      </c>
      <c r="L1596">
        <v>1</v>
      </c>
      <c r="M1596">
        <f t="shared" si="178"/>
        <v>13.5666666666667</v>
      </c>
      <c r="N1596" t="s">
        <v>5642</v>
      </c>
      <c r="O1596">
        <v>0</v>
      </c>
      <c r="P1596">
        <v>0</v>
      </c>
      <c r="Q1596">
        <v>2</v>
      </c>
      <c r="V1596">
        <v>1</v>
      </c>
      <c r="W1596">
        <v>6</v>
      </c>
      <c r="X1596" s="7">
        <v>5</v>
      </c>
      <c r="Y1596">
        <v>-0.1</v>
      </c>
      <c r="Z1596">
        <v>0</v>
      </c>
      <c r="AB1596">
        <f>13.9666666666667-0.33333333333</f>
        <v>13.6333333333367</v>
      </c>
      <c r="AC1596">
        <v>2</v>
      </c>
      <c r="AD1596">
        <v>1</v>
      </c>
      <c r="AE1596" t="s">
        <v>5643</v>
      </c>
      <c r="AF1596">
        <v>0.5</v>
      </c>
      <c r="AG1596" t="s">
        <v>5635</v>
      </c>
      <c r="AM1596" s="669"/>
      <c r="AP1596" s="672">
        <v>1105</v>
      </c>
      <c r="AQ1596" t="s">
        <v>136</v>
      </c>
    </row>
    <row r="1597" spans="1:48">
      <c r="A1597">
        <v>10186</v>
      </c>
      <c r="B1597" s="669" t="s">
        <v>5644</v>
      </c>
      <c r="C1597" s="668" t="s">
        <v>526</v>
      </c>
      <c r="D1597">
        <v>1</v>
      </c>
      <c r="E1597">
        <v>0</v>
      </c>
      <c r="G1597">
        <v>1</v>
      </c>
      <c r="H1597" s="671" t="s">
        <v>5645</v>
      </c>
      <c r="I1597">
        <v>2.5</v>
      </c>
      <c r="J1597">
        <v>2.5</v>
      </c>
      <c r="L1597">
        <v>0</v>
      </c>
      <c r="M1597">
        <f t="shared" ref="M1597:M1602" si="179">J1597-0.4</f>
        <v>2.1</v>
      </c>
      <c r="N1597" t="s">
        <v>5646</v>
      </c>
      <c r="O1597">
        <v>0</v>
      </c>
      <c r="P1597">
        <v>0</v>
      </c>
      <c r="Q1597">
        <v>0</v>
      </c>
      <c r="S1597">
        <v>-4.5</v>
      </c>
      <c r="T1597" s="750" t="s">
        <v>5647</v>
      </c>
      <c r="U1597">
        <v>2.3</v>
      </c>
      <c r="V1597">
        <v>1</v>
      </c>
      <c r="W1597">
        <v>6</v>
      </c>
      <c r="X1597" s="7">
        <v>8</v>
      </c>
      <c r="Y1597">
        <v>-0.1</v>
      </c>
      <c r="Z1597">
        <v>0</v>
      </c>
      <c r="AM1597" s="669"/>
      <c r="AN1597" s="8" t="s">
        <v>5648</v>
      </c>
      <c r="AO1597" t="s">
        <v>5649</v>
      </c>
      <c r="AP1597" s="672"/>
      <c r="AV1597">
        <v>1</v>
      </c>
    </row>
    <row r="1598" spans="1:48">
      <c r="A1598">
        <v>10187</v>
      </c>
      <c r="B1598" s="669" t="s">
        <v>5650</v>
      </c>
      <c r="C1598" s="668" t="s">
        <v>526</v>
      </c>
      <c r="D1598">
        <v>1</v>
      </c>
      <c r="E1598">
        <v>0</v>
      </c>
      <c r="G1598">
        <v>1</v>
      </c>
      <c r="H1598" s="671" t="s">
        <v>5651</v>
      </c>
      <c r="I1598">
        <v>2.1</v>
      </c>
      <c r="J1598">
        <v>2.1</v>
      </c>
      <c r="L1598">
        <v>0</v>
      </c>
      <c r="M1598">
        <f t="shared" si="179"/>
        <v>1.7</v>
      </c>
      <c r="N1598" t="s">
        <v>5652</v>
      </c>
      <c r="O1598">
        <v>0</v>
      </c>
      <c r="P1598">
        <v>0</v>
      </c>
      <c r="Q1598">
        <v>0</v>
      </c>
      <c r="S1598">
        <v>1.5</v>
      </c>
      <c r="T1598" s="750" t="s">
        <v>5653</v>
      </c>
      <c r="U1598">
        <v>2.3</v>
      </c>
      <c r="V1598">
        <v>1</v>
      </c>
      <c r="W1598">
        <v>5</v>
      </c>
      <c r="X1598" s="7">
        <v>1</v>
      </c>
      <c r="Y1598">
        <v>-0.1</v>
      </c>
      <c r="Z1598">
        <v>0</v>
      </c>
      <c r="AM1598" s="669"/>
      <c r="AP1598" s="672"/>
      <c r="AV1598">
        <v>1</v>
      </c>
    </row>
    <row r="1599" spans="1:48">
      <c r="A1599">
        <v>10188</v>
      </c>
      <c r="B1599" s="669" t="s">
        <v>5654</v>
      </c>
      <c r="C1599" s="668" t="s">
        <v>526</v>
      </c>
      <c r="D1599">
        <v>1</v>
      </c>
      <c r="E1599">
        <v>0</v>
      </c>
      <c r="G1599">
        <v>1</v>
      </c>
      <c r="H1599" s="671" t="s">
        <v>5655</v>
      </c>
      <c r="I1599">
        <v>2.06666666666667</v>
      </c>
      <c r="J1599">
        <v>2.06666666666667</v>
      </c>
      <c r="L1599">
        <v>0</v>
      </c>
      <c r="M1599">
        <f t="shared" si="179"/>
        <v>1.66666666666667</v>
      </c>
      <c r="N1599" t="s">
        <v>5656</v>
      </c>
      <c r="O1599">
        <v>1</v>
      </c>
      <c r="P1599">
        <v>1.8</v>
      </c>
      <c r="Q1599">
        <v>0</v>
      </c>
      <c r="V1599">
        <v>1</v>
      </c>
      <c r="W1599">
        <v>0</v>
      </c>
      <c r="X1599" s="7">
        <v>2</v>
      </c>
      <c r="Y1599">
        <v>-0.1</v>
      </c>
      <c r="Z1599">
        <v>0</v>
      </c>
      <c r="AM1599" s="669"/>
      <c r="AN1599" s="10">
        <v>1244</v>
      </c>
      <c r="AO1599" t="s">
        <v>136</v>
      </c>
      <c r="AP1599" s="672"/>
      <c r="AV1599">
        <v>1</v>
      </c>
    </row>
    <row r="1600" spans="1:48">
      <c r="A1600">
        <v>10189</v>
      </c>
      <c r="B1600" s="669" t="s">
        <v>5657</v>
      </c>
      <c r="C1600" s="668" t="s">
        <v>526</v>
      </c>
      <c r="D1600">
        <v>1</v>
      </c>
      <c r="E1600">
        <v>0</v>
      </c>
      <c r="G1600">
        <v>1</v>
      </c>
      <c r="H1600" s="671" t="s">
        <v>5658</v>
      </c>
      <c r="I1600">
        <v>2.33333333333333</v>
      </c>
      <c r="J1600">
        <v>2.33333333333333</v>
      </c>
      <c r="L1600">
        <v>0</v>
      </c>
      <c r="M1600">
        <f t="shared" si="179"/>
        <v>1.93333333333333</v>
      </c>
      <c r="N1600" t="s">
        <v>5659</v>
      </c>
      <c r="O1600">
        <v>1</v>
      </c>
      <c r="P1600">
        <v>1.5</v>
      </c>
      <c r="Q1600">
        <v>0</v>
      </c>
      <c r="V1600">
        <v>1</v>
      </c>
      <c r="W1600">
        <v>0</v>
      </c>
      <c r="X1600" s="7">
        <v>3</v>
      </c>
      <c r="Y1600">
        <v>-0.1</v>
      </c>
      <c r="Z1600">
        <v>0</v>
      </c>
      <c r="AM1600" s="669"/>
      <c r="AN1600" s="10">
        <v>1245</v>
      </c>
      <c r="AO1600" t="s">
        <v>136</v>
      </c>
      <c r="AP1600" s="672"/>
      <c r="AV1600">
        <v>1</v>
      </c>
    </row>
    <row r="1601" spans="1:48">
      <c r="A1601">
        <v>10190</v>
      </c>
      <c r="B1601" s="669" t="s">
        <v>5660</v>
      </c>
      <c r="C1601" s="668" t="s">
        <v>526</v>
      </c>
      <c r="D1601">
        <v>1</v>
      </c>
      <c r="E1601">
        <v>0</v>
      </c>
      <c r="G1601">
        <v>1</v>
      </c>
      <c r="H1601" s="671" t="s">
        <v>5661</v>
      </c>
      <c r="I1601">
        <v>1.8</v>
      </c>
      <c r="J1601">
        <v>1.8</v>
      </c>
      <c r="L1601">
        <v>0</v>
      </c>
      <c r="M1601">
        <f t="shared" si="179"/>
        <v>1.4</v>
      </c>
      <c r="N1601" t="s">
        <v>5662</v>
      </c>
      <c r="O1601">
        <v>1</v>
      </c>
      <c r="P1601">
        <v>1.35</v>
      </c>
      <c r="Q1601">
        <v>0</v>
      </c>
      <c r="V1601">
        <v>1</v>
      </c>
      <c r="W1601">
        <v>0</v>
      </c>
      <c r="X1601" s="7">
        <v>2</v>
      </c>
      <c r="Y1601">
        <v>-0.1</v>
      </c>
      <c r="Z1601">
        <v>0</v>
      </c>
      <c r="AM1601" s="669"/>
      <c r="AN1601" s="10">
        <v>1246</v>
      </c>
      <c r="AO1601" t="s">
        <v>136</v>
      </c>
      <c r="AP1601" s="672"/>
      <c r="AV1601">
        <v>1</v>
      </c>
    </row>
    <row r="1602" spans="1:48">
      <c r="A1602">
        <v>10191</v>
      </c>
      <c r="B1602" s="669" t="s">
        <v>5663</v>
      </c>
      <c r="C1602" s="668" t="s">
        <v>526</v>
      </c>
      <c r="D1602">
        <v>1</v>
      </c>
      <c r="E1602">
        <v>0</v>
      </c>
      <c r="G1602">
        <v>1</v>
      </c>
      <c r="H1602" s="671" t="s">
        <v>5664</v>
      </c>
      <c r="I1602">
        <v>2.53333333333333</v>
      </c>
      <c r="J1602">
        <v>2.53333333333333</v>
      </c>
      <c r="L1602">
        <v>0</v>
      </c>
      <c r="M1602">
        <f t="shared" si="179"/>
        <v>2.13333333333333</v>
      </c>
      <c r="N1602" t="s">
        <v>5665</v>
      </c>
      <c r="O1602">
        <v>1</v>
      </c>
      <c r="P1602">
        <v>1.35</v>
      </c>
      <c r="Q1602">
        <v>0</v>
      </c>
      <c r="V1602">
        <v>1</v>
      </c>
      <c r="W1602">
        <v>0</v>
      </c>
      <c r="X1602" s="7">
        <v>3</v>
      </c>
      <c r="Y1602">
        <v>-0.1</v>
      </c>
      <c r="Z1602">
        <v>0</v>
      </c>
      <c r="AM1602" s="669"/>
      <c r="AN1602" s="10">
        <v>1247</v>
      </c>
      <c r="AO1602" t="s">
        <v>136</v>
      </c>
      <c r="AP1602" s="672"/>
      <c r="AV1602">
        <v>1</v>
      </c>
    </row>
    <row r="1603" spans="1:55">
      <c r="A1603">
        <v>10192</v>
      </c>
      <c r="B1603" t="s">
        <v>132</v>
      </c>
      <c r="C1603" t="s">
        <v>5666</v>
      </c>
      <c r="D1603">
        <v>1</v>
      </c>
      <c r="E1603" s="8">
        <v>0</v>
      </c>
      <c r="F1603" s="8"/>
      <c r="G1603" s="8">
        <v>1</v>
      </c>
      <c r="H1603" s="93" t="s">
        <v>166</v>
      </c>
      <c r="I1603">
        <v>2.33333333333333</v>
      </c>
      <c r="J1603">
        <v>2.33333333333333</v>
      </c>
      <c r="L1603">
        <f>IF(X1603&gt;4,1,0)</f>
        <v>0</v>
      </c>
      <c r="M1603">
        <f t="shared" ref="M1603:M1612" si="180">I1603-0.4</f>
        <v>1.93333333333333</v>
      </c>
      <c r="N1603" s="681" t="s">
        <v>5667</v>
      </c>
      <c r="O1603">
        <v>1</v>
      </c>
      <c r="P1603">
        <v>1.3</v>
      </c>
      <c r="Q1603">
        <v>0</v>
      </c>
      <c r="R1603">
        <v>1</v>
      </c>
      <c r="S1603">
        <v>0</v>
      </c>
      <c r="V1603">
        <v>1</v>
      </c>
      <c r="W1603">
        <v>0</v>
      </c>
      <c r="X1603" s="7">
        <v>1</v>
      </c>
      <c r="Y1603">
        <v>-0.1</v>
      </c>
      <c r="Z1603">
        <v>0</v>
      </c>
      <c r="AD1603">
        <v>0</v>
      </c>
      <c r="AF1603">
        <f>IF(AD1603=--1,0.5,0)</f>
        <v>0</v>
      </c>
      <c r="AP1603" s="8">
        <v>25</v>
      </c>
      <c r="AQ1603" t="s">
        <v>157</v>
      </c>
      <c r="AV1603" s="8"/>
      <c r="BC1603" t="s">
        <v>168</v>
      </c>
    </row>
    <row r="1604" spans="1:41">
      <c r="A1604">
        <v>10193</v>
      </c>
      <c r="B1604" t="s">
        <v>200</v>
      </c>
      <c r="C1604" t="s">
        <v>5668</v>
      </c>
      <c r="D1604">
        <v>1</v>
      </c>
      <c r="E1604">
        <v>0</v>
      </c>
      <c r="G1604">
        <v>1</v>
      </c>
      <c r="H1604" s="93" t="s">
        <v>225</v>
      </c>
      <c r="I1604">
        <v>3.43333333333333</v>
      </c>
      <c r="J1604">
        <v>3.43333333333333</v>
      </c>
      <c r="L1604">
        <f>IF(X1604&gt;4,1,0)</f>
        <v>1</v>
      </c>
      <c r="M1604">
        <f t="shared" si="180"/>
        <v>3.03333333333333</v>
      </c>
      <c r="N1604" t="s">
        <v>226</v>
      </c>
      <c r="O1604">
        <v>1</v>
      </c>
      <c r="P1604">
        <v>0.95</v>
      </c>
      <c r="Q1604">
        <v>0</v>
      </c>
      <c r="R1604">
        <v>1</v>
      </c>
      <c r="S1604">
        <v>0</v>
      </c>
      <c r="V1604">
        <v>6</v>
      </c>
      <c r="W1604">
        <v>0</v>
      </c>
      <c r="X1604" s="7">
        <v>12</v>
      </c>
      <c r="Y1604">
        <v>-0.1</v>
      </c>
      <c r="Z1604">
        <v>0</v>
      </c>
      <c r="AD1604">
        <v>0</v>
      </c>
      <c r="AF1604">
        <f>IF(AD1604=--1,0.5,0)</f>
        <v>0</v>
      </c>
      <c r="AN1604" s="8">
        <v>31</v>
      </c>
      <c r="AO1604" t="s">
        <v>157</v>
      </c>
    </row>
    <row r="1605" spans="1:55">
      <c r="A1605">
        <v>10194</v>
      </c>
      <c r="B1605" t="s">
        <v>200</v>
      </c>
      <c r="C1605" t="s">
        <v>5669</v>
      </c>
      <c r="D1605">
        <v>1</v>
      </c>
      <c r="E1605">
        <v>0</v>
      </c>
      <c r="G1605">
        <v>1</v>
      </c>
      <c r="H1605" s="93" t="s">
        <v>205</v>
      </c>
      <c r="I1605">
        <v>4.06666666666667</v>
      </c>
      <c r="J1605">
        <v>4.06666666666667</v>
      </c>
      <c r="L1605">
        <f>IF(X1605&gt;4,1,0)</f>
        <v>0</v>
      </c>
      <c r="M1605">
        <f t="shared" si="180"/>
        <v>3.66666666666667</v>
      </c>
      <c r="N1605" s="104" t="s">
        <v>206</v>
      </c>
      <c r="O1605">
        <v>1</v>
      </c>
      <c r="P1605">
        <v>0.95</v>
      </c>
      <c r="Q1605">
        <v>0</v>
      </c>
      <c r="R1605">
        <v>1</v>
      </c>
      <c r="S1605">
        <v>0</v>
      </c>
      <c r="V1605">
        <v>6</v>
      </c>
      <c r="W1605">
        <v>0</v>
      </c>
      <c r="X1605" s="7">
        <v>2</v>
      </c>
      <c r="Y1605">
        <v>-0.1</v>
      </c>
      <c r="Z1605">
        <v>0</v>
      </c>
      <c r="AD1605">
        <v>0</v>
      </c>
      <c r="AF1605">
        <f>IF(AD1605=--1,0.5,0)</f>
        <v>0</v>
      </c>
      <c r="AN1605" s="8">
        <v>12</v>
      </c>
      <c r="AO1605" t="s">
        <v>136</v>
      </c>
      <c r="BC1605" t="s">
        <v>207</v>
      </c>
    </row>
    <row r="1606" spans="1:48">
      <c r="A1606">
        <v>10195</v>
      </c>
      <c r="B1606" t="s">
        <v>5670</v>
      </c>
      <c r="C1606" t="s">
        <v>5671</v>
      </c>
      <c r="D1606">
        <v>1</v>
      </c>
      <c r="E1606">
        <v>0</v>
      </c>
      <c r="G1606">
        <v>1</v>
      </c>
      <c r="H1606" s="5" t="s">
        <v>5672</v>
      </c>
      <c r="I1606">
        <v>2.13333333333333</v>
      </c>
      <c r="J1606">
        <v>2.13333333333333</v>
      </c>
      <c r="L1606">
        <v>0</v>
      </c>
      <c r="M1606">
        <f t="shared" si="180"/>
        <v>1.73333333333333</v>
      </c>
      <c r="N1606" s="104" t="s">
        <v>5673</v>
      </c>
      <c r="O1606">
        <v>1</v>
      </c>
      <c r="P1606">
        <v>4.5</v>
      </c>
      <c r="Q1606">
        <v>0</v>
      </c>
      <c r="U1606">
        <v>0.5</v>
      </c>
      <c r="V1606">
        <v>1</v>
      </c>
      <c r="W1606">
        <v>0</v>
      </c>
      <c r="X1606" s="7">
        <v>2</v>
      </c>
      <c r="Y1606">
        <v>-0.1</v>
      </c>
      <c r="Z1606">
        <v>0</v>
      </c>
      <c r="AP1606" s="10">
        <v>1256</v>
      </c>
      <c r="AQ1606" t="s">
        <v>157</v>
      </c>
      <c r="AV1606">
        <v>1</v>
      </c>
    </row>
    <row r="1607" spans="1:43">
      <c r="A1607">
        <v>10196</v>
      </c>
      <c r="B1607" t="s">
        <v>5670</v>
      </c>
      <c r="C1607" t="s">
        <v>5674</v>
      </c>
      <c r="D1607">
        <v>1</v>
      </c>
      <c r="E1607">
        <v>0</v>
      </c>
      <c r="G1607">
        <v>1</v>
      </c>
      <c r="H1607" s="5" t="s">
        <v>5675</v>
      </c>
      <c r="I1607">
        <f>53/30</f>
        <v>1.76666666666667</v>
      </c>
      <c r="J1607">
        <f>53/30</f>
        <v>1.76666666666667</v>
      </c>
      <c r="L1607">
        <v>0</v>
      </c>
      <c r="M1607">
        <f t="shared" si="180"/>
        <v>1.36666666666667</v>
      </c>
      <c r="N1607" s="104" t="s">
        <v>5676</v>
      </c>
      <c r="O1607">
        <v>1</v>
      </c>
      <c r="P1607">
        <v>4.5</v>
      </c>
      <c r="Q1607">
        <v>0</v>
      </c>
      <c r="R1607">
        <v>1</v>
      </c>
      <c r="S1607">
        <v>1</v>
      </c>
      <c r="U1607">
        <v>1.5</v>
      </c>
      <c r="V1607">
        <v>1</v>
      </c>
      <c r="W1607">
        <v>5</v>
      </c>
      <c r="X1607" s="7">
        <v>1</v>
      </c>
      <c r="Y1607">
        <v>-0.1</v>
      </c>
      <c r="Z1607">
        <v>0</v>
      </c>
      <c r="AP1607" s="10">
        <v>1257</v>
      </c>
      <c r="AQ1607" t="s">
        <v>136</v>
      </c>
    </row>
    <row r="1608" spans="1:43">
      <c r="A1608">
        <v>10197</v>
      </c>
      <c r="B1608" s="669" t="s">
        <v>5677</v>
      </c>
      <c r="C1608" s="668" t="s">
        <v>5678</v>
      </c>
      <c r="D1608">
        <v>1</v>
      </c>
      <c r="E1608">
        <v>0</v>
      </c>
      <c r="G1608">
        <v>2</v>
      </c>
      <c r="H1608" s="11" t="s">
        <v>5679</v>
      </c>
      <c r="I1608">
        <v>1.83333333333333</v>
      </c>
      <c r="J1608">
        <v>1.83333333333333</v>
      </c>
      <c r="L1608">
        <v>0</v>
      </c>
      <c r="M1608">
        <f t="shared" si="180"/>
        <v>1.43333333333333</v>
      </c>
      <c r="N1608" s="104" t="s">
        <v>5680</v>
      </c>
      <c r="O1608">
        <v>2</v>
      </c>
      <c r="P1608">
        <v>0</v>
      </c>
      <c r="Q1608">
        <v>0</v>
      </c>
      <c r="S1608">
        <v>4.2</v>
      </c>
      <c r="T1608">
        <v>3.2</v>
      </c>
      <c r="V1608">
        <v>20</v>
      </c>
      <c r="W1608">
        <v>0</v>
      </c>
      <c r="X1608" s="218">
        <v>2</v>
      </c>
      <c r="Y1608">
        <v>-0.1</v>
      </c>
      <c r="Z1608">
        <v>0</v>
      </c>
      <c r="AP1608" s="10">
        <v>1198</v>
      </c>
      <c r="AQ1608" t="s">
        <v>136</v>
      </c>
    </row>
    <row r="1609" spans="1:43">
      <c r="A1609">
        <v>10198</v>
      </c>
      <c r="B1609" s="669" t="s">
        <v>5681</v>
      </c>
      <c r="C1609" s="668" t="s">
        <v>5682</v>
      </c>
      <c r="D1609">
        <v>1</v>
      </c>
      <c r="E1609">
        <v>0</v>
      </c>
      <c r="G1609">
        <v>2</v>
      </c>
      <c r="H1609" s="11" t="s">
        <v>5683</v>
      </c>
      <c r="I1609">
        <v>2.46666666666667</v>
      </c>
      <c r="J1609">
        <v>2.46666666666667</v>
      </c>
      <c r="L1609">
        <v>0</v>
      </c>
      <c r="M1609">
        <f t="shared" si="180"/>
        <v>2.06666666666667</v>
      </c>
      <c r="N1609" s="104" t="s">
        <v>5684</v>
      </c>
      <c r="O1609">
        <v>3</v>
      </c>
      <c r="P1609">
        <v>-1.3</v>
      </c>
      <c r="Q1609">
        <v>0</v>
      </c>
      <c r="S1609">
        <v>0</v>
      </c>
      <c r="T1609">
        <v>-0.5</v>
      </c>
      <c r="U1609">
        <v>1</v>
      </c>
      <c r="V1609">
        <v>1</v>
      </c>
      <c r="W1609">
        <v>6</v>
      </c>
      <c r="X1609" s="218">
        <v>2</v>
      </c>
      <c r="Y1609">
        <v>-0.1</v>
      </c>
      <c r="Z1609">
        <v>0</v>
      </c>
      <c r="AP1609" s="10">
        <v>1199</v>
      </c>
      <c r="AQ1609" t="s">
        <v>136</v>
      </c>
    </row>
    <row r="1610" spans="1:43">
      <c r="A1610">
        <v>10199</v>
      </c>
      <c r="B1610" s="669" t="s">
        <v>5685</v>
      </c>
      <c r="C1610" s="668" t="s">
        <v>5678</v>
      </c>
      <c r="D1610">
        <v>1</v>
      </c>
      <c r="E1610">
        <v>0</v>
      </c>
      <c r="G1610">
        <v>2</v>
      </c>
      <c r="H1610" s="11" t="s">
        <v>5686</v>
      </c>
      <c r="I1610">
        <v>1.83333333333333</v>
      </c>
      <c r="J1610">
        <v>1.83333333333333</v>
      </c>
      <c r="L1610">
        <v>0</v>
      </c>
      <c r="M1610">
        <f t="shared" si="180"/>
        <v>1.43333333333333</v>
      </c>
      <c r="N1610" s="104" t="s">
        <v>5680</v>
      </c>
      <c r="O1610">
        <v>2</v>
      </c>
      <c r="P1610">
        <v>0</v>
      </c>
      <c r="Q1610">
        <v>0</v>
      </c>
      <c r="S1610">
        <v>4.2</v>
      </c>
      <c r="T1610">
        <v>3.2</v>
      </c>
      <c r="V1610">
        <v>20</v>
      </c>
      <c r="W1610">
        <v>0</v>
      </c>
      <c r="X1610" s="218">
        <v>2</v>
      </c>
      <c r="Y1610">
        <v>-0.1</v>
      </c>
      <c r="Z1610">
        <v>0</v>
      </c>
      <c r="AP1610" s="10">
        <v>1200</v>
      </c>
      <c r="AQ1610" t="s">
        <v>136</v>
      </c>
    </row>
    <row r="1611" spans="1:43">
      <c r="A1611">
        <v>10200</v>
      </c>
      <c r="B1611" s="669" t="s">
        <v>5687</v>
      </c>
      <c r="C1611" s="668" t="s">
        <v>5688</v>
      </c>
      <c r="D1611">
        <v>1</v>
      </c>
      <c r="E1611">
        <v>0</v>
      </c>
      <c r="G1611">
        <v>2</v>
      </c>
      <c r="H1611" s="11" t="s">
        <v>5689</v>
      </c>
      <c r="I1611">
        <v>3.33333333333333</v>
      </c>
      <c r="J1611">
        <v>3.33333333333333</v>
      </c>
      <c r="L1611">
        <v>0</v>
      </c>
      <c r="M1611">
        <f t="shared" si="180"/>
        <v>2.93333333333333</v>
      </c>
      <c r="N1611" s="104" t="s">
        <v>5690</v>
      </c>
      <c r="O1611">
        <v>3</v>
      </c>
      <c r="P1611" s="8">
        <v>-1.3</v>
      </c>
      <c r="Q1611">
        <v>0</v>
      </c>
      <c r="S1611">
        <v>0</v>
      </c>
      <c r="T1611">
        <v>-0.5</v>
      </c>
      <c r="U1611">
        <v>1</v>
      </c>
      <c r="V1611">
        <v>1</v>
      </c>
      <c r="W1611">
        <v>5</v>
      </c>
      <c r="X1611" s="218">
        <v>2</v>
      </c>
      <c r="Y1611">
        <v>-0.1</v>
      </c>
      <c r="Z1611">
        <v>0</v>
      </c>
      <c r="AP1611" s="10">
        <v>1201</v>
      </c>
      <c r="AQ1611" t="s">
        <v>136</v>
      </c>
    </row>
    <row r="1612" spans="1:48">
      <c r="A1612">
        <v>10201</v>
      </c>
      <c r="B1612" s="669" t="s">
        <v>5691</v>
      </c>
      <c r="C1612" s="668" t="s">
        <v>526</v>
      </c>
      <c r="D1612">
        <v>1</v>
      </c>
      <c r="E1612">
        <v>0</v>
      </c>
      <c r="G1612">
        <v>1</v>
      </c>
      <c r="H1612" s="11" t="s">
        <v>5692</v>
      </c>
      <c r="I1612">
        <v>2.06666666666667</v>
      </c>
      <c r="J1612">
        <v>2.06666666666667</v>
      </c>
      <c r="L1612">
        <v>0</v>
      </c>
      <c r="M1612">
        <f t="shared" si="180"/>
        <v>1.66666666666667</v>
      </c>
      <c r="N1612" s="104" t="s">
        <v>5693</v>
      </c>
      <c r="O1612">
        <v>1</v>
      </c>
      <c r="P1612">
        <v>1.5</v>
      </c>
      <c r="Q1612">
        <v>0</v>
      </c>
      <c r="V1612">
        <v>1</v>
      </c>
      <c r="W1612">
        <v>0</v>
      </c>
      <c r="X1612" s="218">
        <v>2</v>
      </c>
      <c r="Y1612">
        <v>-0.1</v>
      </c>
      <c r="Z1612">
        <v>0</v>
      </c>
      <c r="AP1612">
        <v>1204</v>
      </c>
      <c r="AQ1612" t="s">
        <v>136</v>
      </c>
      <c r="AV1612">
        <v>1</v>
      </c>
    </row>
    <row r="1613" spans="1:48">
      <c r="A1613">
        <v>10202</v>
      </c>
      <c r="B1613" s="669" t="s">
        <v>5694</v>
      </c>
      <c r="C1613" s="668" t="s">
        <v>526</v>
      </c>
      <c r="D1613">
        <v>1</v>
      </c>
      <c r="E1613">
        <v>0</v>
      </c>
      <c r="G1613">
        <v>2</v>
      </c>
      <c r="H1613" s="5" t="s">
        <v>5695</v>
      </c>
      <c r="I1613">
        <f>68/30</f>
        <v>2.26666666666667</v>
      </c>
      <c r="J1613">
        <f>68/30</f>
        <v>2.26666666666667</v>
      </c>
      <c r="L1613">
        <v>0</v>
      </c>
      <c r="M1613">
        <f t="shared" ref="M1613:M1646" si="181">I1613-0.4</f>
        <v>1.86666666666667</v>
      </c>
      <c r="N1613" s="104" t="s">
        <v>5696</v>
      </c>
      <c r="O1613">
        <v>0</v>
      </c>
      <c r="P1613">
        <v>0</v>
      </c>
      <c r="Q1613">
        <v>0</v>
      </c>
      <c r="V1613">
        <v>1</v>
      </c>
      <c r="W1613">
        <v>0</v>
      </c>
      <c r="X1613" s="7">
        <v>2</v>
      </c>
      <c r="Y1613">
        <v>-0.1</v>
      </c>
      <c r="Z1613">
        <v>0</v>
      </c>
      <c r="AP1613">
        <v>1249</v>
      </c>
      <c r="AQ1613" t="s">
        <v>136</v>
      </c>
      <c r="AV1613">
        <v>1</v>
      </c>
    </row>
    <row r="1614" spans="1:43">
      <c r="A1614">
        <v>10203</v>
      </c>
      <c r="B1614" s="669" t="s">
        <v>5694</v>
      </c>
      <c r="C1614" s="668" t="s">
        <v>5697</v>
      </c>
      <c r="D1614">
        <v>3</v>
      </c>
      <c r="E1614">
        <v>1</v>
      </c>
      <c r="G1614">
        <v>1</v>
      </c>
      <c r="H1614" s="5" t="s">
        <v>5698</v>
      </c>
      <c r="I1614">
        <f>80/30</f>
        <v>2.66666666666667</v>
      </c>
      <c r="J1614">
        <f>80/30</f>
        <v>2.66666666666667</v>
      </c>
      <c r="L1614">
        <v>0</v>
      </c>
      <c r="M1614">
        <f t="shared" si="181"/>
        <v>2.26666666666667</v>
      </c>
      <c r="N1614" s="104" t="s">
        <v>5699</v>
      </c>
      <c r="O1614">
        <v>0</v>
      </c>
      <c r="P1614">
        <v>0</v>
      </c>
      <c r="Q1614">
        <v>0</v>
      </c>
      <c r="S1614">
        <v>0.3</v>
      </c>
      <c r="U1614">
        <v>0.4</v>
      </c>
      <c r="V1614">
        <v>101</v>
      </c>
      <c r="W1614">
        <v>6</v>
      </c>
      <c r="X1614" s="7">
        <v>0</v>
      </c>
      <c r="Y1614">
        <v>-0.1</v>
      </c>
      <c r="Z1614">
        <v>0</v>
      </c>
      <c r="AP1614">
        <v>1250</v>
      </c>
      <c r="AQ1614" t="s">
        <v>136</v>
      </c>
    </row>
    <row r="1615" spans="1:43">
      <c r="A1615">
        <v>10204</v>
      </c>
      <c r="B1615" s="669" t="s">
        <v>5694</v>
      </c>
      <c r="C1615" s="668" t="s">
        <v>5700</v>
      </c>
      <c r="D1615">
        <v>1</v>
      </c>
      <c r="E1615">
        <v>0</v>
      </c>
      <c r="G1615">
        <v>2</v>
      </c>
      <c r="H1615" s="5" t="s">
        <v>5701</v>
      </c>
      <c r="I1615">
        <f>105/30</f>
        <v>3.5</v>
      </c>
      <c r="J1615">
        <f>105/30</f>
        <v>3.5</v>
      </c>
      <c r="L1615">
        <v>0</v>
      </c>
      <c r="M1615">
        <f t="shared" si="181"/>
        <v>3.1</v>
      </c>
      <c r="N1615" s="104" t="s">
        <v>5702</v>
      </c>
      <c r="O1615">
        <v>0</v>
      </c>
      <c r="P1615">
        <v>0</v>
      </c>
      <c r="Q1615">
        <v>0</v>
      </c>
      <c r="V1615">
        <v>1</v>
      </c>
      <c r="W1615">
        <v>0</v>
      </c>
      <c r="X1615" s="7">
        <v>3</v>
      </c>
      <c r="Y1615">
        <v>-0.1</v>
      </c>
      <c r="Z1615">
        <v>0</v>
      </c>
      <c r="AP1615">
        <v>1251</v>
      </c>
      <c r="AQ1615" t="s">
        <v>136</v>
      </c>
    </row>
    <row r="1616" spans="1:43">
      <c r="A1616">
        <v>10205</v>
      </c>
      <c r="B1616" s="669" t="s">
        <v>5703</v>
      </c>
      <c r="C1616" s="675" t="s">
        <v>5704</v>
      </c>
      <c r="D1616">
        <v>1</v>
      </c>
      <c r="E1616">
        <v>0</v>
      </c>
      <c r="G1616">
        <v>1</v>
      </c>
      <c r="H1616" s="5" t="s">
        <v>5705</v>
      </c>
      <c r="I1616">
        <f>100/30</f>
        <v>3.33333333333333</v>
      </c>
      <c r="J1616">
        <f>100/30</f>
        <v>3.33333333333333</v>
      </c>
      <c r="L1616">
        <v>0</v>
      </c>
      <c r="M1616">
        <f t="shared" si="181"/>
        <v>2.93333333333333</v>
      </c>
      <c r="N1616" s="104" t="s">
        <v>5706</v>
      </c>
      <c r="O1616">
        <v>1</v>
      </c>
      <c r="P1616">
        <v>2.9</v>
      </c>
      <c r="Q1616">
        <v>0</v>
      </c>
      <c r="S1616">
        <v>0.5</v>
      </c>
      <c r="U1616">
        <v>1.5</v>
      </c>
      <c r="V1616">
        <v>1</v>
      </c>
      <c r="W1616">
        <v>0</v>
      </c>
      <c r="X1616" s="7">
        <v>3</v>
      </c>
      <c r="Y1616">
        <v>-0.1</v>
      </c>
      <c r="Z1616">
        <v>0</v>
      </c>
      <c r="AP1616">
        <v>1286</v>
      </c>
      <c r="AQ1616" t="s">
        <v>136</v>
      </c>
    </row>
    <row r="1617" spans="1:43">
      <c r="A1617">
        <v>10206</v>
      </c>
      <c r="B1617" s="669" t="s">
        <v>5707</v>
      </c>
      <c r="C1617" s="675" t="s">
        <v>5708</v>
      </c>
      <c r="D1617">
        <v>1</v>
      </c>
      <c r="E1617">
        <v>0</v>
      </c>
      <c r="G1617">
        <v>1</v>
      </c>
      <c r="H1617" s="5" t="s">
        <v>5709</v>
      </c>
      <c r="I1617">
        <f>81/30</f>
        <v>2.7</v>
      </c>
      <c r="J1617">
        <f>81/30</f>
        <v>2.7</v>
      </c>
      <c r="L1617">
        <v>0</v>
      </c>
      <c r="M1617">
        <f t="shared" si="181"/>
        <v>2.3</v>
      </c>
      <c r="N1617" s="104" t="s">
        <v>5710</v>
      </c>
      <c r="O1617">
        <v>1</v>
      </c>
      <c r="P1617">
        <v>2.9</v>
      </c>
      <c r="Q1617">
        <v>0</v>
      </c>
      <c r="S1617">
        <v>0.5</v>
      </c>
      <c r="U1617">
        <v>1.5</v>
      </c>
      <c r="V1617">
        <v>1</v>
      </c>
      <c r="W1617">
        <v>6</v>
      </c>
      <c r="X1617" s="7">
        <v>1</v>
      </c>
      <c r="Y1617">
        <v>-0.1</v>
      </c>
      <c r="Z1617">
        <v>0</v>
      </c>
      <c r="AN1617" s="8">
        <v>1288</v>
      </c>
      <c r="AO1617" t="s">
        <v>1726</v>
      </c>
      <c r="AP1617">
        <v>1287</v>
      </c>
      <c r="AQ1617" t="s">
        <v>136</v>
      </c>
    </row>
    <row r="1618" spans="1:43">
      <c r="A1618">
        <v>10207</v>
      </c>
      <c r="B1618" s="669" t="s">
        <v>5711</v>
      </c>
      <c r="C1618" s="675" t="s">
        <v>5712</v>
      </c>
      <c r="D1618">
        <v>1</v>
      </c>
      <c r="E1618">
        <v>0</v>
      </c>
      <c r="G1618">
        <v>1</v>
      </c>
      <c r="H1618" s="5" t="s">
        <v>5713</v>
      </c>
      <c r="I1618">
        <f>96/30</f>
        <v>3.2</v>
      </c>
      <c r="J1618">
        <f>96/30</f>
        <v>3.2</v>
      </c>
      <c r="L1618">
        <v>0</v>
      </c>
      <c r="M1618">
        <f t="shared" si="181"/>
        <v>2.8</v>
      </c>
      <c r="N1618" s="104" t="s">
        <v>5714</v>
      </c>
      <c r="O1618">
        <v>1</v>
      </c>
      <c r="P1618">
        <v>2.9</v>
      </c>
      <c r="Q1618">
        <v>0</v>
      </c>
      <c r="S1618">
        <v>0.5</v>
      </c>
      <c r="U1618">
        <v>1.5</v>
      </c>
      <c r="V1618">
        <v>1</v>
      </c>
      <c r="W1618">
        <v>0</v>
      </c>
      <c r="X1618" s="7">
        <v>2</v>
      </c>
      <c r="Y1618">
        <v>-0.1</v>
      </c>
      <c r="Z1618">
        <v>0</v>
      </c>
      <c r="AP1618">
        <v>1290</v>
      </c>
      <c r="AQ1618" t="s">
        <v>136</v>
      </c>
    </row>
    <row r="1619" spans="1:26">
      <c r="A1619">
        <v>10208</v>
      </c>
      <c r="B1619" s="669" t="s">
        <v>5715</v>
      </c>
      <c r="C1619" s="676" t="s">
        <v>5716</v>
      </c>
      <c r="D1619">
        <v>1</v>
      </c>
      <c r="E1619">
        <v>0</v>
      </c>
      <c r="G1619">
        <v>1</v>
      </c>
      <c r="H1619" s="5" t="s">
        <v>5717</v>
      </c>
      <c r="I1619">
        <f>55/30</f>
        <v>1.83333333333333</v>
      </c>
      <c r="J1619">
        <f>55/30</f>
        <v>1.83333333333333</v>
      </c>
      <c r="L1619">
        <v>0</v>
      </c>
      <c r="M1619">
        <f t="shared" si="181"/>
        <v>1.43333333333333</v>
      </c>
      <c r="N1619" s="104" t="s">
        <v>5718</v>
      </c>
      <c r="O1619">
        <v>1</v>
      </c>
      <c r="P1619">
        <v>2.9</v>
      </c>
      <c r="Q1619">
        <v>0</v>
      </c>
      <c r="S1619">
        <v>0.5</v>
      </c>
      <c r="U1619">
        <v>1.5</v>
      </c>
      <c r="V1619">
        <v>1</v>
      </c>
      <c r="W1619">
        <v>0</v>
      </c>
      <c r="X1619" s="7">
        <v>1</v>
      </c>
      <c r="Y1619">
        <v>-0.1</v>
      </c>
      <c r="Z1619">
        <v>0</v>
      </c>
    </row>
    <row r="1620" spans="1:43">
      <c r="A1620">
        <v>10209</v>
      </c>
      <c r="B1620" s="669" t="s">
        <v>5719</v>
      </c>
      <c r="C1620" s="675" t="s">
        <v>5720</v>
      </c>
      <c r="D1620">
        <v>1</v>
      </c>
      <c r="E1620">
        <v>0</v>
      </c>
      <c r="G1620">
        <v>1</v>
      </c>
      <c r="H1620" s="5" t="s">
        <v>5721</v>
      </c>
      <c r="I1620">
        <f>150/30</f>
        <v>5</v>
      </c>
      <c r="J1620">
        <f>150/30</f>
        <v>5</v>
      </c>
      <c r="L1620">
        <v>1</v>
      </c>
      <c r="M1620">
        <f t="shared" si="181"/>
        <v>4.6</v>
      </c>
      <c r="N1620" s="104" t="s">
        <v>5722</v>
      </c>
      <c r="O1620">
        <v>1</v>
      </c>
      <c r="P1620">
        <v>10</v>
      </c>
      <c r="Q1620">
        <v>0</v>
      </c>
      <c r="S1620">
        <v>0.5</v>
      </c>
      <c r="U1620">
        <v>1.5</v>
      </c>
      <c r="V1620">
        <v>1</v>
      </c>
      <c r="W1620">
        <v>6</v>
      </c>
      <c r="X1620" s="7">
        <v>4</v>
      </c>
      <c r="Y1620">
        <v>-0.1</v>
      </c>
      <c r="Z1620">
        <v>0</v>
      </c>
      <c r="AB1620">
        <v>4.72</v>
      </c>
      <c r="AC1620">
        <v>2</v>
      </c>
      <c r="AD1620">
        <v>1</v>
      </c>
      <c r="AE1620" t="s">
        <v>5723</v>
      </c>
      <c r="AF1620">
        <v>0.5</v>
      </c>
      <c r="AP1620">
        <v>1292</v>
      </c>
      <c r="AQ1620" t="s">
        <v>136</v>
      </c>
    </row>
    <row r="1621" spans="1:43">
      <c r="A1621">
        <v>10210</v>
      </c>
      <c r="B1621" s="669" t="s">
        <v>5724</v>
      </c>
      <c r="C1621" s="677" t="s">
        <v>5725</v>
      </c>
      <c r="D1621">
        <v>1</v>
      </c>
      <c r="E1621">
        <v>0</v>
      </c>
      <c r="G1621">
        <v>1</v>
      </c>
      <c r="H1621" s="5" t="s">
        <v>5726</v>
      </c>
      <c r="I1621">
        <f>115/30</f>
        <v>3.83333333333333</v>
      </c>
      <c r="J1621">
        <f>115/30</f>
        <v>3.83333333333333</v>
      </c>
      <c r="L1621">
        <v>1</v>
      </c>
      <c r="M1621">
        <f t="shared" si="181"/>
        <v>3.43333333333333</v>
      </c>
      <c r="N1621" s="104" t="s">
        <v>5727</v>
      </c>
      <c r="O1621">
        <v>1</v>
      </c>
      <c r="P1621">
        <v>11</v>
      </c>
      <c r="Q1621">
        <v>0</v>
      </c>
      <c r="S1621">
        <v>0.5</v>
      </c>
      <c r="U1621">
        <v>1.5</v>
      </c>
      <c r="V1621">
        <v>1</v>
      </c>
      <c r="W1621">
        <v>0</v>
      </c>
      <c r="X1621" s="7">
        <v>1</v>
      </c>
      <c r="Y1621">
        <v>-0.1</v>
      </c>
      <c r="Z1621">
        <v>0</v>
      </c>
      <c r="AB1621">
        <v>3.5333333</v>
      </c>
      <c r="AC1621">
        <v>2</v>
      </c>
      <c r="AD1621">
        <v>1</v>
      </c>
      <c r="AE1621" t="s">
        <v>5728</v>
      </c>
      <c r="AF1621">
        <v>0.5</v>
      </c>
      <c r="AP1621">
        <v>1293</v>
      </c>
      <c r="AQ1621" t="s">
        <v>136</v>
      </c>
    </row>
    <row r="1622" spans="1:43">
      <c r="A1622">
        <v>10211</v>
      </c>
      <c r="B1622" s="669" t="s">
        <v>5729</v>
      </c>
      <c r="C1622" s="678" t="s">
        <v>5730</v>
      </c>
      <c r="D1622">
        <v>2</v>
      </c>
      <c r="E1622">
        <v>1</v>
      </c>
      <c r="G1622">
        <v>1</v>
      </c>
      <c r="H1622" s="5" t="s">
        <v>5731</v>
      </c>
      <c r="I1622">
        <f>65/30</f>
        <v>2.16666666666667</v>
      </c>
      <c r="J1622">
        <f>65/30</f>
        <v>2.16666666666667</v>
      </c>
      <c r="L1622">
        <v>0</v>
      </c>
      <c r="M1622">
        <f t="shared" si="181"/>
        <v>1.76666666666667</v>
      </c>
      <c r="N1622" s="104" t="s">
        <v>5732</v>
      </c>
      <c r="O1622">
        <v>5</v>
      </c>
      <c r="P1622">
        <v>0</v>
      </c>
      <c r="Q1622">
        <v>0</v>
      </c>
      <c r="S1622">
        <v>0.5</v>
      </c>
      <c r="U1622">
        <v>1.5</v>
      </c>
      <c r="V1622">
        <v>1000</v>
      </c>
      <c r="W1622">
        <v>0</v>
      </c>
      <c r="X1622" s="7">
        <v>0</v>
      </c>
      <c r="Y1622">
        <v>-0.1</v>
      </c>
      <c r="Z1622">
        <v>0</v>
      </c>
      <c r="AP1622">
        <v>1294</v>
      </c>
      <c r="AQ1622" t="s">
        <v>136</v>
      </c>
    </row>
    <row r="1623" spans="1:43">
      <c r="A1623">
        <v>10212</v>
      </c>
      <c r="B1623" s="669" t="s">
        <v>5733</v>
      </c>
      <c r="C1623" s="677" t="s">
        <v>5734</v>
      </c>
      <c r="D1623">
        <v>1</v>
      </c>
      <c r="E1623">
        <v>0</v>
      </c>
      <c r="G1623">
        <v>1</v>
      </c>
      <c r="H1623" s="5" t="s">
        <v>5735</v>
      </c>
      <c r="I1623">
        <f>230/30</f>
        <v>7.66666666666667</v>
      </c>
      <c r="J1623">
        <f>230/30</f>
        <v>7.66666666666667</v>
      </c>
      <c r="L1623">
        <v>1</v>
      </c>
      <c r="M1623">
        <f t="shared" si="181"/>
        <v>7.26666666666667</v>
      </c>
      <c r="N1623" s="104" t="s">
        <v>5736</v>
      </c>
      <c r="O1623">
        <v>1</v>
      </c>
      <c r="P1623">
        <v>2.7</v>
      </c>
      <c r="Q1623">
        <v>0</v>
      </c>
      <c r="S1623">
        <v>0.5</v>
      </c>
      <c r="U1623">
        <v>1.5</v>
      </c>
      <c r="V1623">
        <v>1</v>
      </c>
      <c r="W1623">
        <v>0</v>
      </c>
      <c r="X1623" s="7">
        <v>2</v>
      </c>
      <c r="Y1623">
        <v>-0.1</v>
      </c>
      <c r="Z1623">
        <v>0</v>
      </c>
      <c r="AD1623">
        <v>1</v>
      </c>
      <c r="AE1623" t="s">
        <v>5737</v>
      </c>
      <c r="AF1623">
        <v>0.5</v>
      </c>
      <c r="AP1623">
        <v>1295</v>
      </c>
      <c r="AQ1623" t="s">
        <v>136</v>
      </c>
    </row>
    <row r="1624" spans="1:43">
      <c r="A1624">
        <v>10213</v>
      </c>
      <c r="B1624" s="669" t="s">
        <v>5738</v>
      </c>
      <c r="C1624" s="675" t="s">
        <v>5739</v>
      </c>
      <c r="D1624">
        <v>1</v>
      </c>
      <c r="E1624">
        <v>0</v>
      </c>
      <c r="G1624">
        <v>1</v>
      </c>
      <c r="H1624" s="5" t="s">
        <v>5740</v>
      </c>
      <c r="I1624">
        <f>83/30</f>
        <v>2.76666666666667</v>
      </c>
      <c r="J1624">
        <f>83/30</f>
        <v>2.76666666666667</v>
      </c>
      <c r="L1624">
        <v>0</v>
      </c>
      <c r="M1624">
        <f t="shared" si="181"/>
        <v>2.36666666666667</v>
      </c>
      <c r="N1624" s="104" t="s">
        <v>5741</v>
      </c>
      <c r="O1624">
        <v>1</v>
      </c>
      <c r="P1624">
        <v>2.8</v>
      </c>
      <c r="Q1624">
        <v>0</v>
      </c>
      <c r="S1624">
        <v>1</v>
      </c>
      <c r="U1624">
        <v>1.7</v>
      </c>
      <c r="V1624">
        <v>1</v>
      </c>
      <c r="W1624">
        <v>4</v>
      </c>
      <c r="X1624" s="7">
        <v>1</v>
      </c>
      <c r="Y1624">
        <v>-0.1</v>
      </c>
      <c r="Z1624">
        <v>0</v>
      </c>
      <c r="AP1624">
        <v>1277</v>
      </c>
      <c r="AQ1624" t="s">
        <v>136</v>
      </c>
    </row>
    <row r="1625" spans="1:43">
      <c r="A1625">
        <v>10214</v>
      </c>
      <c r="B1625" s="669" t="s">
        <v>5742</v>
      </c>
      <c r="C1625" s="678" t="s">
        <v>5743</v>
      </c>
      <c r="D1625">
        <v>2</v>
      </c>
      <c r="E1625">
        <v>1</v>
      </c>
      <c r="G1625">
        <v>1</v>
      </c>
      <c r="H1625" s="5" t="s">
        <v>5744</v>
      </c>
      <c r="I1625">
        <f>75/30</f>
        <v>2.5</v>
      </c>
      <c r="J1625">
        <f>75/30</f>
        <v>2.5</v>
      </c>
      <c r="L1625">
        <v>0</v>
      </c>
      <c r="M1625">
        <f t="shared" si="181"/>
        <v>2.1</v>
      </c>
      <c r="N1625" s="104" t="s">
        <v>5745</v>
      </c>
      <c r="O1625">
        <v>5</v>
      </c>
      <c r="P1625">
        <v>0</v>
      </c>
      <c r="Q1625">
        <v>0</v>
      </c>
      <c r="S1625">
        <v>1</v>
      </c>
      <c r="U1625">
        <v>1.7</v>
      </c>
      <c r="V1625">
        <v>1000</v>
      </c>
      <c r="W1625">
        <v>0</v>
      </c>
      <c r="X1625" s="7">
        <v>0</v>
      </c>
      <c r="Y1625">
        <v>-0.1</v>
      </c>
      <c r="Z1625">
        <v>0</v>
      </c>
      <c r="AP1625">
        <v>1278</v>
      </c>
      <c r="AQ1625" t="s">
        <v>136</v>
      </c>
    </row>
    <row r="1626" spans="1:43">
      <c r="A1626">
        <v>10215</v>
      </c>
      <c r="B1626" s="669" t="s">
        <v>5746</v>
      </c>
      <c r="C1626" s="675" t="s">
        <v>5747</v>
      </c>
      <c r="D1626">
        <v>1</v>
      </c>
      <c r="E1626">
        <v>0</v>
      </c>
      <c r="G1626">
        <v>1</v>
      </c>
      <c r="H1626" s="5" t="s">
        <v>5748</v>
      </c>
      <c r="I1626">
        <v>2</v>
      </c>
      <c r="J1626">
        <v>2</v>
      </c>
      <c r="L1626">
        <v>0</v>
      </c>
      <c r="M1626">
        <f t="shared" si="181"/>
        <v>1.6</v>
      </c>
      <c r="N1626" s="104" t="s">
        <v>5749</v>
      </c>
      <c r="O1626">
        <v>1</v>
      </c>
      <c r="P1626">
        <v>2.8</v>
      </c>
      <c r="Q1626">
        <v>0</v>
      </c>
      <c r="S1626">
        <v>1</v>
      </c>
      <c r="U1626">
        <v>1.7</v>
      </c>
      <c r="V1626">
        <v>1</v>
      </c>
      <c r="W1626">
        <v>8</v>
      </c>
      <c r="X1626" s="7">
        <v>2</v>
      </c>
      <c r="Y1626">
        <v>-0.1</v>
      </c>
      <c r="Z1626">
        <v>0</v>
      </c>
      <c r="AP1626">
        <v>1279</v>
      </c>
      <c r="AQ1626" t="s">
        <v>136</v>
      </c>
    </row>
    <row r="1627" spans="1:43">
      <c r="A1627">
        <v>10216</v>
      </c>
      <c r="B1627" s="669" t="s">
        <v>5750</v>
      </c>
      <c r="C1627" s="675" t="s">
        <v>5751</v>
      </c>
      <c r="D1627">
        <v>1</v>
      </c>
      <c r="E1627">
        <v>0</v>
      </c>
      <c r="G1627">
        <v>1</v>
      </c>
      <c r="H1627" s="5" t="s">
        <v>5752</v>
      </c>
      <c r="I1627">
        <f>65/30</f>
        <v>2.16666666666667</v>
      </c>
      <c r="J1627">
        <f>65/30</f>
        <v>2.16666666666667</v>
      </c>
      <c r="L1627">
        <v>0</v>
      </c>
      <c r="M1627">
        <f t="shared" si="181"/>
        <v>1.76666666666667</v>
      </c>
      <c r="N1627" s="104" t="s">
        <v>5753</v>
      </c>
      <c r="O1627">
        <v>1</v>
      </c>
      <c r="P1627">
        <v>2.8</v>
      </c>
      <c r="Q1627">
        <v>0</v>
      </c>
      <c r="S1627">
        <v>1</v>
      </c>
      <c r="U1627">
        <v>1.7</v>
      </c>
      <c r="V1627">
        <v>1</v>
      </c>
      <c r="W1627">
        <v>0</v>
      </c>
      <c r="X1627" s="7">
        <v>6</v>
      </c>
      <c r="Y1627">
        <v>-0.1</v>
      </c>
      <c r="Z1627">
        <v>0</v>
      </c>
      <c r="AP1627">
        <v>1280</v>
      </c>
      <c r="AQ1627" t="s">
        <v>136</v>
      </c>
    </row>
    <row r="1628" spans="1:43">
      <c r="A1628">
        <v>10217</v>
      </c>
      <c r="B1628" s="669" t="s">
        <v>5754</v>
      </c>
      <c r="C1628" s="675" t="s">
        <v>5755</v>
      </c>
      <c r="D1628">
        <v>1</v>
      </c>
      <c r="E1628">
        <v>0</v>
      </c>
      <c r="G1628">
        <v>1</v>
      </c>
      <c r="H1628" s="5" t="s">
        <v>5756</v>
      </c>
      <c r="I1628">
        <f>55/30</f>
        <v>1.83333333333333</v>
      </c>
      <c r="J1628">
        <f>55/30</f>
        <v>1.83333333333333</v>
      </c>
      <c r="L1628">
        <v>0</v>
      </c>
      <c r="M1628">
        <f t="shared" si="181"/>
        <v>1.43333333333333</v>
      </c>
      <c r="N1628" s="104" t="s">
        <v>5757</v>
      </c>
      <c r="O1628">
        <v>1</v>
      </c>
      <c r="P1628">
        <v>2.8</v>
      </c>
      <c r="Q1628">
        <v>0</v>
      </c>
      <c r="S1628">
        <v>1</v>
      </c>
      <c r="U1628">
        <v>1.7</v>
      </c>
      <c r="V1628">
        <v>1</v>
      </c>
      <c r="W1628">
        <v>8</v>
      </c>
      <c r="X1628" s="7">
        <v>1</v>
      </c>
      <c r="Y1628">
        <v>-0.1</v>
      </c>
      <c r="Z1628">
        <v>0</v>
      </c>
      <c r="AP1628">
        <v>1281</v>
      </c>
      <c r="AQ1628" t="s">
        <v>136</v>
      </c>
    </row>
    <row r="1629" spans="1:43">
      <c r="A1629">
        <v>10218</v>
      </c>
      <c r="B1629" s="669" t="s">
        <v>5758</v>
      </c>
      <c r="C1629" s="675" t="s">
        <v>5759</v>
      </c>
      <c r="D1629">
        <v>1</v>
      </c>
      <c r="E1629">
        <v>0</v>
      </c>
      <c r="G1629">
        <v>1</v>
      </c>
      <c r="H1629" s="5" t="s">
        <v>5760</v>
      </c>
      <c r="I1629">
        <f>145/30</f>
        <v>4.83333333333333</v>
      </c>
      <c r="J1629">
        <f>145/30</f>
        <v>4.83333333333333</v>
      </c>
      <c r="L1629">
        <v>1</v>
      </c>
      <c r="M1629">
        <f t="shared" si="181"/>
        <v>4.43333333333333</v>
      </c>
      <c r="N1629" s="104" t="s">
        <v>5761</v>
      </c>
      <c r="O1629">
        <v>1</v>
      </c>
      <c r="P1629">
        <v>4.5</v>
      </c>
      <c r="Q1629">
        <v>0</v>
      </c>
      <c r="S1629">
        <v>1</v>
      </c>
      <c r="U1629">
        <v>1.7</v>
      </c>
      <c r="V1629">
        <v>1</v>
      </c>
      <c r="W1629">
        <v>0</v>
      </c>
      <c r="X1629" s="7">
        <v>1</v>
      </c>
      <c r="Y1629">
        <v>-0.1</v>
      </c>
      <c r="Z1629">
        <v>0</v>
      </c>
      <c r="AB1629">
        <v>4.53333333</v>
      </c>
      <c r="AC1629">
        <v>2</v>
      </c>
      <c r="AD1629">
        <v>1</v>
      </c>
      <c r="AE1629" t="s">
        <v>5762</v>
      </c>
      <c r="AF1629">
        <v>0.5</v>
      </c>
      <c r="AP1629">
        <v>1282</v>
      </c>
      <c r="AQ1629" t="s">
        <v>136</v>
      </c>
    </row>
    <row r="1630" spans="1:43">
      <c r="A1630">
        <v>10219</v>
      </c>
      <c r="B1630" s="669" t="s">
        <v>5763</v>
      </c>
      <c r="C1630" s="675" t="s">
        <v>5764</v>
      </c>
      <c r="D1630">
        <v>1</v>
      </c>
      <c r="E1630">
        <v>0</v>
      </c>
      <c r="G1630">
        <v>1</v>
      </c>
      <c r="H1630" s="5" t="s">
        <v>5765</v>
      </c>
      <c r="I1630">
        <f>50/30</f>
        <v>1.66666666666667</v>
      </c>
      <c r="J1630">
        <f>50/30</f>
        <v>1.66666666666667</v>
      </c>
      <c r="L1630">
        <v>0</v>
      </c>
      <c r="M1630">
        <f t="shared" si="181"/>
        <v>1.26666666666667</v>
      </c>
      <c r="N1630" s="104" t="s">
        <v>5766</v>
      </c>
      <c r="O1630">
        <v>1</v>
      </c>
      <c r="P1630">
        <v>2.8</v>
      </c>
      <c r="Q1630">
        <v>0</v>
      </c>
      <c r="S1630">
        <v>1</v>
      </c>
      <c r="U1630">
        <v>1.7</v>
      </c>
      <c r="V1630">
        <v>1</v>
      </c>
      <c r="W1630">
        <v>3</v>
      </c>
      <c r="X1630" s="7">
        <v>2</v>
      </c>
      <c r="Y1630">
        <v>-0.1</v>
      </c>
      <c r="Z1630">
        <v>0</v>
      </c>
      <c r="AP1630">
        <v>1283</v>
      </c>
      <c r="AQ1630" t="s">
        <v>136</v>
      </c>
    </row>
    <row r="1631" spans="1:43">
      <c r="A1631">
        <v>10220</v>
      </c>
      <c r="B1631" s="669" t="s">
        <v>5767</v>
      </c>
      <c r="C1631" s="675" t="s">
        <v>5768</v>
      </c>
      <c r="D1631">
        <v>1</v>
      </c>
      <c r="E1631">
        <v>0</v>
      </c>
      <c r="G1631">
        <v>1</v>
      </c>
      <c r="H1631" s="5" t="s">
        <v>5769</v>
      </c>
      <c r="I1631">
        <v>3</v>
      </c>
      <c r="J1631">
        <v>3</v>
      </c>
      <c r="L1631">
        <v>1</v>
      </c>
      <c r="M1631">
        <f t="shared" si="181"/>
        <v>2.6</v>
      </c>
      <c r="N1631" s="104" t="s">
        <v>5770</v>
      </c>
      <c r="O1631">
        <v>1</v>
      </c>
      <c r="P1631">
        <v>3.5</v>
      </c>
      <c r="Q1631">
        <v>0</v>
      </c>
      <c r="S1631">
        <v>1</v>
      </c>
      <c r="U1631">
        <v>1.7</v>
      </c>
      <c r="V1631">
        <v>1</v>
      </c>
      <c r="W1631">
        <v>16</v>
      </c>
      <c r="X1631" s="7">
        <v>1</v>
      </c>
      <c r="Y1631">
        <v>-0.1</v>
      </c>
      <c r="Z1631">
        <v>0</v>
      </c>
      <c r="AB1631">
        <v>2.8</v>
      </c>
      <c r="AC1631">
        <v>2</v>
      </c>
      <c r="AD1631">
        <v>1</v>
      </c>
      <c r="AE1631" t="s">
        <v>5771</v>
      </c>
      <c r="AF1631">
        <v>0.5</v>
      </c>
      <c r="AP1631">
        <v>1284</v>
      </c>
      <c r="AQ1631" t="s">
        <v>136</v>
      </c>
    </row>
    <row r="1632" spans="1:43">
      <c r="A1632">
        <v>10221</v>
      </c>
      <c r="B1632" s="669" t="s">
        <v>5772</v>
      </c>
      <c r="C1632" s="675" t="s">
        <v>5773</v>
      </c>
      <c r="D1632">
        <v>1</v>
      </c>
      <c r="E1632">
        <v>0</v>
      </c>
      <c r="G1632">
        <v>1</v>
      </c>
      <c r="H1632" s="5" t="s">
        <v>5774</v>
      </c>
      <c r="I1632">
        <f>200/30</f>
        <v>6.66666666666667</v>
      </c>
      <c r="J1632">
        <f>200/30</f>
        <v>6.66666666666667</v>
      </c>
      <c r="L1632">
        <v>1</v>
      </c>
      <c r="M1632">
        <f t="shared" si="181"/>
        <v>6.26666666666667</v>
      </c>
      <c r="N1632" s="104" t="s">
        <v>5775</v>
      </c>
      <c r="O1632">
        <v>1</v>
      </c>
      <c r="P1632">
        <v>16.3</v>
      </c>
      <c r="Q1632">
        <v>0</v>
      </c>
      <c r="S1632">
        <v>1</v>
      </c>
      <c r="U1632">
        <v>1.7</v>
      </c>
      <c r="V1632">
        <v>1</v>
      </c>
      <c r="W1632">
        <v>6</v>
      </c>
      <c r="X1632" s="7">
        <v>8</v>
      </c>
      <c r="Y1632">
        <v>-0.1</v>
      </c>
      <c r="Z1632">
        <v>0</v>
      </c>
      <c r="AB1632">
        <v>6.4</v>
      </c>
      <c r="AC1632">
        <v>2</v>
      </c>
      <c r="AD1632">
        <v>1</v>
      </c>
      <c r="AE1632" t="s">
        <v>5776</v>
      </c>
      <c r="AF1632">
        <v>0.5</v>
      </c>
      <c r="AG1632" t="s">
        <v>5777</v>
      </c>
      <c r="AP1632">
        <v>1285</v>
      </c>
      <c r="AQ1632" t="s">
        <v>136</v>
      </c>
    </row>
    <row r="1633" spans="1:41">
      <c r="A1633">
        <v>10222</v>
      </c>
      <c r="B1633" t="s">
        <v>5778</v>
      </c>
      <c r="C1633" s="669" t="s">
        <v>5779</v>
      </c>
      <c r="D1633">
        <v>1</v>
      </c>
      <c r="E1633">
        <v>0</v>
      </c>
      <c r="G1633">
        <v>1</v>
      </c>
      <c r="H1633" s="168" t="s">
        <v>5780</v>
      </c>
      <c r="I1633">
        <f>50/30</f>
        <v>1.66666666666667</v>
      </c>
      <c r="J1633">
        <f>50/30</f>
        <v>1.66666666666667</v>
      </c>
      <c r="L1633">
        <f>IF(X1633&gt;4,1,0)</f>
        <v>0</v>
      </c>
      <c r="M1633">
        <f t="shared" si="181"/>
        <v>1.26666666666667</v>
      </c>
      <c r="N1633" t="s">
        <v>1026</v>
      </c>
      <c r="O1633">
        <v>1</v>
      </c>
      <c r="P1633">
        <v>5</v>
      </c>
      <c r="Q1633">
        <v>0</v>
      </c>
      <c r="S1633">
        <v>0.5</v>
      </c>
      <c r="U1633">
        <v>0.65</v>
      </c>
      <c r="V1633">
        <v>1</v>
      </c>
      <c r="W1633">
        <v>4</v>
      </c>
      <c r="X1633" s="7">
        <v>3</v>
      </c>
      <c r="Y1633">
        <v>-0.1</v>
      </c>
      <c r="Z1633">
        <v>0</v>
      </c>
      <c r="AN1633" s="8" t="s">
        <v>5781</v>
      </c>
      <c r="AO1633" t="s">
        <v>517</v>
      </c>
    </row>
    <row r="1634" spans="1:41">
      <c r="A1634">
        <v>10223</v>
      </c>
      <c r="B1634" t="s">
        <v>5778</v>
      </c>
      <c r="C1634" s="669" t="s">
        <v>5782</v>
      </c>
      <c r="D1634">
        <v>1</v>
      </c>
      <c r="E1634">
        <v>0</v>
      </c>
      <c r="G1634">
        <v>1</v>
      </c>
      <c r="H1634" s="168" t="s">
        <v>5783</v>
      </c>
      <c r="I1634">
        <f>55/30</f>
        <v>1.83333333333333</v>
      </c>
      <c r="J1634">
        <f>55/30</f>
        <v>1.83333333333333</v>
      </c>
      <c r="L1634">
        <f>IF(X1634&gt;4,1,0)</f>
        <v>0</v>
      </c>
      <c r="M1634">
        <f t="shared" si="181"/>
        <v>1.43333333333333</v>
      </c>
      <c r="N1634" t="s">
        <v>5784</v>
      </c>
      <c r="O1634">
        <v>1</v>
      </c>
      <c r="P1634">
        <v>5</v>
      </c>
      <c r="Q1634">
        <v>0</v>
      </c>
      <c r="S1634">
        <v>0.5</v>
      </c>
      <c r="U1634">
        <v>0.65</v>
      </c>
      <c r="V1634">
        <v>1</v>
      </c>
      <c r="W1634">
        <v>5</v>
      </c>
      <c r="X1634" s="7">
        <v>1</v>
      </c>
      <c r="Y1634">
        <v>-0.1</v>
      </c>
      <c r="Z1634">
        <v>0</v>
      </c>
      <c r="AN1634" s="8" t="s">
        <v>5785</v>
      </c>
      <c r="AO1634" t="s">
        <v>1032</v>
      </c>
    </row>
    <row r="1635" spans="1:48">
      <c r="A1635">
        <v>10224</v>
      </c>
      <c r="B1635" s="669" t="s">
        <v>5786</v>
      </c>
      <c r="C1635" s="668" t="s">
        <v>526</v>
      </c>
      <c r="D1635">
        <v>1</v>
      </c>
      <c r="E1635">
        <v>0</v>
      </c>
      <c r="G1635">
        <v>1</v>
      </c>
      <c r="H1635" s="5" t="s">
        <v>5787</v>
      </c>
      <c r="I1635">
        <f>60/30</f>
        <v>2</v>
      </c>
      <c r="J1635">
        <f>60/30</f>
        <v>2</v>
      </c>
      <c r="L1635">
        <v>0</v>
      </c>
      <c r="M1635">
        <f t="shared" si="181"/>
        <v>1.6</v>
      </c>
      <c r="N1635" s="104" t="s">
        <v>5788</v>
      </c>
      <c r="O1635">
        <v>1</v>
      </c>
      <c r="P1635">
        <v>2.35</v>
      </c>
      <c r="Q1635">
        <v>0</v>
      </c>
      <c r="S1635">
        <v>0.2</v>
      </c>
      <c r="U1635">
        <v>0.4</v>
      </c>
      <c r="V1635">
        <v>1</v>
      </c>
      <c r="W1635">
        <v>0</v>
      </c>
      <c r="X1635" s="7">
        <v>1</v>
      </c>
      <c r="Y1635">
        <v>-0.1</v>
      </c>
      <c r="Z1635">
        <v>0</v>
      </c>
      <c r="AN1635" s="10">
        <v>1232</v>
      </c>
      <c r="AO1635" t="s">
        <v>136</v>
      </c>
      <c r="AV1635">
        <v>1</v>
      </c>
    </row>
    <row r="1636" spans="1:48">
      <c r="A1636">
        <v>10225</v>
      </c>
      <c r="B1636" s="669" t="s">
        <v>5789</v>
      </c>
      <c r="C1636" s="668" t="s">
        <v>526</v>
      </c>
      <c r="D1636">
        <v>1</v>
      </c>
      <c r="E1636">
        <v>0</v>
      </c>
      <c r="G1636">
        <v>1</v>
      </c>
      <c r="H1636" s="5" t="s">
        <v>5790</v>
      </c>
      <c r="I1636">
        <f>90/30</f>
        <v>3</v>
      </c>
      <c r="J1636">
        <f>90/30</f>
        <v>3</v>
      </c>
      <c r="L1636">
        <v>0</v>
      </c>
      <c r="M1636">
        <f t="shared" si="181"/>
        <v>2.6</v>
      </c>
      <c r="N1636" s="104" t="s">
        <v>5791</v>
      </c>
      <c r="O1636">
        <v>1</v>
      </c>
      <c r="P1636">
        <v>2.25</v>
      </c>
      <c r="Q1636">
        <v>0</v>
      </c>
      <c r="S1636">
        <v>0.2</v>
      </c>
      <c r="U1636">
        <v>0.4</v>
      </c>
      <c r="V1636">
        <v>1</v>
      </c>
      <c r="W1636">
        <v>0</v>
      </c>
      <c r="X1636" s="7">
        <v>3</v>
      </c>
      <c r="Y1636">
        <v>-0.1</v>
      </c>
      <c r="Z1636">
        <v>0</v>
      </c>
      <c r="AN1636" s="10">
        <v>1233</v>
      </c>
      <c r="AO1636" t="s">
        <v>136</v>
      </c>
      <c r="AV1636">
        <v>1</v>
      </c>
    </row>
    <row r="1637" spans="1:41">
      <c r="A1637">
        <v>10226</v>
      </c>
      <c r="B1637" s="669" t="s">
        <v>5792</v>
      </c>
      <c r="C1637" s="668" t="s">
        <v>5793</v>
      </c>
      <c r="D1637">
        <v>1</v>
      </c>
      <c r="E1637">
        <v>0</v>
      </c>
      <c r="G1637">
        <v>2</v>
      </c>
      <c r="H1637" s="5" t="s">
        <v>5794</v>
      </c>
      <c r="I1637">
        <f>50/30</f>
        <v>1.66666666666667</v>
      </c>
      <c r="J1637">
        <f>50/30</f>
        <v>1.66666666666667</v>
      </c>
      <c r="L1637">
        <v>0</v>
      </c>
      <c r="M1637">
        <f t="shared" si="181"/>
        <v>1.26666666666667</v>
      </c>
      <c r="N1637" s="104" t="s">
        <v>5795</v>
      </c>
      <c r="O1637">
        <v>0</v>
      </c>
      <c r="P1637">
        <v>0</v>
      </c>
      <c r="Q1637">
        <v>0</v>
      </c>
      <c r="V1637">
        <v>1</v>
      </c>
      <c r="W1637">
        <v>0</v>
      </c>
      <c r="X1637" s="7">
        <v>1</v>
      </c>
      <c r="Y1637">
        <v>-0.1</v>
      </c>
      <c r="Z1637">
        <v>0</v>
      </c>
      <c r="AN1637" s="8">
        <v>1234</v>
      </c>
      <c r="AO1637" t="s">
        <v>136</v>
      </c>
    </row>
    <row r="1638" s="28" customFormat="1" spans="1:41">
      <c r="A1638" s="28">
        <v>10227</v>
      </c>
      <c r="B1638" s="679" t="s">
        <v>5792</v>
      </c>
      <c r="C1638" s="680" t="s">
        <v>5796</v>
      </c>
      <c r="D1638" s="28">
        <v>1</v>
      </c>
      <c r="E1638" s="28">
        <v>0</v>
      </c>
      <c r="G1638" s="28">
        <v>2</v>
      </c>
      <c r="H1638" s="513" t="s">
        <v>5797</v>
      </c>
      <c r="I1638" s="28">
        <v>2.5</v>
      </c>
      <c r="J1638" s="28">
        <v>2.5</v>
      </c>
      <c r="L1638" s="28">
        <v>0</v>
      </c>
      <c r="M1638" s="28">
        <f t="shared" si="181"/>
        <v>2.1</v>
      </c>
      <c r="N1638" s="28" t="s">
        <v>5798</v>
      </c>
      <c r="O1638" s="28">
        <v>0</v>
      </c>
      <c r="P1638" s="28">
        <v>0</v>
      </c>
      <c r="Q1638" s="28">
        <v>0</v>
      </c>
      <c r="R1638" s="28">
        <v>1</v>
      </c>
      <c r="V1638" s="28">
        <v>1</v>
      </c>
      <c r="W1638" s="28">
        <v>0</v>
      </c>
      <c r="X1638" s="172">
        <v>1</v>
      </c>
      <c r="Y1638" s="28">
        <v>-0.1</v>
      </c>
      <c r="Z1638" s="28">
        <v>0</v>
      </c>
      <c r="AN1638" s="221">
        <v>1252</v>
      </c>
      <c r="AO1638" s="28" t="s">
        <v>136</v>
      </c>
    </row>
    <row r="1639" spans="1:48">
      <c r="A1639">
        <v>10228</v>
      </c>
      <c r="B1639" s="669" t="s">
        <v>5799</v>
      </c>
      <c r="C1639" s="668" t="s">
        <v>526</v>
      </c>
      <c r="D1639">
        <v>1</v>
      </c>
      <c r="E1639">
        <v>0</v>
      </c>
      <c r="G1639">
        <v>1</v>
      </c>
      <c r="H1639" s="5" t="s">
        <v>5800</v>
      </c>
      <c r="I1639">
        <f>60/30</f>
        <v>2</v>
      </c>
      <c r="J1639">
        <f>60/30</f>
        <v>2</v>
      </c>
      <c r="L1639">
        <v>0</v>
      </c>
      <c r="M1639">
        <f t="shared" si="181"/>
        <v>1.6</v>
      </c>
      <c r="N1639" s="104" t="s">
        <v>5801</v>
      </c>
      <c r="O1639">
        <v>1</v>
      </c>
      <c r="P1639">
        <v>1.95</v>
      </c>
      <c r="Q1639">
        <v>0</v>
      </c>
      <c r="V1639">
        <v>1</v>
      </c>
      <c r="W1639">
        <v>0</v>
      </c>
      <c r="X1639" s="7">
        <v>1</v>
      </c>
      <c r="Y1639">
        <v>-0.1</v>
      </c>
      <c r="Z1639">
        <v>0</v>
      </c>
      <c r="AN1639" s="10">
        <v>1230</v>
      </c>
      <c r="AO1639" t="s">
        <v>136</v>
      </c>
      <c r="AV1639">
        <v>1</v>
      </c>
    </row>
    <row r="1640" spans="1:48">
      <c r="A1640">
        <v>10229</v>
      </c>
      <c r="B1640" s="669" t="s">
        <v>5802</v>
      </c>
      <c r="C1640" s="668" t="s">
        <v>526</v>
      </c>
      <c r="D1640">
        <v>1</v>
      </c>
      <c r="E1640">
        <v>0</v>
      </c>
      <c r="G1640">
        <v>2</v>
      </c>
      <c r="H1640" s="5" t="s">
        <v>5803</v>
      </c>
      <c r="I1640">
        <f>55/30</f>
        <v>1.83333333333333</v>
      </c>
      <c r="J1640">
        <f>55/30</f>
        <v>1.83333333333333</v>
      </c>
      <c r="L1640">
        <v>0</v>
      </c>
      <c r="M1640">
        <f t="shared" si="181"/>
        <v>1.43333333333333</v>
      </c>
      <c r="N1640" s="104" t="s">
        <v>5804</v>
      </c>
      <c r="O1640">
        <v>0</v>
      </c>
      <c r="P1640">
        <v>0</v>
      </c>
      <c r="Q1640">
        <v>0</v>
      </c>
      <c r="R1640">
        <v>1</v>
      </c>
      <c r="V1640">
        <v>1</v>
      </c>
      <c r="W1640">
        <v>0</v>
      </c>
      <c r="X1640" s="218">
        <v>2</v>
      </c>
      <c r="Y1640">
        <v>-0.1</v>
      </c>
      <c r="Z1640">
        <v>0</v>
      </c>
      <c r="AN1640" s="10">
        <v>1231</v>
      </c>
      <c r="AO1640" t="s">
        <v>136</v>
      </c>
      <c r="AV1640">
        <v>1</v>
      </c>
    </row>
    <row r="1641" spans="1:48">
      <c r="A1641">
        <v>10230</v>
      </c>
      <c r="B1641" s="669" t="s">
        <v>5805</v>
      </c>
      <c r="C1641" s="668" t="s">
        <v>526</v>
      </c>
      <c r="D1641">
        <v>1</v>
      </c>
      <c r="E1641">
        <v>0</v>
      </c>
      <c r="G1641">
        <v>1</v>
      </c>
      <c r="H1641" s="5" t="s">
        <v>5806</v>
      </c>
      <c r="I1641">
        <f>60/30</f>
        <v>2</v>
      </c>
      <c r="J1641">
        <f>60/30</f>
        <v>2</v>
      </c>
      <c r="L1641">
        <v>0</v>
      </c>
      <c r="M1641">
        <f t="shared" si="181"/>
        <v>1.6</v>
      </c>
      <c r="N1641" s="104" t="s">
        <v>5807</v>
      </c>
      <c r="O1641">
        <v>1</v>
      </c>
      <c r="P1641">
        <v>1.8</v>
      </c>
      <c r="Q1641">
        <v>0</v>
      </c>
      <c r="U1641">
        <v>0.5</v>
      </c>
      <c r="V1641">
        <v>1</v>
      </c>
      <c r="W1641">
        <v>0</v>
      </c>
      <c r="X1641" s="7">
        <v>2</v>
      </c>
      <c r="Y1641">
        <v>-0.1</v>
      </c>
      <c r="Z1641">
        <v>0</v>
      </c>
      <c r="AN1641" s="10">
        <v>1235</v>
      </c>
      <c r="AO1641" t="s">
        <v>136</v>
      </c>
      <c r="AV1641">
        <v>1</v>
      </c>
    </row>
    <row r="1642" spans="1:48">
      <c r="A1642">
        <v>10231</v>
      </c>
      <c r="B1642" s="669" t="s">
        <v>5808</v>
      </c>
      <c r="C1642" s="668" t="s">
        <v>526</v>
      </c>
      <c r="D1642">
        <v>1</v>
      </c>
      <c r="E1642">
        <v>0</v>
      </c>
      <c r="G1642">
        <v>1</v>
      </c>
      <c r="H1642" s="5" t="s">
        <v>5809</v>
      </c>
      <c r="I1642">
        <f>65/30</f>
        <v>2.16666666666667</v>
      </c>
      <c r="J1642">
        <f>65/30</f>
        <v>2.16666666666667</v>
      </c>
      <c r="L1642">
        <v>0</v>
      </c>
      <c r="M1642">
        <f t="shared" si="181"/>
        <v>1.76666666666667</v>
      </c>
      <c r="N1642" s="104" t="s">
        <v>5810</v>
      </c>
      <c r="O1642">
        <v>1</v>
      </c>
      <c r="P1642">
        <v>1.2</v>
      </c>
      <c r="Q1642">
        <v>0</v>
      </c>
      <c r="V1642">
        <v>1</v>
      </c>
      <c r="W1642">
        <v>0</v>
      </c>
      <c r="X1642" s="7">
        <v>4</v>
      </c>
      <c r="Y1642">
        <v>-0.1</v>
      </c>
      <c r="Z1642">
        <v>0</v>
      </c>
      <c r="AN1642" s="10">
        <v>1236</v>
      </c>
      <c r="AO1642" t="s">
        <v>136</v>
      </c>
      <c r="AV1642">
        <v>1</v>
      </c>
    </row>
    <row r="1643" spans="1:48">
      <c r="A1643">
        <v>10232</v>
      </c>
      <c r="B1643" s="669" t="s">
        <v>5811</v>
      </c>
      <c r="C1643" s="668" t="s">
        <v>526</v>
      </c>
      <c r="D1643">
        <v>1</v>
      </c>
      <c r="E1643">
        <v>0</v>
      </c>
      <c r="G1643">
        <v>1</v>
      </c>
      <c r="H1643" s="5" t="s">
        <v>5812</v>
      </c>
      <c r="I1643">
        <f>74/30</f>
        <v>2.46666666666667</v>
      </c>
      <c r="J1643">
        <f>74/30</f>
        <v>2.46666666666667</v>
      </c>
      <c r="L1643">
        <v>0</v>
      </c>
      <c r="M1643">
        <f t="shared" si="181"/>
        <v>2.06666666666667</v>
      </c>
      <c r="N1643" s="104" t="s">
        <v>5813</v>
      </c>
      <c r="O1643">
        <v>1</v>
      </c>
      <c r="P1643">
        <v>1.5</v>
      </c>
      <c r="Q1643">
        <v>0</v>
      </c>
      <c r="U1643">
        <v>0.5</v>
      </c>
      <c r="V1643">
        <v>1</v>
      </c>
      <c r="W1643">
        <v>0</v>
      </c>
      <c r="X1643" s="7">
        <v>3</v>
      </c>
      <c r="Y1643">
        <v>-0.1</v>
      </c>
      <c r="Z1643">
        <v>0</v>
      </c>
      <c r="AN1643" s="10">
        <v>1237</v>
      </c>
      <c r="AO1643" t="s">
        <v>136</v>
      </c>
      <c r="AV1643">
        <v>1</v>
      </c>
    </row>
    <row r="1644" spans="1:48">
      <c r="A1644">
        <v>10233</v>
      </c>
      <c r="B1644" s="669" t="s">
        <v>5814</v>
      </c>
      <c r="C1644" s="668" t="s">
        <v>526</v>
      </c>
      <c r="D1644">
        <v>1</v>
      </c>
      <c r="E1644">
        <v>0</v>
      </c>
      <c r="G1644">
        <v>1</v>
      </c>
      <c r="H1644" s="5" t="s">
        <v>5815</v>
      </c>
      <c r="I1644">
        <f>64/30</f>
        <v>2.13333333333333</v>
      </c>
      <c r="J1644">
        <f>64/30</f>
        <v>2.13333333333333</v>
      </c>
      <c r="L1644">
        <v>0</v>
      </c>
      <c r="M1644">
        <f t="shared" si="181"/>
        <v>1.73333333333333</v>
      </c>
      <c r="N1644" s="104" t="s">
        <v>5816</v>
      </c>
      <c r="O1644">
        <v>1</v>
      </c>
      <c r="P1644">
        <v>4</v>
      </c>
      <c r="Q1644">
        <v>0</v>
      </c>
      <c r="U1644">
        <v>0.5</v>
      </c>
      <c r="V1644">
        <v>1</v>
      </c>
      <c r="W1644">
        <v>0</v>
      </c>
      <c r="X1644" s="7">
        <v>2</v>
      </c>
      <c r="Y1644">
        <v>-0.1</v>
      </c>
      <c r="Z1644">
        <v>0</v>
      </c>
      <c r="AN1644" s="8">
        <v>1229</v>
      </c>
      <c r="AO1644" t="s">
        <v>136</v>
      </c>
      <c r="AV1644">
        <v>1</v>
      </c>
    </row>
    <row r="1645" spans="1:48">
      <c r="A1645">
        <v>10234</v>
      </c>
      <c r="B1645" s="669" t="s">
        <v>5817</v>
      </c>
      <c r="C1645" s="668" t="s">
        <v>526</v>
      </c>
      <c r="D1645">
        <v>1</v>
      </c>
      <c r="E1645">
        <v>0</v>
      </c>
      <c r="G1645">
        <v>2</v>
      </c>
      <c r="H1645" s="5" t="s">
        <v>5818</v>
      </c>
      <c r="I1645">
        <f>110/30</f>
        <v>3.66666666666667</v>
      </c>
      <c r="J1645">
        <f>110/30</f>
        <v>3.66666666666667</v>
      </c>
      <c r="L1645">
        <v>0</v>
      </c>
      <c r="M1645">
        <f t="shared" si="181"/>
        <v>3.26666666666667</v>
      </c>
      <c r="N1645" s="104" t="s">
        <v>5819</v>
      </c>
      <c r="O1645">
        <v>0</v>
      </c>
      <c r="P1645">
        <v>0</v>
      </c>
      <c r="Q1645">
        <v>0</v>
      </c>
      <c r="V1645">
        <v>1</v>
      </c>
      <c r="W1645">
        <v>0</v>
      </c>
      <c r="X1645" s="7">
        <v>2</v>
      </c>
      <c r="Y1645">
        <v>-0.1</v>
      </c>
      <c r="Z1645">
        <v>0</v>
      </c>
      <c r="AN1645" s="8">
        <v>1248</v>
      </c>
      <c r="AO1645" t="s">
        <v>136</v>
      </c>
      <c r="AV1645">
        <v>1</v>
      </c>
    </row>
    <row r="1646" spans="1:43">
      <c r="A1646">
        <v>10235</v>
      </c>
      <c r="B1646" s="669" t="s">
        <v>5694</v>
      </c>
      <c r="C1646" s="668" t="s">
        <v>5820</v>
      </c>
      <c r="D1646">
        <v>3</v>
      </c>
      <c r="E1646">
        <v>1</v>
      </c>
      <c r="G1646">
        <v>1</v>
      </c>
      <c r="H1646" s="5" t="s">
        <v>5821</v>
      </c>
      <c r="I1646">
        <f>80/30</f>
        <v>2.66666666666667</v>
      </c>
      <c r="J1646">
        <f>80/30</f>
        <v>2.66666666666667</v>
      </c>
      <c r="L1646">
        <v>0</v>
      </c>
      <c r="M1646">
        <f t="shared" si="181"/>
        <v>2.26666666666667</v>
      </c>
      <c r="N1646" s="104" t="s">
        <v>5822</v>
      </c>
      <c r="O1646">
        <v>0</v>
      </c>
      <c r="P1646">
        <v>0</v>
      </c>
      <c r="Q1646">
        <v>0</v>
      </c>
      <c r="S1646">
        <v>0.3</v>
      </c>
      <c r="U1646">
        <v>0.4</v>
      </c>
      <c r="V1646">
        <v>101</v>
      </c>
      <c r="W1646">
        <v>6</v>
      </c>
      <c r="X1646" s="7">
        <v>0</v>
      </c>
      <c r="Y1646">
        <v>-0.1</v>
      </c>
      <c r="Z1646">
        <v>0</v>
      </c>
      <c r="AP1646">
        <v>1250</v>
      </c>
      <c r="AQ1646" t="s">
        <v>136</v>
      </c>
    </row>
    <row r="1647" spans="1:48">
      <c r="A1647">
        <v>10236</v>
      </c>
      <c r="B1647" s="669" t="s">
        <v>5799</v>
      </c>
      <c r="C1647" s="668" t="s">
        <v>526</v>
      </c>
      <c r="D1647">
        <v>1</v>
      </c>
      <c r="E1647">
        <v>0</v>
      </c>
      <c r="G1647">
        <v>1</v>
      </c>
      <c r="H1647" s="259" t="s">
        <v>5823</v>
      </c>
      <c r="I1647">
        <v>2</v>
      </c>
      <c r="J1647">
        <v>2</v>
      </c>
      <c r="L1647">
        <v>0</v>
      </c>
      <c r="M1647">
        <v>1.6</v>
      </c>
      <c r="N1647" s="104" t="s">
        <v>5801</v>
      </c>
      <c r="O1647">
        <v>1</v>
      </c>
      <c r="P1647">
        <v>1.95</v>
      </c>
      <c r="Q1647">
        <v>0</v>
      </c>
      <c r="V1647">
        <v>1</v>
      </c>
      <c r="W1647">
        <v>0</v>
      </c>
      <c r="X1647" s="7">
        <v>1</v>
      </c>
      <c r="Y1647">
        <v>-0.1</v>
      </c>
      <c r="Z1647">
        <v>0</v>
      </c>
      <c r="AN1647" s="8">
        <v>1230</v>
      </c>
      <c r="AO1647" t="s">
        <v>136</v>
      </c>
      <c r="AV1647">
        <v>1</v>
      </c>
    </row>
    <row r="1648" spans="1:48">
      <c r="A1648">
        <v>10237</v>
      </c>
      <c r="B1648" s="669" t="s">
        <v>5802</v>
      </c>
      <c r="C1648" s="668" t="s">
        <v>526</v>
      </c>
      <c r="D1648">
        <v>1</v>
      </c>
      <c r="E1648">
        <v>0</v>
      </c>
      <c r="G1648">
        <v>2</v>
      </c>
      <c r="H1648" s="259" t="s">
        <v>5824</v>
      </c>
      <c r="I1648">
        <v>1.83333333333333</v>
      </c>
      <c r="J1648">
        <v>1.83333333333333</v>
      </c>
      <c r="L1648">
        <v>0</v>
      </c>
      <c r="M1648">
        <v>1.43333333333333</v>
      </c>
      <c r="N1648" s="104" t="s">
        <v>5804</v>
      </c>
      <c r="O1648">
        <v>0</v>
      </c>
      <c r="P1648">
        <v>0</v>
      </c>
      <c r="Q1648">
        <v>0</v>
      </c>
      <c r="R1648">
        <v>1</v>
      </c>
      <c r="V1648">
        <v>1</v>
      </c>
      <c r="W1648">
        <v>0</v>
      </c>
      <c r="X1648" s="218">
        <v>2</v>
      </c>
      <c r="Y1648">
        <v>-0.1</v>
      </c>
      <c r="Z1648">
        <v>0</v>
      </c>
      <c r="AN1648" s="8">
        <v>1231</v>
      </c>
      <c r="AO1648" t="s">
        <v>136</v>
      </c>
      <c r="AV1648">
        <v>1</v>
      </c>
    </row>
    <row r="1649" spans="1:48">
      <c r="A1649">
        <v>10238</v>
      </c>
      <c r="B1649" s="669" t="s">
        <v>5799</v>
      </c>
      <c r="C1649" s="668" t="s">
        <v>526</v>
      </c>
      <c r="D1649">
        <v>1</v>
      </c>
      <c r="E1649">
        <v>0</v>
      </c>
      <c r="G1649">
        <v>1</v>
      </c>
      <c r="H1649" s="5" t="s">
        <v>5825</v>
      </c>
      <c r="I1649">
        <v>2</v>
      </c>
      <c r="J1649">
        <f>60/30</f>
        <v>2</v>
      </c>
      <c r="L1649">
        <v>0</v>
      </c>
      <c r="M1649">
        <f t="shared" ref="M1649:M1651" si="182">I1649-0.4</f>
        <v>1.6</v>
      </c>
      <c r="N1649" s="104" t="s">
        <v>5801</v>
      </c>
      <c r="O1649">
        <v>1</v>
      </c>
      <c r="P1649">
        <v>1.95</v>
      </c>
      <c r="Q1649">
        <v>0</v>
      </c>
      <c r="V1649">
        <v>1</v>
      </c>
      <c r="W1649">
        <v>0</v>
      </c>
      <c r="X1649" s="7">
        <v>1</v>
      </c>
      <c r="Y1649">
        <v>-0.1</v>
      </c>
      <c r="Z1649">
        <v>0</v>
      </c>
      <c r="AN1649" s="10">
        <v>1230</v>
      </c>
      <c r="AO1649" t="s">
        <v>136</v>
      </c>
      <c r="AV1649">
        <v>1</v>
      </c>
    </row>
    <row r="1650" spans="1:48">
      <c r="A1650">
        <v>10239</v>
      </c>
      <c r="B1650" s="669" t="s">
        <v>5802</v>
      </c>
      <c r="C1650" s="668" t="s">
        <v>526</v>
      </c>
      <c r="D1650">
        <v>1</v>
      </c>
      <c r="E1650">
        <v>0</v>
      </c>
      <c r="G1650">
        <v>2</v>
      </c>
      <c r="H1650" s="5" t="s">
        <v>5826</v>
      </c>
      <c r="I1650">
        <v>1.83333333333333</v>
      </c>
      <c r="J1650">
        <f>55/30</f>
        <v>1.83333333333333</v>
      </c>
      <c r="L1650">
        <v>0</v>
      </c>
      <c r="M1650">
        <f t="shared" si="182"/>
        <v>1.43333333333333</v>
      </c>
      <c r="N1650" s="104" t="s">
        <v>5804</v>
      </c>
      <c r="O1650">
        <v>0</v>
      </c>
      <c r="P1650">
        <v>0</v>
      </c>
      <c r="Q1650">
        <v>0</v>
      </c>
      <c r="R1650">
        <v>1</v>
      </c>
      <c r="V1650">
        <v>1</v>
      </c>
      <c r="W1650">
        <v>0</v>
      </c>
      <c r="X1650" s="218">
        <v>2</v>
      </c>
      <c r="Y1650">
        <v>-0.1</v>
      </c>
      <c r="Z1650">
        <v>0</v>
      </c>
      <c r="AN1650" s="10">
        <v>1231</v>
      </c>
      <c r="AO1650" t="s">
        <v>136</v>
      </c>
      <c r="AV1650">
        <v>1</v>
      </c>
    </row>
    <row r="1651" ht="16.5" spans="1:43">
      <c r="A1651">
        <v>10240</v>
      </c>
      <c r="B1651" s="334" t="s">
        <v>5827</v>
      </c>
      <c r="C1651" s="668" t="s">
        <v>5828</v>
      </c>
      <c r="D1651">
        <v>1</v>
      </c>
      <c r="E1651">
        <v>0</v>
      </c>
      <c r="G1651">
        <v>1</v>
      </c>
      <c r="H1651" s="11" t="s">
        <v>5829</v>
      </c>
      <c r="I1651">
        <v>1.76666666666667</v>
      </c>
      <c r="J1651">
        <v>1.76666666666667</v>
      </c>
      <c r="L1651">
        <v>0</v>
      </c>
      <c r="M1651">
        <f t="shared" si="182"/>
        <v>1.36666666666667</v>
      </c>
      <c r="N1651" s="104" t="s">
        <v>5830</v>
      </c>
      <c r="O1651">
        <v>1</v>
      </c>
      <c r="P1651">
        <v>2</v>
      </c>
      <c r="Q1651">
        <v>0</v>
      </c>
      <c r="R1651">
        <v>1</v>
      </c>
      <c r="S1651">
        <v>1.5</v>
      </c>
      <c r="U1651">
        <v>0</v>
      </c>
      <c r="V1651">
        <v>1</v>
      </c>
      <c r="W1651">
        <v>0</v>
      </c>
      <c r="X1651" s="7">
        <v>2</v>
      </c>
      <c r="Y1651">
        <v>-0.1</v>
      </c>
      <c r="Z1651">
        <v>0</v>
      </c>
      <c r="AN1651" s="10"/>
      <c r="AP1651" s="267">
        <v>1376</v>
      </c>
      <c r="AQ1651" t="s">
        <v>136</v>
      </c>
    </row>
    <row r="1652" ht="16.5" spans="1:43">
      <c r="A1652">
        <v>10241</v>
      </c>
      <c r="B1652" s="334" t="s">
        <v>5827</v>
      </c>
      <c r="C1652" s="668" t="s">
        <v>5831</v>
      </c>
      <c r="D1652">
        <v>1</v>
      </c>
      <c r="E1652">
        <v>0</v>
      </c>
      <c r="G1652">
        <v>1</v>
      </c>
      <c r="H1652" s="11" t="s">
        <v>5832</v>
      </c>
      <c r="I1652">
        <v>2.26666666666667</v>
      </c>
      <c r="J1652">
        <v>2.26666666666667</v>
      </c>
      <c r="L1652">
        <v>0</v>
      </c>
      <c r="M1652">
        <f t="shared" ref="M1652:M1715" si="183">I1652-0.4</f>
        <v>1.86666666666667</v>
      </c>
      <c r="N1652" s="104" t="s">
        <v>5833</v>
      </c>
      <c r="O1652">
        <v>1</v>
      </c>
      <c r="P1652">
        <v>2</v>
      </c>
      <c r="Q1652">
        <v>0</v>
      </c>
      <c r="S1652">
        <v>1.5</v>
      </c>
      <c r="U1652">
        <v>0.5</v>
      </c>
      <c r="V1652">
        <v>1</v>
      </c>
      <c r="W1652">
        <v>8</v>
      </c>
      <c r="X1652" s="7">
        <v>1</v>
      </c>
      <c r="Y1652">
        <v>-0.1</v>
      </c>
      <c r="Z1652">
        <v>0</v>
      </c>
      <c r="AN1652" s="10"/>
      <c r="AP1652" s="267">
        <v>1377</v>
      </c>
      <c r="AQ1652" t="s">
        <v>136</v>
      </c>
    </row>
    <row r="1653" ht="16.5" spans="1:43">
      <c r="A1653">
        <v>10242</v>
      </c>
      <c r="B1653" s="334" t="s">
        <v>5827</v>
      </c>
      <c r="C1653" s="668" t="s">
        <v>5834</v>
      </c>
      <c r="D1653">
        <v>1</v>
      </c>
      <c r="E1653">
        <v>0</v>
      </c>
      <c r="G1653">
        <v>1</v>
      </c>
      <c r="H1653" s="11" t="s">
        <v>5835</v>
      </c>
      <c r="I1653">
        <v>2.16666666666667</v>
      </c>
      <c r="J1653">
        <v>2.16666666666667</v>
      </c>
      <c r="L1653">
        <v>0</v>
      </c>
      <c r="M1653">
        <f t="shared" si="183"/>
        <v>1.76666666666667</v>
      </c>
      <c r="N1653" s="104" t="s">
        <v>5836</v>
      </c>
      <c r="O1653">
        <v>1</v>
      </c>
      <c r="P1653">
        <v>2</v>
      </c>
      <c r="Q1653">
        <v>0</v>
      </c>
      <c r="S1653">
        <v>1.5</v>
      </c>
      <c r="U1653">
        <v>0</v>
      </c>
      <c r="V1653">
        <v>1</v>
      </c>
      <c r="W1653">
        <v>0</v>
      </c>
      <c r="X1653" s="7">
        <v>3</v>
      </c>
      <c r="Y1653">
        <v>-0.1</v>
      </c>
      <c r="Z1653">
        <v>0</v>
      </c>
      <c r="AN1653" s="10"/>
      <c r="AP1653" s="267">
        <v>1378</v>
      </c>
      <c r="AQ1653" t="s">
        <v>136</v>
      </c>
    </row>
    <row r="1654" spans="1:43">
      <c r="A1654">
        <v>10243</v>
      </c>
      <c r="B1654" s="334" t="s">
        <v>5837</v>
      </c>
      <c r="C1654" s="668" t="s">
        <v>5838</v>
      </c>
      <c r="D1654">
        <v>1</v>
      </c>
      <c r="E1654">
        <v>0</v>
      </c>
      <c r="G1654">
        <v>1</v>
      </c>
      <c r="H1654" s="11" t="s">
        <v>5839</v>
      </c>
      <c r="I1654">
        <v>2.56666666666667</v>
      </c>
      <c r="J1654">
        <v>2.56666666666667</v>
      </c>
      <c r="L1654">
        <v>0</v>
      </c>
      <c r="M1654">
        <f t="shared" si="183"/>
        <v>2.16666666666667</v>
      </c>
      <c r="N1654" s="104" t="s">
        <v>5840</v>
      </c>
      <c r="O1654">
        <v>1</v>
      </c>
      <c r="P1654">
        <v>2.7</v>
      </c>
      <c r="Q1654">
        <v>0</v>
      </c>
      <c r="S1654">
        <v>1</v>
      </c>
      <c r="U1654">
        <v>0.4</v>
      </c>
      <c r="V1654">
        <v>1</v>
      </c>
      <c r="W1654">
        <v>0</v>
      </c>
      <c r="X1654" s="7">
        <v>4</v>
      </c>
      <c r="Y1654">
        <v>-0.1</v>
      </c>
      <c r="Z1654">
        <v>0</v>
      </c>
      <c r="AN1654" s="10"/>
      <c r="AP1654">
        <v>1410</v>
      </c>
      <c r="AQ1654" t="s">
        <v>136</v>
      </c>
    </row>
    <row r="1655" spans="1:43">
      <c r="A1655">
        <v>10244</v>
      </c>
      <c r="B1655" s="334" t="s">
        <v>5837</v>
      </c>
      <c r="C1655" s="668" t="s">
        <v>5841</v>
      </c>
      <c r="D1655">
        <v>1</v>
      </c>
      <c r="E1655">
        <v>0</v>
      </c>
      <c r="G1655">
        <v>1</v>
      </c>
      <c r="H1655" s="11" t="s">
        <v>5842</v>
      </c>
      <c r="I1655">
        <v>2.1</v>
      </c>
      <c r="J1655">
        <v>2.1</v>
      </c>
      <c r="L1655">
        <v>0</v>
      </c>
      <c r="M1655">
        <f t="shared" si="183"/>
        <v>1.7</v>
      </c>
      <c r="N1655" s="104" t="s">
        <v>5843</v>
      </c>
      <c r="O1655">
        <v>1</v>
      </c>
      <c r="P1655">
        <v>2.7</v>
      </c>
      <c r="Q1655">
        <v>0</v>
      </c>
      <c r="S1655">
        <v>1</v>
      </c>
      <c r="U1655">
        <v>0.4</v>
      </c>
      <c r="V1655">
        <v>1</v>
      </c>
      <c r="W1655">
        <v>0</v>
      </c>
      <c r="X1655" s="7">
        <v>1</v>
      </c>
      <c r="Y1655">
        <v>-0.1</v>
      </c>
      <c r="Z1655">
        <v>0</v>
      </c>
      <c r="AN1655" s="10"/>
      <c r="AP1655">
        <v>1411</v>
      </c>
      <c r="AQ1655" t="s">
        <v>136</v>
      </c>
    </row>
    <row r="1656" spans="1:43">
      <c r="A1656">
        <v>10245</v>
      </c>
      <c r="B1656" s="334" t="s">
        <v>5837</v>
      </c>
      <c r="C1656" s="668" t="s">
        <v>5844</v>
      </c>
      <c r="D1656">
        <v>1</v>
      </c>
      <c r="E1656">
        <v>0</v>
      </c>
      <c r="G1656">
        <v>1</v>
      </c>
      <c r="H1656" s="11" t="s">
        <v>5845</v>
      </c>
      <c r="I1656">
        <v>2.76666666666667</v>
      </c>
      <c r="J1656">
        <v>2.76666666666667</v>
      </c>
      <c r="L1656">
        <v>0</v>
      </c>
      <c r="M1656">
        <f t="shared" si="183"/>
        <v>2.36666666666667</v>
      </c>
      <c r="N1656" s="104" t="s">
        <v>5846</v>
      </c>
      <c r="O1656">
        <v>1</v>
      </c>
      <c r="P1656">
        <v>2.7</v>
      </c>
      <c r="Q1656">
        <v>0</v>
      </c>
      <c r="S1656">
        <v>1</v>
      </c>
      <c r="U1656">
        <v>0.4</v>
      </c>
      <c r="V1656">
        <v>1</v>
      </c>
      <c r="W1656">
        <v>0</v>
      </c>
      <c r="X1656" s="7">
        <v>1</v>
      </c>
      <c r="Y1656">
        <v>-0.1</v>
      </c>
      <c r="Z1656">
        <v>0</v>
      </c>
      <c r="AN1656" s="10"/>
      <c r="AP1656">
        <v>1412</v>
      </c>
      <c r="AQ1656" t="s">
        <v>136</v>
      </c>
    </row>
    <row r="1657" spans="1:40">
      <c r="A1657">
        <v>10246</v>
      </c>
      <c r="B1657" s="334" t="s">
        <v>5837</v>
      </c>
      <c r="C1657" s="668" t="s">
        <v>5847</v>
      </c>
      <c r="D1657">
        <v>1</v>
      </c>
      <c r="E1657">
        <v>0</v>
      </c>
      <c r="G1657">
        <v>1</v>
      </c>
      <c r="H1657" s="11" t="s">
        <v>5848</v>
      </c>
      <c r="I1657">
        <v>2.76666666666667</v>
      </c>
      <c r="J1657">
        <v>2.76666666666667</v>
      </c>
      <c r="L1657">
        <v>0</v>
      </c>
      <c r="M1657">
        <f t="shared" si="183"/>
        <v>2.36666666666667</v>
      </c>
      <c r="N1657" s="104"/>
      <c r="O1657">
        <v>1</v>
      </c>
      <c r="P1657">
        <v>2.7</v>
      </c>
      <c r="Q1657">
        <v>0</v>
      </c>
      <c r="V1657">
        <v>1</v>
      </c>
      <c r="W1657">
        <v>0</v>
      </c>
      <c r="X1657" s="7">
        <v>0</v>
      </c>
      <c r="Y1657">
        <v>-0.1</v>
      </c>
      <c r="Z1657">
        <v>0</v>
      </c>
      <c r="AN1657" s="10"/>
    </row>
    <row r="1658" ht="16.5" spans="1:43">
      <c r="A1658">
        <v>10247</v>
      </c>
      <c r="B1658" s="334" t="s">
        <v>5849</v>
      </c>
      <c r="C1658" s="668" t="s">
        <v>5850</v>
      </c>
      <c r="D1658">
        <v>1</v>
      </c>
      <c r="E1658">
        <v>0</v>
      </c>
      <c r="G1658">
        <v>1</v>
      </c>
      <c r="H1658" s="11" t="s">
        <v>5851</v>
      </c>
      <c r="I1658">
        <v>2.4</v>
      </c>
      <c r="J1658">
        <v>2.4</v>
      </c>
      <c r="L1658">
        <v>0</v>
      </c>
      <c r="M1658">
        <f t="shared" si="183"/>
        <v>2</v>
      </c>
      <c r="N1658" s="104" t="s">
        <v>5852</v>
      </c>
      <c r="O1658">
        <v>1</v>
      </c>
      <c r="P1658">
        <v>2.83</v>
      </c>
      <c r="Q1658">
        <v>0</v>
      </c>
      <c r="S1658">
        <v>1</v>
      </c>
      <c r="V1658">
        <v>1</v>
      </c>
      <c r="W1658">
        <v>0</v>
      </c>
      <c r="X1658" s="7">
        <v>3</v>
      </c>
      <c r="Y1658">
        <v>-0.1</v>
      </c>
      <c r="Z1658">
        <v>0</v>
      </c>
      <c r="AN1658" s="10"/>
      <c r="AP1658" s="267">
        <v>1351</v>
      </c>
      <c r="AQ1658" t="s">
        <v>136</v>
      </c>
    </row>
    <row r="1659" ht="16.5" spans="1:43">
      <c r="A1659">
        <v>10248</v>
      </c>
      <c r="B1659" s="334" t="s">
        <v>5849</v>
      </c>
      <c r="C1659" s="668" t="s">
        <v>5853</v>
      </c>
      <c r="D1659">
        <v>1</v>
      </c>
      <c r="E1659">
        <v>0</v>
      </c>
      <c r="G1659">
        <v>1</v>
      </c>
      <c r="H1659" s="11" t="s">
        <v>5854</v>
      </c>
      <c r="I1659">
        <v>2.4</v>
      </c>
      <c r="J1659">
        <v>2.4</v>
      </c>
      <c r="L1659">
        <v>0</v>
      </c>
      <c r="M1659">
        <f t="shared" si="183"/>
        <v>2</v>
      </c>
      <c r="N1659" s="104" t="s">
        <v>5855</v>
      </c>
      <c r="O1659">
        <v>1</v>
      </c>
      <c r="P1659">
        <v>2.83</v>
      </c>
      <c r="Q1659">
        <v>0</v>
      </c>
      <c r="S1659">
        <v>1</v>
      </c>
      <c r="V1659">
        <v>1</v>
      </c>
      <c r="W1659">
        <v>0</v>
      </c>
      <c r="X1659" s="7">
        <v>6</v>
      </c>
      <c r="Y1659">
        <v>-0.1</v>
      </c>
      <c r="Z1659">
        <v>0</v>
      </c>
      <c r="AN1659" s="10"/>
      <c r="AP1659" s="267">
        <v>1352</v>
      </c>
      <c r="AQ1659" t="s">
        <v>136</v>
      </c>
    </row>
    <row r="1660" ht="16.5" spans="1:43">
      <c r="A1660">
        <v>10249</v>
      </c>
      <c r="B1660" s="334" t="s">
        <v>5849</v>
      </c>
      <c r="C1660" s="668" t="s">
        <v>5856</v>
      </c>
      <c r="D1660">
        <v>1</v>
      </c>
      <c r="E1660">
        <v>0</v>
      </c>
      <c r="G1660">
        <v>1</v>
      </c>
      <c r="H1660" s="11" t="s">
        <v>5857</v>
      </c>
      <c r="I1660">
        <v>1.56666666666667</v>
      </c>
      <c r="J1660">
        <v>1.56666666666667</v>
      </c>
      <c r="L1660">
        <v>0</v>
      </c>
      <c r="M1660">
        <f t="shared" si="183"/>
        <v>1.16666666666667</v>
      </c>
      <c r="N1660" s="104" t="s">
        <v>5858</v>
      </c>
      <c r="O1660">
        <v>1</v>
      </c>
      <c r="P1660">
        <v>2.83</v>
      </c>
      <c r="Q1660">
        <v>0</v>
      </c>
      <c r="S1660">
        <v>1</v>
      </c>
      <c r="V1660">
        <v>1</v>
      </c>
      <c r="W1660">
        <v>0</v>
      </c>
      <c r="X1660" s="7">
        <v>1</v>
      </c>
      <c r="Y1660">
        <v>-0.1</v>
      </c>
      <c r="Z1660">
        <v>0</v>
      </c>
      <c r="AN1660" s="10"/>
      <c r="AP1660" s="267">
        <v>1353</v>
      </c>
      <c r="AQ1660" t="s">
        <v>136</v>
      </c>
    </row>
    <row r="1661" ht="16.5" spans="1:44">
      <c r="A1661">
        <v>10250</v>
      </c>
      <c r="B1661" s="334" t="s">
        <v>5849</v>
      </c>
      <c r="C1661" s="668" t="s">
        <v>5859</v>
      </c>
      <c r="D1661">
        <v>1</v>
      </c>
      <c r="E1661">
        <v>0</v>
      </c>
      <c r="G1661">
        <v>1</v>
      </c>
      <c r="H1661" s="11" t="s">
        <v>5860</v>
      </c>
      <c r="I1661">
        <v>5.56666666666667</v>
      </c>
      <c r="J1661">
        <v>5.56666666666667</v>
      </c>
      <c r="L1661">
        <v>1</v>
      </c>
      <c r="M1661">
        <f t="shared" si="183"/>
        <v>5.16666666666667</v>
      </c>
      <c r="N1661" s="104" t="s">
        <v>5861</v>
      </c>
      <c r="O1661">
        <v>1</v>
      </c>
      <c r="P1661">
        <v>10.5</v>
      </c>
      <c r="Q1661">
        <v>0</v>
      </c>
      <c r="S1661">
        <v>1</v>
      </c>
      <c r="V1661">
        <v>1</v>
      </c>
      <c r="W1661">
        <v>0</v>
      </c>
      <c r="X1661" s="7">
        <v>2</v>
      </c>
      <c r="Y1661">
        <v>-0.1</v>
      </c>
      <c r="Z1661">
        <v>0</v>
      </c>
      <c r="AB1661">
        <v>5.3</v>
      </c>
      <c r="AC1661">
        <v>2</v>
      </c>
      <c r="AD1661">
        <v>1</v>
      </c>
      <c r="AE1661" t="s">
        <v>5862</v>
      </c>
      <c r="AF1661">
        <v>0.5</v>
      </c>
      <c r="AN1661" s="10"/>
      <c r="AP1661" s="267">
        <v>1354</v>
      </c>
      <c r="AQ1661" t="s">
        <v>136</v>
      </c>
      <c r="AR1661" s="749" t="s">
        <v>1550</v>
      </c>
    </row>
    <row r="1662" ht="16.5" spans="1:43">
      <c r="A1662">
        <v>10251</v>
      </c>
      <c r="B1662" s="334" t="s">
        <v>5849</v>
      </c>
      <c r="C1662" s="668" t="s">
        <v>5863</v>
      </c>
      <c r="D1662">
        <v>1</v>
      </c>
      <c r="E1662">
        <v>0</v>
      </c>
      <c r="G1662">
        <v>1</v>
      </c>
      <c r="H1662" s="11" t="s">
        <v>5864</v>
      </c>
      <c r="I1662">
        <v>2.06666666666667</v>
      </c>
      <c r="J1662">
        <v>2.06666666666667</v>
      </c>
      <c r="L1662">
        <v>0</v>
      </c>
      <c r="M1662">
        <f t="shared" si="183"/>
        <v>1.66666666666667</v>
      </c>
      <c r="N1662" s="104" t="s">
        <v>5865</v>
      </c>
      <c r="O1662">
        <v>1</v>
      </c>
      <c r="P1662">
        <v>2.83</v>
      </c>
      <c r="Q1662">
        <v>0</v>
      </c>
      <c r="S1662">
        <v>1</v>
      </c>
      <c r="V1662">
        <v>1</v>
      </c>
      <c r="W1662">
        <v>0</v>
      </c>
      <c r="X1662" s="7">
        <v>2</v>
      </c>
      <c r="Y1662">
        <v>-0.1</v>
      </c>
      <c r="Z1662">
        <v>0</v>
      </c>
      <c r="AN1662" s="10"/>
      <c r="AP1662" s="267">
        <v>1355</v>
      </c>
      <c r="AQ1662" t="s">
        <v>136</v>
      </c>
    </row>
    <row r="1663" ht="16.5" spans="1:43">
      <c r="A1663">
        <v>10252</v>
      </c>
      <c r="B1663" s="334" t="s">
        <v>5849</v>
      </c>
      <c r="C1663" s="668" t="s">
        <v>5866</v>
      </c>
      <c r="D1663">
        <v>1</v>
      </c>
      <c r="E1663">
        <v>0</v>
      </c>
      <c r="G1663">
        <v>1</v>
      </c>
      <c r="H1663" s="11" t="s">
        <v>5867</v>
      </c>
      <c r="I1663">
        <v>2.7</v>
      </c>
      <c r="J1663">
        <v>2.7</v>
      </c>
      <c r="L1663">
        <v>0</v>
      </c>
      <c r="M1663">
        <f t="shared" si="183"/>
        <v>2.3</v>
      </c>
      <c r="N1663" s="104" t="s">
        <v>5868</v>
      </c>
      <c r="O1663">
        <v>1</v>
      </c>
      <c r="P1663">
        <v>2.83</v>
      </c>
      <c r="Q1663">
        <v>0</v>
      </c>
      <c r="S1663">
        <v>1</v>
      </c>
      <c r="U1663">
        <v>0.5</v>
      </c>
      <c r="V1663">
        <v>1</v>
      </c>
      <c r="W1663">
        <v>4</v>
      </c>
      <c r="X1663" s="7">
        <v>1</v>
      </c>
      <c r="Y1663">
        <v>-0.1</v>
      </c>
      <c r="Z1663">
        <v>0</v>
      </c>
      <c r="AN1663" s="10"/>
      <c r="AP1663" s="267">
        <v>1356</v>
      </c>
      <c r="AQ1663" t="s">
        <v>136</v>
      </c>
    </row>
    <row r="1664" ht="16.5" spans="1:43">
      <c r="A1664">
        <v>10253</v>
      </c>
      <c r="B1664" s="334" t="s">
        <v>5849</v>
      </c>
      <c r="C1664" s="668" t="s">
        <v>5869</v>
      </c>
      <c r="D1664">
        <v>1</v>
      </c>
      <c r="E1664">
        <v>0</v>
      </c>
      <c r="G1664">
        <v>1</v>
      </c>
      <c r="H1664" s="11" t="s">
        <v>5870</v>
      </c>
      <c r="I1664">
        <v>2.6</v>
      </c>
      <c r="J1664">
        <v>2.6</v>
      </c>
      <c r="L1664">
        <v>0</v>
      </c>
      <c r="M1664">
        <f t="shared" si="183"/>
        <v>2.2</v>
      </c>
      <c r="N1664" s="104" t="s">
        <v>5871</v>
      </c>
      <c r="O1664">
        <v>1</v>
      </c>
      <c r="P1664">
        <v>2.83</v>
      </c>
      <c r="Q1664">
        <v>0</v>
      </c>
      <c r="S1664">
        <v>1</v>
      </c>
      <c r="V1664">
        <v>1</v>
      </c>
      <c r="W1664">
        <v>0</v>
      </c>
      <c r="X1664" s="7">
        <v>3</v>
      </c>
      <c r="Y1664">
        <v>-0.1</v>
      </c>
      <c r="Z1664">
        <v>0</v>
      </c>
      <c r="AN1664" s="10"/>
      <c r="AP1664" s="267">
        <v>1357</v>
      </c>
      <c r="AQ1664" t="s">
        <v>136</v>
      </c>
    </row>
    <row r="1665" ht="16.5" spans="1:43">
      <c r="A1665">
        <v>10254</v>
      </c>
      <c r="B1665" s="334" t="s">
        <v>5872</v>
      </c>
      <c r="C1665" s="668" t="s">
        <v>5873</v>
      </c>
      <c r="D1665">
        <v>1</v>
      </c>
      <c r="E1665">
        <v>0</v>
      </c>
      <c r="G1665">
        <v>1</v>
      </c>
      <c r="H1665" s="11" t="s">
        <v>5874</v>
      </c>
      <c r="I1665">
        <v>1.4</v>
      </c>
      <c r="J1665">
        <v>1.4</v>
      </c>
      <c r="L1665">
        <v>0</v>
      </c>
      <c r="M1665">
        <f t="shared" si="183"/>
        <v>1</v>
      </c>
      <c r="N1665" s="104" t="s">
        <v>5875</v>
      </c>
      <c r="O1665">
        <v>1</v>
      </c>
      <c r="P1665">
        <v>1.5</v>
      </c>
      <c r="Q1665">
        <v>0</v>
      </c>
      <c r="V1665">
        <v>1</v>
      </c>
      <c r="W1665">
        <v>0</v>
      </c>
      <c r="X1665" s="7">
        <v>1</v>
      </c>
      <c r="Y1665">
        <v>-0.1</v>
      </c>
      <c r="Z1665">
        <v>0</v>
      </c>
      <c r="AN1665" s="10"/>
      <c r="AP1665" s="267">
        <v>1372</v>
      </c>
      <c r="AQ1665" t="s">
        <v>136</v>
      </c>
    </row>
    <row r="1666" ht="16.5" spans="1:43">
      <c r="A1666">
        <v>10255</v>
      </c>
      <c r="B1666" s="334" t="s">
        <v>5872</v>
      </c>
      <c r="C1666" s="668" t="s">
        <v>5876</v>
      </c>
      <c r="D1666">
        <v>2</v>
      </c>
      <c r="E1666">
        <v>1</v>
      </c>
      <c r="G1666">
        <v>1</v>
      </c>
      <c r="H1666" s="11" t="s">
        <v>5877</v>
      </c>
      <c r="I1666">
        <v>2.16666666666667</v>
      </c>
      <c r="J1666">
        <v>2.16666666666667</v>
      </c>
      <c r="L1666">
        <v>0</v>
      </c>
      <c r="M1666">
        <f t="shared" si="183"/>
        <v>1.76666666666667</v>
      </c>
      <c r="N1666" s="104" t="s">
        <v>5878</v>
      </c>
      <c r="O1666">
        <v>5</v>
      </c>
      <c r="P1666">
        <v>0</v>
      </c>
      <c r="Q1666">
        <v>0</v>
      </c>
      <c r="S1666">
        <v>1</v>
      </c>
      <c r="V1666">
        <v>1000</v>
      </c>
      <c r="W1666">
        <v>0</v>
      </c>
      <c r="X1666" s="7">
        <v>0</v>
      </c>
      <c r="Y1666">
        <v>-0.1</v>
      </c>
      <c r="Z1666">
        <v>0</v>
      </c>
      <c r="AN1666" s="10"/>
      <c r="AP1666" s="267">
        <v>1373</v>
      </c>
      <c r="AQ1666" t="s">
        <v>136</v>
      </c>
    </row>
    <row r="1667" ht="16.5" spans="1:43">
      <c r="A1667">
        <v>10256</v>
      </c>
      <c r="B1667" s="334" t="s">
        <v>5872</v>
      </c>
      <c r="C1667" s="668" t="s">
        <v>5879</v>
      </c>
      <c r="D1667">
        <v>1</v>
      </c>
      <c r="E1667">
        <v>0</v>
      </c>
      <c r="G1667">
        <v>1</v>
      </c>
      <c r="H1667" s="11" t="s">
        <v>5880</v>
      </c>
      <c r="I1667">
        <v>1.66666666666667</v>
      </c>
      <c r="J1667">
        <v>1.66666666666667</v>
      </c>
      <c r="L1667">
        <v>0</v>
      </c>
      <c r="M1667">
        <f t="shared" si="183"/>
        <v>1.26666666666667</v>
      </c>
      <c r="N1667" s="104" t="s">
        <v>5881</v>
      </c>
      <c r="O1667">
        <v>1</v>
      </c>
      <c r="P1667">
        <v>1.5</v>
      </c>
      <c r="Q1667">
        <v>0</v>
      </c>
      <c r="V1667">
        <v>1</v>
      </c>
      <c r="W1667">
        <v>4</v>
      </c>
      <c r="X1667" s="7">
        <v>1</v>
      </c>
      <c r="Y1667">
        <v>-0.1</v>
      </c>
      <c r="Z1667">
        <v>0</v>
      </c>
      <c r="AN1667" s="10"/>
      <c r="AP1667" s="267">
        <v>1374</v>
      </c>
      <c r="AQ1667" t="s">
        <v>136</v>
      </c>
    </row>
    <row r="1668" ht="16.5" spans="1:43">
      <c r="A1668">
        <v>10257</v>
      </c>
      <c r="B1668" s="334" t="s">
        <v>5882</v>
      </c>
      <c r="C1668" s="668" t="s">
        <v>5883</v>
      </c>
      <c r="D1668">
        <v>1</v>
      </c>
      <c r="E1668">
        <v>0</v>
      </c>
      <c r="G1668">
        <v>1</v>
      </c>
      <c r="H1668" s="11" t="s">
        <v>5884</v>
      </c>
      <c r="I1668">
        <v>1.83333333333333</v>
      </c>
      <c r="J1668">
        <v>1.83333333333333</v>
      </c>
      <c r="L1668">
        <v>0</v>
      </c>
      <c r="M1668">
        <f t="shared" si="183"/>
        <v>1.43333333333333</v>
      </c>
      <c r="N1668" s="104" t="s">
        <v>5885</v>
      </c>
      <c r="O1668">
        <v>1</v>
      </c>
      <c r="P1668">
        <v>2</v>
      </c>
      <c r="Q1668">
        <v>0</v>
      </c>
      <c r="S1668">
        <v>1</v>
      </c>
      <c r="V1668">
        <v>1</v>
      </c>
      <c r="W1668">
        <v>0</v>
      </c>
      <c r="X1668" s="7">
        <v>2</v>
      </c>
      <c r="Y1668">
        <v>-0.1</v>
      </c>
      <c r="Z1668">
        <v>0</v>
      </c>
      <c r="AN1668" s="10"/>
      <c r="AP1668" s="267">
        <v>1363</v>
      </c>
      <c r="AQ1668" t="s">
        <v>136</v>
      </c>
    </row>
    <row r="1669" ht="16.5" spans="1:43">
      <c r="A1669">
        <v>10258</v>
      </c>
      <c r="B1669" s="334" t="s">
        <v>5882</v>
      </c>
      <c r="C1669" s="668" t="s">
        <v>5886</v>
      </c>
      <c r="D1669">
        <v>2</v>
      </c>
      <c r="E1669">
        <v>1</v>
      </c>
      <c r="G1669">
        <v>1</v>
      </c>
      <c r="H1669" s="11" t="s">
        <v>5887</v>
      </c>
      <c r="I1669">
        <v>3.76666666666667</v>
      </c>
      <c r="J1669">
        <v>3.76666666666667</v>
      </c>
      <c r="L1669">
        <v>0</v>
      </c>
      <c r="M1669">
        <f t="shared" si="183"/>
        <v>3.36666666666667</v>
      </c>
      <c r="N1669" s="104" t="s">
        <v>5888</v>
      </c>
      <c r="O1669">
        <v>5</v>
      </c>
      <c r="P1669">
        <v>0</v>
      </c>
      <c r="Q1669">
        <v>0</v>
      </c>
      <c r="S1669">
        <v>1</v>
      </c>
      <c r="V1669">
        <v>1000</v>
      </c>
      <c r="W1669">
        <v>0</v>
      </c>
      <c r="X1669" s="7">
        <v>0</v>
      </c>
      <c r="Y1669">
        <v>-0.1</v>
      </c>
      <c r="Z1669">
        <v>0</v>
      </c>
      <c r="AN1669" s="10"/>
      <c r="AP1669" s="267">
        <v>1364</v>
      </c>
      <c r="AQ1669" t="s">
        <v>136</v>
      </c>
    </row>
    <row r="1670" ht="16.5" spans="1:43">
      <c r="A1670">
        <v>10259</v>
      </c>
      <c r="B1670" s="334" t="s">
        <v>5882</v>
      </c>
      <c r="C1670" s="668" t="s">
        <v>5889</v>
      </c>
      <c r="D1670">
        <v>1</v>
      </c>
      <c r="E1670">
        <v>0</v>
      </c>
      <c r="G1670">
        <v>1</v>
      </c>
      <c r="H1670" s="11" t="s">
        <v>5890</v>
      </c>
      <c r="I1670">
        <v>2.53333333333333</v>
      </c>
      <c r="J1670">
        <v>2.53333333333333</v>
      </c>
      <c r="L1670">
        <v>0</v>
      </c>
      <c r="M1670">
        <f t="shared" si="183"/>
        <v>2.13333333333333</v>
      </c>
      <c r="N1670" s="104" t="s">
        <v>5891</v>
      </c>
      <c r="O1670">
        <v>1</v>
      </c>
      <c r="P1670">
        <v>2</v>
      </c>
      <c r="Q1670">
        <v>0</v>
      </c>
      <c r="S1670">
        <v>2</v>
      </c>
      <c r="U1670">
        <v>0.5</v>
      </c>
      <c r="V1670">
        <v>1</v>
      </c>
      <c r="W1670">
        <v>6</v>
      </c>
      <c r="X1670" s="7">
        <v>1</v>
      </c>
      <c r="Y1670">
        <v>-0.1</v>
      </c>
      <c r="Z1670">
        <v>0</v>
      </c>
      <c r="AN1670" s="10"/>
      <c r="AP1670" s="267">
        <v>1365</v>
      </c>
      <c r="AQ1670" t="s">
        <v>136</v>
      </c>
    </row>
    <row r="1671" ht="16.5" spans="1:43">
      <c r="A1671">
        <v>10260</v>
      </c>
      <c r="B1671" s="334" t="s">
        <v>5892</v>
      </c>
      <c r="C1671" s="668" t="s">
        <v>5893</v>
      </c>
      <c r="D1671">
        <v>1</v>
      </c>
      <c r="E1671">
        <v>0</v>
      </c>
      <c r="G1671">
        <v>1</v>
      </c>
      <c r="H1671" s="11" t="s">
        <v>5894</v>
      </c>
      <c r="I1671">
        <v>2.06666666666667</v>
      </c>
      <c r="J1671">
        <v>2.06666666666667</v>
      </c>
      <c r="L1671">
        <v>0</v>
      </c>
      <c r="M1671">
        <f t="shared" si="183"/>
        <v>1.66666666666667</v>
      </c>
      <c r="N1671" s="104" t="s">
        <v>5895</v>
      </c>
      <c r="O1671">
        <v>1</v>
      </c>
      <c r="P1671">
        <v>2.3</v>
      </c>
      <c r="Q1671">
        <v>0</v>
      </c>
      <c r="S1671">
        <v>1</v>
      </c>
      <c r="U1671">
        <v>0.8</v>
      </c>
      <c r="V1671">
        <v>1</v>
      </c>
      <c r="W1671">
        <v>8</v>
      </c>
      <c r="X1671" s="7">
        <v>1</v>
      </c>
      <c r="Y1671">
        <v>-0.1</v>
      </c>
      <c r="Z1671">
        <v>0</v>
      </c>
      <c r="AN1671" s="10"/>
      <c r="AP1671" s="267">
        <v>1393</v>
      </c>
      <c r="AQ1671" t="s">
        <v>136</v>
      </c>
    </row>
    <row r="1672" spans="1:40">
      <c r="A1672">
        <v>10261</v>
      </c>
      <c r="B1672" s="334" t="s">
        <v>5892</v>
      </c>
      <c r="C1672" s="668" t="s">
        <v>5896</v>
      </c>
      <c r="D1672">
        <v>2</v>
      </c>
      <c r="E1672">
        <v>1</v>
      </c>
      <c r="G1672">
        <v>1</v>
      </c>
      <c r="H1672" s="11" t="s">
        <v>5897</v>
      </c>
      <c r="I1672">
        <v>1.9</v>
      </c>
      <c r="J1672">
        <v>1.9</v>
      </c>
      <c r="L1672">
        <v>0</v>
      </c>
      <c r="M1672">
        <f t="shared" si="183"/>
        <v>1.5</v>
      </c>
      <c r="N1672" s="104" t="s">
        <v>5898</v>
      </c>
      <c r="O1672">
        <v>5</v>
      </c>
      <c r="P1672">
        <v>0</v>
      </c>
      <c r="Q1672">
        <v>0</v>
      </c>
      <c r="S1672">
        <v>1</v>
      </c>
      <c r="V1672">
        <v>1000</v>
      </c>
      <c r="W1672">
        <v>0</v>
      </c>
      <c r="X1672" s="7">
        <v>0</v>
      </c>
      <c r="Y1672">
        <v>-0.1</v>
      </c>
      <c r="Z1672">
        <v>0</v>
      </c>
      <c r="AN1672" s="10"/>
    </row>
    <row r="1673" ht="16.5" spans="1:43">
      <c r="A1673">
        <v>10262</v>
      </c>
      <c r="B1673" s="334" t="s">
        <v>5892</v>
      </c>
      <c r="C1673" s="668" t="s">
        <v>5899</v>
      </c>
      <c r="D1673">
        <v>2</v>
      </c>
      <c r="E1673">
        <v>1</v>
      </c>
      <c r="G1673">
        <v>1</v>
      </c>
      <c r="H1673" s="11" t="s">
        <v>5900</v>
      </c>
      <c r="I1673">
        <v>2.66666666666667</v>
      </c>
      <c r="J1673">
        <v>2.66666666666667</v>
      </c>
      <c r="L1673">
        <v>0</v>
      </c>
      <c r="M1673">
        <f t="shared" si="183"/>
        <v>2.26666666666667</v>
      </c>
      <c r="N1673" s="104" t="s">
        <v>5901</v>
      </c>
      <c r="O1673">
        <v>5</v>
      </c>
      <c r="P1673">
        <v>0</v>
      </c>
      <c r="Q1673">
        <v>0</v>
      </c>
      <c r="S1673">
        <v>1</v>
      </c>
      <c r="V1673">
        <v>1000</v>
      </c>
      <c r="W1673">
        <v>0</v>
      </c>
      <c r="X1673" s="7">
        <v>0</v>
      </c>
      <c r="Y1673">
        <v>-0.1</v>
      </c>
      <c r="Z1673">
        <v>0</v>
      </c>
      <c r="AN1673" s="10"/>
      <c r="AP1673" s="267">
        <v>1394</v>
      </c>
      <c r="AQ1673" t="s">
        <v>136</v>
      </c>
    </row>
    <row r="1674" ht="16.5" spans="1:43">
      <c r="A1674">
        <v>10263</v>
      </c>
      <c r="B1674" s="334" t="s">
        <v>5902</v>
      </c>
      <c r="C1674" s="668" t="s">
        <v>5828</v>
      </c>
      <c r="D1674">
        <v>1</v>
      </c>
      <c r="E1674">
        <v>0</v>
      </c>
      <c r="G1674">
        <v>1</v>
      </c>
      <c r="H1674" s="11" t="s">
        <v>5903</v>
      </c>
      <c r="I1674">
        <v>3.5</v>
      </c>
      <c r="J1674">
        <v>3.5</v>
      </c>
      <c r="L1674">
        <v>0</v>
      </c>
      <c r="M1674">
        <f t="shared" si="183"/>
        <v>3.1</v>
      </c>
      <c r="N1674" s="104" t="s">
        <v>5904</v>
      </c>
      <c r="O1674">
        <v>1</v>
      </c>
      <c r="P1674">
        <v>2</v>
      </c>
      <c r="Q1674">
        <v>0</v>
      </c>
      <c r="S1674">
        <v>1.5</v>
      </c>
      <c r="U1674">
        <v>0.6</v>
      </c>
      <c r="V1674">
        <v>1</v>
      </c>
      <c r="W1674">
        <v>0</v>
      </c>
      <c r="X1674" s="7">
        <v>1</v>
      </c>
      <c r="Y1674">
        <v>-0.1</v>
      </c>
      <c r="Z1674">
        <v>0</v>
      </c>
      <c r="AN1674" s="10"/>
      <c r="AP1674" s="267">
        <v>1379</v>
      </c>
      <c r="AQ1674" t="s">
        <v>136</v>
      </c>
    </row>
    <row r="1675" ht="16.5" spans="1:43">
      <c r="A1675">
        <v>10264</v>
      </c>
      <c r="B1675" s="334" t="s">
        <v>5902</v>
      </c>
      <c r="C1675" s="668" t="s">
        <v>5905</v>
      </c>
      <c r="D1675">
        <v>1</v>
      </c>
      <c r="E1675">
        <v>0</v>
      </c>
      <c r="G1675">
        <v>1</v>
      </c>
      <c r="H1675" s="11" t="s">
        <v>5906</v>
      </c>
      <c r="I1675">
        <v>1.9</v>
      </c>
      <c r="J1675">
        <v>1.9</v>
      </c>
      <c r="L1675">
        <v>0</v>
      </c>
      <c r="M1675">
        <f t="shared" si="183"/>
        <v>1.5</v>
      </c>
      <c r="N1675" s="104" t="s">
        <v>5907</v>
      </c>
      <c r="O1675">
        <v>1</v>
      </c>
      <c r="P1675">
        <v>2</v>
      </c>
      <c r="Q1675">
        <v>0</v>
      </c>
      <c r="S1675">
        <v>1.5</v>
      </c>
      <c r="U1675">
        <v>0.6</v>
      </c>
      <c r="V1675">
        <v>1</v>
      </c>
      <c r="W1675">
        <v>8</v>
      </c>
      <c r="X1675" s="7">
        <v>1</v>
      </c>
      <c r="Y1675">
        <v>-0.1</v>
      </c>
      <c r="Z1675">
        <v>0</v>
      </c>
      <c r="AN1675" s="10"/>
      <c r="AP1675" s="267">
        <v>1380</v>
      </c>
      <c r="AQ1675" t="s">
        <v>136</v>
      </c>
    </row>
    <row r="1676" ht="16.5" spans="1:43">
      <c r="A1676">
        <v>10265</v>
      </c>
      <c r="B1676" s="334" t="s">
        <v>5902</v>
      </c>
      <c r="C1676" s="668" t="s">
        <v>5908</v>
      </c>
      <c r="D1676">
        <v>1</v>
      </c>
      <c r="E1676">
        <v>0</v>
      </c>
      <c r="G1676">
        <v>1</v>
      </c>
      <c r="H1676" s="11" t="s">
        <v>5909</v>
      </c>
      <c r="I1676">
        <v>3.23333333333333</v>
      </c>
      <c r="J1676">
        <v>3.23333333333333</v>
      </c>
      <c r="L1676">
        <v>0</v>
      </c>
      <c r="M1676">
        <f t="shared" si="183"/>
        <v>2.83333333333333</v>
      </c>
      <c r="N1676" s="104" t="s">
        <v>5910</v>
      </c>
      <c r="O1676">
        <v>1</v>
      </c>
      <c r="P1676">
        <v>2</v>
      </c>
      <c r="Q1676">
        <v>0</v>
      </c>
      <c r="S1676">
        <v>1.5</v>
      </c>
      <c r="U1676">
        <v>0.6</v>
      </c>
      <c r="V1676">
        <v>1</v>
      </c>
      <c r="W1676">
        <v>0</v>
      </c>
      <c r="X1676" s="7">
        <v>6</v>
      </c>
      <c r="Y1676">
        <v>-0.1</v>
      </c>
      <c r="Z1676">
        <v>0</v>
      </c>
      <c r="AN1676" s="10"/>
      <c r="AP1676" s="267">
        <v>1381</v>
      </c>
      <c r="AQ1676" t="s">
        <v>136</v>
      </c>
    </row>
    <row r="1677" ht="16.5" spans="1:43">
      <c r="A1677">
        <v>10266</v>
      </c>
      <c r="B1677" s="334" t="s">
        <v>5902</v>
      </c>
      <c r="C1677" s="668" t="s">
        <v>5911</v>
      </c>
      <c r="D1677">
        <v>1</v>
      </c>
      <c r="E1677">
        <v>0</v>
      </c>
      <c r="G1677">
        <v>1</v>
      </c>
      <c r="H1677" s="11" t="s">
        <v>5912</v>
      </c>
      <c r="I1677">
        <v>1.53333333333333</v>
      </c>
      <c r="J1677">
        <v>1.53333333333333</v>
      </c>
      <c r="L1677">
        <v>0</v>
      </c>
      <c r="M1677">
        <f t="shared" si="183"/>
        <v>1.13333333333333</v>
      </c>
      <c r="N1677" s="104" t="s">
        <v>5913</v>
      </c>
      <c r="O1677">
        <v>1</v>
      </c>
      <c r="P1677">
        <v>2</v>
      </c>
      <c r="Q1677">
        <v>0</v>
      </c>
      <c r="S1677">
        <v>1.5</v>
      </c>
      <c r="U1677">
        <v>0.6</v>
      </c>
      <c r="V1677">
        <v>1</v>
      </c>
      <c r="W1677">
        <v>7</v>
      </c>
      <c r="X1677" s="7">
        <v>1</v>
      </c>
      <c r="Y1677">
        <v>-0.1</v>
      </c>
      <c r="Z1677">
        <v>0</v>
      </c>
      <c r="AN1677" s="10"/>
      <c r="AP1677" s="267">
        <v>1382</v>
      </c>
      <c r="AQ1677" t="s">
        <v>136</v>
      </c>
    </row>
    <row r="1678" ht="16.5" spans="1:43">
      <c r="A1678">
        <v>10267</v>
      </c>
      <c r="B1678" s="334" t="s">
        <v>5902</v>
      </c>
      <c r="C1678" s="668" t="s">
        <v>5914</v>
      </c>
      <c r="D1678">
        <v>1</v>
      </c>
      <c r="E1678">
        <v>0</v>
      </c>
      <c r="G1678">
        <v>1</v>
      </c>
      <c r="H1678" s="11" t="s">
        <v>5915</v>
      </c>
      <c r="I1678">
        <v>3.06666666666667</v>
      </c>
      <c r="J1678">
        <v>3.06666666666667</v>
      </c>
      <c r="L1678">
        <v>0</v>
      </c>
      <c r="M1678">
        <f t="shared" si="183"/>
        <v>2.66666666666667</v>
      </c>
      <c r="N1678" s="104" t="s">
        <v>5916</v>
      </c>
      <c r="O1678">
        <v>1</v>
      </c>
      <c r="P1678">
        <v>2</v>
      </c>
      <c r="Q1678">
        <v>0</v>
      </c>
      <c r="R1678">
        <v>1</v>
      </c>
      <c r="S1678">
        <v>1.5</v>
      </c>
      <c r="U1678">
        <v>0.6</v>
      </c>
      <c r="V1678">
        <v>1</v>
      </c>
      <c r="W1678">
        <v>6</v>
      </c>
      <c r="X1678" s="7">
        <v>4</v>
      </c>
      <c r="Y1678">
        <v>-0.1</v>
      </c>
      <c r="Z1678">
        <v>0</v>
      </c>
      <c r="AN1678" s="10"/>
      <c r="AP1678" s="267">
        <v>1383</v>
      </c>
      <c r="AQ1678" t="s">
        <v>136</v>
      </c>
    </row>
    <row r="1679" ht="16.5" spans="1:43">
      <c r="A1679">
        <v>10268</v>
      </c>
      <c r="B1679" s="334" t="s">
        <v>5917</v>
      </c>
      <c r="C1679" s="668" t="s">
        <v>5828</v>
      </c>
      <c r="D1679">
        <v>1</v>
      </c>
      <c r="E1679">
        <v>0</v>
      </c>
      <c r="G1679">
        <v>1</v>
      </c>
      <c r="H1679" s="5" t="s">
        <v>5918</v>
      </c>
      <c r="I1679">
        <f>50/30</f>
        <v>1.66666666666667</v>
      </c>
      <c r="J1679">
        <f>50/30</f>
        <v>1.66666666666667</v>
      </c>
      <c r="L1679">
        <v>0</v>
      </c>
      <c r="M1679">
        <f t="shared" si="183"/>
        <v>1.26666666666667</v>
      </c>
      <c r="N1679" s="104" t="s">
        <v>5919</v>
      </c>
      <c r="O1679">
        <v>1</v>
      </c>
      <c r="P1679">
        <v>1.65</v>
      </c>
      <c r="Q1679">
        <v>0</v>
      </c>
      <c r="S1679">
        <v>0.5</v>
      </c>
      <c r="U1679">
        <v>-0.6</v>
      </c>
      <c r="V1679">
        <v>1</v>
      </c>
      <c r="W1679">
        <v>0</v>
      </c>
      <c r="X1679" s="7">
        <v>1</v>
      </c>
      <c r="Y1679">
        <v>-0.1</v>
      </c>
      <c r="Z1679">
        <v>0</v>
      </c>
      <c r="AN1679" s="10"/>
      <c r="AP1679" s="267">
        <v>1359</v>
      </c>
      <c r="AQ1679" t="s">
        <v>136</v>
      </c>
    </row>
    <row r="1680" ht="16.5" spans="1:43">
      <c r="A1680">
        <v>10269</v>
      </c>
      <c r="B1680" s="334" t="s">
        <v>5917</v>
      </c>
      <c r="C1680" s="668" t="s">
        <v>5920</v>
      </c>
      <c r="D1680">
        <v>2</v>
      </c>
      <c r="E1680">
        <v>1</v>
      </c>
      <c r="G1680">
        <v>1</v>
      </c>
      <c r="H1680" s="5" t="s">
        <v>5921</v>
      </c>
      <c r="I1680">
        <f>56/30</f>
        <v>1.86666666666667</v>
      </c>
      <c r="J1680">
        <f>56/30</f>
        <v>1.86666666666667</v>
      </c>
      <c r="L1680">
        <v>0</v>
      </c>
      <c r="M1680">
        <f t="shared" si="183"/>
        <v>1.46666666666667</v>
      </c>
      <c r="N1680" s="104" t="s">
        <v>5922</v>
      </c>
      <c r="O1680">
        <v>5</v>
      </c>
      <c r="P1680">
        <v>0</v>
      </c>
      <c r="Q1680">
        <v>0</v>
      </c>
      <c r="S1680">
        <v>1.5</v>
      </c>
      <c r="T1680">
        <v>0.5</v>
      </c>
      <c r="U1680">
        <v>-0.3</v>
      </c>
      <c r="V1680">
        <v>1000</v>
      </c>
      <c r="W1680">
        <v>0</v>
      </c>
      <c r="X1680" s="7">
        <v>0</v>
      </c>
      <c r="Y1680">
        <v>-0.1</v>
      </c>
      <c r="Z1680">
        <v>0</v>
      </c>
      <c r="AN1680" s="10"/>
      <c r="AP1680" s="267">
        <v>1360</v>
      </c>
      <c r="AQ1680" t="s">
        <v>136</v>
      </c>
    </row>
    <row r="1681" ht="16.5" spans="1:43">
      <c r="A1681">
        <v>10270</v>
      </c>
      <c r="B1681" s="334" t="s">
        <v>5917</v>
      </c>
      <c r="C1681" s="668" t="s">
        <v>5923</v>
      </c>
      <c r="D1681">
        <v>1</v>
      </c>
      <c r="E1681">
        <v>0</v>
      </c>
      <c r="G1681">
        <v>1</v>
      </c>
      <c r="H1681" s="5" t="s">
        <v>5924</v>
      </c>
      <c r="I1681">
        <f>60/30</f>
        <v>2</v>
      </c>
      <c r="J1681">
        <f>60/30</f>
        <v>2</v>
      </c>
      <c r="L1681">
        <v>0</v>
      </c>
      <c r="M1681">
        <f t="shared" si="183"/>
        <v>1.6</v>
      </c>
      <c r="N1681" s="104" t="s">
        <v>5925</v>
      </c>
      <c r="O1681">
        <v>1</v>
      </c>
      <c r="P1681">
        <v>1.65</v>
      </c>
      <c r="Q1681">
        <v>0</v>
      </c>
      <c r="S1681">
        <v>0.5</v>
      </c>
      <c r="U1681">
        <v>-0.3</v>
      </c>
      <c r="V1681">
        <v>1</v>
      </c>
      <c r="W1681">
        <v>0</v>
      </c>
      <c r="X1681" s="7">
        <v>3</v>
      </c>
      <c r="Y1681">
        <v>-0.1</v>
      </c>
      <c r="Z1681">
        <v>0</v>
      </c>
      <c r="AN1681" s="10"/>
      <c r="AP1681" s="267">
        <v>1361</v>
      </c>
      <c r="AQ1681" t="s">
        <v>136</v>
      </c>
    </row>
    <row r="1682" ht="16.5" spans="1:43">
      <c r="A1682">
        <v>10271</v>
      </c>
      <c r="B1682" s="334" t="s">
        <v>5926</v>
      </c>
      <c r="C1682" s="668" t="s">
        <v>526</v>
      </c>
      <c r="D1682">
        <v>1</v>
      </c>
      <c r="E1682">
        <v>0</v>
      </c>
      <c r="G1682">
        <v>1</v>
      </c>
      <c r="H1682" s="5" t="s">
        <v>5927</v>
      </c>
      <c r="I1682">
        <f>80/30</f>
        <v>2.66666666666667</v>
      </c>
      <c r="J1682">
        <f>80/30</f>
        <v>2.66666666666667</v>
      </c>
      <c r="L1682">
        <v>0</v>
      </c>
      <c r="M1682">
        <f t="shared" si="183"/>
        <v>2.26666666666667</v>
      </c>
      <c r="N1682" s="104" t="s">
        <v>5928</v>
      </c>
      <c r="O1682">
        <v>1</v>
      </c>
      <c r="P1682">
        <v>2.6</v>
      </c>
      <c r="Q1682">
        <v>0</v>
      </c>
      <c r="S1682">
        <v>0.8</v>
      </c>
      <c r="U1682">
        <v>1.15</v>
      </c>
      <c r="V1682">
        <v>1</v>
      </c>
      <c r="W1682">
        <v>0</v>
      </c>
      <c r="X1682" s="7">
        <v>3</v>
      </c>
      <c r="Y1682">
        <v>-0.1</v>
      </c>
      <c r="Z1682">
        <v>0</v>
      </c>
      <c r="AN1682" s="10"/>
      <c r="AP1682" s="267">
        <v>1368</v>
      </c>
      <c r="AQ1682" t="s">
        <v>136</v>
      </c>
    </row>
    <row r="1683" ht="16.5" spans="1:43">
      <c r="A1683">
        <v>10272</v>
      </c>
      <c r="B1683" s="334" t="s">
        <v>5926</v>
      </c>
      <c r="C1683" s="668" t="s">
        <v>5929</v>
      </c>
      <c r="D1683">
        <v>2</v>
      </c>
      <c r="E1683">
        <v>1</v>
      </c>
      <c r="G1683">
        <v>1</v>
      </c>
      <c r="H1683" s="5" t="s">
        <v>5930</v>
      </c>
      <c r="I1683">
        <f>61/30</f>
        <v>2.03333333333333</v>
      </c>
      <c r="J1683">
        <f>61/30</f>
        <v>2.03333333333333</v>
      </c>
      <c r="L1683">
        <v>0</v>
      </c>
      <c r="M1683">
        <f t="shared" si="183"/>
        <v>1.63333333333333</v>
      </c>
      <c r="N1683" s="104" t="s">
        <v>5931</v>
      </c>
      <c r="O1683">
        <v>5</v>
      </c>
      <c r="P1683">
        <v>0</v>
      </c>
      <c r="Q1683">
        <v>0</v>
      </c>
      <c r="S1683">
        <v>0.8</v>
      </c>
      <c r="U1683">
        <v>1.15</v>
      </c>
      <c r="V1683">
        <v>1000</v>
      </c>
      <c r="W1683">
        <v>0</v>
      </c>
      <c r="X1683" s="7">
        <v>0</v>
      </c>
      <c r="Y1683">
        <v>-0.1</v>
      </c>
      <c r="Z1683">
        <v>0</v>
      </c>
      <c r="AN1683" s="10"/>
      <c r="AP1683" s="389">
        <v>1369</v>
      </c>
      <c r="AQ1683" t="s">
        <v>136</v>
      </c>
    </row>
    <row r="1684" ht="16.5" spans="1:43">
      <c r="A1684">
        <v>10273</v>
      </c>
      <c r="B1684" s="334" t="s">
        <v>5926</v>
      </c>
      <c r="C1684" s="668" t="s">
        <v>5932</v>
      </c>
      <c r="D1684">
        <v>1</v>
      </c>
      <c r="E1684">
        <v>0</v>
      </c>
      <c r="G1684">
        <v>1</v>
      </c>
      <c r="H1684" s="5" t="s">
        <v>5933</v>
      </c>
      <c r="I1684">
        <f>85/30</f>
        <v>2.83333333333333</v>
      </c>
      <c r="J1684">
        <f>85/30</f>
        <v>2.83333333333333</v>
      </c>
      <c r="L1684">
        <v>0</v>
      </c>
      <c r="M1684">
        <f t="shared" si="183"/>
        <v>2.43333333333333</v>
      </c>
      <c r="N1684" s="104" t="s">
        <v>5934</v>
      </c>
      <c r="O1684">
        <v>1</v>
      </c>
      <c r="P1684">
        <v>2.6</v>
      </c>
      <c r="Q1684">
        <v>0</v>
      </c>
      <c r="S1684">
        <v>0.8</v>
      </c>
      <c r="U1684">
        <v>1.15</v>
      </c>
      <c r="V1684">
        <v>1</v>
      </c>
      <c r="W1684">
        <v>0</v>
      </c>
      <c r="X1684" s="7">
        <v>5</v>
      </c>
      <c r="Y1684">
        <v>-0.1</v>
      </c>
      <c r="Z1684">
        <v>0</v>
      </c>
      <c r="AN1684" s="10"/>
      <c r="AP1684" s="267">
        <v>1370</v>
      </c>
      <c r="AQ1684" t="s">
        <v>136</v>
      </c>
    </row>
    <row r="1685" ht="16.5" spans="1:43">
      <c r="A1685">
        <v>10274</v>
      </c>
      <c r="B1685" s="334" t="s">
        <v>5935</v>
      </c>
      <c r="C1685" s="668" t="s">
        <v>526</v>
      </c>
      <c r="D1685">
        <v>1</v>
      </c>
      <c r="E1685">
        <v>0</v>
      </c>
      <c r="G1685">
        <v>1</v>
      </c>
      <c r="H1685" s="5" t="s">
        <v>5936</v>
      </c>
      <c r="I1685">
        <f>42/30</f>
        <v>1.4</v>
      </c>
      <c r="J1685">
        <f>42/30</f>
        <v>1.4</v>
      </c>
      <c r="L1685">
        <v>0</v>
      </c>
      <c r="M1685">
        <f t="shared" si="183"/>
        <v>1</v>
      </c>
      <c r="N1685" s="104" t="s">
        <v>5937</v>
      </c>
      <c r="O1685">
        <v>0</v>
      </c>
      <c r="P1685">
        <v>4</v>
      </c>
      <c r="Q1685">
        <v>0</v>
      </c>
      <c r="S1685">
        <v>0.4</v>
      </c>
      <c r="U1685">
        <v>0.1</v>
      </c>
      <c r="V1685">
        <v>5</v>
      </c>
      <c r="W1685">
        <v>0</v>
      </c>
      <c r="X1685" s="7">
        <v>1</v>
      </c>
      <c r="Y1685">
        <v>-0.1</v>
      </c>
      <c r="Z1685">
        <v>0</v>
      </c>
      <c r="AN1685" s="10"/>
      <c r="AP1685" s="267">
        <v>1384</v>
      </c>
      <c r="AQ1685" t="s">
        <v>136</v>
      </c>
    </row>
    <row r="1686" ht="16.5" spans="1:43">
      <c r="A1686">
        <v>10275</v>
      </c>
      <c r="B1686" s="334" t="s">
        <v>5935</v>
      </c>
      <c r="C1686" s="668" t="s">
        <v>5938</v>
      </c>
      <c r="D1686">
        <v>1</v>
      </c>
      <c r="E1686">
        <v>0</v>
      </c>
      <c r="G1686">
        <v>1</v>
      </c>
      <c r="H1686" s="5" t="s">
        <v>5939</v>
      </c>
      <c r="I1686">
        <f>71/30</f>
        <v>2.36666666666667</v>
      </c>
      <c r="J1686">
        <f>71/30</f>
        <v>2.36666666666667</v>
      </c>
      <c r="L1686">
        <v>0</v>
      </c>
      <c r="M1686">
        <f t="shared" si="183"/>
        <v>1.96666666666667</v>
      </c>
      <c r="N1686" s="104" t="s">
        <v>5940</v>
      </c>
      <c r="O1686">
        <v>0</v>
      </c>
      <c r="P1686">
        <v>4</v>
      </c>
      <c r="Q1686">
        <v>0</v>
      </c>
      <c r="S1686">
        <v>0.4</v>
      </c>
      <c r="U1686">
        <v>0.1</v>
      </c>
      <c r="V1686">
        <v>5</v>
      </c>
      <c r="W1686">
        <v>0</v>
      </c>
      <c r="X1686" s="7">
        <v>1</v>
      </c>
      <c r="Y1686">
        <v>-0.1</v>
      </c>
      <c r="Z1686">
        <v>0</v>
      </c>
      <c r="AN1686" s="10"/>
      <c r="AP1686" s="267">
        <v>1385</v>
      </c>
      <c r="AQ1686" t="s">
        <v>136</v>
      </c>
    </row>
    <row r="1687" ht="16.5" spans="1:43">
      <c r="A1687">
        <v>10276</v>
      </c>
      <c r="B1687" s="334" t="s">
        <v>5941</v>
      </c>
      <c r="C1687" s="668" t="s">
        <v>5942</v>
      </c>
      <c r="D1687">
        <v>1</v>
      </c>
      <c r="E1687">
        <v>0</v>
      </c>
      <c r="G1687">
        <v>1</v>
      </c>
      <c r="H1687" s="5" t="s">
        <v>5943</v>
      </c>
      <c r="I1687">
        <f>60/30</f>
        <v>2</v>
      </c>
      <c r="J1687">
        <f>60/30</f>
        <v>2</v>
      </c>
      <c r="L1687">
        <v>0</v>
      </c>
      <c r="M1687">
        <f t="shared" si="183"/>
        <v>1.6</v>
      </c>
      <c r="N1687" s="104" t="s">
        <v>5944</v>
      </c>
      <c r="O1687">
        <v>1</v>
      </c>
      <c r="P1687">
        <v>2.85</v>
      </c>
      <c r="Q1687">
        <v>0</v>
      </c>
      <c r="S1687">
        <v>0.85</v>
      </c>
      <c r="U1687">
        <v>1</v>
      </c>
      <c r="V1687">
        <v>1</v>
      </c>
      <c r="W1687">
        <v>0</v>
      </c>
      <c r="X1687" s="7">
        <v>2</v>
      </c>
      <c r="Y1687">
        <v>-0.1</v>
      </c>
      <c r="Z1687">
        <v>0</v>
      </c>
      <c r="AN1687" s="10"/>
      <c r="AP1687" s="267">
        <v>1386</v>
      </c>
      <c r="AQ1687" t="s">
        <v>136</v>
      </c>
    </row>
    <row r="1688" ht="16.5" spans="1:43">
      <c r="A1688">
        <v>10277</v>
      </c>
      <c r="B1688" s="334" t="s">
        <v>5941</v>
      </c>
      <c r="C1688" s="668" t="s">
        <v>5929</v>
      </c>
      <c r="D1688">
        <v>2</v>
      </c>
      <c r="E1688">
        <v>1</v>
      </c>
      <c r="G1688">
        <v>1</v>
      </c>
      <c r="H1688" s="5" t="s">
        <v>5945</v>
      </c>
      <c r="I1688">
        <f>52/30</f>
        <v>1.73333333333333</v>
      </c>
      <c r="J1688">
        <f>52/30</f>
        <v>1.73333333333333</v>
      </c>
      <c r="L1688">
        <v>0</v>
      </c>
      <c r="M1688">
        <f t="shared" si="183"/>
        <v>1.33333333333333</v>
      </c>
      <c r="N1688" s="104" t="s">
        <v>5931</v>
      </c>
      <c r="O1688">
        <v>5</v>
      </c>
      <c r="P1688">
        <v>0</v>
      </c>
      <c r="Q1688">
        <v>0</v>
      </c>
      <c r="S1688">
        <v>0.85</v>
      </c>
      <c r="U1688">
        <v>1</v>
      </c>
      <c r="V1688">
        <v>1000</v>
      </c>
      <c r="W1688">
        <v>0</v>
      </c>
      <c r="X1688" s="7">
        <v>0</v>
      </c>
      <c r="Y1688">
        <v>-0.1</v>
      </c>
      <c r="Z1688">
        <v>0</v>
      </c>
      <c r="AN1688" s="10"/>
      <c r="AP1688" s="389">
        <v>1369</v>
      </c>
      <c r="AQ1688" t="s">
        <v>136</v>
      </c>
    </row>
    <row r="1689" ht="16.5" spans="1:43">
      <c r="A1689">
        <v>10278</v>
      </c>
      <c r="B1689" s="334" t="s">
        <v>5941</v>
      </c>
      <c r="C1689" s="668" t="s">
        <v>5946</v>
      </c>
      <c r="D1689">
        <v>1</v>
      </c>
      <c r="E1689">
        <v>0</v>
      </c>
      <c r="G1689">
        <v>1</v>
      </c>
      <c r="H1689" s="5" t="s">
        <v>5947</v>
      </c>
      <c r="I1689">
        <f>63/30</f>
        <v>2.1</v>
      </c>
      <c r="J1689">
        <f>63/30</f>
        <v>2.1</v>
      </c>
      <c r="L1689">
        <v>0</v>
      </c>
      <c r="M1689">
        <f t="shared" si="183"/>
        <v>1.7</v>
      </c>
      <c r="N1689" s="104" t="s">
        <v>5948</v>
      </c>
      <c r="O1689">
        <v>1</v>
      </c>
      <c r="P1689">
        <v>2.85</v>
      </c>
      <c r="Q1689">
        <v>0</v>
      </c>
      <c r="S1689">
        <v>0.85</v>
      </c>
      <c r="U1689">
        <v>1</v>
      </c>
      <c r="V1689">
        <v>1</v>
      </c>
      <c r="W1689">
        <v>0</v>
      </c>
      <c r="X1689" s="7">
        <v>1</v>
      </c>
      <c r="Y1689">
        <v>-0.1</v>
      </c>
      <c r="Z1689">
        <v>0</v>
      </c>
      <c r="AN1689" s="10"/>
      <c r="AP1689" s="267">
        <v>1387</v>
      </c>
      <c r="AQ1689" t="s">
        <v>136</v>
      </c>
    </row>
    <row r="1690" ht="16.5" spans="1:43">
      <c r="A1690">
        <v>10279</v>
      </c>
      <c r="B1690" s="334" t="s">
        <v>5941</v>
      </c>
      <c r="C1690" s="668" t="s">
        <v>5949</v>
      </c>
      <c r="D1690">
        <v>1</v>
      </c>
      <c r="E1690">
        <v>0</v>
      </c>
      <c r="G1690">
        <v>1</v>
      </c>
      <c r="H1690" s="5" t="s">
        <v>5950</v>
      </c>
      <c r="I1690">
        <f>100/30</f>
        <v>3.33333333333333</v>
      </c>
      <c r="J1690">
        <f>100/30</f>
        <v>3.33333333333333</v>
      </c>
      <c r="L1690">
        <v>0</v>
      </c>
      <c r="M1690">
        <f t="shared" si="183"/>
        <v>2.93333333333333</v>
      </c>
      <c r="N1690" s="104" t="s">
        <v>5951</v>
      </c>
      <c r="O1690">
        <v>1</v>
      </c>
      <c r="P1690">
        <v>2.85</v>
      </c>
      <c r="Q1690">
        <v>0</v>
      </c>
      <c r="S1690">
        <v>0.85</v>
      </c>
      <c r="U1690">
        <v>1</v>
      </c>
      <c r="V1690">
        <v>1</v>
      </c>
      <c r="W1690">
        <v>0</v>
      </c>
      <c r="X1690" s="7">
        <v>5</v>
      </c>
      <c r="Y1690">
        <v>-0.1</v>
      </c>
      <c r="Z1690">
        <v>0</v>
      </c>
      <c r="AN1690" s="10"/>
      <c r="AP1690" s="267">
        <v>1388</v>
      </c>
      <c r="AQ1690" t="s">
        <v>136</v>
      </c>
    </row>
    <row r="1691" ht="16.5" spans="1:43">
      <c r="A1691">
        <v>10280</v>
      </c>
      <c r="B1691" s="334" t="s">
        <v>5952</v>
      </c>
      <c r="C1691" s="668" t="s">
        <v>526</v>
      </c>
      <c r="D1691">
        <v>1</v>
      </c>
      <c r="E1691">
        <v>0</v>
      </c>
      <c r="G1691">
        <v>1</v>
      </c>
      <c r="H1691" s="5" t="s">
        <v>5953</v>
      </c>
      <c r="I1691">
        <f>64/30</f>
        <v>2.13333333333333</v>
      </c>
      <c r="J1691">
        <f>64/30</f>
        <v>2.13333333333333</v>
      </c>
      <c r="L1691">
        <v>0</v>
      </c>
      <c r="M1691">
        <f t="shared" si="183"/>
        <v>1.73333333333333</v>
      </c>
      <c r="N1691" s="104" t="s">
        <v>5954</v>
      </c>
      <c r="O1691">
        <v>1</v>
      </c>
      <c r="P1691">
        <v>2.9</v>
      </c>
      <c r="Q1691">
        <v>0</v>
      </c>
      <c r="S1691">
        <v>0.5</v>
      </c>
      <c r="V1691">
        <v>1</v>
      </c>
      <c r="W1691">
        <v>0</v>
      </c>
      <c r="X1691" s="7">
        <v>1</v>
      </c>
      <c r="Y1691">
        <v>-0.1</v>
      </c>
      <c r="Z1691">
        <v>0</v>
      </c>
      <c r="AN1691" s="10"/>
      <c r="AP1691" s="267">
        <v>1389</v>
      </c>
      <c r="AQ1691" t="s">
        <v>136</v>
      </c>
    </row>
    <row r="1692" ht="16.5" spans="1:43">
      <c r="A1692">
        <v>10281</v>
      </c>
      <c r="B1692" s="334" t="s">
        <v>5955</v>
      </c>
      <c r="C1692" s="668" t="s">
        <v>5942</v>
      </c>
      <c r="D1692">
        <v>1</v>
      </c>
      <c r="E1692">
        <v>0</v>
      </c>
      <c r="G1692">
        <v>1</v>
      </c>
      <c r="H1692" s="5" t="s">
        <v>5956</v>
      </c>
      <c r="I1692">
        <f>56/30</f>
        <v>1.86666666666667</v>
      </c>
      <c r="J1692">
        <f>56/30</f>
        <v>1.86666666666667</v>
      </c>
      <c r="L1692">
        <v>0</v>
      </c>
      <c r="M1692">
        <f t="shared" si="183"/>
        <v>1.46666666666667</v>
      </c>
      <c r="N1692" s="104" t="s">
        <v>5957</v>
      </c>
      <c r="O1692">
        <v>1</v>
      </c>
      <c r="P1692">
        <v>2.4</v>
      </c>
      <c r="Q1692">
        <v>0</v>
      </c>
      <c r="S1692">
        <v>0.85</v>
      </c>
      <c r="U1692">
        <v>1.1</v>
      </c>
      <c r="V1692">
        <v>1</v>
      </c>
      <c r="W1692">
        <v>0</v>
      </c>
      <c r="X1692" s="7">
        <v>2</v>
      </c>
      <c r="Y1692">
        <v>-0.1</v>
      </c>
      <c r="Z1692">
        <v>0</v>
      </c>
      <c r="AN1692" s="10"/>
      <c r="AP1692" s="267">
        <v>1391</v>
      </c>
      <c r="AQ1692" t="s">
        <v>136</v>
      </c>
    </row>
    <row r="1693" ht="16.5" spans="1:43">
      <c r="A1693">
        <v>10282</v>
      </c>
      <c r="B1693" s="334" t="s">
        <v>5955</v>
      </c>
      <c r="C1693" s="668" t="s">
        <v>5929</v>
      </c>
      <c r="D1693">
        <v>2</v>
      </c>
      <c r="E1693">
        <v>1</v>
      </c>
      <c r="G1693">
        <v>1</v>
      </c>
      <c r="H1693" s="5" t="s">
        <v>5958</v>
      </c>
      <c r="I1693">
        <f>55/30</f>
        <v>1.83333333333333</v>
      </c>
      <c r="J1693">
        <f>55/30</f>
        <v>1.83333333333333</v>
      </c>
      <c r="L1693">
        <v>0</v>
      </c>
      <c r="M1693">
        <f t="shared" si="183"/>
        <v>1.43333333333333</v>
      </c>
      <c r="N1693" s="104" t="s">
        <v>5959</v>
      </c>
      <c r="O1693">
        <v>5</v>
      </c>
      <c r="P1693">
        <v>0</v>
      </c>
      <c r="Q1693">
        <v>0</v>
      </c>
      <c r="S1693">
        <v>0.85</v>
      </c>
      <c r="U1693">
        <v>1.1</v>
      </c>
      <c r="V1693">
        <v>1000</v>
      </c>
      <c r="W1693">
        <v>0</v>
      </c>
      <c r="X1693" s="7">
        <v>0</v>
      </c>
      <c r="Y1693">
        <v>-0.1</v>
      </c>
      <c r="Z1693">
        <v>0</v>
      </c>
      <c r="AN1693" s="10"/>
      <c r="AP1693" s="389">
        <v>1369</v>
      </c>
      <c r="AQ1693" t="s">
        <v>136</v>
      </c>
    </row>
    <row r="1694" ht="16.5" spans="1:43">
      <c r="A1694">
        <v>10283</v>
      </c>
      <c r="B1694" s="334" t="s">
        <v>5955</v>
      </c>
      <c r="C1694" s="668" t="s">
        <v>5960</v>
      </c>
      <c r="D1694">
        <v>1</v>
      </c>
      <c r="E1694">
        <v>0</v>
      </c>
      <c r="G1694">
        <v>1</v>
      </c>
      <c r="H1694" s="5" t="s">
        <v>5961</v>
      </c>
      <c r="I1694">
        <f>75/30</f>
        <v>2.5</v>
      </c>
      <c r="J1694">
        <f>75/30</f>
        <v>2.5</v>
      </c>
      <c r="L1694">
        <v>0</v>
      </c>
      <c r="M1694">
        <f t="shared" si="183"/>
        <v>2.1</v>
      </c>
      <c r="N1694" s="104" t="s">
        <v>5962</v>
      </c>
      <c r="O1694">
        <v>1</v>
      </c>
      <c r="P1694">
        <v>2.4</v>
      </c>
      <c r="Q1694">
        <v>0</v>
      </c>
      <c r="S1694">
        <v>0.85</v>
      </c>
      <c r="U1694">
        <v>1.1</v>
      </c>
      <c r="V1694">
        <v>1</v>
      </c>
      <c r="W1694">
        <v>0</v>
      </c>
      <c r="X1694" s="7">
        <v>10</v>
      </c>
      <c r="Y1694">
        <v>-0.1</v>
      </c>
      <c r="Z1694">
        <v>0</v>
      </c>
      <c r="AN1694" s="10"/>
      <c r="AP1694" s="267">
        <v>1392</v>
      </c>
      <c r="AQ1694" t="s">
        <v>136</v>
      </c>
    </row>
    <row r="1695" ht="16.5" spans="1:43">
      <c r="A1695">
        <v>10284</v>
      </c>
      <c r="B1695" t="s">
        <v>5963</v>
      </c>
      <c r="C1695" s="668" t="s">
        <v>5964</v>
      </c>
      <c r="D1695">
        <v>1</v>
      </c>
      <c r="E1695">
        <v>0</v>
      </c>
      <c r="G1695">
        <v>1</v>
      </c>
      <c r="H1695" s="5" t="s">
        <v>5965</v>
      </c>
      <c r="I1695">
        <f>60/30</f>
        <v>2</v>
      </c>
      <c r="J1695">
        <f>60/30</f>
        <v>2</v>
      </c>
      <c r="L1695">
        <v>0</v>
      </c>
      <c r="M1695">
        <f t="shared" si="183"/>
        <v>1.6</v>
      </c>
      <c r="N1695" s="104" t="s">
        <v>5966</v>
      </c>
      <c r="O1695">
        <v>1</v>
      </c>
      <c r="P1695">
        <v>2.8</v>
      </c>
      <c r="Q1695">
        <v>0</v>
      </c>
      <c r="S1695">
        <v>0.85</v>
      </c>
      <c r="U1695">
        <v>1</v>
      </c>
      <c r="V1695">
        <v>1</v>
      </c>
      <c r="W1695">
        <v>0</v>
      </c>
      <c r="X1695" s="7">
        <v>2</v>
      </c>
      <c r="Y1695">
        <v>-0.1</v>
      </c>
      <c r="Z1695">
        <v>0</v>
      </c>
      <c r="AN1695" s="10"/>
      <c r="AP1695" s="267">
        <v>1396</v>
      </c>
      <c r="AQ1695" t="s">
        <v>136</v>
      </c>
    </row>
    <row r="1696" ht="16.5" spans="1:43">
      <c r="A1696">
        <v>10285</v>
      </c>
      <c r="B1696" s="334" t="s">
        <v>5963</v>
      </c>
      <c r="C1696" s="668" t="s">
        <v>5929</v>
      </c>
      <c r="D1696">
        <v>2</v>
      </c>
      <c r="E1696">
        <v>1</v>
      </c>
      <c r="G1696">
        <v>1</v>
      </c>
      <c r="H1696" s="5" t="s">
        <v>5967</v>
      </c>
      <c r="I1696">
        <f>40/30</f>
        <v>1.33333333333333</v>
      </c>
      <c r="J1696">
        <f>40/30</f>
        <v>1.33333333333333</v>
      </c>
      <c r="L1696">
        <v>0</v>
      </c>
      <c r="M1696">
        <v>0.93333333333333</v>
      </c>
      <c r="N1696" s="104" t="s">
        <v>5931</v>
      </c>
      <c r="O1696">
        <v>5</v>
      </c>
      <c r="P1696">
        <v>0</v>
      </c>
      <c r="Q1696">
        <v>0</v>
      </c>
      <c r="S1696">
        <v>0.85</v>
      </c>
      <c r="U1696">
        <v>1</v>
      </c>
      <c r="V1696">
        <v>1000</v>
      </c>
      <c r="W1696">
        <v>0</v>
      </c>
      <c r="X1696" s="7">
        <v>0</v>
      </c>
      <c r="Y1696">
        <v>-0.1</v>
      </c>
      <c r="Z1696">
        <v>0</v>
      </c>
      <c r="AN1696" s="10"/>
      <c r="AP1696" s="389">
        <v>1369</v>
      </c>
      <c r="AQ1696" t="s">
        <v>136</v>
      </c>
    </row>
    <row r="1697" ht="16.5" spans="1:43">
      <c r="A1697">
        <v>10286</v>
      </c>
      <c r="B1697" s="334" t="s">
        <v>5963</v>
      </c>
      <c r="C1697" s="668" t="s">
        <v>686</v>
      </c>
      <c r="D1697">
        <v>1</v>
      </c>
      <c r="E1697">
        <v>0</v>
      </c>
      <c r="G1697">
        <v>1</v>
      </c>
      <c r="H1697" s="5" t="s">
        <v>5968</v>
      </c>
      <c r="I1697">
        <f>80/30</f>
        <v>2.66666666666667</v>
      </c>
      <c r="J1697">
        <f>80/30</f>
        <v>2.66666666666667</v>
      </c>
      <c r="L1697">
        <v>0</v>
      </c>
      <c r="M1697">
        <f t="shared" si="183"/>
        <v>2.26666666666667</v>
      </c>
      <c r="N1697" s="104" t="s">
        <v>5969</v>
      </c>
      <c r="O1697">
        <v>1</v>
      </c>
      <c r="P1697">
        <v>2.8</v>
      </c>
      <c r="Q1697">
        <v>0</v>
      </c>
      <c r="R1697">
        <v>1</v>
      </c>
      <c r="S1697">
        <v>0.85</v>
      </c>
      <c r="U1697">
        <v>1</v>
      </c>
      <c r="V1697">
        <v>1</v>
      </c>
      <c r="W1697">
        <v>0</v>
      </c>
      <c r="X1697" s="7">
        <v>2</v>
      </c>
      <c r="Y1697">
        <v>-0.1</v>
      </c>
      <c r="Z1697">
        <v>0</v>
      </c>
      <c r="AN1697" s="10"/>
      <c r="AP1697" s="267">
        <v>1397</v>
      </c>
      <c r="AQ1697" t="s">
        <v>136</v>
      </c>
    </row>
    <row r="1698" ht="16.5" spans="1:43">
      <c r="A1698" s="682">
        <v>10287</v>
      </c>
      <c r="B1698" s="683" t="s">
        <v>5970</v>
      </c>
      <c r="C1698" s="684" t="s">
        <v>526</v>
      </c>
      <c r="D1698">
        <v>1</v>
      </c>
      <c r="E1698">
        <v>0</v>
      </c>
      <c r="G1698">
        <v>1</v>
      </c>
      <c r="H1698" s="5" t="s">
        <v>5971</v>
      </c>
      <c r="I1698">
        <f>63/30</f>
        <v>2.1</v>
      </c>
      <c r="J1698">
        <f>63/30</f>
        <v>2.1</v>
      </c>
      <c r="L1698">
        <v>0</v>
      </c>
      <c r="M1698">
        <f t="shared" si="183"/>
        <v>1.7</v>
      </c>
      <c r="N1698" s="104" t="s">
        <v>5972</v>
      </c>
      <c r="O1698">
        <v>1</v>
      </c>
      <c r="P1698">
        <v>2.2</v>
      </c>
      <c r="Q1698">
        <v>0</v>
      </c>
      <c r="S1698">
        <v>0.3</v>
      </c>
      <c r="T1698">
        <v>0</v>
      </c>
      <c r="U1698">
        <v>0.4</v>
      </c>
      <c r="V1698">
        <v>1</v>
      </c>
      <c r="W1698">
        <v>0</v>
      </c>
      <c r="X1698" s="7">
        <v>2</v>
      </c>
      <c r="Y1698">
        <v>-0.1</v>
      </c>
      <c r="Z1698">
        <v>0</v>
      </c>
      <c r="AN1698" s="10"/>
      <c r="AP1698" s="267">
        <v>1453</v>
      </c>
      <c r="AQ1698" t="s">
        <v>136</v>
      </c>
    </row>
    <row r="1699" ht="16.5" spans="1:43">
      <c r="A1699" s="682">
        <v>10288</v>
      </c>
      <c r="B1699" s="683" t="s">
        <v>5970</v>
      </c>
      <c r="C1699" s="684" t="s">
        <v>5973</v>
      </c>
      <c r="D1699">
        <v>1</v>
      </c>
      <c r="E1699">
        <v>0</v>
      </c>
      <c r="G1699">
        <v>1</v>
      </c>
      <c r="H1699" s="5" t="s">
        <v>5974</v>
      </c>
      <c r="I1699">
        <f>85/30</f>
        <v>2.83333333333333</v>
      </c>
      <c r="J1699">
        <f>85/30</f>
        <v>2.83333333333333</v>
      </c>
      <c r="L1699">
        <v>0</v>
      </c>
      <c r="M1699">
        <f t="shared" si="183"/>
        <v>2.43333333333333</v>
      </c>
      <c r="N1699" s="104" t="s">
        <v>5975</v>
      </c>
      <c r="O1699">
        <v>1</v>
      </c>
      <c r="P1699">
        <v>2.2</v>
      </c>
      <c r="Q1699">
        <v>0</v>
      </c>
      <c r="S1699">
        <v>0</v>
      </c>
      <c r="T1699">
        <v>0</v>
      </c>
      <c r="U1699">
        <v>0.8</v>
      </c>
      <c r="V1699">
        <v>1</v>
      </c>
      <c r="W1699">
        <v>4</v>
      </c>
      <c r="X1699" s="7">
        <v>2</v>
      </c>
      <c r="Y1699">
        <v>-0.1</v>
      </c>
      <c r="Z1699">
        <v>0</v>
      </c>
      <c r="AN1699" s="8">
        <v>1456</v>
      </c>
      <c r="AO1699" t="s">
        <v>5976</v>
      </c>
      <c r="AP1699" s="267">
        <v>1455</v>
      </c>
      <c r="AQ1699" t="s">
        <v>136</v>
      </c>
    </row>
    <row r="1700" ht="16.5" spans="1:41">
      <c r="A1700" s="682">
        <v>10289</v>
      </c>
      <c r="B1700" s="683" t="s">
        <v>5970</v>
      </c>
      <c r="C1700" s="684" t="s">
        <v>5977</v>
      </c>
      <c r="D1700">
        <v>1</v>
      </c>
      <c r="E1700">
        <v>0</v>
      </c>
      <c r="G1700">
        <v>1</v>
      </c>
      <c r="H1700" s="5" t="s">
        <v>5978</v>
      </c>
      <c r="I1700">
        <f>81/30</f>
        <v>2.7</v>
      </c>
      <c r="J1700">
        <f>81/30</f>
        <v>2.7</v>
      </c>
      <c r="L1700">
        <v>0</v>
      </c>
      <c r="M1700">
        <f t="shared" si="183"/>
        <v>2.3</v>
      </c>
      <c r="N1700" s="104" t="s">
        <v>5979</v>
      </c>
      <c r="O1700">
        <v>1</v>
      </c>
      <c r="P1700">
        <v>2.2</v>
      </c>
      <c r="Q1700">
        <v>0</v>
      </c>
      <c r="S1700">
        <v>0</v>
      </c>
      <c r="T1700">
        <v>0</v>
      </c>
      <c r="U1700">
        <v>0.8</v>
      </c>
      <c r="V1700">
        <v>1</v>
      </c>
      <c r="W1700">
        <v>4</v>
      </c>
      <c r="X1700" s="7">
        <v>2</v>
      </c>
      <c r="Y1700">
        <v>-0.1</v>
      </c>
      <c r="Z1700">
        <v>0</v>
      </c>
      <c r="AN1700" s="267">
        <v>1457</v>
      </c>
      <c r="AO1700" t="s">
        <v>1726</v>
      </c>
    </row>
    <row r="1701" ht="16.5" spans="1:43">
      <c r="A1701" s="682">
        <v>10290</v>
      </c>
      <c r="B1701" s="683" t="s">
        <v>5980</v>
      </c>
      <c r="C1701" s="684" t="s">
        <v>5981</v>
      </c>
      <c r="D1701">
        <v>1</v>
      </c>
      <c r="E1701">
        <v>0</v>
      </c>
      <c r="G1701">
        <v>2</v>
      </c>
      <c r="H1701" s="5" t="s">
        <v>5982</v>
      </c>
      <c r="I1701">
        <f>54/30</f>
        <v>1.8</v>
      </c>
      <c r="J1701">
        <f>54/30</f>
        <v>1.8</v>
      </c>
      <c r="L1701">
        <v>0</v>
      </c>
      <c r="M1701">
        <f t="shared" si="183"/>
        <v>1.4</v>
      </c>
      <c r="N1701" s="104" t="s">
        <v>5983</v>
      </c>
      <c r="O1701">
        <v>3</v>
      </c>
      <c r="P1701">
        <v>0</v>
      </c>
      <c r="Q1701">
        <v>0</v>
      </c>
      <c r="S1701">
        <v>0.5</v>
      </c>
      <c r="T1701">
        <v>0</v>
      </c>
      <c r="U1701">
        <v>0.3</v>
      </c>
      <c r="V1701">
        <v>5</v>
      </c>
      <c r="W1701">
        <v>0</v>
      </c>
      <c r="X1701" s="7">
        <v>1</v>
      </c>
      <c r="Y1701">
        <v>-0.1</v>
      </c>
      <c r="Z1701">
        <v>0</v>
      </c>
      <c r="AN1701" s="10"/>
      <c r="AP1701" s="267">
        <v>1487</v>
      </c>
      <c r="AQ1701" t="s">
        <v>136</v>
      </c>
    </row>
    <row r="1702" ht="16.5" spans="1:43">
      <c r="A1702" s="682">
        <v>10291</v>
      </c>
      <c r="B1702" s="683" t="s">
        <v>5980</v>
      </c>
      <c r="C1702" s="684" t="s">
        <v>5984</v>
      </c>
      <c r="D1702">
        <v>1</v>
      </c>
      <c r="E1702">
        <v>0</v>
      </c>
      <c r="G1702">
        <v>2</v>
      </c>
      <c r="H1702" s="5" t="s">
        <v>5985</v>
      </c>
      <c r="I1702">
        <f>50/30</f>
        <v>1.66666666666667</v>
      </c>
      <c r="J1702">
        <f>50/30</f>
        <v>1.66666666666667</v>
      </c>
      <c r="L1702">
        <v>0</v>
      </c>
      <c r="M1702">
        <f t="shared" si="183"/>
        <v>1.26666666666667</v>
      </c>
      <c r="N1702" s="104" t="s">
        <v>5986</v>
      </c>
      <c r="O1702">
        <v>3</v>
      </c>
      <c r="P1702">
        <v>0</v>
      </c>
      <c r="Q1702">
        <v>0</v>
      </c>
      <c r="S1702">
        <v>0.5</v>
      </c>
      <c r="T1702">
        <v>0</v>
      </c>
      <c r="U1702">
        <v>0.3</v>
      </c>
      <c r="V1702">
        <v>5</v>
      </c>
      <c r="W1702">
        <v>0</v>
      </c>
      <c r="X1702" s="7">
        <v>3</v>
      </c>
      <c r="Y1702">
        <v>-0.1</v>
      </c>
      <c r="Z1702">
        <v>0</v>
      </c>
      <c r="AN1702" s="10"/>
      <c r="AP1702" s="267">
        <v>1489</v>
      </c>
      <c r="AQ1702" t="s">
        <v>136</v>
      </c>
    </row>
    <row r="1703" ht="16.5" spans="1:43">
      <c r="A1703" s="682">
        <v>10292</v>
      </c>
      <c r="B1703" s="683" t="s">
        <v>5980</v>
      </c>
      <c r="C1703" s="684" t="s">
        <v>5987</v>
      </c>
      <c r="D1703">
        <v>1</v>
      </c>
      <c r="E1703">
        <v>0</v>
      </c>
      <c r="G1703">
        <v>2</v>
      </c>
      <c r="H1703" s="5" t="s">
        <v>5988</v>
      </c>
      <c r="I1703">
        <f>55/30</f>
        <v>1.83333333333333</v>
      </c>
      <c r="J1703">
        <f>55/30</f>
        <v>1.83333333333333</v>
      </c>
      <c r="L1703">
        <v>0</v>
      </c>
      <c r="M1703">
        <f t="shared" si="183"/>
        <v>1.43333333333333</v>
      </c>
      <c r="N1703" s="104" t="s">
        <v>5989</v>
      </c>
      <c r="O1703">
        <v>3</v>
      </c>
      <c r="P1703">
        <v>0</v>
      </c>
      <c r="Q1703">
        <v>0</v>
      </c>
      <c r="S1703">
        <v>0.5</v>
      </c>
      <c r="T1703">
        <v>0</v>
      </c>
      <c r="U1703">
        <v>0.3</v>
      </c>
      <c r="V1703">
        <v>5</v>
      </c>
      <c r="W1703">
        <v>4</v>
      </c>
      <c r="X1703" s="7">
        <v>2</v>
      </c>
      <c r="Y1703">
        <v>-0.1</v>
      </c>
      <c r="Z1703">
        <v>0</v>
      </c>
      <c r="AN1703" s="10"/>
      <c r="AP1703" s="267">
        <v>1490</v>
      </c>
      <c r="AQ1703" t="s">
        <v>136</v>
      </c>
    </row>
    <row r="1704" ht="16.5" spans="1:43">
      <c r="A1704" s="682">
        <v>10293</v>
      </c>
      <c r="B1704" s="683" t="s">
        <v>5980</v>
      </c>
      <c r="C1704" s="684" t="s">
        <v>5990</v>
      </c>
      <c r="D1704">
        <v>1</v>
      </c>
      <c r="E1704">
        <v>0</v>
      </c>
      <c r="G1704">
        <v>2</v>
      </c>
      <c r="H1704" s="5" t="s">
        <v>5991</v>
      </c>
      <c r="I1704">
        <f>53/30</f>
        <v>1.76666666666667</v>
      </c>
      <c r="J1704">
        <f>53/30</f>
        <v>1.76666666666667</v>
      </c>
      <c r="L1704">
        <v>0</v>
      </c>
      <c r="M1704">
        <f t="shared" si="183"/>
        <v>1.36666666666667</v>
      </c>
      <c r="N1704" s="104" t="s">
        <v>5992</v>
      </c>
      <c r="O1704">
        <v>3</v>
      </c>
      <c r="P1704">
        <v>0</v>
      </c>
      <c r="Q1704">
        <v>0</v>
      </c>
      <c r="S1704">
        <v>0.5</v>
      </c>
      <c r="T1704">
        <v>0</v>
      </c>
      <c r="U1704">
        <v>0.3</v>
      </c>
      <c r="V1704">
        <v>5</v>
      </c>
      <c r="W1704">
        <v>7</v>
      </c>
      <c r="X1704" s="7">
        <v>2</v>
      </c>
      <c r="Y1704">
        <v>-0.1</v>
      </c>
      <c r="Z1704">
        <v>0</v>
      </c>
      <c r="AN1704" s="10"/>
      <c r="AP1704" s="267">
        <v>1491</v>
      </c>
      <c r="AQ1704" t="s">
        <v>136</v>
      </c>
    </row>
    <row r="1705" ht="16.5" spans="1:43">
      <c r="A1705" s="682">
        <v>10294</v>
      </c>
      <c r="B1705" s="683" t="s">
        <v>5980</v>
      </c>
      <c r="C1705" s="684" t="s">
        <v>5993</v>
      </c>
      <c r="D1705">
        <v>2</v>
      </c>
      <c r="E1705">
        <v>1</v>
      </c>
      <c r="G1705">
        <v>2</v>
      </c>
      <c r="H1705" s="5" t="s">
        <v>5994</v>
      </c>
      <c r="I1705">
        <f>75/30</f>
        <v>2.5</v>
      </c>
      <c r="J1705">
        <f>75/30</f>
        <v>2.5</v>
      </c>
      <c r="L1705">
        <v>0</v>
      </c>
      <c r="M1705">
        <f t="shared" si="183"/>
        <v>2.1</v>
      </c>
      <c r="N1705" s="104" t="s">
        <v>5995</v>
      </c>
      <c r="O1705">
        <v>5</v>
      </c>
      <c r="P1705">
        <v>0</v>
      </c>
      <c r="Q1705">
        <v>0</v>
      </c>
      <c r="S1705">
        <v>0.5</v>
      </c>
      <c r="T1705">
        <v>0</v>
      </c>
      <c r="U1705">
        <v>0.3</v>
      </c>
      <c r="V1705">
        <v>1000</v>
      </c>
      <c r="W1705">
        <v>0</v>
      </c>
      <c r="X1705" s="7">
        <v>0</v>
      </c>
      <c r="Y1705">
        <v>-0.1</v>
      </c>
      <c r="Z1705">
        <v>0</v>
      </c>
      <c r="AN1705" s="10"/>
      <c r="AP1705" s="267">
        <v>1492</v>
      </c>
      <c r="AQ1705" t="s">
        <v>136</v>
      </c>
    </row>
    <row r="1706" ht="16.5" spans="1:43">
      <c r="A1706" s="682">
        <v>10295</v>
      </c>
      <c r="B1706" s="683" t="s">
        <v>5996</v>
      </c>
      <c r="C1706" s="684" t="s">
        <v>5997</v>
      </c>
      <c r="D1706">
        <v>1</v>
      </c>
      <c r="E1706">
        <v>0</v>
      </c>
      <c r="G1706">
        <v>1</v>
      </c>
      <c r="H1706" s="5" t="s">
        <v>5998</v>
      </c>
      <c r="I1706">
        <f>75/30</f>
        <v>2.5</v>
      </c>
      <c r="J1706">
        <f>75/30</f>
        <v>2.5</v>
      </c>
      <c r="L1706">
        <v>0</v>
      </c>
      <c r="M1706">
        <f t="shared" si="183"/>
        <v>2.1</v>
      </c>
      <c r="N1706" s="104" t="s">
        <v>5999</v>
      </c>
      <c r="O1706">
        <v>1</v>
      </c>
      <c r="P1706">
        <v>2.3</v>
      </c>
      <c r="Q1706">
        <v>0</v>
      </c>
      <c r="S1706">
        <v>0.35</v>
      </c>
      <c r="T1706">
        <v>0</v>
      </c>
      <c r="U1706">
        <v>0.4</v>
      </c>
      <c r="V1706">
        <v>1</v>
      </c>
      <c r="W1706">
        <v>0</v>
      </c>
      <c r="X1706" s="7">
        <v>3</v>
      </c>
      <c r="Y1706">
        <v>-0.1</v>
      </c>
      <c r="Z1706">
        <v>0</v>
      </c>
      <c r="AN1706" s="10"/>
      <c r="AP1706" s="267">
        <v>1472</v>
      </c>
      <c r="AQ1706" t="s">
        <v>136</v>
      </c>
    </row>
    <row r="1707" ht="16.5" spans="1:43">
      <c r="A1707" s="682">
        <v>10296</v>
      </c>
      <c r="B1707" s="683" t="s">
        <v>5996</v>
      </c>
      <c r="C1707" s="684" t="s">
        <v>6000</v>
      </c>
      <c r="D1707">
        <v>1</v>
      </c>
      <c r="E1707">
        <v>0</v>
      </c>
      <c r="G1707">
        <v>1</v>
      </c>
      <c r="H1707" s="5" t="s">
        <v>6001</v>
      </c>
      <c r="I1707">
        <f>60/30</f>
        <v>2</v>
      </c>
      <c r="J1707">
        <f>60/30</f>
        <v>2</v>
      </c>
      <c r="L1707">
        <v>0</v>
      </c>
      <c r="M1707">
        <f t="shared" si="183"/>
        <v>1.6</v>
      </c>
      <c r="N1707" s="104" t="s">
        <v>6002</v>
      </c>
      <c r="O1707">
        <v>1</v>
      </c>
      <c r="P1707">
        <v>2.3</v>
      </c>
      <c r="Q1707">
        <v>0</v>
      </c>
      <c r="S1707">
        <v>0.35</v>
      </c>
      <c r="T1707">
        <v>0</v>
      </c>
      <c r="U1707">
        <v>0.8</v>
      </c>
      <c r="V1707">
        <v>1</v>
      </c>
      <c r="W1707">
        <v>8</v>
      </c>
      <c r="X1707" s="7">
        <v>1</v>
      </c>
      <c r="Y1707">
        <v>-0.1</v>
      </c>
      <c r="Z1707">
        <v>0</v>
      </c>
      <c r="AN1707" s="10"/>
      <c r="AP1707" s="267">
        <v>1473</v>
      </c>
      <c r="AQ1707" t="s">
        <v>136</v>
      </c>
    </row>
    <row r="1708" ht="16.5" spans="1:43">
      <c r="A1708" s="682">
        <v>10297</v>
      </c>
      <c r="B1708" s="683" t="s">
        <v>5996</v>
      </c>
      <c r="C1708" s="684" t="s">
        <v>6003</v>
      </c>
      <c r="D1708">
        <v>1</v>
      </c>
      <c r="E1708">
        <v>0</v>
      </c>
      <c r="G1708">
        <v>1</v>
      </c>
      <c r="H1708" s="5" t="s">
        <v>6004</v>
      </c>
      <c r="I1708">
        <f>89/30</f>
        <v>2.96666666666667</v>
      </c>
      <c r="J1708">
        <f>89/30</f>
        <v>2.96666666666667</v>
      </c>
      <c r="L1708">
        <v>0</v>
      </c>
      <c r="M1708">
        <f t="shared" si="183"/>
        <v>2.56666666666667</v>
      </c>
      <c r="N1708" s="104" t="s">
        <v>6005</v>
      </c>
      <c r="O1708">
        <v>1</v>
      </c>
      <c r="P1708">
        <v>2.3</v>
      </c>
      <c r="Q1708">
        <v>0</v>
      </c>
      <c r="S1708">
        <v>0.35</v>
      </c>
      <c r="T1708">
        <v>0</v>
      </c>
      <c r="U1708">
        <v>0.65</v>
      </c>
      <c r="V1708">
        <v>1</v>
      </c>
      <c r="W1708">
        <v>6</v>
      </c>
      <c r="X1708" s="7">
        <v>6</v>
      </c>
      <c r="Y1708">
        <v>-0.1</v>
      </c>
      <c r="Z1708">
        <v>0</v>
      </c>
      <c r="AN1708" s="10"/>
      <c r="AP1708" s="267">
        <v>1474</v>
      </c>
      <c r="AQ1708" t="s">
        <v>136</v>
      </c>
    </row>
    <row r="1709" ht="16.5" spans="1:43">
      <c r="A1709" s="682">
        <v>10298</v>
      </c>
      <c r="B1709" s="683" t="s">
        <v>5996</v>
      </c>
      <c r="C1709" s="684" t="s">
        <v>5993</v>
      </c>
      <c r="D1709">
        <v>2</v>
      </c>
      <c r="E1709">
        <v>1</v>
      </c>
      <c r="G1709">
        <v>1</v>
      </c>
      <c r="H1709" s="5" t="s">
        <v>6006</v>
      </c>
      <c r="I1709">
        <f>63/30</f>
        <v>2.1</v>
      </c>
      <c r="J1709">
        <f>63/30</f>
        <v>2.1</v>
      </c>
      <c r="L1709">
        <v>0</v>
      </c>
      <c r="M1709">
        <f t="shared" si="183"/>
        <v>1.7</v>
      </c>
      <c r="N1709" s="104" t="s">
        <v>6007</v>
      </c>
      <c r="O1709">
        <v>5</v>
      </c>
      <c r="P1709">
        <v>0</v>
      </c>
      <c r="Q1709">
        <v>0</v>
      </c>
      <c r="S1709">
        <v>0.35</v>
      </c>
      <c r="T1709">
        <v>0</v>
      </c>
      <c r="U1709">
        <v>0.5</v>
      </c>
      <c r="V1709">
        <v>1000</v>
      </c>
      <c r="W1709">
        <v>0</v>
      </c>
      <c r="X1709" s="7">
        <v>0</v>
      </c>
      <c r="Y1709">
        <v>-0.1</v>
      </c>
      <c r="Z1709">
        <v>0</v>
      </c>
      <c r="AN1709" s="10"/>
      <c r="AP1709" s="267">
        <v>1475</v>
      </c>
      <c r="AQ1709" t="s">
        <v>136</v>
      </c>
    </row>
    <row r="1710" ht="16.5" spans="1:43">
      <c r="A1710" s="682">
        <v>10299</v>
      </c>
      <c r="B1710" s="683" t="s">
        <v>6008</v>
      </c>
      <c r="C1710" s="684" t="s">
        <v>526</v>
      </c>
      <c r="D1710">
        <v>1</v>
      </c>
      <c r="E1710">
        <v>0</v>
      </c>
      <c r="G1710">
        <v>1</v>
      </c>
      <c r="H1710" s="5" t="s">
        <v>6009</v>
      </c>
      <c r="I1710">
        <f t="shared" ref="I1710:I1713" si="184">85/30</f>
        <v>2.83333333333333</v>
      </c>
      <c r="J1710">
        <f t="shared" ref="J1710:J1713" si="185">85/30</f>
        <v>2.83333333333333</v>
      </c>
      <c r="L1710">
        <v>0</v>
      </c>
      <c r="M1710">
        <f t="shared" si="183"/>
        <v>2.43333333333333</v>
      </c>
      <c r="N1710" s="104" t="s">
        <v>6010</v>
      </c>
      <c r="O1710">
        <v>1</v>
      </c>
      <c r="P1710">
        <v>1.7</v>
      </c>
      <c r="Q1710">
        <v>0</v>
      </c>
      <c r="S1710">
        <v>0.2</v>
      </c>
      <c r="T1710">
        <v>0</v>
      </c>
      <c r="U1710">
        <v>0.2</v>
      </c>
      <c r="V1710">
        <v>1</v>
      </c>
      <c r="W1710">
        <v>0</v>
      </c>
      <c r="X1710" s="7">
        <v>3</v>
      </c>
      <c r="Y1710">
        <v>-0.1</v>
      </c>
      <c r="Z1710">
        <v>0</v>
      </c>
      <c r="AN1710" s="10"/>
      <c r="AP1710" s="267">
        <v>1497</v>
      </c>
      <c r="AQ1710" t="s">
        <v>136</v>
      </c>
    </row>
    <row r="1711" ht="16.5" spans="1:43">
      <c r="A1711" s="682">
        <v>10300</v>
      </c>
      <c r="B1711" s="683" t="s">
        <v>6008</v>
      </c>
      <c r="C1711" s="684" t="s">
        <v>6011</v>
      </c>
      <c r="D1711">
        <v>1</v>
      </c>
      <c r="E1711">
        <v>0</v>
      </c>
      <c r="G1711">
        <v>1</v>
      </c>
      <c r="H1711" s="5" t="s">
        <v>6012</v>
      </c>
      <c r="I1711">
        <f>90/30</f>
        <v>3</v>
      </c>
      <c r="J1711">
        <f>90/30</f>
        <v>3</v>
      </c>
      <c r="L1711">
        <v>0</v>
      </c>
      <c r="M1711">
        <f t="shared" si="183"/>
        <v>2.6</v>
      </c>
      <c r="N1711" s="104" t="s">
        <v>6013</v>
      </c>
      <c r="O1711">
        <v>1</v>
      </c>
      <c r="P1711">
        <v>1.7</v>
      </c>
      <c r="Q1711">
        <v>0</v>
      </c>
      <c r="S1711">
        <v>0.2</v>
      </c>
      <c r="T1711">
        <v>0</v>
      </c>
      <c r="U1711">
        <v>0.7</v>
      </c>
      <c r="V1711">
        <v>1</v>
      </c>
      <c r="W1711">
        <v>4</v>
      </c>
      <c r="X1711" s="7">
        <v>2</v>
      </c>
      <c r="Y1711">
        <v>-0.1</v>
      </c>
      <c r="Z1711">
        <v>0</v>
      </c>
      <c r="AN1711" s="10"/>
      <c r="AP1711" s="267">
        <v>1498</v>
      </c>
      <c r="AQ1711" t="s">
        <v>136</v>
      </c>
    </row>
    <row r="1712" ht="16.5" spans="1:43">
      <c r="A1712" s="682">
        <v>10301</v>
      </c>
      <c r="B1712" s="683" t="s">
        <v>6008</v>
      </c>
      <c r="C1712" s="684" t="s">
        <v>5949</v>
      </c>
      <c r="D1712">
        <v>1</v>
      </c>
      <c r="E1712">
        <v>0</v>
      </c>
      <c r="G1712">
        <v>1</v>
      </c>
      <c r="H1712" s="5" t="s">
        <v>6014</v>
      </c>
      <c r="I1712">
        <f t="shared" si="184"/>
        <v>2.83333333333333</v>
      </c>
      <c r="J1712">
        <f t="shared" si="185"/>
        <v>2.83333333333333</v>
      </c>
      <c r="L1712">
        <v>0</v>
      </c>
      <c r="M1712">
        <f t="shared" si="183"/>
        <v>2.43333333333333</v>
      </c>
      <c r="N1712" s="104" t="s">
        <v>6015</v>
      </c>
      <c r="O1712">
        <v>1</v>
      </c>
      <c r="P1712">
        <v>1.7</v>
      </c>
      <c r="Q1712">
        <v>0</v>
      </c>
      <c r="S1712">
        <v>0.2</v>
      </c>
      <c r="T1712">
        <v>0</v>
      </c>
      <c r="U1712">
        <v>0.38</v>
      </c>
      <c r="V1712">
        <v>1</v>
      </c>
      <c r="W1712">
        <v>0</v>
      </c>
      <c r="X1712" s="7">
        <v>5</v>
      </c>
      <c r="Y1712">
        <v>-0.1</v>
      </c>
      <c r="Z1712">
        <v>0</v>
      </c>
      <c r="AN1712" s="10"/>
      <c r="AP1712" s="267">
        <v>1499</v>
      </c>
      <c r="AQ1712" t="s">
        <v>136</v>
      </c>
    </row>
    <row r="1713" ht="16.5" spans="1:43">
      <c r="A1713" s="682">
        <v>10302</v>
      </c>
      <c r="B1713" s="683" t="s">
        <v>6008</v>
      </c>
      <c r="C1713" s="684" t="s">
        <v>6016</v>
      </c>
      <c r="D1713">
        <v>1</v>
      </c>
      <c r="E1713">
        <v>0</v>
      </c>
      <c r="G1713">
        <v>1</v>
      </c>
      <c r="H1713" s="5" t="s">
        <v>6017</v>
      </c>
      <c r="I1713">
        <f t="shared" si="184"/>
        <v>2.83333333333333</v>
      </c>
      <c r="J1713">
        <f t="shared" si="185"/>
        <v>2.83333333333333</v>
      </c>
      <c r="L1713">
        <v>0</v>
      </c>
      <c r="M1713">
        <f t="shared" si="183"/>
        <v>2.43333333333333</v>
      </c>
      <c r="N1713" s="104" t="s">
        <v>6018</v>
      </c>
      <c r="O1713">
        <v>1</v>
      </c>
      <c r="P1713">
        <v>1.7</v>
      </c>
      <c r="Q1713">
        <v>0</v>
      </c>
      <c r="S1713">
        <v>0.2</v>
      </c>
      <c r="T1713">
        <v>0</v>
      </c>
      <c r="U1713">
        <v>0.7</v>
      </c>
      <c r="V1713">
        <v>1</v>
      </c>
      <c r="W1713">
        <v>6</v>
      </c>
      <c r="X1713" s="7">
        <v>2</v>
      </c>
      <c r="Y1713">
        <v>-0.1</v>
      </c>
      <c r="Z1713">
        <v>0</v>
      </c>
      <c r="AN1713" s="10"/>
      <c r="AP1713" s="267">
        <v>1500</v>
      </c>
      <c r="AQ1713" t="s">
        <v>136</v>
      </c>
    </row>
    <row r="1714" ht="16.5" spans="1:43">
      <c r="A1714" s="682">
        <v>10303</v>
      </c>
      <c r="B1714" s="683" t="s">
        <v>6008</v>
      </c>
      <c r="C1714" s="684" t="s">
        <v>5993</v>
      </c>
      <c r="D1714">
        <v>2</v>
      </c>
      <c r="E1714">
        <v>1</v>
      </c>
      <c r="G1714">
        <v>1</v>
      </c>
      <c r="H1714" s="5" t="s">
        <v>6019</v>
      </c>
      <c r="I1714">
        <f>70/30</f>
        <v>2.33333333333333</v>
      </c>
      <c r="J1714">
        <f>70/30</f>
        <v>2.33333333333333</v>
      </c>
      <c r="L1714">
        <v>0</v>
      </c>
      <c r="M1714">
        <f t="shared" si="183"/>
        <v>1.93333333333333</v>
      </c>
      <c r="N1714" s="104" t="s">
        <v>6020</v>
      </c>
      <c r="O1714">
        <v>5</v>
      </c>
      <c r="P1714">
        <v>0</v>
      </c>
      <c r="Q1714">
        <v>0</v>
      </c>
      <c r="S1714">
        <v>0.2</v>
      </c>
      <c r="T1714">
        <v>0</v>
      </c>
      <c r="U1714">
        <v>0.2</v>
      </c>
      <c r="V1714">
        <v>1000</v>
      </c>
      <c r="W1714">
        <v>0</v>
      </c>
      <c r="X1714" s="7">
        <v>0</v>
      </c>
      <c r="Y1714">
        <v>-0.1</v>
      </c>
      <c r="Z1714">
        <v>0</v>
      </c>
      <c r="AN1714" s="10"/>
      <c r="AP1714" s="267">
        <v>1501</v>
      </c>
      <c r="AQ1714" t="s">
        <v>136</v>
      </c>
    </row>
    <row r="1715" ht="16.5" spans="1:43">
      <c r="A1715" s="682">
        <v>10304</v>
      </c>
      <c r="B1715" s="683" t="s">
        <v>6008</v>
      </c>
      <c r="C1715" s="684" t="s">
        <v>6021</v>
      </c>
      <c r="D1715">
        <v>1</v>
      </c>
      <c r="E1715">
        <v>0</v>
      </c>
      <c r="G1715">
        <v>1</v>
      </c>
      <c r="H1715" s="5" t="s">
        <v>6022</v>
      </c>
      <c r="I1715">
        <f>100/30</f>
        <v>3.33333333333333</v>
      </c>
      <c r="J1715">
        <f>100/30</f>
        <v>3.33333333333333</v>
      </c>
      <c r="L1715">
        <v>0</v>
      </c>
      <c r="M1715">
        <f t="shared" si="183"/>
        <v>2.93333333333333</v>
      </c>
      <c r="N1715" s="104" t="s">
        <v>6023</v>
      </c>
      <c r="O1715">
        <v>1</v>
      </c>
      <c r="P1715">
        <v>1.7</v>
      </c>
      <c r="Q1715">
        <v>0</v>
      </c>
      <c r="S1715">
        <v>0.2</v>
      </c>
      <c r="T1715">
        <v>0</v>
      </c>
      <c r="U1715">
        <v>0.45</v>
      </c>
      <c r="V1715">
        <v>1</v>
      </c>
      <c r="W1715">
        <v>0</v>
      </c>
      <c r="X1715" s="7">
        <v>3</v>
      </c>
      <c r="Y1715">
        <v>-0.1</v>
      </c>
      <c r="Z1715">
        <v>0</v>
      </c>
      <c r="AN1715" s="10"/>
      <c r="AP1715" s="267">
        <v>1502</v>
      </c>
      <c r="AQ1715" t="s">
        <v>136</v>
      </c>
    </row>
    <row r="1716" ht="16.5" spans="1:43">
      <c r="A1716" s="682">
        <v>10305</v>
      </c>
      <c r="B1716" s="683" t="s">
        <v>6024</v>
      </c>
      <c r="C1716" s="684" t="s">
        <v>6025</v>
      </c>
      <c r="D1716">
        <v>1</v>
      </c>
      <c r="E1716">
        <v>0</v>
      </c>
      <c r="G1716">
        <v>2</v>
      </c>
      <c r="H1716" s="5" t="s">
        <v>6026</v>
      </c>
      <c r="I1716">
        <f>60/30</f>
        <v>2</v>
      </c>
      <c r="J1716">
        <f>60/30</f>
        <v>2</v>
      </c>
      <c r="L1716">
        <v>0</v>
      </c>
      <c r="M1716">
        <f t="shared" ref="M1716:M1779" si="186">I1716-0.4</f>
        <v>1.6</v>
      </c>
      <c r="N1716" s="104" t="s">
        <v>6027</v>
      </c>
      <c r="O1716">
        <v>1</v>
      </c>
      <c r="P1716">
        <v>4.5</v>
      </c>
      <c r="Q1716">
        <v>0</v>
      </c>
      <c r="S1716">
        <v>0.2</v>
      </c>
      <c r="T1716">
        <v>0</v>
      </c>
      <c r="U1716">
        <v>0.1</v>
      </c>
      <c r="V1716">
        <v>1</v>
      </c>
      <c r="W1716">
        <v>0</v>
      </c>
      <c r="X1716" s="7">
        <v>2</v>
      </c>
      <c r="Y1716">
        <v>-0.1</v>
      </c>
      <c r="Z1716">
        <v>0</v>
      </c>
      <c r="AN1716" s="10"/>
      <c r="AP1716" s="267">
        <v>1458</v>
      </c>
      <c r="AQ1716" t="s">
        <v>136</v>
      </c>
    </row>
    <row r="1717" ht="16.5" spans="1:43">
      <c r="A1717" s="682">
        <v>10306</v>
      </c>
      <c r="B1717" s="683" t="s">
        <v>6024</v>
      </c>
      <c r="C1717" s="684" t="s">
        <v>6028</v>
      </c>
      <c r="D1717">
        <v>1</v>
      </c>
      <c r="E1717">
        <v>0</v>
      </c>
      <c r="G1717">
        <v>2</v>
      </c>
      <c r="H1717" s="5" t="s">
        <v>6029</v>
      </c>
      <c r="I1717">
        <f t="shared" ref="I1717:I1724" si="187">75/30</f>
        <v>2.5</v>
      </c>
      <c r="J1717">
        <f t="shared" ref="J1717:J1724" si="188">75/30</f>
        <v>2.5</v>
      </c>
      <c r="L1717">
        <v>0</v>
      </c>
      <c r="M1717">
        <f t="shared" si="186"/>
        <v>2.1</v>
      </c>
      <c r="N1717" s="104" t="s">
        <v>6030</v>
      </c>
      <c r="O1717">
        <v>1</v>
      </c>
      <c r="P1717">
        <v>4.5</v>
      </c>
      <c r="Q1717">
        <v>0</v>
      </c>
      <c r="S1717">
        <v>0.2</v>
      </c>
      <c r="T1717">
        <v>0</v>
      </c>
      <c r="U1717">
        <v>0.4</v>
      </c>
      <c r="V1717">
        <v>1</v>
      </c>
      <c r="W1717">
        <v>0</v>
      </c>
      <c r="X1717" s="7">
        <v>1</v>
      </c>
      <c r="Y1717">
        <v>-0.1</v>
      </c>
      <c r="Z1717">
        <v>0</v>
      </c>
      <c r="AN1717" s="10"/>
      <c r="AP1717" s="267">
        <v>1459</v>
      </c>
      <c r="AQ1717" t="s">
        <v>136</v>
      </c>
    </row>
    <row r="1718" ht="16.5" spans="1:43">
      <c r="A1718" s="682">
        <v>10307</v>
      </c>
      <c r="B1718" s="683" t="s">
        <v>6024</v>
      </c>
      <c r="C1718" s="684" t="s">
        <v>6031</v>
      </c>
      <c r="D1718">
        <v>1</v>
      </c>
      <c r="E1718">
        <v>0</v>
      </c>
      <c r="G1718">
        <v>2</v>
      </c>
      <c r="H1718" s="5" t="s">
        <v>6032</v>
      </c>
      <c r="I1718">
        <f>105/30</f>
        <v>3.5</v>
      </c>
      <c r="J1718">
        <f>105/30</f>
        <v>3.5</v>
      </c>
      <c r="L1718">
        <v>0</v>
      </c>
      <c r="M1718">
        <f t="shared" si="186"/>
        <v>3.1</v>
      </c>
      <c r="N1718" s="104" t="s">
        <v>6033</v>
      </c>
      <c r="O1718">
        <v>1</v>
      </c>
      <c r="P1718">
        <v>4.5</v>
      </c>
      <c r="Q1718">
        <v>0</v>
      </c>
      <c r="S1718">
        <v>0.2</v>
      </c>
      <c r="T1718">
        <v>0</v>
      </c>
      <c r="U1718">
        <v>0.4</v>
      </c>
      <c r="V1718">
        <v>1</v>
      </c>
      <c r="W1718">
        <v>7</v>
      </c>
      <c r="X1718" s="7">
        <v>2</v>
      </c>
      <c r="Y1718">
        <v>-0.1</v>
      </c>
      <c r="Z1718">
        <v>0</v>
      </c>
      <c r="AN1718" s="10"/>
      <c r="AP1718" s="267">
        <v>1460</v>
      </c>
      <c r="AQ1718" t="s">
        <v>136</v>
      </c>
    </row>
    <row r="1719" ht="16.5" spans="1:43">
      <c r="A1719" s="682">
        <v>10308</v>
      </c>
      <c r="B1719" s="683" t="s">
        <v>6024</v>
      </c>
      <c r="C1719" s="684" t="s">
        <v>6034</v>
      </c>
      <c r="D1719">
        <v>1</v>
      </c>
      <c r="E1719">
        <v>0</v>
      </c>
      <c r="G1719">
        <v>2</v>
      </c>
      <c r="H1719" s="5" t="s">
        <v>6035</v>
      </c>
      <c r="I1719">
        <f>105/30</f>
        <v>3.5</v>
      </c>
      <c r="J1719">
        <f>105/30</f>
        <v>3.5</v>
      </c>
      <c r="L1719">
        <v>0</v>
      </c>
      <c r="M1719">
        <f t="shared" si="186"/>
        <v>3.1</v>
      </c>
      <c r="N1719" s="104" t="s">
        <v>6036</v>
      </c>
      <c r="O1719">
        <v>1</v>
      </c>
      <c r="P1719">
        <v>4.5</v>
      </c>
      <c r="Q1719">
        <v>0</v>
      </c>
      <c r="S1719">
        <v>0.2</v>
      </c>
      <c r="T1719">
        <v>0</v>
      </c>
      <c r="U1719">
        <v>0.1</v>
      </c>
      <c r="V1719">
        <v>1</v>
      </c>
      <c r="W1719">
        <v>0</v>
      </c>
      <c r="X1719" s="7">
        <v>5</v>
      </c>
      <c r="Y1719">
        <v>-0.1</v>
      </c>
      <c r="Z1719">
        <v>0</v>
      </c>
      <c r="AN1719" s="10"/>
      <c r="AP1719" s="267">
        <v>1461</v>
      </c>
      <c r="AQ1719" t="s">
        <v>136</v>
      </c>
    </row>
    <row r="1720" ht="16.5" spans="1:43">
      <c r="A1720" s="682">
        <v>10309</v>
      </c>
      <c r="B1720" s="683" t="s">
        <v>6024</v>
      </c>
      <c r="C1720" s="684" t="s">
        <v>5993</v>
      </c>
      <c r="D1720">
        <v>2</v>
      </c>
      <c r="E1720">
        <v>1</v>
      </c>
      <c r="G1720">
        <v>2</v>
      </c>
      <c r="H1720" s="5" t="s">
        <v>6037</v>
      </c>
      <c r="I1720">
        <f>65/30</f>
        <v>2.16666666666667</v>
      </c>
      <c r="J1720">
        <f>65/30</f>
        <v>2.16666666666667</v>
      </c>
      <c r="L1720">
        <v>0</v>
      </c>
      <c r="M1720">
        <f t="shared" si="186"/>
        <v>1.76666666666667</v>
      </c>
      <c r="N1720" s="104" t="s">
        <v>6038</v>
      </c>
      <c r="O1720">
        <v>5</v>
      </c>
      <c r="P1720">
        <v>0</v>
      </c>
      <c r="Q1720">
        <v>0</v>
      </c>
      <c r="S1720">
        <v>0.2</v>
      </c>
      <c r="T1720">
        <v>0</v>
      </c>
      <c r="U1720">
        <v>0.1</v>
      </c>
      <c r="V1720">
        <v>1000</v>
      </c>
      <c r="W1720">
        <v>0</v>
      </c>
      <c r="X1720" s="7">
        <v>0</v>
      </c>
      <c r="Y1720">
        <v>-0.1</v>
      </c>
      <c r="Z1720">
        <v>0</v>
      </c>
      <c r="AN1720" s="10"/>
      <c r="AP1720" s="267">
        <v>1462</v>
      </c>
      <c r="AQ1720" t="s">
        <v>136</v>
      </c>
    </row>
    <row r="1721" ht="16.5" spans="1:43">
      <c r="A1721" s="682">
        <v>10310</v>
      </c>
      <c r="B1721" s="683" t="s">
        <v>6024</v>
      </c>
      <c r="C1721" s="684" t="s">
        <v>6039</v>
      </c>
      <c r="D1721">
        <v>1</v>
      </c>
      <c r="E1721">
        <v>0</v>
      </c>
      <c r="G1721">
        <v>2</v>
      </c>
      <c r="H1721" s="5" t="s">
        <v>6029</v>
      </c>
      <c r="I1721">
        <f t="shared" si="187"/>
        <v>2.5</v>
      </c>
      <c r="J1721">
        <f t="shared" si="188"/>
        <v>2.5</v>
      </c>
      <c r="L1721">
        <v>0</v>
      </c>
      <c r="M1721">
        <f t="shared" si="186"/>
        <v>2.1</v>
      </c>
      <c r="N1721" s="104" t="s">
        <v>6040</v>
      </c>
      <c r="O1721">
        <v>1</v>
      </c>
      <c r="P1721">
        <v>4.5</v>
      </c>
      <c r="Q1721">
        <v>0</v>
      </c>
      <c r="S1721">
        <v>0.2</v>
      </c>
      <c r="T1721">
        <v>0</v>
      </c>
      <c r="U1721">
        <v>0.1</v>
      </c>
      <c r="V1721">
        <v>1</v>
      </c>
      <c r="W1721">
        <v>0</v>
      </c>
      <c r="X1721" s="7">
        <v>1</v>
      </c>
      <c r="Y1721">
        <v>-0.1</v>
      </c>
      <c r="Z1721">
        <v>0</v>
      </c>
      <c r="AN1721" s="10"/>
      <c r="AP1721" s="267">
        <v>1459</v>
      </c>
      <c r="AQ1721" t="s">
        <v>136</v>
      </c>
    </row>
    <row r="1722" ht="16.5" spans="1:43">
      <c r="A1722" s="682">
        <v>10311</v>
      </c>
      <c r="B1722" s="683" t="s">
        <v>6024</v>
      </c>
      <c r="C1722" s="684" t="s">
        <v>6041</v>
      </c>
      <c r="D1722">
        <v>1</v>
      </c>
      <c r="E1722">
        <v>0</v>
      </c>
      <c r="G1722">
        <v>2</v>
      </c>
      <c r="H1722" s="5" t="s">
        <v>6029</v>
      </c>
      <c r="I1722">
        <f t="shared" si="187"/>
        <v>2.5</v>
      </c>
      <c r="J1722">
        <f t="shared" si="188"/>
        <v>2.5</v>
      </c>
      <c r="L1722">
        <v>0</v>
      </c>
      <c r="M1722">
        <f t="shared" si="186"/>
        <v>2.1</v>
      </c>
      <c r="N1722" s="104" t="s">
        <v>6042</v>
      </c>
      <c r="O1722">
        <v>1</v>
      </c>
      <c r="P1722">
        <v>4.5</v>
      </c>
      <c r="Q1722">
        <v>0</v>
      </c>
      <c r="S1722">
        <v>0.2</v>
      </c>
      <c r="T1722">
        <v>0</v>
      </c>
      <c r="U1722">
        <v>0.1</v>
      </c>
      <c r="V1722">
        <v>1</v>
      </c>
      <c r="W1722">
        <v>0</v>
      </c>
      <c r="X1722" s="7">
        <v>1</v>
      </c>
      <c r="Y1722">
        <v>-0.1</v>
      </c>
      <c r="Z1722">
        <v>0</v>
      </c>
      <c r="AN1722" s="10"/>
      <c r="AP1722" s="267">
        <v>1459</v>
      </c>
      <c r="AQ1722" t="s">
        <v>136</v>
      </c>
    </row>
    <row r="1723" ht="16.5" spans="1:43">
      <c r="A1723" s="682">
        <v>10312</v>
      </c>
      <c r="B1723" s="683" t="s">
        <v>6024</v>
      </c>
      <c r="C1723" s="684" t="s">
        <v>6043</v>
      </c>
      <c r="D1723">
        <v>1</v>
      </c>
      <c r="E1723">
        <v>0</v>
      </c>
      <c r="G1723">
        <v>2</v>
      </c>
      <c r="H1723" s="5" t="s">
        <v>6029</v>
      </c>
      <c r="I1723">
        <f t="shared" si="187"/>
        <v>2.5</v>
      </c>
      <c r="J1723">
        <f t="shared" si="188"/>
        <v>2.5</v>
      </c>
      <c r="L1723">
        <v>0</v>
      </c>
      <c r="M1723">
        <f t="shared" si="186"/>
        <v>2.1</v>
      </c>
      <c r="N1723" s="104" t="s">
        <v>6044</v>
      </c>
      <c r="O1723">
        <v>1</v>
      </c>
      <c r="P1723">
        <v>4.5</v>
      </c>
      <c r="Q1723">
        <v>0</v>
      </c>
      <c r="S1723">
        <v>0.2</v>
      </c>
      <c r="T1723">
        <v>0</v>
      </c>
      <c r="U1723">
        <v>0.1</v>
      </c>
      <c r="V1723">
        <v>1</v>
      </c>
      <c r="W1723">
        <v>0</v>
      </c>
      <c r="X1723" s="7">
        <v>1</v>
      </c>
      <c r="Y1723">
        <v>-0.1</v>
      </c>
      <c r="Z1723">
        <v>0</v>
      </c>
      <c r="AN1723" s="10"/>
      <c r="AP1723" s="267">
        <v>1459</v>
      </c>
      <c r="AQ1723" t="s">
        <v>136</v>
      </c>
    </row>
    <row r="1724" ht="16.5" spans="1:43">
      <c r="A1724" s="682">
        <v>10313</v>
      </c>
      <c r="B1724" s="683" t="s">
        <v>6024</v>
      </c>
      <c r="C1724" s="684" t="s">
        <v>6045</v>
      </c>
      <c r="D1724">
        <v>1</v>
      </c>
      <c r="E1724">
        <v>0</v>
      </c>
      <c r="G1724">
        <v>2</v>
      </c>
      <c r="H1724" s="5" t="s">
        <v>6029</v>
      </c>
      <c r="I1724">
        <f t="shared" si="187"/>
        <v>2.5</v>
      </c>
      <c r="J1724">
        <f t="shared" si="188"/>
        <v>2.5</v>
      </c>
      <c r="L1724">
        <v>0</v>
      </c>
      <c r="M1724">
        <f t="shared" si="186"/>
        <v>2.1</v>
      </c>
      <c r="N1724" s="104" t="s">
        <v>6046</v>
      </c>
      <c r="O1724">
        <v>1</v>
      </c>
      <c r="P1724">
        <v>4.5</v>
      </c>
      <c r="Q1724">
        <v>0</v>
      </c>
      <c r="S1724">
        <v>0.2</v>
      </c>
      <c r="T1724">
        <v>0</v>
      </c>
      <c r="U1724">
        <v>0.1</v>
      </c>
      <c r="V1724">
        <v>1</v>
      </c>
      <c r="W1724">
        <v>0</v>
      </c>
      <c r="X1724" s="7">
        <v>1</v>
      </c>
      <c r="Y1724">
        <v>-0.1</v>
      </c>
      <c r="Z1724">
        <v>0</v>
      </c>
      <c r="AN1724" s="10"/>
      <c r="AP1724" s="267">
        <v>1459</v>
      </c>
      <c r="AQ1724" t="s">
        <v>136</v>
      </c>
    </row>
    <row r="1725" ht="16.5" spans="1:43">
      <c r="A1725" s="682">
        <v>10314</v>
      </c>
      <c r="B1725" s="683" t="s">
        <v>6047</v>
      </c>
      <c r="C1725" s="683" t="s">
        <v>6047</v>
      </c>
      <c r="D1725">
        <v>1</v>
      </c>
      <c r="E1725">
        <v>0</v>
      </c>
      <c r="G1725">
        <v>2</v>
      </c>
      <c r="H1725" s="513" t="s">
        <v>6048</v>
      </c>
      <c r="I1725">
        <f t="shared" ref="I1725:I1730" si="189">90/30</f>
        <v>3</v>
      </c>
      <c r="J1725">
        <f t="shared" ref="J1725:J1730" si="190">90/30</f>
        <v>3</v>
      </c>
      <c r="L1725">
        <v>0</v>
      </c>
      <c r="M1725">
        <f t="shared" si="186"/>
        <v>2.6</v>
      </c>
      <c r="N1725" s="104" t="s">
        <v>6049</v>
      </c>
      <c r="O1725">
        <v>1</v>
      </c>
      <c r="P1725">
        <v>3</v>
      </c>
      <c r="Q1725">
        <v>0</v>
      </c>
      <c r="S1725">
        <v>0.2</v>
      </c>
      <c r="T1725">
        <v>0</v>
      </c>
      <c r="U1725">
        <v>0.1</v>
      </c>
      <c r="V1725">
        <v>1</v>
      </c>
      <c r="W1725">
        <v>0</v>
      </c>
      <c r="X1725" s="7">
        <v>8</v>
      </c>
      <c r="Y1725">
        <v>-0.1</v>
      </c>
      <c r="Z1725">
        <v>0</v>
      </c>
      <c r="AN1725" s="10"/>
      <c r="AP1725" s="267">
        <v>1494</v>
      </c>
      <c r="AQ1725" t="s">
        <v>136</v>
      </c>
    </row>
    <row r="1726" ht="16.5" spans="1:43">
      <c r="A1726" s="682">
        <v>10315</v>
      </c>
      <c r="B1726" s="683" t="s">
        <v>6050</v>
      </c>
      <c r="C1726" s="683" t="s">
        <v>6050</v>
      </c>
      <c r="D1726">
        <v>1</v>
      </c>
      <c r="E1726">
        <v>0</v>
      </c>
      <c r="G1726">
        <v>1</v>
      </c>
      <c r="H1726" s="513" t="s">
        <v>6051</v>
      </c>
      <c r="I1726">
        <f t="shared" si="189"/>
        <v>3</v>
      </c>
      <c r="J1726">
        <f t="shared" si="190"/>
        <v>3</v>
      </c>
      <c r="L1726">
        <v>0</v>
      </c>
      <c r="M1726">
        <f t="shared" si="186"/>
        <v>2.6</v>
      </c>
      <c r="N1726" s="104" t="s">
        <v>6052</v>
      </c>
      <c r="O1726">
        <v>1</v>
      </c>
      <c r="P1726">
        <v>1</v>
      </c>
      <c r="Q1726">
        <v>0</v>
      </c>
      <c r="S1726">
        <v>0.2</v>
      </c>
      <c r="T1726">
        <v>0</v>
      </c>
      <c r="U1726">
        <v>0.1</v>
      </c>
      <c r="V1726">
        <v>1</v>
      </c>
      <c r="W1726">
        <v>0</v>
      </c>
      <c r="X1726" s="7">
        <v>6</v>
      </c>
      <c r="Y1726">
        <v>-0.1</v>
      </c>
      <c r="Z1726">
        <v>0</v>
      </c>
      <c r="AN1726" s="10"/>
      <c r="AP1726" s="267">
        <v>1515</v>
      </c>
      <c r="AQ1726" t="s">
        <v>136</v>
      </c>
    </row>
    <row r="1727" ht="16.5" spans="1:43">
      <c r="A1727" s="682">
        <v>10316</v>
      </c>
      <c r="B1727" s="683" t="s">
        <v>6053</v>
      </c>
      <c r="C1727" s="683" t="s">
        <v>6053</v>
      </c>
      <c r="D1727">
        <v>1</v>
      </c>
      <c r="E1727">
        <v>0</v>
      </c>
      <c r="G1727">
        <v>1</v>
      </c>
      <c r="H1727" s="513" t="s">
        <v>6054</v>
      </c>
      <c r="I1727">
        <f>110/30</f>
        <v>3.66666666666667</v>
      </c>
      <c r="J1727">
        <f>110/30</f>
        <v>3.66666666666667</v>
      </c>
      <c r="L1727">
        <v>0</v>
      </c>
      <c r="M1727">
        <f t="shared" si="186"/>
        <v>3.26666666666667</v>
      </c>
      <c r="N1727" s="104" t="s">
        <v>6055</v>
      </c>
      <c r="O1727">
        <v>1</v>
      </c>
      <c r="P1727">
        <v>1</v>
      </c>
      <c r="Q1727">
        <v>0</v>
      </c>
      <c r="S1727">
        <v>0.2</v>
      </c>
      <c r="T1727">
        <v>0</v>
      </c>
      <c r="U1727">
        <v>0.1</v>
      </c>
      <c r="V1727">
        <v>1</v>
      </c>
      <c r="W1727">
        <v>0</v>
      </c>
      <c r="X1727" s="7">
        <v>7</v>
      </c>
      <c r="Y1727">
        <v>-0.1</v>
      </c>
      <c r="Z1727">
        <v>0</v>
      </c>
      <c r="AN1727" s="10"/>
      <c r="AP1727" s="267">
        <v>1495</v>
      </c>
      <c r="AQ1727" t="s">
        <v>136</v>
      </c>
    </row>
    <row r="1728" ht="16.5" spans="1:43">
      <c r="A1728" s="682">
        <v>10317</v>
      </c>
      <c r="B1728" s="683" t="s">
        <v>6056</v>
      </c>
      <c r="C1728" s="683" t="s">
        <v>6056</v>
      </c>
      <c r="D1728">
        <v>1</v>
      </c>
      <c r="E1728">
        <v>0</v>
      </c>
      <c r="G1728">
        <v>1</v>
      </c>
      <c r="H1728" s="513" t="s">
        <v>6057</v>
      </c>
      <c r="I1728">
        <f>80/30</f>
        <v>2.66666666666667</v>
      </c>
      <c r="J1728">
        <f>80/30</f>
        <v>2.66666666666667</v>
      </c>
      <c r="L1728">
        <v>0</v>
      </c>
      <c r="M1728">
        <f t="shared" si="186"/>
        <v>2.26666666666667</v>
      </c>
      <c r="N1728" s="104" t="s">
        <v>6058</v>
      </c>
      <c r="O1728">
        <v>1</v>
      </c>
      <c r="P1728">
        <v>1.5</v>
      </c>
      <c r="Q1728">
        <v>0</v>
      </c>
      <c r="S1728">
        <v>0.2</v>
      </c>
      <c r="T1728">
        <v>0</v>
      </c>
      <c r="U1728">
        <v>0.1</v>
      </c>
      <c r="V1728">
        <v>1</v>
      </c>
      <c r="W1728">
        <v>0</v>
      </c>
      <c r="X1728" s="7">
        <v>3</v>
      </c>
      <c r="Y1728">
        <v>-0.1</v>
      </c>
      <c r="Z1728">
        <v>0</v>
      </c>
      <c r="AN1728" s="10"/>
      <c r="AP1728" s="267">
        <v>1496</v>
      </c>
      <c r="AQ1728" t="s">
        <v>136</v>
      </c>
    </row>
    <row r="1729" ht="16.5" spans="1:43">
      <c r="A1729" s="682">
        <v>10318</v>
      </c>
      <c r="B1729" s="683" t="s">
        <v>6059</v>
      </c>
      <c r="C1729" s="683" t="s">
        <v>6059</v>
      </c>
      <c r="D1729">
        <v>1</v>
      </c>
      <c r="E1729">
        <v>0</v>
      </c>
      <c r="G1729">
        <v>2</v>
      </c>
      <c r="H1729" s="513" t="s">
        <v>6060</v>
      </c>
      <c r="I1729">
        <v>2</v>
      </c>
      <c r="J1729">
        <v>2</v>
      </c>
      <c r="L1729">
        <v>0</v>
      </c>
      <c r="M1729">
        <f t="shared" si="186"/>
        <v>1.6</v>
      </c>
      <c r="N1729" s="104" t="s">
        <v>6061</v>
      </c>
      <c r="O1729">
        <v>1</v>
      </c>
      <c r="P1729">
        <v>5</v>
      </c>
      <c r="Q1729">
        <v>0</v>
      </c>
      <c r="S1729">
        <v>0.2</v>
      </c>
      <c r="T1729">
        <v>0</v>
      </c>
      <c r="U1729">
        <v>0.1</v>
      </c>
      <c r="V1729">
        <v>1</v>
      </c>
      <c r="W1729">
        <v>0</v>
      </c>
      <c r="X1729" s="7">
        <v>5</v>
      </c>
      <c r="Y1729">
        <v>-0.1</v>
      </c>
      <c r="Z1729">
        <v>0</v>
      </c>
      <c r="AN1729" s="10"/>
      <c r="AP1729" s="267">
        <v>1516</v>
      </c>
      <c r="AQ1729" t="s">
        <v>136</v>
      </c>
    </row>
    <row r="1730" ht="16.5" spans="1:43">
      <c r="A1730">
        <v>10319</v>
      </c>
      <c r="B1730" s="334" t="s">
        <v>6062</v>
      </c>
      <c r="C1730" s="334" t="s">
        <v>6062</v>
      </c>
      <c r="D1730">
        <v>1</v>
      </c>
      <c r="E1730">
        <v>0</v>
      </c>
      <c r="G1730">
        <v>1</v>
      </c>
      <c r="H1730" s="5" t="s">
        <v>6063</v>
      </c>
      <c r="I1730">
        <f t="shared" si="189"/>
        <v>3</v>
      </c>
      <c r="J1730">
        <f t="shared" si="190"/>
        <v>3</v>
      </c>
      <c r="L1730">
        <v>0</v>
      </c>
      <c r="M1730">
        <f t="shared" si="186"/>
        <v>2.6</v>
      </c>
      <c r="N1730" t="s">
        <v>6064</v>
      </c>
      <c r="O1730">
        <v>1</v>
      </c>
      <c r="P1730">
        <v>1.5</v>
      </c>
      <c r="Q1730">
        <v>0</v>
      </c>
      <c r="V1730">
        <v>1</v>
      </c>
      <c r="W1730">
        <v>6</v>
      </c>
      <c r="X1730" s="218">
        <v>8</v>
      </c>
      <c r="Y1730">
        <v>-0.1</v>
      </c>
      <c r="Z1730">
        <v>0</v>
      </c>
      <c r="AN1730" s="10"/>
      <c r="AP1730" s="267">
        <v>1548</v>
      </c>
      <c r="AQ1730" t="s">
        <v>136</v>
      </c>
    </row>
    <row r="1731" ht="16.5" spans="1:43">
      <c r="A1731">
        <v>10320</v>
      </c>
      <c r="B1731" s="334" t="s">
        <v>6065</v>
      </c>
      <c r="C1731" s="334" t="s">
        <v>6065</v>
      </c>
      <c r="D1731">
        <v>1</v>
      </c>
      <c r="E1731">
        <v>0</v>
      </c>
      <c r="G1731">
        <v>1</v>
      </c>
      <c r="H1731" s="5" t="s">
        <v>6066</v>
      </c>
      <c r="I1731">
        <f>190/30</f>
        <v>6.33333333333333</v>
      </c>
      <c r="J1731">
        <f>190/30</f>
        <v>6.33333333333333</v>
      </c>
      <c r="L1731">
        <v>0</v>
      </c>
      <c r="M1731">
        <f t="shared" si="186"/>
        <v>5.93333333333333</v>
      </c>
      <c r="N1731" t="s">
        <v>6067</v>
      </c>
      <c r="O1731">
        <v>1</v>
      </c>
      <c r="P1731">
        <v>1.5</v>
      </c>
      <c r="Q1731">
        <v>0</v>
      </c>
      <c r="V1731">
        <v>1</v>
      </c>
      <c r="W1731">
        <v>6</v>
      </c>
      <c r="X1731" s="218">
        <v>2</v>
      </c>
      <c r="Y1731">
        <v>-0.1</v>
      </c>
      <c r="Z1731">
        <v>0</v>
      </c>
      <c r="AB1731">
        <v>6.27</v>
      </c>
      <c r="AC1731">
        <v>2</v>
      </c>
      <c r="AD1731">
        <v>1</v>
      </c>
      <c r="AE1731" t="s">
        <v>6068</v>
      </c>
      <c r="AF1731">
        <v>0.5</v>
      </c>
      <c r="AN1731" s="10"/>
      <c r="AP1731" s="267">
        <v>1549</v>
      </c>
      <c r="AQ1731" t="s">
        <v>136</v>
      </c>
    </row>
    <row r="1732" ht="16.5" spans="1:44">
      <c r="A1732">
        <v>10321</v>
      </c>
      <c r="B1732" s="334" t="s">
        <v>6069</v>
      </c>
      <c r="C1732" s="334" t="s">
        <v>6069</v>
      </c>
      <c r="D1732">
        <v>1</v>
      </c>
      <c r="E1732">
        <v>0</v>
      </c>
      <c r="G1732">
        <v>1</v>
      </c>
      <c r="H1732" s="5" t="s">
        <v>6070</v>
      </c>
      <c r="I1732">
        <f>218/30</f>
        <v>7.26666666666667</v>
      </c>
      <c r="J1732">
        <f>218/30</f>
        <v>7.26666666666667</v>
      </c>
      <c r="L1732">
        <v>0</v>
      </c>
      <c r="M1732">
        <f t="shared" si="186"/>
        <v>6.86666666666667</v>
      </c>
      <c r="N1732" t="s">
        <v>6071</v>
      </c>
      <c r="O1732">
        <v>1</v>
      </c>
      <c r="P1732">
        <v>3</v>
      </c>
      <c r="Q1732">
        <v>0</v>
      </c>
      <c r="V1732">
        <v>1</v>
      </c>
      <c r="W1732">
        <v>6</v>
      </c>
      <c r="X1732" s="7">
        <v>3</v>
      </c>
      <c r="Y1732">
        <v>-0.1</v>
      </c>
      <c r="Z1732">
        <v>0</v>
      </c>
      <c r="AD1732">
        <v>1</v>
      </c>
      <c r="AE1732" t="s">
        <v>6072</v>
      </c>
      <c r="AF1732">
        <v>0.5</v>
      </c>
      <c r="AN1732" s="10"/>
      <c r="AP1732" s="267">
        <v>1525</v>
      </c>
      <c r="AQ1732" t="s">
        <v>136</v>
      </c>
      <c r="AR1732" s="749" t="s">
        <v>1550</v>
      </c>
    </row>
    <row r="1733" ht="16.5" spans="1:43">
      <c r="A1733">
        <v>10322</v>
      </c>
      <c r="B1733" s="334" t="s">
        <v>6073</v>
      </c>
      <c r="C1733" s="334" t="s">
        <v>6073</v>
      </c>
      <c r="D1733">
        <v>1</v>
      </c>
      <c r="E1733">
        <v>0</v>
      </c>
      <c r="G1733">
        <v>1</v>
      </c>
      <c r="H1733" s="5" t="s">
        <v>6074</v>
      </c>
      <c r="I1733">
        <f>85/30</f>
        <v>2.83333333333333</v>
      </c>
      <c r="J1733">
        <f>85/30</f>
        <v>2.83333333333333</v>
      </c>
      <c r="L1733">
        <v>0</v>
      </c>
      <c r="M1733">
        <f t="shared" si="186"/>
        <v>2.43333333333333</v>
      </c>
      <c r="N1733" t="s">
        <v>6075</v>
      </c>
      <c r="O1733">
        <v>1</v>
      </c>
      <c r="P1733">
        <v>2.3</v>
      </c>
      <c r="Q1733">
        <v>0</v>
      </c>
      <c r="S1733">
        <v>1</v>
      </c>
      <c r="U1733">
        <v>0.8</v>
      </c>
      <c r="V1733">
        <v>1</v>
      </c>
      <c r="W1733">
        <v>4</v>
      </c>
      <c r="X1733" s="7">
        <v>1</v>
      </c>
      <c r="Y1733">
        <v>-0.1</v>
      </c>
      <c r="Z1733">
        <v>0</v>
      </c>
      <c r="AN1733" s="10"/>
      <c r="AP1733" s="267">
        <v>1526</v>
      </c>
      <c r="AQ1733" t="s">
        <v>136</v>
      </c>
    </row>
    <row r="1734" ht="16.5" spans="1:43">
      <c r="A1734">
        <v>10323</v>
      </c>
      <c r="B1734" s="334" t="s">
        <v>6076</v>
      </c>
      <c r="C1734" s="334" t="s">
        <v>6076</v>
      </c>
      <c r="D1734">
        <v>1</v>
      </c>
      <c r="E1734">
        <v>0</v>
      </c>
      <c r="G1734">
        <v>1</v>
      </c>
      <c r="H1734" s="5" t="s">
        <v>6077</v>
      </c>
      <c r="I1734">
        <f>104/30</f>
        <v>3.46666666666667</v>
      </c>
      <c r="J1734">
        <f>104/30</f>
        <v>3.46666666666667</v>
      </c>
      <c r="L1734">
        <v>0</v>
      </c>
      <c r="M1734">
        <f t="shared" si="186"/>
        <v>3.06666666666667</v>
      </c>
      <c r="N1734" t="s">
        <v>6078</v>
      </c>
      <c r="O1734">
        <v>1</v>
      </c>
      <c r="P1734">
        <v>2.3</v>
      </c>
      <c r="Q1734">
        <v>0</v>
      </c>
      <c r="S1734">
        <v>1</v>
      </c>
      <c r="U1734">
        <v>0.8</v>
      </c>
      <c r="V1734">
        <v>1</v>
      </c>
      <c r="W1734">
        <v>8</v>
      </c>
      <c r="X1734" s="7">
        <v>2</v>
      </c>
      <c r="Y1734">
        <v>-0.1</v>
      </c>
      <c r="Z1734">
        <v>0</v>
      </c>
      <c r="AN1734" s="10"/>
      <c r="AP1734" s="267">
        <v>1527</v>
      </c>
      <c r="AQ1734" t="s">
        <v>136</v>
      </c>
    </row>
    <row r="1735" ht="16.5" spans="1:43">
      <c r="A1735">
        <v>10324</v>
      </c>
      <c r="B1735" s="334" t="s">
        <v>6079</v>
      </c>
      <c r="C1735" s="334" t="s">
        <v>6079</v>
      </c>
      <c r="D1735">
        <v>1</v>
      </c>
      <c r="E1735">
        <v>0</v>
      </c>
      <c r="G1735">
        <v>2</v>
      </c>
      <c r="H1735" s="5" t="s">
        <v>6080</v>
      </c>
      <c r="I1735">
        <f>85/30</f>
        <v>2.83333333333333</v>
      </c>
      <c r="J1735">
        <f>85/30</f>
        <v>2.83333333333333</v>
      </c>
      <c r="L1735">
        <v>0</v>
      </c>
      <c r="M1735">
        <f t="shared" si="186"/>
        <v>2.43333333333333</v>
      </c>
      <c r="N1735" t="s">
        <v>6081</v>
      </c>
      <c r="O1735">
        <v>1</v>
      </c>
      <c r="P1735">
        <v>4</v>
      </c>
      <c r="Q1735">
        <v>0</v>
      </c>
      <c r="V1735">
        <v>1</v>
      </c>
      <c r="W1735">
        <v>0</v>
      </c>
      <c r="X1735" s="7">
        <v>2</v>
      </c>
      <c r="Y1735">
        <v>-0.1</v>
      </c>
      <c r="Z1735">
        <v>0</v>
      </c>
      <c r="AN1735" s="10"/>
      <c r="AP1735" s="267">
        <v>1567</v>
      </c>
      <c r="AQ1735" t="s">
        <v>136</v>
      </c>
    </row>
    <row r="1736" ht="16.5" spans="1:43">
      <c r="A1736">
        <v>10325</v>
      </c>
      <c r="B1736" s="334" t="s">
        <v>6082</v>
      </c>
      <c r="C1736" s="334" t="s">
        <v>6082</v>
      </c>
      <c r="D1736">
        <v>1</v>
      </c>
      <c r="E1736">
        <v>0</v>
      </c>
      <c r="G1736">
        <v>2</v>
      </c>
      <c r="H1736" s="5" t="s">
        <v>6083</v>
      </c>
      <c r="I1736">
        <f>86/30</f>
        <v>2.86666666666667</v>
      </c>
      <c r="J1736">
        <f>86/30</f>
        <v>2.86666666666667</v>
      </c>
      <c r="L1736">
        <v>0</v>
      </c>
      <c r="M1736">
        <f t="shared" si="186"/>
        <v>2.46666666666667</v>
      </c>
      <c r="N1736" t="s">
        <v>6084</v>
      </c>
      <c r="O1736">
        <v>1</v>
      </c>
      <c r="P1736">
        <v>4</v>
      </c>
      <c r="Q1736">
        <v>0</v>
      </c>
      <c r="V1736">
        <v>1</v>
      </c>
      <c r="W1736">
        <v>0</v>
      </c>
      <c r="X1736" s="7">
        <v>3</v>
      </c>
      <c r="Y1736">
        <v>-0.1</v>
      </c>
      <c r="Z1736">
        <v>0</v>
      </c>
      <c r="AN1736" s="10"/>
      <c r="AP1736" s="267">
        <v>1568</v>
      </c>
      <c r="AQ1736" t="s">
        <v>136</v>
      </c>
    </row>
    <row r="1737" ht="16.5" spans="1:43">
      <c r="A1737">
        <v>10326</v>
      </c>
      <c r="B1737" s="334" t="s">
        <v>6085</v>
      </c>
      <c r="C1737" s="334" t="s">
        <v>6086</v>
      </c>
      <c r="D1737">
        <v>1</v>
      </c>
      <c r="E1737">
        <v>0</v>
      </c>
      <c r="G1737">
        <v>1</v>
      </c>
      <c r="H1737" s="5" t="s">
        <v>6087</v>
      </c>
      <c r="I1737">
        <f>61/30</f>
        <v>2.03333333333333</v>
      </c>
      <c r="J1737">
        <f>61/30</f>
        <v>2.03333333333333</v>
      </c>
      <c r="L1737">
        <v>0</v>
      </c>
      <c r="M1737">
        <f t="shared" si="186"/>
        <v>1.63333333333333</v>
      </c>
      <c r="N1737" t="s">
        <v>6088</v>
      </c>
      <c r="O1737">
        <v>1</v>
      </c>
      <c r="P1737">
        <v>1.4</v>
      </c>
      <c r="Q1737">
        <v>0</v>
      </c>
      <c r="S1737">
        <v>-0.2</v>
      </c>
      <c r="U1737">
        <v>0.2</v>
      </c>
      <c r="V1737">
        <v>1</v>
      </c>
      <c r="W1737">
        <v>0</v>
      </c>
      <c r="X1737" s="7">
        <v>3</v>
      </c>
      <c r="Y1737">
        <v>-0.1</v>
      </c>
      <c r="Z1737">
        <v>0</v>
      </c>
      <c r="AN1737" s="10"/>
      <c r="AP1737" s="267">
        <v>1662</v>
      </c>
      <c r="AQ1737" t="s">
        <v>136</v>
      </c>
    </row>
    <row r="1738" ht="16.5" spans="1:43">
      <c r="A1738">
        <v>10327</v>
      </c>
      <c r="B1738" s="334" t="s">
        <v>6085</v>
      </c>
      <c r="C1738" s="334" t="s">
        <v>6089</v>
      </c>
      <c r="D1738">
        <v>1</v>
      </c>
      <c r="E1738">
        <v>0</v>
      </c>
      <c r="G1738">
        <v>1</v>
      </c>
      <c r="H1738" s="5" t="s">
        <v>6090</v>
      </c>
      <c r="I1738">
        <f>59/30</f>
        <v>1.96666666666667</v>
      </c>
      <c r="J1738">
        <f>59/30</f>
        <v>1.96666666666667</v>
      </c>
      <c r="L1738">
        <v>0</v>
      </c>
      <c r="M1738">
        <f t="shared" si="186"/>
        <v>1.56666666666667</v>
      </c>
      <c r="N1738" t="s">
        <v>6091</v>
      </c>
      <c r="O1738">
        <v>1</v>
      </c>
      <c r="P1738">
        <v>1.4</v>
      </c>
      <c r="Q1738">
        <v>0</v>
      </c>
      <c r="R1738">
        <v>1</v>
      </c>
      <c r="S1738">
        <v>-0.2</v>
      </c>
      <c r="U1738">
        <v>0.2</v>
      </c>
      <c r="V1738">
        <v>1</v>
      </c>
      <c r="W1738">
        <v>0</v>
      </c>
      <c r="X1738" s="7">
        <v>3</v>
      </c>
      <c r="Y1738">
        <v>-0.1</v>
      </c>
      <c r="Z1738">
        <v>0</v>
      </c>
      <c r="AN1738" s="10"/>
      <c r="AP1738" s="267">
        <v>1663</v>
      </c>
      <c r="AQ1738" t="s">
        <v>136</v>
      </c>
    </row>
    <row r="1739" ht="16.5" spans="1:44">
      <c r="A1739">
        <v>10328</v>
      </c>
      <c r="B1739" s="334" t="s">
        <v>6085</v>
      </c>
      <c r="C1739" s="334" t="s">
        <v>6092</v>
      </c>
      <c r="D1739">
        <v>2</v>
      </c>
      <c r="E1739">
        <v>1</v>
      </c>
      <c r="G1739">
        <v>1</v>
      </c>
      <c r="H1739" s="5" t="s">
        <v>6093</v>
      </c>
      <c r="I1739">
        <f>240/30</f>
        <v>8</v>
      </c>
      <c r="J1739">
        <f>240/30</f>
        <v>8</v>
      </c>
      <c r="L1739">
        <v>0</v>
      </c>
      <c r="M1739">
        <f t="shared" si="186"/>
        <v>7.6</v>
      </c>
      <c r="N1739" t="s">
        <v>6094</v>
      </c>
      <c r="O1739">
        <v>1</v>
      </c>
      <c r="P1739">
        <v>1.4</v>
      </c>
      <c r="Q1739">
        <v>0</v>
      </c>
      <c r="V1739">
        <v>1000</v>
      </c>
      <c r="W1739">
        <v>0</v>
      </c>
      <c r="X1739" s="7">
        <v>0</v>
      </c>
      <c r="Y1739">
        <v>-0.1</v>
      </c>
      <c r="Z1739">
        <v>0</v>
      </c>
      <c r="AB1739">
        <v>7.7</v>
      </c>
      <c r="AC1739">
        <v>2</v>
      </c>
      <c r="AD1739">
        <v>1</v>
      </c>
      <c r="AE1739" t="s">
        <v>6095</v>
      </c>
      <c r="AF1739">
        <v>0.5</v>
      </c>
      <c r="AN1739" s="10"/>
      <c r="AP1739" s="267">
        <v>1664</v>
      </c>
      <c r="AQ1739" t="s">
        <v>136</v>
      </c>
      <c r="AR1739" s="749" t="s">
        <v>1550</v>
      </c>
    </row>
    <row r="1740" ht="16.5" spans="1:43">
      <c r="A1740">
        <v>10329</v>
      </c>
      <c r="B1740" s="334" t="s">
        <v>6085</v>
      </c>
      <c r="C1740" s="334" t="s">
        <v>6096</v>
      </c>
      <c r="D1740">
        <v>1</v>
      </c>
      <c r="E1740">
        <v>0</v>
      </c>
      <c r="G1740">
        <v>1</v>
      </c>
      <c r="H1740" s="5" t="s">
        <v>6097</v>
      </c>
      <c r="I1740">
        <f>190/30</f>
        <v>6.33333333333333</v>
      </c>
      <c r="J1740">
        <f>190/30</f>
        <v>6.33333333333333</v>
      </c>
      <c r="L1740">
        <v>0</v>
      </c>
      <c r="M1740">
        <f t="shared" si="186"/>
        <v>5.93333333333333</v>
      </c>
      <c r="N1740" t="s">
        <v>6098</v>
      </c>
      <c r="O1740">
        <v>1</v>
      </c>
      <c r="P1740">
        <v>1.4</v>
      </c>
      <c r="Q1740">
        <v>0</v>
      </c>
      <c r="S1740">
        <v>-0.2</v>
      </c>
      <c r="U1740">
        <v>0.2</v>
      </c>
      <c r="V1740">
        <v>1</v>
      </c>
      <c r="W1740">
        <v>4</v>
      </c>
      <c r="X1740" s="7">
        <v>5</v>
      </c>
      <c r="Y1740">
        <v>-0.1</v>
      </c>
      <c r="Z1740">
        <v>0</v>
      </c>
      <c r="AN1740" s="10"/>
      <c r="AP1740" s="267">
        <v>1665</v>
      </c>
      <c r="AQ1740" t="s">
        <v>136</v>
      </c>
    </row>
    <row r="1741" ht="16.5" spans="1:42">
      <c r="A1741">
        <v>10330</v>
      </c>
      <c r="B1741" s="334" t="s">
        <v>6085</v>
      </c>
      <c r="C1741" s="334" t="s">
        <v>6099</v>
      </c>
      <c r="D1741">
        <v>1</v>
      </c>
      <c r="E1741">
        <v>0</v>
      </c>
      <c r="G1741">
        <v>1</v>
      </c>
      <c r="H1741" s="5" t="s">
        <v>6100</v>
      </c>
      <c r="I1741">
        <f>90/30</f>
        <v>3</v>
      </c>
      <c r="J1741">
        <f>90/30</f>
        <v>3</v>
      </c>
      <c r="L1741">
        <v>0</v>
      </c>
      <c r="M1741">
        <f t="shared" si="186"/>
        <v>2.6</v>
      </c>
      <c r="N1741" t="s">
        <v>6101</v>
      </c>
      <c r="O1741">
        <v>1</v>
      </c>
      <c r="P1741">
        <v>1.4</v>
      </c>
      <c r="Q1741">
        <v>1</v>
      </c>
      <c r="S1741">
        <v>-0.2</v>
      </c>
      <c r="U1741">
        <v>0.2</v>
      </c>
      <c r="V1741">
        <v>1</v>
      </c>
      <c r="W1741">
        <v>6</v>
      </c>
      <c r="X1741" s="7">
        <v>2</v>
      </c>
      <c r="Y1741">
        <v>-0.1</v>
      </c>
      <c r="Z1741">
        <v>0</v>
      </c>
      <c r="AN1741" s="10"/>
      <c r="AP1741" s="267"/>
    </row>
    <row r="1742" ht="16.5" spans="1:43">
      <c r="A1742">
        <v>10331</v>
      </c>
      <c r="B1742" s="334" t="s">
        <v>6085</v>
      </c>
      <c r="C1742" s="334" t="s">
        <v>6102</v>
      </c>
      <c r="D1742">
        <v>1</v>
      </c>
      <c r="E1742">
        <v>0</v>
      </c>
      <c r="G1742">
        <v>1</v>
      </c>
      <c r="H1742" s="5" t="s">
        <v>6103</v>
      </c>
      <c r="I1742">
        <f>189/30</f>
        <v>6.3</v>
      </c>
      <c r="J1742">
        <f>189/30</f>
        <v>6.3</v>
      </c>
      <c r="L1742">
        <v>0</v>
      </c>
      <c r="M1742">
        <f t="shared" si="186"/>
        <v>5.9</v>
      </c>
      <c r="N1742" t="s">
        <v>6104</v>
      </c>
      <c r="O1742">
        <v>1</v>
      </c>
      <c r="P1742">
        <v>1.4</v>
      </c>
      <c r="Q1742">
        <v>0</v>
      </c>
      <c r="V1742">
        <v>1</v>
      </c>
      <c r="W1742">
        <v>0</v>
      </c>
      <c r="X1742" s="7">
        <v>8</v>
      </c>
      <c r="Y1742">
        <v>-0.1</v>
      </c>
      <c r="Z1742">
        <v>0</v>
      </c>
      <c r="AB1742">
        <v>6</v>
      </c>
      <c r="AC1742">
        <v>2</v>
      </c>
      <c r="AD1742">
        <v>1</v>
      </c>
      <c r="AE1742" t="s">
        <v>6105</v>
      </c>
      <c r="AF1742">
        <v>0.5</v>
      </c>
      <c r="AN1742" s="10"/>
      <c r="AP1742" s="267">
        <v>1667</v>
      </c>
      <c r="AQ1742" t="s">
        <v>136</v>
      </c>
    </row>
    <row r="1743" ht="16.5" spans="1:43">
      <c r="A1743">
        <v>10332</v>
      </c>
      <c r="B1743" s="334" t="s">
        <v>6085</v>
      </c>
      <c r="C1743" s="334" t="s">
        <v>6106</v>
      </c>
      <c r="D1743">
        <v>1</v>
      </c>
      <c r="E1743">
        <v>0</v>
      </c>
      <c r="G1743">
        <v>1</v>
      </c>
      <c r="H1743" s="5" t="s">
        <v>6107</v>
      </c>
      <c r="I1743">
        <f>332/30</f>
        <v>11.0666666666667</v>
      </c>
      <c r="J1743">
        <f>332/30</f>
        <v>11.0666666666667</v>
      </c>
      <c r="L1743">
        <v>0</v>
      </c>
      <c r="M1743">
        <f t="shared" si="186"/>
        <v>10.6666666666667</v>
      </c>
      <c r="N1743" t="s">
        <v>6108</v>
      </c>
      <c r="O1743">
        <v>3</v>
      </c>
      <c r="P1743">
        <v>1.4</v>
      </c>
      <c r="Q1743">
        <v>0</v>
      </c>
      <c r="V1743">
        <v>1</v>
      </c>
      <c r="W1743">
        <v>6</v>
      </c>
      <c r="X1743" s="7">
        <v>5</v>
      </c>
      <c r="Y1743">
        <v>-0.1</v>
      </c>
      <c r="Z1743">
        <v>0</v>
      </c>
      <c r="AB1743">
        <v>10.8</v>
      </c>
      <c r="AC1743">
        <v>2</v>
      </c>
      <c r="AD1743">
        <v>1</v>
      </c>
      <c r="AE1743" t="s">
        <v>6109</v>
      </c>
      <c r="AF1743">
        <v>0.5</v>
      </c>
      <c r="AN1743" s="10"/>
      <c r="AP1743" s="267">
        <v>1668</v>
      </c>
      <c r="AQ1743" t="s">
        <v>136</v>
      </c>
    </row>
    <row r="1744" ht="16.5" spans="1:43">
      <c r="A1744">
        <v>10333</v>
      </c>
      <c r="B1744" s="334" t="s">
        <v>5941</v>
      </c>
      <c r="C1744" s="334" t="s">
        <v>6110</v>
      </c>
      <c r="D1744">
        <v>1</v>
      </c>
      <c r="E1744">
        <v>0</v>
      </c>
      <c r="G1744">
        <v>1</v>
      </c>
      <c r="H1744" s="5" t="s">
        <v>6111</v>
      </c>
      <c r="I1744">
        <f>60/30</f>
        <v>2</v>
      </c>
      <c r="J1744">
        <f>60/30</f>
        <v>2</v>
      </c>
      <c r="L1744">
        <v>0</v>
      </c>
      <c r="M1744">
        <f t="shared" si="186"/>
        <v>1.6</v>
      </c>
      <c r="N1744" t="s">
        <v>6112</v>
      </c>
      <c r="O1744">
        <v>1</v>
      </c>
      <c r="P1744">
        <v>2.85</v>
      </c>
      <c r="Q1744">
        <v>0</v>
      </c>
      <c r="S1744">
        <v>0.85</v>
      </c>
      <c r="T1744">
        <v>1</v>
      </c>
      <c r="U1744">
        <v>1</v>
      </c>
      <c r="V1744">
        <v>1</v>
      </c>
      <c r="W1744">
        <v>4</v>
      </c>
      <c r="X1744" s="7">
        <v>1</v>
      </c>
      <c r="Y1744">
        <v>-0.1</v>
      </c>
      <c r="Z1744">
        <v>0</v>
      </c>
      <c r="AN1744" s="10"/>
      <c r="AP1744" s="267">
        <v>1557</v>
      </c>
      <c r="AQ1744" t="s">
        <v>136</v>
      </c>
    </row>
    <row r="1745" ht="16.5" spans="1:44">
      <c r="A1745">
        <v>10334</v>
      </c>
      <c r="B1745" s="334" t="s">
        <v>5941</v>
      </c>
      <c r="C1745" s="334" t="s">
        <v>6113</v>
      </c>
      <c r="D1745">
        <v>1</v>
      </c>
      <c r="E1745">
        <v>0</v>
      </c>
      <c r="G1745">
        <v>1</v>
      </c>
      <c r="H1745" s="5" t="s">
        <v>6114</v>
      </c>
      <c r="I1745">
        <f>160/30</f>
        <v>5.33333333333333</v>
      </c>
      <c r="J1745">
        <f>160/30</f>
        <v>5.33333333333333</v>
      </c>
      <c r="L1745">
        <v>0</v>
      </c>
      <c r="M1745">
        <f t="shared" si="186"/>
        <v>4.93333333333333</v>
      </c>
      <c r="N1745" t="s">
        <v>6115</v>
      </c>
      <c r="O1745">
        <v>1</v>
      </c>
      <c r="P1745">
        <v>2.85</v>
      </c>
      <c r="Q1745">
        <v>0</v>
      </c>
      <c r="S1745">
        <v>0.85</v>
      </c>
      <c r="U1745">
        <v>1</v>
      </c>
      <c r="V1745">
        <v>1</v>
      </c>
      <c r="W1745">
        <v>6</v>
      </c>
      <c r="X1745" s="7">
        <v>1</v>
      </c>
      <c r="Y1745">
        <v>-0.1</v>
      </c>
      <c r="Z1745">
        <v>0</v>
      </c>
      <c r="AB1745">
        <v>5.31</v>
      </c>
      <c r="AC1745">
        <v>2</v>
      </c>
      <c r="AD1745">
        <v>1</v>
      </c>
      <c r="AE1745" t="s">
        <v>6116</v>
      </c>
      <c r="AF1745">
        <v>0.5</v>
      </c>
      <c r="AN1745" s="10"/>
      <c r="AP1745" s="267">
        <v>1558</v>
      </c>
      <c r="AQ1745" t="s">
        <v>136</v>
      </c>
      <c r="AR1745" s="749" t="s">
        <v>1550</v>
      </c>
    </row>
    <row r="1746" ht="16.5" spans="1:44">
      <c r="A1746">
        <v>10335</v>
      </c>
      <c r="B1746" s="334" t="s">
        <v>5955</v>
      </c>
      <c r="C1746" s="334" t="s">
        <v>6117</v>
      </c>
      <c r="D1746">
        <v>1</v>
      </c>
      <c r="E1746">
        <v>0</v>
      </c>
      <c r="G1746">
        <v>1</v>
      </c>
      <c r="H1746" s="5" t="s">
        <v>6118</v>
      </c>
      <c r="I1746">
        <f>105/30</f>
        <v>3.5</v>
      </c>
      <c r="J1746">
        <f>105/30</f>
        <v>3.5</v>
      </c>
      <c r="L1746">
        <v>0</v>
      </c>
      <c r="M1746">
        <f t="shared" si="186"/>
        <v>3.1</v>
      </c>
      <c r="N1746" t="s">
        <v>6119</v>
      </c>
      <c r="O1746">
        <v>1</v>
      </c>
      <c r="P1746">
        <v>6</v>
      </c>
      <c r="Q1746">
        <v>0</v>
      </c>
      <c r="S1746">
        <v>0.85</v>
      </c>
      <c r="U1746">
        <v>1.1</v>
      </c>
      <c r="V1746">
        <v>1</v>
      </c>
      <c r="W1746">
        <v>6</v>
      </c>
      <c r="X1746" s="7">
        <v>1</v>
      </c>
      <c r="Y1746">
        <v>-0.1</v>
      </c>
      <c r="Z1746">
        <v>0</v>
      </c>
      <c r="AB1746">
        <v>3.2</v>
      </c>
      <c r="AC1746">
        <v>2</v>
      </c>
      <c r="AD1746">
        <v>1</v>
      </c>
      <c r="AE1746" t="s">
        <v>6120</v>
      </c>
      <c r="AF1746">
        <v>0.5</v>
      </c>
      <c r="AN1746" s="10">
        <v>1565</v>
      </c>
      <c r="AO1746" t="s">
        <v>1695</v>
      </c>
      <c r="AP1746" s="267">
        <v>1564</v>
      </c>
      <c r="AQ1746" t="s">
        <v>136</v>
      </c>
      <c r="AR1746" s="749" t="s">
        <v>1550</v>
      </c>
    </row>
    <row r="1747" ht="16.5" spans="1:44">
      <c r="A1747">
        <v>10336</v>
      </c>
      <c r="B1747" s="334" t="s">
        <v>5963</v>
      </c>
      <c r="C1747" s="334" t="s">
        <v>1937</v>
      </c>
      <c r="D1747">
        <v>1</v>
      </c>
      <c r="E1747">
        <v>0</v>
      </c>
      <c r="G1747">
        <v>1</v>
      </c>
      <c r="H1747" s="5" t="s">
        <v>6121</v>
      </c>
      <c r="I1747">
        <f>120/30</f>
        <v>4</v>
      </c>
      <c r="J1747">
        <f>120/30</f>
        <v>4</v>
      </c>
      <c r="L1747">
        <v>0</v>
      </c>
      <c r="M1747">
        <f t="shared" si="186"/>
        <v>3.6</v>
      </c>
      <c r="N1747" t="s">
        <v>6122</v>
      </c>
      <c r="O1747">
        <v>1</v>
      </c>
      <c r="P1747">
        <v>2.8</v>
      </c>
      <c r="Q1747">
        <v>0</v>
      </c>
      <c r="S1747">
        <v>0.85</v>
      </c>
      <c r="U1747">
        <v>1</v>
      </c>
      <c r="V1747">
        <v>1</v>
      </c>
      <c r="W1747">
        <v>0</v>
      </c>
      <c r="X1747" s="7">
        <v>1</v>
      </c>
      <c r="Y1747">
        <v>-0.1</v>
      </c>
      <c r="Z1747">
        <v>0</v>
      </c>
      <c r="AB1747">
        <v>3.7</v>
      </c>
      <c r="AC1747">
        <v>2</v>
      </c>
      <c r="AD1747">
        <v>1</v>
      </c>
      <c r="AE1747" t="s">
        <v>6123</v>
      </c>
      <c r="AF1747">
        <v>0.5</v>
      </c>
      <c r="AN1747" s="10">
        <v>1570</v>
      </c>
      <c r="AO1747" t="s">
        <v>674</v>
      </c>
      <c r="AP1747" s="267">
        <v>1569</v>
      </c>
      <c r="AQ1747" t="s">
        <v>136</v>
      </c>
      <c r="AR1747" s="749" t="s">
        <v>1550</v>
      </c>
    </row>
    <row r="1748" ht="16.5" spans="1:43">
      <c r="A1748">
        <v>10337</v>
      </c>
      <c r="B1748" s="334" t="s">
        <v>5926</v>
      </c>
      <c r="C1748" s="334" t="s">
        <v>6124</v>
      </c>
      <c r="D1748">
        <v>2</v>
      </c>
      <c r="E1748">
        <v>1</v>
      </c>
      <c r="G1748">
        <v>1</v>
      </c>
      <c r="H1748" s="11" t="s">
        <v>6125</v>
      </c>
      <c r="I1748">
        <f>45/30</f>
        <v>1.5</v>
      </c>
      <c r="J1748">
        <f>45/30</f>
        <v>1.5</v>
      </c>
      <c r="L1748">
        <v>0</v>
      </c>
      <c r="M1748">
        <f t="shared" si="186"/>
        <v>1.1</v>
      </c>
      <c r="N1748" t="s">
        <v>6126</v>
      </c>
      <c r="O1748">
        <v>5</v>
      </c>
      <c r="P1748">
        <v>0</v>
      </c>
      <c r="Q1748">
        <v>0</v>
      </c>
      <c r="S1748">
        <v>1</v>
      </c>
      <c r="T1748">
        <v>3</v>
      </c>
      <c r="U1748">
        <v>1</v>
      </c>
      <c r="V1748">
        <v>1000</v>
      </c>
      <c r="W1748">
        <v>6</v>
      </c>
      <c r="X1748" s="7">
        <v>0</v>
      </c>
      <c r="Y1748">
        <v>-0.1</v>
      </c>
      <c r="Z1748">
        <v>0</v>
      </c>
      <c r="AN1748" s="10"/>
      <c r="AP1748" s="267">
        <v>1559</v>
      </c>
      <c r="AQ1748" t="s">
        <v>136</v>
      </c>
    </row>
    <row r="1749" ht="16.5" spans="1:43">
      <c r="A1749">
        <v>10338</v>
      </c>
      <c r="B1749" s="334" t="s">
        <v>6079</v>
      </c>
      <c r="C1749" s="334" t="s">
        <v>6127</v>
      </c>
      <c r="D1749">
        <v>1</v>
      </c>
      <c r="E1749">
        <v>0</v>
      </c>
      <c r="G1749">
        <v>2</v>
      </c>
      <c r="H1749" s="11" t="s">
        <v>6080</v>
      </c>
      <c r="I1749">
        <f>85/30</f>
        <v>2.83333333333333</v>
      </c>
      <c r="J1749">
        <f>85/30</f>
        <v>2.83333333333333</v>
      </c>
      <c r="L1749">
        <v>0</v>
      </c>
      <c r="M1749">
        <f t="shared" si="186"/>
        <v>2.43333333333333</v>
      </c>
      <c r="N1749" t="s">
        <v>6081</v>
      </c>
      <c r="O1749">
        <v>0</v>
      </c>
      <c r="P1749">
        <v>0</v>
      </c>
      <c r="Q1749">
        <v>1</v>
      </c>
      <c r="V1749">
        <v>1</v>
      </c>
      <c r="W1749">
        <v>6</v>
      </c>
      <c r="X1749" s="7">
        <v>2</v>
      </c>
      <c r="Y1749">
        <v>-0.1</v>
      </c>
      <c r="Z1749">
        <v>0</v>
      </c>
      <c r="AN1749" s="10"/>
      <c r="AP1749" s="267">
        <v>1567</v>
      </c>
      <c r="AQ1749" t="s">
        <v>136</v>
      </c>
    </row>
    <row r="1750" ht="16.5" spans="1:43">
      <c r="A1750">
        <v>10339</v>
      </c>
      <c r="B1750" s="334" t="s">
        <v>6128</v>
      </c>
      <c r="C1750" s="334" t="s">
        <v>3228</v>
      </c>
      <c r="D1750">
        <v>1</v>
      </c>
      <c r="E1750">
        <v>0</v>
      </c>
      <c r="G1750">
        <v>1</v>
      </c>
      <c r="H1750" s="5" t="s">
        <v>6129</v>
      </c>
      <c r="I1750">
        <f>70/30</f>
        <v>2.33333333333333</v>
      </c>
      <c r="J1750">
        <f>70/30</f>
        <v>2.33333333333333</v>
      </c>
      <c r="L1750">
        <v>0</v>
      </c>
      <c r="M1750">
        <f t="shared" si="186"/>
        <v>1.93333333333333</v>
      </c>
      <c r="N1750" t="s">
        <v>6130</v>
      </c>
      <c r="O1750">
        <v>1</v>
      </c>
      <c r="P1750">
        <v>2.5</v>
      </c>
      <c r="Q1750">
        <v>0</v>
      </c>
      <c r="S1750">
        <v>0</v>
      </c>
      <c r="U1750">
        <v>0.2</v>
      </c>
      <c r="V1750">
        <v>1</v>
      </c>
      <c r="W1750">
        <v>0</v>
      </c>
      <c r="X1750" s="7">
        <v>1</v>
      </c>
      <c r="Y1750">
        <v>-0.1</v>
      </c>
      <c r="Z1750">
        <v>0</v>
      </c>
      <c r="AN1750" s="10"/>
      <c r="AP1750" s="267">
        <v>1649</v>
      </c>
      <c r="AQ1750" t="s">
        <v>136</v>
      </c>
    </row>
    <row r="1751" ht="16.5" spans="1:44">
      <c r="A1751">
        <v>10340</v>
      </c>
      <c r="B1751" s="334" t="s">
        <v>6128</v>
      </c>
      <c r="C1751" s="334" t="s">
        <v>6131</v>
      </c>
      <c r="D1751">
        <v>1</v>
      </c>
      <c r="E1751">
        <v>0</v>
      </c>
      <c r="G1751">
        <v>1</v>
      </c>
      <c r="H1751" s="5" t="s">
        <v>6132</v>
      </c>
      <c r="I1751">
        <f>120/30</f>
        <v>4</v>
      </c>
      <c r="J1751">
        <f>120/30</f>
        <v>4</v>
      </c>
      <c r="L1751">
        <v>0</v>
      </c>
      <c r="M1751">
        <f t="shared" si="186"/>
        <v>3.6</v>
      </c>
      <c r="N1751" t="s">
        <v>6133</v>
      </c>
      <c r="O1751">
        <v>1</v>
      </c>
      <c r="P1751">
        <v>5</v>
      </c>
      <c r="Q1751">
        <v>0</v>
      </c>
      <c r="S1751">
        <v>0</v>
      </c>
      <c r="U1751">
        <v>0.2</v>
      </c>
      <c r="V1751">
        <v>1</v>
      </c>
      <c r="W1751">
        <v>6</v>
      </c>
      <c r="X1751" s="7">
        <v>1</v>
      </c>
      <c r="Y1751">
        <v>-0.1</v>
      </c>
      <c r="Z1751">
        <v>0</v>
      </c>
      <c r="AB1751">
        <v>3.7</v>
      </c>
      <c r="AC1751">
        <v>2</v>
      </c>
      <c r="AD1751">
        <v>1</v>
      </c>
      <c r="AE1751" t="s">
        <v>6134</v>
      </c>
      <c r="AF1751">
        <v>0.5</v>
      </c>
      <c r="AN1751" s="10"/>
      <c r="AP1751" s="267">
        <v>1650</v>
      </c>
      <c r="AQ1751" t="s">
        <v>136</v>
      </c>
      <c r="AR1751" s="749" t="s">
        <v>1550</v>
      </c>
    </row>
    <row r="1752" ht="16.5" spans="1:43">
      <c r="A1752">
        <v>10341</v>
      </c>
      <c r="B1752" s="334" t="s">
        <v>6128</v>
      </c>
      <c r="C1752" s="334" t="s">
        <v>6135</v>
      </c>
      <c r="D1752">
        <v>1</v>
      </c>
      <c r="E1752">
        <v>0</v>
      </c>
      <c r="G1752">
        <v>1</v>
      </c>
      <c r="H1752" s="5" t="s">
        <v>6136</v>
      </c>
      <c r="I1752">
        <f>82/30</f>
        <v>2.73333333333333</v>
      </c>
      <c r="J1752">
        <f>82/30</f>
        <v>2.73333333333333</v>
      </c>
      <c r="L1752">
        <v>0</v>
      </c>
      <c r="M1752">
        <f t="shared" si="186"/>
        <v>2.33333333333333</v>
      </c>
      <c r="N1752" t="s">
        <v>6137</v>
      </c>
      <c r="O1752">
        <v>1</v>
      </c>
      <c r="P1752">
        <v>2.5</v>
      </c>
      <c r="Q1752">
        <v>0</v>
      </c>
      <c r="S1752">
        <v>1</v>
      </c>
      <c r="U1752">
        <v>0.4</v>
      </c>
      <c r="V1752">
        <v>1</v>
      </c>
      <c r="W1752">
        <v>4</v>
      </c>
      <c r="X1752" s="7">
        <v>1</v>
      </c>
      <c r="Y1752">
        <v>-0.1</v>
      </c>
      <c r="Z1752">
        <v>0</v>
      </c>
      <c r="AN1752" s="10"/>
      <c r="AP1752" s="267">
        <v>1651</v>
      </c>
      <c r="AQ1752" t="s">
        <v>136</v>
      </c>
    </row>
    <row r="1753" ht="16.5" spans="1:43">
      <c r="A1753">
        <v>10342</v>
      </c>
      <c r="B1753" s="334" t="s">
        <v>6128</v>
      </c>
      <c r="C1753" s="334" t="s">
        <v>6138</v>
      </c>
      <c r="D1753">
        <v>2</v>
      </c>
      <c r="E1753">
        <v>1</v>
      </c>
      <c r="G1753">
        <v>1</v>
      </c>
      <c r="H1753" s="5" t="s">
        <v>6139</v>
      </c>
      <c r="I1753">
        <f>56/30</f>
        <v>1.86666666666667</v>
      </c>
      <c r="J1753">
        <f>56/30</f>
        <v>1.86666666666667</v>
      </c>
      <c r="L1753">
        <v>0</v>
      </c>
      <c r="M1753">
        <f t="shared" si="186"/>
        <v>1.46666666666667</v>
      </c>
      <c r="N1753" t="s">
        <v>6140</v>
      </c>
      <c r="O1753">
        <v>5</v>
      </c>
      <c r="P1753">
        <v>0</v>
      </c>
      <c r="Q1753">
        <v>0</v>
      </c>
      <c r="S1753">
        <v>0</v>
      </c>
      <c r="U1753">
        <v>0.2</v>
      </c>
      <c r="V1753">
        <v>1000</v>
      </c>
      <c r="W1753">
        <v>0</v>
      </c>
      <c r="X1753" s="7">
        <v>0</v>
      </c>
      <c r="Y1753">
        <v>-0.1</v>
      </c>
      <c r="Z1753">
        <v>0</v>
      </c>
      <c r="AN1753" s="10"/>
      <c r="AP1753" s="267">
        <v>1652</v>
      </c>
      <c r="AQ1753" t="s">
        <v>136</v>
      </c>
    </row>
    <row r="1754" ht="16.5" spans="1:43">
      <c r="A1754">
        <v>10343</v>
      </c>
      <c r="B1754" s="334" t="s">
        <v>6128</v>
      </c>
      <c r="C1754" s="334" t="s">
        <v>6141</v>
      </c>
      <c r="D1754">
        <v>1</v>
      </c>
      <c r="E1754">
        <v>0</v>
      </c>
      <c r="G1754">
        <v>1</v>
      </c>
      <c r="H1754" s="5" t="s">
        <v>6142</v>
      </c>
      <c r="I1754">
        <f>140/30</f>
        <v>4.66666666666667</v>
      </c>
      <c r="J1754">
        <f>140/30</f>
        <v>4.66666666666667</v>
      </c>
      <c r="L1754">
        <v>0</v>
      </c>
      <c r="M1754">
        <f t="shared" si="186"/>
        <v>4.26666666666667</v>
      </c>
      <c r="N1754" t="s">
        <v>6143</v>
      </c>
      <c r="O1754">
        <v>1</v>
      </c>
      <c r="P1754">
        <v>2.5</v>
      </c>
      <c r="Q1754">
        <v>0</v>
      </c>
      <c r="R1754">
        <v>1</v>
      </c>
      <c r="S1754">
        <v>0</v>
      </c>
      <c r="U1754">
        <v>0.2</v>
      </c>
      <c r="V1754">
        <v>1</v>
      </c>
      <c r="W1754">
        <v>0</v>
      </c>
      <c r="X1754" s="7">
        <v>6</v>
      </c>
      <c r="Y1754">
        <v>-0.1</v>
      </c>
      <c r="Z1754">
        <v>0</v>
      </c>
      <c r="AN1754" s="10"/>
      <c r="AP1754" s="267">
        <v>1653</v>
      </c>
      <c r="AQ1754" t="s">
        <v>136</v>
      </c>
    </row>
    <row r="1755" ht="16.5" spans="1:42">
      <c r="A1755" s="23">
        <v>10344</v>
      </c>
      <c r="B1755" s="685" t="s">
        <v>6144</v>
      </c>
      <c r="C1755" s="685" t="s">
        <v>6145</v>
      </c>
      <c r="D1755">
        <v>1</v>
      </c>
      <c r="E1755">
        <v>0</v>
      </c>
      <c r="G1755">
        <v>1</v>
      </c>
      <c r="H1755" s="5" t="s">
        <v>6146</v>
      </c>
      <c r="I1755">
        <f>98/30</f>
        <v>3.26666666666667</v>
      </c>
      <c r="J1755">
        <f>98/30</f>
        <v>3.26666666666667</v>
      </c>
      <c r="L1755">
        <v>0</v>
      </c>
      <c r="M1755">
        <f t="shared" si="186"/>
        <v>2.86666666666667</v>
      </c>
      <c r="O1755">
        <v>1</v>
      </c>
      <c r="P1755">
        <v>3.3</v>
      </c>
      <c r="Q1755">
        <v>0</v>
      </c>
      <c r="S1755">
        <v>0.6</v>
      </c>
      <c r="U1755">
        <v>0.7</v>
      </c>
      <c r="V1755">
        <v>1</v>
      </c>
      <c r="W1755">
        <v>0</v>
      </c>
      <c r="X1755" s="7">
        <v>5</v>
      </c>
      <c r="Y1755">
        <v>-0.1</v>
      </c>
      <c r="Z1755">
        <v>0</v>
      </c>
      <c r="AN1755" s="10"/>
      <c r="AP1755" s="267"/>
    </row>
    <row r="1756" ht="16.5" spans="1:42">
      <c r="A1756" s="23">
        <v>10345</v>
      </c>
      <c r="B1756" s="685" t="s">
        <v>6144</v>
      </c>
      <c r="C1756" s="685" t="s">
        <v>6147</v>
      </c>
      <c r="D1756">
        <v>1</v>
      </c>
      <c r="E1756">
        <v>0</v>
      </c>
      <c r="G1756">
        <v>1</v>
      </c>
      <c r="H1756" s="5" t="s">
        <v>6148</v>
      </c>
      <c r="I1756">
        <f>90/30</f>
        <v>3</v>
      </c>
      <c r="J1756">
        <f>90/30</f>
        <v>3</v>
      </c>
      <c r="L1756">
        <v>0</v>
      </c>
      <c r="M1756">
        <f t="shared" si="186"/>
        <v>2.6</v>
      </c>
      <c r="O1756">
        <v>1</v>
      </c>
      <c r="P1756">
        <v>3.3</v>
      </c>
      <c r="Q1756">
        <v>0</v>
      </c>
      <c r="R1756">
        <v>1</v>
      </c>
      <c r="S1756">
        <v>0.6</v>
      </c>
      <c r="U1756">
        <v>0.7</v>
      </c>
      <c r="V1756">
        <v>1</v>
      </c>
      <c r="W1756">
        <v>0</v>
      </c>
      <c r="X1756" s="7">
        <v>5</v>
      </c>
      <c r="Y1756">
        <v>-0.1</v>
      </c>
      <c r="Z1756">
        <v>0</v>
      </c>
      <c r="AN1756" s="10"/>
      <c r="AP1756" s="267"/>
    </row>
    <row r="1757" ht="16.5" spans="1:42">
      <c r="A1757" s="23">
        <v>10346</v>
      </c>
      <c r="B1757" s="685" t="s">
        <v>6144</v>
      </c>
      <c r="C1757" s="685" t="s">
        <v>6149</v>
      </c>
      <c r="D1757">
        <v>1</v>
      </c>
      <c r="E1757">
        <v>0</v>
      </c>
      <c r="G1757">
        <v>1</v>
      </c>
      <c r="H1757" s="5" t="s">
        <v>6150</v>
      </c>
      <c r="I1757">
        <f>91/30</f>
        <v>3.03333333333333</v>
      </c>
      <c r="J1757">
        <f>91/30</f>
        <v>3.03333333333333</v>
      </c>
      <c r="L1757">
        <v>0</v>
      </c>
      <c r="M1757">
        <f t="shared" si="186"/>
        <v>2.63333333333333</v>
      </c>
      <c r="O1757">
        <v>1</v>
      </c>
      <c r="P1757">
        <v>3.3</v>
      </c>
      <c r="Q1757">
        <v>0</v>
      </c>
      <c r="S1757">
        <v>0.6</v>
      </c>
      <c r="U1757">
        <v>0.7</v>
      </c>
      <c r="V1757">
        <v>1</v>
      </c>
      <c r="W1757">
        <v>0</v>
      </c>
      <c r="X1757" s="7">
        <v>5</v>
      </c>
      <c r="Y1757">
        <v>-0.1</v>
      </c>
      <c r="Z1757">
        <v>0</v>
      </c>
      <c r="AN1757" s="10"/>
      <c r="AP1757" s="267"/>
    </row>
    <row r="1758" ht="16.5" spans="1:43">
      <c r="A1758">
        <v>10347</v>
      </c>
      <c r="B1758" s="334" t="s">
        <v>6144</v>
      </c>
      <c r="C1758" s="334" t="s">
        <v>6138</v>
      </c>
      <c r="D1758">
        <v>2</v>
      </c>
      <c r="E1758">
        <v>1</v>
      </c>
      <c r="G1758">
        <v>1</v>
      </c>
      <c r="H1758" s="5" t="s">
        <v>6151</v>
      </c>
      <c r="I1758">
        <f>118/30</f>
        <v>3.93333333333333</v>
      </c>
      <c r="J1758">
        <f>118/30</f>
        <v>3.93333333333333</v>
      </c>
      <c r="L1758">
        <v>0</v>
      </c>
      <c r="M1758">
        <f t="shared" si="186"/>
        <v>3.53333333333333</v>
      </c>
      <c r="N1758" t="s">
        <v>6152</v>
      </c>
      <c r="O1758">
        <v>5</v>
      </c>
      <c r="P1758">
        <v>0</v>
      </c>
      <c r="Q1758">
        <v>0</v>
      </c>
      <c r="S1758">
        <v>0.6</v>
      </c>
      <c r="U1758">
        <v>0.2</v>
      </c>
      <c r="V1758">
        <v>1000</v>
      </c>
      <c r="W1758">
        <v>0</v>
      </c>
      <c r="X1758" s="7">
        <v>0</v>
      </c>
      <c r="Y1758">
        <v>-0.1</v>
      </c>
      <c r="Z1758">
        <v>0</v>
      </c>
      <c r="AN1758" s="10"/>
      <c r="AP1758" s="267">
        <v>1658</v>
      </c>
      <c r="AQ1758" t="s">
        <v>136</v>
      </c>
    </row>
    <row r="1759" ht="16.5" spans="1:43">
      <c r="A1759">
        <v>10348</v>
      </c>
      <c r="B1759" s="334" t="s">
        <v>6144</v>
      </c>
      <c r="C1759" s="334" t="s">
        <v>6141</v>
      </c>
      <c r="D1759">
        <v>1</v>
      </c>
      <c r="E1759">
        <v>0</v>
      </c>
      <c r="G1759">
        <v>1</v>
      </c>
      <c r="H1759" s="5" t="s">
        <v>6153</v>
      </c>
      <c r="I1759">
        <f>63/30</f>
        <v>2.1</v>
      </c>
      <c r="J1759">
        <f>63/30</f>
        <v>2.1</v>
      </c>
      <c r="L1759">
        <v>0</v>
      </c>
      <c r="M1759">
        <f t="shared" si="186"/>
        <v>1.7</v>
      </c>
      <c r="N1759" t="s">
        <v>6154</v>
      </c>
      <c r="O1759">
        <v>1</v>
      </c>
      <c r="P1759">
        <v>3.3</v>
      </c>
      <c r="Q1759">
        <v>0</v>
      </c>
      <c r="S1759">
        <v>0.6</v>
      </c>
      <c r="U1759">
        <v>0.7</v>
      </c>
      <c r="V1759">
        <v>1</v>
      </c>
      <c r="W1759">
        <v>0</v>
      </c>
      <c r="X1759" s="7">
        <v>1</v>
      </c>
      <c r="Y1759">
        <v>-0.1</v>
      </c>
      <c r="Z1759">
        <v>0</v>
      </c>
      <c r="AN1759" s="10"/>
      <c r="AP1759" s="267">
        <v>1659</v>
      </c>
      <c r="AQ1759" t="s">
        <v>136</v>
      </c>
    </row>
    <row r="1760" ht="16.5" spans="1:43">
      <c r="A1760">
        <v>10349</v>
      </c>
      <c r="B1760" s="334" t="s">
        <v>6144</v>
      </c>
      <c r="C1760" s="334" t="s">
        <v>6155</v>
      </c>
      <c r="D1760">
        <v>1</v>
      </c>
      <c r="E1760">
        <v>0</v>
      </c>
      <c r="G1760">
        <v>1</v>
      </c>
      <c r="H1760" s="5" t="s">
        <v>6156</v>
      </c>
      <c r="I1760">
        <f>74/30</f>
        <v>2.46666666666667</v>
      </c>
      <c r="J1760">
        <f>74/30</f>
        <v>2.46666666666667</v>
      </c>
      <c r="L1760">
        <v>0</v>
      </c>
      <c r="M1760">
        <f t="shared" si="186"/>
        <v>2.06666666666667</v>
      </c>
      <c r="N1760" t="s">
        <v>6157</v>
      </c>
      <c r="O1760">
        <v>1</v>
      </c>
      <c r="P1760">
        <v>3.3</v>
      </c>
      <c r="Q1760">
        <v>0</v>
      </c>
      <c r="S1760">
        <v>0.6</v>
      </c>
      <c r="U1760">
        <v>0.7</v>
      </c>
      <c r="V1760">
        <v>1</v>
      </c>
      <c r="W1760">
        <v>0</v>
      </c>
      <c r="X1760" s="7">
        <v>3</v>
      </c>
      <c r="Y1760">
        <v>-0.1</v>
      </c>
      <c r="Z1760">
        <v>0</v>
      </c>
      <c r="AN1760" s="10"/>
      <c r="AP1760" s="267">
        <v>1660</v>
      </c>
      <c r="AQ1760" t="s">
        <v>136</v>
      </c>
    </row>
    <row r="1761" ht="16.5" spans="1:43">
      <c r="A1761">
        <v>10350</v>
      </c>
      <c r="B1761" s="334" t="s">
        <v>6144</v>
      </c>
      <c r="C1761" s="334" t="s">
        <v>6158</v>
      </c>
      <c r="D1761">
        <v>1</v>
      </c>
      <c r="E1761">
        <v>0</v>
      </c>
      <c r="G1761">
        <v>1</v>
      </c>
      <c r="H1761" s="5" t="s">
        <v>6159</v>
      </c>
      <c r="I1761">
        <f>120/30</f>
        <v>4</v>
      </c>
      <c r="J1761">
        <f>120/30</f>
        <v>4</v>
      </c>
      <c r="L1761">
        <v>0</v>
      </c>
      <c r="M1761">
        <f t="shared" si="186"/>
        <v>3.6</v>
      </c>
      <c r="N1761" t="s">
        <v>6160</v>
      </c>
      <c r="O1761">
        <v>1</v>
      </c>
      <c r="P1761">
        <v>-2</v>
      </c>
      <c r="Q1761">
        <v>0</v>
      </c>
      <c r="S1761">
        <v>0.6</v>
      </c>
      <c r="U1761">
        <v>0.7</v>
      </c>
      <c r="V1761">
        <v>1</v>
      </c>
      <c r="W1761">
        <v>0</v>
      </c>
      <c r="X1761" s="7">
        <v>5</v>
      </c>
      <c r="Y1761">
        <v>-0.1</v>
      </c>
      <c r="Z1761">
        <v>0</v>
      </c>
      <c r="AB1761">
        <v>3.7</v>
      </c>
      <c r="AC1761">
        <v>2</v>
      </c>
      <c r="AD1761">
        <v>1</v>
      </c>
      <c r="AE1761" t="s">
        <v>6161</v>
      </c>
      <c r="AF1761">
        <v>0.5</v>
      </c>
      <c r="AG1761" t="s">
        <v>6162</v>
      </c>
      <c r="AN1761" s="10"/>
      <c r="AP1761" s="267">
        <v>1661</v>
      </c>
      <c r="AQ1761" t="s">
        <v>136</v>
      </c>
    </row>
    <row r="1762" ht="16.5" spans="1:43">
      <c r="A1762">
        <v>10351</v>
      </c>
      <c r="B1762" s="334" t="s">
        <v>6163</v>
      </c>
      <c r="C1762" s="334" t="s">
        <v>3228</v>
      </c>
      <c r="D1762">
        <v>1</v>
      </c>
      <c r="E1762">
        <v>0</v>
      </c>
      <c r="G1762">
        <v>1</v>
      </c>
      <c r="H1762" s="5" t="s">
        <v>6164</v>
      </c>
      <c r="I1762">
        <f>65/30</f>
        <v>2.16666666666667</v>
      </c>
      <c r="J1762">
        <f>65/30</f>
        <v>2.16666666666667</v>
      </c>
      <c r="L1762">
        <v>0</v>
      </c>
      <c r="M1762">
        <f t="shared" si="186"/>
        <v>1.76666666666667</v>
      </c>
      <c r="N1762" t="s">
        <v>6165</v>
      </c>
      <c r="O1762">
        <v>1</v>
      </c>
      <c r="P1762">
        <v>2.12</v>
      </c>
      <c r="Q1762">
        <v>0</v>
      </c>
      <c r="S1762">
        <v>0</v>
      </c>
      <c r="U1762">
        <v>0.32</v>
      </c>
      <c r="V1762">
        <v>1</v>
      </c>
      <c r="W1762">
        <v>0</v>
      </c>
      <c r="X1762" s="7">
        <v>3</v>
      </c>
      <c r="Y1762">
        <v>-0.1</v>
      </c>
      <c r="Z1762">
        <v>0</v>
      </c>
      <c r="AN1762" s="10"/>
      <c r="AP1762" s="267">
        <v>1615</v>
      </c>
      <c r="AQ1762" t="s">
        <v>136</v>
      </c>
    </row>
    <row r="1763" ht="16.5" spans="1:43">
      <c r="A1763">
        <v>10352</v>
      </c>
      <c r="B1763" s="334" t="s">
        <v>6163</v>
      </c>
      <c r="C1763" s="334" t="s">
        <v>6166</v>
      </c>
      <c r="D1763">
        <v>1</v>
      </c>
      <c r="E1763">
        <v>0</v>
      </c>
      <c r="G1763">
        <v>1</v>
      </c>
      <c r="H1763" s="5" t="s">
        <v>6167</v>
      </c>
      <c r="I1763">
        <f>58/30</f>
        <v>1.93333333333333</v>
      </c>
      <c r="J1763">
        <f>58/30</f>
        <v>1.93333333333333</v>
      </c>
      <c r="L1763">
        <v>0</v>
      </c>
      <c r="M1763">
        <f t="shared" si="186"/>
        <v>1.53333333333333</v>
      </c>
      <c r="N1763" t="s">
        <v>6168</v>
      </c>
      <c r="O1763">
        <v>1</v>
      </c>
      <c r="P1763">
        <v>2.12</v>
      </c>
      <c r="Q1763">
        <v>0</v>
      </c>
      <c r="R1763">
        <v>1</v>
      </c>
      <c r="S1763">
        <v>0</v>
      </c>
      <c r="U1763">
        <v>0.32</v>
      </c>
      <c r="V1763">
        <v>1</v>
      </c>
      <c r="W1763">
        <v>7</v>
      </c>
      <c r="X1763" s="7">
        <v>3</v>
      </c>
      <c r="Y1763">
        <v>-0.1</v>
      </c>
      <c r="Z1763">
        <v>0</v>
      </c>
      <c r="AN1763" s="10"/>
      <c r="AP1763" s="267">
        <v>1617</v>
      </c>
      <c r="AQ1763" t="s">
        <v>136</v>
      </c>
    </row>
    <row r="1764" ht="16.5" spans="1:52">
      <c r="A1764">
        <v>10353</v>
      </c>
      <c r="B1764" s="334" t="s">
        <v>6163</v>
      </c>
      <c r="C1764" s="334" t="s">
        <v>6135</v>
      </c>
      <c r="D1764">
        <v>1</v>
      </c>
      <c r="E1764">
        <v>0</v>
      </c>
      <c r="G1764">
        <v>1</v>
      </c>
      <c r="H1764" s="5" t="s">
        <v>6169</v>
      </c>
      <c r="I1764">
        <f>55/30</f>
        <v>1.83333333333333</v>
      </c>
      <c r="J1764">
        <f>55/30</f>
        <v>1.83333333333333</v>
      </c>
      <c r="L1764">
        <v>0</v>
      </c>
      <c r="M1764">
        <f t="shared" si="186"/>
        <v>1.43333333333333</v>
      </c>
      <c r="N1764" t="s">
        <v>6170</v>
      </c>
      <c r="O1764">
        <v>1</v>
      </c>
      <c r="P1764">
        <v>2.12</v>
      </c>
      <c r="Q1764">
        <v>0</v>
      </c>
      <c r="S1764">
        <v>1.2</v>
      </c>
      <c r="T1764">
        <v>1.4</v>
      </c>
      <c r="U1764">
        <v>0.32</v>
      </c>
      <c r="V1764">
        <v>1</v>
      </c>
      <c r="W1764">
        <v>4</v>
      </c>
      <c r="X1764" s="7">
        <v>1</v>
      </c>
      <c r="Y1764">
        <v>-0.1</v>
      </c>
      <c r="Z1764">
        <v>0</v>
      </c>
      <c r="AN1764" s="10"/>
      <c r="AP1764" s="267">
        <v>1618</v>
      </c>
      <c r="AQ1764" t="s">
        <v>136</v>
      </c>
      <c r="AY1764" s="37"/>
      <c r="AZ1764" s="37"/>
    </row>
    <row r="1765" ht="16.5" spans="1:52">
      <c r="A1765">
        <v>10354</v>
      </c>
      <c r="B1765" s="334" t="s">
        <v>6163</v>
      </c>
      <c r="C1765" s="334" t="s">
        <v>6171</v>
      </c>
      <c r="D1765">
        <v>1</v>
      </c>
      <c r="E1765">
        <v>0</v>
      </c>
      <c r="G1765">
        <v>1</v>
      </c>
      <c r="H1765" s="5" t="s">
        <v>6172</v>
      </c>
      <c r="I1765">
        <f>122/30</f>
        <v>4.06666666666667</v>
      </c>
      <c r="J1765">
        <f>122/30</f>
        <v>4.06666666666667</v>
      </c>
      <c r="L1765">
        <v>0</v>
      </c>
      <c r="M1765">
        <f t="shared" si="186"/>
        <v>3.66666666666667</v>
      </c>
      <c r="N1765" t="s">
        <v>6173</v>
      </c>
      <c r="O1765">
        <v>1</v>
      </c>
      <c r="P1765">
        <v>2.12</v>
      </c>
      <c r="Q1765">
        <v>0</v>
      </c>
      <c r="S1765">
        <v>0</v>
      </c>
      <c r="U1765">
        <v>0.32</v>
      </c>
      <c r="V1765">
        <v>1</v>
      </c>
      <c r="W1765">
        <v>0</v>
      </c>
      <c r="X1765" s="7">
        <v>7</v>
      </c>
      <c r="Y1765">
        <v>-0.1</v>
      </c>
      <c r="Z1765">
        <v>0</v>
      </c>
      <c r="AN1765" s="10"/>
      <c r="AP1765" s="267">
        <v>1620</v>
      </c>
      <c r="AQ1765" t="s">
        <v>136</v>
      </c>
      <c r="AY1765" s="37"/>
      <c r="AZ1765" s="37"/>
    </row>
    <row r="1766" ht="16.5" spans="1:52">
      <c r="A1766">
        <v>10355</v>
      </c>
      <c r="B1766" s="334" t="s">
        <v>6163</v>
      </c>
      <c r="C1766" s="334" t="s">
        <v>6174</v>
      </c>
      <c r="D1766">
        <v>2</v>
      </c>
      <c r="E1766">
        <v>1</v>
      </c>
      <c r="G1766">
        <v>1</v>
      </c>
      <c r="H1766" s="5" t="s">
        <v>6175</v>
      </c>
      <c r="I1766">
        <f>98/30</f>
        <v>3.26666666666667</v>
      </c>
      <c r="J1766">
        <f>98/30</f>
        <v>3.26666666666667</v>
      </c>
      <c r="L1766">
        <v>0</v>
      </c>
      <c r="M1766">
        <f t="shared" si="186"/>
        <v>2.86666666666667</v>
      </c>
      <c r="N1766" t="s">
        <v>6176</v>
      </c>
      <c r="O1766">
        <v>5</v>
      </c>
      <c r="P1766">
        <v>0</v>
      </c>
      <c r="Q1766">
        <v>0</v>
      </c>
      <c r="S1766">
        <v>0.3</v>
      </c>
      <c r="U1766">
        <v>0.1</v>
      </c>
      <c r="V1766">
        <v>1000</v>
      </c>
      <c r="W1766">
        <v>0</v>
      </c>
      <c r="X1766" s="7">
        <v>0</v>
      </c>
      <c r="Y1766">
        <v>-0.1</v>
      </c>
      <c r="Z1766">
        <v>0</v>
      </c>
      <c r="AN1766" s="10"/>
      <c r="AP1766" s="267">
        <v>1621</v>
      </c>
      <c r="AQ1766" t="s">
        <v>136</v>
      </c>
      <c r="AY1766" s="37"/>
      <c r="AZ1766" s="37"/>
    </row>
    <row r="1767" ht="16.5" spans="1:52">
      <c r="A1767">
        <v>10356</v>
      </c>
      <c r="B1767" s="334" t="s">
        <v>6163</v>
      </c>
      <c r="C1767" s="334" t="s">
        <v>6177</v>
      </c>
      <c r="D1767">
        <v>1</v>
      </c>
      <c r="E1767">
        <v>0</v>
      </c>
      <c r="G1767">
        <v>1</v>
      </c>
      <c r="H1767" s="5" t="s">
        <v>6178</v>
      </c>
      <c r="I1767">
        <f>150/30</f>
        <v>5</v>
      </c>
      <c r="J1767">
        <f>150/30</f>
        <v>5</v>
      </c>
      <c r="L1767">
        <v>0</v>
      </c>
      <c r="M1767">
        <f t="shared" si="186"/>
        <v>4.6</v>
      </c>
      <c r="N1767" t="s">
        <v>6179</v>
      </c>
      <c r="O1767">
        <v>1</v>
      </c>
      <c r="P1767">
        <v>2</v>
      </c>
      <c r="Q1767">
        <v>0</v>
      </c>
      <c r="S1767">
        <v>0.3</v>
      </c>
      <c r="U1767">
        <v>0.3</v>
      </c>
      <c r="V1767">
        <v>1</v>
      </c>
      <c r="W1767">
        <v>0</v>
      </c>
      <c r="X1767" s="218">
        <v>3</v>
      </c>
      <c r="Y1767">
        <v>-0.1</v>
      </c>
      <c r="Z1767">
        <v>0</v>
      </c>
      <c r="AB1767" s="414">
        <v>4.7</v>
      </c>
      <c r="AC1767">
        <v>2</v>
      </c>
      <c r="AD1767">
        <v>1</v>
      </c>
      <c r="AE1767" t="s">
        <v>6180</v>
      </c>
      <c r="AF1767">
        <v>0.5</v>
      </c>
      <c r="AN1767" s="10"/>
      <c r="AP1767" s="267">
        <v>1622</v>
      </c>
      <c r="AQ1767" t="s">
        <v>136</v>
      </c>
      <c r="AR1767" s="749" t="s">
        <v>1550</v>
      </c>
      <c r="AY1767" s="37"/>
      <c r="AZ1767" s="37"/>
    </row>
    <row r="1768" ht="16.5" spans="1:52">
      <c r="A1768">
        <v>10357</v>
      </c>
      <c r="B1768" s="334" t="s">
        <v>6163</v>
      </c>
      <c r="C1768" s="334" t="s">
        <v>6158</v>
      </c>
      <c r="D1768">
        <v>1</v>
      </c>
      <c r="E1768">
        <v>0</v>
      </c>
      <c r="G1768">
        <v>1</v>
      </c>
      <c r="H1768" s="5" t="s">
        <v>6181</v>
      </c>
      <c r="I1768">
        <f>155/30</f>
        <v>5.16666666666667</v>
      </c>
      <c r="J1768">
        <f>155/30</f>
        <v>5.16666666666667</v>
      </c>
      <c r="L1768">
        <v>0</v>
      </c>
      <c r="M1768">
        <f t="shared" si="186"/>
        <v>4.76666666666667</v>
      </c>
      <c r="N1768" t="s">
        <v>6182</v>
      </c>
      <c r="O1768">
        <v>3</v>
      </c>
      <c r="P1768">
        <v>8</v>
      </c>
      <c r="Q1768">
        <v>0</v>
      </c>
      <c r="S1768">
        <v>0.3</v>
      </c>
      <c r="U1768">
        <v>0.3</v>
      </c>
      <c r="V1768">
        <v>1</v>
      </c>
      <c r="W1768">
        <v>6</v>
      </c>
      <c r="X1768" s="218">
        <v>1</v>
      </c>
      <c r="Y1768">
        <v>-0.1</v>
      </c>
      <c r="Z1768">
        <v>0</v>
      </c>
      <c r="AB1768" s="414">
        <v>4.8666</v>
      </c>
      <c r="AC1768">
        <v>2</v>
      </c>
      <c r="AD1768">
        <v>1</v>
      </c>
      <c r="AE1768" t="s">
        <v>6183</v>
      </c>
      <c r="AF1768">
        <v>0.5</v>
      </c>
      <c r="AN1768" s="10"/>
      <c r="AP1768" s="267">
        <v>1624</v>
      </c>
      <c r="AQ1768" t="s">
        <v>136</v>
      </c>
      <c r="AR1768" s="749" t="s">
        <v>1550</v>
      </c>
      <c r="AY1768" s="37"/>
      <c r="AZ1768" s="37"/>
    </row>
    <row r="1769" ht="16.5" spans="1:52">
      <c r="A1769">
        <v>10358</v>
      </c>
      <c r="B1769" s="334" t="s">
        <v>6163</v>
      </c>
      <c r="C1769" s="334" t="s">
        <v>6184</v>
      </c>
      <c r="D1769">
        <v>1</v>
      </c>
      <c r="E1769">
        <v>0</v>
      </c>
      <c r="G1769">
        <v>1</v>
      </c>
      <c r="H1769" s="5" t="s">
        <v>6185</v>
      </c>
      <c r="I1769">
        <f>119/30</f>
        <v>3.96666666666667</v>
      </c>
      <c r="J1769">
        <f>119/30</f>
        <v>3.96666666666667</v>
      </c>
      <c r="L1769">
        <v>0</v>
      </c>
      <c r="M1769">
        <f t="shared" si="186"/>
        <v>3.56666666666667</v>
      </c>
      <c r="N1769" t="s">
        <v>6186</v>
      </c>
      <c r="O1769">
        <v>1</v>
      </c>
      <c r="P1769">
        <v>0.45</v>
      </c>
      <c r="Q1769">
        <v>0</v>
      </c>
      <c r="S1769">
        <v>0.3</v>
      </c>
      <c r="U1769">
        <v>0.3</v>
      </c>
      <c r="V1769">
        <v>1</v>
      </c>
      <c r="W1769">
        <v>0</v>
      </c>
      <c r="X1769" s="218">
        <v>1</v>
      </c>
      <c r="Y1769">
        <v>-0.1</v>
      </c>
      <c r="Z1769">
        <v>0</v>
      </c>
      <c r="AB1769" s="414">
        <v>3.6666</v>
      </c>
      <c r="AC1769">
        <v>2</v>
      </c>
      <c r="AD1769">
        <v>1</v>
      </c>
      <c r="AE1769" t="s">
        <v>6187</v>
      </c>
      <c r="AF1769">
        <v>0.5</v>
      </c>
      <c r="AG1769" t="s">
        <v>6188</v>
      </c>
      <c r="AN1769" s="10"/>
      <c r="AP1769" s="267">
        <v>1625</v>
      </c>
      <c r="AQ1769" t="s">
        <v>136</v>
      </c>
      <c r="AR1769" s="749" t="s">
        <v>1550</v>
      </c>
      <c r="AY1769" s="37"/>
      <c r="AZ1769" s="37"/>
    </row>
    <row r="1770" ht="16.5" spans="1:52">
      <c r="A1770">
        <v>10359</v>
      </c>
      <c r="B1770" s="334" t="s">
        <v>6189</v>
      </c>
      <c r="C1770" s="334" t="s">
        <v>3228</v>
      </c>
      <c r="D1770">
        <v>1</v>
      </c>
      <c r="E1770">
        <v>0</v>
      </c>
      <c r="G1770">
        <v>1</v>
      </c>
      <c r="H1770" s="5" t="s">
        <v>6190</v>
      </c>
      <c r="I1770">
        <f>98/30</f>
        <v>3.26666666666667</v>
      </c>
      <c r="J1770">
        <f>98/30</f>
        <v>3.26666666666667</v>
      </c>
      <c r="L1770">
        <v>0</v>
      </c>
      <c r="M1770">
        <f t="shared" si="186"/>
        <v>2.86666666666667</v>
      </c>
      <c r="N1770" t="s">
        <v>6191</v>
      </c>
      <c r="O1770">
        <v>1</v>
      </c>
      <c r="P1770">
        <v>3.3</v>
      </c>
      <c r="Q1770">
        <v>0</v>
      </c>
      <c r="S1770">
        <v>0.6</v>
      </c>
      <c r="U1770">
        <v>0.5</v>
      </c>
      <c r="V1770">
        <v>1</v>
      </c>
      <c r="W1770">
        <v>0</v>
      </c>
      <c r="X1770" s="7">
        <v>5</v>
      </c>
      <c r="Y1770">
        <v>-0.1</v>
      </c>
      <c r="Z1770">
        <v>0</v>
      </c>
      <c r="AN1770" s="10"/>
      <c r="AP1770" s="267">
        <v>1655</v>
      </c>
      <c r="AQ1770" t="s">
        <v>136</v>
      </c>
      <c r="AY1770" s="37"/>
      <c r="AZ1770" s="37"/>
    </row>
    <row r="1771" ht="16.5" spans="1:52">
      <c r="A1771">
        <v>10360</v>
      </c>
      <c r="B1771" s="334" t="s">
        <v>6189</v>
      </c>
      <c r="C1771" s="334" t="s">
        <v>3277</v>
      </c>
      <c r="D1771">
        <v>1</v>
      </c>
      <c r="E1771">
        <v>0</v>
      </c>
      <c r="G1771">
        <v>1</v>
      </c>
      <c r="H1771" s="5" t="s">
        <v>6192</v>
      </c>
      <c r="I1771">
        <f>90/30</f>
        <v>3</v>
      </c>
      <c r="J1771">
        <f>90/30</f>
        <v>3</v>
      </c>
      <c r="L1771">
        <v>0</v>
      </c>
      <c r="M1771">
        <f t="shared" si="186"/>
        <v>2.6</v>
      </c>
      <c r="N1771" t="s">
        <v>6193</v>
      </c>
      <c r="O1771">
        <v>1</v>
      </c>
      <c r="P1771">
        <v>3.3</v>
      </c>
      <c r="Q1771">
        <v>0</v>
      </c>
      <c r="R1771">
        <v>1</v>
      </c>
      <c r="S1771">
        <v>0.6</v>
      </c>
      <c r="U1771">
        <v>0.5</v>
      </c>
      <c r="V1771">
        <v>1</v>
      </c>
      <c r="W1771">
        <v>0</v>
      </c>
      <c r="X1771" s="7">
        <v>5</v>
      </c>
      <c r="Y1771">
        <v>-0.1</v>
      </c>
      <c r="Z1771">
        <v>0</v>
      </c>
      <c r="AN1771" s="10"/>
      <c r="AP1771" s="267">
        <v>1656</v>
      </c>
      <c r="AQ1771" t="s">
        <v>136</v>
      </c>
      <c r="AY1771" s="37"/>
      <c r="AZ1771" s="37"/>
    </row>
    <row r="1772" ht="16.5" spans="1:52">
      <c r="A1772">
        <v>10361</v>
      </c>
      <c r="B1772" s="334" t="s">
        <v>6189</v>
      </c>
      <c r="C1772" s="334" t="s">
        <v>6135</v>
      </c>
      <c r="D1772">
        <v>1</v>
      </c>
      <c r="E1772">
        <v>0</v>
      </c>
      <c r="G1772">
        <v>1</v>
      </c>
      <c r="H1772" s="5" t="s">
        <v>6194</v>
      </c>
      <c r="I1772">
        <f>91/30</f>
        <v>3.03333333333333</v>
      </c>
      <c r="J1772">
        <f>91/30</f>
        <v>3.03333333333333</v>
      </c>
      <c r="L1772">
        <v>0</v>
      </c>
      <c r="M1772">
        <f t="shared" si="186"/>
        <v>2.63333333333333</v>
      </c>
      <c r="N1772" t="s">
        <v>6195</v>
      </c>
      <c r="O1772">
        <v>1</v>
      </c>
      <c r="P1772">
        <v>3.3</v>
      </c>
      <c r="Q1772">
        <v>0</v>
      </c>
      <c r="S1772">
        <v>0.6</v>
      </c>
      <c r="U1772">
        <v>0.5</v>
      </c>
      <c r="V1772">
        <v>1</v>
      </c>
      <c r="W1772">
        <v>0</v>
      </c>
      <c r="X1772" s="7">
        <v>5</v>
      </c>
      <c r="Y1772">
        <v>-0.1</v>
      </c>
      <c r="Z1772">
        <v>0</v>
      </c>
      <c r="AN1772" s="10"/>
      <c r="AP1772" s="267">
        <v>1657</v>
      </c>
      <c r="AQ1772" t="s">
        <v>136</v>
      </c>
      <c r="AY1772" s="37"/>
      <c r="AZ1772" s="37"/>
    </row>
    <row r="1773" ht="16.5" spans="1:52">
      <c r="A1773">
        <v>10362</v>
      </c>
      <c r="B1773" s="334" t="s">
        <v>6189</v>
      </c>
      <c r="C1773" s="334" t="s">
        <v>6138</v>
      </c>
      <c r="D1773">
        <v>2</v>
      </c>
      <c r="E1773">
        <v>1</v>
      </c>
      <c r="G1773">
        <v>1</v>
      </c>
      <c r="H1773" s="5" t="s">
        <v>6196</v>
      </c>
      <c r="I1773">
        <f>118/30</f>
        <v>3.93333333333333</v>
      </c>
      <c r="J1773">
        <f>118/30</f>
        <v>3.93333333333333</v>
      </c>
      <c r="L1773">
        <v>0</v>
      </c>
      <c r="M1773">
        <f t="shared" si="186"/>
        <v>3.53333333333333</v>
      </c>
      <c r="N1773" t="s">
        <v>6152</v>
      </c>
      <c r="O1773">
        <v>5</v>
      </c>
      <c r="P1773">
        <v>0</v>
      </c>
      <c r="Q1773">
        <v>0</v>
      </c>
      <c r="S1773">
        <v>0.6</v>
      </c>
      <c r="U1773">
        <v>0.2</v>
      </c>
      <c r="V1773">
        <v>1000</v>
      </c>
      <c r="W1773">
        <v>0</v>
      </c>
      <c r="X1773" s="7">
        <v>0</v>
      </c>
      <c r="Y1773">
        <v>-0.1</v>
      </c>
      <c r="Z1773">
        <v>0</v>
      </c>
      <c r="AN1773" s="10"/>
      <c r="AP1773" s="267">
        <v>1658</v>
      </c>
      <c r="AQ1773" t="s">
        <v>136</v>
      </c>
      <c r="AY1773" s="37"/>
      <c r="AZ1773" s="37"/>
    </row>
    <row r="1774" spans="1:52">
      <c r="A1774">
        <v>10363</v>
      </c>
      <c r="B1774" t="s">
        <v>6197</v>
      </c>
      <c r="C1774" t="s">
        <v>925</v>
      </c>
      <c r="D1774">
        <v>1</v>
      </c>
      <c r="E1774">
        <v>0</v>
      </c>
      <c r="G1774">
        <v>2</v>
      </c>
      <c r="H1774" s="686" t="s">
        <v>6198</v>
      </c>
      <c r="I1774">
        <v>1.9</v>
      </c>
      <c r="J1774">
        <v>1.9</v>
      </c>
      <c r="L1774">
        <f t="shared" ref="L1774:L1777" si="191">IF(X1774&gt;4,1,0)</f>
        <v>0</v>
      </c>
      <c r="M1774">
        <f t="shared" si="186"/>
        <v>1.5</v>
      </c>
      <c r="N1774" t="s">
        <v>6199</v>
      </c>
      <c r="O1774">
        <v>1</v>
      </c>
      <c r="P1774">
        <v>5</v>
      </c>
      <c r="Q1774">
        <v>0</v>
      </c>
      <c r="S1774" s="108">
        <v>0</v>
      </c>
      <c r="V1774">
        <v>1</v>
      </c>
      <c r="W1774">
        <v>0</v>
      </c>
      <c r="X1774" s="7">
        <v>3</v>
      </c>
      <c r="Y1774">
        <v>-0.1</v>
      </c>
      <c r="Z1774">
        <v>0</v>
      </c>
      <c r="AD1774">
        <v>0</v>
      </c>
      <c r="AF1774">
        <f t="shared" ref="AF1774:AF1781" si="192">IF(AD1774=--1,0.5,0)</f>
        <v>0</v>
      </c>
      <c r="AN1774" s="8">
        <v>349</v>
      </c>
      <c r="AO1774" t="s">
        <v>136</v>
      </c>
      <c r="AV1774">
        <v>1</v>
      </c>
      <c r="AY1774" s="37"/>
      <c r="AZ1774" s="37"/>
    </row>
    <row r="1775" spans="1:52">
      <c r="A1775">
        <v>10364</v>
      </c>
      <c r="B1775" t="s">
        <v>6197</v>
      </c>
      <c r="C1775" t="s">
        <v>928</v>
      </c>
      <c r="D1775">
        <v>2</v>
      </c>
      <c r="E1775">
        <v>1</v>
      </c>
      <c r="G1775">
        <v>2</v>
      </c>
      <c r="H1775" s="686" t="s">
        <v>6200</v>
      </c>
      <c r="I1775">
        <v>1.63333333333333</v>
      </c>
      <c r="J1775">
        <v>1.63333333333333</v>
      </c>
      <c r="L1775">
        <f t="shared" si="191"/>
        <v>0</v>
      </c>
      <c r="M1775">
        <f t="shared" si="186"/>
        <v>1.23333333333333</v>
      </c>
      <c r="N1775" t="s">
        <v>6201</v>
      </c>
      <c r="O1775">
        <v>5</v>
      </c>
      <c r="P1775">
        <v>0</v>
      </c>
      <c r="Q1775">
        <v>0</v>
      </c>
      <c r="S1775">
        <v>1</v>
      </c>
      <c r="T1775">
        <v>0</v>
      </c>
      <c r="V1775">
        <v>1000</v>
      </c>
      <c r="W1775">
        <v>0</v>
      </c>
      <c r="X1775" s="7">
        <v>0</v>
      </c>
      <c r="Y1775">
        <v>-0.1</v>
      </c>
      <c r="Z1775">
        <v>0</v>
      </c>
      <c r="AD1775">
        <v>0</v>
      </c>
      <c r="AF1775">
        <f t="shared" si="192"/>
        <v>0</v>
      </c>
      <c r="AN1775" s="8">
        <v>350</v>
      </c>
      <c r="AO1775" t="s">
        <v>136</v>
      </c>
      <c r="AY1775" s="37"/>
      <c r="AZ1775" s="37"/>
    </row>
    <row r="1776" spans="1:55">
      <c r="A1776">
        <v>10365</v>
      </c>
      <c r="B1776" t="s">
        <v>6197</v>
      </c>
      <c r="C1776" t="s">
        <v>931</v>
      </c>
      <c r="D1776">
        <v>1</v>
      </c>
      <c r="E1776">
        <v>0</v>
      </c>
      <c r="G1776">
        <v>2</v>
      </c>
      <c r="H1776" s="686" t="s">
        <v>6202</v>
      </c>
      <c r="I1776">
        <v>3.8</v>
      </c>
      <c r="J1776">
        <v>3.8</v>
      </c>
      <c r="L1776">
        <f t="shared" si="191"/>
        <v>1</v>
      </c>
      <c r="M1776">
        <f t="shared" si="186"/>
        <v>3.4</v>
      </c>
      <c r="N1776" s="104" t="s">
        <v>6203</v>
      </c>
      <c r="O1776">
        <v>1</v>
      </c>
      <c r="P1776">
        <v>5</v>
      </c>
      <c r="Q1776">
        <v>0</v>
      </c>
      <c r="S1776">
        <v>2</v>
      </c>
      <c r="V1776">
        <v>1</v>
      </c>
      <c r="W1776">
        <v>0</v>
      </c>
      <c r="X1776" s="7">
        <v>6</v>
      </c>
      <c r="Y1776">
        <v>-0.1</v>
      </c>
      <c r="Z1776">
        <v>0</v>
      </c>
      <c r="AD1776">
        <v>0</v>
      </c>
      <c r="AF1776">
        <f t="shared" si="192"/>
        <v>0</v>
      </c>
      <c r="AI1776">
        <v>1</v>
      </c>
      <c r="AJ1776">
        <v>2</v>
      </c>
      <c r="AK1776" t="s">
        <v>934</v>
      </c>
      <c r="AL1776">
        <v>0</v>
      </c>
      <c r="AM1776">
        <v>2.5</v>
      </c>
      <c r="AP1776" s="8">
        <v>351</v>
      </c>
      <c r="AQ1776" t="s">
        <v>136</v>
      </c>
      <c r="AY1776" s="37"/>
      <c r="AZ1776" s="37"/>
      <c r="BC1776" t="s">
        <v>935</v>
      </c>
    </row>
    <row r="1777" spans="1:55">
      <c r="A1777">
        <v>10366</v>
      </c>
      <c r="B1777" t="s">
        <v>6197</v>
      </c>
      <c r="C1777" t="s">
        <v>936</v>
      </c>
      <c r="D1777">
        <v>1</v>
      </c>
      <c r="E1777">
        <v>0</v>
      </c>
      <c r="G1777">
        <v>2</v>
      </c>
      <c r="H1777" s="686" t="s">
        <v>6204</v>
      </c>
      <c r="I1777">
        <v>2.13333333333333</v>
      </c>
      <c r="J1777">
        <v>2.13333333333333</v>
      </c>
      <c r="K1777">
        <v>1.5</v>
      </c>
      <c r="L1777">
        <f t="shared" si="191"/>
        <v>1</v>
      </c>
      <c r="M1777">
        <f t="shared" si="186"/>
        <v>1.73333333333333</v>
      </c>
      <c r="N1777" s="104" t="s">
        <v>6205</v>
      </c>
      <c r="O1777">
        <v>1</v>
      </c>
      <c r="P1777">
        <v>5</v>
      </c>
      <c r="Q1777">
        <v>0</v>
      </c>
      <c r="S1777">
        <v>-1.5</v>
      </c>
      <c r="U1777">
        <v>0.8</v>
      </c>
      <c r="V1777">
        <v>1</v>
      </c>
      <c r="W1777">
        <v>4</v>
      </c>
      <c r="X1777" s="7">
        <v>9</v>
      </c>
      <c r="Y1777">
        <v>-0.1</v>
      </c>
      <c r="Z1777">
        <v>0</v>
      </c>
      <c r="AD1777">
        <v>0</v>
      </c>
      <c r="AF1777">
        <f t="shared" si="192"/>
        <v>0</v>
      </c>
      <c r="AP1777" s="8">
        <v>352</v>
      </c>
      <c r="AQ1777" t="s">
        <v>136</v>
      </c>
      <c r="AY1777" s="37"/>
      <c r="AZ1777" s="37"/>
      <c r="BC1777" t="s">
        <v>939</v>
      </c>
    </row>
    <row r="1778" spans="1:55">
      <c r="A1778">
        <v>10367</v>
      </c>
      <c r="B1778" t="s">
        <v>6197</v>
      </c>
      <c r="C1778" t="s">
        <v>940</v>
      </c>
      <c r="D1778">
        <v>2</v>
      </c>
      <c r="E1778">
        <v>0</v>
      </c>
      <c r="G1778">
        <v>2</v>
      </c>
      <c r="H1778" s="686" t="s">
        <v>6206</v>
      </c>
      <c r="I1778">
        <v>3.83333333333333</v>
      </c>
      <c r="J1778">
        <v>3.83333333333333</v>
      </c>
      <c r="K1778">
        <v>0.3</v>
      </c>
      <c r="L1778">
        <v>1</v>
      </c>
      <c r="M1778">
        <f t="shared" si="186"/>
        <v>3.43333333333333</v>
      </c>
      <c r="N1778" s="104" t="s">
        <v>6207</v>
      </c>
      <c r="O1778">
        <v>1</v>
      </c>
      <c r="P1778">
        <v>2</v>
      </c>
      <c r="Q1778">
        <v>2</v>
      </c>
      <c r="S1778">
        <v>0</v>
      </c>
      <c r="V1778">
        <v>1</v>
      </c>
      <c r="W1778">
        <v>0</v>
      </c>
      <c r="X1778" s="7">
        <v>3</v>
      </c>
      <c r="Y1778">
        <v>-0.1</v>
      </c>
      <c r="Z1778">
        <v>0</v>
      </c>
      <c r="AB1778">
        <v>3.55</v>
      </c>
      <c r="AC1778">
        <v>2</v>
      </c>
      <c r="AD1778">
        <v>1</v>
      </c>
      <c r="AE1778" s="15" t="s">
        <v>943</v>
      </c>
      <c r="AF1778">
        <f t="shared" si="192"/>
        <v>0.5</v>
      </c>
      <c r="AN1778" s="8">
        <v>353</v>
      </c>
      <c r="AO1778" t="s">
        <v>136</v>
      </c>
      <c r="AS1778"/>
      <c r="AY1778" s="37"/>
      <c r="AZ1778" s="37"/>
      <c r="BC1778" t="s">
        <v>944</v>
      </c>
    </row>
    <row r="1779" spans="1:55">
      <c r="A1779">
        <v>10368</v>
      </c>
      <c r="B1779" t="s">
        <v>6197</v>
      </c>
      <c r="C1779" t="s">
        <v>945</v>
      </c>
      <c r="D1779">
        <v>1</v>
      </c>
      <c r="E1779">
        <v>0</v>
      </c>
      <c r="G1779">
        <v>2</v>
      </c>
      <c r="H1779" s="686" t="s">
        <v>6208</v>
      </c>
      <c r="I1779">
        <v>2</v>
      </c>
      <c r="J1779">
        <v>2</v>
      </c>
      <c r="L1779">
        <f>IF(X1779&gt;4,1,0)</f>
        <v>0</v>
      </c>
      <c r="M1779">
        <f t="shared" si="186"/>
        <v>1.6</v>
      </c>
      <c r="N1779" s="104" t="s">
        <v>6209</v>
      </c>
      <c r="O1779">
        <v>1</v>
      </c>
      <c r="P1779">
        <v>5</v>
      </c>
      <c r="Q1779">
        <v>0</v>
      </c>
      <c r="S1779">
        <v>-1.5</v>
      </c>
      <c r="U1779">
        <v>0.8</v>
      </c>
      <c r="V1779">
        <v>1</v>
      </c>
      <c r="W1779">
        <v>6</v>
      </c>
      <c r="X1779" s="7">
        <v>3</v>
      </c>
      <c r="Y1779">
        <v>-0.1</v>
      </c>
      <c r="Z1779">
        <v>0</v>
      </c>
      <c r="AD1779">
        <v>0</v>
      </c>
      <c r="AF1779">
        <f t="shared" si="192"/>
        <v>0</v>
      </c>
      <c r="AN1779" s="8">
        <v>354</v>
      </c>
      <c r="AO1779" t="s">
        <v>136</v>
      </c>
      <c r="AY1779" s="37"/>
      <c r="AZ1779" s="37"/>
      <c r="BC1779" t="s">
        <v>948</v>
      </c>
    </row>
    <row r="1780" spans="1:55">
      <c r="A1780">
        <v>10369</v>
      </c>
      <c r="B1780" t="s">
        <v>6197</v>
      </c>
      <c r="C1780" t="s">
        <v>949</v>
      </c>
      <c r="D1780">
        <v>1</v>
      </c>
      <c r="E1780">
        <v>0</v>
      </c>
      <c r="G1780">
        <v>2</v>
      </c>
      <c r="H1780" s="686" t="s">
        <v>6210</v>
      </c>
      <c r="I1780">
        <v>4.33333</v>
      </c>
      <c r="J1780">
        <v>4.33333</v>
      </c>
      <c r="L1780">
        <v>1</v>
      </c>
      <c r="M1780">
        <f>I1780-0.4</f>
        <v>3.93333</v>
      </c>
      <c r="N1780" s="104" t="s">
        <v>6211</v>
      </c>
      <c r="O1780">
        <v>1</v>
      </c>
      <c r="P1780">
        <v>5</v>
      </c>
      <c r="Q1780">
        <v>2</v>
      </c>
      <c r="S1780">
        <v>0</v>
      </c>
      <c r="V1780">
        <v>1</v>
      </c>
      <c r="W1780">
        <v>1</v>
      </c>
      <c r="X1780" s="7">
        <v>8</v>
      </c>
      <c r="Y1780">
        <v>-0.1</v>
      </c>
      <c r="Z1780">
        <v>0</v>
      </c>
      <c r="AD1780">
        <v>1</v>
      </c>
      <c r="AE1780" s="15" t="s">
        <v>952</v>
      </c>
      <c r="AF1780">
        <f t="shared" si="192"/>
        <v>0.5</v>
      </c>
      <c r="AN1780" s="8">
        <v>355</v>
      </c>
      <c r="AO1780" t="s">
        <v>136</v>
      </c>
      <c r="AY1780" s="37"/>
      <c r="AZ1780" s="37"/>
      <c r="BC1780" t="s">
        <v>953</v>
      </c>
    </row>
    <row r="1781" spans="1:55">
      <c r="A1781">
        <v>10370</v>
      </c>
      <c r="B1781" t="s">
        <v>6197</v>
      </c>
      <c r="C1781" t="s">
        <v>954</v>
      </c>
      <c r="D1781">
        <v>1</v>
      </c>
      <c r="E1781">
        <v>0</v>
      </c>
      <c r="G1781">
        <v>2</v>
      </c>
      <c r="H1781" s="686" t="s">
        <v>6212</v>
      </c>
      <c r="I1781">
        <v>6.83333333333333</v>
      </c>
      <c r="J1781">
        <v>6.83333333333333</v>
      </c>
      <c r="K1781">
        <v>1</v>
      </c>
      <c r="L1781">
        <v>1</v>
      </c>
      <c r="M1781">
        <f>I1781-0.4</f>
        <v>6.43333333333333</v>
      </c>
      <c r="N1781" s="104" t="s">
        <v>6213</v>
      </c>
      <c r="O1781">
        <v>1</v>
      </c>
      <c r="P1781">
        <v>5</v>
      </c>
      <c r="Q1781">
        <v>2</v>
      </c>
      <c r="S1781">
        <v>0</v>
      </c>
      <c r="V1781">
        <v>1</v>
      </c>
      <c r="W1781">
        <v>6</v>
      </c>
      <c r="X1781" s="7">
        <v>8</v>
      </c>
      <c r="Y1781">
        <v>-0.1</v>
      </c>
      <c r="Z1781">
        <v>0</v>
      </c>
      <c r="AD1781">
        <v>1</v>
      </c>
      <c r="AE1781" s="15" t="s">
        <v>957</v>
      </c>
      <c r="AF1781">
        <f t="shared" si="192"/>
        <v>0.5</v>
      </c>
      <c r="AN1781" s="8">
        <v>356</v>
      </c>
      <c r="AO1781" t="s">
        <v>136</v>
      </c>
      <c r="AY1781" s="37"/>
      <c r="AZ1781" s="37"/>
      <c r="BC1781" t="s">
        <v>958</v>
      </c>
    </row>
    <row r="1782" spans="1:52">
      <c r="A1782">
        <v>10371</v>
      </c>
      <c r="B1782" s="3" t="s">
        <v>6214</v>
      </c>
      <c r="C1782" s="6" t="s">
        <v>1569</v>
      </c>
      <c r="D1782">
        <v>1</v>
      </c>
      <c r="E1782" s="4">
        <v>0</v>
      </c>
      <c r="F1782" s="3"/>
      <c r="G1782" s="3">
        <v>1</v>
      </c>
      <c r="H1782" s="686" t="s">
        <v>6215</v>
      </c>
      <c r="I1782">
        <v>2.4</v>
      </c>
      <c r="J1782">
        <v>2.4</v>
      </c>
      <c r="K1782" s="3"/>
      <c r="L1782" s="3">
        <v>1</v>
      </c>
      <c r="M1782">
        <v>2</v>
      </c>
      <c r="N1782" s="3" t="s">
        <v>1571</v>
      </c>
      <c r="O1782">
        <v>1</v>
      </c>
      <c r="P1782">
        <v>1.8</v>
      </c>
      <c r="Q1782">
        <v>0</v>
      </c>
      <c r="V1782">
        <v>6</v>
      </c>
      <c r="W1782">
        <v>0</v>
      </c>
      <c r="X1782" s="7">
        <v>3</v>
      </c>
      <c r="Y1782">
        <v>-0.1</v>
      </c>
      <c r="Z1782">
        <v>0</v>
      </c>
      <c r="AP1782" s="10">
        <v>1119</v>
      </c>
      <c r="AQ1782" s="3" t="s">
        <v>136</v>
      </c>
      <c r="AR1782" s="11"/>
      <c r="AV1782" s="4">
        <v>1</v>
      </c>
      <c r="AY1782" s="37"/>
      <c r="AZ1782" s="37"/>
    </row>
    <row r="1783" spans="1:52">
      <c r="A1783">
        <v>10372</v>
      </c>
      <c r="B1783" s="3" t="s">
        <v>6214</v>
      </c>
      <c r="C1783" s="6" t="s">
        <v>1572</v>
      </c>
      <c r="D1783">
        <v>1</v>
      </c>
      <c r="E1783" s="4">
        <v>0</v>
      </c>
      <c r="F1783" s="3">
        <v>1</v>
      </c>
      <c r="G1783" s="3">
        <v>1</v>
      </c>
      <c r="H1783" s="686" t="s">
        <v>6216</v>
      </c>
      <c r="I1783">
        <v>2.5</v>
      </c>
      <c r="J1783">
        <v>2.5</v>
      </c>
      <c r="K1783" s="3"/>
      <c r="L1783" s="3">
        <v>1</v>
      </c>
      <c r="M1783">
        <v>2.1</v>
      </c>
      <c r="N1783" s="3" t="s">
        <v>1574</v>
      </c>
      <c r="O1783">
        <v>1</v>
      </c>
      <c r="P1783">
        <v>1.8</v>
      </c>
      <c r="Q1783">
        <v>0</v>
      </c>
      <c r="V1783">
        <v>6</v>
      </c>
      <c r="W1783">
        <v>0</v>
      </c>
      <c r="X1783" s="7">
        <v>5</v>
      </c>
      <c r="Y1783">
        <v>-0.1</v>
      </c>
      <c r="Z1783">
        <v>0</v>
      </c>
      <c r="AP1783" s="10">
        <v>1120</v>
      </c>
      <c r="AQ1783" s="3" t="s">
        <v>136</v>
      </c>
      <c r="AR1783" s="11"/>
      <c r="AV1783" s="4"/>
      <c r="AY1783" s="37"/>
      <c r="AZ1783" s="37"/>
    </row>
    <row r="1784" spans="1:52">
      <c r="A1784">
        <v>10373</v>
      </c>
      <c r="B1784" s="3" t="s">
        <v>6214</v>
      </c>
      <c r="C1784" s="6" t="s">
        <v>1575</v>
      </c>
      <c r="D1784">
        <v>1</v>
      </c>
      <c r="E1784" s="4">
        <v>0</v>
      </c>
      <c r="F1784" s="3"/>
      <c r="G1784" s="3">
        <v>1</v>
      </c>
      <c r="H1784" s="686" t="s">
        <v>6217</v>
      </c>
      <c r="I1784">
        <v>3.16666666666667</v>
      </c>
      <c r="J1784">
        <v>3.16666666666667</v>
      </c>
      <c r="K1784" s="3"/>
      <c r="L1784" s="3">
        <v>1</v>
      </c>
      <c r="M1784">
        <v>2.76666666666667</v>
      </c>
      <c r="N1784" s="3" t="s">
        <v>1577</v>
      </c>
      <c r="O1784">
        <v>1</v>
      </c>
      <c r="P1784">
        <v>1.8</v>
      </c>
      <c r="Q1784">
        <v>1</v>
      </c>
      <c r="V1784">
        <v>6</v>
      </c>
      <c r="W1784">
        <v>4</v>
      </c>
      <c r="X1784" s="7">
        <v>3</v>
      </c>
      <c r="Y1784">
        <v>-0.1</v>
      </c>
      <c r="Z1784">
        <v>0</v>
      </c>
      <c r="AP1784" s="10">
        <v>1121</v>
      </c>
      <c r="AQ1784" s="3" t="s">
        <v>136</v>
      </c>
      <c r="AR1784" s="11"/>
      <c r="AV1784" s="4"/>
      <c r="AY1784" s="37"/>
      <c r="AZ1784" s="37"/>
    </row>
    <row r="1785" spans="1:52">
      <c r="A1785">
        <v>10374</v>
      </c>
      <c r="B1785" s="3" t="s">
        <v>6214</v>
      </c>
      <c r="C1785" s="6" t="s">
        <v>1578</v>
      </c>
      <c r="D1785">
        <v>1</v>
      </c>
      <c r="E1785" s="4">
        <v>0</v>
      </c>
      <c r="F1785" s="3"/>
      <c r="G1785" s="3">
        <v>1</v>
      </c>
      <c r="H1785" s="686" t="s">
        <v>6218</v>
      </c>
      <c r="I1785">
        <f>190/30</f>
        <v>6.33333333333333</v>
      </c>
      <c r="J1785">
        <f>190/30</f>
        <v>6.33333333333333</v>
      </c>
      <c r="K1785" s="3"/>
      <c r="L1785" s="3">
        <v>1</v>
      </c>
      <c r="M1785">
        <v>6.26666666666667</v>
      </c>
      <c r="N1785" s="3" t="s">
        <v>1580</v>
      </c>
      <c r="O1785">
        <v>3</v>
      </c>
      <c r="P1785">
        <v>-5</v>
      </c>
      <c r="Q1785">
        <v>0</v>
      </c>
      <c r="V1785">
        <v>6</v>
      </c>
      <c r="W1785">
        <v>6</v>
      </c>
      <c r="X1785" s="7">
        <v>6</v>
      </c>
      <c r="Y1785">
        <v>-0.1</v>
      </c>
      <c r="Z1785">
        <v>0</v>
      </c>
      <c r="AB1785">
        <v>6.1</v>
      </c>
      <c r="AC1785">
        <v>2</v>
      </c>
      <c r="AD1785">
        <v>1</v>
      </c>
      <c r="AE1785" t="s">
        <v>1581</v>
      </c>
      <c r="AF1785">
        <v>0.5</v>
      </c>
      <c r="AG1785" t="s">
        <v>1277</v>
      </c>
      <c r="AP1785" s="10">
        <v>1122</v>
      </c>
      <c r="AQ1785" s="3" t="s">
        <v>136</v>
      </c>
      <c r="AR1785" s="749" t="s">
        <v>1550</v>
      </c>
      <c r="AV1785" s="4"/>
      <c r="AY1785" s="37"/>
      <c r="AZ1785" s="37"/>
    </row>
    <row r="1786" spans="1:52">
      <c r="A1786">
        <v>10375</v>
      </c>
      <c r="B1786" s="3" t="s">
        <v>6214</v>
      </c>
      <c r="C1786" s="6" t="s">
        <v>1582</v>
      </c>
      <c r="D1786">
        <v>1</v>
      </c>
      <c r="E1786" s="4">
        <v>0</v>
      </c>
      <c r="F1786" s="3"/>
      <c r="G1786" s="3">
        <v>1</v>
      </c>
      <c r="H1786" s="686" t="s">
        <v>6219</v>
      </c>
      <c r="I1786">
        <v>5.33333333333333</v>
      </c>
      <c r="J1786">
        <v>5.33333333333333</v>
      </c>
      <c r="K1786" s="3"/>
      <c r="L1786" s="3">
        <v>1</v>
      </c>
      <c r="M1786">
        <v>4.93333333333333</v>
      </c>
      <c r="N1786" s="3" t="s">
        <v>1584</v>
      </c>
      <c r="O1786">
        <v>1</v>
      </c>
      <c r="P1786">
        <v>1.8</v>
      </c>
      <c r="Q1786">
        <v>0</v>
      </c>
      <c r="S1786">
        <v>-0.8</v>
      </c>
      <c r="U1786">
        <v>0.5</v>
      </c>
      <c r="V1786">
        <v>6</v>
      </c>
      <c r="W1786">
        <v>4</v>
      </c>
      <c r="X1786" s="7">
        <v>9</v>
      </c>
      <c r="Y1786">
        <v>-0.1</v>
      </c>
      <c r="Z1786">
        <v>0</v>
      </c>
      <c r="AP1786" s="10">
        <v>1123</v>
      </c>
      <c r="AQ1786" s="3" t="s">
        <v>136</v>
      </c>
      <c r="AR1786" s="11"/>
      <c r="AV1786" s="4"/>
      <c r="AY1786" s="37"/>
      <c r="AZ1786" s="37"/>
    </row>
    <row r="1787" spans="1:52">
      <c r="A1787">
        <v>10376</v>
      </c>
      <c r="B1787" s="3" t="s">
        <v>6214</v>
      </c>
      <c r="C1787" s="6" t="s">
        <v>1585</v>
      </c>
      <c r="D1787">
        <v>1</v>
      </c>
      <c r="E1787" s="4">
        <v>0</v>
      </c>
      <c r="F1787" s="3">
        <v>1</v>
      </c>
      <c r="G1787" s="3">
        <v>1</v>
      </c>
      <c r="H1787" s="686" t="s">
        <v>6220</v>
      </c>
      <c r="I1787">
        <v>2.83333333333333</v>
      </c>
      <c r="J1787">
        <v>2.83333333333333</v>
      </c>
      <c r="K1787" s="3"/>
      <c r="L1787" s="3">
        <v>1</v>
      </c>
      <c r="M1787">
        <v>2.43333333333333</v>
      </c>
      <c r="N1787" s="3" t="s">
        <v>1587</v>
      </c>
      <c r="O1787">
        <v>1</v>
      </c>
      <c r="P1787">
        <v>1.8</v>
      </c>
      <c r="Q1787">
        <v>0</v>
      </c>
      <c r="S1787">
        <v>1</v>
      </c>
      <c r="T1787">
        <v>1</v>
      </c>
      <c r="U1787">
        <v>0.8</v>
      </c>
      <c r="V1787">
        <v>6</v>
      </c>
      <c r="W1787">
        <v>0</v>
      </c>
      <c r="X1787" s="7">
        <v>2</v>
      </c>
      <c r="Y1787">
        <v>-0.1</v>
      </c>
      <c r="Z1787">
        <v>0</v>
      </c>
      <c r="AP1787" s="10">
        <v>1124</v>
      </c>
      <c r="AQ1787" s="3" t="s">
        <v>136</v>
      </c>
      <c r="AR1787" s="11"/>
      <c r="AV1787" s="4"/>
      <c r="AY1787" s="37"/>
      <c r="AZ1787" s="37"/>
    </row>
    <row r="1788" spans="1:52">
      <c r="A1788">
        <v>10377</v>
      </c>
      <c r="B1788" s="3" t="s">
        <v>6214</v>
      </c>
      <c r="C1788" s="6" t="s">
        <v>1588</v>
      </c>
      <c r="D1788">
        <v>1</v>
      </c>
      <c r="E1788" s="4">
        <v>0</v>
      </c>
      <c r="F1788" s="3">
        <v>1</v>
      </c>
      <c r="G1788" s="3">
        <v>1</v>
      </c>
      <c r="H1788" s="686" t="s">
        <v>6221</v>
      </c>
      <c r="I1788">
        <v>11.4</v>
      </c>
      <c r="J1788">
        <v>11.4</v>
      </c>
      <c r="K1788" s="3">
        <v>0.5</v>
      </c>
      <c r="L1788" s="3">
        <v>1</v>
      </c>
      <c r="M1788">
        <v>11</v>
      </c>
      <c r="N1788" s="3" t="s">
        <v>1590</v>
      </c>
      <c r="O1788">
        <v>1</v>
      </c>
      <c r="P1788">
        <v>6</v>
      </c>
      <c r="Q1788">
        <v>0</v>
      </c>
      <c r="V1788">
        <v>6</v>
      </c>
      <c r="W1788">
        <v>0</v>
      </c>
      <c r="X1788" s="7">
        <v>12</v>
      </c>
      <c r="Y1788">
        <v>-0.1</v>
      </c>
      <c r="Z1788">
        <v>0</v>
      </c>
      <c r="AB1788">
        <v>11.1</v>
      </c>
      <c r="AC1788">
        <v>2</v>
      </c>
      <c r="AD1788">
        <v>1</v>
      </c>
      <c r="AE1788" t="s">
        <v>1591</v>
      </c>
      <c r="AF1788">
        <v>0.5</v>
      </c>
      <c r="AG1788" t="s">
        <v>1592</v>
      </c>
      <c r="AP1788" s="10">
        <v>1125</v>
      </c>
      <c r="AQ1788" s="3" t="s">
        <v>136</v>
      </c>
      <c r="AR1788" s="749" t="s">
        <v>1550</v>
      </c>
      <c r="AV1788" s="4"/>
      <c r="AY1788" s="37"/>
      <c r="AZ1788" s="37"/>
    </row>
    <row r="1789" ht="21" customHeight="1" spans="1:52">
      <c r="A1789">
        <v>10378</v>
      </c>
      <c r="B1789" s="3" t="s">
        <v>6214</v>
      </c>
      <c r="C1789" s="6" t="s">
        <v>1593</v>
      </c>
      <c r="D1789">
        <v>1</v>
      </c>
      <c r="E1789" s="4">
        <v>0</v>
      </c>
      <c r="F1789" s="3">
        <v>1</v>
      </c>
      <c r="G1789" s="3">
        <v>1</v>
      </c>
      <c r="H1789" s="686" t="s">
        <v>6222</v>
      </c>
      <c r="I1789">
        <v>9</v>
      </c>
      <c r="J1789">
        <v>9</v>
      </c>
      <c r="K1789" s="3"/>
      <c r="L1789" s="3">
        <v>1</v>
      </c>
      <c r="M1789">
        <v>8.6</v>
      </c>
      <c r="N1789" s="3" t="s">
        <v>1595</v>
      </c>
      <c r="O1789">
        <v>1</v>
      </c>
      <c r="P1789">
        <v>3.7</v>
      </c>
      <c r="Q1789">
        <v>0</v>
      </c>
      <c r="V1789">
        <v>6</v>
      </c>
      <c r="W1789">
        <v>0</v>
      </c>
      <c r="X1789" s="7">
        <v>9</v>
      </c>
      <c r="Y1789">
        <v>-0.1</v>
      </c>
      <c r="Z1789">
        <v>0</v>
      </c>
      <c r="AB1789">
        <v>8.8</v>
      </c>
      <c r="AC1789">
        <v>2</v>
      </c>
      <c r="AD1789">
        <v>1</v>
      </c>
      <c r="AE1789" t="s">
        <v>1596</v>
      </c>
      <c r="AF1789">
        <v>0.5</v>
      </c>
      <c r="AP1789" s="10">
        <v>1126</v>
      </c>
      <c r="AQ1789" s="3" t="s">
        <v>136</v>
      </c>
      <c r="AR1789" s="749" t="s">
        <v>1550</v>
      </c>
      <c r="AV1789" s="4"/>
      <c r="AY1789" s="37"/>
      <c r="AZ1789" s="37"/>
    </row>
    <row r="1790" ht="16.5" spans="1:52">
      <c r="A1790">
        <v>10379</v>
      </c>
      <c r="B1790" s="334" t="s">
        <v>6128</v>
      </c>
      <c r="C1790" s="334" t="s">
        <v>6223</v>
      </c>
      <c r="D1790">
        <v>1</v>
      </c>
      <c r="E1790">
        <v>0</v>
      </c>
      <c r="G1790">
        <v>1</v>
      </c>
      <c r="H1790" s="5" t="s">
        <v>6132</v>
      </c>
      <c r="I1790">
        <f>120/30</f>
        <v>4</v>
      </c>
      <c r="J1790">
        <f>120/30</f>
        <v>4</v>
      </c>
      <c r="L1790">
        <v>0</v>
      </c>
      <c r="M1790">
        <f>I1790-0.4</f>
        <v>3.6</v>
      </c>
      <c r="N1790" t="s">
        <v>6133</v>
      </c>
      <c r="O1790">
        <v>1</v>
      </c>
      <c r="P1790">
        <v>5</v>
      </c>
      <c r="Q1790">
        <v>0</v>
      </c>
      <c r="S1790">
        <v>0</v>
      </c>
      <c r="U1790">
        <v>0.2</v>
      </c>
      <c r="V1790">
        <v>1</v>
      </c>
      <c r="W1790">
        <v>0</v>
      </c>
      <c r="X1790" s="7">
        <v>1</v>
      </c>
      <c r="Y1790">
        <v>-0.1</v>
      </c>
      <c r="Z1790">
        <v>0</v>
      </c>
      <c r="AB1790">
        <v>3.7</v>
      </c>
      <c r="AC1790">
        <v>2</v>
      </c>
      <c r="AD1790">
        <v>1</v>
      </c>
      <c r="AE1790" t="s">
        <v>6134</v>
      </c>
      <c r="AF1790">
        <v>0.5</v>
      </c>
      <c r="AN1790" s="10"/>
      <c r="AP1790" s="267">
        <v>1650</v>
      </c>
      <c r="AQ1790" t="s">
        <v>136</v>
      </c>
      <c r="AR1790" s="749" t="s">
        <v>1550</v>
      </c>
      <c r="AY1790" s="37"/>
      <c r="AZ1790" s="37"/>
    </row>
    <row r="1791" ht="16.5" spans="1:52">
      <c r="A1791">
        <v>10380</v>
      </c>
      <c r="B1791" s="334" t="s">
        <v>6224</v>
      </c>
      <c r="C1791" s="334" t="s">
        <v>5043</v>
      </c>
      <c r="D1791">
        <v>1</v>
      </c>
      <c r="E1791">
        <v>0</v>
      </c>
      <c r="G1791">
        <v>2</v>
      </c>
      <c r="H1791" s="5" t="s">
        <v>6225</v>
      </c>
      <c r="I1791">
        <v>1</v>
      </c>
      <c r="J1791">
        <v>1</v>
      </c>
      <c r="L1791">
        <v>0</v>
      </c>
      <c r="M1791">
        <f t="shared" ref="M1791:M1804" si="193">I1791-0.4</f>
        <v>0.6</v>
      </c>
      <c r="N1791" t="s">
        <v>6226</v>
      </c>
      <c r="O1791">
        <v>1</v>
      </c>
      <c r="P1791">
        <v>4</v>
      </c>
      <c r="Q1791">
        <v>0</v>
      </c>
      <c r="S1791">
        <v>0.3</v>
      </c>
      <c r="U1791">
        <v>0.5</v>
      </c>
      <c r="V1791">
        <v>1</v>
      </c>
      <c r="W1791">
        <v>0</v>
      </c>
      <c r="X1791" s="7">
        <v>1</v>
      </c>
      <c r="Y1791">
        <v>-0.1</v>
      </c>
      <c r="Z1791">
        <v>0</v>
      </c>
      <c r="AN1791" s="10"/>
      <c r="AP1791" s="267">
        <v>1730</v>
      </c>
      <c r="AQ1791" t="s">
        <v>136</v>
      </c>
      <c r="AR1791" s="11"/>
      <c r="AY1791" s="37"/>
      <c r="AZ1791" s="37"/>
    </row>
    <row r="1792" ht="16.5" spans="1:52">
      <c r="A1792">
        <v>10381</v>
      </c>
      <c r="B1792" s="334" t="s">
        <v>6224</v>
      </c>
      <c r="C1792" s="334" t="s">
        <v>6227</v>
      </c>
      <c r="D1792">
        <v>1</v>
      </c>
      <c r="E1792">
        <v>0</v>
      </c>
      <c r="G1792">
        <v>2</v>
      </c>
      <c r="H1792" s="5" t="s">
        <v>6228</v>
      </c>
      <c r="I1792">
        <f>62/30</f>
        <v>2.06666666666667</v>
      </c>
      <c r="J1792">
        <f>62/30</f>
        <v>2.06666666666667</v>
      </c>
      <c r="L1792">
        <v>0</v>
      </c>
      <c r="M1792">
        <f t="shared" si="193"/>
        <v>1.66666666666667</v>
      </c>
      <c r="N1792" t="s">
        <v>6229</v>
      </c>
      <c r="O1792">
        <v>1</v>
      </c>
      <c r="P1792">
        <v>4</v>
      </c>
      <c r="Q1792">
        <v>0</v>
      </c>
      <c r="S1792">
        <v>0.3</v>
      </c>
      <c r="U1792">
        <v>0.5</v>
      </c>
      <c r="V1792">
        <v>1</v>
      </c>
      <c r="W1792">
        <v>0</v>
      </c>
      <c r="X1792" s="7">
        <v>7</v>
      </c>
      <c r="Y1792">
        <v>-0.1</v>
      </c>
      <c r="Z1792">
        <v>0</v>
      </c>
      <c r="AN1792" s="10"/>
      <c r="AP1792" s="267">
        <v>1731</v>
      </c>
      <c r="AQ1792" t="s">
        <v>136</v>
      </c>
      <c r="AR1792" s="11"/>
      <c r="AY1792" s="37"/>
      <c r="AZ1792" s="37"/>
    </row>
    <row r="1793" ht="16.5" spans="1:52">
      <c r="A1793">
        <v>10382</v>
      </c>
      <c r="B1793" s="334" t="s">
        <v>6224</v>
      </c>
      <c r="C1793" s="334" t="s">
        <v>6117</v>
      </c>
      <c r="D1793">
        <v>2</v>
      </c>
      <c r="E1793">
        <v>1</v>
      </c>
      <c r="G1793">
        <v>2</v>
      </c>
      <c r="H1793" s="5" t="s">
        <v>6230</v>
      </c>
      <c r="I1793">
        <v>5</v>
      </c>
      <c r="J1793">
        <v>5</v>
      </c>
      <c r="L1793">
        <v>0</v>
      </c>
      <c r="M1793">
        <f t="shared" si="193"/>
        <v>4.6</v>
      </c>
      <c r="N1793" t="s">
        <v>6231</v>
      </c>
      <c r="O1793">
        <v>1</v>
      </c>
      <c r="P1793">
        <v>4</v>
      </c>
      <c r="Q1793">
        <v>0</v>
      </c>
      <c r="S1793">
        <v>0.3</v>
      </c>
      <c r="U1793">
        <v>0.5</v>
      </c>
      <c r="V1793">
        <v>1000</v>
      </c>
      <c r="W1793">
        <v>0</v>
      </c>
      <c r="X1793" s="7">
        <v>0</v>
      </c>
      <c r="Y1793">
        <v>-0.1</v>
      </c>
      <c r="Z1793">
        <v>0</v>
      </c>
      <c r="AB1793">
        <v>4.7</v>
      </c>
      <c r="AC1793">
        <v>2</v>
      </c>
      <c r="AD1793">
        <v>1</v>
      </c>
      <c r="AE1793" t="s">
        <v>6232</v>
      </c>
      <c r="AF1793">
        <v>0.5</v>
      </c>
      <c r="AN1793" s="10">
        <v>1733</v>
      </c>
      <c r="AO1793" t="s">
        <v>690</v>
      </c>
      <c r="AP1793" s="267">
        <v>1732</v>
      </c>
      <c r="AQ1793" t="s">
        <v>136</v>
      </c>
      <c r="AR1793" s="749" t="s">
        <v>1550</v>
      </c>
      <c r="AY1793" s="37"/>
      <c r="AZ1793" s="37"/>
    </row>
    <row r="1794" ht="16.5" spans="1:52">
      <c r="A1794">
        <v>10383</v>
      </c>
      <c r="B1794" s="334" t="s">
        <v>6233</v>
      </c>
      <c r="C1794" s="334" t="s">
        <v>5043</v>
      </c>
      <c r="D1794">
        <v>1</v>
      </c>
      <c r="E1794">
        <v>0</v>
      </c>
      <c r="G1794">
        <v>2</v>
      </c>
      <c r="H1794" s="5" t="s">
        <v>6234</v>
      </c>
      <c r="I1794">
        <v>2</v>
      </c>
      <c r="J1794">
        <v>2</v>
      </c>
      <c r="L1794">
        <v>0</v>
      </c>
      <c r="M1794">
        <f t="shared" si="193"/>
        <v>1.6</v>
      </c>
      <c r="N1794" t="s">
        <v>6235</v>
      </c>
      <c r="O1794">
        <v>1</v>
      </c>
      <c r="P1794">
        <v>4</v>
      </c>
      <c r="Q1794">
        <v>1</v>
      </c>
      <c r="S1794">
        <v>0.2</v>
      </c>
      <c r="U1794">
        <v>0.2</v>
      </c>
      <c r="V1794">
        <v>1</v>
      </c>
      <c r="W1794">
        <v>0</v>
      </c>
      <c r="X1794" s="7">
        <v>2</v>
      </c>
      <c r="Y1794">
        <v>-0.1</v>
      </c>
      <c r="Z1794">
        <v>0</v>
      </c>
      <c r="AP1794" s="267">
        <v>1734</v>
      </c>
      <c r="AQ1794" t="s">
        <v>136</v>
      </c>
      <c r="AR1794" s="11"/>
      <c r="AY1794" s="37"/>
      <c r="AZ1794" s="37"/>
    </row>
    <row r="1795" spans="1:52">
      <c r="A1795">
        <v>10384</v>
      </c>
      <c r="B1795" s="334" t="s">
        <v>6233</v>
      </c>
      <c r="C1795" s="334" t="s">
        <v>6236</v>
      </c>
      <c r="D1795">
        <v>1</v>
      </c>
      <c r="E1795">
        <v>0</v>
      </c>
      <c r="G1795">
        <v>2</v>
      </c>
      <c r="H1795" s="5" t="s">
        <v>6237</v>
      </c>
      <c r="I1795">
        <v>2</v>
      </c>
      <c r="J1795">
        <v>2</v>
      </c>
      <c r="L1795">
        <v>0</v>
      </c>
      <c r="M1795">
        <f t="shared" si="193"/>
        <v>1.6</v>
      </c>
      <c r="N1795" t="s">
        <v>6238</v>
      </c>
      <c r="O1795">
        <v>1</v>
      </c>
      <c r="P1795">
        <v>4</v>
      </c>
      <c r="Q1795">
        <v>1</v>
      </c>
      <c r="S1795">
        <v>0.2</v>
      </c>
      <c r="U1795">
        <v>0.2</v>
      </c>
      <c r="V1795">
        <v>1</v>
      </c>
      <c r="W1795">
        <v>0</v>
      </c>
      <c r="X1795" s="7">
        <v>1</v>
      </c>
      <c r="Y1795">
        <v>-0.1</v>
      </c>
      <c r="Z1795">
        <v>0</v>
      </c>
      <c r="AN1795" s="10">
        <v>1736</v>
      </c>
      <c r="AO1795" t="s">
        <v>1103</v>
      </c>
      <c r="AR1795" s="11"/>
      <c r="AY1795" s="37"/>
      <c r="AZ1795" s="37"/>
    </row>
    <row r="1796" ht="16.5" spans="1:52">
      <c r="A1796">
        <v>10385</v>
      </c>
      <c r="B1796" s="334" t="s">
        <v>6233</v>
      </c>
      <c r="C1796" s="334" t="s">
        <v>6117</v>
      </c>
      <c r="D1796">
        <v>2</v>
      </c>
      <c r="E1796">
        <v>1</v>
      </c>
      <c r="G1796">
        <v>2</v>
      </c>
      <c r="H1796" s="5" t="s">
        <v>6239</v>
      </c>
      <c r="I1796">
        <f>192/30</f>
        <v>6.4</v>
      </c>
      <c r="J1796">
        <f>192/30</f>
        <v>6.4</v>
      </c>
      <c r="L1796">
        <v>0</v>
      </c>
      <c r="M1796">
        <f t="shared" si="193"/>
        <v>6</v>
      </c>
      <c r="N1796" t="s">
        <v>6240</v>
      </c>
      <c r="O1796">
        <v>1</v>
      </c>
      <c r="P1796">
        <v>4</v>
      </c>
      <c r="Q1796">
        <v>0</v>
      </c>
      <c r="S1796">
        <v>0.2</v>
      </c>
      <c r="U1796">
        <v>0.2</v>
      </c>
      <c r="V1796">
        <v>1000</v>
      </c>
      <c r="W1796">
        <v>0</v>
      </c>
      <c r="X1796" s="7">
        <v>0</v>
      </c>
      <c r="Y1796">
        <v>-0.1</v>
      </c>
      <c r="Z1796">
        <v>0</v>
      </c>
      <c r="AB1796">
        <v>6.1</v>
      </c>
      <c r="AC1796">
        <v>2</v>
      </c>
      <c r="AD1796">
        <v>1</v>
      </c>
      <c r="AE1796" t="s">
        <v>6241</v>
      </c>
      <c r="AF1796">
        <v>0.5</v>
      </c>
      <c r="AN1796" s="10"/>
      <c r="AP1796" s="267">
        <v>1738</v>
      </c>
      <c r="AQ1796" t="s">
        <v>136</v>
      </c>
      <c r="AR1796" s="749" t="s">
        <v>1550</v>
      </c>
      <c r="AY1796" s="37"/>
      <c r="AZ1796" s="37"/>
    </row>
    <row r="1797" ht="16.5" spans="1:52">
      <c r="A1797">
        <v>10386</v>
      </c>
      <c r="B1797" s="334" t="s">
        <v>6242</v>
      </c>
      <c r="C1797" s="334" t="s">
        <v>5043</v>
      </c>
      <c r="D1797">
        <v>1</v>
      </c>
      <c r="E1797">
        <v>0</v>
      </c>
      <c r="G1797">
        <v>2</v>
      </c>
      <c r="H1797" s="5" t="s">
        <v>6243</v>
      </c>
      <c r="I1797">
        <v>2</v>
      </c>
      <c r="J1797">
        <v>2</v>
      </c>
      <c r="L1797">
        <v>0</v>
      </c>
      <c r="M1797">
        <f t="shared" si="193"/>
        <v>1.6</v>
      </c>
      <c r="N1797" t="s">
        <v>6244</v>
      </c>
      <c r="O1797">
        <v>0</v>
      </c>
      <c r="P1797">
        <v>4</v>
      </c>
      <c r="Q1797">
        <v>1</v>
      </c>
      <c r="S1797">
        <v>0.2</v>
      </c>
      <c r="U1797">
        <v>0.2</v>
      </c>
      <c r="V1797">
        <v>1</v>
      </c>
      <c r="W1797">
        <v>0</v>
      </c>
      <c r="X1797" s="7">
        <v>3</v>
      </c>
      <c r="Y1797">
        <v>-0.1</v>
      </c>
      <c r="Z1797">
        <v>0</v>
      </c>
      <c r="AN1797" s="10"/>
      <c r="AP1797" s="267">
        <v>1739</v>
      </c>
      <c r="AQ1797" t="s">
        <v>136</v>
      </c>
      <c r="AR1797" s="11"/>
      <c r="AY1797" s="37"/>
      <c r="AZ1797" s="37"/>
    </row>
    <row r="1798" ht="16.5" spans="1:52">
      <c r="A1798">
        <v>10387</v>
      </c>
      <c r="B1798" s="334" t="s">
        <v>6242</v>
      </c>
      <c r="C1798" s="334" t="s">
        <v>6245</v>
      </c>
      <c r="D1798">
        <v>1</v>
      </c>
      <c r="E1798">
        <v>0</v>
      </c>
      <c r="G1798">
        <v>2</v>
      </c>
      <c r="H1798" s="5" t="s">
        <v>6246</v>
      </c>
      <c r="I1798">
        <f>100/30</f>
        <v>3.33333333333333</v>
      </c>
      <c r="J1798">
        <f>100/30</f>
        <v>3.33333333333333</v>
      </c>
      <c r="L1798">
        <v>0</v>
      </c>
      <c r="M1798">
        <f t="shared" si="193"/>
        <v>2.93333333333333</v>
      </c>
      <c r="N1798" t="s">
        <v>6247</v>
      </c>
      <c r="O1798">
        <v>0</v>
      </c>
      <c r="P1798">
        <v>4</v>
      </c>
      <c r="Q1798">
        <v>1</v>
      </c>
      <c r="S1798">
        <v>0.2</v>
      </c>
      <c r="U1798">
        <v>0.2</v>
      </c>
      <c r="V1798">
        <v>1</v>
      </c>
      <c r="W1798">
        <v>0</v>
      </c>
      <c r="X1798" s="7">
        <v>1</v>
      </c>
      <c r="Y1798">
        <v>-0.1</v>
      </c>
      <c r="Z1798">
        <v>0</v>
      </c>
      <c r="AN1798" s="10"/>
      <c r="AP1798" s="267">
        <v>1740</v>
      </c>
      <c r="AQ1798" t="s">
        <v>136</v>
      </c>
      <c r="AR1798" s="11"/>
      <c r="AY1798" s="37"/>
      <c r="AZ1798" s="37"/>
    </row>
    <row r="1799" ht="16.5" spans="1:52">
      <c r="A1799">
        <v>10388</v>
      </c>
      <c r="B1799" s="334" t="s">
        <v>6242</v>
      </c>
      <c r="C1799" s="334" t="s">
        <v>6117</v>
      </c>
      <c r="D1799">
        <v>1</v>
      </c>
      <c r="E1799">
        <v>0</v>
      </c>
      <c r="G1799">
        <v>2</v>
      </c>
      <c r="H1799" s="5" t="s">
        <v>6248</v>
      </c>
      <c r="I1799">
        <f>125/30</f>
        <v>4.16666666666667</v>
      </c>
      <c r="J1799">
        <f>125/30</f>
        <v>4.16666666666667</v>
      </c>
      <c r="L1799">
        <v>0</v>
      </c>
      <c r="M1799">
        <f t="shared" si="193"/>
        <v>3.76666666666667</v>
      </c>
      <c r="N1799" t="s">
        <v>6249</v>
      </c>
      <c r="O1799">
        <v>1</v>
      </c>
      <c r="P1799">
        <v>7</v>
      </c>
      <c r="Q1799">
        <v>0</v>
      </c>
      <c r="S1799">
        <v>0.2</v>
      </c>
      <c r="U1799">
        <v>0.2</v>
      </c>
      <c r="V1799">
        <v>1</v>
      </c>
      <c r="W1799">
        <v>6</v>
      </c>
      <c r="X1799" s="7">
        <v>1</v>
      </c>
      <c r="Y1799">
        <v>-0.1</v>
      </c>
      <c r="Z1799">
        <v>0</v>
      </c>
      <c r="AB1799">
        <v>3.8666667</v>
      </c>
      <c r="AC1799">
        <v>2</v>
      </c>
      <c r="AD1799">
        <v>1</v>
      </c>
      <c r="AE1799" t="s">
        <v>6250</v>
      </c>
      <c r="AF1799">
        <v>0.5</v>
      </c>
      <c r="AN1799" s="10"/>
      <c r="AP1799" s="267">
        <v>1743</v>
      </c>
      <c r="AQ1799" t="s">
        <v>136</v>
      </c>
      <c r="AR1799" s="749" t="s">
        <v>1550</v>
      </c>
      <c r="AY1799" s="37"/>
      <c r="AZ1799" s="37"/>
    </row>
    <row r="1800" ht="16.5" spans="1:52">
      <c r="A1800">
        <v>10389</v>
      </c>
      <c r="B1800" s="334" t="s">
        <v>6251</v>
      </c>
      <c r="C1800" s="334" t="s">
        <v>526</v>
      </c>
      <c r="D1800">
        <v>1</v>
      </c>
      <c r="E1800">
        <v>0</v>
      </c>
      <c r="G1800">
        <v>1</v>
      </c>
      <c r="H1800" s="5" t="s">
        <v>6252</v>
      </c>
      <c r="I1800">
        <f>60/30</f>
        <v>2</v>
      </c>
      <c r="J1800">
        <f>60/30</f>
        <v>2</v>
      </c>
      <c r="L1800">
        <v>0</v>
      </c>
      <c r="M1800">
        <f t="shared" si="193"/>
        <v>1.6</v>
      </c>
      <c r="N1800" t="s">
        <v>6253</v>
      </c>
      <c r="O1800">
        <v>1</v>
      </c>
      <c r="P1800">
        <v>2</v>
      </c>
      <c r="Q1800">
        <v>0</v>
      </c>
      <c r="S1800">
        <v>0.2</v>
      </c>
      <c r="U1800">
        <v>0.2</v>
      </c>
      <c r="V1800">
        <v>1</v>
      </c>
      <c r="W1800">
        <v>0</v>
      </c>
      <c r="X1800" s="7">
        <v>2</v>
      </c>
      <c r="Y1800">
        <v>-0.1</v>
      </c>
      <c r="Z1800">
        <v>0</v>
      </c>
      <c r="AN1800" s="10"/>
      <c r="AP1800" s="267">
        <v>1830</v>
      </c>
      <c r="AQ1800" t="s">
        <v>136</v>
      </c>
      <c r="AR1800" s="11"/>
      <c r="AY1800" s="37"/>
      <c r="AZ1800" s="37"/>
    </row>
    <row r="1801" ht="16.5" spans="1:52">
      <c r="A1801">
        <v>10390</v>
      </c>
      <c r="B1801" s="334" t="s">
        <v>6251</v>
      </c>
      <c r="C1801" s="334" t="s">
        <v>6254</v>
      </c>
      <c r="D1801">
        <v>2</v>
      </c>
      <c r="E1801">
        <v>1</v>
      </c>
      <c r="G1801">
        <v>1</v>
      </c>
      <c r="H1801" s="5" t="s">
        <v>6255</v>
      </c>
      <c r="I1801">
        <f>85/30</f>
        <v>2.83333333333333</v>
      </c>
      <c r="J1801">
        <f>85/30</f>
        <v>2.83333333333333</v>
      </c>
      <c r="L1801">
        <v>0</v>
      </c>
      <c r="M1801">
        <f t="shared" si="193"/>
        <v>2.43333333333333</v>
      </c>
      <c r="N1801" t="s">
        <v>6256</v>
      </c>
      <c r="O1801">
        <v>5</v>
      </c>
      <c r="P1801">
        <v>0</v>
      </c>
      <c r="Q1801">
        <v>0</v>
      </c>
      <c r="S1801">
        <v>0.2</v>
      </c>
      <c r="U1801">
        <v>0.2</v>
      </c>
      <c r="V1801">
        <v>1000</v>
      </c>
      <c r="W1801">
        <v>0</v>
      </c>
      <c r="X1801" s="7">
        <v>0</v>
      </c>
      <c r="Y1801">
        <v>-0.1</v>
      </c>
      <c r="Z1801">
        <v>0</v>
      </c>
      <c r="AN1801" s="10"/>
      <c r="AP1801" s="267">
        <v>1831</v>
      </c>
      <c r="AQ1801" t="s">
        <v>136</v>
      </c>
      <c r="AR1801" s="11"/>
      <c r="AY1801" s="37"/>
      <c r="AZ1801" s="37"/>
    </row>
    <row r="1802" ht="16.5" spans="1:52">
      <c r="A1802">
        <v>10391</v>
      </c>
      <c r="B1802" s="334" t="s">
        <v>6251</v>
      </c>
      <c r="C1802" s="334" t="s">
        <v>6257</v>
      </c>
      <c r="D1802">
        <v>1</v>
      </c>
      <c r="E1802">
        <v>0</v>
      </c>
      <c r="G1802">
        <v>1</v>
      </c>
      <c r="H1802" s="5" t="s">
        <v>6258</v>
      </c>
      <c r="I1802">
        <f>120/30</f>
        <v>4</v>
      </c>
      <c r="J1802">
        <f>120/30</f>
        <v>4</v>
      </c>
      <c r="L1802">
        <v>1</v>
      </c>
      <c r="M1802">
        <f t="shared" si="193"/>
        <v>3.6</v>
      </c>
      <c r="N1802" t="s">
        <v>6259</v>
      </c>
      <c r="O1802">
        <v>1</v>
      </c>
      <c r="P1802">
        <v>2</v>
      </c>
      <c r="Q1802">
        <v>0</v>
      </c>
      <c r="S1802">
        <v>0.2</v>
      </c>
      <c r="U1802">
        <v>0.2</v>
      </c>
      <c r="V1802">
        <v>1</v>
      </c>
      <c r="W1802">
        <v>4</v>
      </c>
      <c r="X1802" s="7">
        <v>8</v>
      </c>
      <c r="Y1802">
        <v>-0.1</v>
      </c>
      <c r="Z1802">
        <v>0</v>
      </c>
      <c r="AN1802" s="10"/>
      <c r="AP1802" s="267">
        <v>1832</v>
      </c>
      <c r="AQ1802" t="s">
        <v>136</v>
      </c>
      <c r="AR1802" s="11"/>
      <c r="AY1802" s="37"/>
      <c r="AZ1802" s="37"/>
    </row>
    <row r="1803" ht="16.5" spans="1:52">
      <c r="A1803">
        <v>10392</v>
      </c>
      <c r="B1803" s="334" t="s">
        <v>6251</v>
      </c>
      <c r="C1803" s="334" t="s">
        <v>6260</v>
      </c>
      <c r="D1803">
        <v>1</v>
      </c>
      <c r="E1803">
        <v>0</v>
      </c>
      <c r="G1803">
        <v>1</v>
      </c>
      <c r="H1803" s="5" t="s">
        <v>6261</v>
      </c>
      <c r="I1803">
        <f>80/30</f>
        <v>2.66666666666667</v>
      </c>
      <c r="J1803">
        <f>80/30</f>
        <v>2.66666666666667</v>
      </c>
      <c r="L1803">
        <v>1</v>
      </c>
      <c r="M1803">
        <f t="shared" si="193"/>
        <v>2.26666666666667</v>
      </c>
      <c r="N1803" t="s">
        <v>6262</v>
      </c>
      <c r="O1803">
        <v>1</v>
      </c>
      <c r="P1803">
        <v>2</v>
      </c>
      <c r="Q1803">
        <v>0</v>
      </c>
      <c r="S1803">
        <v>0.2</v>
      </c>
      <c r="U1803">
        <v>0.2</v>
      </c>
      <c r="V1803">
        <v>1</v>
      </c>
      <c r="W1803">
        <v>0</v>
      </c>
      <c r="X1803" s="7">
        <v>1</v>
      </c>
      <c r="Y1803">
        <v>-0.1</v>
      </c>
      <c r="Z1803">
        <v>0</v>
      </c>
      <c r="AN1803" s="10"/>
      <c r="AP1803" s="267">
        <v>1833</v>
      </c>
      <c r="AQ1803" t="s">
        <v>136</v>
      </c>
      <c r="AR1803" s="11"/>
      <c r="AY1803" s="37"/>
      <c r="AZ1803" s="37"/>
    </row>
    <row r="1804" ht="16.5" spans="1:52">
      <c r="A1804">
        <v>10393</v>
      </c>
      <c r="B1804" s="334" t="s">
        <v>6251</v>
      </c>
      <c r="C1804" s="334" t="s">
        <v>6263</v>
      </c>
      <c r="D1804">
        <v>1</v>
      </c>
      <c r="E1804">
        <v>0</v>
      </c>
      <c r="G1804">
        <v>1</v>
      </c>
      <c r="H1804" s="5" t="s">
        <v>6264</v>
      </c>
      <c r="I1804">
        <f>150/30</f>
        <v>5</v>
      </c>
      <c r="J1804">
        <f>150/30</f>
        <v>5</v>
      </c>
      <c r="L1804">
        <v>1</v>
      </c>
      <c r="M1804">
        <f t="shared" si="193"/>
        <v>4.6</v>
      </c>
      <c r="N1804" t="s">
        <v>6265</v>
      </c>
      <c r="O1804">
        <v>3</v>
      </c>
      <c r="P1804">
        <v>-13</v>
      </c>
      <c r="Q1804">
        <v>0</v>
      </c>
      <c r="S1804">
        <v>0.2</v>
      </c>
      <c r="U1804">
        <v>0.2</v>
      </c>
      <c r="V1804">
        <v>1</v>
      </c>
      <c r="W1804">
        <v>6</v>
      </c>
      <c r="X1804" s="7">
        <v>1</v>
      </c>
      <c r="Y1804">
        <v>-0.1</v>
      </c>
      <c r="Z1804">
        <v>0</v>
      </c>
      <c r="AB1804">
        <v>4.7</v>
      </c>
      <c r="AC1804">
        <v>2</v>
      </c>
      <c r="AD1804">
        <v>1</v>
      </c>
      <c r="AE1804" t="s">
        <v>6266</v>
      </c>
      <c r="AF1804">
        <v>0.5</v>
      </c>
      <c r="AN1804" s="10"/>
      <c r="AP1804" s="267">
        <v>1834</v>
      </c>
      <c r="AQ1804" t="s">
        <v>136</v>
      </c>
      <c r="AR1804" s="749" t="s">
        <v>1550</v>
      </c>
      <c r="AY1804" s="37"/>
      <c r="AZ1804" s="37"/>
    </row>
    <row r="1805" ht="16.5" spans="1:52">
      <c r="A1805">
        <v>10394</v>
      </c>
      <c r="B1805" s="334" t="s">
        <v>6267</v>
      </c>
      <c r="C1805" s="334" t="s">
        <v>526</v>
      </c>
      <c r="D1805">
        <v>1</v>
      </c>
      <c r="E1805">
        <v>0</v>
      </c>
      <c r="G1805">
        <v>1</v>
      </c>
      <c r="H1805" s="5" t="s">
        <v>6268</v>
      </c>
      <c r="I1805">
        <f>79/30</f>
        <v>2.63333333333333</v>
      </c>
      <c r="J1805">
        <f>79/30</f>
        <v>2.63333333333333</v>
      </c>
      <c r="L1805">
        <v>0</v>
      </c>
      <c r="M1805">
        <f t="shared" ref="M1805:M1839" si="194">I1805-0.4</f>
        <v>2.23333333333333</v>
      </c>
      <c r="N1805" t="s">
        <v>6269</v>
      </c>
      <c r="O1805">
        <v>1</v>
      </c>
      <c r="P1805">
        <v>3</v>
      </c>
      <c r="Q1805">
        <v>0</v>
      </c>
      <c r="U1805">
        <v>0.3</v>
      </c>
      <c r="V1805">
        <v>1</v>
      </c>
      <c r="W1805">
        <v>0</v>
      </c>
      <c r="X1805" s="7">
        <v>5</v>
      </c>
      <c r="AN1805" s="10"/>
      <c r="AP1805" s="267">
        <v>1896</v>
      </c>
      <c r="AQ1805" t="s">
        <v>136</v>
      </c>
      <c r="AR1805" s="11"/>
      <c r="AY1805" s="37"/>
      <c r="AZ1805" s="37"/>
    </row>
    <row r="1806" spans="1:52">
      <c r="A1806">
        <v>10395</v>
      </c>
      <c r="B1806" s="334" t="s">
        <v>6270</v>
      </c>
      <c r="C1806" s="334" t="s">
        <v>526</v>
      </c>
      <c r="D1806">
        <v>1</v>
      </c>
      <c r="E1806">
        <v>0</v>
      </c>
      <c r="G1806">
        <v>1</v>
      </c>
      <c r="H1806" s="5" t="s">
        <v>6271</v>
      </c>
      <c r="I1806">
        <f>72/30</f>
        <v>2.4</v>
      </c>
      <c r="J1806">
        <f>72/30</f>
        <v>2.4</v>
      </c>
      <c r="L1806">
        <v>0</v>
      </c>
      <c r="M1806">
        <f t="shared" si="194"/>
        <v>2</v>
      </c>
      <c r="N1806" t="s">
        <v>6272</v>
      </c>
      <c r="O1806">
        <v>1</v>
      </c>
      <c r="P1806">
        <v>3.5</v>
      </c>
      <c r="Q1806">
        <v>0</v>
      </c>
      <c r="U1806">
        <v>0.5</v>
      </c>
      <c r="V1806">
        <v>1</v>
      </c>
      <c r="W1806">
        <v>0</v>
      </c>
      <c r="X1806" s="7">
        <v>3</v>
      </c>
      <c r="AN1806" s="10"/>
      <c r="AP1806">
        <v>1895</v>
      </c>
      <c r="AQ1806" t="s">
        <v>136</v>
      </c>
      <c r="AR1806" s="11"/>
      <c r="AY1806" s="37"/>
      <c r="AZ1806" s="37"/>
    </row>
    <row r="1807" ht="16.5" spans="1:52">
      <c r="A1807">
        <v>10396</v>
      </c>
      <c r="B1807" s="334" t="s">
        <v>6273</v>
      </c>
      <c r="C1807" s="334" t="s">
        <v>526</v>
      </c>
      <c r="D1807">
        <v>1</v>
      </c>
      <c r="E1807">
        <v>0</v>
      </c>
      <c r="G1807">
        <v>1</v>
      </c>
      <c r="H1807" s="5" t="s">
        <v>6274</v>
      </c>
      <c r="I1807">
        <f>96/30</f>
        <v>3.2</v>
      </c>
      <c r="J1807">
        <f>96/30</f>
        <v>3.2</v>
      </c>
      <c r="L1807">
        <v>0</v>
      </c>
      <c r="M1807">
        <f t="shared" si="194"/>
        <v>2.8</v>
      </c>
      <c r="N1807" t="s">
        <v>6275</v>
      </c>
      <c r="O1807">
        <v>1</v>
      </c>
      <c r="P1807">
        <v>2</v>
      </c>
      <c r="Q1807">
        <v>0</v>
      </c>
      <c r="S1807">
        <v>0.8</v>
      </c>
      <c r="U1807">
        <v>0.45</v>
      </c>
      <c r="V1807">
        <v>1</v>
      </c>
      <c r="W1807">
        <v>0</v>
      </c>
      <c r="X1807" s="7">
        <v>2</v>
      </c>
      <c r="AN1807" s="10"/>
      <c r="AP1807" s="267">
        <v>1898</v>
      </c>
      <c r="AQ1807" t="s">
        <v>136</v>
      </c>
      <c r="AR1807" s="11"/>
      <c r="AY1807" s="37"/>
      <c r="AZ1807" s="37"/>
    </row>
    <row r="1808" ht="16.5" spans="1:52">
      <c r="A1808">
        <v>10397</v>
      </c>
      <c r="B1808" s="334" t="s">
        <v>6276</v>
      </c>
      <c r="C1808" s="334" t="s">
        <v>526</v>
      </c>
      <c r="D1808">
        <v>1</v>
      </c>
      <c r="E1808">
        <v>0</v>
      </c>
      <c r="G1808">
        <v>1</v>
      </c>
      <c r="H1808" s="5" t="s">
        <v>6277</v>
      </c>
      <c r="I1808">
        <f>73/30</f>
        <v>2.43333333333333</v>
      </c>
      <c r="J1808">
        <f>73/30</f>
        <v>2.43333333333333</v>
      </c>
      <c r="L1808">
        <v>0</v>
      </c>
      <c r="M1808">
        <f t="shared" si="194"/>
        <v>2.03333333333333</v>
      </c>
      <c r="N1808" t="s">
        <v>6278</v>
      </c>
      <c r="O1808">
        <v>1</v>
      </c>
      <c r="P1808">
        <v>4.5</v>
      </c>
      <c r="Q1808">
        <v>0</v>
      </c>
      <c r="V1808">
        <v>1</v>
      </c>
      <c r="W1808">
        <v>0</v>
      </c>
      <c r="X1808" s="7">
        <v>3</v>
      </c>
      <c r="AN1808" s="10"/>
      <c r="AP1808" s="267">
        <v>1899</v>
      </c>
      <c r="AQ1808" t="s">
        <v>136</v>
      </c>
      <c r="AR1808" s="11"/>
      <c r="AY1808" s="37"/>
      <c r="AZ1808" s="37"/>
    </row>
    <row r="1809" ht="16.5" spans="1:52">
      <c r="A1809">
        <v>10398</v>
      </c>
      <c r="B1809" s="334" t="s">
        <v>6279</v>
      </c>
      <c r="C1809" s="334" t="s">
        <v>526</v>
      </c>
      <c r="D1809">
        <v>1</v>
      </c>
      <c r="E1809">
        <v>0</v>
      </c>
      <c r="G1809">
        <v>1</v>
      </c>
      <c r="H1809" s="5" t="s">
        <v>6280</v>
      </c>
      <c r="I1809">
        <f>102/30</f>
        <v>3.4</v>
      </c>
      <c r="J1809">
        <f>102/30</f>
        <v>3.4</v>
      </c>
      <c r="L1809">
        <v>0</v>
      </c>
      <c r="M1809">
        <f t="shared" si="194"/>
        <v>3</v>
      </c>
      <c r="N1809" t="s">
        <v>6281</v>
      </c>
      <c r="O1809">
        <v>1</v>
      </c>
      <c r="P1809">
        <v>3</v>
      </c>
      <c r="Q1809">
        <v>0</v>
      </c>
      <c r="S1809">
        <v>0.3</v>
      </c>
      <c r="U1809">
        <v>0.3</v>
      </c>
      <c r="V1809">
        <v>1</v>
      </c>
      <c r="W1809">
        <v>0</v>
      </c>
      <c r="X1809" s="7">
        <v>3</v>
      </c>
      <c r="AN1809" s="10">
        <v>1859</v>
      </c>
      <c r="AO1809" s="687" t="s">
        <v>3403</v>
      </c>
      <c r="AP1809" s="267">
        <v>1856</v>
      </c>
      <c r="AQ1809" t="s">
        <v>136</v>
      </c>
      <c r="AR1809" s="11"/>
      <c r="AY1809" s="28"/>
      <c r="AZ1809" s="28"/>
    </row>
    <row r="1810" ht="16.5" spans="1:52">
      <c r="A1810">
        <v>10399</v>
      </c>
      <c r="B1810" s="334" t="s">
        <v>6279</v>
      </c>
      <c r="C1810" s="334" t="s">
        <v>6282</v>
      </c>
      <c r="D1810">
        <v>1</v>
      </c>
      <c r="E1810">
        <v>0</v>
      </c>
      <c r="G1810">
        <v>1</v>
      </c>
      <c r="H1810" s="5" t="s">
        <v>6283</v>
      </c>
      <c r="I1810">
        <f>67/30</f>
        <v>2.23333333333333</v>
      </c>
      <c r="J1810">
        <f>67/30</f>
        <v>2.23333333333333</v>
      </c>
      <c r="L1810">
        <v>0</v>
      </c>
      <c r="M1810">
        <f t="shared" si="194"/>
        <v>1.83333333333333</v>
      </c>
      <c r="N1810" t="s">
        <v>6284</v>
      </c>
      <c r="O1810">
        <v>1</v>
      </c>
      <c r="P1810">
        <v>3</v>
      </c>
      <c r="Q1810">
        <v>0</v>
      </c>
      <c r="S1810">
        <v>0.3</v>
      </c>
      <c r="U1810">
        <v>0.3</v>
      </c>
      <c r="V1810">
        <v>1</v>
      </c>
      <c r="W1810">
        <v>0</v>
      </c>
      <c r="X1810" s="7">
        <v>2</v>
      </c>
      <c r="AN1810" s="10">
        <v>1863</v>
      </c>
      <c r="AO1810" s="687" t="s">
        <v>3403</v>
      </c>
      <c r="AP1810" s="267">
        <v>1860</v>
      </c>
      <c r="AQ1810" t="s">
        <v>136</v>
      </c>
      <c r="AR1810" s="11"/>
      <c r="AY1810" s="28"/>
      <c r="AZ1810" s="28"/>
    </row>
    <row r="1811" ht="16.5" spans="1:52">
      <c r="A1811">
        <v>10400</v>
      </c>
      <c r="B1811" s="334" t="s">
        <v>6279</v>
      </c>
      <c r="C1811" s="334" t="s">
        <v>6285</v>
      </c>
      <c r="D1811">
        <v>1</v>
      </c>
      <c r="E1811">
        <v>0</v>
      </c>
      <c r="G1811">
        <v>1</v>
      </c>
      <c r="H1811" s="5" t="s">
        <v>6286</v>
      </c>
      <c r="I1811">
        <f>79/30</f>
        <v>2.63333333333333</v>
      </c>
      <c r="J1811">
        <f>79/30</f>
        <v>2.63333333333333</v>
      </c>
      <c r="L1811">
        <v>0</v>
      </c>
      <c r="M1811">
        <f t="shared" si="194"/>
        <v>2.23333333333333</v>
      </c>
      <c r="N1811" t="s">
        <v>6287</v>
      </c>
      <c r="O1811">
        <v>1</v>
      </c>
      <c r="P1811">
        <v>3</v>
      </c>
      <c r="Q1811">
        <v>0</v>
      </c>
      <c r="S1811">
        <v>0.3</v>
      </c>
      <c r="U1811">
        <v>0.3</v>
      </c>
      <c r="V1811">
        <v>1</v>
      </c>
      <c r="W1811">
        <v>4</v>
      </c>
      <c r="X1811" s="7">
        <v>1</v>
      </c>
      <c r="AN1811" s="10">
        <v>1859</v>
      </c>
      <c r="AO1811" s="687" t="s">
        <v>3403</v>
      </c>
      <c r="AP1811" s="267">
        <v>1861</v>
      </c>
      <c r="AQ1811" t="s">
        <v>136</v>
      </c>
      <c r="AR1811" s="11"/>
      <c r="AY1811" s="28"/>
      <c r="AZ1811" s="28"/>
    </row>
    <row r="1812" ht="16.5" spans="1:52">
      <c r="A1812">
        <v>10401</v>
      </c>
      <c r="B1812" s="334" t="s">
        <v>6279</v>
      </c>
      <c r="C1812" s="334" t="s">
        <v>6288</v>
      </c>
      <c r="D1812">
        <v>1</v>
      </c>
      <c r="E1812">
        <v>0</v>
      </c>
      <c r="G1812">
        <v>1</v>
      </c>
      <c r="H1812" s="5" t="s">
        <v>6289</v>
      </c>
      <c r="I1812">
        <f>88/30</f>
        <v>2.93333333333333</v>
      </c>
      <c r="J1812">
        <f>88/30</f>
        <v>2.93333333333333</v>
      </c>
      <c r="L1812">
        <v>0</v>
      </c>
      <c r="M1812">
        <f t="shared" si="194"/>
        <v>2.53333333333333</v>
      </c>
      <c r="N1812" t="s">
        <v>6290</v>
      </c>
      <c r="O1812">
        <v>1</v>
      </c>
      <c r="P1812">
        <v>3</v>
      </c>
      <c r="Q1812">
        <v>0</v>
      </c>
      <c r="S1812">
        <v>0.3</v>
      </c>
      <c r="U1812">
        <v>0.3</v>
      </c>
      <c r="V1812">
        <v>1</v>
      </c>
      <c r="W1812">
        <v>7</v>
      </c>
      <c r="X1812" s="7">
        <v>3</v>
      </c>
      <c r="AN1812" s="10">
        <v>1863</v>
      </c>
      <c r="AO1812" s="687" t="s">
        <v>3403</v>
      </c>
      <c r="AP1812" s="267">
        <v>1864</v>
      </c>
      <c r="AQ1812" t="s">
        <v>136</v>
      </c>
      <c r="AR1812" s="11"/>
      <c r="AY1812" s="28"/>
      <c r="AZ1812" s="28"/>
    </row>
    <row r="1813" ht="16.5" spans="1:52">
      <c r="A1813">
        <v>10402</v>
      </c>
      <c r="B1813" s="334" t="s">
        <v>6279</v>
      </c>
      <c r="C1813" s="334" t="s">
        <v>6291</v>
      </c>
      <c r="D1813">
        <v>1</v>
      </c>
      <c r="E1813">
        <v>0</v>
      </c>
      <c r="G1813">
        <v>1</v>
      </c>
      <c r="H1813" s="5" t="s">
        <v>6292</v>
      </c>
      <c r="I1813">
        <f>145/30</f>
        <v>4.83333333333333</v>
      </c>
      <c r="J1813">
        <f>145/30</f>
        <v>4.83333333333333</v>
      </c>
      <c r="L1813">
        <v>1</v>
      </c>
      <c r="M1813">
        <f t="shared" si="194"/>
        <v>4.43333333333333</v>
      </c>
      <c r="N1813" t="s">
        <v>6293</v>
      </c>
      <c r="O1813">
        <v>1</v>
      </c>
      <c r="P1813">
        <v>6</v>
      </c>
      <c r="Q1813">
        <v>0</v>
      </c>
      <c r="V1813">
        <v>1</v>
      </c>
      <c r="W1813">
        <v>6</v>
      </c>
      <c r="X1813" s="7">
        <v>2</v>
      </c>
      <c r="AD1813">
        <v>1</v>
      </c>
      <c r="AE1813" t="s">
        <v>6294</v>
      </c>
      <c r="AF1813">
        <v>0.5</v>
      </c>
      <c r="AN1813" s="10"/>
      <c r="AP1813" s="267">
        <v>1866</v>
      </c>
      <c r="AQ1813" t="s">
        <v>136</v>
      </c>
      <c r="AR1813" s="749" t="s">
        <v>1550</v>
      </c>
      <c r="AY1813" s="27"/>
      <c r="AZ1813" s="27"/>
    </row>
    <row r="1814" ht="16.5" spans="1:52">
      <c r="A1814">
        <v>10403</v>
      </c>
      <c r="B1814" s="334" t="s">
        <v>6279</v>
      </c>
      <c r="C1814" s="334" t="s">
        <v>6295</v>
      </c>
      <c r="D1814">
        <v>1</v>
      </c>
      <c r="E1814">
        <v>0</v>
      </c>
      <c r="G1814">
        <v>1</v>
      </c>
      <c r="H1814" s="5" t="s">
        <v>6296</v>
      </c>
      <c r="I1814">
        <f>229/30</f>
        <v>7.63333333333333</v>
      </c>
      <c r="J1814">
        <f>229/30</f>
        <v>7.63333333333333</v>
      </c>
      <c r="L1814">
        <v>1</v>
      </c>
      <c r="M1814">
        <f t="shared" si="194"/>
        <v>7.23333333333333</v>
      </c>
      <c r="N1814" t="s">
        <v>6297</v>
      </c>
      <c r="O1814">
        <v>1</v>
      </c>
      <c r="P1814">
        <v>6</v>
      </c>
      <c r="Q1814">
        <v>0</v>
      </c>
      <c r="V1814">
        <v>1</v>
      </c>
      <c r="W1814">
        <v>0</v>
      </c>
      <c r="X1814" s="7">
        <v>3</v>
      </c>
      <c r="AB1814">
        <v>7.33333333333333</v>
      </c>
      <c r="AC1814">
        <v>2</v>
      </c>
      <c r="AD1814">
        <v>1</v>
      </c>
      <c r="AE1814" t="s">
        <v>6298</v>
      </c>
      <c r="AF1814">
        <v>0.5</v>
      </c>
      <c r="AN1814" s="10">
        <v>1868</v>
      </c>
      <c r="AO1814" t="s">
        <v>6299</v>
      </c>
      <c r="AP1814" s="267">
        <v>1867</v>
      </c>
      <c r="AQ1814" t="s">
        <v>136</v>
      </c>
      <c r="AR1814" s="749" t="s">
        <v>1550</v>
      </c>
      <c r="AY1814" s="27"/>
      <c r="AZ1814" s="27"/>
    </row>
    <row r="1815" ht="16.5" spans="1:52">
      <c r="A1815">
        <v>10404</v>
      </c>
      <c r="B1815" s="334" t="s">
        <v>6279</v>
      </c>
      <c r="C1815" s="334" t="s">
        <v>6300</v>
      </c>
      <c r="D1815">
        <v>2</v>
      </c>
      <c r="E1815">
        <v>1</v>
      </c>
      <c r="G1815">
        <v>1</v>
      </c>
      <c r="H1815" s="5" t="s">
        <v>6301</v>
      </c>
      <c r="I1815">
        <f>221/30</f>
        <v>7.36666666666667</v>
      </c>
      <c r="J1815">
        <f>221/30</f>
        <v>7.36666666666667</v>
      </c>
      <c r="L1815">
        <v>0</v>
      </c>
      <c r="M1815">
        <f t="shared" si="194"/>
        <v>6.96666666666667</v>
      </c>
      <c r="N1815" t="s">
        <v>6302</v>
      </c>
      <c r="O1815">
        <v>1</v>
      </c>
      <c r="P1815">
        <v>6</v>
      </c>
      <c r="Q1815">
        <v>0</v>
      </c>
      <c r="V1815">
        <v>1000</v>
      </c>
      <c r="W1815">
        <v>0</v>
      </c>
      <c r="X1815" s="7">
        <v>0</v>
      </c>
      <c r="AB1815">
        <v>7.06666666666667</v>
      </c>
      <c r="AC1815">
        <v>2</v>
      </c>
      <c r="AD1815">
        <v>1</v>
      </c>
      <c r="AE1815" t="s">
        <v>6303</v>
      </c>
      <c r="AF1815">
        <v>0.5</v>
      </c>
      <c r="AN1815" s="10"/>
      <c r="AP1815" s="267">
        <v>1869</v>
      </c>
      <c r="AQ1815" t="s">
        <v>136</v>
      </c>
      <c r="AR1815" s="749" t="s">
        <v>1550</v>
      </c>
      <c r="AY1815" s="27"/>
      <c r="AZ1815" s="27"/>
    </row>
    <row r="1816" ht="16.5" spans="1:52">
      <c r="A1816">
        <v>10405</v>
      </c>
      <c r="B1816" s="334" t="s">
        <v>6304</v>
      </c>
      <c r="C1816" s="334" t="s">
        <v>6305</v>
      </c>
      <c r="D1816">
        <v>1</v>
      </c>
      <c r="E1816">
        <v>0</v>
      </c>
      <c r="G1816">
        <v>1</v>
      </c>
      <c r="H1816" s="5" t="s">
        <v>6306</v>
      </c>
      <c r="I1816">
        <f>48/30</f>
        <v>1.6</v>
      </c>
      <c r="J1816">
        <f>48/30</f>
        <v>1.6</v>
      </c>
      <c r="L1816">
        <v>0</v>
      </c>
      <c r="M1816">
        <f t="shared" si="194"/>
        <v>1.2</v>
      </c>
      <c r="N1816" t="s">
        <v>6307</v>
      </c>
      <c r="O1816">
        <v>0</v>
      </c>
      <c r="P1816">
        <v>0</v>
      </c>
      <c r="Q1816">
        <v>0</v>
      </c>
      <c r="V1816">
        <v>2</v>
      </c>
      <c r="W1816">
        <v>16</v>
      </c>
      <c r="X1816" s="7">
        <v>4</v>
      </c>
      <c r="AN1816" s="10"/>
      <c r="AP1816" s="267">
        <v>1957</v>
      </c>
      <c r="AQ1816" t="s">
        <v>136</v>
      </c>
      <c r="AR1816" s="11"/>
      <c r="AY1816" s="27"/>
      <c r="AZ1816" s="27"/>
    </row>
    <row r="1817" ht="16.5" spans="1:52">
      <c r="A1817">
        <v>10406</v>
      </c>
      <c r="B1817" s="334" t="s">
        <v>6304</v>
      </c>
      <c r="C1817" s="334" t="s">
        <v>6308</v>
      </c>
      <c r="D1817">
        <v>1</v>
      </c>
      <c r="E1817">
        <v>0</v>
      </c>
      <c r="G1817">
        <v>1</v>
      </c>
      <c r="H1817" s="5" t="s">
        <v>6309</v>
      </c>
      <c r="I1817">
        <v>3</v>
      </c>
      <c r="J1817">
        <v>3</v>
      </c>
      <c r="L1817">
        <v>0</v>
      </c>
      <c r="M1817">
        <f t="shared" si="194"/>
        <v>2.6</v>
      </c>
      <c r="N1817" t="s">
        <v>6310</v>
      </c>
      <c r="O1817">
        <v>0</v>
      </c>
      <c r="P1817">
        <v>0</v>
      </c>
      <c r="Q1817">
        <v>0</v>
      </c>
      <c r="V1817">
        <v>2</v>
      </c>
      <c r="W1817">
        <v>6</v>
      </c>
      <c r="X1817" s="7">
        <v>4</v>
      </c>
      <c r="AN1817" s="10"/>
      <c r="AP1817" s="267">
        <v>1890</v>
      </c>
      <c r="AQ1817" t="s">
        <v>136</v>
      </c>
      <c r="AR1817" s="11"/>
      <c r="AY1817" s="64"/>
      <c r="AZ1817" s="64"/>
    </row>
    <row r="1818" ht="16.5" spans="1:52">
      <c r="A1818">
        <v>10407</v>
      </c>
      <c r="B1818" s="334" t="s">
        <v>6304</v>
      </c>
      <c r="C1818" s="334" t="s">
        <v>6311</v>
      </c>
      <c r="D1818">
        <v>1</v>
      </c>
      <c r="E1818">
        <v>0</v>
      </c>
      <c r="G1818">
        <v>1</v>
      </c>
      <c r="H1818" s="5" t="s">
        <v>6312</v>
      </c>
      <c r="I1818">
        <v>3</v>
      </c>
      <c r="J1818">
        <v>3</v>
      </c>
      <c r="L1818">
        <v>0</v>
      </c>
      <c r="M1818">
        <f t="shared" si="194"/>
        <v>2.6</v>
      </c>
      <c r="N1818" t="s">
        <v>6313</v>
      </c>
      <c r="O1818">
        <v>0</v>
      </c>
      <c r="P1818">
        <v>0</v>
      </c>
      <c r="Q1818">
        <v>0</v>
      </c>
      <c r="V1818">
        <v>2</v>
      </c>
      <c r="W1818">
        <v>16</v>
      </c>
      <c r="X1818" s="7">
        <v>1</v>
      </c>
      <c r="AN1818" s="10"/>
      <c r="AP1818" s="267"/>
      <c r="AR1818" s="11"/>
      <c r="AY1818" s="52"/>
      <c r="AZ1818" s="52"/>
    </row>
    <row r="1819" ht="16.5" spans="1:52">
      <c r="A1819">
        <v>10408</v>
      </c>
      <c r="B1819" s="334" t="s">
        <v>6304</v>
      </c>
      <c r="C1819" s="334" t="s">
        <v>6314</v>
      </c>
      <c r="D1819">
        <v>2</v>
      </c>
      <c r="E1819">
        <v>1</v>
      </c>
      <c r="G1819">
        <v>1</v>
      </c>
      <c r="H1819" s="5" t="s">
        <v>6315</v>
      </c>
      <c r="I1819">
        <f>400/30</f>
        <v>13.3333333333333</v>
      </c>
      <c r="J1819">
        <f>400/30</f>
        <v>13.3333333333333</v>
      </c>
      <c r="L1819">
        <v>0</v>
      </c>
      <c r="M1819">
        <f t="shared" si="194"/>
        <v>12.9333333333333</v>
      </c>
      <c r="N1819" t="s">
        <v>6316</v>
      </c>
      <c r="O1819">
        <v>0</v>
      </c>
      <c r="P1819">
        <v>0</v>
      </c>
      <c r="Q1819">
        <v>0</v>
      </c>
      <c r="V1819">
        <v>2</v>
      </c>
      <c r="W1819">
        <v>0</v>
      </c>
      <c r="X1819" s="7">
        <v>0</v>
      </c>
      <c r="AB1819">
        <v>13.0333333333333</v>
      </c>
      <c r="AC1819">
        <v>2</v>
      </c>
      <c r="AD1819">
        <v>1</v>
      </c>
      <c r="AE1819" t="s">
        <v>6317</v>
      </c>
      <c r="AF1819">
        <v>0.5</v>
      </c>
      <c r="AN1819" s="10"/>
      <c r="AP1819" s="267">
        <v>1893</v>
      </c>
      <c r="AQ1819" t="s">
        <v>136</v>
      </c>
      <c r="AR1819" s="11"/>
      <c r="AY1819" s="52"/>
      <c r="AZ1819" s="52"/>
    </row>
    <row r="1820" ht="16.5" spans="1:52">
      <c r="A1820">
        <v>10409</v>
      </c>
      <c r="B1820" s="334" t="s">
        <v>6304</v>
      </c>
      <c r="C1820" s="334" t="s">
        <v>6318</v>
      </c>
      <c r="D1820">
        <v>1</v>
      </c>
      <c r="E1820">
        <v>0</v>
      </c>
      <c r="G1820">
        <v>1</v>
      </c>
      <c r="H1820" s="5" t="s">
        <v>6319</v>
      </c>
      <c r="I1820">
        <f>308/30</f>
        <v>10.2666666666667</v>
      </c>
      <c r="J1820">
        <f>308/30</f>
        <v>10.2666666666667</v>
      </c>
      <c r="L1820">
        <v>1</v>
      </c>
      <c r="M1820">
        <v>9.8666666666667</v>
      </c>
      <c r="N1820" t="s">
        <v>6320</v>
      </c>
      <c r="O1820">
        <v>0</v>
      </c>
      <c r="P1820">
        <v>0</v>
      </c>
      <c r="Q1820">
        <v>0</v>
      </c>
      <c r="V1820">
        <v>2</v>
      </c>
      <c r="W1820">
        <v>6</v>
      </c>
      <c r="X1820" s="7">
        <v>1</v>
      </c>
      <c r="AB1820">
        <v>9.96666666666666</v>
      </c>
      <c r="AC1820">
        <v>2</v>
      </c>
      <c r="AD1820">
        <v>1</v>
      </c>
      <c r="AE1820" t="s">
        <v>6321</v>
      </c>
      <c r="AF1820">
        <v>0.5</v>
      </c>
      <c r="AN1820" s="10"/>
      <c r="AP1820" s="267">
        <v>1894</v>
      </c>
      <c r="AQ1820" t="s">
        <v>136</v>
      </c>
      <c r="AR1820" s="11"/>
      <c r="AY1820" s="52"/>
      <c r="AZ1820" s="52"/>
    </row>
    <row r="1821" ht="16.5" spans="1:52">
      <c r="A1821">
        <v>10410</v>
      </c>
      <c r="B1821" s="334" t="s">
        <v>6322</v>
      </c>
      <c r="C1821" s="334" t="s">
        <v>6323</v>
      </c>
      <c r="D1821">
        <v>1</v>
      </c>
      <c r="E1821">
        <v>0</v>
      </c>
      <c r="G1821">
        <v>1</v>
      </c>
      <c r="H1821" s="5" t="s">
        <v>6324</v>
      </c>
      <c r="I1821">
        <f>110/30</f>
        <v>3.66666666666667</v>
      </c>
      <c r="J1821">
        <f>110/30</f>
        <v>3.66666666666667</v>
      </c>
      <c r="L1821">
        <v>0</v>
      </c>
      <c r="M1821">
        <f t="shared" si="194"/>
        <v>3.26666666666667</v>
      </c>
      <c r="N1821" t="s">
        <v>6325</v>
      </c>
      <c r="O1821">
        <v>1</v>
      </c>
      <c r="P1821">
        <v>2.7</v>
      </c>
      <c r="Q1821">
        <v>0</v>
      </c>
      <c r="V1821">
        <v>1</v>
      </c>
      <c r="W1821">
        <v>0</v>
      </c>
      <c r="X1821" s="7">
        <v>5</v>
      </c>
      <c r="AN1821" s="10"/>
      <c r="AP1821" s="267">
        <v>1872</v>
      </c>
      <c r="AQ1821" t="s">
        <v>136</v>
      </c>
      <c r="AR1821" s="11"/>
      <c r="AY1821" s="44"/>
      <c r="AZ1821" s="44"/>
    </row>
    <row r="1822" ht="16.5" spans="1:52">
      <c r="A1822">
        <v>10411</v>
      </c>
      <c r="B1822" s="334" t="s">
        <v>6322</v>
      </c>
      <c r="C1822" s="334" t="s">
        <v>6326</v>
      </c>
      <c r="D1822">
        <v>1</v>
      </c>
      <c r="E1822">
        <v>0</v>
      </c>
      <c r="G1822">
        <v>1</v>
      </c>
      <c r="H1822" s="5" t="s">
        <v>6327</v>
      </c>
      <c r="I1822">
        <f>95/30</f>
        <v>3.16666666666667</v>
      </c>
      <c r="J1822">
        <f>95/30</f>
        <v>3.16666666666667</v>
      </c>
      <c r="L1822">
        <v>0</v>
      </c>
      <c r="M1822">
        <f t="shared" si="194"/>
        <v>2.76666666666667</v>
      </c>
      <c r="N1822" t="s">
        <v>6328</v>
      </c>
      <c r="O1822">
        <v>1</v>
      </c>
      <c r="P1822">
        <v>2.7</v>
      </c>
      <c r="Q1822">
        <v>0</v>
      </c>
      <c r="U1822">
        <v>0.4</v>
      </c>
      <c r="V1822">
        <v>1</v>
      </c>
      <c r="W1822">
        <v>7</v>
      </c>
      <c r="X1822" s="7">
        <v>3</v>
      </c>
      <c r="AN1822" s="10"/>
      <c r="AP1822" s="267">
        <v>1874</v>
      </c>
      <c r="AQ1822" t="s">
        <v>136</v>
      </c>
      <c r="AR1822" s="11"/>
      <c r="AY1822" s="72"/>
      <c r="AZ1822" s="72"/>
    </row>
    <row r="1823" ht="16.5" spans="1:52">
      <c r="A1823">
        <v>10412</v>
      </c>
      <c r="B1823" s="334" t="s">
        <v>6322</v>
      </c>
      <c r="C1823" s="334" t="s">
        <v>6329</v>
      </c>
      <c r="D1823">
        <v>2</v>
      </c>
      <c r="E1823">
        <v>1</v>
      </c>
      <c r="G1823">
        <v>1</v>
      </c>
      <c r="H1823" s="5" t="s">
        <v>6330</v>
      </c>
      <c r="I1823">
        <f>146/30</f>
        <v>4.86666666666667</v>
      </c>
      <c r="J1823">
        <f>146/30</f>
        <v>4.86666666666667</v>
      </c>
      <c r="L1823">
        <v>0</v>
      </c>
      <c r="M1823">
        <f t="shared" si="194"/>
        <v>4.46666666666667</v>
      </c>
      <c r="N1823" t="s">
        <v>6331</v>
      </c>
      <c r="O1823">
        <v>5</v>
      </c>
      <c r="P1823">
        <v>0</v>
      </c>
      <c r="Q1823">
        <v>0</v>
      </c>
      <c r="V1823">
        <v>1000</v>
      </c>
      <c r="W1823">
        <v>0</v>
      </c>
      <c r="X1823" s="7">
        <v>0</v>
      </c>
      <c r="AN1823" s="10"/>
      <c r="AP1823" s="267">
        <v>1876</v>
      </c>
      <c r="AQ1823" t="s">
        <v>136</v>
      </c>
      <c r="AR1823" s="11"/>
      <c r="AY1823" s="73"/>
      <c r="AZ1823" s="73"/>
    </row>
    <row r="1824" ht="16.5" spans="1:52">
      <c r="A1824">
        <v>10413</v>
      </c>
      <c r="B1824" s="334" t="s">
        <v>6322</v>
      </c>
      <c r="C1824" s="334" t="s">
        <v>6332</v>
      </c>
      <c r="D1824">
        <v>1</v>
      </c>
      <c r="E1824">
        <v>0</v>
      </c>
      <c r="G1824">
        <v>1</v>
      </c>
      <c r="H1824" s="5" t="s">
        <v>6333</v>
      </c>
      <c r="I1824">
        <f>96/30</f>
        <v>3.2</v>
      </c>
      <c r="J1824">
        <f>96/30</f>
        <v>3.2</v>
      </c>
      <c r="L1824">
        <v>0</v>
      </c>
      <c r="M1824">
        <f t="shared" si="194"/>
        <v>2.8</v>
      </c>
      <c r="N1824" t="s">
        <v>6334</v>
      </c>
      <c r="O1824">
        <v>1</v>
      </c>
      <c r="P1824">
        <v>2.7</v>
      </c>
      <c r="Q1824">
        <v>0</v>
      </c>
      <c r="S1824">
        <v>0.2</v>
      </c>
      <c r="U1824">
        <v>0.4</v>
      </c>
      <c r="V1824">
        <v>1</v>
      </c>
      <c r="W1824">
        <v>6</v>
      </c>
      <c r="X1824" s="7">
        <v>3</v>
      </c>
      <c r="AN1824" s="10"/>
      <c r="AP1824" s="267">
        <v>1878</v>
      </c>
      <c r="AQ1824" t="s">
        <v>136</v>
      </c>
      <c r="AR1824" s="11"/>
      <c r="AY1824" s="74"/>
      <c r="AZ1824" s="74"/>
    </row>
    <row r="1825" ht="16.5" spans="1:52">
      <c r="A1825">
        <v>10414</v>
      </c>
      <c r="B1825" s="334" t="s">
        <v>6322</v>
      </c>
      <c r="C1825" s="334" t="s">
        <v>6335</v>
      </c>
      <c r="D1825">
        <v>1</v>
      </c>
      <c r="E1825">
        <v>0</v>
      </c>
      <c r="G1825">
        <v>1</v>
      </c>
      <c r="H1825" s="5" t="s">
        <v>6336</v>
      </c>
      <c r="I1825">
        <f>255/30</f>
        <v>8.5</v>
      </c>
      <c r="J1825">
        <f>255/30</f>
        <v>8.5</v>
      </c>
      <c r="L1825">
        <v>1</v>
      </c>
      <c r="M1825">
        <f t="shared" si="194"/>
        <v>8.1</v>
      </c>
      <c r="N1825" t="s">
        <v>6337</v>
      </c>
      <c r="O1825">
        <v>1</v>
      </c>
      <c r="P1825">
        <v>10</v>
      </c>
      <c r="Q1825">
        <v>0</v>
      </c>
      <c r="V1825">
        <v>1</v>
      </c>
      <c r="W1825">
        <v>0</v>
      </c>
      <c r="X1825" s="7">
        <v>4</v>
      </c>
      <c r="AB1825">
        <v>8.2</v>
      </c>
      <c r="AC1825">
        <v>2</v>
      </c>
      <c r="AD1825">
        <v>1</v>
      </c>
      <c r="AE1825" t="s">
        <v>6338</v>
      </c>
      <c r="AF1825">
        <v>0.5</v>
      </c>
      <c r="AG1825" t="s">
        <v>6339</v>
      </c>
      <c r="AN1825" s="10" t="s">
        <v>6340</v>
      </c>
      <c r="AO1825" t="s">
        <v>6341</v>
      </c>
      <c r="AP1825" s="267">
        <v>1879</v>
      </c>
      <c r="AQ1825" t="s">
        <v>136</v>
      </c>
      <c r="AR1825" s="11"/>
      <c r="AY1825" s="74"/>
      <c r="AZ1825" s="74"/>
    </row>
    <row r="1826" ht="16.5" spans="1:52">
      <c r="A1826">
        <v>10415</v>
      </c>
      <c r="B1826" s="334" t="s">
        <v>6342</v>
      </c>
      <c r="C1826" s="334" t="s">
        <v>526</v>
      </c>
      <c r="D1826">
        <v>1</v>
      </c>
      <c r="E1826">
        <v>0</v>
      </c>
      <c r="G1826">
        <v>1</v>
      </c>
      <c r="H1826" s="5" t="s">
        <v>6343</v>
      </c>
      <c r="I1826">
        <f>119/30</f>
        <v>3.96666666666667</v>
      </c>
      <c r="J1826">
        <f>119/30</f>
        <v>3.96666666666667</v>
      </c>
      <c r="L1826">
        <v>0</v>
      </c>
      <c r="M1826">
        <f t="shared" si="194"/>
        <v>3.56666666666667</v>
      </c>
      <c r="N1826" t="s">
        <v>6344</v>
      </c>
      <c r="O1826">
        <v>1</v>
      </c>
      <c r="P1826">
        <v>2.7</v>
      </c>
      <c r="Q1826">
        <v>0</v>
      </c>
      <c r="S1826">
        <v>0.3</v>
      </c>
      <c r="U1826">
        <v>0.5</v>
      </c>
      <c r="V1826">
        <v>1</v>
      </c>
      <c r="W1826">
        <v>0</v>
      </c>
      <c r="X1826" s="7">
        <v>1</v>
      </c>
      <c r="AN1826" s="10"/>
      <c r="AP1826" s="267">
        <v>1975</v>
      </c>
      <c r="AQ1826" t="s">
        <v>136</v>
      </c>
      <c r="AR1826" s="11"/>
      <c r="AY1826" s="75"/>
      <c r="AZ1826" s="75"/>
    </row>
    <row r="1827" ht="16.5" spans="1:52">
      <c r="A1827">
        <v>10416</v>
      </c>
      <c r="B1827" s="334" t="s">
        <v>6342</v>
      </c>
      <c r="C1827" s="334" t="s">
        <v>6345</v>
      </c>
      <c r="D1827">
        <v>1</v>
      </c>
      <c r="E1827">
        <v>0</v>
      </c>
      <c r="G1827">
        <v>1</v>
      </c>
      <c r="H1827" s="5" t="s">
        <v>6346</v>
      </c>
      <c r="I1827">
        <f>100/30</f>
        <v>3.33333333333333</v>
      </c>
      <c r="J1827">
        <f>100/30</f>
        <v>3.33333333333333</v>
      </c>
      <c r="L1827">
        <v>0</v>
      </c>
      <c r="M1827">
        <f t="shared" si="194"/>
        <v>2.93333333333333</v>
      </c>
      <c r="N1827" t="s">
        <v>6347</v>
      </c>
      <c r="O1827">
        <v>1</v>
      </c>
      <c r="P1827">
        <v>2.7</v>
      </c>
      <c r="Q1827">
        <v>0</v>
      </c>
      <c r="S1827">
        <v>0.3</v>
      </c>
      <c r="U1827">
        <v>0.5</v>
      </c>
      <c r="V1827">
        <v>1</v>
      </c>
      <c r="W1827">
        <v>0</v>
      </c>
      <c r="X1827" s="7">
        <v>1</v>
      </c>
      <c r="AN1827" s="10"/>
      <c r="AP1827" s="267">
        <v>1976</v>
      </c>
      <c r="AQ1827" t="s">
        <v>136</v>
      </c>
      <c r="AR1827" s="11"/>
      <c r="AY1827" s="75"/>
      <c r="AZ1827" s="75"/>
    </row>
    <row r="1828" ht="16.5" spans="1:52">
      <c r="A1828">
        <v>10417</v>
      </c>
      <c r="B1828" s="334" t="s">
        <v>6342</v>
      </c>
      <c r="C1828" s="334" t="s">
        <v>6329</v>
      </c>
      <c r="D1828">
        <v>2</v>
      </c>
      <c r="E1828">
        <v>1</v>
      </c>
      <c r="G1828">
        <v>1</v>
      </c>
      <c r="H1828" s="5" t="s">
        <v>6348</v>
      </c>
      <c r="I1828">
        <f>145/30</f>
        <v>4.83333333333333</v>
      </c>
      <c r="J1828">
        <f>145/30</f>
        <v>4.83333333333333</v>
      </c>
      <c r="L1828">
        <v>0</v>
      </c>
      <c r="M1828">
        <f t="shared" si="194"/>
        <v>4.43333333333333</v>
      </c>
      <c r="N1828" t="s">
        <v>6349</v>
      </c>
      <c r="O1828">
        <v>5</v>
      </c>
      <c r="P1828">
        <v>0</v>
      </c>
      <c r="Q1828">
        <v>0</v>
      </c>
      <c r="S1828">
        <v>0.3</v>
      </c>
      <c r="U1828">
        <v>0.5</v>
      </c>
      <c r="V1828">
        <v>1000</v>
      </c>
      <c r="W1828">
        <v>0</v>
      </c>
      <c r="X1828" s="7">
        <v>0</v>
      </c>
      <c r="AN1828" s="10"/>
      <c r="AP1828" s="267">
        <v>1977</v>
      </c>
      <c r="AQ1828" t="s">
        <v>136</v>
      </c>
      <c r="AR1828" s="11"/>
      <c r="AY1828" s="75"/>
      <c r="AZ1828" s="75"/>
    </row>
    <row r="1829" ht="16.5" spans="1:52">
      <c r="A1829">
        <v>10418</v>
      </c>
      <c r="B1829" s="334" t="s">
        <v>6342</v>
      </c>
      <c r="C1829" s="334" t="s">
        <v>6350</v>
      </c>
      <c r="D1829">
        <v>1</v>
      </c>
      <c r="E1829">
        <v>0</v>
      </c>
      <c r="G1829">
        <v>1</v>
      </c>
      <c r="H1829" s="5" t="s">
        <v>6351</v>
      </c>
      <c r="I1829">
        <f>108/30</f>
        <v>3.6</v>
      </c>
      <c r="J1829">
        <f>108/30</f>
        <v>3.6</v>
      </c>
      <c r="L1829">
        <v>1</v>
      </c>
      <c r="M1829">
        <f t="shared" si="194"/>
        <v>3.2</v>
      </c>
      <c r="N1829" t="s">
        <v>6352</v>
      </c>
      <c r="O1829">
        <v>1</v>
      </c>
      <c r="P1829">
        <v>2.7</v>
      </c>
      <c r="Q1829">
        <v>0</v>
      </c>
      <c r="S1829">
        <v>0.3</v>
      </c>
      <c r="U1829">
        <v>0.5</v>
      </c>
      <c r="V1829">
        <v>1</v>
      </c>
      <c r="W1829">
        <v>0</v>
      </c>
      <c r="X1829" s="7">
        <v>1</v>
      </c>
      <c r="AB1829">
        <v>3.3</v>
      </c>
      <c r="AC1829">
        <v>2</v>
      </c>
      <c r="AD1829">
        <v>1</v>
      </c>
      <c r="AE1829" t="s">
        <v>6353</v>
      </c>
      <c r="AF1829">
        <v>0.5</v>
      </c>
      <c r="AN1829" s="10"/>
      <c r="AP1829" s="267">
        <v>1978</v>
      </c>
      <c r="AQ1829" t="s">
        <v>136</v>
      </c>
      <c r="AR1829" s="749" t="s">
        <v>1550</v>
      </c>
      <c r="AY1829" s="75"/>
      <c r="AZ1829" s="75"/>
    </row>
    <row r="1830" ht="16.5" spans="1:52">
      <c r="A1830">
        <v>10419</v>
      </c>
      <c r="B1830" s="334" t="s">
        <v>6354</v>
      </c>
      <c r="C1830" s="334" t="s">
        <v>526</v>
      </c>
      <c r="D1830">
        <v>1</v>
      </c>
      <c r="E1830">
        <v>0</v>
      </c>
      <c r="G1830">
        <v>1</v>
      </c>
      <c r="H1830" s="5" t="s">
        <v>6355</v>
      </c>
      <c r="I1830">
        <f>76/30</f>
        <v>2.53333333333333</v>
      </c>
      <c r="J1830">
        <f>76/30</f>
        <v>2.53333333333333</v>
      </c>
      <c r="L1830">
        <v>0</v>
      </c>
      <c r="M1830">
        <f t="shared" si="194"/>
        <v>2.13333333333333</v>
      </c>
      <c r="N1830" t="s">
        <v>6356</v>
      </c>
      <c r="O1830">
        <v>1</v>
      </c>
      <c r="P1830">
        <v>3</v>
      </c>
      <c r="Q1830">
        <v>0</v>
      </c>
      <c r="S1830">
        <v>0.93</v>
      </c>
      <c r="U1830">
        <v>1.1</v>
      </c>
      <c r="V1830">
        <v>1</v>
      </c>
      <c r="W1830">
        <v>0</v>
      </c>
      <c r="X1830" s="7">
        <v>1</v>
      </c>
      <c r="AN1830" s="10"/>
      <c r="AP1830" s="267">
        <v>1979</v>
      </c>
      <c r="AQ1830" t="s">
        <v>136</v>
      </c>
      <c r="AR1830" s="11"/>
      <c r="AY1830" s="75"/>
      <c r="AZ1830" s="75"/>
    </row>
    <row r="1831" ht="16.5" spans="1:52">
      <c r="A1831">
        <v>10420</v>
      </c>
      <c r="B1831" s="334" t="s">
        <v>6354</v>
      </c>
      <c r="C1831" s="334" t="s">
        <v>6357</v>
      </c>
      <c r="D1831">
        <v>1</v>
      </c>
      <c r="E1831">
        <v>0</v>
      </c>
      <c r="G1831">
        <v>1</v>
      </c>
      <c r="H1831" s="5" t="s">
        <v>6358</v>
      </c>
      <c r="I1831">
        <f>94/30</f>
        <v>3.13333333333333</v>
      </c>
      <c r="J1831">
        <f>94/30</f>
        <v>3.13333333333333</v>
      </c>
      <c r="L1831">
        <v>0</v>
      </c>
      <c r="M1831">
        <f t="shared" si="194"/>
        <v>2.73333333333333</v>
      </c>
      <c r="N1831" t="s">
        <v>6359</v>
      </c>
      <c r="O1831">
        <v>1</v>
      </c>
      <c r="P1831">
        <v>3</v>
      </c>
      <c r="Q1831">
        <v>0</v>
      </c>
      <c r="S1831">
        <v>0.93</v>
      </c>
      <c r="U1831">
        <v>1.1</v>
      </c>
      <c r="V1831">
        <v>1</v>
      </c>
      <c r="W1831">
        <v>0</v>
      </c>
      <c r="X1831" s="7">
        <v>1</v>
      </c>
      <c r="AN1831" s="10"/>
      <c r="AP1831" s="267">
        <v>1980</v>
      </c>
      <c r="AQ1831" t="s">
        <v>136</v>
      </c>
      <c r="AR1831" s="11"/>
      <c r="AY1831" s="75"/>
      <c r="AZ1831" s="75"/>
    </row>
    <row r="1832" ht="16.5" spans="1:52">
      <c r="A1832">
        <v>10421</v>
      </c>
      <c r="B1832" s="334" t="s">
        <v>6354</v>
      </c>
      <c r="C1832" s="334" t="s">
        <v>6329</v>
      </c>
      <c r="D1832">
        <v>2</v>
      </c>
      <c r="E1832">
        <v>1</v>
      </c>
      <c r="G1832">
        <v>1</v>
      </c>
      <c r="H1832" s="5" t="s">
        <v>6360</v>
      </c>
      <c r="I1832">
        <f>131/30</f>
        <v>4.36666666666667</v>
      </c>
      <c r="J1832">
        <f>131/30</f>
        <v>4.36666666666667</v>
      </c>
      <c r="L1832">
        <v>0</v>
      </c>
      <c r="M1832">
        <f t="shared" si="194"/>
        <v>3.96666666666667</v>
      </c>
      <c r="N1832" t="s">
        <v>6361</v>
      </c>
      <c r="O1832">
        <v>5</v>
      </c>
      <c r="P1832">
        <v>0</v>
      </c>
      <c r="Q1832">
        <v>0</v>
      </c>
      <c r="S1832">
        <v>0.93</v>
      </c>
      <c r="U1832">
        <v>1.1</v>
      </c>
      <c r="V1832">
        <v>1000</v>
      </c>
      <c r="W1832">
        <v>0</v>
      </c>
      <c r="X1832" s="7">
        <v>0</v>
      </c>
      <c r="AN1832" s="10"/>
      <c r="AP1832" s="267">
        <v>1977</v>
      </c>
      <c r="AQ1832" t="s">
        <v>136</v>
      </c>
      <c r="AR1832" s="11"/>
      <c r="AY1832" s="75"/>
      <c r="AZ1832" s="75"/>
    </row>
    <row r="1833" ht="16.5" spans="1:52">
      <c r="A1833">
        <v>10422</v>
      </c>
      <c r="B1833" s="334" t="s">
        <v>6354</v>
      </c>
      <c r="C1833" s="334" t="s">
        <v>6362</v>
      </c>
      <c r="D1833">
        <v>1</v>
      </c>
      <c r="E1833">
        <v>0</v>
      </c>
      <c r="G1833">
        <v>1</v>
      </c>
      <c r="H1833" s="5" t="s">
        <v>6363</v>
      </c>
      <c r="I1833">
        <f>171/30</f>
        <v>5.7</v>
      </c>
      <c r="J1833">
        <f>171/30</f>
        <v>5.7</v>
      </c>
      <c r="L1833">
        <v>1</v>
      </c>
      <c r="M1833">
        <f t="shared" si="194"/>
        <v>5.3</v>
      </c>
      <c r="N1833" t="s">
        <v>6364</v>
      </c>
      <c r="O1833">
        <v>1</v>
      </c>
      <c r="P1833">
        <v>3</v>
      </c>
      <c r="Q1833">
        <v>0</v>
      </c>
      <c r="S1833">
        <v>0.93</v>
      </c>
      <c r="U1833">
        <v>1.1</v>
      </c>
      <c r="V1833">
        <v>1</v>
      </c>
      <c r="W1833">
        <v>0</v>
      </c>
      <c r="X1833" s="7">
        <v>1</v>
      </c>
      <c r="AB1833">
        <v>5.4</v>
      </c>
      <c r="AC1833">
        <v>2</v>
      </c>
      <c r="AD1833">
        <v>1</v>
      </c>
      <c r="AE1833" t="s">
        <v>6365</v>
      </c>
      <c r="AF1833">
        <v>0.5</v>
      </c>
      <c r="AN1833" s="10"/>
      <c r="AP1833" s="267">
        <v>1982</v>
      </c>
      <c r="AQ1833" t="s">
        <v>136</v>
      </c>
      <c r="AR1833" s="749" t="s">
        <v>1550</v>
      </c>
      <c r="AY1833" s="375"/>
      <c r="AZ1833" s="375"/>
    </row>
    <row r="1834" ht="16.5" spans="1:52">
      <c r="A1834">
        <v>10423</v>
      </c>
      <c r="B1834" s="334" t="s">
        <v>6366</v>
      </c>
      <c r="C1834" s="334" t="s">
        <v>526</v>
      </c>
      <c r="D1834">
        <v>1</v>
      </c>
      <c r="E1834">
        <v>0</v>
      </c>
      <c r="G1834">
        <v>1</v>
      </c>
      <c r="H1834" s="5" t="s">
        <v>6367</v>
      </c>
      <c r="I1834">
        <f>89/30</f>
        <v>2.96666666666667</v>
      </c>
      <c r="J1834">
        <f>89/30</f>
        <v>2.96666666666667</v>
      </c>
      <c r="L1834">
        <v>0</v>
      </c>
      <c r="M1834">
        <f t="shared" si="194"/>
        <v>2.56666666666667</v>
      </c>
      <c r="N1834" t="s">
        <v>6368</v>
      </c>
      <c r="O1834">
        <v>1</v>
      </c>
      <c r="P1834">
        <v>2.3</v>
      </c>
      <c r="Q1834">
        <v>0</v>
      </c>
      <c r="S1834">
        <v>0.3</v>
      </c>
      <c r="U1834">
        <v>0.3</v>
      </c>
      <c r="V1834">
        <v>1</v>
      </c>
      <c r="W1834">
        <v>0</v>
      </c>
      <c r="X1834" s="7">
        <v>1</v>
      </c>
      <c r="AN1834" s="10"/>
      <c r="AP1834" s="267">
        <v>1970</v>
      </c>
      <c r="AQ1834" t="s">
        <v>136</v>
      </c>
      <c r="AR1834" s="11"/>
      <c r="AY1834" s="411"/>
      <c r="AZ1834" s="411"/>
    </row>
    <row r="1835" ht="16.5" spans="1:52">
      <c r="A1835">
        <v>10424</v>
      </c>
      <c r="B1835" s="334" t="s">
        <v>6366</v>
      </c>
      <c r="C1835" s="334" t="s">
        <v>6369</v>
      </c>
      <c r="D1835">
        <v>1</v>
      </c>
      <c r="E1835">
        <v>0</v>
      </c>
      <c r="G1835">
        <v>1</v>
      </c>
      <c r="H1835" s="5" t="s">
        <v>6370</v>
      </c>
      <c r="I1835">
        <f>68/30</f>
        <v>2.26666666666667</v>
      </c>
      <c r="J1835">
        <f>68/30</f>
        <v>2.26666666666667</v>
      </c>
      <c r="L1835">
        <v>0</v>
      </c>
      <c r="M1835">
        <f t="shared" si="194"/>
        <v>1.86666666666667</v>
      </c>
      <c r="N1835" t="s">
        <v>6371</v>
      </c>
      <c r="O1835">
        <v>1</v>
      </c>
      <c r="P1835">
        <v>2.3</v>
      </c>
      <c r="Q1835">
        <v>0</v>
      </c>
      <c r="S1835">
        <v>0.3</v>
      </c>
      <c r="U1835">
        <v>0.3</v>
      </c>
      <c r="V1835">
        <v>1</v>
      </c>
      <c r="W1835">
        <v>0</v>
      </c>
      <c r="X1835" s="7">
        <v>1</v>
      </c>
      <c r="AN1835" s="10"/>
      <c r="AP1835" s="267">
        <v>1971</v>
      </c>
      <c r="AQ1835" t="s">
        <v>136</v>
      </c>
      <c r="AR1835" s="11"/>
      <c r="AY1835" s="411"/>
      <c r="AZ1835" s="411"/>
    </row>
    <row r="1836" ht="16.5" spans="1:52">
      <c r="A1836">
        <v>10425</v>
      </c>
      <c r="B1836" s="334" t="s">
        <v>6366</v>
      </c>
      <c r="C1836" s="334" t="s">
        <v>6329</v>
      </c>
      <c r="D1836">
        <v>2</v>
      </c>
      <c r="E1836">
        <v>1</v>
      </c>
      <c r="G1836">
        <v>1</v>
      </c>
      <c r="H1836" s="5" t="s">
        <v>6372</v>
      </c>
      <c r="I1836">
        <f>115/30</f>
        <v>3.83333333333333</v>
      </c>
      <c r="J1836">
        <f>115/30</f>
        <v>3.83333333333333</v>
      </c>
      <c r="L1836">
        <v>0</v>
      </c>
      <c r="M1836">
        <f t="shared" si="194"/>
        <v>3.43333333333333</v>
      </c>
      <c r="N1836" t="s">
        <v>6373</v>
      </c>
      <c r="O1836">
        <v>5</v>
      </c>
      <c r="P1836">
        <v>0</v>
      </c>
      <c r="Q1836">
        <v>0</v>
      </c>
      <c r="S1836">
        <v>0.3</v>
      </c>
      <c r="U1836">
        <v>0.3</v>
      </c>
      <c r="V1836">
        <v>1000</v>
      </c>
      <c r="W1836">
        <v>0</v>
      </c>
      <c r="X1836" s="7">
        <v>0</v>
      </c>
      <c r="AN1836" s="10"/>
      <c r="AP1836" s="267">
        <v>1977</v>
      </c>
      <c r="AQ1836" t="s">
        <v>136</v>
      </c>
      <c r="AR1836" s="11"/>
      <c r="AY1836" s="411"/>
      <c r="AZ1836" s="411"/>
    </row>
    <row r="1837" ht="16.5" spans="1:52">
      <c r="A1837">
        <v>10426</v>
      </c>
      <c r="B1837" s="334" t="s">
        <v>6366</v>
      </c>
      <c r="C1837" s="334" t="s">
        <v>6374</v>
      </c>
      <c r="D1837">
        <v>1</v>
      </c>
      <c r="E1837">
        <v>0</v>
      </c>
      <c r="G1837">
        <v>1</v>
      </c>
      <c r="H1837" s="5" t="s">
        <v>6375</v>
      </c>
      <c r="I1837">
        <f>220/30</f>
        <v>7.33333333333333</v>
      </c>
      <c r="J1837">
        <f>220/30</f>
        <v>7.33333333333333</v>
      </c>
      <c r="L1837">
        <v>1</v>
      </c>
      <c r="M1837">
        <f t="shared" si="194"/>
        <v>6.93333333333333</v>
      </c>
      <c r="N1837" t="s">
        <v>6376</v>
      </c>
      <c r="O1837">
        <v>1</v>
      </c>
      <c r="P1837">
        <v>2.3</v>
      </c>
      <c r="Q1837">
        <v>0</v>
      </c>
      <c r="S1837">
        <v>0.3</v>
      </c>
      <c r="U1837">
        <v>0.3</v>
      </c>
      <c r="V1837">
        <v>1</v>
      </c>
      <c r="W1837">
        <v>6</v>
      </c>
      <c r="X1837" s="7">
        <v>1</v>
      </c>
      <c r="AB1837">
        <v>7.03333</v>
      </c>
      <c r="AC1837">
        <v>2</v>
      </c>
      <c r="AD1837">
        <v>1</v>
      </c>
      <c r="AE1837" t="s">
        <v>6377</v>
      </c>
      <c r="AF1837">
        <v>0.5</v>
      </c>
      <c r="AN1837" s="10"/>
      <c r="AP1837" s="267">
        <v>1974</v>
      </c>
      <c r="AQ1837" t="s">
        <v>136</v>
      </c>
      <c r="AR1837" s="749" t="s">
        <v>1550</v>
      </c>
      <c r="AY1837" s="411"/>
      <c r="AZ1837" s="411"/>
    </row>
    <row r="1838" ht="16.5" spans="1:52">
      <c r="A1838">
        <v>10427</v>
      </c>
      <c r="B1838" s="334" t="s">
        <v>6378</v>
      </c>
      <c r="C1838" s="334" t="s">
        <v>526</v>
      </c>
      <c r="D1838">
        <v>1</v>
      </c>
      <c r="E1838">
        <v>0</v>
      </c>
      <c r="G1838">
        <v>1</v>
      </c>
      <c r="H1838" s="5" t="s">
        <v>6379</v>
      </c>
      <c r="I1838">
        <f>93/30</f>
        <v>3.1</v>
      </c>
      <c r="J1838">
        <f>93/30</f>
        <v>3.1</v>
      </c>
      <c r="L1838">
        <v>0</v>
      </c>
      <c r="M1838">
        <f t="shared" si="194"/>
        <v>2.7</v>
      </c>
      <c r="N1838" t="s">
        <v>6380</v>
      </c>
      <c r="O1838">
        <v>1</v>
      </c>
      <c r="P1838">
        <v>2.5</v>
      </c>
      <c r="Q1838">
        <v>0</v>
      </c>
      <c r="S1838">
        <v>0.6</v>
      </c>
      <c r="U1838">
        <v>0.5</v>
      </c>
      <c r="V1838">
        <v>1</v>
      </c>
      <c r="W1838">
        <v>0</v>
      </c>
      <c r="X1838" s="7">
        <v>1</v>
      </c>
      <c r="AN1838" s="10"/>
      <c r="AP1838" s="267">
        <v>1983</v>
      </c>
      <c r="AQ1838" t="s">
        <v>136</v>
      </c>
      <c r="AR1838" s="11"/>
      <c r="AY1838" s="411"/>
      <c r="AZ1838" s="411"/>
    </row>
    <row r="1839" ht="16.5" spans="1:52">
      <c r="A1839">
        <v>10428</v>
      </c>
      <c r="B1839" s="334" t="s">
        <v>6378</v>
      </c>
      <c r="C1839" s="334" t="s">
        <v>6329</v>
      </c>
      <c r="D1839">
        <v>2</v>
      </c>
      <c r="E1839">
        <v>1</v>
      </c>
      <c r="G1839">
        <v>1</v>
      </c>
      <c r="H1839" s="5" t="s">
        <v>6381</v>
      </c>
      <c r="I1839">
        <f>120/30</f>
        <v>4</v>
      </c>
      <c r="J1839">
        <f>120/30</f>
        <v>4</v>
      </c>
      <c r="L1839">
        <v>0</v>
      </c>
      <c r="M1839">
        <f t="shared" si="194"/>
        <v>3.6</v>
      </c>
      <c r="N1839" t="s">
        <v>6361</v>
      </c>
      <c r="O1839">
        <v>5</v>
      </c>
      <c r="P1839">
        <v>0</v>
      </c>
      <c r="Q1839">
        <v>0</v>
      </c>
      <c r="S1839">
        <v>0.6</v>
      </c>
      <c r="U1839">
        <v>0.5</v>
      </c>
      <c r="V1839">
        <v>1000</v>
      </c>
      <c r="W1839">
        <v>0</v>
      </c>
      <c r="X1839" s="7">
        <v>0</v>
      </c>
      <c r="AN1839" s="10"/>
      <c r="AP1839" s="267">
        <v>1977</v>
      </c>
      <c r="AQ1839" t="s">
        <v>136</v>
      </c>
      <c r="AR1839" s="11"/>
      <c r="AY1839" s="411"/>
      <c r="AZ1839" s="411"/>
    </row>
    <row r="1840" ht="16.5" spans="1:52">
      <c r="A1840">
        <v>10429</v>
      </c>
      <c r="B1840" s="334" t="s">
        <v>6378</v>
      </c>
      <c r="C1840" s="334" t="s">
        <v>6382</v>
      </c>
      <c r="D1840">
        <v>1</v>
      </c>
      <c r="E1840">
        <v>0</v>
      </c>
      <c r="G1840">
        <v>1</v>
      </c>
      <c r="H1840" s="5" t="s">
        <v>6383</v>
      </c>
      <c r="I1840">
        <f>107/30</f>
        <v>3.56666666666667</v>
      </c>
      <c r="J1840">
        <f>107/30</f>
        <v>3.56666666666667</v>
      </c>
      <c r="L1840">
        <v>0</v>
      </c>
      <c r="M1840">
        <f t="shared" ref="M1840:M1871" si="195">I1840-0.4</f>
        <v>3.16666666666667</v>
      </c>
      <c r="N1840" t="s">
        <v>6384</v>
      </c>
      <c r="O1840">
        <v>1</v>
      </c>
      <c r="P1840">
        <v>2.5</v>
      </c>
      <c r="Q1840">
        <v>0</v>
      </c>
      <c r="S1840">
        <v>0.6</v>
      </c>
      <c r="U1840">
        <v>0.5</v>
      </c>
      <c r="V1840">
        <v>1</v>
      </c>
      <c r="W1840">
        <v>0</v>
      </c>
      <c r="X1840" s="7">
        <v>1</v>
      </c>
      <c r="AN1840" s="10"/>
      <c r="AP1840" s="267">
        <v>1985</v>
      </c>
      <c r="AQ1840" t="s">
        <v>136</v>
      </c>
      <c r="AR1840" s="11"/>
      <c r="AY1840" s="411"/>
      <c r="AZ1840" s="411"/>
    </row>
    <row r="1841" ht="16.5" spans="1:52">
      <c r="A1841">
        <v>10430</v>
      </c>
      <c r="B1841" s="334" t="s">
        <v>6378</v>
      </c>
      <c r="C1841" s="334" t="s">
        <v>6385</v>
      </c>
      <c r="D1841">
        <v>1</v>
      </c>
      <c r="E1841">
        <v>0</v>
      </c>
      <c r="G1841">
        <v>1</v>
      </c>
      <c r="H1841" s="5" t="s">
        <v>6386</v>
      </c>
      <c r="I1841">
        <f>360/30</f>
        <v>12</v>
      </c>
      <c r="J1841">
        <f>360/30</f>
        <v>12</v>
      </c>
      <c r="L1841">
        <v>1</v>
      </c>
      <c r="M1841">
        <f t="shared" si="195"/>
        <v>11.6</v>
      </c>
      <c r="N1841" t="s">
        <v>6387</v>
      </c>
      <c r="O1841">
        <v>1</v>
      </c>
      <c r="P1841">
        <v>10.7</v>
      </c>
      <c r="Q1841">
        <v>0</v>
      </c>
      <c r="S1841">
        <v>0.6</v>
      </c>
      <c r="U1841">
        <v>0.5</v>
      </c>
      <c r="V1841">
        <v>1</v>
      </c>
      <c r="W1841">
        <v>0</v>
      </c>
      <c r="X1841" s="7">
        <v>1</v>
      </c>
      <c r="AB1841">
        <v>11.7</v>
      </c>
      <c r="AC1841">
        <v>2</v>
      </c>
      <c r="AD1841">
        <v>1</v>
      </c>
      <c r="AE1841" t="s">
        <v>6388</v>
      </c>
      <c r="AF1841">
        <v>0.5</v>
      </c>
      <c r="AN1841" s="10"/>
      <c r="AP1841" s="267">
        <v>1987</v>
      </c>
      <c r="AQ1841" t="s">
        <v>136</v>
      </c>
      <c r="AR1841" s="749" t="s">
        <v>1550</v>
      </c>
      <c r="AY1841" s="411"/>
      <c r="AZ1841" s="411"/>
    </row>
    <row r="1842" ht="16.5" spans="1:52">
      <c r="A1842">
        <v>10431</v>
      </c>
      <c r="B1842" s="334" t="s">
        <v>6378</v>
      </c>
      <c r="C1842" s="334" t="s">
        <v>6389</v>
      </c>
      <c r="D1842">
        <v>2</v>
      </c>
      <c r="E1842">
        <v>1</v>
      </c>
      <c r="G1842">
        <v>1</v>
      </c>
      <c r="H1842" s="5" t="s">
        <v>6390</v>
      </c>
      <c r="I1842">
        <f>32/30</f>
        <v>1.06666666666667</v>
      </c>
      <c r="J1842">
        <f>32/30</f>
        <v>1.06666666666667</v>
      </c>
      <c r="L1842">
        <v>0</v>
      </c>
      <c r="M1842">
        <v>0.66666666666667</v>
      </c>
      <c r="N1842" t="s">
        <v>6391</v>
      </c>
      <c r="O1842">
        <v>5</v>
      </c>
      <c r="P1842">
        <v>0</v>
      </c>
      <c r="Q1842">
        <v>0</v>
      </c>
      <c r="S1842">
        <v>0.6</v>
      </c>
      <c r="U1842">
        <v>0.5</v>
      </c>
      <c r="V1842">
        <v>1000</v>
      </c>
      <c r="W1842">
        <v>0</v>
      </c>
      <c r="X1842" s="7">
        <v>0</v>
      </c>
      <c r="AN1842" s="10"/>
      <c r="AP1842" s="267">
        <v>1988</v>
      </c>
      <c r="AQ1842" t="s">
        <v>136</v>
      </c>
      <c r="AR1842" s="11"/>
      <c r="AY1842" s="411"/>
      <c r="AZ1842" s="411"/>
    </row>
    <row r="1843" ht="16.5" spans="1:52">
      <c r="A1843">
        <v>10432</v>
      </c>
      <c r="B1843" s="334" t="s">
        <v>6322</v>
      </c>
      <c r="C1843" s="334" t="s">
        <v>6392</v>
      </c>
      <c r="D1843">
        <v>1</v>
      </c>
      <c r="E1843">
        <v>0</v>
      </c>
      <c r="G1843">
        <v>1</v>
      </c>
      <c r="H1843" s="5" t="s">
        <v>6324</v>
      </c>
      <c r="I1843">
        <f>110/30</f>
        <v>3.66666666666667</v>
      </c>
      <c r="J1843">
        <f>110/30</f>
        <v>3.66666666666667</v>
      </c>
      <c r="L1843">
        <v>0</v>
      </c>
      <c r="M1843">
        <f t="shared" si="195"/>
        <v>3.26666666666667</v>
      </c>
      <c r="N1843" t="s">
        <v>6325</v>
      </c>
      <c r="O1843">
        <v>1</v>
      </c>
      <c r="P1843">
        <v>2.7</v>
      </c>
      <c r="Q1843">
        <v>0</v>
      </c>
      <c r="V1843">
        <v>5</v>
      </c>
      <c r="W1843">
        <v>0</v>
      </c>
      <c r="X1843" s="7">
        <v>5</v>
      </c>
      <c r="AN1843" s="10"/>
      <c r="AP1843" s="267">
        <v>1872</v>
      </c>
      <c r="AQ1843" t="s">
        <v>136</v>
      </c>
      <c r="AR1843" s="11"/>
      <c r="AY1843" s="411"/>
      <c r="AZ1843" s="411"/>
    </row>
    <row r="1844" ht="16.5" spans="1:52">
      <c r="A1844">
        <v>10433</v>
      </c>
      <c r="B1844" s="334" t="s">
        <v>6322</v>
      </c>
      <c r="C1844" s="334" t="s">
        <v>6393</v>
      </c>
      <c r="D1844">
        <v>1</v>
      </c>
      <c r="E1844">
        <v>0</v>
      </c>
      <c r="G1844">
        <v>1</v>
      </c>
      <c r="H1844" s="5" t="s">
        <v>6327</v>
      </c>
      <c r="I1844">
        <f>95/30</f>
        <v>3.16666666666667</v>
      </c>
      <c r="J1844">
        <f>95/30</f>
        <v>3.16666666666667</v>
      </c>
      <c r="L1844">
        <v>0</v>
      </c>
      <c r="M1844">
        <f t="shared" si="195"/>
        <v>2.76666666666667</v>
      </c>
      <c r="N1844" t="s">
        <v>6328</v>
      </c>
      <c r="O1844">
        <v>1</v>
      </c>
      <c r="P1844">
        <v>2.7</v>
      </c>
      <c r="Q1844">
        <v>0</v>
      </c>
      <c r="U1844">
        <v>0.4</v>
      </c>
      <c r="V1844">
        <v>5</v>
      </c>
      <c r="W1844">
        <v>7</v>
      </c>
      <c r="X1844" s="7">
        <v>3</v>
      </c>
      <c r="AN1844" s="10"/>
      <c r="AP1844" s="267">
        <v>1874</v>
      </c>
      <c r="AQ1844" t="s">
        <v>136</v>
      </c>
      <c r="AR1844" s="11"/>
      <c r="AY1844" s="411"/>
      <c r="AZ1844" s="411"/>
    </row>
    <row r="1845" ht="16.5" spans="1:52">
      <c r="A1845">
        <v>10434</v>
      </c>
      <c r="B1845" s="334" t="s">
        <v>6322</v>
      </c>
      <c r="C1845" s="334" t="s">
        <v>6394</v>
      </c>
      <c r="D1845">
        <v>1</v>
      </c>
      <c r="E1845">
        <v>0</v>
      </c>
      <c r="G1845">
        <v>1</v>
      </c>
      <c r="H1845" s="5" t="s">
        <v>6333</v>
      </c>
      <c r="I1845">
        <f>96/30</f>
        <v>3.2</v>
      </c>
      <c r="J1845">
        <f>96/30</f>
        <v>3.2</v>
      </c>
      <c r="L1845">
        <v>0</v>
      </c>
      <c r="M1845">
        <f t="shared" si="195"/>
        <v>2.8</v>
      </c>
      <c r="N1845" t="s">
        <v>6334</v>
      </c>
      <c r="O1845">
        <v>1</v>
      </c>
      <c r="P1845">
        <v>2.7</v>
      </c>
      <c r="Q1845">
        <v>0</v>
      </c>
      <c r="S1845">
        <v>0.2</v>
      </c>
      <c r="U1845">
        <v>0.4</v>
      </c>
      <c r="V1845">
        <v>5</v>
      </c>
      <c r="W1845">
        <v>6</v>
      </c>
      <c r="X1845" s="7">
        <v>3</v>
      </c>
      <c r="AN1845" s="10"/>
      <c r="AP1845" s="267">
        <v>1878</v>
      </c>
      <c r="AQ1845" t="s">
        <v>136</v>
      </c>
      <c r="AR1845" s="11"/>
      <c r="AY1845" s="411"/>
      <c r="AZ1845" s="411"/>
    </row>
    <row r="1846" ht="16.5" spans="1:52">
      <c r="A1846">
        <v>10435</v>
      </c>
      <c r="B1846" s="334" t="s">
        <v>6322</v>
      </c>
      <c r="C1846" s="334" t="s">
        <v>6395</v>
      </c>
      <c r="D1846">
        <v>1</v>
      </c>
      <c r="E1846">
        <v>0</v>
      </c>
      <c r="G1846">
        <v>1</v>
      </c>
      <c r="H1846" s="5" t="s">
        <v>6336</v>
      </c>
      <c r="I1846">
        <f>255/30</f>
        <v>8.5</v>
      </c>
      <c r="J1846">
        <f>255/30</f>
        <v>8.5</v>
      </c>
      <c r="L1846">
        <v>1</v>
      </c>
      <c r="M1846">
        <f t="shared" si="195"/>
        <v>8.1</v>
      </c>
      <c r="N1846" t="s">
        <v>6337</v>
      </c>
      <c r="O1846">
        <v>1</v>
      </c>
      <c r="P1846">
        <v>10</v>
      </c>
      <c r="Q1846">
        <v>0</v>
      </c>
      <c r="V1846">
        <v>5</v>
      </c>
      <c r="W1846">
        <v>0</v>
      </c>
      <c r="X1846" s="7">
        <v>4</v>
      </c>
      <c r="AB1846">
        <v>8.2</v>
      </c>
      <c r="AC1846">
        <v>2</v>
      </c>
      <c r="AD1846">
        <v>1</v>
      </c>
      <c r="AE1846" t="s">
        <v>6338</v>
      </c>
      <c r="AF1846">
        <v>0.5</v>
      </c>
      <c r="AG1846" t="s">
        <v>6339</v>
      </c>
      <c r="AN1846" s="10" t="s">
        <v>6340</v>
      </c>
      <c r="AO1846" t="s">
        <v>6341</v>
      </c>
      <c r="AP1846" s="267">
        <v>1879</v>
      </c>
      <c r="AQ1846" t="s">
        <v>136</v>
      </c>
      <c r="AR1846" s="11"/>
      <c r="AY1846" s="411"/>
      <c r="AZ1846" s="411"/>
    </row>
    <row r="1847" ht="16.5" spans="1:52">
      <c r="A1847">
        <v>10436</v>
      </c>
      <c r="B1847" s="334" t="s">
        <v>6304</v>
      </c>
      <c r="C1847" s="334" t="s">
        <v>6396</v>
      </c>
      <c r="D1847">
        <v>1</v>
      </c>
      <c r="E1847">
        <v>0</v>
      </c>
      <c r="G1847">
        <v>1</v>
      </c>
      <c r="H1847" s="5" t="s">
        <v>6306</v>
      </c>
      <c r="I1847">
        <f>48/30</f>
        <v>1.6</v>
      </c>
      <c r="J1847">
        <f>48/30</f>
        <v>1.6</v>
      </c>
      <c r="L1847">
        <v>0</v>
      </c>
      <c r="M1847">
        <f t="shared" si="195"/>
        <v>1.2</v>
      </c>
      <c r="N1847" t="s">
        <v>6307</v>
      </c>
      <c r="O1847">
        <v>0</v>
      </c>
      <c r="P1847">
        <v>0</v>
      </c>
      <c r="Q1847">
        <v>0</v>
      </c>
      <c r="V1847">
        <v>2</v>
      </c>
      <c r="W1847">
        <v>16</v>
      </c>
      <c r="X1847" s="7">
        <v>4</v>
      </c>
      <c r="AN1847" s="10"/>
      <c r="AP1847" s="267">
        <v>1957</v>
      </c>
      <c r="AQ1847" t="s">
        <v>136</v>
      </c>
      <c r="AR1847" s="11"/>
      <c r="AY1847" s="411"/>
      <c r="AZ1847" s="411"/>
    </row>
    <row r="1848" ht="16.5" spans="1:52">
      <c r="A1848">
        <v>10437</v>
      </c>
      <c r="B1848" s="334" t="s">
        <v>6304</v>
      </c>
      <c r="C1848" s="334" t="s">
        <v>6397</v>
      </c>
      <c r="D1848">
        <v>1</v>
      </c>
      <c r="E1848">
        <v>0</v>
      </c>
      <c r="G1848">
        <v>1</v>
      </c>
      <c r="H1848" s="5" t="s">
        <v>6306</v>
      </c>
      <c r="I1848">
        <f>48/30</f>
        <v>1.6</v>
      </c>
      <c r="J1848">
        <f>48/30</f>
        <v>1.6</v>
      </c>
      <c r="L1848">
        <v>0</v>
      </c>
      <c r="M1848">
        <f t="shared" si="195"/>
        <v>1.2</v>
      </c>
      <c r="N1848" t="s">
        <v>6307</v>
      </c>
      <c r="O1848">
        <v>0</v>
      </c>
      <c r="P1848">
        <v>0</v>
      </c>
      <c r="Q1848">
        <v>0</v>
      </c>
      <c r="V1848">
        <v>2</v>
      </c>
      <c r="W1848">
        <v>0</v>
      </c>
      <c r="X1848" s="7">
        <v>4</v>
      </c>
      <c r="AN1848" s="10"/>
      <c r="AP1848" s="267">
        <v>1957</v>
      </c>
      <c r="AQ1848" t="s">
        <v>136</v>
      </c>
      <c r="AR1848" s="11"/>
      <c r="AY1848" s="411"/>
      <c r="AZ1848" s="411"/>
    </row>
    <row r="1849" ht="16.5" spans="1:52">
      <c r="A1849">
        <v>10438</v>
      </c>
      <c r="B1849" s="334" t="s">
        <v>6276</v>
      </c>
      <c r="C1849" s="334" t="s">
        <v>526</v>
      </c>
      <c r="D1849">
        <v>1</v>
      </c>
      <c r="E1849">
        <v>0</v>
      </c>
      <c r="G1849">
        <v>1</v>
      </c>
      <c r="H1849" s="5" t="s">
        <v>6277</v>
      </c>
      <c r="I1849">
        <f>73/30</f>
        <v>2.43333333333333</v>
      </c>
      <c r="J1849">
        <f>73/30</f>
        <v>2.43333333333333</v>
      </c>
      <c r="L1849">
        <v>0</v>
      </c>
      <c r="M1849">
        <f t="shared" si="195"/>
        <v>2.03333333333333</v>
      </c>
      <c r="N1849" t="s">
        <v>6278</v>
      </c>
      <c r="O1849">
        <v>1</v>
      </c>
      <c r="P1849">
        <v>4.5</v>
      </c>
      <c r="Q1849">
        <v>0</v>
      </c>
      <c r="V1849">
        <v>5</v>
      </c>
      <c r="W1849">
        <v>0</v>
      </c>
      <c r="X1849" s="7">
        <v>3</v>
      </c>
      <c r="AN1849" s="10"/>
      <c r="AP1849" s="267">
        <v>1899</v>
      </c>
      <c r="AQ1849" t="s">
        <v>136</v>
      </c>
      <c r="AR1849" s="11"/>
      <c r="AY1849" s="411"/>
      <c r="AZ1849" s="411"/>
    </row>
    <row r="1850" ht="16.5" spans="1:52">
      <c r="A1850">
        <v>10439</v>
      </c>
      <c r="B1850" s="334" t="s">
        <v>6398</v>
      </c>
      <c r="C1850" s="334" t="s">
        <v>6295</v>
      </c>
      <c r="D1850">
        <v>1</v>
      </c>
      <c r="E1850">
        <v>0</v>
      </c>
      <c r="G1850">
        <v>1</v>
      </c>
      <c r="H1850" s="5" t="s">
        <v>6296</v>
      </c>
      <c r="I1850">
        <f>229/30</f>
        <v>7.63333333333333</v>
      </c>
      <c r="J1850">
        <f>229/30</f>
        <v>7.63333333333333</v>
      </c>
      <c r="L1850">
        <v>1</v>
      </c>
      <c r="M1850">
        <f t="shared" si="195"/>
        <v>7.23333333333333</v>
      </c>
      <c r="N1850" t="s">
        <v>6297</v>
      </c>
      <c r="O1850">
        <v>1</v>
      </c>
      <c r="P1850">
        <v>6</v>
      </c>
      <c r="Q1850">
        <v>0</v>
      </c>
      <c r="V1850">
        <v>1</v>
      </c>
      <c r="W1850">
        <v>16</v>
      </c>
      <c r="X1850" s="7">
        <v>3</v>
      </c>
      <c r="AB1850">
        <v>7.33333333333333</v>
      </c>
      <c r="AC1850">
        <v>2</v>
      </c>
      <c r="AD1850">
        <v>1</v>
      </c>
      <c r="AE1850" t="s">
        <v>6298</v>
      </c>
      <c r="AF1850">
        <v>0.5</v>
      </c>
      <c r="AN1850" s="10">
        <v>1868</v>
      </c>
      <c r="AO1850" t="s">
        <v>6299</v>
      </c>
      <c r="AP1850" s="267">
        <v>1867</v>
      </c>
      <c r="AQ1850" t="s">
        <v>136</v>
      </c>
      <c r="AR1850" s="749" t="s">
        <v>1550</v>
      </c>
      <c r="AY1850" s="411"/>
      <c r="AZ1850" s="411"/>
    </row>
    <row r="1851" ht="16.5" spans="1:52">
      <c r="A1851">
        <v>10440</v>
      </c>
      <c r="B1851" s="334" t="s">
        <v>6399</v>
      </c>
      <c r="C1851" s="334" t="s">
        <v>526</v>
      </c>
      <c r="D1851">
        <v>1</v>
      </c>
      <c r="E1851">
        <v>0</v>
      </c>
      <c r="G1851">
        <v>1</v>
      </c>
      <c r="H1851" s="5" t="s">
        <v>6400</v>
      </c>
      <c r="I1851">
        <v>2.16666666666667</v>
      </c>
      <c r="J1851">
        <v>2.16666666666667</v>
      </c>
      <c r="L1851">
        <v>0</v>
      </c>
      <c r="M1851">
        <f t="shared" si="195"/>
        <v>1.76666666666667</v>
      </c>
      <c r="N1851" t="s">
        <v>6401</v>
      </c>
      <c r="O1851">
        <v>1</v>
      </c>
      <c r="P1851">
        <v>4.5</v>
      </c>
      <c r="Q1851">
        <v>0</v>
      </c>
      <c r="S1851">
        <v>0.5</v>
      </c>
      <c r="T1851">
        <v>-0.5</v>
      </c>
      <c r="U1851">
        <v>0.8</v>
      </c>
      <c r="V1851">
        <v>1</v>
      </c>
      <c r="W1851">
        <v>0</v>
      </c>
      <c r="X1851" s="7">
        <v>2</v>
      </c>
      <c r="AN1851" s="10"/>
      <c r="AP1851" s="267">
        <v>2239</v>
      </c>
      <c r="AQ1851" t="s">
        <v>136</v>
      </c>
      <c r="AR1851" s="11"/>
      <c r="AY1851" s="411"/>
      <c r="AZ1851" s="411"/>
    </row>
    <row r="1852" ht="16.5" spans="1:52">
      <c r="A1852">
        <v>10441</v>
      </c>
      <c r="B1852" s="334" t="s">
        <v>6399</v>
      </c>
      <c r="C1852" s="334" t="s">
        <v>686</v>
      </c>
      <c r="D1852">
        <v>1</v>
      </c>
      <c r="E1852">
        <v>0</v>
      </c>
      <c r="G1852">
        <v>1</v>
      </c>
      <c r="H1852" s="5" t="s">
        <v>6402</v>
      </c>
      <c r="I1852">
        <v>2.4</v>
      </c>
      <c r="J1852">
        <v>2.4</v>
      </c>
      <c r="L1852">
        <v>1</v>
      </c>
      <c r="M1852">
        <f t="shared" si="195"/>
        <v>2</v>
      </c>
      <c r="N1852" t="s">
        <v>6403</v>
      </c>
      <c r="O1852">
        <v>1</v>
      </c>
      <c r="P1852">
        <v>4.5</v>
      </c>
      <c r="Q1852">
        <v>0</v>
      </c>
      <c r="S1852">
        <v>0.5</v>
      </c>
      <c r="T1852">
        <v>-0.5</v>
      </c>
      <c r="U1852">
        <v>0.8</v>
      </c>
      <c r="V1852">
        <v>1</v>
      </c>
      <c r="W1852">
        <v>0</v>
      </c>
      <c r="X1852" s="7">
        <v>1</v>
      </c>
      <c r="AN1852" s="10"/>
      <c r="AP1852" s="267">
        <v>2240</v>
      </c>
      <c r="AQ1852" t="s">
        <v>136</v>
      </c>
      <c r="AR1852" s="11"/>
      <c r="AY1852" s="411"/>
      <c r="AZ1852" s="411"/>
    </row>
    <row r="1853" ht="16.5" spans="1:52">
      <c r="A1853">
        <v>10442</v>
      </c>
      <c r="B1853" s="334" t="s">
        <v>6399</v>
      </c>
      <c r="C1853" s="334" t="s">
        <v>6404</v>
      </c>
      <c r="D1853">
        <v>1</v>
      </c>
      <c r="E1853">
        <v>0</v>
      </c>
      <c r="G1853">
        <v>1</v>
      </c>
      <c r="H1853" s="5" t="s">
        <v>6405</v>
      </c>
      <c r="I1853">
        <v>3</v>
      </c>
      <c r="J1853">
        <v>3</v>
      </c>
      <c r="L1853">
        <v>1</v>
      </c>
      <c r="M1853">
        <f t="shared" si="195"/>
        <v>2.6</v>
      </c>
      <c r="N1853" t="s">
        <v>6406</v>
      </c>
      <c r="O1853">
        <v>1</v>
      </c>
      <c r="P1853">
        <v>4.5</v>
      </c>
      <c r="Q1853">
        <v>0</v>
      </c>
      <c r="S1853">
        <v>0.5</v>
      </c>
      <c r="T1853">
        <v>-0.5</v>
      </c>
      <c r="U1853">
        <v>0.8</v>
      </c>
      <c r="V1853">
        <v>1</v>
      </c>
      <c r="W1853">
        <v>0</v>
      </c>
      <c r="X1853" s="7">
        <v>4</v>
      </c>
      <c r="AN1853" s="10"/>
      <c r="AP1853" s="267">
        <v>2241</v>
      </c>
      <c r="AQ1853" t="s">
        <v>136</v>
      </c>
      <c r="AR1853" s="11"/>
      <c r="AY1853" s="411"/>
      <c r="AZ1853" s="411"/>
    </row>
    <row r="1854" ht="16.5" spans="1:52">
      <c r="A1854">
        <v>10443</v>
      </c>
      <c r="B1854" s="334" t="s">
        <v>6407</v>
      </c>
      <c r="C1854" s="334" t="s">
        <v>526</v>
      </c>
      <c r="D1854">
        <v>1</v>
      </c>
      <c r="E1854">
        <v>0</v>
      </c>
      <c r="G1854">
        <v>1</v>
      </c>
      <c r="H1854" s="5" t="s">
        <v>6408</v>
      </c>
      <c r="I1854">
        <v>2.33333333333333</v>
      </c>
      <c r="J1854">
        <v>2.33333333333333</v>
      </c>
      <c r="L1854">
        <v>0</v>
      </c>
      <c r="M1854">
        <f t="shared" si="195"/>
        <v>1.93333333333333</v>
      </c>
      <c r="N1854" t="s">
        <v>6409</v>
      </c>
      <c r="O1854">
        <v>1</v>
      </c>
      <c r="P1854">
        <v>3.5</v>
      </c>
      <c r="Q1854">
        <v>0</v>
      </c>
      <c r="S1854">
        <v>3</v>
      </c>
      <c r="T1854">
        <v>0.8</v>
      </c>
      <c r="V1854">
        <v>1</v>
      </c>
      <c r="W1854">
        <v>0</v>
      </c>
      <c r="X1854" s="7">
        <v>1</v>
      </c>
      <c r="AN1854" s="10"/>
      <c r="AP1854" s="267">
        <v>2318</v>
      </c>
      <c r="AQ1854" t="s">
        <v>136</v>
      </c>
      <c r="AR1854" s="11"/>
      <c r="AY1854" s="411"/>
      <c r="AZ1854" s="411"/>
    </row>
    <row r="1855" ht="16.5" spans="1:52">
      <c r="A1855">
        <v>10444</v>
      </c>
      <c r="B1855" s="334" t="s">
        <v>6407</v>
      </c>
      <c r="C1855" s="334" t="s">
        <v>6410</v>
      </c>
      <c r="D1855">
        <v>1</v>
      </c>
      <c r="E1855">
        <v>0</v>
      </c>
      <c r="G1855">
        <v>1</v>
      </c>
      <c r="H1855" s="5" t="s">
        <v>6411</v>
      </c>
      <c r="I1855">
        <v>2.66666666666667</v>
      </c>
      <c r="J1855">
        <v>2.66666666666667</v>
      </c>
      <c r="L1855">
        <v>1</v>
      </c>
      <c r="M1855">
        <f t="shared" si="195"/>
        <v>2.26666666666667</v>
      </c>
      <c r="N1855" t="s">
        <v>6412</v>
      </c>
      <c r="O1855">
        <v>1</v>
      </c>
      <c r="P1855">
        <v>3.5</v>
      </c>
      <c r="Q1855">
        <v>0</v>
      </c>
      <c r="R1855">
        <v>1</v>
      </c>
      <c r="S1855">
        <v>3</v>
      </c>
      <c r="T1855">
        <v>0.8</v>
      </c>
      <c r="V1855">
        <v>1</v>
      </c>
      <c r="W1855">
        <v>0</v>
      </c>
      <c r="X1855" s="7">
        <v>1</v>
      </c>
      <c r="AN1855" s="10"/>
      <c r="AP1855" s="267">
        <v>2320</v>
      </c>
      <c r="AQ1855" t="s">
        <v>136</v>
      </c>
      <c r="AR1855" s="11"/>
      <c r="AY1855" s="411"/>
      <c r="AZ1855" s="411"/>
    </row>
    <row r="1856" ht="16.5" spans="1:52">
      <c r="A1856">
        <v>10445</v>
      </c>
      <c r="B1856" s="334" t="s">
        <v>6407</v>
      </c>
      <c r="C1856" s="334" t="s">
        <v>6413</v>
      </c>
      <c r="D1856">
        <v>2</v>
      </c>
      <c r="E1856">
        <v>1</v>
      </c>
      <c r="G1856">
        <v>1</v>
      </c>
      <c r="H1856" s="5" t="s">
        <v>6414</v>
      </c>
      <c r="I1856">
        <v>3.5</v>
      </c>
      <c r="J1856">
        <v>3.5</v>
      </c>
      <c r="L1856">
        <v>0</v>
      </c>
      <c r="M1856">
        <f t="shared" si="195"/>
        <v>3.1</v>
      </c>
      <c r="N1856" t="s">
        <v>6415</v>
      </c>
      <c r="O1856">
        <v>5</v>
      </c>
      <c r="P1856">
        <v>0</v>
      </c>
      <c r="Q1856">
        <v>0</v>
      </c>
      <c r="S1856">
        <v>3</v>
      </c>
      <c r="T1856">
        <v>0.8</v>
      </c>
      <c r="V1856">
        <v>1000</v>
      </c>
      <c r="W1856">
        <v>0</v>
      </c>
      <c r="X1856" s="7">
        <v>0</v>
      </c>
      <c r="AN1856" s="10"/>
      <c r="AP1856" s="267">
        <v>2322</v>
      </c>
      <c r="AQ1856" t="s">
        <v>136</v>
      </c>
      <c r="AR1856" s="11"/>
      <c r="AY1856" s="411"/>
      <c r="AZ1856" s="411"/>
    </row>
    <row r="1857" ht="16.5" spans="1:52">
      <c r="A1857">
        <v>10446</v>
      </c>
      <c r="B1857" s="334" t="s">
        <v>6416</v>
      </c>
      <c r="C1857" s="334" t="s">
        <v>526</v>
      </c>
      <c r="D1857">
        <v>1</v>
      </c>
      <c r="E1857">
        <v>0</v>
      </c>
      <c r="G1857">
        <v>1</v>
      </c>
      <c r="H1857" s="5" t="s">
        <v>6417</v>
      </c>
      <c r="I1857">
        <v>2.33333333333333</v>
      </c>
      <c r="J1857">
        <v>2.33333333333333</v>
      </c>
      <c r="L1857">
        <v>0</v>
      </c>
      <c r="M1857">
        <f t="shared" si="195"/>
        <v>1.93333333333333</v>
      </c>
      <c r="N1857" t="s">
        <v>6418</v>
      </c>
      <c r="O1857">
        <v>1</v>
      </c>
      <c r="P1857">
        <v>4.5</v>
      </c>
      <c r="Q1857">
        <v>0</v>
      </c>
      <c r="S1857">
        <v>1</v>
      </c>
      <c r="T1857">
        <v>0.5</v>
      </c>
      <c r="U1857">
        <v>1</v>
      </c>
      <c r="V1857">
        <v>1</v>
      </c>
      <c r="W1857">
        <v>0</v>
      </c>
      <c r="X1857" s="7">
        <v>1</v>
      </c>
      <c r="AN1857" s="10"/>
      <c r="AP1857" s="267">
        <v>2242</v>
      </c>
      <c r="AQ1857" t="s">
        <v>136</v>
      </c>
      <c r="AR1857" s="11"/>
      <c r="AY1857" s="411"/>
      <c r="AZ1857" s="411"/>
    </row>
    <row r="1858" ht="16.5" spans="1:52">
      <c r="A1858">
        <v>10447</v>
      </c>
      <c r="B1858" s="334" t="s">
        <v>6416</v>
      </c>
      <c r="C1858" s="334" t="s">
        <v>6419</v>
      </c>
      <c r="D1858">
        <v>1</v>
      </c>
      <c r="E1858">
        <v>0</v>
      </c>
      <c r="G1858">
        <v>1</v>
      </c>
      <c r="H1858" s="5" t="s">
        <v>6420</v>
      </c>
      <c r="I1858">
        <v>3.66666666666667</v>
      </c>
      <c r="J1858">
        <v>3.66666666666667</v>
      </c>
      <c r="L1858">
        <v>1</v>
      </c>
      <c r="M1858">
        <f t="shared" si="195"/>
        <v>3.26666666666667</v>
      </c>
      <c r="N1858" t="s">
        <v>6421</v>
      </c>
      <c r="O1858">
        <v>1</v>
      </c>
      <c r="P1858">
        <v>4.5</v>
      </c>
      <c r="Q1858">
        <v>0</v>
      </c>
      <c r="S1858">
        <v>2</v>
      </c>
      <c r="T1858">
        <v>0.5</v>
      </c>
      <c r="U1858">
        <v>2</v>
      </c>
      <c r="V1858">
        <v>1</v>
      </c>
      <c r="W1858">
        <v>4</v>
      </c>
      <c r="X1858" s="7">
        <v>4</v>
      </c>
      <c r="AN1858" s="10">
        <v>2246</v>
      </c>
      <c r="AO1858" t="s">
        <v>574</v>
      </c>
      <c r="AP1858" s="267">
        <v>2245</v>
      </c>
      <c r="AQ1858" t="s">
        <v>136</v>
      </c>
      <c r="AR1858" s="11"/>
      <c r="AY1858" s="411"/>
      <c r="AZ1858" s="411"/>
    </row>
    <row r="1859" ht="16.5" spans="1:52">
      <c r="A1859">
        <v>10448</v>
      </c>
      <c r="B1859" s="334" t="s">
        <v>6416</v>
      </c>
      <c r="C1859" s="334" t="s">
        <v>6422</v>
      </c>
      <c r="D1859">
        <v>1</v>
      </c>
      <c r="E1859">
        <v>0</v>
      </c>
      <c r="G1859">
        <v>1</v>
      </c>
      <c r="H1859" s="5" t="s">
        <v>6423</v>
      </c>
      <c r="I1859">
        <v>5.66666666666667</v>
      </c>
      <c r="J1859">
        <v>5.66666666666667</v>
      </c>
      <c r="L1859">
        <v>1</v>
      </c>
      <c r="M1859">
        <f t="shared" si="195"/>
        <v>5.26666666666667</v>
      </c>
      <c r="N1859" t="s">
        <v>6424</v>
      </c>
      <c r="O1859">
        <v>1</v>
      </c>
      <c r="P1859">
        <v>4.5</v>
      </c>
      <c r="Q1859">
        <v>0</v>
      </c>
      <c r="S1859">
        <v>2</v>
      </c>
      <c r="T1859">
        <v>1</v>
      </c>
      <c r="U1859">
        <v>4</v>
      </c>
      <c r="V1859">
        <v>1</v>
      </c>
      <c r="W1859">
        <v>6</v>
      </c>
      <c r="X1859" s="7">
        <v>1</v>
      </c>
      <c r="AN1859" s="10">
        <v>2249</v>
      </c>
      <c r="AO1859" t="s">
        <v>574</v>
      </c>
      <c r="AP1859" s="267">
        <v>2248</v>
      </c>
      <c r="AQ1859" t="s">
        <v>136</v>
      </c>
      <c r="AR1859" s="11"/>
      <c r="AY1859" s="411"/>
      <c r="AZ1859" s="411"/>
    </row>
    <row r="1860" ht="16.5" spans="1:52">
      <c r="A1860">
        <v>10449</v>
      </c>
      <c r="B1860" s="334" t="s">
        <v>6425</v>
      </c>
      <c r="C1860" s="334" t="s">
        <v>526</v>
      </c>
      <c r="D1860">
        <v>1</v>
      </c>
      <c r="E1860">
        <v>0</v>
      </c>
      <c r="G1860">
        <v>1</v>
      </c>
      <c r="H1860" s="5" t="s">
        <v>6426</v>
      </c>
      <c r="I1860">
        <v>2.66666666666667</v>
      </c>
      <c r="J1860">
        <v>2.66666666666667</v>
      </c>
      <c r="L1860">
        <v>0</v>
      </c>
      <c r="M1860">
        <f t="shared" si="195"/>
        <v>2.26666666666667</v>
      </c>
      <c r="N1860" t="s">
        <v>6427</v>
      </c>
      <c r="O1860">
        <v>1</v>
      </c>
      <c r="P1860">
        <v>5.5</v>
      </c>
      <c r="Q1860">
        <v>0</v>
      </c>
      <c r="S1860">
        <v>-4</v>
      </c>
      <c r="T1860">
        <v>0.5</v>
      </c>
      <c r="U1860">
        <v>1.9</v>
      </c>
      <c r="V1860">
        <v>1</v>
      </c>
      <c r="W1860">
        <v>0</v>
      </c>
      <c r="X1860" s="7">
        <v>1</v>
      </c>
      <c r="AN1860" s="10"/>
      <c r="AP1860" s="267">
        <v>2250</v>
      </c>
      <c r="AQ1860" t="s">
        <v>136</v>
      </c>
      <c r="AR1860" s="11"/>
      <c r="AY1860" s="411"/>
      <c r="AZ1860" s="411"/>
    </row>
    <row r="1861" ht="16.5" spans="1:52">
      <c r="A1861">
        <v>10450</v>
      </c>
      <c r="B1861" s="334" t="s">
        <v>6425</v>
      </c>
      <c r="C1861" s="334" t="s">
        <v>6428</v>
      </c>
      <c r="D1861">
        <v>1</v>
      </c>
      <c r="E1861">
        <v>0</v>
      </c>
      <c r="G1861">
        <v>1</v>
      </c>
      <c r="H1861" s="5" t="s">
        <v>6429</v>
      </c>
      <c r="I1861">
        <v>4.66666666666667</v>
      </c>
      <c r="J1861">
        <v>4.66666666666667</v>
      </c>
      <c r="L1861">
        <v>1</v>
      </c>
      <c r="M1861">
        <f t="shared" si="195"/>
        <v>4.26666666666667</v>
      </c>
      <c r="N1861" t="s">
        <v>6430</v>
      </c>
      <c r="O1861">
        <v>1</v>
      </c>
      <c r="P1861">
        <v>5.5</v>
      </c>
      <c r="Q1861">
        <v>0</v>
      </c>
      <c r="S1861">
        <v>-10</v>
      </c>
      <c r="T1861">
        <v>0.5</v>
      </c>
      <c r="U1861">
        <v>4</v>
      </c>
      <c r="V1861">
        <v>1</v>
      </c>
      <c r="W1861">
        <v>6</v>
      </c>
      <c r="X1861" s="7">
        <v>4</v>
      </c>
      <c r="AN1861" s="10">
        <v>2254</v>
      </c>
      <c r="AO1861" t="s">
        <v>574</v>
      </c>
      <c r="AP1861" s="267">
        <v>2253</v>
      </c>
      <c r="AQ1861" t="s">
        <v>136</v>
      </c>
      <c r="AR1861" s="11"/>
      <c r="AY1861" s="411"/>
      <c r="AZ1861" s="411"/>
    </row>
    <row r="1862" ht="16.5" spans="1:52">
      <c r="A1862">
        <v>10451</v>
      </c>
      <c r="B1862" s="334" t="s">
        <v>6425</v>
      </c>
      <c r="C1862" s="334" t="s">
        <v>6431</v>
      </c>
      <c r="D1862">
        <v>1</v>
      </c>
      <c r="E1862">
        <v>0</v>
      </c>
      <c r="G1862">
        <v>1</v>
      </c>
      <c r="H1862" s="5" t="s">
        <v>6432</v>
      </c>
      <c r="I1862">
        <v>4.66666666666667</v>
      </c>
      <c r="J1862">
        <v>4.66666666666667</v>
      </c>
      <c r="L1862">
        <v>1</v>
      </c>
      <c r="M1862">
        <f t="shared" si="195"/>
        <v>4.26666666666667</v>
      </c>
      <c r="N1862" t="s">
        <v>6433</v>
      </c>
      <c r="O1862">
        <v>1</v>
      </c>
      <c r="P1862">
        <v>5.5</v>
      </c>
      <c r="Q1862">
        <v>0</v>
      </c>
      <c r="S1862">
        <v>-2</v>
      </c>
      <c r="T1862">
        <v>1</v>
      </c>
      <c r="U1862">
        <v>5</v>
      </c>
      <c r="V1862">
        <v>1</v>
      </c>
      <c r="W1862">
        <v>6</v>
      </c>
      <c r="X1862" s="7">
        <v>1</v>
      </c>
      <c r="AN1862" s="10">
        <v>2256</v>
      </c>
      <c r="AO1862" t="s">
        <v>574</v>
      </c>
      <c r="AP1862" s="267">
        <v>2255</v>
      </c>
      <c r="AQ1862" t="s">
        <v>136</v>
      </c>
      <c r="AR1862" s="11"/>
      <c r="AY1862" s="411"/>
      <c r="AZ1862" s="411"/>
    </row>
    <row r="1863" ht="16.5" spans="1:52">
      <c r="A1863">
        <v>10452</v>
      </c>
      <c r="B1863" s="334" t="s">
        <v>6434</v>
      </c>
      <c r="C1863" s="334" t="s">
        <v>526</v>
      </c>
      <c r="D1863">
        <v>1</v>
      </c>
      <c r="E1863">
        <v>0</v>
      </c>
      <c r="G1863">
        <v>1</v>
      </c>
      <c r="H1863" s="5" t="s">
        <v>6435</v>
      </c>
      <c r="I1863">
        <v>3.23333333333333</v>
      </c>
      <c r="J1863">
        <v>3.23333333333333</v>
      </c>
      <c r="L1863">
        <v>0</v>
      </c>
      <c r="M1863">
        <f t="shared" si="195"/>
        <v>2.83333333333333</v>
      </c>
      <c r="O1863">
        <v>1</v>
      </c>
      <c r="P1863">
        <v>2</v>
      </c>
      <c r="Q1863">
        <v>0</v>
      </c>
      <c r="S1863">
        <v>1.15</v>
      </c>
      <c r="T1863">
        <v>-0.5</v>
      </c>
      <c r="U1863">
        <v>1</v>
      </c>
      <c r="V1863">
        <v>1</v>
      </c>
      <c r="W1863">
        <v>0</v>
      </c>
      <c r="X1863" s="7">
        <v>7</v>
      </c>
      <c r="AN1863" s="10"/>
      <c r="AP1863" s="267"/>
      <c r="AR1863" s="11"/>
      <c r="AY1863" s="411"/>
      <c r="AZ1863" s="411"/>
    </row>
    <row r="1864" ht="16.5" spans="1:52">
      <c r="A1864">
        <v>10453</v>
      </c>
      <c r="B1864" s="334" t="s">
        <v>6436</v>
      </c>
      <c r="C1864" s="334" t="s">
        <v>526</v>
      </c>
      <c r="D1864">
        <v>1</v>
      </c>
      <c r="E1864">
        <v>0</v>
      </c>
      <c r="G1864">
        <v>1</v>
      </c>
      <c r="H1864" s="5" t="s">
        <v>6437</v>
      </c>
      <c r="I1864">
        <v>2.4</v>
      </c>
      <c r="J1864">
        <v>2.4</v>
      </c>
      <c r="L1864">
        <v>0</v>
      </c>
      <c r="M1864">
        <f t="shared" si="195"/>
        <v>2</v>
      </c>
      <c r="N1864" t="s">
        <v>6438</v>
      </c>
      <c r="O1864">
        <v>1</v>
      </c>
      <c r="P1864">
        <v>2.3</v>
      </c>
      <c r="Q1864">
        <v>0</v>
      </c>
      <c r="S1864">
        <v>0.5</v>
      </c>
      <c r="T1864">
        <v>0</v>
      </c>
      <c r="U1864">
        <v>0.5</v>
      </c>
      <c r="V1864">
        <v>1</v>
      </c>
      <c r="W1864">
        <v>0</v>
      </c>
      <c r="X1864" s="7">
        <v>3</v>
      </c>
      <c r="AN1864" s="10"/>
      <c r="AP1864" s="267">
        <v>2257</v>
      </c>
      <c r="AQ1864" t="s">
        <v>136</v>
      </c>
      <c r="AR1864" s="11"/>
      <c r="AY1864" s="411"/>
      <c r="AZ1864" s="411"/>
    </row>
    <row r="1865" ht="16.5" spans="1:52">
      <c r="A1865">
        <v>10454</v>
      </c>
      <c r="B1865" s="334" t="s">
        <v>6439</v>
      </c>
      <c r="C1865" s="334" t="s">
        <v>526</v>
      </c>
      <c r="D1865">
        <v>1</v>
      </c>
      <c r="E1865">
        <v>0</v>
      </c>
      <c r="G1865">
        <v>1</v>
      </c>
      <c r="H1865" s="5" t="s">
        <v>6440</v>
      </c>
      <c r="I1865">
        <v>2.66666666666667</v>
      </c>
      <c r="J1865">
        <v>2.66666666666667</v>
      </c>
      <c r="L1865">
        <v>0</v>
      </c>
      <c r="M1865">
        <f t="shared" si="195"/>
        <v>2.26666666666667</v>
      </c>
      <c r="N1865" t="s">
        <v>6441</v>
      </c>
      <c r="O1865">
        <v>1</v>
      </c>
      <c r="P1865">
        <v>5</v>
      </c>
      <c r="Q1865">
        <v>0</v>
      </c>
      <c r="S1865">
        <v>0.5</v>
      </c>
      <c r="T1865">
        <v>0</v>
      </c>
      <c r="U1865">
        <v>0.5</v>
      </c>
      <c r="V1865">
        <v>2</v>
      </c>
      <c r="W1865">
        <v>0</v>
      </c>
      <c r="X1865" s="7">
        <v>2</v>
      </c>
      <c r="AN1865" s="10"/>
      <c r="AP1865" s="267">
        <v>2258</v>
      </c>
      <c r="AQ1865" t="s">
        <v>136</v>
      </c>
      <c r="AR1865" s="11"/>
      <c r="AY1865" s="411"/>
      <c r="AZ1865" s="411"/>
    </row>
    <row r="1866" ht="16.5" spans="1:52">
      <c r="A1866">
        <v>10455</v>
      </c>
      <c r="B1866" s="334" t="s">
        <v>6442</v>
      </c>
      <c r="C1866" s="334" t="s">
        <v>526</v>
      </c>
      <c r="D1866">
        <v>1</v>
      </c>
      <c r="E1866">
        <v>0</v>
      </c>
      <c r="G1866">
        <v>1</v>
      </c>
      <c r="H1866" s="5" t="s">
        <v>6443</v>
      </c>
      <c r="I1866">
        <v>2.2</v>
      </c>
      <c r="J1866">
        <v>2.2</v>
      </c>
      <c r="L1866">
        <v>0</v>
      </c>
      <c r="M1866">
        <f t="shared" si="195"/>
        <v>1.8</v>
      </c>
      <c r="N1866" t="s">
        <v>6444</v>
      </c>
      <c r="O1866">
        <v>1</v>
      </c>
      <c r="P1866">
        <v>1.7</v>
      </c>
      <c r="Q1866">
        <v>0</v>
      </c>
      <c r="V1866">
        <v>1</v>
      </c>
      <c r="W1866">
        <v>0</v>
      </c>
      <c r="X1866" s="7">
        <v>3</v>
      </c>
      <c r="AN1866" s="10"/>
      <c r="AP1866" s="267">
        <v>2260</v>
      </c>
      <c r="AQ1866" t="s">
        <v>136</v>
      </c>
      <c r="AR1866" s="11"/>
      <c r="AY1866" s="411"/>
      <c r="AZ1866" s="411"/>
    </row>
    <row r="1867" ht="16.5" spans="1:52">
      <c r="A1867">
        <v>10456</v>
      </c>
      <c r="B1867" s="334" t="s">
        <v>6445</v>
      </c>
      <c r="C1867" s="334" t="s">
        <v>526</v>
      </c>
      <c r="D1867">
        <v>1</v>
      </c>
      <c r="E1867">
        <v>0</v>
      </c>
      <c r="G1867">
        <v>1</v>
      </c>
      <c r="H1867" s="5" t="s">
        <v>6446</v>
      </c>
      <c r="I1867">
        <v>3</v>
      </c>
      <c r="J1867">
        <v>3</v>
      </c>
      <c r="L1867">
        <v>0</v>
      </c>
      <c r="M1867">
        <f t="shared" si="195"/>
        <v>2.6</v>
      </c>
      <c r="N1867" t="s">
        <v>6447</v>
      </c>
      <c r="O1867">
        <v>1</v>
      </c>
      <c r="P1867">
        <v>5</v>
      </c>
      <c r="Q1867">
        <v>0</v>
      </c>
      <c r="V1867">
        <v>2</v>
      </c>
      <c r="W1867">
        <v>0</v>
      </c>
      <c r="X1867" s="7">
        <v>2</v>
      </c>
      <c r="AN1867" s="10"/>
      <c r="AP1867" s="267">
        <v>2261</v>
      </c>
      <c r="AQ1867" t="s">
        <v>136</v>
      </c>
      <c r="AR1867" s="11"/>
      <c r="AY1867" s="411"/>
      <c r="AZ1867" s="411"/>
    </row>
    <row r="1868" ht="16.5" spans="1:52">
      <c r="A1868">
        <v>10457</v>
      </c>
      <c r="B1868" s="334" t="s">
        <v>6448</v>
      </c>
      <c r="C1868" s="334" t="s">
        <v>526</v>
      </c>
      <c r="D1868">
        <v>1</v>
      </c>
      <c r="E1868">
        <v>0</v>
      </c>
      <c r="G1868">
        <v>1</v>
      </c>
      <c r="H1868" s="5" t="s">
        <v>6449</v>
      </c>
      <c r="I1868">
        <v>2.33333333333333</v>
      </c>
      <c r="J1868">
        <v>2.33333333333333</v>
      </c>
      <c r="L1868">
        <v>0</v>
      </c>
      <c r="M1868">
        <f t="shared" si="195"/>
        <v>1.93333333333333</v>
      </c>
      <c r="N1868" t="s">
        <v>6450</v>
      </c>
      <c r="O1868">
        <v>1</v>
      </c>
      <c r="P1868">
        <v>3</v>
      </c>
      <c r="Q1868">
        <v>0</v>
      </c>
      <c r="S1868">
        <v>1</v>
      </c>
      <c r="T1868">
        <v>-0.5</v>
      </c>
      <c r="U1868">
        <v>0.6</v>
      </c>
      <c r="V1868">
        <v>1</v>
      </c>
      <c r="W1868">
        <v>0</v>
      </c>
      <c r="X1868" s="7">
        <v>1</v>
      </c>
      <c r="AN1868" s="10"/>
      <c r="AP1868" s="267">
        <v>2263</v>
      </c>
      <c r="AQ1868" t="s">
        <v>136</v>
      </c>
      <c r="AR1868" s="11"/>
      <c r="AY1868" s="411"/>
      <c r="AZ1868" s="411"/>
    </row>
    <row r="1869" ht="16.5" spans="1:52">
      <c r="A1869">
        <v>10458</v>
      </c>
      <c r="B1869" s="334" t="s">
        <v>6451</v>
      </c>
      <c r="C1869" s="334" t="s">
        <v>526</v>
      </c>
      <c r="D1869">
        <v>1</v>
      </c>
      <c r="E1869">
        <v>0</v>
      </c>
      <c r="G1869">
        <v>1</v>
      </c>
      <c r="H1869" s="5" t="s">
        <v>6452</v>
      </c>
      <c r="I1869">
        <v>2.5</v>
      </c>
      <c r="J1869">
        <v>2.5</v>
      </c>
      <c r="L1869">
        <v>0</v>
      </c>
      <c r="M1869">
        <f t="shared" si="195"/>
        <v>2.1</v>
      </c>
      <c r="N1869" t="s">
        <v>6453</v>
      </c>
      <c r="O1869">
        <v>1</v>
      </c>
      <c r="P1869">
        <v>2.4</v>
      </c>
      <c r="Q1869">
        <v>0</v>
      </c>
      <c r="S1869">
        <v>0.85</v>
      </c>
      <c r="T1869">
        <v>-0.5</v>
      </c>
      <c r="U1869">
        <v>1.1</v>
      </c>
      <c r="V1869">
        <v>1</v>
      </c>
      <c r="W1869">
        <v>0</v>
      </c>
      <c r="X1869" s="7">
        <v>3</v>
      </c>
      <c r="AN1869" s="10"/>
      <c r="AP1869" s="267">
        <v>2264</v>
      </c>
      <c r="AQ1869" t="s">
        <v>136</v>
      </c>
      <c r="AR1869" s="11"/>
      <c r="AY1869" s="411"/>
      <c r="AZ1869" s="411"/>
    </row>
    <row r="1870" ht="16.5" spans="1:52">
      <c r="A1870">
        <v>10459</v>
      </c>
      <c r="B1870" s="334" t="s">
        <v>6454</v>
      </c>
      <c r="C1870" s="334" t="s">
        <v>526</v>
      </c>
      <c r="D1870">
        <v>1</v>
      </c>
      <c r="E1870">
        <v>0</v>
      </c>
      <c r="G1870">
        <v>1</v>
      </c>
      <c r="H1870" s="11" t="s">
        <v>6455</v>
      </c>
      <c r="I1870">
        <v>2</v>
      </c>
      <c r="J1870">
        <v>2</v>
      </c>
      <c r="L1870">
        <v>0</v>
      </c>
      <c r="M1870">
        <f t="shared" si="195"/>
        <v>1.6</v>
      </c>
      <c r="N1870" t="s">
        <v>6456</v>
      </c>
      <c r="O1870">
        <v>5</v>
      </c>
      <c r="P1870">
        <v>4</v>
      </c>
      <c r="Q1870">
        <v>0</v>
      </c>
      <c r="S1870">
        <v>-0.5</v>
      </c>
      <c r="T1870">
        <v>0.5</v>
      </c>
      <c r="U1870">
        <v>1.8</v>
      </c>
      <c r="V1870">
        <v>1</v>
      </c>
      <c r="W1870">
        <v>0</v>
      </c>
      <c r="X1870" s="7">
        <v>1</v>
      </c>
      <c r="AN1870" s="10"/>
      <c r="AP1870" s="267">
        <v>2266</v>
      </c>
      <c r="AQ1870" t="s">
        <v>136</v>
      </c>
      <c r="AR1870" s="11"/>
      <c r="AY1870" s="411"/>
      <c r="AZ1870" s="411"/>
    </row>
    <row r="1871" ht="16.5" spans="1:52">
      <c r="A1871">
        <v>10460</v>
      </c>
      <c r="B1871" s="334" t="s">
        <v>6454</v>
      </c>
      <c r="C1871" s="334" t="s">
        <v>6457</v>
      </c>
      <c r="D1871">
        <v>1</v>
      </c>
      <c r="E1871">
        <v>0</v>
      </c>
      <c r="G1871">
        <v>1</v>
      </c>
      <c r="H1871" s="11" t="s">
        <v>6458</v>
      </c>
      <c r="I1871">
        <v>2.6</v>
      </c>
      <c r="J1871">
        <v>2.6</v>
      </c>
      <c r="L1871">
        <v>1</v>
      </c>
      <c r="M1871">
        <f t="shared" si="195"/>
        <v>2.2</v>
      </c>
      <c r="N1871" t="s">
        <v>6459</v>
      </c>
      <c r="O1871">
        <v>5</v>
      </c>
      <c r="P1871">
        <v>4</v>
      </c>
      <c r="Q1871">
        <v>1</v>
      </c>
      <c r="S1871">
        <v>0.2</v>
      </c>
      <c r="T1871">
        <v>0</v>
      </c>
      <c r="U1871">
        <v>0.2</v>
      </c>
      <c r="V1871">
        <v>1</v>
      </c>
      <c r="W1871">
        <v>0</v>
      </c>
      <c r="X1871" s="7">
        <v>1</v>
      </c>
      <c r="AN1871" s="10"/>
      <c r="AP1871" s="267">
        <v>2268</v>
      </c>
      <c r="AQ1871" t="s">
        <v>136</v>
      </c>
      <c r="AR1871" s="11"/>
      <c r="AY1871" s="411"/>
      <c r="AZ1871" s="411"/>
    </row>
    <row r="1872" ht="16.5" spans="1:52">
      <c r="A1872">
        <v>10461</v>
      </c>
      <c r="B1872" s="334" t="s">
        <v>6454</v>
      </c>
      <c r="C1872" s="334" t="s">
        <v>6460</v>
      </c>
      <c r="D1872">
        <v>1</v>
      </c>
      <c r="E1872">
        <v>0</v>
      </c>
      <c r="G1872">
        <v>1</v>
      </c>
      <c r="H1872" s="11" t="s">
        <v>6461</v>
      </c>
      <c r="I1872">
        <v>5.66666666666667</v>
      </c>
      <c r="J1872">
        <v>5.66666666666667</v>
      </c>
      <c r="L1872">
        <v>1</v>
      </c>
      <c r="M1872">
        <f t="shared" ref="M1872:M1930" si="196">I1872-0.4</f>
        <v>5.26666666666667</v>
      </c>
      <c r="N1872" t="s">
        <v>6462</v>
      </c>
      <c r="O1872">
        <v>1</v>
      </c>
      <c r="P1872">
        <v>12</v>
      </c>
      <c r="Q1872">
        <v>0</v>
      </c>
      <c r="S1872">
        <v>0.5</v>
      </c>
      <c r="T1872">
        <v>-0.5</v>
      </c>
      <c r="U1872">
        <v>0.5</v>
      </c>
      <c r="V1872">
        <v>1</v>
      </c>
      <c r="W1872">
        <v>0</v>
      </c>
      <c r="X1872" s="7">
        <v>1</v>
      </c>
      <c r="AB1872">
        <v>5.36666666666667</v>
      </c>
      <c r="AC1872">
        <v>2</v>
      </c>
      <c r="AD1872">
        <v>1</v>
      </c>
      <c r="AE1872" t="s">
        <v>6463</v>
      </c>
      <c r="AF1872">
        <v>0.5</v>
      </c>
      <c r="AN1872" s="10"/>
      <c r="AP1872" s="267">
        <v>2269</v>
      </c>
      <c r="AQ1872" t="s">
        <v>136</v>
      </c>
      <c r="AR1872" s="11"/>
      <c r="AY1872" s="411"/>
      <c r="AZ1872" s="411"/>
    </row>
    <row r="1873" ht="16.5" spans="1:52">
      <c r="A1873">
        <v>10462</v>
      </c>
      <c r="B1873" s="334" t="s">
        <v>6464</v>
      </c>
      <c r="C1873" s="334" t="s">
        <v>526</v>
      </c>
      <c r="D1873">
        <v>1</v>
      </c>
      <c r="E1873">
        <v>0</v>
      </c>
      <c r="G1873">
        <v>1</v>
      </c>
      <c r="H1873" s="11" t="s">
        <v>6465</v>
      </c>
      <c r="I1873">
        <v>2.26666666666667</v>
      </c>
      <c r="J1873">
        <v>2.26666666666667</v>
      </c>
      <c r="L1873">
        <v>0</v>
      </c>
      <c r="M1873">
        <f t="shared" si="196"/>
        <v>1.86666666666667</v>
      </c>
      <c r="N1873" t="s">
        <v>6466</v>
      </c>
      <c r="O1873">
        <v>5</v>
      </c>
      <c r="P1873">
        <v>4</v>
      </c>
      <c r="Q1873">
        <v>0</v>
      </c>
      <c r="S1873">
        <v>-0.5</v>
      </c>
      <c r="T1873">
        <v>0.5</v>
      </c>
      <c r="U1873">
        <v>1.8</v>
      </c>
      <c r="V1873">
        <v>1</v>
      </c>
      <c r="W1873">
        <v>0</v>
      </c>
      <c r="X1873" s="7">
        <v>1</v>
      </c>
      <c r="AN1873" s="10"/>
      <c r="AP1873" s="267">
        <v>2270</v>
      </c>
      <c r="AQ1873" t="s">
        <v>136</v>
      </c>
      <c r="AR1873" s="11"/>
      <c r="AY1873" s="411"/>
      <c r="AZ1873" s="411"/>
    </row>
    <row r="1874" ht="16.5" spans="1:52">
      <c r="A1874">
        <v>10463</v>
      </c>
      <c r="B1874" s="334" t="s">
        <v>6464</v>
      </c>
      <c r="C1874" s="334" t="s">
        <v>6467</v>
      </c>
      <c r="D1874">
        <v>1</v>
      </c>
      <c r="E1874">
        <v>0</v>
      </c>
      <c r="G1874">
        <v>1</v>
      </c>
      <c r="H1874" s="11" t="s">
        <v>6468</v>
      </c>
      <c r="I1874">
        <v>4</v>
      </c>
      <c r="J1874">
        <v>4</v>
      </c>
      <c r="L1874">
        <v>1</v>
      </c>
      <c r="M1874">
        <f t="shared" si="196"/>
        <v>3.6</v>
      </c>
      <c r="N1874" t="s">
        <v>6469</v>
      </c>
      <c r="O1874">
        <v>5</v>
      </c>
      <c r="P1874">
        <v>4</v>
      </c>
      <c r="Q1874">
        <v>0</v>
      </c>
      <c r="S1874">
        <v>0</v>
      </c>
      <c r="T1874">
        <v>0</v>
      </c>
      <c r="U1874">
        <v>3</v>
      </c>
      <c r="V1874">
        <v>1</v>
      </c>
      <c r="W1874">
        <v>1</v>
      </c>
      <c r="X1874" s="7">
        <v>3</v>
      </c>
      <c r="AN1874" s="10"/>
      <c r="AP1874" s="267">
        <v>2271</v>
      </c>
      <c r="AQ1874" t="s">
        <v>136</v>
      </c>
      <c r="AR1874" s="11"/>
      <c r="AY1874" s="411"/>
      <c r="AZ1874" s="411"/>
    </row>
    <row r="1875" ht="16.5" spans="1:52">
      <c r="A1875">
        <v>10465</v>
      </c>
      <c r="B1875" s="334" t="s">
        <v>6470</v>
      </c>
      <c r="C1875" s="334" t="s">
        <v>526</v>
      </c>
      <c r="D1875">
        <v>1</v>
      </c>
      <c r="E1875">
        <v>0</v>
      </c>
      <c r="G1875">
        <v>1</v>
      </c>
      <c r="H1875" s="11" t="s">
        <v>6471</v>
      </c>
      <c r="I1875">
        <v>1.5</v>
      </c>
      <c r="J1875">
        <v>1.5</v>
      </c>
      <c r="L1875">
        <v>1</v>
      </c>
      <c r="M1875">
        <f t="shared" si="196"/>
        <v>1.1</v>
      </c>
      <c r="N1875" t="s">
        <v>6472</v>
      </c>
      <c r="O1875">
        <v>1</v>
      </c>
      <c r="P1875">
        <v>1.2</v>
      </c>
      <c r="Q1875">
        <v>0</v>
      </c>
      <c r="S1875">
        <v>0.5</v>
      </c>
      <c r="T1875">
        <v>0.3</v>
      </c>
      <c r="U1875">
        <v>0.6</v>
      </c>
      <c r="V1875">
        <v>1</v>
      </c>
      <c r="W1875">
        <v>0</v>
      </c>
      <c r="X1875" s="7">
        <v>1</v>
      </c>
      <c r="AN1875" s="10"/>
      <c r="AP1875" s="267">
        <v>2324</v>
      </c>
      <c r="AQ1875" t="s">
        <v>136</v>
      </c>
      <c r="AR1875" s="11"/>
      <c r="AY1875" s="411"/>
      <c r="AZ1875" s="411"/>
    </row>
    <row r="1876" ht="16.5" spans="1:52">
      <c r="A1876">
        <v>10466</v>
      </c>
      <c r="B1876" s="334" t="s">
        <v>6473</v>
      </c>
      <c r="C1876" s="334" t="s">
        <v>526</v>
      </c>
      <c r="D1876">
        <v>1</v>
      </c>
      <c r="E1876">
        <v>0</v>
      </c>
      <c r="G1876">
        <v>1</v>
      </c>
      <c r="H1876" s="5" t="s">
        <v>6474</v>
      </c>
      <c r="I1876">
        <f>64/30</f>
        <v>2.13333333333333</v>
      </c>
      <c r="J1876">
        <f>64/30</f>
        <v>2.13333333333333</v>
      </c>
      <c r="L1876">
        <v>0</v>
      </c>
      <c r="M1876">
        <f t="shared" si="196"/>
        <v>1.73333333333333</v>
      </c>
      <c r="N1876" t="s">
        <v>6475</v>
      </c>
      <c r="O1876">
        <v>1</v>
      </c>
      <c r="P1876">
        <v>2.2</v>
      </c>
      <c r="Q1876">
        <v>0</v>
      </c>
      <c r="S1876">
        <v>1</v>
      </c>
      <c r="T1876">
        <v>0.5</v>
      </c>
      <c r="U1876">
        <v>0.5</v>
      </c>
      <c r="V1876">
        <v>1</v>
      </c>
      <c r="W1876">
        <v>0</v>
      </c>
      <c r="X1876" s="7">
        <v>1</v>
      </c>
      <c r="AN1876" s="10"/>
      <c r="AP1876" s="267">
        <v>2534</v>
      </c>
      <c r="AQ1876" t="s">
        <v>136</v>
      </c>
      <c r="AR1876" s="11"/>
      <c r="AY1876" s="411"/>
      <c r="AZ1876" s="411"/>
    </row>
    <row r="1877" ht="16.5" spans="1:52">
      <c r="A1877">
        <v>10467</v>
      </c>
      <c r="B1877" s="334" t="s">
        <v>6473</v>
      </c>
      <c r="C1877" s="334" t="s">
        <v>6476</v>
      </c>
      <c r="D1877">
        <v>1</v>
      </c>
      <c r="E1877">
        <v>0</v>
      </c>
      <c r="G1877">
        <v>1</v>
      </c>
      <c r="H1877" s="5" t="s">
        <v>6477</v>
      </c>
      <c r="I1877">
        <f>60/30</f>
        <v>2</v>
      </c>
      <c r="J1877">
        <f>60/30</f>
        <v>2</v>
      </c>
      <c r="L1877">
        <v>1</v>
      </c>
      <c r="M1877">
        <f t="shared" si="196"/>
        <v>1.6</v>
      </c>
      <c r="N1877" t="s">
        <v>6478</v>
      </c>
      <c r="O1877">
        <v>5</v>
      </c>
      <c r="P1877">
        <v>0</v>
      </c>
      <c r="Q1877">
        <v>0</v>
      </c>
      <c r="S1877">
        <v>1</v>
      </c>
      <c r="T1877">
        <v>0.5</v>
      </c>
      <c r="U1877">
        <v>0.5</v>
      </c>
      <c r="V1877">
        <v>1</v>
      </c>
      <c r="W1877">
        <v>29</v>
      </c>
      <c r="X1877" s="7">
        <v>1</v>
      </c>
      <c r="AN1877" s="10"/>
      <c r="AP1877" s="267">
        <v>2535</v>
      </c>
      <c r="AQ1877" t="s">
        <v>136</v>
      </c>
      <c r="AR1877" s="11"/>
      <c r="AY1877" s="411"/>
      <c r="AZ1877" s="411"/>
    </row>
    <row r="1878" ht="16.5" spans="1:52">
      <c r="A1878">
        <v>10468</v>
      </c>
      <c r="B1878" s="334" t="s">
        <v>6473</v>
      </c>
      <c r="C1878" s="334" t="s">
        <v>686</v>
      </c>
      <c r="D1878">
        <v>1</v>
      </c>
      <c r="E1878">
        <v>0</v>
      </c>
      <c r="G1878">
        <v>1</v>
      </c>
      <c r="H1878" s="5" t="s">
        <v>6479</v>
      </c>
      <c r="I1878">
        <f>95/30</f>
        <v>3.16666666666667</v>
      </c>
      <c r="J1878">
        <f>95/30</f>
        <v>3.16666666666667</v>
      </c>
      <c r="L1878">
        <v>1</v>
      </c>
      <c r="M1878">
        <f t="shared" si="196"/>
        <v>2.76666666666667</v>
      </c>
      <c r="N1878" t="s">
        <v>6480</v>
      </c>
      <c r="O1878">
        <v>1</v>
      </c>
      <c r="P1878">
        <v>2.2</v>
      </c>
      <c r="Q1878">
        <v>0</v>
      </c>
      <c r="S1878">
        <v>1</v>
      </c>
      <c r="T1878">
        <v>0.5</v>
      </c>
      <c r="U1878">
        <v>0.5</v>
      </c>
      <c r="V1878">
        <v>1</v>
      </c>
      <c r="W1878">
        <v>0</v>
      </c>
      <c r="X1878" s="7">
        <v>1</v>
      </c>
      <c r="AN1878" s="10">
        <v>2538</v>
      </c>
      <c r="AO1878" t="s">
        <v>6481</v>
      </c>
      <c r="AP1878" s="267">
        <v>2536</v>
      </c>
      <c r="AQ1878" t="s">
        <v>136</v>
      </c>
      <c r="AR1878" s="11"/>
      <c r="AY1878" s="411"/>
      <c r="AZ1878" s="411"/>
    </row>
    <row r="1879" ht="16.5" spans="1:52">
      <c r="A1879">
        <v>10469</v>
      </c>
      <c r="B1879" s="334" t="s">
        <v>6473</v>
      </c>
      <c r="C1879" s="334" t="s">
        <v>5932</v>
      </c>
      <c r="D1879">
        <v>1</v>
      </c>
      <c r="E1879">
        <v>0</v>
      </c>
      <c r="G1879">
        <v>1</v>
      </c>
      <c r="H1879" s="5" t="s">
        <v>6482</v>
      </c>
      <c r="I1879">
        <f>145/30</f>
        <v>4.83333333333333</v>
      </c>
      <c r="J1879">
        <f>145/30</f>
        <v>4.83333333333333</v>
      </c>
      <c r="L1879">
        <v>1</v>
      </c>
      <c r="M1879">
        <f t="shared" si="196"/>
        <v>4.43333333333333</v>
      </c>
      <c r="N1879" t="s">
        <v>6483</v>
      </c>
      <c r="O1879">
        <v>1</v>
      </c>
      <c r="P1879">
        <v>2.2</v>
      </c>
      <c r="Q1879">
        <v>0</v>
      </c>
      <c r="S1879">
        <v>1</v>
      </c>
      <c r="T1879">
        <v>0.5</v>
      </c>
      <c r="U1879">
        <v>0.5</v>
      </c>
      <c r="V1879">
        <v>1</v>
      </c>
      <c r="W1879">
        <v>0</v>
      </c>
      <c r="X1879" s="7">
        <v>1</v>
      </c>
      <c r="AN1879" s="10"/>
      <c r="AP1879" s="267">
        <v>2539</v>
      </c>
      <c r="AQ1879" t="s">
        <v>136</v>
      </c>
      <c r="AR1879" s="11"/>
      <c r="AY1879" s="38"/>
      <c r="AZ1879" s="38"/>
    </row>
    <row r="1880" ht="16.5" spans="1:52">
      <c r="A1880">
        <v>10470</v>
      </c>
      <c r="B1880" s="334" t="s">
        <v>6473</v>
      </c>
      <c r="C1880" s="334" t="s">
        <v>6484</v>
      </c>
      <c r="D1880">
        <v>1</v>
      </c>
      <c r="E1880">
        <v>0</v>
      </c>
      <c r="G1880">
        <v>1</v>
      </c>
      <c r="H1880" s="5" t="s">
        <v>6485</v>
      </c>
      <c r="I1880">
        <f>250/30</f>
        <v>8.33333333333333</v>
      </c>
      <c r="J1880">
        <f>250/30</f>
        <v>8.33333333333333</v>
      </c>
      <c r="L1880">
        <v>1</v>
      </c>
      <c r="M1880">
        <f t="shared" si="196"/>
        <v>7.93333333333333</v>
      </c>
      <c r="N1880" t="s">
        <v>6486</v>
      </c>
      <c r="O1880">
        <v>1</v>
      </c>
      <c r="P1880">
        <v>12</v>
      </c>
      <c r="Q1880">
        <v>0</v>
      </c>
      <c r="V1880">
        <v>1</v>
      </c>
      <c r="W1880">
        <v>0</v>
      </c>
      <c r="X1880" s="7">
        <v>1</v>
      </c>
      <c r="AB1880">
        <f>I1880-0.3</f>
        <v>8.03333333333333</v>
      </c>
      <c r="AC1880">
        <v>2</v>
      </c>
      <c r="AD1880">
        <v>1</v>
      </c>
      <c r="AE1880" t="s">
        <v>6487</v>
      </c>
      <c r="AF1880">
        <v>0.5</v>
      </c>
      <c r="AN1880" s="10"/>
      <c r="AP1880" s="267">
        <v>2542</v>
      </c>
      <c r="AQ1880" t="s">
        <v>136</v>
      </c>
      <c r="AR1880" s="750" t="s">
        <v>2326</v>
      </c>
      <c r="AY1880" s="38"/>
      <c r="AZ1880" s="38"/>
    </row>
    <row r="1881" ht="16.5" spans="1:52">
      <c r="A1881">
        <v>10471</v>
      </c>
      <c r="B1881" s="334" t="s">
        <v>6488</v>
      </c>
      <c r="C1881" s="334" t="s">
        <v>5828</v>
      </c>
      <c r="D1881">
        <v>1</v>
      </c>
      <c r="E1881">
        <v>0</v>
      </c>
      <c r="G1881">
        <v>1</v>
      </c>
      <c r="H1881" s="5" t="s">
        <v>6489</v>
      </c>
      <c r="I1881">
        <f>65/30</f>
        <v>2.16666666666667</v>
      </c>
      <c r="J1881">
        <f>65/30</f>
        <v>2.16666666666667</v>
      </c>
      <c r="L1881">
        <v>0</v>
      </c>
      <c r="M1881">
        <f t="shared" si="196"/>
        <v>1.76666666666667</v>
      </c>
      <c r="N1881" t="s">
        <v>6490</v>
      </c>
      <c r="O1881">
        <v>1</v>
      </c>
      <c r="P1881">
        <v>2.4</v>
      </c>
      <c r="Q1881">
        <v>0</v>
      </c>
      <c r="S1881">
        <v>1</v>
      </c>
      <c r="T1881">
        <v>0.5</v>
      </c>
      <c r="U1881">
        <v>1</v>
      </c>
      <c r="V1881">
        <v>1</v>
      </c>
      <c r="W1881">
        <v>0</v>
      </c>
      <c r="X1881" s="7">
        <v>1</v>
      </c>
      <c r="AN1881" s="10"/>
      <c r="AP1881" s="267">
        <v>2518</v>
      </c>
      <c r="AQ1881" t="s">
        <v>136</v>
      </c>
      <c r="AR1881" s="11"/>
      <c r="AY1881" s="38"/>
      <c r="AZ1881" s="38"/>
    </row>
    <row r="1882" ht="16.5" spans="1:52">
      <c r="A1882">
        <v>10472</v>
      </c>
      <c r="B1882" s="334" t="s">
        <v>6488</v>
      </c>
      <c r="C1882" s="334" t="s">
        <v>6491</v>
      </c>
      <c r="D1882">
        <v>1</v>
      </c>
      <c r="E1882">
        <v>0</v>
      </c>
      <c r="G1882">
        <v>1</v>
      </c>
      <c r="H1882" s="5" t="s">
        <v>6492</v>
      </c>
      <c r="I1882">
        <f>80/30</f>
        <v>2.66666666666667</v>
      </c>
      <c r="J1882">
        <f>80/30</f>
        <v>2.66666666666667</v>
      </c>
      <c r="L1882">
        <v>1</v>
      </c>
      <c r="M1882">
        <f t="shared" si="196"/>
        <v>2.26666666666667</v>
      </c>
      <c r="N1882" t="s">
        <v>6493</v>
      </c>
      <c r="O1882">
        <v>1</v>
      </c>
      <c r="P1882">
        <v>2.4</v>
      </c>
      <c r="Q1882">
        <v>0</v>
      </c>
      <c r="S1882">
        <v>1.2</v>
      </c>
      <c r="T1882">
        <v>0.5</v>
      </c>
      <c r="U1882">
        <v>1.5</v>
      </c>
      <c r="V1882">
        <v>1</v>
      </c>
      <c r="W1882">
        <v>6</v>
      </c>
      <c r="X1882" s="7">
        <v>1</v>
      </c>
      <c r="AN1882" s="10"/>
      <c r="AP1882" s="267">
        <v>2520</v>
      </c>
      <c r="AQ1882" t="s">
        <v>136</v>
      </c>
      <c r="AR1882" s="11"/>
      <c r="AY1882" s="38"/>
      <c r="AZ1882" s="38"/>
    </row>
    <row r="1883" ht="16.5" spans="1:52">
      <c r="A1883">
        <v>10473</v>
      </c>
      <c r="B1883" s="334" t="s">
        <v>6488</v>
      </c>
      <c r="C1883" s="334" t="s">
        <v>6494</v>
      </c>
      <c r="D1883">
        <v>1</v>
      </c>
      <c r="E1883">
        <v>0</v>
      </c>
      <c r="G1883">
        <v>1</v>
      </c>
      <c r="H1883" s="5" t="s">
        <v>6495</v>
      </c>
      <c r="I1883">
        <f>80/30</f>
        <v>2.66666666666667</v>
      </c>
      <c r="J1883">
        <f>80/30</f>
        <v>2.66666666666667</v>
      </c>
      <c r="L1883">
        <v>1</v>
      </c>
      <c r="M1883">
        <f t="shared" si="196"/>
        <v>2.26666666666667</v>
      </c>
      <c r="N1883" t="s">
        <v>6496</v>
      </c>
      <c r="O1883">
        <v>1</v>
      </c>
      <c r="P1883">
        <v>2.4</v>
      </c>
      <c r="Q1883">
        <v>0</v>
      </c>
      <c r="S1883">
        <v>1</v>
      </c>
      <c r="T1883">
        <v>0.5</v>
      </c>
      <c r="U1883">
        <v>1</v>
      </c>
      <c r="V1883">
        <v>1</v>
      </c>
      <c r="W1883">
        <v>0</v>
      </c>
      <c r="X1883" s="7">
        <v>1</v>
      </c>
      <c r="AN1883" s="10"/>
      <c r="AP1883" s="267"/>
      <c r="AR1883" s="11"/>
      <c r="AY1883" s="38"/>
      <c r="AZ1883" s="38"/>
    </row>
    <row r="1884" ht="16.5" spans="1:52">
      <c r="A1884">
        <v>10474</v>
      </c>
      <c r="B1884" s="334" t="s">
        <v>6488</v>
      </c>
      <c r="C1884" s="334" t="s">
        <v>6497</v>
      </c>
      <c r="D1884">
        <v>1</v>
      </c>
      <c r="E1884">
        <v>0</v>
      </c>
      <c r="G1884">
        <v>1</v>
      </c>
      <c r="H1884" s="5" t="s">
        <v>6498</v>
      </c>
      <c r="I1884">
        <f>198/30</f>
        <v>6.6</v>
      </c>
      <c r="J1884">
        <f>198/30</f>
        <v>6.6</v>
      </c>
      <c r="L1884">
        <v>1</v>
      </c>
      <c r="M1884">
        <f t="shared" si="196"/>
        <v>6.2</v>
      </c>
      <c r="N1884" t="s">
        <v>6499</v>
      </c>
      <c r="O1884">
        <v>1</v>
      </c>
      <c r="P1884">
        <v>13</v>
      </c>
      <c r="Q1884">
        <v>0</v>
      </c>
      <c r="V1884">
        <v>1</v>
      </c>
      <c r="W1884">
        <v>0</v>
      </c>
      <c r="X1884" s="7">
        <v>1</v>
      </c>
      <c r="AB1884">
        <f>I1884-0.3</f>
        <v>6.3</v>
      </c>
      <c r="AC1884">
        <v>2</v>
      </c>
      <c r="AD1884">
        <v>1</v>
      </c>
      <c r="AE1884" t="s">
        <v>6500</v>
      </c>
      <c r="AF1884">
        <v>0.5</v>
      </c>
      <c r="AN1884" s="154" t="s">
        <v>6501</v>
      </c>
      <c r="AO1884" t="s">
        <v>6502</v>
      </c>
      <c r="AP1884" s="267">
        <v>2522</v>
      </c>
      <c r="AQ1884" t="s">
        <v>136</v>
      </c>
      <c r="AR1884" s="750" t="s">
        <v>2326</v>
      </c>
      <c r="AY1884" s="38"/>
      <c r="AZ1884" s="38"/>
    </row>
    <row r="1885" ht="16.5" spans="1:52">
      <c r="A1885">
        <v>10475</v>
      </c>
      <c r="B1885" s="334" t="s">
        <v>6488</v>
      </c>
      <c r="C1885" s="334" t="s">
        <v>6503</v>
      </c>
      <c r="D1885">
        <v>1</v>
      </c>
      <c r="E1885">
        <v>0</v>
      </c>
      <c r="G1885">
        <v>1</v>
      </c>
      <c r="H1885" s="5" t="s">
        <v>6504</v>
      </c>
      <c r="I1885">
        <f>198/30</f>
        <v>6.6</v>
      </c>
      <c r="J1885">
        <f>198/30</f>
        <v>6.6</v>
      </c>
      <c r="L1885">
        <v>1</v>
      </c>
      <c r="M1885">
        <f t="shared" si="196"/>
        <v>6.2</v>
      </c>
      <c r="N1885" t="s">
        <v>6505</v>
      </c>
      <c r="O1885">
        <v>3</v>
      </c>
      <c r="P1885">
        <v>0.5</v>
      </c>
      <c r="Q1885">
        <v>0</v>
      </c>
      <c r="V1885">
        <v>1</v>
      </c>
      <c r="W1885">
        <v>6</v>
      </c>
      <c r="X1885" s="7">
        <v>1</v>
      </c>
      <c r="AB1885">
        <f>I1885-0.3</f>
        <v>6.3</v>
      </c>
      <c r="AC1885">
        <v>2</v>
      </c>
      <c r="AD1885">
        <v>1</v>
      </c>
      <c r="AE1885" t="s">
        <v>6506</v>
      </c>
      <c r="AF1885">
        <v>0.5</v>
      </c>
      <c r="AN1885" s="10">
        <v>2527</v>
      </c>
      <c r="AO1885" t="s">
        <v>674</v>
      </c>
      <c r="AP1885" s="267">
        <v>2526</v>
      </c>
      <c r="AQ1885" t="s">
        <v>136</v>
      </c>
      <c r="AR1885" s="11"/>
      <c r="AY1885" s="38"/>
      <c r="AZ1885" s="38"/>
    </row>
    <row r="1886" ht="16.5" spans="1:52">
      <c r="A1886">
        <v>10476</v>
      </c>
      <c r="B1886" s="334" t="s">
        <v>6507</v>
      </c>
      <c r="C1886" s="334" t="s">
        <v>526</v>
      </c>
      <c r="D1886">
        <v>1</v>
      </c>
      <c r="E1886">
        <v>0</v>
      </c>
      <c r="G1886">
        <v>1</v>
      </c>
      <c r="H1886" s="5" t="s">
        <v>6508</v>
      </c>
      <c r="I1886">
        <f>100/30</f>
        <v>3.33333333333333</v>
      </c>
      <c r="J1886">
        <f>100/30</f>
        <v>3.33333333333333</v>
      </c>
      <c r="L1886">
        <v>0</v>
      </c>
      <c r="M1886">
        <f t="shared" si="196"/>
        <v>2.93333333333333</v>
      </c>
      <c r="N1886" t="s">
        <v>6509</v>
      </c>
      <c r="O1886">
        <v>1</v>
      </c>
      <c r="P1886">
        <v>3</v>
      </c>
      <c r="Q1886">
        <v>0</v>
      </c>
      <c r="S1886">
        <v>1.5</v>
      </c>
      <c r="T1886">
        <v>0.5</v>
      </c>
      <c r="U1886">
        <v>1</v>
      </c>
      <c r="V1886">
        <v>1</v>
      </c>
      <c r="W1886">
        <v>0</v>
      </c>
      <c r="X1886" s="7">
        <v>1</v>
      </c>
      <c r="AN1886" s="10"/>
      <c r="AP1886" s="267">
        <v>2528</v>
      </c>
      <c r="AQ1886" t="s">
        <v>136</v>
      </c>
      <c r="AR1886" s="11"/>
      <c r="AY1886" s="38"/>
      <c r="AZ1886" s="38"/>
    </row>
    <row r="1887" ht="16.5" spans="1:52">
      <c r="A1887">
        <v>10477</v>
      </c>
      <c r="B1887" s="334" t="s">
        <v>6507</v>
      </c>
      <c r="C1887" s="334" t="s">
        <v>6510</v>
      </c>
      <c r="D1887">
        <v>1</v>
      </c>
      <c r="E1887">
        <v>0</v>
      </c>
      <c r="G1887">
        <v>1</v>
      </c>
      <c r="H1887" s="5" t="s">
        <v>6511</v>
      </c>
      <c r="I1887">
        <f>72/30</f>
        <v>2.4</v>
      </c>
      <c r="J1887">
        <f>72/30</f>
        <v>2.4</v>
      </c>
      <c r="L1887">
        <v>1</v>
      </c>
      <c r="M1887">
        <f t="shared" si="196"/>
        <v>2</v>
      </c>
      <c r="N1887" t="s">
        <v>6512</v>
      </c>
      <c r="O1887">
        <v>1</v>
      </c>
      <c r="P1887">
        <v>3</v>
      </c>
      <c r="Q1887">
        <v>0</v>
      </c>
      <c r="S1887">
        <v>1.5</v>
      </c>
      <c r="T1887">
        <v>0.5</v>
      </c>
      <c r="U1887">
        <v>1</v>
      </c>
      <c r="V1887">
        <v>1</v>
      </c>
      <c r="W1887">
        <v>0</v>
      </c>
      <c r="X1887" s="7">
        <v>1</v>
      </c>
      <c r="AN1887" s="10"/>
      <c r="AP1887" s="267">
        <v>2529</v>
      </c>
      <c r="AQ1887" t="s">
        <v>136</v>
      </c>
      <c r="AR1887" s="11"/>
      <c r="AY1887" s="18"/>
      <c r="AZ1887" s="18"/>
    </row>
    <row r="1888" ht="16.5" spans="1:52">
      <c r="A1888">
        <v>10478</v>
      </c>
      <c r="B1888" s="334" t="s">
        <v>6507</v>
      </c>
      <c r="C1888" s="334" t="s">
        <v>6513</v>
      </c>
      <c r="D1888">
        <v>1</v>
      </c>
      <c r="E1888">
        <v>0</v>
      </c>
      <c r="G1888">
        <v>1</v>
      </c>
      <c r="H1888" s="5" t="s">
        <v>6514</v>
      </c>
      <c r="I1888">
        <f>105/30</f>
        <v>3.5</v>
      </c>
      <c r="J1888">
        <f>105/30</f>
        <v>3.5</v>
      </c>
      <c r="L1888">
        <v>1</v>
      </c>
      <c r="M1888">
        <f t="shared" si="196"/>
        <v>3.1</v>
      </c>
      <c r="N1888" t="s">
        <v>6515</v>
      </c>
      <c r="O1888">
        <v>1</v>
      </c>
      <c r="P1888">
        <v>3</v>
      </c>
      <c r="Q1888">
        <v>0</v>
      </c>
      <c r="S1888">
        <v>1.5</v>
      </c>
      <c r="T1888">
        <v>0.5</v>
      </c>
      <c r="U1888">
        <v>1</v>
      </c>
      <c r="V1888">
        <v>1</v>
      </c>
      <c r="W1888">
        <v>0</v>
      </c>
      <c r="X1888" s="7">
        <v>1</v>
      </c>
      <c r="AN1888" s="10"/>
      <c r="AP1888" s="267">
        <v>2530</v>
      </c>
      <c r="AQ1888" t="s">
        <v>136</v>
      </c>
      <c r="AR1888" s="11"/>
      <c r="AY1888" s="18"/>
      <c r="AZ1888" s="18"/>
    </row>
    <row r="1889" ht="16.5" spans="1:52">
      <c r="A1889">
        <v>10479</v>
      </c>
      <c r="B1889" s="460" t="s">
        <v>6516</v>
      </c>
      <c r="C1889" s="334" t="s">
        <v>526</v>
      </c>
      <c r="D1889">
        <v>1</v>
      </c>
      <c r="E1889">
        <v>0</v>
      </c>
      <c r="G1889">
        <v>1</v>
      </c>
      <c r="H1889" s="11" t="s">
        <v>6517</v>
      </c>
      <c r="I1889">
        <f>83/30</f>
        <v>2.76666666666667</v>
      </c>
      <c r="J1889">
        <f>83/30</f>
        <v>2.76666666666667</v>
      </c>
      <c r="L1889">
        <v>0</v>
      </c>
      <c r="M1889">
        <f t="shared" si="196"/>
        <v>2.36666666666667</v>
      </c>
      <c r="N1889" t="s">
        <v>6518</v>
      </c>
      <c r="O1889">
        <v>1</v>
      </c>
      <c r="P1889">
        <v>1.4</v>
      </c>
      <c r="Q1889">
        <v>0</v>
      </c>
      <c r="S1889">
        <v>0.7</v>
      </c>
      <c r="T1889">
        <v>0.2</v>
      </c>
      <c r="U1889">
        <v>0.3</v>
      </c>
      <c r="V1889">
        <v>1</v>
      </c>
      <c r="W1889">
        <v>0</v>
      </c>
      <c r="X1889" s="7">
        <v>1</v>
      </c>
      <c r="AN1889" s="10"/>
      <c r="AP1889" s="267">
        <v>2651</v>
      </c>
      <c r="AQ1889" t="s">
        <v>136</v>
      </c>
      <c r="AR1889" s="11"/>
      <c r="AY1889" s="18"/>
      <c r="AZ1889" s="18"/>
    </row>
    <row r="1890" ht="16.5" spans="1:52">
      <c r="A1890">
        <v>10480</v>
      </c>
      <c r="B1890" s="460" t="s">
        <v>6516</v>
      </c>
      <c r="C1890" s="334" t="s">
        <v>6519</v>
      </c>
      <c r="D1890">
        <v>1</v>
      </c>
      <c r="E1890">
        <v>0</v>
      </c>
      <c r="G1890">
        <v>1</v>
      </c>
      <c r="H1890" s="11" t="s">
        <v>6520</v>
      </c>
      <c r="I1890">
        <f>78/30</f>
        <v>2.6</v>
      </c>
      <c r="J1890">
        <f>78/30</f>
        <v>2.6</v>
      </c>
      <c r="L1890">
        <v>1</v>
      </c>
      <c r="M1890">
        <f t="shared" si="196"/>
        <v>2.2</v>
      </c>
      <c r="N1890" t="s">
        <v>6521</v>
      </c>
      <c r="O1890">
        <v>1</v>
      </c>
      <c r="P1890">
        <v>1.4</v>
      </c>
      <c r="Q1890">
        <v>0</v>
      </c>
      <c r="S1890">
        <v>2</v>
      </c>
      <c r="T1890">
        <v>0.2</v>
      </c>
      <c r="U1890">
        <v>0.3</v>
      </c>
      <c r="V1890">
        <v>1</v>
      </c>
      <c r="W1890">
        <v>0</v>
      </c>
      <c r="X1890" s="7">
        <v>1</v>
      </c>
      <c r="AN1890" s="10"/>
      <c r="AP1890" s="267">
        <v>2654</v>
      </c>
      <c r="AQ1890" t="s">
        <v>136</v>
      </c>
      <c r="AR1890" s="11"/>
      <c r="AY1890" s="18"/>
      <c r="AZ1890" s="18"/>
    </row>
    <row r="1891" ht="16.5" spans="1:52">
      <c r="A1891">
        <v>10481</v>
      </c>
      <c r="B1891" s="460" t="s">
        <v>6516</v>
      </c>
      <c r="C1891" s="334" t="s">
        <v>6522</v>
      </c>
      <c r="D1891">
        <v>1</v>
      </c>
      <c r="E1891">
        <v>0</v>
      </c>
      <c r="G1891">
        <v>1</v>
      </c>
      <c r="H1891" s="11" t="s">
        <v>6523</v>
      </c>
      <c r="I1891">
        <f>68/30</f>
        <v>2.26666666666667</v>
      </c>
      <c r="J1891">
        <f>68/30</f>
        <v>2.26666666666667</v>
      </c>
      <c r="L1891">
        <v>1</v>
      </c>
      <c r="M1891">
        <f t="shared" si="196"/>
        <v>1.86666666666667</v>
      </c>
      <c r="N1891" t="s">
        <v>6524</v>
      </c>
      <c r="O1891">
        <v>1</v>
      </c>
      <c r="P1891">
        <v>1.4</v>
      </c>
      <c r="Q1891">
        <v>0</v>
      </c>
      <c r="S1891">
        <v>0.7</v>
      </c>
      <c r="T1891">
        <v>0.2</v>
      </c>
      <c r="U1891">
        <v>0.3</v>
      </c>
      <c r="V1891">
        <v>1</v>
      </c>
      <c r="W1891">
        <v>0</v>
      </c>
      <c r="X1891" s="7">
        <v>1</v>
      </c>
      <c r="AN1891" s="10"/>
      <c r="AP1891" s="267">
        <v>2656</v>
      </c>
      <c r="AQ1891" t="s">
        <v>136</v>
      </c>
      <c r="AR1891" s="11"/>
      <c r="AY1891" s="18"/>
      <c r="AZ1891" s="18"/>
    </row>
    <row r="1892" ht="16.5" spans="1:52">
      <c r="A1892">
        <v>10482</v>
      </c>
      <c r="B1892" s="460" t="s">
        <v>6516</v>
      </c>
      <c r="C1892" s="334" t="s">
        <v>6525</v>
      </c>
      <c r="D1892">
        <v>1</v>
      </c>
      <c r="E1892">
        <v>0</v>
      </c>
      <c r="G1892">
        <v>1</v>
      </c>
      <c r="H1892" s="11" t="s">
        <v>6526</v>
      </c>
      <c r="I1892">
        <f>200/30</f>
        <v>6.66666666666667</v>
      </c>
      <c r="J1892">
        <f>200/30</f>
        <v>6.66666666666667</v>
      </c>
      <c r="L1892">
        <v>1</v>
      </c>
      <c r="M1892">
        <f t="shared" si="196"/>
        <v>6.26666666666667</v>
      </c>
      <c r="N1892" t="s">
        <v>6527</v>
      </c>
      <c r="O1892">
        <v>1</v>
      </c>
      <c r="P1892">
        <v>5</v>
      </c>
      <c r="Q1892">
        <v>0</v>
      </c>
      <c r="V1892">
        <v>1</v>
      </c>
      <c r="W1892">
        <v>0</v>
      </c>
      <c r="X1892" s="7">
        <v>1</v>
      </c>
      <c r="AB1892">
        <f>I1892-0.3</f>
        <v>6.36666666666667</v>
      </c>
      <c r="AC1892">
        <v>2</v>
      </c>
      <c r="AD1892">
        <v>1</v>
      </c>
      <c r="AE1892" t="s">
        <v>6528</v>
      </c>
      <c r="AF1892">
        <v>0.5</v>
      </c>
      <c r="AN1892" s="10"/>
      <c r="AP1892" s="267">
        <v>2657</v>
      </c>
      <c r="AQ1892" t="s">
        <v>136</v>
      </c>
      <c r="AR1892" s="11"/>
      <c r="AY1892" s="18"/>
      <c r="AZ1892" s="18"/>
    </row>
    <row r="1893" ht="16.5" spans="1:52">
      <c r="A1893">
        <v>10483</v>
      </c>
      <c r="B1893" s="460" t="s">
        <v>6529</v>
      </c>
      <c r="C1893" s="334" t="s">
        <v>6530</v>
      </c>
      <c r="D1893">
        <v>1</v>
      </c>
      <c r="E1893">
        <v>0</v>
      </c>
      <c r="G1893">
        <v>2</v>
      </c>
      <c r="H1893" s="82">
        <v>122301</v>
      </c>
      <c r="I1893">
        <f>68/30</f>
        <v>2.26666666666667</v>
      </c>
      <c r="J1893">
        <f>68/30</f>
        <v>2.26666666666667</v>
      </c>
      <c r="L1893">
        <v>1</v>
      </c>
      <c r="M1893">
        <f t="shared" si="196"/>
        <v>1.86666666666667</v>
      </c>
      <c r="N1893" t="s">
        <v>6531</v>
      </c>
      <c r="O1893">
        <v>1</v>
      </c>
      <c r="P1893">
        <v>4.5</v>
      </c>
      <c r="Q1893">
        <v>0</v>
      </c>
      <c r="S1893">
        <v>0</v>
      </c>
      <c r="T1893">
        <v>0</v>
      </c>
      <c r="U1893">
        <v>1</v>
      </c>
      <c r="V1893" s="185">
        <v>5</v>
      </c>
      <c r="W1893">
        <v>0</v>
      </c>
      <c r="X1893" s="7">
        <v>1</v>
      </c>
      <c r="AN1893" s="10"/>
      <c r="AP1893" s="267">
        <v>2697</v>
      </c>
      <c r="AQ1893" t="s">
        <v>136</v>
      </c>
      <c r="AR1893" s="11"/>
      <c r="AY1893" s="18"/>
      <c r="AZ1893" s="18"/>
    </row>
    <row r="1894" ht="16.5" spans="1:52">
      <c r="A1894">
        <v>10484</v>
      </c>
      <c r="B1894" s="460" t="s">
        <v>6529</v>
      </c>
      <c r="C1894" s="334" t="s">
        <v>6532</v>
      </c>
      <c r="D1894">
        <v>2</v>
      </c>
      <c r="E1894">
        <v>1</v>
      </c>
      <c r="G1894">
        <v>1</v>
      </c>
      <c r="H1894" s="82">
        <v>122302</v>
      </c>
      <c r="I1894">
        <f>105/30</f>
        <v>3.5</v>
      </c>
      <c r="J1894">
        <f>105/30</f>
        <v>3.5</v>
      </c>
      <c r="L1894">
        <v>0</v>
      </c>
      <c r="M1894">
        <f t="shared" si="196"/>
        <v>3.1</v>
      </c>
      <c r="N1894" t="s">
        <v>6533</v>
      </c>
      <c r="O1894">
        <v>5</v>
      </c>
      <c r="P1894">
        <v>0</v>
      </c>
      <c r="Q1894">
        <v>0</v>
      </c>
      <c r="S1894">
        <v>0</v>
      </c>
      <c r="T1894">
        <v>0</v>
      </c>
      <c r="U1894">
        <v>1</v>
      </c>
      <c r="V1894">
        <v>1000</v>
      </c>
      <c r="W1894">
        <v>0</v>
      </c>
      <c r="X1894" s="7">
        <v>0</v>
      </c>
      <c r="AN1894" s="10"/>
      <c r="AP1894" s="267">
        <v>2699</v>
      </c>
      <c r="AQ1894" t="s">
        <v>136</v>
      </c>
      <c r="AR1894" s="11"/>
      <c r="AY1894" s="18"/>
      <c r="AZ1894" s="18"/>
    </row>
    <row r="1895" ht="16.5" spans="1:52">
      <c r="A1895">
        <v>10485</v>
      </c>
      <c r="B1895" s="460" t="s">
        <v>6529</v>
      </c>
      <c r="C1895" s="334" t="s">
        <v>6534</v>
      </c>
      <c r="D1895">
        <v>1</v>
      </c>
      <c r="E1895">
        <v>0</v>
      </c>
      <c r="G1895">
        <v>2</v>
      </c>
      <c r="H1895" s="82">
        <v>122303</v>
      </c>
      <c r="I1895">
        <f>67/30</f>
        <v>2.23333333333333</v>
      </c>
      <c r="J1895">
        <f>67/30</f>
        <v>2.23333333333333</v>
      </c>
      <c r="L1895">
        <v>1</v>
      </c>
      <c r="M1895">
        <f t="shared" si="196"/>
        <v>1.83333333333333</v>
      </c>
      <c r="N1895" t="s">
        <v>6535</v>
      </c>
      <c r="O1895">
        <v>1</v>
      </c>
      <c r="P1895">
        <v>4.5</v>
      </c>
      <c r="Q1895">
        <v>0</v>
      </c>
      <c r="S1895">
        <v>0</v>
      </c>
      <c r="T1895">
        <v>0</v>
      </c>
      <c r="U1895">
        <v>1.2</v>
      </c>
      <c r="V1895" s="185">
        <v>5</v>
      </c>
      <c r="W1895" s="185">
        <v>6</v>
      </c>
      <c r="X1895" s="7">
        <v>3</v>
      </c>
      <c r="AN1895" s="10"/>
      <c r="AP1895" s="267">
        <v>2700</v>
      </c>
      <c r="AQ1895" t="s">
        <v>136</v>
      </c>
      <c r="AR1895" s="11"/>
      <c r="AY1895" s="18"/>
      <c r="AZ1895" s="18"/>
    </row>
    <row r="1896" ht="16.5" spans="1:52">
      <c r="A1896">
        <v>10486</v>
      </c>
      <c r="B1896" s="27" t="s">
        <v>6536</v>
      </c>
      <c r="C1896" s="334" t="s">
        <v>526</v>
      </c>
      <c r="D1896">
        <v>1</v>
      </c>
      <c r="E1896">
        <v>0</v>
      </c>
      <c r="G1896">
        <v>1</v>
      </c>
      <c r="H1896" s="5">
        <v>122001</v>
      </c>
      <c r="I1896">
        <f>87/30</f>
        <v>2.9</v>
      </c>
      <c r="J1896">
        <f>87/30</f>
        <v>2.9</v>
      </c>
      <c r="L1896">
        <v>1</v>
      </c>
      <c r="M1896">
        <f t="shared" si="196"/>
        <v>2.5</v>
      </c>
      <c r="N1896" t="s">
        <v>6537</v>
      </c>
      <c r="O1896">
        <v>1</v>
      </c>
      <c r="P1896">
        <v>3.6</v>
      </c>
      <c r="Q1896">
        <v>0</v>
      </c>
      <c r="S1896">
        <v>1.5</v>
      </c>
      <c r="T1896">
        <v>0.4</v>
      </c>
      <c r="U1896">
        <v>0.8</v>
      </c>
      <c r="V1896">
        <v>1</v>
      </c>
      <c r="W1896">
        <v>0</v>
      </c>
      <c r="X1896" s="7">
        <v>1</v>
      </c>
      <c r="AN1896" s="10"/>
      <c r="AP1896" s="267">
        <v>2701</v>
      </c>
      <c r="AQ1896" t="s">
        <v>136</v>
      </c>
      <c r="AR1896" s="11"/>
      <c r="AY1896" s="18"/>
      <c r="AZ1896" s="18"/>
    </row>
    <row r="1897" ht="16.5" spans="1:52">
      <c r="A1897">
        <v>10487</v>
      </c>
      <c r="B1897" s="460" t="s">
        <v>6538</v>
      </c>
      <c r="C1897" s="334" t="s">
        <v>526</v>
      </c>
      <c r="D1897">
        <v>1</v>
      </c>
      <c r="E1897">
        <v>0</v>
      </c>
      <c r="G1897">
        <v>1</v>
      </c>
      <c r="H1897" s="5" t="s">
        <v>6539</v>
      </c>
      <c r="I1897">
        <f>68/30</f>
        <v>2.26666666666667</v>
      </c>
      <c r="J1897">
        <f>68/30</f>
        <v>2.26666666666667</v>
      </c>
      <c r="L1897">
        <v>1</v>
      </c>
      <c r="M1897">
        <f t="shared" si="196"/>
        <v>1.86666666666667</v>
      </c>
      <c r="N1897" t="s">
        <v>6540</v>
      </c>
      <c r="O1897">
        <v>1</v>
      </c>
      <c r="P1897">
        <v>3.85</v>
      </c>
      <c r="Q1897">
        <v>0</v>
      </c>
      <c r="S1897" s="688">
        <v>-0.5</v>
      </c>
      <c r="T1897">
        <v>0.4</v>
      </c>
      <c r="U1897">
        <v>1.5</v>
      </c>
      <c r="V1897">
        <v>1</v>
      </c>
      <c r="W1897">
        <v>0</v>
      </c>
      <c r="X1897" s="7">
        <v>1</v>
      </c>
      <c r="AN1897" s="10"/>
      <c r="AP1897" s="267">
        <v>2702</v>
      </c>
      <c r="AQ1897" t="s">
        <v>136</v>
      </c>
      <c r="AR1897" s="11"/>
      <c r="AY1897" s="18"/>
      <c r="AZ1897" s="18"/>
    </row>
    <row r="1898" ht="16.5" spans="1:52">
      <c r="A1898">
        <v>10488</v>
      </c>
      <c r="B1898" s="460" t="s">
        <v>6541</v>
      </c>
      <c r="C1898" s="334" t="s">
        <v>526</v>
      </c>
      <c r="D1898">
        <v>1</v>
      </c>
      <c r="E1898">
        <v>0</v>
      </c>
      <c r="G1898">
        <v>1</v>
      </c>
      <c r="H1898" s="5" t="s">
        <v>6542</v>
      </c>
      <c r="I1898">
        <f>70/30</f>
        <v>2.33333333333333</v>
      </c>
      <c r="J1898">
        <f>70/30</f>
        <v>2.33333333333333</v>
      </c>
      <c r="L1898">
        <v>1</v>
      </c>
      <c r="M1898">
        <f t="shared" si="196"/>
        <v>1.93333333333333</v>
      </c>
      <c r="N1898" t="s">
        <v>6537</v>
      </c>
      <c r="O1898">
        <v>1</v>
      </c>
      <c r="P1898">
        <v>3.4</v>
      </c>
      <c r="Q1898">
        <v>0</v>
      </c>
      <c r="S1898" s="688">
        <v>-0.9</v>
      </c>
      <c r="T1898">
        <v>0.4</v>
      </c>
      <c r="U1898">
        <v>1.65</v>
      </c>
      <c r="V1898">
        <v>1</v>
      </c>
      <c r="W1898">
        <v>0</v>
      </c>
      <c r="X1898" s="7">
        <v>1</v>
      </c>
      <c r="AN1898" s="10"/>
      <c r="AP1898" s="267">
        <v>2703</v>
      </c>
      <c r="AQ1898" t="s">
        <v>136</v>
      </c>
      <c r="AR1898" s="11"/>
      <c r="AY1898" s="18"/>
      <c r="AZ1898" s="18"/>
    </row>
    <row r="1899" ht="16.5" spans="1:52">
      <c r="A1899">
        <v>10489</v>
      </c>
      <c r="B1899" s="460" t="s">
        <v>6543</v>
      </c>
      <c r="C1899" s="334" t="s">
        <v>526</v>
      </c>
      <c r="D1899">
        <v>1</v>
      </c>
      <c r="E1899">
        <v>0</v>
      </c>
      <c r="G1899">
        <v>1</v>
      </c>
      <c r="H1899" s="11" t="s">
        <v>6544</v>
      </c>
      <c r="I1899">
        <f>60/30</f>
        <v>2</v>
      </c>
      <c r="J1899">
        <f>60/30</f>
        <v>2</v>
      </c>
      <c r="L1899">
        <v>1</v>
      </c>
      <c r="M1899">
        <f t="shared" si="196"/>
        <v>1.6</v>
      </c>
      <c r="N1899" t="s">
        <v>6545</v>
      </c>
      <c r="O1899">
        <v>1</v>
      </c>
      <c r="P1899">
        <v>1.4</v>
      </c>
      <c r="Q1899">
        <v>0</v>
      </c>
      <c r="S1899">
        <v>0.7</v>
      </c>
      <c r="T1899">
        <v>0.2</v>
      </c>
      <c r="U1899">
        <v>0.3</v>
      </c>
      <c r="V1899">
        <v>1</v>
      </c>
      <c r="W1899">
        <v>0</v>
      </c>
      <c r="X1899" s="7">
        <v>2</v>
      </c>
      <c r="AN1899" s="10"/>
      <c r="AP1899" s="267">
        <v>2705</v>
      </c>
      <c r="AQ1899" t="s">
        <v>136</v>
      </c>
      <c r="AR1899" s="11"/>
      <c r="AY1899" s="18"/>
      <c r="AZ1899" s="18"/>
    </row>
    <row r="1900" ht="16.5" spans="1:52">
      <c r="A1900">
        <v>10490</v>
      </c>
      <c r="B1900" s="460" t="s">
        <v>6546</v>
      </c>
      <c r="C1900" s="334" t="s">
        <v>526</v>
      </c>
      <c r="D1900">
        <v>1</v>
      </c>
      <c r="E1900">
        <v>0</v>
      </c>
      <c r="G1900">
        <v>2</v>
      </c>
      <c r="H1900" s="5" t="s">
        <v>6547</v>
      </c>
      <c r="I1900">
        <f>83/30</f>
        <v>2.76666666666667</v>
      </c>
      <c r="J1900">
        <f>83/30</f>
        <v>2.76666666666667</v>
      </c>
      <c r="L1900">
        <v>1</v>
      </c>
      <c r="M1900">
        <f t="shared" si="196"/>
        <v>2.36666666666667</v>
      </c>
      <c r="N1900" t="s">
        <v>6548</v>
      </c>
      <c r="O1900">
        <v>3</v>
      </c>
      <c r="P1900">
        <v>0</v>
      </c>
      <c r="Q1900">
        <v>0</v>
      </c>
      <c r="S1900">
        <v>0.7</v>
      </c>
      <c r="T1900">
        <v>0.2</v>
      </c>
      <c r="U1900">
        <v>0.3</v>
      </c>
      <c r="V1900" s="185">
        <v>5</v>
      </c>
      <c r="W1900">
        <v>0</v>
      </c>
      <c r="X1900" s="7">
        <v>3</v>
      </c>
      <c r="AN1900" s="10"/>
      <c r="AP1900" s="267">
        <v>2707</v>
      </c>
      <c r="AQ1900" t="s">
        <v>136</v>
      </c>
      <c r="AR1900" s="11"/>
      <c r="AY1900" s="18"/>
      <c r="AZ1900" s="18"/>
    </row>
    <row r="1901" ht="16.5" spans="1:52">
      <c r="A1901">
        <v>10491</v>
      </c>
      <c r="B1901" s="334" t="s">
        <v>6549</v>
      </c>
      <c r="C1901" s="334" t="s">
        <v>526</v>
      </c>
      <c r="D1901">
        <v>1</v>
      </c>
      <c r="E1901">
        <v>0</v>
      </c>
      <c r="G1901">
        <v>1</v>
      </c>
      <c r="H1901" s="5" t="s">
        <v>6440</v>
      </c>
      <c r="I1901">
        <v>2.66666666666667</v>
      </c>
      <c r="J1901">
        <v>2.66666666666667</v>
      </c>
      <c r="L1901">
        <v>0</v>
      </c>
      <c r="M1901">
        <f t="shared" si="196"/>
        <v>2.26666666666667</v>
      </c>
      <c r="N1901" t="s">
        <v>6441</v>
      </c>
      <c r="O1901">
        <v>3</v>
      </c>
      <c r="P1901">
        <v>0</v>
      </c>
      <c r="Q1901">
        <v>0</v>
      </c>
      <c r="S1901">
        <v>0.5</v>
      </c>
      <c r="T1901">
        <v>0</v>
      </c>
      <c r="U1901">
        <v>0.5</v>
      </c>
      <c r="V1901">
        <v>1</v>
      </c>
      <c r="W1901">
        <v>6</v>
      </c>
      <c r="X1901" s="7">
        <v>2</v>
      </c>
      <c r="AN1901" s="10"/>
      <c r="AP1901" s="267">
        <v>2258</v>
      </c>
      <c r="AQ1901" t="s">
        <v>136</v>
      </c>
      <c r="AR1901" s="11"/>
      <c r="AY1901" s="18"/>
      <c r="AZ1901" s="18"/>
    </row>
    <row r="1902" ht="16.5" spans="1:52">
      <c r="A1902" s="363">
        <v>10492</v>
      </c>
      <c r="B1902" s="334" t="s">
        <v>6550</v>
      </c>
      <c r="C1902" s="334" t="s">
        <v>2710</v>
      </c>
      <c r="D1902">
        <v>1</v>
      </c>
      <c r="E1902">
        <v>0</v>
      </c>
      <c r="G1902">
        <v>1</v>
      </c>
      <c r="H1902" s="5" t="s">
        <v>2711</v>
      </c>
      <c r="I1902">
        <f>108/30</f>
        <v>3.6</v>
      </c>
      <c r="J1902">
        <f>108/30</f>
        <v>3.6</v>
      </c>
      <c r="L1902">
        <v>1</v>
      </c>
      <c r="M1902">
        <f t="shared" si="196"/>
        <v>3.2</v>
      </c>
      <c r="N1902" t="s">
        <v>2506</v>
      </c>
      <c r="O1902">
        <v>3</v>
      </c>
      <c r="P1902">
        <v>0</v>
      </c>
      <c r="Q1902">
        <v>0</v>
      </c>
      <c r="S1902">
        <v>1.3</v>
      </c>
      <c r="T1902">
        <v>0.6</v>
      </c>
      <c r="U1902">
        <v>0.5</v>
      </c>
      <c r="V1902">
        <v>2</v>
      </c>
      <c r="W1902">
        <v>0</v>
      </c>
      <c r="X1902" s="7">
        <v>1</v>
      </c>
      <c r="Y1902">
        <v>-0.1</v>
      </c>
      <c r="Z1902">
        <v>0</v>
      </c>
      <c r="AN1902" s="10" t="s">
        <v>2507</v>
      </c>
      <c r="AO1902" t="s">
        <v>2157</v>
      </c>
      <c r="AP1902" s="267">
        <v>2429</v>
      </c>
      <c r="AQ1902" t="s">
        <v>136</v>
      </c>
      <c r="AR1902" s="11"/>
      <c r="AY1902" s="18"/>
      <c r="AZ1902" s="18"/>
    </row>
    <row r="1903" ht="16.5" spans="1:52">
      <c r="A1903" s="363">
        <v>10493</v>
      </c>
      <c r="B1903" s="460" t="s">
        <v>6551</v>
      </c>
      <c r="C1903" s="334" t="s">
        <v>526</v>
      </c>
      <c r="D1903">
        <v>1</v>
      </c>
      <c r="E1903">
        <v>0</v>
      </c>
      <c r="G1903">
        <v>1</v>
      </c>
      <c r="H1903" s="5" t="s">
        <v>6552</v>
      </c>
      <c r="I1903">
        <f>89/30</f>
        <v>2.96666666666667</v>
      </c>
      <c r="J1903">
        <f>89/30</f>
        <v>2.96666666666667</v>
      </c>
      <c r="L1903">
        <v>1</v>
      </c>
      <c r="M1903">
        <f t="shared" si="196"/>
        <v>2.56666666666667</v>
      </c>
      <c r="N1903" t="s">
        <v>6553</v>
      </c>
      <c r="O1903">
        <v>1</v>
      </c>
      <c r="P1903">
        <v>1.6</v>
      </c>
      <c r="Q1903">
        <v>0</v>
      </c>
      <c r="S1903">
        <v>0.7</v>
      </c>
      <c r="T1903">
        <v>0.2</v>
      </c>
      <c r="U1903">
        <v>0.3</v>
      </c>
      <c r="V1903">
        <v>1</v>
      </c>
      <c r="W1903">
        <v>0</v>
      </c>
      <c r="X1903" s="7">
        <v>1</v>
      </c>
      <c r="AN1903" s="10"/>
      <c r="AP1903" s="267">
        <v>2709</v>
      </c>
      <c r="AQ1903" t="s">
        <v>136</v>
      </c>
      <c r="AR1903" s="11"/>
      <c r="AY1903" s="18"/>
      <c r="AZ1903" s="18"/>
    </row>
    <row r="1904" ht="16.5" spans="1:52">
      <c r="A1904" s="363">
        <v>10494</v>
      </c>
      <c r="B1904" s="460" t="s">
        <v>6554</v>
      </c>
      <c r="C1904" s="334" t="s">
        <v>526</v>
      </c>
      <c r="D1904">
        <v>1</v>
      </c>
      <c r="E1904">
        <v>0</v>
      </c>
      <c r="G1904">
        <v>1</v>
      </c>
      <c r="H1904" s="5" t="s">
        <v>6555</v>
      </c>
      <c r="I1904">
        <f>60/30</f>
        <v>2</v>
      </c>
      <c r="J1904">
        <f>60/30</f>
        <v>2</v>
      </c>
      <c r="L1904">
        <v>1</v>
      </c>
      <c r="M1904">
        <f t="shared" si="196"/>
        <v>1.6</v>
      </c>
      <c r="N1904" t="s">
        <v>6556</v>
      </c>
      <c r="O1904">
        <v>1</v>
      </c>
      <c r="P1904">
        <v>1.6</v>
      </c>
      <c r="Q1904">
        <v>0</v>
      </c>
      <c r="S1904">
        <v>0.7</v>
      </c>
      <c r="T1904">
        <v>0.2</v>
      </c>
      <c r="U1904">
        <v>0.3</v>
      </c>
      <c r="V1904">
        <v>1</v>
      </c>
      <c r="W1904">
        <v>0</v>
      </c>
      <c r="X1904" s="7">
        <v>1</v>
      </c>
      <c r="Y1904">
        <v>-0.1</v>
      </c>
      <c r="Z1904">
        <v>0</v>
      </c>
      <c r="AN1904" s="10"/>
      <c r="AP1904" s="267">
        <v>2711</v>
      </c>
      <c r="AQ1904" t="s">
        <v>136</v>
      </c>
      <c r="AR1904" s="11"/>
      <c r="AY1904" s="71"/>
      <c r="AZ1904" s="71"/>
    </row>
    <row r="1905" ht="16.5" spans="1:52">
      <c r="A1905" s="363">
        <v>10495</v>
      </c>
      <c r="B1905" s="460" t="s">
        <v>6557</v>
      </c>
      <c r="C1905" s="334" t="s">
        <v>526</v>
      </c>
      <c r="D1905">
        <v>1</v>
      </c>
      <c r="E1905">
        <v>0</v>
      </c>
      <c r="G1905">
        <v>1</v>
      </c>
      <c r="H1905" s="5" t="s">
        <v>6558</v>
      </c>
      <c r="I1905">
        <f>65/30</f>
        <v>2.16666666666667</v>
      </c>
      <c r="J1905">
        <f>65/30</f>
        <v>2.16666666666667</v>
      </c>
      <c r="L1905">
        <v>1</v>
      </c>
      <c r="M1905">
        <f t="shared" si="196"/>
        <v>1.76666666666667</v>
      </c>
      <c r="N1905" t="s">
        <v>6559</v>
      </c>
      <c r="O1905">
        <v>1</v>
      </c>
      <c r="P1905">
        <v>2.2</v>
      </c>
      <c r="Q1905">
        <v>0</v>
      </c>
      <c r="S1905">
        <v>0.7</v>
      </c>
      <c r="T1905">
        <v>0.2</v>
      </c>
      <c r="U1905">
        <v>0.3</v>
      </c>
      <c r="V1905">
        <v>1</v>
      </c>
      <c r="W1905">
        <v>0</v>
      </c>
      <c r="X1905" s="7">
        <v>1</v>
      </c>
      <c r="AN1905" s="10"/>
      <c r="AP1905" s="267">
        <v>2713</v>
      </c>
      <c r="AQ1905" t="s">
        <v>136</v>
      </c>
      <c r="AR1905" s="11"/>
      <c r="AY1905" s="71"/>
      <c r="AZ1905" s="71"/>
    </row>
    <row r="1906" ht="16.5" spans="1:52">
      <c r="A1906" s="363">
        <v>10496</v>
      </c>
      <c r="B1906" s="460" t="s">
        <v>6560</v>
      </c>
      <c r="C1906" s="334" t="s">
        <v>526</v>
      </c>
      <c r="D1906">
        <v>1</v>
      </c>
      <c r="E1906">
        <v>0</v>
      </c>
      <c r="G1906">
        <v>1</v>
      </c>
      <c r="H1906" s="5" t="s">
        <v>6561</v>
      </c>
      <c r="I1906">
        <f>130/30</f>
        <v>4.33333333333333</v>
      </c>
      <c r="J1906">
        <f>130/30</f>
        <v>4.33333333333333</v>
      </c>
      <c r="L1906">
        <v>1</v>
      </c>
      <c r="M1906">
        <f t="shared" si="196"/>
        <v>3.93333333333333</v>
      </c>
      <c r="N1906" t="s">
        <v>6562</v>
      </c>
      <c r="O1906">
        <v>1</v>
      </c>
      <c r="P1906">
        <v>3</v>
      </c>
      <c r="Q1906">
        <v>0</v>
      </c>
      <c r="S1906">
        <v>1.5</v>
      </c>
      <c r="T1906">
        <v>0.4</v>
      </c>
      <c r="U1906">
        <v>0.8</v>
      </c>
      <c r="V1906">
        <v>1</v>
      </c>
      <c r="W1906">
        <v>0</v>
      </c>
      <c r="X1906" s="7">
        <v>5</v>
      </c>
      <c r="AN1906" s="10"/>
      <c r="AP1906" s="267">
        <v>2687</v>
      </c>
      <c r="AQ1906" t="s">
        <v>136</v>
      </c>
      <c r="AR1906" s="11"/>
      <c r="AY1906" s="71"/>
      <c r="AZ1906" s="71"/>
    </row>
    <row r="1907" ht="16.5" spans="1:52">
      <c r="A1907" s="363">
        <v>10497</v>
      </c>
      <c r="B1907" s="460" t="s">
        <v>6560</v>
      </c>
      <c r="C1907" s="334" t="s">
        <v>6563</v>
      </c>
      <c r="D1907">
        <v>1</v>
      </c>
      <c r="E1907">
        <v>0</v>
      </c>
      <c r="G1907">
        <v>1</v>
      </c>
      <c r="H1907" s="5" t="s">
        <v>6564</v>
      </c>
      <c r="I1907">
        <f>130/30</f>
        <v>4.33333333333333</v>
      </c>
      <c r="J1907">
        <f>130/30</f>
        <v>4.33333333333333</v>
      </c>
      <c r="L1907">
        <v>1</v>
      </c>
      <c r="M1907">
        <f t="shared" si="196"/>
        <v>3.93333333333333</v>
      </c>
      <c r="N1907" t="s">
        <v>6565</v>
      </c>
      <c r="O1907">
        <v>1</v>
      </c>
      <c r="P1907">
        <v>3</v>
      </c>
      <c r="Q1907">
        <v>0</v>
      </c>
      <c r="S1907">
        <v>1.4</v>
      </c>
      <c r="T1907">
        <v>0.4</v>
      </c>
      <c r="U1907">
        <v>2.5</v>
      </c>
      <c r="V1907">
        <v>1</v>
      </c>
      <c r="W1907">
        <v>6</v>
      </c>
      <c r="X1907" s="7">
        <v>4</v>
      </c>
      <c r="AN1907" s="10"/>
      <c r="AP1907" s="267">
        <v>2688</v>
      </c>
      <c r="AQ1907" t="s">
        <v>136</v>
      </c>
      <c r="AR1907" s="11"/>
      <c r="AY1907" s="71"/>
      <c r="AZ1907" s="71"/>
    </row>
    <row r="1908" ht="16.5" spans="1:52">
      <c r="A1908" s="363">
        <v>10498</v>
      </c>
      <c r="B1908" s="460" t="s">
        <v>6560</v>
      </c>
      <c r="C1908" s="334" t="s">
        <v>6566</v>
      </c>
      <c r="D1908">
        <v>1</v>
      </c>
      <c r="E1908">
        <v>0</v>
      </c>
      <c r="G1908">
        <v>1</v>
      </c>
      <c r="H1908" s="5" t="s">
        <v>6567</v>
      </c>
      <c r="I1908">
        <f>85/30</f>
        <v>2.83333333333333</v>
      </c>
      <c r="J1908">
        <f>85/30</f>
        <v>2.83333333333333</v>
      </c>
      <c r="L1908">
        <v>1</v>
      </c>
      <c r="M1908">
        <f t="shared" si="196"/>
        <v>2.43333333333333</v>
      </c>
      <c r="N1908" t="s">
        <v>6568</v>
      </c>
      <c r="O1908">
        <v>1</v>
      </c>
      <c r="P1908">
        <v>3</v>
      </c>
      <c r="Q1908">
        <v>0</v>
      </c>
      <c r="S1908">
        <v>1.5</v>
      </c>
      <c r="T1908">
        <v>0.4</v>
      </c>
      <c r="U1908">
        <v>2.5</v>
      </c>
      <c r="V1908">
        <v>1</v>
      </c>
      <c r="W1908">
        <v>4</v>
      </c>
      <c r="X1908" s="7">
        <v>1</v>
      </c>
      <c r="AN1908" s="10"/>
      <c r="AP1908" s="267">
        <v>2689</v>
      </c>
      <c r="AQ1908" t="s">
        <v>136</v>
      </c>
      <c r="AR1908" s="11"/>
      <c r="AY1908" s="71"/>
      <c r="AZ1908" s="71"/>
    </row>
    <row r="1909" ht="16.5" spans="1:52">
      <c r="A1909" s="363">
        <v>10499</v>
      </c>
      <c r="B1909" s="460" t="s">
        <v>6560</v>
      </c>
      <c r="C1909" s="334" t="s">
        <v>6569</v>
      </c>
      <c r="D1909">
        <v>2</v>
      </c>
      <c r="E1909">
        <v>0</v>
      </c>
      <c r="G1909">
        <v>1</v>
      </c>
      <c r="H1909" s="5" t="s">
        <v>6570</v>
      </c>
      <c r="I1909">
        <f>154/30</f>
        <v>5.13333333333333</v>
      </c>
      <c r="J1909">
        <f>154/30</f>
        <v>5.13333333333333</v>
      </c>
      <c r="L1909">
        <v>0</v>
      </c>
      <c r="M1909">
        <f t="shared" si="196"/>
        <v>4.73333333333333</v>
      </c>
      <c r="N1909" t="s">
        <v>6571</v>
      </c>
      <c r="O1909">
        <v>1</v>
      </c>
      <c r="P1909">
        <v>13</v>
      </c>
      <c r="Q1909">
        <v>0</v>
      </c>
      <c r="V1909">
        <v>1000</v>
      </c>
      <c r="W1909">
        <v>0</v>
      </c>
      <c r="X1909" s="7">
        <v>0</v>
      </c>
      <c r="AB1909">
        <f>I1909-0.3</f>
        <v>4.83333333333333</v>
      </c>
      <c r="AC1909">
        <v>2</v>
      </c>
      <c r="AD1909">
        <v>1</v>
      </c>
      <c r="AE1909" t="s">
        <v>6572</v>
      </c>
      <c r="AF1909">
        <v>0.5</v>
      </c>
      <c r="AN1909" s="10"/>
      <c r="AP1909" s="267">
        <v>2691</v>
      </c>
      <c r="AQ1909" t="s">
        <v>136</v>
      </c>
      <c r="AR1909" s="11"/>
      <c r="AY1909" s="71"/>
      <c r="AZ1909" s="71"/>
    </row>
    <row r="1910" ht="16.5" spans="1:52">
      <c r="A1910" s="363">
        <v>10500</v>
      </c>
      <c r="B1910" s="460" t="s">
        <v>6560</v>
      </c>
      <c r="C1910" s="334" t="s">
        <v>6573</v>
      </c>
      <c r="D1910">
        <v>1</v>
      </c>
      <c r="E1910">
        <v>0</v>
      </c>
      <c r="G1910">
        <v>1</v>
      </c>
      <c r="H1910" s="5" t="s">
        <v>6574</v>
      </c>
      <c r="I1910">
        <f>160/30</f>
        <v>5.33333333333333</v>
      </c>
      <c r="J1910">
        <f>160/30</f>
        <v>5.33333333333333</v>
      </c>
      <c r="L1910">
        <v>1</v>
      </c>
      <c r="M1910">
        <f t="shared" si="196"/>
        <v>4.93333333333333</v>
      </c>
      <c r="N1910" t="s">
        <v>6575</v>
      </c>
      <c r="O1910">
        <v>1</v>
      </c>
      <c r="P1910">
        <v>13</v>
      </c>
      <c r="Q1910">
        <v>0</v>
      </c>
      <c r="V1910">
        <v>1</v>
      </c>
      <c r="W1910">
        <v>6</v>
      </c>
      <c r="X1910" s="7">
        <v>1</v>
      </c>
      <c r="AB1910">
        <f>I1910-0.3</f>
        <v>5.03333333333333</v>
      </c>
      <c r="AC1910">
        <v>2</v>
      </c>
      <c r="AD1910">
        <v>1</v>
      </c>
      <c r="AE1910" t="s">
        <v>6576</v>
      </c>
      <c r="AF1910">
        <v>0.5</v>
      </c>
      <c r="AN1910" s="10"/>
      <c r="AP1910" s="267">
        <v>2692</v>
      </c>
      <c r="AQ1910" t="s">
        <v>136</v>
      </c>
      <c r="AR1910" s="11"/>
      <c r="AY1910" s="71"/>
      <c r="AZ1910" s="71"/>
    </row>
    <row r="1911" ht="16.5" spans="1:44">
      <c r="A1911" s="363">
        <v>10501</v>
      </c>
      <c r="B1911" s="460" t="s">
        <v>6577</v>
      </c>
      <c r="C1911" s="334" t="s">
        <v>526</v>
      </c>
      <c r="D1911">
        <v>1</v>
      </c>
      <c r="E1911">
        <v>0</v>
      </c>
      <c r="G1911">
        <v>1</v>
      </c>
      <c r="H1911" s="5" t="s">
        <v>6578</v>
      </c>
      <c r="I1911">
        <f>65/30</f>
        <v>2.16666666666667</v>
      </c>
      <c r="J1911">
        <f>65/30</f>
        <v>2.16666666666667</v>
      </c>
      <c r="L1911">
        <v>1</v>
      </c>
      <c r="M1911">
        <f t="shared" si="196"/>
        <v>1.76666666666667</v>
      </c>
      <c r="N1911" t="s">
        <v>6579</v>
      </c>
      <c r="O1911">
        <v>1</v>
      </c>
      <c r="P1911">
        <v>1.9</v>
      </c>
      <c r="Q1911">
        <v>0</v>
      </c>
      <c r="S1911">
        <v>0.7</v>
      </c>
      <c r="T1911">
        <v>0.2</v>
      </c>
      <c r="U1911">
        <v>0.3</v>
      </c>
      <c r="V1911">
        <v>1</v>
      </c>
      <c r="W1911">
        <v>0</v>
      </c>
      <c r="X1911" s="7">
        <v>2</v>
      </c>
      <c r="AN1911" s="10"/>
      <c r="AP1911" s="267">
        <v>2718</v>
      </c>
      <c r="AQ1911" t="s">
        <v>136</v>
      </c>
      <c r="AR1911" s="11"/>
    </row>
    <row r="1912" ht="16.5" spans="1:52">
      <c r="A1912" s="363">
        <v>10502</v>
      </c>
      <c r="B1912" s="460" t="s">
        <v>6577</v>
      </c>
      <c r="C1912" s="334" t="s">
        <v>6580</v>
      </c>
      <c r="D1912">
        <v>1</v>
      </c>
      <c r="E1912">
        <v>0</v>
      </c>
      <c r="G1912">
        <v>1</v>
      </c>
      <c r="H1912" s="5" t="s">
        <v>6581</v>
      </c>
      <c r="I1912">
        <f>80/30</f>
        <v>2.66666666666667</v>
      </c>
      <c r="J1912">
        <f>80/30</f>
        <v>2.66666666666667</v>
      </c>
      <c r="L1912">
        <v>1</v>
      </c>
      <c r="M1912">
        <f t="shared" si="196"/>
        <v>2.26666666666667</v>
      </c>
      <c r="N1912" t="s">
        <v>6582</v>
      </c>
      <c r="O1912">
        <v>1</v>
      </c>
      <c r="P1912">
        <v>1.9</v>
      </c>
      <c r="Q1912">
        <v>0</v>
      </c>
      <c r="S1912">
        <v>0.7</v>
      </c>
      <c r="T1912">
        <v>0.2</v>
      </c>
      <c r="U1912">
        <v>0.3</v>
      </c>
      <c r="V1912">
        <v>1</v>
      </c>
      <c r="W1912">
        <v>0</v>
      </c>
      <c r="X1912" s="7">
        <v>1</v>
      </c>
      <c r="AN1912" s="10"/>
      <c r="AP1912" s="267">
        <v>2720</v>
      </c>
      <c r="AQ1912" t="s">
        <v>136</v>
      </c>
      <c r="AR1912" s="11"/>
      <c r="AY1912" s="71"/>
      <c r="AZ1912" s="71"/>
    </row>
    <row r="1913" ht="16.5" spans="1:44">
      <c r="A1913" s="363">
        <v>10503</v>
      </c>
      <c r="B1913" s="460" t="s">
        <v>6577</v>
      </c>
      <c r="C1913" s="334" t="s">
        <v>1960</v>
      </c>
      <c r="D1913">
        <v>1</v>
      </c>
      <c r="E1913">
        <v>0</v>
      </c>
      <c r="G1913">
        <v>1</v>
      </c>
      <c r="H1913" s="5" t="s">
        <v>6583</v>
      </c>
      <c r="I1913">
        <f>70/30</f>
        <v>2.33333333333333</v>
      </c>
      <c r="J1913">
        <f>70/30</f>
        <v>2.33333333333333</v>
      </c>
      <c r="L1913">
        <v>1</v>
      </c>
      <c r="M1913">
        <f t="shared" si="196"/>
        <v>1.93333333333333</v>
      </c>
      <c r="N1913" t="s">
        <v>6584</v>
      </c>
      <c r="O1913">
        <v>1</v>
      </c>
      <c r="P1913">
        <v>1.9</v>
      </c>
      <c r="Q1913">
        <v>0</v>
      </c>
      <c r="S1913">
        <v>0.7</v>
      </c>
      <c r="T1913">
        <v>0.2</v>
      </c>
      <c r="U1913">
        <v>0.3</v>
      </c>
      <c r="V1913">
        <v>1</v>
      </c>
      <c r="W1913">
        <v>0</v>
      </c>
      <c r="X1913" s="7">
        <v>2</v>
      </c>
      <c r="AN1913" s="10"/>
      <c r="AP1913" s="267">
        <v>2721</v>
      </c>
      <c r="AQ1913" t="s">
        <v>136</v>
      </c>
      <c r="AR1913" s="11"/>
    </row>
    <row r="1914" ht="16.5" spans="1:44">
      <c r="A1914" s="363">
        <v>10504</v>
      </c>
      <c r="B1914" s="460" t="s">
        <v>6577</v>
      </c>
      <c r="C1914" s="334" t="s">
        <v>6585</v>
      </c>
      <c r="D1914">
        <v>2</v>
      </c>
      <c r="E1914">
        <v>1</v>
      </c>
      <c r="G1914">
        <v>1</v>
      </c>
      <c r="H1914" s="5" t="s">
        <v>6586</v>
      </c>
      <c r="I1914">
        <f>41/30</f>
        <v>1.36666666666667</v>
      </c>
      <c r="J1914">
        <f>41/30</f>
        <v>1.36666666666667</v>
      </c>
      <c r="L1914">
        <v>1</v>
      </c>
      <c r="M1914">
        <v>0.96666666666667</v>
      </c>
      <c r="N1914" t="s">
        <v>6587</v>
      </c>
      <c r="O1914">
        <v>5</v>
      </c>
      <c r="P1914">
        <v>0</v>
      </c>
      <c r="Q1914">
        <v>0</v>
      </c>
      <c r="S1914">
        <v>0.7</v>
      </c>
      <c r="T1914">
        <v>0.2</v>
      </c>
      <c r="U1914">
        <v>0.3</v>
      </c>
      <c r="V1914">
        <v>1000</v>
      </c>
      <c r="W1914">
        <v>0</v>
      </c>
      <c r="X1914" s="7">
        <v>0</v>
      </c>
      <c r="AN1914" s="10"/>
      <c r="AP1914" s="267">
        <v>2722</v>
      </c>
      <c r="AQ1914" t="s">
        <v>136</v>
      </c>
      <c r="AR1914" s="11"/>
    </row>
    <row r="1915" ht="16.5" spans="1:44">
      <c r="A1915" s="363">
        <v>10505</v>
      </c>
      <c r="B1915" s="460" t="s">
        <v>6577</v>
      </c>
      <c r="C1915" s="334" t="s">
        <v>6588</v>
      </c>
      <c r="D1915">
        <v>1</v>
      </c>
      <c r="E1915">
        <v>0</v>
      </c>
      <c r="G1915">
        <v>1</v>
      </c>
      <c r="H1915" s="5" t="s">
        <v>6589</v>
      </c>
      <c r="I1915">
        <f>220/30</f>
        <v>7.33333333333333</v>
      </c>
      <c r="J1915">
        <f>220/30</f>
        <v>7.33333333333333</v>
      </c>
      <c r="L1915">
        <v>1</v>
      </c>
      <c r="M1915">
        <f t="shared" si="196"/>
        <v>6.93333333333333</v>
      </c>
      <c r="N1915" t="s">
        <v>6590</v>
      </c>
      <c r="O1915">
        <v>1</v>
      </c>
      <c r="P1915">
        <v>7</v>
      </c>
      <c r="Q1915">
        <v>0</v>
      </c>
      <c r="V1915">
        <v>1</v>
      </c>
      <c r="W1915">
        <v>0</v>
      </c>
      <c r="X1915" s="7">
        <v>2</v>
      </c>
      <c r="AB1915">
        <v>7.033</v>
      </c>
      <c r="AC1915">
        <v>2</v>
      </c>
      <c r="AD1915" s="28">
        <v>1</v>
      </c>
      <c r="AE1915" s="28" t="s">
        <v>6591</v>
      </c>
      <c r="AF1915">
        <v>0.5</v>
      </c>
      <c r="AN1915" s="10"/>
      <c r="AP1915" s="267">
        <v>2723</v>
      </c>
      <c r="AQ1915" t="s">
        <v>136</v>
      </c>
      <c r="AR1915" s="11"/>
    </row>
    <row r="1916" ht="16.5" spans="1:44">
      <c r="A1916" s="363">
        <v>10506</v>
      </c>
      <c r="B1916" s="460" t="s">
        <v>6592</v>
      </c>
      <c r="C1916" s="334" t="s">
        <v>526</v>
      </c>
      <c r="D1916">
        <v>1</v>
      </c>
      <c r="E1916">
        <v>0</v>
      </c>
      <c r="G1916">
        <v>1</v>
      </c>
      <c r="H1916" s="5" t="s">
        <v>6593</v>
      </c>
      <c r="I1916">
        <f>44/30</f>
        <v>1.46666666666667</v>
      </c>
      <c r="J1916">
        <f>44/30</f>
        <v>1.46666666666667</v>
      </c>
      <c r="L1916">
        <v>1</v>
      </c>
      <c r="M1916">
        <f t="shared" si="196"/>
        <v>1.06666666666667</v>
      </c>
      <c r="N1916" t="s">
        <v>6594</v>
      </c>
      <c r="O1916">
        <v>1</v>
      </c>
      <c r="P1916">
        <v>2.3</v>
      </c>
      <c r="Q1916">
        <v>0</v>
      </c>
      <c r="S1916">
        <v>0.7</v>
      </c>
      <c r="T1916">
        <v>0.2</v>
      </c>
      <c r="U1916">
        <v>0.6</v>
      </c>
      <c r="V1916">
        <v>1</v>
      </c>
      <c r="W1916">
        <v>0</v>
      </c>
      <c r="X1916" s="7">
        <v>1</v>
      </c>
      <c r="AN1916" s="10"/>
      <c r="AP1916" s="267">
        <v>2693</v>
      </c>
      <c r="AQ1916" t="s">
        <v>136</v>
      </c>
      <c r="AR1916" s="11"/>
    </row>
    <row r="1917" ht="16.5" spans="1:44">
      <c r="A1917" s="363">
        <v>10507</v>
      </c>
      <c r="B1917" s="460" t="s">
        <v>6592</v>
      </c>
      <c r="C1917" s="334" t="s">
        <v>6595</v>
      </c>
      <c r="D1917">
        <v>1</v>
      </c>
      <c r="E1917">
        <v>0</v>
      </c>
      <c r="G1917">
        <v>1</v>
      </c>
      <c r="H1917" s="5" t="s">
        <v>6596</v>
      </c>
      <c r="I1917">
        <f>86/30</f>
        <v>2.86666666666667</v>
      </c>
      <c r="J1917">
        <f>86/30</f>
        <v>2.86666666666667</v>
      </c>
      <c r="L1917">
        <v>1</v>
      </c>
      <c r="M1917">
        <f t="shared" si="196"/>
        <v>2.46666666666667</v>
      </c>
      <c r="N1917" t="s">
        <v>6597</v>
      </c>
      <c r="O1917">
        <v>1</v>
      </c>
      <c r="P1917">
        <v>2.3</v>
      </c>
      <c r="Q1917">
        <v>0</v>
      </c>
      <c r="S1917">
        <v>0.7</v>
      </c>
      <c r="T1917">
        <v>0.2</v>
      </c>
      <c r="U1917">
        <v>0.6</v>
      </c>
      <c r="V1917">
        <v>1</v>
      </c>
      <c r="W1917">
        <v>0</v>
      </c>
      <c r="X1917" s="7">
        <v>3</v>
      </c>
      <c r="AN1917" s="10"/>
      <c r="AP1917" s="267">
        <v>2695</v>
      </c>
      <c r="AQ1917" t="s">
        <v>136</v>
      </c>
      <c r="AR1917" s="11"/>
    </row>
    <row r="1918" ht="16.5" spans="1:44">
      <c r="A1918" s="363">
        <v>10508</v>
      </c>
      <c r="B1918" s="460" t="s">
        <v>6592</v>
      </c>
      <c r="C1918" s="334" t="s">
        <v>6598</v>
      </c>
      <c r="D1918">
        <v>1</v>
      </c>
      <c r="E1918">
        <v>0</v>
      </c>
      <c r="G1918">
        <v>1</v>
      </c>
      <c r="H1918" s="5" t="s">
        <v>6599</v>
      </c>
      <c r="I1918">
        <f>76/30</f>
        <v>2.53333333333333</v>
      </c>
      <c r="J1918">
        <f>76/30</f>
        <v>2.53333333333333</v>
      </c>
      <c r="L1918">
        <v>1</v>
      </c>
      <c r="M1918">
        <f t="shared" si="196"/>
        <v>2.13333333333333</v>
      </c>
      <c r="N1918" t="s">
        <v>6600</v>
      </c>
      <c r="O1918">
        <v>1</v>
      </c>
      <c r="P1918">
        <v>2.3</v>
      </c>
      <c r="Q1918">
        <v>0</v>
      </c>
      <c r="S1918">
        <v>1</v>
      </c>
      <c r="T1918">
        <v>1.2</v>
      </c>
      <c r="U1918">
        <v>0.6</v>
      </c>
      <c r="V1918">
        <v>1</v>
      </c>
      <c r="W1918">
        <v>4</v>
      </c>
      <c r="X1918" s="7">
        <v>1</v>
      </c>
      <c r="AN1918" s="10"/>
      <c r="AP1918" s="267">
        <v>2696</v>
      </c>
      <c r="AQ1918" t="s">
        <v>136</v>
      </c>
      <c r="AR1918" s="11"/>
    </row>
    <row r="1919" ht="16.5" spans="1:44">
      <c r="A1919" s="363">
        <v>10509</v>
      </c>
      <c r="B1919" s="460" t="s">
        <v>6601</v>
      </c>
      <c r="C1919" s="334" t="s">
        <v>526</v>
      </c>
      <c r="D1919">
        <v>1</v>
      </c>
      <c r="E1919">
        <v>0</v>
      </c>
      <c r="G1919">
        <v>1</v>
      </c>
      <c r="H1919" s="11" t="s">
        <v>6602</v>
      </c>
      <c r="I1919">
        <f>53/30</f>
        <v>1.76666666666667</v>
      </c>
      <c r="J1919">
        <f>53/30</f>
        <v>1.76666666666667</v>
      </c>
      <c r="L1919">
        <v>1</v>
      </c>
      <c r="M1919">
        <f t="shared" si="196"/>
        <v>1.36666666666667</v>
      </c>
      <c r="N1919" t="s">
        <v>6603</v>
      </c>
      <c r="O1919">
        <v>1</v>
      </c>
      <c r="P1919">
        <v>2.7</v>
      </c>
      <c r="Q1919">
        <v>0</v>
      </c>
      <c r="S1919">
        <v>0.7</v>
      </c>
      <c r="T1919">
        <v>0.2</v>
      </c>
      <c r="U1919">
        <v>0.8</v>
      </c>
      <c r="V1919">
        <v>1</v>
      </c>
      <c r="W1919">
        <v>0</v>
      </c>
      <c r="X1919" s="7">
        <v>1</v>
      </c>
      <c r="AN1919" s="10"/>
      <c r="AP1919" s="267">
        <v>2715</v>
      </c>
      <c r="AQ1919" t="s">
        <v>136</v>
      </c>
      <c r="AR1919" s="11"/>
    </row>
    <row r="1920" ht="16.5" spans="1:44">
      <c r="A1920" s="363">
        <v>10510</v>
      </c>
      <c r="B1920" s="460" t="s">
        <v>6601</v>
      </c>
      <c r="C1920" s="334" t="s">
        <v>6604</v>
      </c>
      <c r="D1920">
        <v>1</v>
      </c>
      <c r="E1920">
        <v>0</v>
      </c>
      <c r="G1920">
        <v>1</v>
      </c>
      <c r="H1920" s="11" t="s">
        <v>6605</v>
      </c>
      <c r="I1920">
        <f>79/30</f>
        <v>2.63333333333333</v>
      </c>
      <c r="J1920">
        <f>79/30</f>
        <v>2.63333333333333</v>
      </c>
      <c r="L1920">
        <v>1</v>
      </c>
      <c r="M1920">
        <f t="shared" si="196"/>
        <v>2.23333333333333</v>
      </c>
      <c r="N1920" t="s">
        <v>6606</v>
      </c>
      <c r="O1920">
        <v>1</v>
      </c>
      <c r="P1920">
        <v>2.7</v>
      </c>
      <c r="Q1920">
        <v>0</v>
      </c>
      <c r="S1920">
        <v>0.7</v>
      </c>
      <c r="T1920">
        <v>0.2</v>
      </c>
      <c r="U1920">
        <v>1.2</v>
      </c>
      <c r="V1920">
        <v>1</v>
      </c>
      <c r="W1920">
        <v>6</v>
      </c>
      <c r="X1920" s="7">
        <v>2</v>
      </c>
      <c r="AN1920" s="10"/>
      <c r="AP1920" s="267">
        <v>2716</v>
      </c>
      <c r="AQ1920" t="s">
        <v>136</v>
      </c>
      <c r="AR1920" s="11"/>
    </row>
    <row r="1921" ht="16.5" spans="1:44">
      <c r="A1921" s="363">
        <v>10511</v>
      </c>
      <c r="B1921" s="460" t="s">
        <v>6601</v>
      </c>
      <c r="C1921" s="334" t="s">
        <v>6588</v>
      </c>
      <c r="D1921">
        <v>1</v>
      </c>
      <c r="E1921">
        <v>0</v>
      </c>
      <c r="G1921">
        <v>1</v>
      </c>
      <c r="H1921" s="11" t="s">
        <v>6607</v>
      </c>
      <c r="I1921">
        <f>150/30</f>
        <v>5</v>
      </c>
      <c r="J1921">
        <f>150/30</f>
        <v>5</v>
      </c>
      <c r="L1921">
        <v>1</v>
      </c>
      <c r="M1921">
        <f t="shared" si="196"/>
        <v>4.6</v>
      </c>
      <c r="N1921" t="s">
        <v>6608</v>
      </c>
      <c r="O1921">
        <v>1</v>
      </c>
      <c r="P1921">
        <v>2.7</v>
      </c>
      <c r="Q1921">
        <v>0</v>
      </c>
      <c r="V1921">
        <v>1</v>
      </c>
      <c r="W1921">
        <v>0</v>
      </c>
      <c r="X1921" s="7">
        <v>6</v>
      </c>
      <c r="AB1921">
        <f>I1921-0.3</f>
        <v>4.7</v>
      </c>
      <c r="AC1921">
        <v>2</v>
      </c>
      <c r="AD1921" s="28">
        <v>1</v>
      </c>
      <c r="AE1921" s="28" t="s">
        <v>6609</v>
      </c>
      <c r="AF1921">
        <v>0.5</v>
      </c>
      <c r="AN1921" s="10"/>
      <c r="AP1921" s="267">
        <v>2717</v>
      </c>
      <c r="AQ1921" t="s">
        <v>136</v>
      </c>
      <c r="AR1921" s="11"/>
    </row>
    <row r="1922" ht="16.5" spans="1:44">
      <c r="A1922" s="363">
        <v>10512</v>
      </c>
      <c r="B1922" s="460" t="s">
        <v>6610</v>
      </c>
      <c r="C1922" s="334" t="s">
        <v>526</v>
      </c>
      <c r="D1922">
        <v>1</v>
      </c>
      <c r="E1922">
        <v>0</v>
      </c>
      <c r="G1922">
        <v>1</v>
      </c>
      <c r="H1922" s="5" t="s">
        <v>6611</v>
      </c>
      <c r="I1922">
        <f>48/30</f>
        <v>1.6</v>
      </c>
      <c r="J1922">
        <f>48/30</f>
        <v>1.6</v>
      </c>
      <c r="L1922">
        <v>1</v>
      </c>
      <c r="M1922">
        <f t="shared" si="196"/>
        <v>1.2</v>
      </c>
      <c r="N1922" t="s">
        <v>6612</v>
      </c>
      <c r="O1922">
        <v>1</v>
      </c>
      <c r="P1922">
        <v>3.2</v>
      </c>
      <c r="Q1922">
        <v>0</v>
      </c>
      <c r="S1922">
        <v>0.8</v>
      </c>
      <c r="T1922">
        <v>0.2</v>
      </c>
      <c r="U1922">
        <v>1</v>
      </c>
      <c r="V1922">
        <v>1</v>
      </c>
      <c r="W1922">
        <v>0</v>
      </c>
      <c r="X1922" s="7">
        <v>1</v>
      </c>
      <c r="AN1922" s="10"/>
      <c r="AP1922" s="267">
        <v>2736</v>
      </c>
      <c r="AQ1922" t="s">
        <v>136</v>
      </c>
      <c r="AR1922" s="11"/>
    </row>
    <row r="1923" ht="16.5" spans="1:44">
      <c r="A1923" s="363">
        <v>10513</v>
      </c>
      <c r="B1923" s="460" t="s">
        <v>6610</v>
      </c>
      <c r="C1923" s="334" t="s">
        <v>6613</v>
      </c>
      <c r="D1923">
        <v>1</v>
      </c>
      <c r="E1923">
        <v>0</v>
      </c>
      <c r="G1923">
        <v>1</v>
      </c>
      <c r="H1923" s="5" t="s">
        <v>6614</v>
      </c>
      <c r="I1923">
        <f>98/30</f>
        <v>3.26666666666667</v>
      </c>
      <c r="J1923">
        <f>98/30</f>
        <v>3.26666666666667</v>
      </c>
      <c r="L1923">
        <v>1</v>
      </c>
      <c r="M1923">
        <f t="shared" si="196"/>
        <v>2.86666666666667</v>
      </c>
      <c r="N1923" t="s">
        <v>6615</v>
      </c>
      <c r="O1923">
        <v>1</v>
      </c>
      <c r="P1923">
        <v>3.2</v>
      </c>
      <c r="Q1923">
        <v>0</v>
      </c>
      <c r="S1923">
        <v>0.8</v>
      </c>
      <c r="T1923">
        <v>0.2</v>
      </c>
      <c r="U1923">
        <v>1</v>
      </c>
      <c r="V1923">
        <v>1</v>
      </c>
      <c r="W1923">
        <v>0</v>
      </c>
      <c r="X1923" s="7">
        <v>5</v>
      </c>
      <c r="AN1923" s="10"/>
      <c r="AP1923" s="267">
        <v>2738</v>
      </c>
      <c r="AQ1923" t="s">
        <v>136</v>
      </c>
      <c r="AR1923" s="11"/>
    </row>
    <row r="1924" ht="16.5" spans="1:44">
      <c r="A1924" s="363">
        <v>10514</v>
      </c>
      <c r="B1924" s="334" t="s">
        <v>6616</v>
      </c>
      <c r="C1924" s="334" t="s">
        <v>526</v>
      </c>
      <c r="D1924">
        <v>1</v>
      </c>
      <c r="E1924">
        <v>0</v>
      </c>
      <c r="G1924">
        <v>2</v>
      </c>
      <c r="H1924" s="5" t="s">
        <v>6617</v>
      </c>
      <c r="I1924">
        <f>62/30</f>
        <v>2.06666666666667</v>
      </c>
      <c r="J1924">
        <f>62/30</f>
        <v>2.06666666666667</v>
      </c>
      <c r="L1924">
        <v>1</v>
      </c>
      <c r="M1924">
        <f t="shared" si="196"/>
        <v>1.66666666666667</v>
      </c>
      <c r="N1924" t="s">
        <v>6618</v>
      </c>
      <c r="O1924">
        <v>1</v>
      </c>
      <c r="P1924">
        <v>2.5</v>
      </c>
      <c r="Q1924">
        <v>0</v>
      </c>
      <c r="S1924">
        <v>1</v>
      </c>
      <c r="T1924">
        <v>0</v>
      </c>
      <c r="U1924">
        <v>0.3</v>
      </c>
      <c r="V1924">
        <v>1</v>
      </c>
      <c r="W1924">
        <v>0</v>
      </c>
      <c r="X1924" s="7">
        <v>2</v>
      </c>
      <c r="AN1924" s="10"/>
      <c r="AP1924" s="267">
        <v>2704</v>
      </c>
      <c r="AQ1924" t="s">
        <v>136</v>
      </c>
      <c r="AR1924" s="11"/>
    </row>
    <row r="1925" ht="16.5" spans="1:52">
      <c r="A1925" s="363">
        <v>10515</v>
      </c>
      <c r="B1925" s="460" t="s">
        <v>6619</v>
      </c>
      <c r="C1925" s="334" t="s">
        <v>526</v>
      </c>
      <c r="D1925">
        <v>1</v>
      </c>
      <c r="E1925">
        <v>0</v>
      </c>
      <c r="G1925">
        <v>1</v>
      </c>
      <c r="H1925" s="5" t="s">
        <v>6620</v>
      </c>
      <c r="I1925">
        <f>120/30</f>
        <v>4</v>
      </c>
      <c r="J1925">
        <f>120/30</f>
        <v>4</v>
      </c>
      <c r="L1925">
        <v>1</v>
      </c>
      <c r="M1925">
        <f t="shared" si="196"/>
        <v>3.6</v>
      </c>
      <c r="N1925" t="s">
        <v>6621</v>
      </c>
      <c r="O1925">
        <v>1</v>
      </c>
      <c r="P1925" s="688">
        <v>2</v>
      </c>
      <c r="Q1925">
        <v>0</v>
      </c>
      <c r="S1925">
        <v>0.7</v>
      </c>
      <c r="T1925">
        <v>0.2</v>
      </c>
      <c r="U1925">
        <v>0.3</v>
      </c>
      <c r="V1925">
        <v>1</v>
      </c>
      <c r="W1925">
        <v>0</v>
      </c>
      <c r="X1925" s="7">
        <v>3</v>
      </c>
      <c r="AN1925" s="10"/>
      <c r="AP1925" s="267">
        <v>2724</v>
      </c>
      <c r="AQ1925" t="s">
        <v>136</v>
      </c>
      <c r="AR1925" s="11"/>
      <c r="AY1925" s="20"/>
      <c r="AZ1925" s="20"/>
    </row>
    <row r="1926" ht="16.5" spans="1:52">
      <c r="A1926" s="363">
        <v>10516</v>
      </c>
      <c r="B1926" s="460" t="s">
        <v>6619</v>
      </c>
      <c r="C1926" s="334" t="s">
        <v>5225</v>
      </c>
      <c r="D1926">
        <v>1</v>
      </c>
      <c r="E1926">
        <v>0</v>
      </c>
      <c r="G1926">
        <v>1</v>
      </c>
      <c r="H1926" s="5" t="s">
        <v>6622</v>
      </c>
      <c r="I1926">
        <f>95/30</f>
        <v>3.16666666666667</v>
      </c>
      <c r="J1926">
        <f>95/30</f>
        <v>3.16666666666667</v>
      </c>
      <c r="L1926">
        <v>1</v>
      </c>
      <c r="M1926">
        <f t="shared" si="196"/>
        <v>2.76666666666667</v>
      </c>
      <c r="N1926" t="s">
        <v>6623</v>
      </c>
      <c r="O1926">
        <v>1</v>
      </c>
      <c r="P1926" s="688">
        <v>2</v>
      </c>
      <c r="Q1926">
        <v>0</v>
      </c>
      <c r="S1926">
        <v>0.7</v>
      </c>
      <c r="T1926">
        <v>0.2</v>
      </c>
      <c r="U1926">
        <v>0.3</v>
      </c>
      <c r="V1926">
        <v>1</v>
      </c>
      <c r="W1926">
        <v>0</v>
      </c>
      <c r="X1926" s="7">
        <v>3</v>
      </c>
      <c r="AN1926" s="10"/>
      <c r="AP1926" s="267">
        <v>2726</v>
      </c>
      <c r="AQ1926" t="s">
        <v>136</v>
      </c>
      <c r="AR1926" s="11"/>
      <c r="AY1926" s="21"/>
      <c r="AZ1926" s="21"/>
    </row>
    <row r="1927" ht="16.5" spans="1:44">
      <c r="A1927" s="363">
        <v>10517</v>
      </c>
      <c r="B1927" s="460" t="s">
        <v>6619</v>
      </c>
      <c r="C1927" s="334" t="s">
        <v>5413</v>
      </c>
      <c r="D1927">
        <v>1</v>
      </c>
      <c r="E1927">
        <v>0</v>
      </c>
      <c r="G1927">
        <v>1</v>
      </c>
      <c r="H1927" s="5" t="s">
        <v>6624</v>
      </c>
      <c r="I1927">
        <f>65/30</f>
        <v>2.16666666666667</v>
      </c>
      <c r="J1927">
        <f>65/30</f>
        <v>2.16666666666667</v>
      </c>
      <c r="L1927">
        <v>1</v>
      </c>
      <c r="M1927">
        <f t="shared" si="196"/>
        <v>1.76666666666667</v>
      </c>
      <c r="N1927" t="s">
        <v>6625</v>
      </c>
      <c r="O1927">
        <v>1</v>
      </c>
      <c r="P1927">
        <v>2</v>
      </c>
      <c r="Q1927">
        <v>0</v>
      </c>
      <c r="S1927">
        <v>0.7</v>
      </c>
      <c r="T1927">
        <v>0.2</v>
      </c>
      <c r="U1927">
        <v>0.3</v>
      </c>
      <c r="V1927">
        <v>1</v>
      </c>
      <c r="W1927">
        <v>0</v>
      </c>
      <c r="X1927" s="7">
        <v>3</v>
      </c>
      <c r="AN1927" s="10"/>
      <c r="AP1927" s="267">
        <v>2727</v>
      </c>
      <c r="AQ1927" t="s">
        <v>136</v>
      </c>
      <c r="AR1927" s="11"/>
    </row>
    <row r="1928" ht="16.5" spans="1:44">
      <c r="A1928" s="363">
        <v>10518</v>
      </c>
      <c r="B1928" s="460" t="s">
        <v>6619</v>
      </c>
      <c r="C1928" s="334" t="s">
        <v>5427</v>
      </c>
      <c r="D1928">
        <v>1</v>
      </c>
      <c r="E1928">
        <v>0</v>
      </c>
      <c r="G1928">
        <v>1</v>
      </c>
      <c r="H1928" s="5" t="s">
        <v>6626</v>
      </c>
      <c r="I1928">
        <f>68/30</f>
        <v>2.26666666666667</v>
      </c>
      <c r="J1928">
        <f>68/30</f>
        <v>2.26666666666667</v>
      </c>
      <c r="L1928">
        <v>1</v>
      </c>
      <c r="M1928">
        <f t="shared" si="196"/>
        <v>1.86666666666667</v>
      </c>
      <c r="N1928" t="s">
        <v>6627</v>
      </c>
      <c r="O1928">
        <v>1</v>
      </c>
      <c r="P1928">
        <v>2</v>
      </c>
      <c r="Q1928">
        <v>0</v>
      </c>
      <c r="S1928">
        <v>0.7</v>
      </c>
      <c r="T1928">
        <v>0.2</v>
      </c>
      <c r="U1928">
        <v>0.3</v>
      </c>
      <c r="V1928">
        <v>1</v>
      </c>
      <c r="W1928">
        <v>0</v>
      </c>
      <c r="X1928" s="7">
        <v>2</v>
      </c>
      <c r="AN1928" s="10"/>
      <c r="AP1928" s="267">
        <v>2729</v>
      </c>
      <c r="AQ1928" t="s">
        <v>136</v>
      </c>
      <c r="AR1928" s="11"/>
    </row>
    <row r="1929" ht="16.5" spans="1:44">
      <c r="A1929" s="363">
        <v>10519</v>
      </c>
      <c r="B1929" s="370" t="s">
        <v>6619</v>
      </c>
      <c r="C1929" s="334" t="s">
        <v>6628</v>
      </c>
      <c r="D1929">
        <v>2</v>
      </c>
      <c r="E1929">
        <v>1</v>
      </c>
      <c r="G1929">
        <v>1</v>
      </c>
      <c r="H1929" s="5" t="s">
        <v>6629</v>
      </c>
      <c r="I1929">
        <f>280/30</f>
        <v>9.33333333333333</v>
      </c>
      <c r="J1929">
        <f>280/30</f>
        <v>9.33333333333333</v>
      </c>
      <c r="L1929">
        <v>1</v>
      </c>
      <c r="M1929">
        <f t="shared" si="196"/>
        <v>8.93333333333333</v>
      </c>
      <c r="N1929" t="s">
        <v>6630</v>
      </c>
      <c r="O1929">
        <v>1</v>
      </c>
      <c r="P1929">
        <v>4</v>
      </c>
      <c r="Q1929">
        <v>0</v>
      </c>
      <c r="V1929">
        <v>1</v>
      </c>
      <c r="W1929">
        <v>0</v>
      </c>
      <c r="X1929" s="7">
        <v>0</v>
      </c>
      <c r="AB1929">
        <f t="shared" ref="AB1929:AB1935" si="197">I1929-0.3</f>
        <v>9.03333333333333</v>
      </c>
      <c r="AC1929">
        <v>2</v>
      </c>
      <c r="AD1929">
        <v>1</v>
      </c>
      <c r="AE1929" t="s">
        <v>6631</v>
      </c>
      <c r="AF1929">
        <v>0.5</v>
      </c>
      <c r="AN1929" s="10"/>
      <c r="AP1929" s="267">
        <v>2731</v>
      </c>
      <c r="AQ1929" t="s">
        <v>136</v>
      </c>
      <c r="AR1929" s="11"/>
    </row>
    <row r="1930" ht="16.5" spans="1:44">
      <c r="A1930" s="363">
        <v>10520</v>
      </c>
      <c r="B1930" s="370" t="s">
        <v>6619</v>
      </c>
      <c r="C1930" s="334" t="s">
        <v>6632</v>
      </c>
      <c r="D1930">
        <v>1</v>
      </c>
      <c r="E1930">
        <v>0</v>
      </c>
      <c r="G1930">
        <v>1</v>
      </c>
      <c r="H1930" s="5" t="s">
        <v>6633</v>
      </c>
      <c r="I1930">
        <f>244/30</f>
        <v>8.13333333333333</v>
      </c>
      <c r="J1930">
        <f>244/30</f>
        <v>8.13333333333333</v>
      </c>
      <c r="L1930">
        <v>1</v>
      </c>
      <c r="M1930">
        <f t="shared" si="196"/>
        <v>7.73333333333333</v>
      </c>
      <c r="N1930" t="s">
        <v>6634</v>
      </c>
      <c r="O1930">
        <v>1</v>
      </c>
      <c r="P1930">
        <v>14</v>
      </c>
      <c r="Q1930">
        <v>0</v>
      </c>
      <c r="V1930">
        <v>1</v>
      </c>
      <c r="W1930">
        <v>6</v>
      </c>
      <c r="X1930" s="7">
        <v>1</v>
      </c>
      <c r="AB1930">
        <f t="shared" si="197"/>
        <v>7.83333333333333</v>
      </c>
      <c r="AC1930">
        <v>2</v>
      </c>
      <c r="AD1930">
        <v>1</v>
      </c>
      <c r="AE1930" t="s">
        <v>6635</v>
      </c>
      <c r="AF1930">
        <v>0.5</v>
      </c>
      <c r="AN1930" s="10"/>
      <c r="AP1930" s="267">
        <v>2732</v>
      </c>
      <c r="AQ1930" t="s">
        <v>136</v>
      </c>
      <c r="AR1930" s="11"/>
    </row>
    <row r="1931" ht="15" customHeight="1" spans="1:44">
      <c r="A1931" s="363">
        <v>10521</v>
      </c>
      <c r="B1931" s="394" t="s">
        <v>6636</v>
      </c>
      <c r="C1931" s="334" t="s">
        <v>526</v>
      </c>
      <c r="D1931">
        <v>1</v>
      </c>
      <c r="E1931">
        <v>0</v>
      </c>
      <c r="G1931">
        <v>1</v>
      </c>
      <c r="H1931" s="5" t="s">
        <v>6637</v>
      </c>
      <c r="I1931">
        <f>61/30</f>
        <v>2.03333333333333</v>
      </c>
      <c r="J1931">
        <f>61/30</f>
        <v>2.03333333333333</v>
      </c>
      <c r="L1931">
        <v>0</v>
      </c>
      <c r="M1931">
        <f>61/30</f>
        <v>2.03333333333333</v>
      </c>
      <c r="N1931" t="s">
        <v>6638</v>
      </c>
      <c r="O1931">
        <v>1</v>
      </c>
      <c r="P1931">
        <v>3.3</v>
      </c>
      <c r="Q1931">
        <v>0</v>
      </c>
      <c r="S1931">
        <v>-0.3</v>
      </c>
      <c r="T1931">
        <v>0.2</v>
      </c>
      <c r="U1931">
        <v>0.7</v>
      </c>
      <c r="V1931">
        <v>6</v>
      </c>
      <c r="W1931">
        <v>0</v>
      </c>
      <c r="X1931" s="7">
        <v>2</v>
      </c>
      <c r="AN1931" s="10"/>
      <c r="AP1931" s="267">
        <v>2853</v>
      </c>
      <c r="AQ1931" t="s">
        <v>136</v>
      </c>
      <c r="AR1931" s="11"/>
    </row>
    <row r="1932" ht="16.5" spans="1:44">
      <c r="A1932" s="363">
        <v>10522</v>
      </c>
      <c r="B1932" s="394" t="s">
        <v>6636</v>
      </c>
      <c r="C1932" s="334" t="s">
        <v>5225</v>
      </c>
      <c r="D1932">
        <v>1</v>
      </c>
      <c r="E1932">
        <v>0</v>
      </c>
      <c r="G1932">
        <v>1</v>
      </c>
      <c r="H1932" s="5" t="s">
        <v>6639</v>
      </c>
      <c r="I1932">
        <f>83/30</f>
        <v>2.76666666666667</v>
      </c>
      <c r="J1932">
        <f>83/30</f>
        <v>2.76666666666667</v>
      </c>
      <c r="L1932">
        <v>1</v>
      </c>
      <c r="M1932">
        <f>83/30</f>
        <v>2.76666666666667</v>
      </c>
      <c r="N1932" t="s">
        <v>6640</v>
      </c>
      <c r="O1932" s="45">
        <v>5</v>
      </c>
      <c r="P1932">
        <v>3.3</v>
      </c>
      <c r="Q1932">
        <v>0</v>
      </c>
      <c r="S1932">
        <v>-0.3</v>
      </c>
      <c r="T1932">
        <v>0.5</v>
      </c>
      <c r="U1932">
        <v>1</v>
      </c>
      <c r="V1932">
        <v>1</v>
      </c>
      <c r="W1932">
        <v>29</v>
      </c>
      <c r="X1932" s="7">
        <v>1</v>
      </c>
      <c r="AN1932" s="10"/>
      <c r="AP1932" s="267">
        <v>2855</v>
      </c>
      <c r="AQ1932" t="s">
        <v>136</v>
      </c>
      <c r="AR1932" s="11"/>
    </row>
    <row r="1933" ht="16.5" spans="1:52">
      <c r="A1933" s="363">
        <v>10523</v>
      </c>
      <c r="B1933" s="394" t="s">
        <v>6636</v>
      </c>
      <c r="C1933" s="334" t="s">
        <v>5413</v>
      </c>
      <c r="D1933">
        <v>2</v>
      </c>
      <c r="E1933">
        <v>0</v>
      </c>
      <c r="G1933">
        <v>1</v>
      </c>
      <c r="H1933" s="5" t="s">
        <v>6641</v>
      </c>
      <c r="I1933">
        <f>65/30</f>
        <v>2.16666666666667</v>
      </c>
      <c r="J1933">
        <f>65/30</f>
        <v>2.16666666666667</v>
      </c>
      <c r="L1933">
        <v>1</v>
      </c>
      <c r="M1933">
        <f>65/30</f>
        <v>2.16666666666667</v>
      </c>
      <c r="N1933" t="s">
        <v>6642</v>
      </c>
      <c r="O1933">
        <v>5</v>
      </c>
      <c r="P1933">
        <v>2.4</v>
      </c>
      <c r="Q1933">
        <v>0</v>
      </c>
      <c r="S1933">
        <v>-0.3</v>
      </c>
      <c r="T1933">
        <v>0.2</v>
      </c>
      <c r="U1933">
        <v>1</v>
      </c>
      <c r="V1933">
        <v>1000</v>
      </c>
      <c r="W1933">
        <v>0</v>
      </c>
      <c r="X1933" s="7">
        <v>0</v>
      </c>
      <c r="AN1933" s="10"/>
      <c r="AP1933" s="267">
        <v>2857</v>
      </c>
      <c r="AQ1933" t="s">
        <v>136</v>
      </c>
      <c r="AR1933" s="11"/>
      <c r="AY1933" s="24"/>
      <c r="AZ1933" s="24"/>
    </row>
    <row r="1934" ht="16.5" spans="1:44">
      <c r="A1934" s="363">
        <v>10524</v>
      </c>
      <c r="B1934" s="394" t="s">
        <v>6636</v>
      </c>
      <c r="C1934" s="334" t="s">
        <v>5427</v>
      </c>
      <c r="D1934">
        <v>1</v>
      </c>
      <c r="E1934">
        <v>0</v>
      </c>
      <c r="G1934">
        <v>1</v>
      </c>
      <c r="H1934" s="5" t="s">
        <v>6643</v>
      </c>
      <c r="I1934">
        <f>189/30</f>
        <v>6.3</v>
      </c>
      <c r="J1934">
        <f>189/30</f>
        <v>6.3</v>
      </c>
      <c r="L1934">
        <v>1</v>
      </c>
      <c r="M1934">
        <f>189/30</f>
        <v>6.3</v>
      </c>
      <c r="N1934" t="s">
        <v>6644</v>
      </c>
      <c r="O1934">
        <v>1</v>
      </c>
      <c r="P1934">
        <v>3.5</v>
      </c>
      <c r="Q1934">
        <v>0</v>
      </c>
      <c r="S1934">
        <v>0.7</v>
      </c>
      <c r="T1934">
        <v>0.2</v>
      </c>
      <c r="U1934">
        <v>0.6</v>
      </c>
      <c r="V1934">
        <v>6</v>
      </c>
      <c r="W1934">
        <v>4</v>
      </c>
      <c r="X1934" s="7">
        <v>5</v>
      </c>
      <c r="AB1934">
        <f t="shared" si="197"/>
        <v>6</v>
      </c>
      <c r="AC1934">
        <v>2</v>
      </c>
      <c r="AD1934">
        <v>1</v>
      </c>
      <c r="AE1934" t="s">
        <v>6645</v>
      </c>
      <c r="AF1934">
        <v>0.5</v>
      </c>
      <c r="AN1934" s="10">
        <v>2859</v>
      </c>
      <c r="AO1934" t="s">
        <v>6646</v>
      </c>
      <c r="AP1934" s="267">
        <v>2858</v>
      </c>
      <c r="AQ1934" t="s">
        <v>136</v>
      </c>
      <c r="AR1934" s="749" t="s">
        <v>239</v>
      </c>
    </row>
    <row r="1935" ht="16.5" spans="1:44">
      <c r="A1935" s="363">
        <v>10525</v>
      </c>
      <c r="B1935" s="394" t="s">
        <v>6636</v>
      </c>
      <c r="C1935" s="334" t="s">
        <v>5482</v>
      </c>
      <c r="D1935">
        <v>1</v>
      </c>
      <c r="E1935">
        <v>0</v>
      </c>
      <c r="G1935">
        <v>1</v>
      </c>
      <c r="H1935" s="5" t="s">
        <v>6647</v>
      </c>
      <c r="I1935">
        <f>175/30</f>
        <v>5.83333333333333</v>
      </c>
      <c r="J1935">
        <f>175/30</f>
        <v>5.83333333333333</v>
      </c>
      <c r="L1935">
        <v>1</v>
      </c>
      <c r="M1935">
        <f>175/30</f>
        <v>5.83333333333333</v>
      </c>
      <c r="N1935" t="s">
        <v>6648</v>
      </c>
      <c r="O1935">
        <v>1</v>
      </c>
      <c r="P1935">
        <v>8</v>
      </c>
      <c r="Q1935">
        <v>0</v>
      </c>
      <c r="S1935">
        <v>0.7</v>
      </c>
      <c r="T1935">
        <v>0.2</v>
      </c>
      <c r="U1935">
        <v>0.6</v>
      </c>
      <c r="V1935">
        <v>1</v>
      </c>
      <c r="W1935">
        <v>6</v>
      </c>
      <c r="X1935" s="7">
        <v>4</v>
      </c>
      <c r="AB1935">
        <f t="shared" si="197"/>
        <v>5.53333333333333</v>
      </c>
      <c r="AC1935">
        <v>2</v>
      </c>
      <c r="AD1935">
        <v>1</v>
      </c>
      <c r="AE1935" t="s">
        <v>6649</v>
      </c>
      <c r="AF1935">
        <v>0.5</v>
      </c>
      <c r="AN1935" s="10"/>
      <c r="AP1935" s="267">
        <v>2861</v>
      </c>
      <c r="AQ1935" t="s">
        <v>136</v>
      </c>
      <c r="AR1935" s="749" t="s">
        <v>239</v>
      </c>
    </row>
    <row r="1936" ht="16.5" spans="1:44">
      <c r="A1936" s="363">
        <v>10526</v>
      </c>
      <c r="B1936" s="373" t="s">
        <v>6650</v>
      </c>
      <c r="C1936" s="334" t="s">
        <v>526</v>
      </c>
      <c r="D1936">
        <v>1</v>
      </c>
      <c r="E1936">
        <v>0</v>
      </c>
      <c r="G1936">
        <v>1</v>
      </c>
      <c r="H1936" s="11" t="s">
        <v>6651</v>
      </c>
      <c r="I1936">
        <f>91/30</f>
        <v>3.03333333333333</v>
      </c>
      <c r="J1936">
        <f>91/30</f>
        <v>3.03333333333333</v>
      </c>
      <c r="L1936">
        <v>0</v>
      </c>
      <c r="M1936">
        <f>91/30</f>
        <v>3.03333333333333</v>
      </c>
      <c r="N1936" t="s">
        <v>6652</v>
      </c>
      <c r="O1936">
        <v>1</v>
      </c>
      <c r="P1936">
        <v>1.8</v>
      </c>
      <c r="Q1936">
        <v>0</v>
      </c>
      <c r="S1936">
        <v>0.5</v>
      </c>
      <c r="T1936">
        <v>0</v>
      </c>
      <c r="U1936">
        <v>0.5</v>
      </c>
      <c r="V1936">
        <v>1</v>
      </c>
      <c r="W1936">
        <v>0</v>
      </c>
      <c r="X1936" s="7">
        <v>3</v>
      </c>
      <c r="AN1936" s="10"/>
      <c r="AP1936" s="267">
        <v>2862</v>
      </c>
      <c r="AQ1936" t="s">
        <v>136</v>
      </c>
      <c r="AR1936" s="11"/>
    </row>
    <row r="1937" ht="16.5" spans="1:44">
      <c r="A1937" s="363">
        <v>10527</v>
      </c>
      <c r="B1937" s="689" t="s">
        <v>6653</v>
      </c>
      <c r="C1937" s="334" t="s">
        <v>526</v>
      </c>
      <c r="D1937">
        <v>1</v>
      </c>
      <c r="E1937">
        <v>0</v>
      </c>
      <c r="G1937">
        <v>1</v>
      </c>
      <c r="H1937" s="5" t="s">
        <v>6654</v>
      </c>
      <c r="I1937">
        <f>104/30</f>
        <v>3.46666666666667</v>
      </c>
      <c r="J1937">
        <f>104/30</f>
        <v>3.46666666666667</v>
      </c>
      <c r="L1937">
        <v>0</v>
      </c>
      <c r="M1937">
        <f>104/30</f>
        <v>3.46666666666667</v>
      </c>
      <c r="N1937" t="s">
        <v>6655</v>
      </c>
      <c r="O1937">
        <v>1</v>
      </c>
      <c r="P1937">
        <v>5</v>
      </c>
      <c r="Q1937">
        <v>0</v>
      </c>
      <c r="S1937">
        <v>1</v>
      </c>
      <c r="T1937">
        <v>0</v>
      </c>
      <c r="U1937">
        <v>1.7</v>
      </c>
      <c r="V1937">
        <v>1</v>
      </c>
      <c r="W1937">
        <v>0</v>
      </c>
      <c r="X1937" s="7">
        <v>3</v>
      </c>
      <c r="AN1937" s="10"/>
      <c r="AP1937" s="267">
        <v>2865</v>
      </c>
      <c r="AQ1937" t="s">
        <v>136</v>
      </c>
      <c r="AR1937" s="11"/>
    </row>
    <row r="1938" ht="16.5" spans="1:44">
      <c r="A1938" s="363">
        <v>10528</v>
      </c>
      <c r="B1938" s="689" t="s">
        <v>6653</v>
      </c>
      <c r="C1938" s="334" t="s">
        <v>5225</v>
      </c>
      <c r="D1938">
        <v>1</v>
      </c>
      <c r="E1938">
        <v>0</v>
      </c>
      <c r="G1938">
        <v>1</v>
      </c>
      <c r="H1938" s="5" t="s">
        <v>6656</v>
      </c>
      <c r="I1938">
        <f>90/30</f>
        <v>3</v>
      </c>
      <c r="J1938">
        <f>90/30</f>
        <v>3</v>
      </c>
      <c r="L1938">
        <v>1</v>
      </c>
      <c r="M1938">
        <f>90/30</f>
        <v>3</v>
      </c>
      <c r="N1938" t="s">
        <v>6657</v>
      </c>
      <c r="O1938">
        <v>1</v>
      </c>
      <c r="P1938">
        <v>5</v>
      </c>
      <c r="Q1938">
        <v>0</v>
      </c>
      <c r="S1938">
        <v>0.3</v>
      </c>
      <c r="T1938">
        <v>-2</v>
      </c>
      <c r="U1938">
        <v>1.3</v>
      </c>
      <c r="V1938">
        <v>1</v>
      </c>
      <c r="W1938">
        <v>6</v>
      </c>
      <c r="X1938" s="7">
        <v>1</v>
      </c>
      <c r="AN1938" s="10"/>
      <c r="AP1938" s="267">
        <v>2867</v>
      </c>
      <c r="AQ1938" t="s">
        <v>136</v>
      </c>
      <c r="AR1938" s="11"/>
    </row>
    <row r="1939" ht="16.5" spans="1:52">
      <c r="A1939" s="363">
        <v>10529</v>
      </c>
      <c r="B1939" s="689" t="s">
        <v>6653</v>
      </c>
      <c r="C1939" s="334" t="s">
        <v>5413</v>
      </c>
      <c r="D1939">
        <v>1</v>
      </c>
      <c r="E1939">
        <v>0</v>
      </c>
      <c r="G1939">
        <v>1</v>
      </c>
      <c r="H1939" s="5" t="s">
        <v>6658</v>
      </c>
      <c r="I1939">
        <f>100/30</f>
        <v>3.33333333333333</v>
      </c>
      <c r="J1939">
        <f>100/30</f>
        <v>3.33333333333333</v>
      </c>
      <c r="L1939">
        <v>1</v>
      </c>
      <c r="M1939">
        <f>100/30</f>
        <v>3.33333333333333</v>
      </c>
      <c r="N1939" t="s">
        <v>6659</v>
      </c>
      <c r="O1939">
        <v>1</v>
      </c>
      <c r="P1939">
        <v>5</v>
      </c>
      <c r="Q1939">
        <v>0</v>
      </c>
      <c r="S1939">
        <v>0.3</v>
      </c>
      <c r="T1939">
        <v>-2</v>
      </c>
      <c r="U1939">
        <v>1.3</v>
      </c>
      <c r="V1939">
        <v>1</v>
      </c>
      <c r="W1939">
        <v>4</v>
      </c>
      <c r="X1939" s="7">
        <v>1</v>
      </c>
      <c r="AN1939" s="10"/>
      <c r="AP1939" s="267">
        <v>2869</v>
      </c>
      <c r="AQ1939" t="s">
        <v>136</v>
      </c>
      <c r="AR1939" s="11"/>
      <c r="AY1939" s="24"/>
      <c r="AZ1939" s="24"/>
    </row>
    <row r="1940" ht="16.5" spans="1:44">
      <c r="A1940" s="363">
        <v>10530</v>
      </c>
      <c r="B1940" s="373" t="s">
        <v>6660</v>
      </c>
      <c r="C1940" s="334" t="s">
        <v>526</v>
      </c>
      <c r="D1940">
        <v>1</v>
      </c>
      <c r="E1940">
        <v>0</v>
      </c>
      <c r="G1940">
        <v>1</v>
      </c>
      <c r="H1940" s="5" t="s">
        <v>6661</v>
      </c>
      <c r="I1940">
        <f>69/30</f>
        <v>2.3</v>
      </c>
      <c r="J1940">
        <f>69/30</f>
        <v>2.3</v>
      </c>
      <c r="L1940">
        <v>0</v>
      </c>
      <c r="M1940">
        <f>69/30</f>
        <v>2.3</v>
      </c>
      <c r="N1940" t="s">
        <v>6662</v>
      </c>
      <c r="O1940">
        <v>1</v>
      </c>
      <c r="P1940">
        <v>4.3</v>
      </c>
      <c r="Q1940">
        <v>0</v>
      </c>
      <c r="S1940">
        <v>0.3</v>
      </c>
      <c r="T1940">
        <v>0</v>
      </c>
      <c r="U1940">
        <v>1.7</v>
      </c>
      <c r="V1940">
        <v>1</v>
      </c>
      <c r="W1940">
        <v>0</v>
      </c>
      <c r="X1940" s="7">
        <v>2</v>
      </c>
      <c r="AN1940" s="10"/>
      <c r="AP1940" s="267">
        <v>2870</v>
      </c>
      <c r="AQ1940" t="s">
        <v>136</v>
      </c>
      <c r="AR1940" s="11"/>
    </row>
    <row r="1941" ht="16.5" spans="1:44">
      <c r="A1941" s="363">
        <v>10531</v>
      </c>
      <c r="B1941" s="373" t="s">
        <v>6660</v>
      </c>
      <c r="C1941" s="334" t="s">
        <v>5225</v>
      </c>
      <c r="D1941">
        <v>1</v>
      </c>
      <c r="E1941">
        <v>0</v>
      </c>
      <c r="G1941">
        <v>1</v>
      </c>
      <c r="H1941" s="5" t="s">
        <v>6663</v>
      </c>
      <c r="I1941">
        <f>101/30</f>
        <v>3.36666666666667</v>
      </c>
      <c r="J1941">
        <f>101/30</f>
        <v>3.36666666666667</v>
      </c>
      <c r="L1941">
        <v>1</v>
      </c>
      <c r="M1941">
        <f>101/30</f>
        <v>3.36666666666667</v>
      </c>
      <c r="N1941" t="s">
        <v>6664</v>
      </c>
      <c r="O1941">
        <v>1</v>
      </c>
      <c r="P1941">
        <v>4.3</v>
      </c>
      <c r="Q1941">
        <v>0</v>
      </c>
      <c r="S1941">
        <v>0.3</v>
      </c>
      <c r="T1941">
        <v>0</v>
      </c>
      <c r="U1941">
        <v>1.7</v>
      </c>
      <c r="V1941">
        <v>1</v>
      </c>
      <c r="W1941">
        <v>0</v>
      </c>
      <c r="X1941" s="7">
        <v>1</v>
      </c>
      <c r="AN1941" s="10"/>
      <c r="AP1941" s="267">
        <v>2872</v>
      </c>
      <c r="AQ1941" t="s">
        <v>136</v>
      </c>
      <c r="AR1941" s="11"/>
    </row>
    <row r="1942" ht="16.5" spans="1:44">
      <c r="A1942" s="363">
        <v>10532</v>
      </c>
      <c r="B1942" s="373" t="s">
        <v>6660</v>
      </c>
      <c r="C1942" s="334" t="s">
        <v>5413</v>
      </c>
      <c r="D1942">
        <v>1</v>
      </c>
      <c r="E1942">
        <v>0</v>
      </c>
      <c r="G1942">
        <v>1</v>
      </c>
      <c r="H1942" s="5" t="s">
        <v>6665</v>
      </c>
      <c r="I1942">
        <f>66/30</f>
        <v>2.2</v>
      </c>
      <c r="J1942">
        <f>66/30</f>
        <v>2.2</v>
      </c>
      <c r="L1942">
        <v>1</v>
      </c>
      <c r="M1942">
        <f>66/30</f>
        <v>2.2</v>
      </c>
      <c r="N1942" t="s">
        <v>6666</v>
      </c>
      <c r="O1942">
        <v>1</v>
      </c>
      <c r="P1942">
        <v>4.3</v>
      </c>
      <c r="Q1942">
        <v>0</v>
      </c>
      <c r="S1942">
        <v>0.3</v>
      </c>
      <c r="T1942">
        <v>0</v>
      </c>
      <c r="U1942">
        <v>1.7</v>
      </c>
      <c r="V1942">
        <v>1</v>
      </c>
      <c r="W1942">
        <v>0</v>
      </c>
      <c r="X1942" s="7">
        <v>1</v>
      </c>
      <c r="AN1942" s="10"/>
      <c r="AP1942" s="267">
        <v>2873</v>
      </c>
      <c r="AQ1942" t="s">
        <v>136</v>
      </c>
      <c r="AR1942" s="11"/>
    </row>
    <row r="1943" ht="16.5" spans="1:44">
      <c r="A1943" s="363">
        <v>10533</v>
      </c>
      <c r="B1943" s="394" t="s">
        <v>6667</v>
      </c>
      <c r="C1943" s="334" t="s">
        <v>526</v>
      </c>
      <c r="D1943">
        <v>1</v>
      </c>
      <c r="E1943">
        <v>0</v>
      </c>
      <c r="G1943">
        <v>1</v>
      </c>
      <c r="H1943" s="11" t="s">
        <v>6668</v>
      </c>
      <c r="I1943">
        <f>105/30</f>
        <v>3.5</v>
      </c>
      <c r="J1943">
        <f>105/30</f>
        <v>3.5</v>
      </c>
      <c r="L1943">
        <v>0</v>
      </c>
      <c r="M1943">
        <f>105/30</f>
        <v>3.5</v>
      </c>
      <c r="N1943" t="s">
        <v>6669</v>
      </c>
      <c r="O1943">
        <v>1</v>
      </c>
      <c r="P1943">
        <v>4.85</v>
      </c>
      <c r="Q1943">
        <v>0</v>
      </c>
      <c r="S1943">
        <v>1</v>
      </c>
      <c r="T1943">
        <v>1</v>
      </c>
      <c r="U1943">
        <v>2</v>
      </c>
      <c r="V1943">
        <v>1</v>
      </c>
      <c r="W1943">
        <v>0</v>
      </c>
      <c r="X1943" s="7">
        <v>3</v>
      </c>
      <c r="AN1943" s="10"/>
      <c r="AP1943" s="267">
        <v>2874</v>
      </c>
      <c r="AQ1943" t="s">
        <v>136</v>
      </c>
      <c r="AR1943" s="11"/>
    </row>
    <row r="1944" ht="16.5" spans="1:44">
      <c r="A1944" s="363">
        <v>10534</v>
      </c>
      <c r="B1944" s="394" t="s">
        <v>6667</v>
      </c>
      <c r="C1944" s="334" t="s">
        <v>5225</v>
      </c>
      <c r="D1944">
        <v>2</v>
      </c>
      <c r="E1944">
        <v>1</v>
      </c>
      <c r="G1944">
        <v>1</v>
      </c>
      <c r="H1944" s="11" t="s">
        <v>6670</v>
      </c>
      <c r="I1944">
        <f>143/30</f>
        <v>4.76666666666667</v>
      </c>
      <c r="J1944">
        <f>143/30</f>
        <v>4.76666666666667</v>
      </c>
      <c r="L1944">
        <v>1</v>
      </c>
      <c r="M1944">
        <f>143/30</f>
        <v>4.76666666666667</v>
      </c>
      <c r="N1944" t="s">
        <v>6671</v>
      </c>
      <c r="O1944">
        <v>5</v>
      </c>
      <c r="P1944">
        <v>4.85</v>
      </c>
      <c r="Q1944">
        <v>0</v>
      </c>
      <c r="S1944">
        <v>1</v>
      </c>
      <c r="T1944">
        <v>0</v>
      </c>
      <c r="U1944">
        <v>2</v>
      </c>
      <c r="V1944">
        <v>1000</v>
      </c>
      <c r="W1944">
        <v>0</v>
      </c>
      <c r="X1944" s="7">
        <v>0</v>
      </c>
      <c r="AN1944" s="10"/>
      <c r="AP1944" s="267">
        <v>2876</v>
      </c>
      <c r="AQ1944" t="s">
        <v>136</v>
      </c>
      <c r="AR1944" s="11"/>
    </row>
    <row r="1945" ht="16.5" spans="1:44">
      <c r="A1945" s="363">
        <v>10535</v>
      </c>
      <c r="B1945" s="394" t="s">
        <v>6667</v>
      </c>
      <c r="C1945" s="334" t="s">
        <v>5413</v>
      </c>
      <c r="D1945">
        <v>1</v>
      </c>
      <c r="E1945">
        <v>0</v>
      </c>
      <c r="G1945">
        <v>1</v>
      </c>
      <c r="H1945" s="11" t="s">
        <v>6672</v>
      </c>
      <c r="I1945">
        <f>112/30</f>
        <v>3.73333333333333</v>
      </c>
      <c r="J1945">
        <f>112/30</f>
        <v>3.73333333333333</v>
      </c>
      <c r="L1945">
        <v>1</v>
      </c>
      <c r="M1945">
        <f>112/30</f>
        <v>3.73333333333333</v>
      </c>
      <c r="N1945" t="s">
        <v>6673</v>
      </c>
      <c r="O1945">
        <v>1</v>
      </c>
      <c r="P1945">
        <v>4.85</v>
      </c>
      <c r="Q1945">
        <v>0</v>
      </c>
      <c r="S1945">
        <v>1</v>
      </c>
      <c r="T1945">
        <v>0</v>
      </c>
      <c r="U1945">
        <v>2</v>
      </c>
      <c r="V1945">
        <v>1</v>
      </c>
      <c r="W1945">
        <v>6</v>
      </c>
      <c r="X1945" s="7">
        <v>4</v>
      </c>
      <c r="AN1945" s="10"/>
      <c r="AP1945" s="267">
        <v>2877</v>
      </c>
      <c r="AQ1945" t="s">
        <v>136</v>
      </c>
      <c r="AR1945" s="11"/>
    </row>
    <row r="1946" ht="16.5" spans="1:44">
      <c r="A1946" s="363">
        <v>10536</v>
      </c>
      <c r="B1946" s="690" t="s">
        <v>6674</v>
      </c>
      <c r="C1946" s="334" t="s">
        <v>526</v>
      </c>
      <c r="D1946">
        <v>1</v>
      </c>
      <c r="E1946">
        <v>0</v>
      </c>
      <c r="G1946">
        <v>1</v>
      </c>
      <c r="H1946" s="11" t="s">
        <v>6675</v>
      </c>
      <c r="I1946">
        <f>110/30</f>
        <v>3.66666666666667</v>
      </c>
      <c r="J1946">
        <f>110/30</f>
        <v>3.66666666666667</v>
      </c>
      <c r="L1946">
        <v>0</v>
      </c>
      <c r="M1946">
        <f>110/30</f>
        <v>3.66666666666667</v>
      </c>
      <c r="N1946" t="s">
        <v>6676</v>
      </c>
      <c r="O1946">
        <v>0</v>
      </c>
      <c r="P1946">
        <v>5</v>
      </c>
      <c r="Q1946">
        <v>0</v>
      </c>
      <c r="S1946">
        <v>5</v>
      </c>
      <c r="T1946">
        <v>5</v>
      </c>
      <c r="U1946">
        <v>5</v>
      </c>
      <c r="V1946">
        <v>1</v>
      </c>
      <c r="W1946">
        <v>0</v>
      </c>
      <c r="X1946" s="7">
        <v>1</v>
      </c>
      <c r="AN1946" s="10"/>
      <c r="AP1946" s="267">
        <v>2878</v>
      </c>
      <c r="AQ1946" t="s">
        <v>136</v>
      </c>
      <c r="AR1946" s="11"/>
    </row>
    <row r="1947" ht="16.5" spans="1:44">
      <c r="A1947" s="363">
        <v>10537</v>
      </c>
      <c r="B1947" s="690" t="s">
        <v>6674</v>
      </c>
      <c r="C1947" s="334" t="s">
        <v>5225</v>
      </c>
      <c r="D1947">
        <v>1</v>
      </c>
      <c r="E1947">
        <v>0</v>
      </c>
      <c r="G1947">
        <v>1</v>
      </c>
      <c r="H1947" s="11" t="s">
        <v>6677</v>
      </c>
      <c r="I1947">
        <f>125/30</f>
        <v>4.16666666666667</v>
      </c>
      <c r="J1947">
        <f>125/30</f>
        <v>4.16666666666667</v>
      </c>
      <c r="L1947">
        <v>1</v>
      </c>
      <c r="M1947">
        <f>125/30</f>
        <v>4.16666666666667</v>
      </c>
      <c r="N1947" t="s">
        <v>6678</v>
      </c>
      <c r="O1947">
        <v>0</v>
      </c>
      <c r="P1947">
        <v>5</v>
      </c>
      <c r="Q1947">
        <v>0</v>
      </c>
      <c r="S1947">
        <v>5</v>
      </c>
      <c r="T1947">
        <v>5</v>
      </c>
      <c r="U1947">
        <v>5</v>
      </c>
      <c r="V1947">
        <v>1</v>
      </c>
      <c r="W1947">
        <v>6</v>
      </c>
      <c r="X1947" s="7">
        <v>1</v>
      </c>
      <c r="AN1947" s="10">
        <v>2880</v>
      </c>
      <c r="AO1947" s="470" t="s">
        <v>690</v>
      </c>
      <c r="AP1947" s="267">
        <v>2879</v>
      </c>
      <c r="AQ1947" t="s">
        <v>136</v>
      </c>
      <c r="AR1947" s="11"/>
    </row>
    <row r="1948" ht="16.5" spans="1:44">
      <c r="A1948" s="363">
        <v>10538</v>
      </c>
      <c r="B1948" s="690" t="s">
        <v>6674</v>
      </c>
      <c r="C1948" s="334" t="s">
        <v>5413</v>
      </c>
      <c r="D1948">
        <v>2</v>
      </c>
      <c r="E1948">
        <v>0</v>
      </c>
      <c r="G1948">
        <v>1</v>
      </c>
      <c r="H1948" s="11" t="s">
        <v>6679</v>
      </c>
      <c r="I1948">
        <f>90/30</f>
        <v>3</v>
      </c>
      <c r="J1948">
        <f>90/30</f>
        <v>3</v>
      </c>
      <c r="L1948">
        <v>0</v>
      </c>
      <c r="M1948">
        <f>90/30</f>
        <v>3</v>
      </c>
      <c r="N1948" t="s">
        <v>6680</v>
      </c>
      <c r="O1948">
        <v>0</v>
      </c>
      <c r="P1948">
        <v>5</v>
      </c>
      <c r="Q1948">
        <v>0</v>
      </c>
      <c r="S1948">
        <v>5</v>
      </c>
      <c r="T1948">
        <v>5</v>
      </c>
      <c r="U1948">
        <v>5</v>
      </c>
      <c r="V1948">
        <v>1000</v>
      </c>
      <c r="W1948">
        <v>0</v>
      </c>
      <c r="X1948" s="7">
        <v>0</v>
      </c>
      <c r="AN1948" s="10"/>
      <c r="AP1948" s="267">
        <v>2881</v>
      </c>
      <c r="AQ1948" t="s">
        <v>136</v>
      </c>
      <c r="AR1948" s="11"/>
    </row>
    <row r="1949" ht="16.5" spans="1:44">
      <c r="A1949" s="363">
        <v>10539</v>
      </c>
      <c r="B1949" s="690" t="s">
        <v>6674</v>
      </c>
      <c r="C1949" s="334" t="s">
        <v>5427</v>
      </c>
      <c r="D1949">
        <v>1</v>
      </c>
      <c r="E1949">
        <v>0</v>
      </c>
      <c r="G1949">
        <v>1</v>
      </c>
      <c r="H1949" s="11" t="s">
        <v>6681</v>
      </c>
      <c r="I1949">
        <f>200/30</f>
        <v>6.66666666666667</v>
      </c>
      <c r="J1949">
        <f>200/30</f>
        <v>6.66666666666667</v>
      </c>
      <c r="L1949">
        <v>1</v>
      </c>
      <c r="M1949">
        <f>200/30</f>
        <v>6.66666666666667</v>
      </c>
      <c r="N1949" t="s">
        <v>6682</v>
      </c>
      <c r="O1949">
        <v>0</v>
      </c>
      <c r="P1949">
        <v>5</v>
      </c>
      <c r="Q1949">
        <v>0</v>
      </c>
      <c r="S1949">
        <v>5</v>
      </c>
      <c r="T1949">
        <v>5</v>
      </c>
      <c r="U1949">
        <v>5</v>
      </c>
      <c r="V1949">
        <v>1</v>
      </c>
      <c r="W1949">
        <v>6</v>
      </c>
      <c r="X1949" s="7">
        <v>3</v>
      </c>
      <c r="AB1949">
        <f>I1949-0.3</f>
        <v>6.36666666666667</v>
      </c>
      <c r="AC1949">
        <v>2</v>
      </c>
      <c r="AD1949">
        <v>1</v>
      </c>
      <c r="AE1949" t="s">
        <v>6683</v>
      </c>
      <c r="AF1949">
        <v>0.5</v>
      </c>
      <c r="AN1949" s="10"/>
      <c r="AP1949" s="267">
        <v>2882</v>
      </c>
      <c r="AQ1949" t="s">
        <v>136</v>
      </c>
      <c r="AR1949" s="11"/>
    </row>
    <row r="1950" ht="16.5" spans="1:44">
      <c r="A1950" s="363">
        <v>10540</v>
      </c>
      <c r="B1950" s="394" t="s">
        <v>6684</v>
      </c>
      <c r="C1950" s="334" t="s">
        <v>526</v>
      </c>
      <c r="D1950">
        <v>1</v>
      </c>
      <c r="E1950">
        <v>0</v>
      </c>
      <c r="G1950">
        <v>1</v>
      </c>
      <c r="H1950" s="5" t="s">
        <v>6685</v>
      </c>
      <c r="I1950">
        <f>64/30</f>
        <v>2.13333333333333</v>
      </c>
      <c r="J1950">
        <f>64/30</f>
        <v>2.13333333333333</v>
      </c>
      <c r="L1950">
        <v>0</v>
      </c>
      <c r="M1950">
        <f>64/30</f>
        <v>2.13333333333333</v>
      </c>
      <c r="N1950" t="s">
        <v>6686</v>
      </c>
      <c r="O1950">
        <v>1</v>
      </c>
      <c r="P1950">
        <v>3</v>
      </c>
      <c r="Q1950">
        <v>0</v>
      </c>
      <c r="S1950">
        <v>0.3</v>
      </c>
      <c r="T1950">
        <v>0.4</v>
      </c>
      <c r="U1950">
        <v>1</v>
      </c>
      <c r="V1950">
        <v>1</v>
      </c>
      <c r="W1950">
        <v>0</v>
      </c>
      <c r="X1950" s="7">
        <v>1</v>
      </c>
      <c r="AN1950" s="10"/>
      <c r="AP1950" s="267">
        <v>2883</v>
      </c>
      <c r="AQ1950" t="s">
        <v>136</v>
      </c>
      <c r="AR1950" s="11"/>
    </row>
    <row r="1951" ht="16.5" spans="1:44">
      <c r="A1951" s="363">
        <v>10541</v>
      </c>
      <c r="B1951" s="394" t="s">
        <v>6684</v>
      </c>
      <c r="C1951" s="334" t="s">
        <v>5225</v>
      </c>
      <c r="D1951">
        <v>1</v>
      </c>
      <c r="E1951">
        <v>0</v>
      </c>
      <c r="G1951">
        <v>1</v>
      </c>
      <c r="H1951" s="5" t="s">
        <v>6687</v>
      </c>
      <c r="I1951">
        <f>89/30</f>
        <v>2.96666666666667</v>
      </c>
      <c r="J1951">
        <f>89/30</f>
        <v>2.96666666666667</v>
      </c>
      <c r="L1951">
        <v>1</v>
      </c>
      <c r="M1951">
        <f>89/30</f>
        <v>2.96666666666667</v>
      </c>
      <c r="N1951" t="s">
        <v>6688</v>
      </c>
      <c r="O1951">
        <v>1</v>
      </c>
      <c r="P1951">
        <v>3</v>
      </c>
      <c r="Q1951">
        <v>0</v>
      </c>
      <c r="S1951">
        <v>0.3</v>
      </c>
      <c r="T1951">
        <v>0.4</v>
      </c>
      <c r="U1951">
        <v>1</v>
      </c>
      <c r="V1951">
        <v>1</v>
      </c>
      <c r="W1951">
        <v>6</v>
      </c>
      <c r="X1951" s="7">
        <v>3</v>
      </c>
      <c r="AN1951" s="10"/>
      <c r="AP1951" s="267">
        <v>2885</v>
      </c>
      <c r="AQ1951" t="s">
        <v>136</v>
      </c>
      <c r="AR1951" s="11"/>
    </row>
    <row r="1952" ht="16.5" spans="1:44">
      <c r="A1952" s="363">
        <v>10542</v>
      </c>
      <c r="B1952" s="394" t="s">
        <v>6684</v>
      </c>
      <c r="C1952" s="334" t="s">
        <v>5413</v>
      </c>
      <c r="D1952">
        <v>2</v>
      </c>
      <c r="E1952">
        <v>1</v>
      </c>
      <c r="G1952">
        <v>1</v>
      </c>
      <c r="H1952" s="5" t="s">
        <v>6689</v>
      </c>
      <c r="I1952">
        <f>59/30</f>
        <v>1.96666666666667</v>
      </c>
      <c r="J1952">
        <f>59/30</f>
        <v>1.96666666666667</v>
      </c>
      <c r="L1952">
        <v>1</v>
      </c>
      <c r="M1952">
        <f>59/30</f>
        <v>1.96666666666667</v>
      </c>
      <c r="N1952" t="s">
        <v>6690</v>
      </c>
      <c r="O1952">
        <v>1</v>
      </c>
      <c r="P1952">
        <v>3</v>
      </c>
      <c r="Q1952">
        <v>0</v>
      </c>
      <c r="S1952">
        <v>0.3</v>
      </c>
      <c r="T1952">
        <v>0.4</v>
      </c>
      <c r="U1952">
        <v>1</v>
      </c>
      <c r="V1952">
        <v>1</v>
      </c>
      <c r="W1952">
        <v>0</v>
      </c>
      <c r="X1952" s="7">
        <v>1</v>
      </c>
      <c r="AN1952" s="10"/>
      <c r="AP1952" s="267">
        <v>2888</v>
      </c>
      <c r="AQ1952" t="s">
        <v>136</v>
      </c>
      <c r="AR1952" s="11"/>
    </row>
    <row r="1953" ht="16.5" spans="1:44">
      <c r="A1953" s="363">
        <v>10543</v>
      </c>
      <c r="B1953" s="394" t="s">
        <v>6684</v>
      </c>
      <c r="C1953" s="334" t="s">
        <v>5427</v>
      </c>
      <c r="D1953">
        <v>1</v>
      </c>
      <c r="E1953">
        <v>0</v>
      </c>
      <c r="G1953">
        <v>1</v>
      </c>
      <c r="H1953" s="5" t="s">
        <v>6691</v>
      </c>
      <c r="I1953">
        <f>85/30</f>
        <v>2.83333333333333</v>
      </c>
      <c r="J1953">
        <f>85/30</f>
        <v>2.83333333333333</v>
      </c>
      <c r="L1953">
        <v>1</v>
      </c>
      <c r="M1953">
        <f>85/30</f>
        <v>2.83333333333333</v>
      </c>
      <c r="N1953" t="s">
        <v>6692</v>
      </c>
      <c r="O1953">
        <v>1</v>
      </c>
      <c r="P1953">
        <v>3</v>
      </c>
      <c r="Q1953">
        <v>0</v>
      </c>
      <c r="S1953">
        <v>0.3</v>
      </c>
      <c r="T1953">
        <v>0.4</v>
      </c>
      <c r="U1953">
        <v>1</v>
      </c>
      <c r="V1953">
        <v>1</v>
      </c>
      <c r="W1953">
        <v>6</v>
      </c>
      <c r="X1953" s="7">
        <v>1</v>
      </c>
      <c r="AN1953" s="10"/>
      <c r="AP1953" s="267">
        <v>2889</v>
      </c>
      <c r="AQ1953" t="s">
        <v>136</v>
      </c>
      <c r="AR1953" s="11"/>
    </row>
    <row r="1954" ht="16.5" spans="1:44">
      <c r="A1954" s="363">
        <v>10544</v>
      </c>
      <c r="B1954" s="394" t="s">
        <v>6693</v>
      </c>
      <c r="C1954" s="334" t="s">
        <v>526</v>
      </c>
      <c r="D1954">
        <v>1</v>
      </c>
      <c r="E1954">
        <v>0</v>
      </c>
      <c r="G1954">
        <v>2</v>
      </c>
      <c r="H1954" s="5" t="s">
        <v>6694</v>
      </c>
      <c r="I1954">
        <f>48/30</f>
        <v>1.6</v>
      </c>
      <c r="J1954">
        <f>48/30</f>
        <v>1.6</v>
      </c>
      <c r="L1954">
        <v>0</v>
      </c>
      <c r="M1954">
        <f t="shared" ref="M1954:M2000" si="198">I1954-0.4</f>
        <v>1.2</v>
      </c>
      <c r="N1954" t="s">
        <v>6695</v>
      </c>
      <c r="O1954">
        <v>3</v>
      </c>
      <c r="P1954">
        <v>0</v>
      </c>
      <c r="Q1954">
        <v>0</v>
      </c>
      <c r="S1954">
        <v>0.7</v>
      </c>
      <c r="T1954">
        <v>0</v>
      </c>
      <c r="U1954">
        <v>0.3</v>
      </c>
      <c r="V1954">
        <v>5</v>
      </c>
      <c r="W1954">
        <v>29</v>
      </c>
      <c r="X1954" s="7">
        <v>1</v>
      </c>
      <c r="AN1954" s="10"/>
      <c r="AP1954" s="267"/>
      <c r="AR1954" s="11"/>
    </row>
    <row r="1955" ht="16.5" spans="1:44">
      <c r="A1955" s="363">
        <v>10545</v>
      </c>
      <c r="B1955" s="394" t="s">
        <v>6693</v>
      </c>
      <c r="C1955" s="334" t="s">
        <v>5225</v>
      </c>
      <c r="D1955">
        <v>1</v>
      </c>
      <c r="E1955">
        <v>0</v>
      </c>
      <c r="G1955">
        <v>2</v>
      </c>
      <c r="H1955" s="5" t="s">
        <v>6696</v>
      </c>
      <c r="I1955">
        <f>62/30</f>
        <v>2.06666666666667</v>
      </c>
      <c r="J1955">
        <f>62/30</f>
        <v>2.06666666666667</v>
      </c>
      <c r="L1955">
        <v>1</v>
      </c>
      <c r="M1955">
        <f t="shared" si="198"/>
        <v>1.66666666666667</v>
      </c>
      <c r="N1955" t="s">
        <v>6697</v>
      </c>
      <c r="O1955">
        <v>3</v>
      </c>
      <c r="P1955">
        <v>0</v>
      </c>
      <c r="Q1955">
        <v>0</v>
      </c>
      <c r="S1955">
        <v>-0.1</v>
      </c>
      <c r="T1955">
        <v>0</v>
      </c>
      <c r="U1955">
        <v>0.8</v>
      </c>
      <c r="V1955">
        <v>5</v>
      </c>
      <c r="W1955">
        <v>29</v>
      </c>
      <c r="X1955" s="7">
        <v>1</v>
      </c>
      <c r="AN1955" s="10"/>
      <c r="AP1955" s="267">
        <v>2894</v>
      </c>
      <c r="AQ1955" t="s">
        <v>136</v>
      </c>
      <c r="AR1955" s="11"/>
    </row>
    <row r="1956" ht="16.5" spans="1:44">
      <c r="A1956" s="363">
        <v>10546</v>
      </c>
      <c r="B1956" s="394" t="s">
        <v>6693</v>
      </c>
      <c r="C1956" s="334" t="s">
        <v>5413</v>
      </c>
      <c r="D1956">
        <v>1</v>
      </c>
      <c r="E1956">
        <v>0</v>
      </c>
      <c r="G1956">
        <v>1</v>
      </c>
      <c r="H1956" s="5" t="s">
        <v>6698</v>
      </c>
      <c r="I1956">
        <f>89/30</f>
        <v>2.96666666666667</v>
      </c>
      <c r="J1956">
        <f>89/30</f>
        <v>2.96666666666667</v>
      </c>
      <c r="L1956">
        <v>1</v>
      </c>
      <c r="M1956">
        <f t="shared" si="198"/>
        <v>2.56666666666667</v>
      </c>
      <c r="N1956" t="s">
        <v>6699</v>
      </c>
      <c r="O1956">
        <v>3</v>
      </c>
      <c r="P1956">
        <v>0</v>
      </c>
      <c r="Q1956">
        <v>0</v>
      </c>
      <c r="S1956">
        <v>0.7</v>
      </c>
      <c r="T1956">
        <v>0</v>
      </c>
      <c r="U1956">
        <v>0.3</v>
      </c>
      <c r="V1956">
        <v>5</v>
      </c>
      <c r="W1956">
        <v>29</v>
      </c>
      <c r="X1956" s="7">
        <v>2</v>
      </c>
      <c r="AN1956" s="10"/>
      <c r="AP1956" s="267">
        <v>2897</v>
      </c>
      <c r="AQ1956" t="s">
        <v>136</v>
      </c>
      <c r="AR1956" s="11"/>
    </row>
    <row r="1957" ht="16.5" spans="1:44">
      <c r="A1957" s="363">
        <v>10547</v>
      </c>
      <c r="B1957" s="394" t="s">
        <v>6693</v>
      </c>
      <c r="C1957" s="334" t="s">
        <v>5427</v>
      </c>
      <c r="D1957">
        <v>1</v>
      </c>
      <c r="E1957">
        <v>0</v>
      </c>
      <c r="G1957">
        <v>1</v>
      </c>
      <c r="H1957" s="5" t="s">
        <v>6700</v>
      </c>
      <c r="I1957">
        <f>213/30</f>
        <v>7.1</v>
      </c>
      <c r="J1957">
        <f>213/30</f>
        <v>7.1</v>
      </c>
      <c r="L1957">
        <v>1</v>
      </c>
      <c r="M1957">
        <f t="shared" si="198"/>
        <v>6.7</v>
      </c>
      <c r="N1957" t="s">
        <v>6701</v>
      </c>
      <c r="O1957">
        <v>1</v>
      </c>
      <c r="P1957">
        <v>12</v>
      </c>
      <c r="Q1957">
        <v>0</v>
      </c>
      <c r="S1957">
        <v>0.7</v>
      </c>
      <c r="T1957">
        <v>0</v>
      </c>
      <c r="U1957">
        <v>0.3</v>
      </c>
      <c r="V1957">
        <v>1</v>
      </c>
      <c r="W1957">
        <v>6</v>
      </c>
      <c r="X1957" s="7">
        <v>5</v>
      </c>
      <c r="AB1957">
        <f t="shared" ref="AB1957:AB1962" si="199">I1957-0.3</f>
        <v>6.8</v>
      </c>
      <c r="AC1957">
        <v>2</v>
      </c>
      <c r="AD1957">
        <v>1</v>
      </c>
      <c r="AE1957" t="s">
        <v>6702</v>
      </c>
      <c r="AF1957">
        <v>0.5</v>
      </c>
      <c r="AN1957" s="10"/>
      <c r="AP1957" s="267">
        <v>2899</v>
      </c>
      <c r="AQ1957" t="s">
        <v>136</v>
      </c>
      <c r="AR1957" s="749" t="s">
        <v>239</v>
      </c>
    </row>
    <row r="1958" ht="16.5" spans="1:44">
      <c r="A1958" s="363">
        <v>10548</v>
      </c>
      <c r="B1958" s="373" t="s">
        <v>6650</v>
      </c>
      <c r="C1958" s="334" t="s">
        <v>5225</v>
      </c>
      <c r="D1958">
        <v>1</v>
      </c>
      <c r="E1958">
        <v>0</v>
      </c>
      <c r="G1958">
        <v>1</v>
      </c>
      <c r="H1958" s="5" t="s">
        <v>6703</v>
      </c>
      <c r="I1958">
        <f>230/30</f>
        <v>7.66666666666667</v>
      </c>
      <c r="J1958">
        <f>230/30</f>
        <v>7.66666666666667</v>
      </c>
      <c r="L1958">
        <v>1</v>
      </c>
      <c r="M1958">
        <f t="shared" si="198"/>
        <v>7.26666666666667</v>
      </c>
      <c r="N1958" t="s">
        <v>6704</v>
      </c>
      <c r="O1958">
        <v>1</v>
      </c>
      <c r="P1958">
        <v>3</v>
      </c>
      <c r="Q1958">
        <v>0</v>
      </c>
      <c r="S1958">
        <v>1</v>
      </c>
      <c r="T1958">
        <v>0</v>
      </c>
      <c r="U1958">
        <v>0.3</v>
      </c>
      <c r="V1958">
        <v>1</v>
      </c>
      <c r="W1958">
        <v>29</v>
      </c>
      <c r="X1958" s="7">
        <v>4</v>
      </c>
      <c r="AB1958">
        <f t="shared" si="199"/>
        <v>7.36666666666667</v>
      </c>
      <c r="AC1958">
        <v>2</v>
      </c>
      <c r="AD1958">
        <v>1</v>
      </c>
      <c r="AE1958" t="s">
        <v>6705</v>
      </c>
      <c r="AF1958">
        <v>0.5</v>
      </c>
      <c r="AN1958" s="10"/>
      <c r="AP1958" s="267">
        <v>2863</v>
      </c>
      <c r="AQ1958" t="s">
        <v>136</v>
      </c>
      <c r="AR1958" s="749" t="s">
        <v>239</v>
      </c>
    </row>
    <row r="1959" ht="16.5" spans="1:44">
      <c r="A1959" s="363">
        <v>10549</v>
      </c>
      <c r="B1959" s="373" t="s">
        <v>3048</v>
      </c>
      <c r="C1959" s="334" t="s">
        <v>526</v>
      </c>
      <c r="D1959">
        <v>1</v>
      </c>
      <c r="E1959">
        <v>0</v>
      </c>
      <c r="G1959">
        <v>1</v>
      </c>
      <c r="H1959" s="5" t="s">
        <v>6706</v>
      </c>
      <c r="I1959">
        <f>133/30</f>
        <v>4.43333333333333</v>
      </c>
      <c r="J1959">
        <f>133/30</f>
        <v>4.43333333333333</v>
      </c>
      <c r="L1959">
        <v>0</v>
      </c>
      <c r="M1959">
        <f t="shared" si="198"/>
        <v>4.03333333333333</v>
      </c>
      <c r="N1959" t="s">
        <v>6707</v>
      </c>
      <c r="O1959">
        <v>1</v>
      </c>
      <c r="P1959">
        <v>4</v>
      </c>
      <c r="Q1959">
        <v>0</v>
      </c>
      <c r="S1959">
        <v>0.2</v>
      </c>
      <c r="T1959">
        <v>-0.1</v>
      </c>
      <c r="U1959">
        <v>0.2</v>
      </c>
      <c r="V1959">
        <v>1</v>
      </c>
      <c r="W1959">
        <v>0</v>
      </c>
      <c r="X1959" s="7">
        <v>1</v>
      </c>
      <c r="AN1959" s="10">
        <v>2918</v>
      </c>
      <c r="AO1959" s="470" t="s">
        <v>1103</v>
      </c>
      <c r="AP1959" s="267">
        <v>2917</v>
      </c>
      <c r="AQ1959" t="s">
        <v>136</v>
      </c>
      <c r="AR1959" s="11"/>
    </row>
    <row r="1960" ht="16.5" spans="1:44">
      <c r="A1960" s="363">
        <v>10550</v>
      </c>
      <c r="B1960" s="373" t="s">
        <v>3048</v>
      </c>
      <c r="C1960" s="334" t="s">
        <v>5225</v>
      </c>
      <c r="D1960">
        <v>1</v>
      </c>
      <c r="E1960">
        <v>0</v>
      </c>
      <c r="G1960">
        <v>1</v>
      </c>
      <c r="H1960" s="5" t="s">
        <v>6708</v>
      </c>
      <c r="I1960">
        <f>120/30</f>
        <v>4</v>
      </c>
      <c r="J1960">
        <f>120/30</f>
        <v>4</v>
      </c>
      <c r="L1960">
        <v>1</v>
      </c>
      <c r="M1960">
        <f t="shared" si="198"/>
        <v>3.6</v>
      </c>
      <c r="N1960" t="s">
        <v>6709</v>
      </c>
      <c r="O1960">
        <v>1</v>
      </c>
      <c r="P1960">
        <v>4</v>
      </c>
      <c r="Q1960">
        <v>0</v>
      </c>
      <c r="S1960">
        <v>0.2</v>
      </c>
      <c r="T1960">
        <v>-0.1</v>
      </c>
      <c r="U1960">
        <v>0.2</v>
      </c>
      <c r="V1960">
        <v>1</v>
      </c>
      <c r="W1960">
        <v>0</v>
      </c>
      <c r="X1960" s="7">
        <v>11</v>
      </c>
      <c r="AN1960" s="10"/>
      <c r="AP1960" s="267">
        <v>2920</v>
      </c>
      <c r="AQ1960" t="s">
        <v>136</v>
      </c>
      <c r="AR1960" s="11"/>
    </row>
    <row r="1961" ht="13" customHeight="1" spans="1:44">
      <c r="A1961" s="363">
        <v>10551</v>
      </c>
      <c r="B1961" s="373" t="s">
        <v>3048</v>
      </c>
      <c r="C1961" s="334" t="s">
        <v>5413</v>
      </c>
      <c r="D1961">
        <v>1</v>
      </c>
      <c r="E1961">
        <v>0</v>
      </c>
      <c r="G1961">
        <v>1</v>
      </c>
      <c r="H1961" s="5" t="s">
        <v>6710</v>
      </c>
      <c r="I1961">
        <f>110/30</f>
        <v>3.66666666666667</v>
      </c>
      <c r="J1961">
        <f>110/30</f>
        <v>3.66666666666667</v>
      </c>
      <c r="L1961">
        <v>1</v>
      </c>
      <c r="M1961">
        <f t="shared" si="198"/>
        <v>3.26666666666667</v>
      </c>
      <c r="N1961" t="s">
        <v>6711</v>
      </c>
      <c r="O1961">
        <v>1</v>
      </c>
      <c r="P1961">
        <v>4</v>
      </c>
      <c r="Q1961">
        <v>0</v>
      </c>
      <c r="S1961">
        <v>-2</v>
      </c>
      <c r="T1961">
        <v>-2</v>
      </c>
      <c r="U1961">
        <v>0.2</v>
      </c>
      <c r="V1961">
        <v>1</v>
      </c>
      <c r="W1961">
        <v>6</v>
      </c>
      <c r="X1961" s="7">
        <v>1</v>
      </c>
      <c r="AN1961" s="10"/>
      <c r="AP1961" s="267">
        <v>2921</v>
      </c>
      <c r="AQ1961" t="s">
        <v>136</v>
      </c>
      <c r="AR1961" s="11"/>
    </row>
    <row r="1962" ht="16.5" spans="1:44">
      <c r="A1962" s="363">
        <v>10552</v>
      </c>
      <c r="B1962" s="373" t="s">
        <v>3048</v>
      </c>
      <c r="C1962" s="334" t="s">
        <v>5427</v>
      </c>
      <c r="D1962">
        <v>1</v>
      </c>
      <c r="E1962">
        <v>0</v>
      </c>
      <c r="G1962">
        <v>1</v>
      </c>
      <c r="H1962" s="5" t="s">
        <v>6712</v>
      </c>
      <c r="I1962">
        <f>210/30</f>
        <v>7</v>
      </c>
      <c r="J1962">
        <f>210/30</f>
        <v>7</v>
      </c>
      <c r="L1962">
        <v>1</v>
      </c>
      <c r="M1962">
        <f t="shared" si="198"/>
        <v>6.6</v>
      </c>
      <c r="N1962" t="s">
        <v>6713</v>
      </c>
      <c r="O1962">
        <v>1</v>
      </c>
      <c r="P1962">
        <v>4</v>
      </c>
      <c r="Q1962">
        <v>0</v>
      </c>
      <c r="S1962">
        <v>0.5</v>
      </c>
      <c r="T1962">
        <v>0.2</v>
      </c>
      <c r="U1962">
        <v>0.2</v>
      </c>
      <c r="V1962">
        <v>1</v>
      </c>
      <c r="W1962">
        <v>0</v>
      </c>
      <c r="X1962" s="7">
        <v>4</v>
      </c>
      <c r="AB1962">
        <f t="shared" si="199"/>
        <v>6.7</v>
      </c>
      <c r="AC1962">
        <v>2</v>
      </c>
      <c r="AD1962">
        <v>1</v>
      </c>
      <c r="AE1962" t="s">
        <v>6714</v>
      </c>
      <c r="AF1962">
        <v>0.5</v>
      </c>
      <c r="AN1962" s="10"/>
      <c r="AP1962" s="267">
        <v>2923</v>
      </c>
      <c r="AQ1962" t="s">
        <v>136</v>
      </c>
      <c r="AR1962" s="749" t="s">
        <v>239</v>
      </c>
    </row>
    <row r="1963" spans="1:44">
      <c r="A1963" s="363">
        <v>10553</v>
      </c>
      <c r="B1963" s="3" t="s">
        <v>1973</v>
      </c>
      <c r="C1963" s="3" t="s">
        <v>526</v>
      </c>
      <c r="D1963">
        <v>1</v>
      </c>
      <c r="E1963">
        <v>0</v>
      </c>
      <c r="F1963" s="3"/>
      <c r="G1963" s="3">
        <v>2</v>
      </c>
      <c r="H1963" s="5" t="s">
        <v>6715</v>
      </c>
      <c r="I1963">
        <f>110/30</f>
        <v>3.66666666666667</v>
      </c>
      <c r="J1963">
        <f>110/30</f>
        <v>3.66666666666667</v>
      </c>
      <c r="K1963" s="3"/>
      <c r="L1963">
        <v>0</v>
      </c>
      <c r="M1963">
        <f t="shared" si="198"/>
        <v>3.26666666666667</v>
      </c>
      <c r="N1963" s="3" t="s">
        <v>6716</v>
      </c>
      <c r="O1963">
        <v>0</v>
      </c>
      <c r="P1963">
        <v>0</v>
      </c>
      <c r="Q1963">
        <v>1</v>
      </c>
      <c r="V1963">
        <v>5</v>
      </c>
      <c r="W1963">
        <v>0</v>
      </c>
      <c r="X1963" s="7">
        <v>4</v>
      </c>
      <c r="Y1963">
        <v>-0.1</v>
      </c>
      <c r="Z1963">
        <v>0</v>
      </c>
      <c r="AP1963" s="10">
        <v>1714</v>
      </c>
      <c r="AQ1963" s="3" t="s">
        <v>136</v>
      </c>
      <c r="AR1963" s="11"/>
    </row>
    <row r="1964" spans="1:44">
      <c r="A1964" s="363">
        <v>10554</v>
      </c>
      <c r="B1964" s="3" t="s">
        <v>1973</v>
      </c>
      <c r="C1964" s="3" t="s">
        <v>1976</v>
      </c>
      <c r="D1964">
        <v>1</v>
      </c>
      <c r="E1964">
        <v>0</v>
      </c>
      <c r="F1964" s="3"/>
      <c r="G1964" s="3">
        <v>2</v>
      </c>
      <c r="H1964" s="5" t="s">
        <v>6717</v>
      </c>
      <c r="I1964">
        <f>86/30</f>
        <v>2.86666666666667</v>
      </c>
      <c r="J1964">
        <f>86/30</f>
        <v>2.86666666666667</v>
      </c>
      <c r="K1964" s="3"/>
      <c r="L1964">
        <v>1</v>
      </c>
      <c r="M1964">
        <f t="shared" si="198"/>
        <v>2.46666666666667</v>
      </c>
      <c r="N1964" s="3" t="s">
        <v>6718</v>
      </c>
      <c r="O1964">
        <v>0</v>
      </c>
      <c r="P1964">
        <v>0</v>
      </c>
      <c r="Q1964">
        <v>1</v>
      </c>
      <c r="V1964">
        <v>5</v>
      </c>
      <c r="W1964">
        <v>0</v>
      </c>
      <c r="X1964" s="7">
        <v>2</v>
      </c>
      <c r="Y1964">
        <v>-0.1</v>
      </c>
      <c r="Z1964">
        <v>0</v>
      </c>
      <c r="AI1964">
        <v>1</v>
      </c>
      <c r="AJ1964">
        <v>2</v>
      </c>
      <c r="AK1964" t="s">
        <v>1303</v>
      </c>
      <c r="AL1964">
        <v>2</v>
      </c>
      <c r="AM1964">
        <v>0.6</v>
      </c>
      <c r="AP1964" s="10">
        <v>1721</v>
      </c>
      <c r="AQ1964" s="3" t="s">
        <v>136</v>
      </c>
      <c r="AR1964" s="11"/>
    </row>
    <row r="1965" spans="1:44">
      <c r="A1965" s="363">
        <v>10555</v>
      </c>
      <c r="B1965" s="3" t="s">
        <v>1973</v>
      </c>
      <c r="C1965" s="3" t="s">
        <v>1979</v>
      </c>
      <c r="D1965">
        <v>1</v>
      </c>
      <c r="E1965">
        <v>0</v>
      </c>
      <c r="F1965" s="3"/>
      <c r="G1965" s="3">
        <v>2</v>
      </c>
      <c r="H1965" s="5" t="s">
        <v>6719</v>
      </c>
      <c r="I1965">
        <v>3.1</v>
      </c>
      <c r="J1965">
        <v>3.1</v>
      </c>
      <c r="K1965" s="3"/>
      <c r="L1965">
        <v>1</v>
      </c>
      <c r="M1965">
        <f t="shared" si="198"/>
        <v>2.7</v>
      </c>
      <c r="N1965" s="3" t="s">
        <v>6720</v>
      </c>
      <c r="O1965">
        <v>0</v>
      </c>
      <c r="P1965">
        <v>0</v>
      </c>
      <c r="Q1965">
        <v>0</v>
      </c>
      <c r="S1965">
        <v>0.2</v>
      </c>
      <c r="U1965">
        <v>0.3</v>
      </c>
      <c r="V1965">
        <v>5</v>
      </c>
      <c r="W1965">
        <v>6</v>
      </c>
      <c r="X1965" s="7">
        <v>1</v>
      </c>
      <c r="Y1965">
        <v>-0.1</v>
      </c>
      <c r="Z1965">
        <v>0</v>
      </c>
      <c r="AP1965" s="10">
        <v>1723</v>
      </c>
      <c r="AQ1965" s="3" t="s">
        <v>136</v>
      </c>
      <c r="AR1965" s="11"/>
    </row>
    <row r="1966" spans="1:44">
      <c r="A1966" s="363">
        <v>10556</v>
      </c>
      <c r="B1966" s="3" t="s">
        <v>1973</v>
      </c>
      <c r="C1966" s="3" t="s">
        <v>1982</v>
      </c>
      <c r="D1966">
        <v>1</v>
      </c>
      <c r="E1966">
        <v>0</v>
      </c>
      <c r="F1966" s="3"/>
      <c r="G1966" s="3">
        <v>2</v>
      </c>
      <c r="H1966" s="5" t="s">
        <v>6721</v>
      </c>
      <c r="I1966">
        <f>90/30</f>
        <v>3</v>
      </c>
      <c r="J1966">
        <f>90/30</f>
        <v>3</v>
      </c>
      <c r="K1966" s="3"/>
      <c r="L1966">
        <v>0</v>
      </c>
      <c r="M1966">
        <f t="shared" si="198"/>
        <v>2.6</v>
      </c>
      <c r="N1966" s="3" t="s">
        <v>6722</v>
      </c>
      <c r="O1966">
        <v>0</v>
      </c>
      <c r="P1966">
        <v>0</v>
      </c>
      <c r="Q1966">
        <v>1</v>
      </c>
      <c r="V1966">
        <v>5</v>
      </c>
      <c r="W1966">
        <v>6</v>
      </c>
      <c r="X1966" s="7">
        <v>1</v>
      </c>
      <c r="Y1966">
        <v>-0.1</v>
      </c>
      <c r="Z1966">
        <v>0</v>
      </c>
      <c r="AP1966" s="10">
        <v>1725</v>
      </c>
      <c r="AQ1966" s="3" t="s">
        <v>136</v>
      </c>
      <c r="AR1966" s="11"/>
    </row>
    <row r="1967" spans="1:44">
      <c r="A1967" s="363">
        <v>10557</v>
      </c>
      <c r="B1967" s="3" t="s">
        <v>1973</v>
      </c>
      <c r="C1967" s="3" t="s">
        <v>1985</v>
      </c>
      <c r="D1967">
        <v>1</v>
      </c>
      <c r="E1967">
        <v>0</v>
      </c>
      <c r="F1967" s="3"/>
      <c r="G1967" s="3">
        <v>2</v>
      </c>
      <c r="H1967" s="5" t="s">
        <v>6723</v>
      </c>
      <c r="I1967">
        <f>70/30</f>
        <v>2.33333333333333</v>
      </c>
      <c r="J1967">
        <f>70/30</f>
        <v>2.33333333333333</v>
      </c>
      <c r="K1967" s="3"/>
      <c r="L1967">
        <v>1</v>
      </c>
      <c r="M1967">
        <f t="shared" si="198"/>
        <v>1.93333333333333</v>
      </c>
      <c r="N1967" s="3" t="s">
        <v>6724</v>
      </c>
      <c r="O1967">
        <v>0</v>
      </c>
      <c r="P1967">
        <v>0</v>
      </c>
      <c r="Q1967">
        <v>1</v>
      </c>
      <c r="V1967">
        <v>5</v>
      </c>
      <c r="W1967">
        <v>0</v>
      </c>
      <c r="X1967" s="7">
        <v>2</v>
      </c>
      <c r="Y1967">
        <v>-0.1</v>
      </c>
      <c r="Z1967">
        <v>0</v>
      </c>
      <c r="AP1967" s="10">
        <v>1747</v>
      </c>
      <c r="AQ1967" s="3" t="s">
        <v>136</v>
      </c>
      <c r="AR1967" s="11"/>
    </row>
    <row r="1968" spans="1:44">
      <c r="A1968" s="363">
        <v>10558</v>
      </c>
      <c r="B1968" s="3" t="s">
        <v>1973</v>
      </c>
      <c r="C1968" s="3" t="s">
        <v>1988</v>
      </c>
      <c r="D1968">
        <v>1</v>
      </c>
      <c r="E1968">
        <v>0</v>
      </c>
      <c r="F1968" s="3"/>
      <c r="G1968" s="3">
        <v>2</v>
      </c>
      <c r="H1968" s="5" t="s">
        <v>6725</v>
      </c>
      <c r="I1968">
        <f>426/30</f>
        <v>14.2</v>
      </c>
      <c r="J1968">
        <f>426/30</f>
        <v>14.2</v>
      </c>
      <c r="K1968" s="3"/>
      <c r="L1968">
        <v>1</v>
      </c>
      <c r="M1968">
        <f t="shared" si="198"/>
        <v>13.8</v>
      </c>
      <c r="N1968" s="3" t="s">
        <v>6726</v>
      </c>
      <c r="O1968">
        <v>1</v>
      </c>
      <c r="P1968">
        <v>0</v>
      </c>
      <c r="Q1968">
        <v>0</v>
      </c>
      <c r="V1968">
        <v>5</v>
      </c>
      <c r="W1968">
        <v>0</v>
      </c>
      <c r="X1968" s="7">
        <v>6</v>
      </c>
      <c r="Y1968">
        <v>-0.1</v>
      </c>
      <c r="Z1968">
        <v>0</v>
      </c>
      <c r="AB1968">
        <v>13.9</v>
      </c>
      <c r="AC1968">
        <v>2</v>
      </c>
      <c r="AD1968">
        <v>1</v>
      </c>
      <c r="AE1968" t="s">
        <v>1991</v>
      </c>
      <c r="AF1968">
        <v>0.5</v>
      </c>
      <c r="AP1968" s="10">
        <v>1726</v>
      </c>
      <c r="AQ1968" s="3" t="s">
        <v>136</v>
      </c>
      <c r="AR1968" s="11" t="s">
        <v>1740</v>
      </c>
    </row>
    <row r="1969" spans="1:44">
      <c r="A1969" s="363">
        <v>10559</v>
      </c>
      <c r="B1969" s="3" t="s">
        <v>1973</v>
      </c>
      <c r="C1969" s="3" t="s">
        <v>1992</v>
      </c>
      <c r="D1969">
        <v>1</v>
      </c>
      <c r="E1969">
        <v>0</v>
      </c>
      <c r="F1969" s="3"/>
      <c r="G1969" s="3">
        <v>2</v>
      </c>
      <c r="H1969" s="5" t="s">
        <v>6727</v>
      </c>
      <c r="I1969">
        <f>235/30</f>
        <v>7.83333333333333</v>
      </c>
      <c r="J1969">
        <f>235/30</f>
        <v>7.83333333333333</v>
      </c>
      <c r="K1969" s="3"/>
      <c r="L1969">
        <v>1</v>
      </c>
      <c r="M1969">
        <f t="shared" si="198"/>
        <v>7.43333333333333</v>
      </c>
      <c r="N1969" s="3" t="s">
        <v>6728</v>
      </c>
      <c r="O1969">
        <v>3</v>
      </c>
      <c r="P1969">
        <v>-3</v>
      </c>
      <c r="Q1969">
        <v>0</v>
      </c>
      <c r="V1969">
        <v>5</v>
      </c>
      <c r="W1969">
        <v>6</v>
      </c>
      <c r="X1969" s="7">
        <v>3</v>
      </c>
      <c r="Y1969">
        <v>-0.1</v>
      </c>
      <c r="Z1969">
        <v>0</v>
      </c>
      <c r="AB1969">
        <v>7.53333333</v>
      </c>
      <c r="AC1969">
        <v>1</v>
      </c>
      <c r="AD1969">
        <v>1</v>
      </c>
      <c r="AE1969" t="s">
        <v>1995</v>
      </c>
      <c r="AF1969">
        <v>0.5</v>
      </c>
      <c r="AN1969" s="8">
        <v>1728</v>
      </c>
      <c r="AO1969" t="s">
        <v>1996</v>
      </c>
      <c r="AP1969" s="10">
        <v>1727</v>
      </c>
      <c r="AQ1969" s="3" t="s">
        <v>136</v>
      </c>
      <c r="AR1969" s="11" t="s">
        <v>1740</v>
      </c>
    </row>
    <row r="1970" spans="1:44">
      <c r="A1970" s="363">
        <v>10560</v>
      </c>
      <c r="B1970" s="3" t="s">
        <v>1973</v>
      </c>
      <c r="C1970" s="3" t="s">
        <v>1997</v>
      </c>
      <c r="D1970">
        <v>1</v>
      </c>
      <c r="E1970">
        <v>0</v>
      </c>
      <c r="F1970" s="3"/>
      <c r="G1970" s="3">
        <v>2</v>
      </c>
      <c r="H1970" s="5" t="s">
        <v>6729</v>
      </c>
      <c r="I1970">
        <f>342/30</f>
        <v>11.4</v>
      </c>
      <c r="J1970">
        <f>342/30</f>
        <v>11.4</v>
      </c>
      <c r="K1970" s="3"/>
      <c r="L1970">
        <v>1</v>
      </c>
      <c r="M1970">
        <f t="shared" si="198"/>
        <v>11</v>
      </c>
      <c r="N1970" s="3" t="s">
        <v>2074</v>
      </c>
      <c r="O1970">
        <v>1</v>
      </c>
      <c r="P1970">
        <v>0</v>
      </c>
      <c r="Q1970">
        <v>0</v>
      </c>
      <c r="V1970">
        <v>5</v>
      </c>
      <c r="W1970">
        <v>0</v>
      </c>
      <c r="X1970" s="7">
        <v>2</v>
      </c>
      <c r="Y1970">
        <v>-0.1</v>
      </c>
      <c r="Z1970">
        <v>0</v>
      </c>
      <c r="AB1970">
        <v>11.1</v>
      </c>
      <c r="AC1970">
        <v>2</v>
      </c>
      <c r="AD1970">
        <v>1</v>
      </c>
      <c r="AE1970" t="s">
        <v>2000</v>
      </c>
      <c r="AF1970">
        <v>0.5</v>
      </c>
      <c r="AP1970" s="10">
        <v>1750</v>
      </c>
      <c r="AQ1970" s="3" t="s">
        <v>136</v>
      </c>
      <c r="AR1970" s="11" t="s">
        <v>1740</v>
      </c>
    </row>
    <row r="1971" spans="1:44">
      <c r="A1971" s="363">
        <v>10561</v>
      </c>
      <c r="B1971" s="3" t="s">
        <v>6730</v>
      </c>
      <c r="C1971" s="334" t="s">
        <v>526</v>
      </c>
      <c r="D1971">
        <v>1</v>
      </c>
      <c r="E1971">
        <v>0</v>
      </c>
      <c r="F1971" s="3"/>
      <c r="G1971" s="3">
        <v>1</v>
      </c>
      <c r="H1971" s="11" t="s">
        <v>6731</v>
      </c>
      <c r="I1971">
        <f>65/30</f>
        <v>2.16666666666667</v>
      </c>
      <c r="J1971">
        <f>65/30</f>
        <v>2.16666666666667</v>
      </c>
      <c r="K1971" s="3"/>
      <c r="L1971">
        <v>0</v>
      </c>
      <c r="M1971">
        <f t="shared" si="198"/>
        <v>1.76666666666667</v>
      </c>
      <c r="N1971" s="3" t="s">
        <v>6732</v>
      </c>
      <c r="O1971">
        <v>1</v>
      </c>
      <c r="P1971">
        <v>1.5</v>
      </c>
      <c r="Q1971">
        <v>0</v>
      </c>
      <c r="V1971">
        <v>1</v>
      </c>
      <c r="W1971">
        <v>0</v>
      </c>
      <c r="X1971" s="7">
        <v>1</v>
      </c>
      <c r="Y1971">
        <v>-0.1</v>
      </c>
      <c r="AP1971" s="10">
        <v>2931</v>
      </c>
      <c r="AQ1971" s="3" t="s">
        <v>136</v>
      </c>
      <c r="AR1971" s="11"/>
    </row>
    <row r="1972" s="37" customFormat="1" ht="16.5" spans="1:44">
      <c r="A1972" s="517">
        <v>10562</v>
      </c>
      <c r="B1972" s="290" t="s">
        <v>6733</v>
      </c>
      <c r="C1972" s="483" t="s">
        <v>526</v>
      </c>
      <c r="D1972" s="37">
        <v>1</v>
      </c>
      <c r="E1972" s="37">
        <v>0</v>
      </c>
      <c r="F1972" s="290"/>
      <c r="G1972" s="290">
        <v>1</v>
      </c>
      <c r="H1972" s="291" t="s">
        <v>6734</v>
      </c>
      <c r="I1972" s="37">
        <f>60/30</f>
        <v>2</v>
      </c>
      <c r="J1972" s="37">
        <f>60/30</f>
        <v>2</v>
      </c>
      <c r="K1972" s="290"/>
      <c r="L1972" s="37">
        <v>0</v>
      </c>
      <c r="M1972" s="37">
        <f t="shared" si="198"/>
        <v>1.6</v>
      </c>
      <c r="N1972" s="290" t="s">
        <v>6735</v>
      </c>
      <c r="O1972" s="37">
        <v>1</v>
      </c>
      <c r="P1972" s="37">
        <v>3.35</v>
      </c>
      <c r="Q1972" s="37">
        <v>0</v>
      </c>
      <c r="U1972" s="37">
        <v>0.2</v>
      </c>
      <c r="V1972" s="37">
        <v>1</v>
      </c>
      <c r="W1972" s="37">
        <v>0</v>
      </c>
      <c r="X1972" s="303">
        <v>3</v>
      </c>
      <c r="Y1972" s="37">
        <v>-0.1</v>
      </c>
      <c r="Z1972" s="37">
        <v>0</v>
      </c>
      <c r="AN1972" s="311"/>
      <c r="AP1972" s="267">
        <v>1689</v>
      </c>
      <c r="AQ1972" s="3" t="s">
        <v>136</v>
      </c>
      <c r="AR1972" s="485"/>
    </row>
    <row r="1973" s="37" customFormat="1" ht="16.5" spans="1:44">
      <c r="A1973" s="517">
        <v>10563</v>
      </c>
      <c r="B1973" s="290" t="s">
        <v>6733</v>
      </c>
      <c r="C1973" s="691" t="s">
        <v>6736</v>
      </c>
      <c r="D1973" s="37">
        <v>1</v>
      </c>
      <c r="E1973" s="37">
        <v>0</v>
      </c>
      <c r="F1973" s="290"/>
      <c r="G1973" s="290">
        <v>1</v>
      </c>
      <c r="H1973" s="291" t="s">
        <v>6737</v>
      </c>
      <c r="I1973" s="37">
        <f>110/30</f>
        <v>3.66666666666667</v>
      </c>
      <c r="J1973" s="37">
        <f>110/30</f>
        <v>3.66666666666667</v>
      </c>
      <c r="K1973" s="290"/>
      <c r="L1973" s="37">
        <v>1</v>
      </c>
      <c r="M1973" s="37">
        <f t="shared" si="198"/>
        <v>3.26666666666667</v>
      </c>
      <c r="N1973" s="290" t="s">
        <v>6738</v>
      </c>
      <c r="O1973" s="37">
        <v>1</v>
      </c>
      <c r="P1973" s="37">
        <v>3.35</v>
      </c>
      <c r="Q1973" s="37">
        <v>0</v>
      </c>
      <c r="S1973" s="37">
        <v>2.5</v>
      </c>
      <c r="U1973" s="37">
        <v>0.6</v>
      </c>
      <c r="V1973" s="37">
        <v>1</v>
      </c>
      <c r="W1973" s="37">
        <v>0</v>
      </c>
      <c r="X1973" s="303">
        <v>3</v>
      </c>
      <c r="Y1973" s="37">
        <v>-0.1</v>
      </c>
      <c r="Z1973" s="37">
        <v>0</v>
      </c>
      <c r="AN1973" s="311"/>
      <c r="AP1973" s="267">
        <v>1690</v>
      </c>
      <c r="AQ1973" s="3" t="s">
        <v>136</v>
      </c>
      <c r="AR1973" s="485"/>
    </row>
    <row r="1974" s="37" customFormat="1" ht="16.5" spans="1:44">
      <c r="A1974" s="517">
        <v>10564</v>
      </c>
      <c r="B1974" s="290" t="s">
        <v>6733</v>
      </c>
      <c r="C1974" s="691" t="s">
        <v>2011</v>
      </c>
      <c r="D1974" s="37">
        <v>1</v>
      </c>
      <c r="E1974" s="37">
        <v>0</v>
      </c>
      <c r="F1974" s="290"/>
      <c r="G1974" s="290">
        <v>1</v>
      </c>
      <c r="H1974" s="291" t="s">
        <v>6739</v>
      </c>
      <c r="I1974" s="37">
        <f>95/30</f>
        <v>3.16666666666667</v>
      </c>
      <c r="J1974" s="37">
        <f>95/30</f>
        <v>3.16666666666667</v>
      </c>
      <c r="K1974" s="290"/>
      <c r="L1974" s="37">
        <v>1</v>
      </c>
      <c r="M1974" s="37">
        <f t="shared" si="198"/>
        <v>2.76666666666667</v>
      </c>
      <c r="N1974" s="290" t="s">
        <v>6740</v>
      </c>
      <c r="O1974" s="37">
        <v>1</v>
      </c>
      <c r="P1974" s="37">
        <v>3.35</v>
      </c>
      <c r="Q1974" s="37">
        <v>0</v>
      </c>
      <c r="S1974" s="37">
        <v>2</v>
      </c>
      <c r="T1974" s="37">
        <v>1</v>
      </c>
      <c r="U1974" s="37">
        <v>1</v>
      </c>
      <c r="V1974" s="37">
        <v>1</v>
      </c>
      <c r="W1974" s="37">
        <v>0</v>
      </c>
      <c r="X1974" s="303">
        <v>1</v>
      </c>
      <c r="Y1974" s="37">
        <v>-0.1</v>
      </c>
      <c r="Z1974" s="37">
        <v>0</v>
      </c>
      <c r="AN1974" s="311"/>
      <c r="AP1974" s="267">
        <v>1692</v>
      </c>
      <c r="AQ1974" s="3" t="s">
        <v>136</v>
      </c>
      <c r="AR1974" s="485"/>
    </row>
    <row r="1975" s="37" customFormat="1" ht="16.5" spans="1:44">
      <c r="A1975" s="517">
        <v>10565</v>
      </c>
      <c r="B1975" s="290" t="s">
        <v>6733</v>
      </c>
      <c r="C1975" s="691" t="s">
        <v>2014</v>
      </c>
      <c r="D1975" s="37">
        <v>1</v>
      </c>
      <c r="E1975" s="37">
        <v>0</v>
      </c>
      <c r="F1975" s="290"/>
      <c r="G1975" s="290">
        <v>1</v>
      </c>
      <c r="H1975" s="291" t="s">
        <v>6741</v>
      </c>
      <c r="I1975" s="37">
        <f>110/30</f>
        <v>3.66666666666667</v>
      </c>
      <c r="J1975" s="37">
        <f>110/30</f>
        <v>3.66666666666667</v>
      </c>
      <c r="K1975" s="290"/>
      <c r="L1975" s="37">
        <v>1</v>
      </c>
      <c r="M1975" s="37">
        <f t="shared" si="198"/>
        <v>3.26666666666667</v>
      </c>
      <c r="N1975" s="290" t="s">
        <v>6742</v>
      </c>
      <c r="O1975" s="37">
        <v>1</v>
      </c>
      <c r="P1975" s="37">
        <v>3.35</v>
      </c>
      <c r="Q1975" s="37">
        <v>1</v>
      </c>
      <c r="S1975" s="37">
        <v>-1</v>
      </c>
      <c r="U1975" s="37">
        <v>1</v>
      </c>
      <c r="V1975" s="37">
        <v>1</v>
      </c>
      <c r="W1975" s="37">
        <v>4</v>
      </c>
      <c r="X1975" s="303">
        <v>1</v>
      </c>
      <c r="Y1975" s="37">
        <v>-0.1</v>
      </c>
      <c r="Z1975" s="37">
        <v>0</v>
      </c>
      <c r="AN1975" s="311"/>
      <c r="AP1975" s="267">
        <v>1693</v>
      </c>
      <c r="AQ1975" s="3" t="s">
        <v>136</v>
      </c>
      <c r="AR1975" s="485"/>
    </row>
    <row r="1976" s="37" customFormat="1" ht="16.5" spans="1:44">
      <c r="A1976" s="517">
        <v>10566</v>
      </c>
      <c r="B1976" s="290" t="s">
        <v>6733</v>
      </c>
      <c r="C1976" s="691" t="s">
        <v>2029</v>
      </c>
      <c r="D1976" s="37">
        <v>1</v>
      </c>
      <c r="E1976" s="37">
        <v>0</v>
      </c>
      <c r="F1976" s="290"/>
      <c r="G1976" s="290">
        <v>1</v>
      </c>
      <c r="H1976" s="291" t="s">
        <v>6743</v>
      </c>
      <c r="I1976" s="37">
        <f>340/30</f>
        <v>11.3333333333333</v>
      </c>
      <c r="J1976" s="37">
        <f>340/30</f>
        <v>11.3333333333333</v>
      </c>
      <c r="K1976" s="290"/>
      <c r="L1976" s="37">
        <v>1</v>
      </c>
      <c r="M1976" s="37">
        <f t="shared" si="198"/>
        <v>10.9333333333333</v>
      </c>
      <c r="N1976" s="290" t="s">
        <v>6744</v>
      </c>
      <c r="O1976" s="37">
        <v>1</v>
      </c>
      <c r="P1976" s="37">
        <v>3.2</v>
      </c>
      <c r="Q1976" s="37">
        <v>0</v>
      </c>
      <c r="V1976" s="37">
        <v>1</v>
      </c>
      <c r="W1976" s="37">
        <v>0</v>
      </c>
      <c r="X1976" s="303">
        <v>1</v>
      </c>
      <c r="Y1976" s="37">
        <v>-0.1</v>
      </c>
      <c r="Z1976" s="37">
        <v>0</v>
      </c>
      <c r="AB1976" s="37">
        <v>11.03</v>
      </c>
      <c r="AC1976" s="37">
        <v>2</v>
      </c>
      <c r="AD1976" s="37">
        <v>1</v>
      </c>
      <c r="AE1976" s="37" t="s">
        <v>2032</v>
      </c>
      <c r="AF1976" s="37">
        <v>0.5</v>
      </c>
      <c r="AN1976" s="8">
        <v>1709</v>
      </c>
      <c r="AO1976" s="37" t="s">
        <v>2033</v>
      </c>
      <c r="AP1976" s="267">
        <v>1696</v>
      </c>
      <c r="AQ1976" s="3" t="s">
        <v>136</v>
      </c>
      <c r="AR1976" s="485"/>
    </row>
    <row r="1977" s="37" customFormat="1" ht="16.5" spans="1:44">
      <c r="A1977" s="517">
        <v>10567</v>
      </c>
      <c r="B1977" s="290" t="s">
        <v>6745</v>
      </c>
      <c r="C1977" s="691" t="s">
        <v>526</v>
      </c>
      <c r="D1977" s="37">
        <v>1</v>
      </c>
      <c r="E1977" s="37">
        <v>0</v>
      </c>
      <c r="F1977" s="290"/>
      <c r="G1977" s="290">
        <v>1</v>
      </c>
      <c r="H1977" s="82">
        <v>124501</v>
      </c>
      <c r="I1977" s="37">
        <f>145/30</f>
        <v>4.83333333333333</v>
      </c>
      <c r="J1977" s="37">
        <f>145/30</f>
        <v>4.83333333333333</v>
      </c>
      <c r="K1977" s="290"/>
      <c r="L1977" s="37">
        <v>0</v>
      </c>
      <c r="M1977" s="37">
        <f t="shared" si="198"/>
        <v>4.43333333333333</v>
      </c>
      <c r="N1977" s="290"/>
      <c r="O1977" s="37">
        <v>1</v>
      </c>
      <c r="P1977" s="37">
        <v>1.5</v>
      </c>
      <c r="Q1977" s="37">
        <v>0</v>
      </c>
      <c r="V1977" s="37">
        <v>1</v>
      </c>
      <c r="W1977" s="37">
        <v>0</v>
      </c>
      <c r="X1977" s="303">
        <v>0</v>
      </c>
      <c r="Y1977" s="37">
        <v>-0.1</v>
      </c>
      <c r="Z1977" s="37">
        <v>0</v>
      </c>
      <c r="AN1977" s="8"/>
      <c r="AP1977" s="267"/>
      <c r="AQ1977" s="3"/>
      <c r="AR1977" s="485"/>
    </row>
    <row r="1978" s="37" customFormat="1" ht="16.5" spans="1:44">
      <c r="A1978" s="517">
        <v>10568</v>
      </c>
      <c r="B1978" s="290" t="s">
        <v>6746</v>
      </c>
      <c r="C1978" s="691" t="s">
        <v>526</v>
      </c>
      <c r="D1978" s="37">
        <v>1</v>
      </c>
      <c r="E1978" s="37">
        <v>0</v>
      </c>
      <c r="F1978" s="290"/>
      <c r="G1978" s="290">
        <v>1</v>
      </c>
      <c r="H1978" s="82">
        <v>124601</v>
      </c>
      <c r="I1978" s="37">
        <f>65/30</f>
        <v>2.16666666666667</v>
      </c>
      <c r="J1978" s="37">
        <f>65/30</f>
        <v>2.16666666666667</v>
      </c>
      <c r="K1978" s="290"/>
      <c r="L1978" s="37">
        <v>0</v>
      </c>
      <c r="M1978" s="37">
        <f t="shared" si="198"/>
        <v>1.76666666666667</v>
      </c>
      <c r="N1978" s="290"/>
      <c r="O1978" s="37">
        <v>1</v>
      </c>
      <c r="P1978" s="37">
        <v>1</v>
      </c>
      <c r="Q1978" s="37">
        <v>0</v>
      </c>
      <c r="V1978" s="37">
        <v>1</v>
      </c>
      <c r="W1978" s="37">
        <v>0</v>
      </c>
      <c r="X1978" s="303">
        <v>1</v>
      </c>
      <c r="Y1978" s="37">
        <v>-0.1</v>
      </c>
      <c r="Z1978" s="37">
        <v>0</v>
      </c>
      <c r="AN1978" s="8"/>
      <c r="AP1978" s="267">
        <v>3123</v>
      </c>
      <c r="AQ1978" s="3" t="s">
        <v>136</v>
      </c>
      <c r="AR1978" s="485"/>
    </row>
    <row r="1979" s="37" customFormat="1" ht="16.5" spans="1:44">
      <c r="A1979" s="517">
        <v>10569</v>
      </c>
      <c r="B1979" s="290" t="s">
        <v>6693</v>
      </c>
      <c r="C1979" s="37" t="s">
        <v>526</v>
      </c>
      <c r="D1979" s="37">
        <v>1</v>
      </c>
      <c r="E1979" s="37">
        <v>0</v>
      </c>
      <c r="F1979" s="290"/>
      <c r="G1979" s="290">
        <v>1</v>
      </c>
      <c r="H1979" s="82">
        <v>124701</v>
      </c>
      <c r="I1979" s="37">
        <f>87/30</f>
        <v>2.9</v>
      </c>
      <c r="J1979" s="37">
        <f>87/30</f>
        <v>2.9</v>
      </c>
      <c r="K1979" s="290"/>
      <c r="L1979" s="37">
        <v>0</v>
      </c>
      <c r="M1979" s="37">
        <f t="shared" si="198"/>
        <v>2.5</v>
      </c>
      <c r="N1979" s="290" t="s">
        <v>6747</v>
      </c>
      <c r="O1979" s="37">
        <v>1</v>
      </c>
      <c r="P1979" s="37">
        <v>2.4</v>
      </c>
      <c r="Q1979" s="37">
        <v>0</v>
      </c>
      <c r="S1979" s="37">
        <v>1</v>
      </c>
      <c r="U1979" s="37">
        <v>0.6</v>
      </c>
      <c r="V1979" s="37">
        <v>1</v>
      </c>
      <c r="W1979" s="37">
        <v>0</v>
      </c>
      <c r="X1979" s="303">
        <v>3</v>
      </c>
      <c r="Y1979" s="37">
        <v>-0.1</v>
      </c>
      <c r="Z1979" s="37">
        <v>0</v>
      </c>
      <c r="AN1979" s="8"/>
      <c r="AP1979" s="267">
        <v>3124</v>
      </c>
      <c r="AQ1979" s="3" t="s">
        <v>136</v>
      </c>
      <c r="AR1979" s="485"/>
    </row>
    <row r="1980" s="37" customFormat="1" ht="16.5" spans="1:44">
      <c r="A1980" s="517">
        <v>10570</v>
      </c>
      <c r="B1980" s="290" t="s">
        <v>6693</v>
      </c>
      <c r="C1980" s="691" t="s">
        <v>6748</v>
      </c>
      <c r="D1980" s="37">
        <v>1</v>
      </c>
      <c r="E1980" s="37">
        <v>0</v>
      </c>
      <c r="F1980" s="290"/>
      <c r="G1980" s="290">
        <v>1</v>
      </c>
      <c r="H1980" s="82">
        <v>124702</v>
      </c>
      <c r="I1980" s="37">
        <f>55/30</f>
        <v>1.83333333333333</v>
      </c>
      <c r="J1980" s="37">
        <f>55/30</f>
        <v>1.83333333333333</v>
      </c>
      <c r="K1980" s="290"/>
      <c r="L1980" s="37">
        <v>1</v>
      </c>
      <c r="M1980" s="37">
        <f t="shared" si="198"/>
        <v>1.43333333333333</v>
      </c>
      <c r="N1980" s="290" t="s">
        <v>6749</v>
      </c>
      <c r="O1980" s="37">
        <v>1</v>
      </c>
      <c r="P1980" s="37">
        <v>2.4</v>
      </c>
      <c r="Q1980" s="37">
        <v>0</v>
      </c>
      <c r="R1980" s="37">
        <v>1</v>
      </c>
      <c r="S1980" s="37">
        <v>1</v>
      </c>
      <c r="U1980" s="37">
        <v>1</v>
      </c>
      <c r="V1980" s="37">
        <v>1</v>
      </c>
      <c r="W1980" s="37">
        <v>0</v>
      </c>
      <c r="X1980" s="303">
        <v>1</v>
      </c>
      <c r="Y1980" s="37">
        <v>-0.1</v>
      </c>
      <c r="Z1980" s="37">
        <v>0</v>
      </c>
      <c r="AN1980" s="8" t="s">
        <v>6750</v>
      </c>
      <c r="AO1980" s="37" t="s">
        <v>1467</v>
      </c>
      <c r="AP1980" s="267">
        <v>3125</v>
      </c>
      <c r="AQ1980" s="3" t="s">
        <v>136</v>
      </c>
      <c r="AR1980" s="485"/>
    </row>
    <row r="1981" s="37" customFormat="1" ht="16.5" spans="1:44">
      <c r="A1981" s="517">
        <v>10571</v>
      </c>
      <c r="B1981" s="290" t="s">
        <v>6693</v>
      </c>
      <c r="C1981" s="691" t="s">
        <v>6751</v>
      </c>
      <c r="D1981" s="37">
        <v>1</v>
      </c>
      <c r="E1981" s="37">
        <v>0</v>
      </c>
      <c r="F1981" s="290"/>
      <c r="G1981" s="290">
        <v>1</v>
      </c>
      <c r="H1981" s="82">
        <v>124703</v>
      </c>
      <c r="I1981" s="37">
        <f>100/30</f>
        <v>3.33333333333333</v>
      </c>
      <c r="J1981" s="37">
        <f>100/30</f>
        <v>3.33333333333333</v>
      </c>
      <c r="K1981" s="290"/>
      <c r="L1981" s="37">
        <v>1</v>
      </c>
      <c r="M1981" s="37">
        <f t="shared" si="198"/>
        <v>2.93333333333333</v>
      </c>
      <c r="N1981" s="290" t="s">
        <v>6752</v>
      </c>
      <c r="O1981" s="37">
        <v>1</v>
      </c>
      <c r="P1981" s="37">
        <v>2.4</v>
      </c>
      <c r="Q1981" s="37">
        <v>0</v>
      </c>
      <c r="S1981" s="37">
        <v>1.2</v>
      </c>
      <c r="U1981" s="37">
        <v>1</v>
      </c>
      <c r="V1981" s="37">
        <v>1</v>
      </c>
      <c r="W1981" s="37">
        <v>7</v>
      </c>
      <c r="X1981" s="303">
        <v>3</v>
      </c>
      <c r="Y1981" s="37">
        <v>-0.1</v>
      </c>
      <c r="Z1981" s="37">
        <v>0</v>
      </c>
      <c r="AN1981" s="8">
        <v>3131</v>
      </c>
      <c r="AO1981" s="37" t="s">
        <v>6753</v>
      </c>
      <c r="AP1981" s="267">
        <v>3126</v>
      </c>
      <c r="AQ1981" s="3" t="s">
        <v>136</v>
      </c>
      <c r="AR1981" s="485"/>
    </row>
    <row r="1982" s="37" customFormat="1" ht="16.5" spans="1:44">
      <c r="A1982" s="517">
        <v>10572</v>
      </c>
      <c r="B1982" s="290" t="s">
        <v>6693</v>
      </c>
      <c r="C1982" s="691" t="s">
        <v>6754</v>
      </c>
      <c r="D1982" s="37">
        <v>1</v>
      </c>
      <c r="E1982" s="37">
        <v>0</v>
      </c>
      <c r="F1982" s="290"/>
      <c r="G1982" s="290">
        <v>1</v>
      </c>
      <c r="H1982" s="82">
        <v>124704</v>
      </c>
      <c r="I1982" s="37">
        <f>365/30</f>
        <v>12.1666666666667</v>
      </c>
      <c r="J1982" s="37">
        <f>365/30</f>
        <v>12.1666666666667</v>
      </c>
      <c r="K1982" s="290"/>
      <c r="L1982" s="37">
        <v>1</v>
      </c>
      <c r="M1982" s="37">
        <f t="shared" si="198"/>
        <v>11.7666666666667</v>
      </c>
      <c r="N1982" s="290" t="s">
        <v>6755</v>
      </c>
      <c r="O1982" s="37">
        <v>1</v>
      </c>
      <c r="P1982" s="37">
        <v>5</v>
      </c>
      <c r="Q1982" s="37">
        <v>0</v>
      </c>
      <c r="S1982" s="37">
        <v>3</v>
      </c>
      <c r="V1982" s="37">
        <v>1</v>
      </c>
      <c r="W1982" s="37">
        <v>6</v>
      </c>
      <c r="X1982" s="303">
        <v>14</v>
      </c>
      <c r="Y1982" s="37">
        <v>-0.1</v>
      </c>
      <c r="Z1982" s="37">
        <v>0</v>
      </c>
      <c r="AB1982" s="40">
        <f>I1982-0.3</f>
        <v>11.8666666666667</v>
      </c>
      <c r="AC1982" s="37">
        <v>2</v>
      </c>
      <c r="AD1982" s="37">
        <v>1</v>
      </c>
      <c r="AE1982" s="37" t="s">
        <v>6756</v>
      </c>
      <c r="AF1982" s="37">
        <v>0.5</v>
      </c>
      <c r="AN1982" s="8"/>
      <c r="AP1982" s="267">
        <v>3127</v>
      </c>
      <c r="AQ1982" s="3" t="s">
        <v>136</v>
      </c>
      <c r="AR1982" s="485"/>
    </row>
    <row r="1983" s="37" customFormat="1" ht="16.5" spans="1:44">
      <c r="A1983" s="517">
        <v>10573</v>
      </c>
      <c r="B1983" s="290" t="s">
        <v>6757</v>
      </c>
      <c r="C1983" s="691" t="s">
        <v>526</v>
      </c>
      <c r="D1983" s="37">
        <v>1</v>
      </c>
      <c r="E1983" s="37">
        <v>0</v>
      </c>
      <c r="F1983" s="290"/>
      <c r="G1983" s="290">
        <v>1</v>
      </c>
      <c r="H1983" s="82">
        <v>228701</v>
      </c>
      <c r="I1983" s="37">
        <f>60/30</f>
        <v>2</v>
      </c>
      <c r="J1983" s="37">
        <f>60/30</f>
        <v>2</v>
      </c>
      <c r="K1983" s="290"/>
      <c r="L1983" s="37">
        <v>0</v>
      </c>
      <c r="M1983" s="37">
        <f t="shared" si="198"/>
        <v>1.6</v>
      </c>
      <c r="N1983" s="290" t="s">
        <v>6758</v>
      </c>
      <c r="O1983" s="37">
        <v>1</v>
      </c>
      <c r="P1983" s="37">
        <v>1.5</v>
      </c>
      <c r="Q1983" s="37">
        <v>0</v>
      </c>
      <c r="U1983" s="37">
        <v>1</v>
      </c>
      <c r="V1983" s="37">
        <v>6</v>
      </c>
      <c r="W1983" s="37">
        <v>0</v>
      </c>
      <c r="X1983" s="303">
        <v>1</v>
      </c>
      <c r="Y1983" s="37">
        <v>-0.1</v>
      </c>
      <c r="Z1983" s="37">
        <v>0</v>
      </c>
      <c r="AB1983" s="40"/>
      <c r="AN1983" s="8"/>
      <c r="AP1983" s="267">
        <v>3123</v>
      </c>
      <c r="AQ1983" s="3" t="s">
        <v>136</v>
      </c>
      <c r="AR1983" s="485"/>
    </row>
    <row r="1984" s="37" customFormat="1" ht="16.5" spans="1:44">
      <c r="A1984" s="517">
        <v>10574</v>
      </c>
      <c r="B1984" s="290" t="s">
        <v>6759</v>
      </c>
      <c r="C1984" s="691" t="s">
        <v>526</v>
      </c>
      <c r="D1984" s="37">
        <v>1</v>
      </c>
      <c r="E1984" s="37">
        <v>0</v>
      </c>
      <c r="F1984" s="290"/>
      <c r="G1984" s="290">
        <v>1</v>
      </c>
      <c r="H1984" s="5">
        <v>226801</v>
      </c>
      <c r="I1984" s="37">
        <f>90/30</f>
        <v>3</v>
      </c>
      <c r="J1984" s="37">
        <f>90/30</f>
        <v>3</v>
      </c>
      <c r="K1984" s="290"/>
      <c r="L1984" s="37">
        <v>0</v>
      </c>
      <c r="M1984" s="37">
        <f t="shared" si="198"/>
        <v>2.6</v>
      </c>
      <c r="N1984" s="290" t="s">
        <v>6760</v>
      </c>
      <c r="O1984" s="37">
        <v>1</v>
      </c>
      <c r="P1984" s="37">
        <v>2.25</v>
      </c>
      <c r="Q1984" s="37">
        <v>0</v>
      </c>
      <c r="S1984" s="37">
        <v>0.7</v>
      </c>
      <c r="T1984" s="37">
        <v>0.1</v>
      </c>
      <c r="U1984" s="37">
        <v>0.5</v>
      </c>
      <c r="V1984" s="37">
        <v>1</v>
      </c>
      <c r="W1984" s="37">
        <v>0</v>
      </c>
      <c r="X1984" s="303">
        <v>4</v>
      </c>
      <c r="Y1984" s="37">
        <v>-0.1</v>
      </c>
      <c r="Z1984" s="37">
        <v>0</v>
      </c>
      <c r="AB1984" s="40"/>
      <c r="AN1984" s="8"/>
      <c r="AP1984" s="267">
        <v>3171</v>
      </c>
      <c r="AQ1984" s="3" t="s">
        <v>136</v>
      </c>
      <c r="AR1984" s="485"/>
    </row>
    <row r="1985" s="37" customFormat="1" ht="16.5" spans="1:44">
      <c r="A1985" s="517">
        <v>10575</v>
      </c>
      <c r="B1985" s="290" t="s">
        <v>6759</v>
      </c>
      <c r="C1985" s="691" t="s">
        <v>6761</v>
      </c>
      <c r="D1985" s="37">
        <v>1</v>
      </c>
      <c r="E1985" s="37">
        <v>0</v>
      </c>
      <c r="F1985" s="290"/>
      <c r="G1985" s="290">
        <v>1</v>
      </c>
      <c r="H1985" s="5" t="s">
        <v>6762</v>
      </c>
      <c r="I1985" s="37">
        <f>113/30</f>
        <v>3.76666666666667</v>
      </c>
      <c r="J1985" s="37">
        <f>113/30</f>
        <v>3.76666666666667</v>
      </c>
      <c r="K1985" s="290"/>
      <c r="L1985" s="37">
        <v>1</v>
      </c>
      <c r="M1985" s="37">
        <f t="shared" si="198"/>
        <v>3.36666666666667</v>
      </c>
      <c r="N1985" s="290" t="s">
        <v>6763</v>
      </c>
      <c r="O1985" s="37">
        <v>1</v>
      </c>
      <c r="P1985" s="37">
        <v>2.25</v>
      </c>
      <c r="Q1985" s="37">
        <v>0</v>
      </c>
      <c r="S1985" s="37">
        <v>1.5</v>
      </c>
      <c r="T1985" s="37">
        <v>0.9</v>
      </c>
      <c r="U1985" s="37">
        <v>1.15</v>
      </c>
      <c r="V1985" s="37">
        <v>1</v>
      </c>
      <c r="W1985" s="37">
        <v>4</v>
      </c>
      <c r="X1985" s="303">
        <v>2</v>
      </c>
      <c r="Y1985" s="37">
        <v>-0.1</v>
      </c>
      <c r="Z1985" s="37">
        <v>0</v>
      </c>
      <c r="AB1985" s="40"/>
      <c r="AN1985" s="8"/>
      <c r="AP1985" s="267">
        <v>3174</v>
      </c>
      <c r="AQ1985" s="3" t="s">
        <v>136</v>
      </c>
      <c r="AR1985" s="485"/>
    </row>
    <row r="1986" s="37" customFormat="1" ht="16.5" spans="1:44">
      <c r="A1986" s="517">
        <v>10576</v>
      </c>
      <c r="B1986" s="290" t="s">
        <v>6759</v>
      </c>
      <c r="C1986" s="691" t="s">
        <v>6764</v>
      </c>
      <c r="D1986" s="37">
        <v>1</v>
      </c>
      <c r="E1986" s="37">
        <v>0</v>
      </c>
      <c r="F1986" s="290"/>
      <c r="G1986" s="290">
        <v>1</v>
      </c>
      <c r="H1986" s="5" t="s">
        <v>6765</v>
      </c>
      <c r="I1986" s="37">
        <f>290/30</f>
        <v>9.66666666666667</v>
      </c>
      <c r="J1986" s="37">
        <f>290/30</f>
        <v>9.66666666666667</v>
      </c>
      <c r="K1986" s="290"/>
      <c r="L1986" s="37">
        <v>1</v>
      </c>
      <c r="M1986" s="37">
        <f t="shared" si="198"/>
        <v>9.26666666666667</v>
      </c>
      <c r="N1986" s="290" t="s">
        <v>6766</v>
      </c>
      <c r="O1986" s="37">
        <v>1</v>
      </c>
      <c r="P1986" s="37">
        <v>5.5</v>
      </c>
      <c r="Q1986" s="37">
        <v>0</v>
      </c>
      <c r="V1986" s="37">
        <v>1</v>
      </c>
      <c r="W1986" s="37">
        <v>6</v>
      </c>
      <c r="X1986" s="303">
        <v>6</v>
      </c>
      <c r="Y1986" s="37">
        <v>-0.1</v>
      </c>
      <c r="Z1986" s="37">
        <v>0</v>
      </c>
      <c r="AB1986" s="40">
        <f t="shared" ref="AB1986:AB1991" si="200">I1986-0.3</f>
        <v>9.36666666666667</v>
      </c>
      <c r="AC1986" s="37">
        <v>2</v>
      </c>
      <c r="AD1986" s="37">
        <v>1</v>
      </c>
      <c r="AE1986" s="37" t="s">
        <v>6767</v>
      </c>
      <c r="AF1986" s="37">
        <v>0.5</v>
      </c>
      <c r="AG1986" s="753" t="s">
        <v>6768</v>
      </c>
      <c r="AN1986" s="8">
        <v>3176</v>
      </c>
      <c r="AO1986" s="37" t="s">
        <v>6769</v>
      </c>
      <c r="AP1986" s="267">
        <v>3175</v>
      </c>
      <c r="AQ1986" s="3" t="s">
        <v>136</v>
      </c>
      <c r="AR1986" s="485"/>
    </row>
    <row r="1987" s="37" customFormat="1" ht="16.5" spans="1:44">
      <c r="A1987" s="517">
        <v>10577</v>
      </c>
      <c r="B1987" s="290" t="s">
        <v>6770</v>
      </c>
      <c r="C1987" s="334" t="s">
        <v>526</v>
      </c>
      <c r="D1987" s="37">
        <v>1</v>
      </c>
      <c r="E1987" s="37">
        <v>0</v>
      </c>
      <c r="G1987" s="37">
        <v>1</v>
      </c>
      <c r="H1987" s="5" t="s">
        <v>6771</v>
      </c>
      <c r="I1987" s="37">
        <f>130/30</f>
        <v>4.33333333333333</v>
      </c>
      <c r="J1987" s="37">
        <f>130/30</f>
        <v>4.33333333333333</v>
      </c>
      <c r="L1987" s="37">
        <v>1</v>
      </c>
      <c r="M1987" s="37">
        <f t="shared" si="198"/>
        <v>3.93333333333333</v>
      </c>
      <c r="N1987" s="37" t="s">
        <v>6562</v>
      </c>
      <c r="O1987" s="37">
        <v>1</v>
      </c>
      <c r="P1987" s="37">
        <v>3</v>
      </c>
      <c r="Q1987" s="37">
        <v>0</v>
      </c>
      <c r="S1987" s="37">
        <v>1.5</v>
      </c>
      <c r="T1987" s="37">
        <v>0.4</v>
      </c>
      <c r="U1987" s="37">
        <v>0.8</v>
      </c>
      <c r="V1987" s="37">
        <v>1</v>
      </c>
      <c r="W1987" s="37">
        <v>0</v>
      </c>
      <c r="X1987" s="7">
        <v>5</v>
      </c>
      <c r="AN1987" s="10"/>
      <c r="AP1987" s="267">
        <v>2687</v>
      </c>
      <c r="AQ1987" s="37" t="s">
        <v>136</v>
      </c>
      <c r="AR1987" s="11"/>
    </row>
    <row r="1988" s="37" customFormat="1" ht="16.5" spans="1:44">
      <c r="A1988" s="517">
        <v>10578</v>
      </c>
      <c r="B1988" s="290" t="s">
        <v>6770</v>
      </c>
      <c r="C1988" s="334" t="s">
        <v>6563</v>
      </c>
      <c r="D1988" s="37">
        <v>1</v>
      </c>
      <c r="E1988" s="37">
        <v>0</v>
      </c>
      <c r="G1988" s="37">
        <v>1</v>
      </c>
      <c r="H1988" s="5" t="s">
        <v>6772</v>
      </c>
      <c r="I1988" s="37">
        <f>130/30</f>
        <v>4.33333333333333</v>
      </c>
      <c r="J1988" s="37">
        <f>130/30</f>
        <v>4.33333333333333</v>
      </c>
      <c r="L1988" s="37">
        <v>1</v>
      </c>
      <c r="M1988" s="37">
        <f t="shared" si="198"/>
        <v>3.93333333333333</v>
      </c>
      <c r="N1988" s="37" t="s">
        <v>6565</v>
      </c>
      <c r="O1988" s="37">
        <v>1</v>
      </c>
      <c r="P1988" s="37">
        <v>3</v>
      </c>
      <c r="Q1988" s="37">
        <v>0</v>
      </c>
      <c r="S1988" s="37">
        <v>1.4</v>
      </c>
      <c r="T1988" s="37">
        <v>0.4</v>
      </c>
      <c r="U1988" s="37">
        <v>2.5</v>
      </c>
      <c r="V1988" s="37">
        <v>1</v>
      </c>
      <c r="W1988" s="37">
        <v>6</v>
      </c>
      <c r="X1988" s="7">
        <v>4</v>
      </c>
      <c r="AN1988" s="10"/>
      <c r="AP1988" s="267">
        <v>2688</v>
      </c>
      <c r="AQ1988" s="37" t="s">
        <v>136</v>
      </c>
      <c r="AR1988" s="11"/>
    </row>
    <row r="1989" s="37" customFormat="1" ht="16.5" spans="1:44">
      <c r="A1989" s="517">
        <v>10579</v>
      </c>
      <c r="B1989" s="290" t="s">
        <v>6770</v>
      </c>
      <c r="C1989" s="334" t="s">
        <v>6566</v>
      </c>
      <c r="D1989" s="37">
        <v>1</v>
      </c>
      <c r="E1989" s="37">
        <v>0</v>
      </c>
      <c r="G1989" s="37">
        <v>1</v>
      </c>
      <c r="H1989" s="5" t="s">
        <v>6773</v>
      </c>
      <c r="I1989" s="37">
        <f>85/30</f>
        <v>2.83333333333333</v>
      </c>
      <c r="J1989" s="37">
        <f>85/30</f>
        <v>2.83333333333333</v>
      </c>
      <c r="L1989" s="37">
        <v>1</v>
      </c>
      <c r="M1989" s="37">
        <f t="shared" si="198"/>
        <v>2.43333333333333</v>
      </c>
      <c r="N1989" s="37" t="s">
        <v>6568</v>
      </c>
      <c r="O1989" s="37">
        <v>1</v>
      </c>
      <c r="P1989" s="37">
        <v>3</v>
      </c>
      <c r="Q1989" s="37">
        <v>0</v>
      </c>
      <c r="S1989" s="37">
        <v>1.5</v>
      </c>
      <c r="T1989" s="37">
        <v>0.4</v>
      </c>
      <c r="U1989" s="37">
        <v>2.5</v>
      </c>
      <c r="V1989" s="37">
        <v>1</v>
      </c>
      <c r="W1989" s="37">
        <v>4</v>
      </c>
      <c r="X1989" s="7">
        <v>1</v>
      </c>
      <c r="AN1989" s="10"/>
      <c r="AP1989" s="267">
        <v>2689</v>
      </c>
      <c r="AQ1989" s="37" t="s">
        <v>136</v>
      </c>
      <c r="AR1989" s="11"/>
    </row>
    <row r="1990" s="37" customFormat="1" ht="16.5" spans="1:44">
      <c r="A1990" s="517">
        <v>10580</v>
      </c>
      <c r="B1990" s="290" t="s">
        <v>6770</v>
      </c>
      <c r="C1990" s="334" t="s">
        <v>6569</v>
      </c>
      <c r="D1990" s="37">
        <v>2</v>
      </c>
      <c r="E1990" s="37">
        <v>0</v>
      </c>
      <c r="G1990" s="37">
        <v>1</v>
      </c>
      <c r="H1990" s="5" t="s">
        <v>6774</v>
      </c>
      <c r="I1990" s="37">
        <f>154/30</f>
        <v>5.13333333333333</v>
      </c>
      <c r="J1990" s="37">
        <f>154/30</f>
        <v>5.13333333333333</v>
      </c>
      <c r="L1990" s="37">
        <v>0</v>
      </c>
      <c r="M1990" s="37">
        <f t="shared" si="198"/>
        <v>4.73333333333333</v>
      </c>
      <c r="N1990" s="37" t="s">
        <v>6571</v>
      </c>
      <c r="O1990" s="37">
        <v>1</v>
      </c>
      <c r="P1990" s="37">
        <v>13</v>
      </c>
      <c r="Q1990" s="37">
        <v>0</v>
      </c>
      <c r="V1990" s="37">
        <v>1000</v>
      </c>
      <c r="W1990" s="37">
        <v>0</v>
      </c>
      <c r="X1990" s="7">
        <v>0</v>
      </c>
      <c r="AB1990" s="37">
        <f t="shared" si="200"/>
        <v>4.83333333333333</v>
      </c>
      <c r="AC1990" s="37">
        <v>2</v>
      </c>
      <c r="AD1990" s="37">
        <v>1</v>
      </c>
      <c r="AE1990" s="37" t="s">
        <v>6572</v>
      </c>
      <c r="AF1990" s="37">
        <v>0.5</v>
      </c>
      <c r="AN1990" s="10"/>
      <c r="AP1990" s="267">
        <v>2691</v>
      </c>
      <c r="AQ1990" s="37" t="s">
        <v>136</v>
      </c>
      <c r="AR1990" s="11"/>
    </row>
    <row r="1991" s="37" customFormat="1" ht="16.5" spans="1:44">
      <c r="A1991" s="517">
        <v>10581</v>
      </c>
      <c r="B1991" s="290" t="s">
        <v>6770</v>
      </c>
      <c r="C1991" s="334" t="s">
        <v>6573</v>
      </c>
      <c r="D1991" s="37">
        <v>1</v>
      </c>
      <c r="E1991" s="37">
        <v>0</v>
      </c>
      <c r="G1991" s="37">
        <v>1</v>
      </c>
      <c r="H1991" s="5" t="s">
        <v>6775</v>
      </c>
      <c r="I1991" s="37">
        <f>160/30</f>
        <v>5.33333333333333</v>
      </c>
      <c r="J1991" s="37">
        <f>160/30</f>
        <v>5.33333333333333</v>
      </c>
      <c r="L1991" s="37">
        <v>1</v>
      </c>
      <c r="M1991" s="37">
        <f t="shared" si="198"/>
        <v>4.93333333333333</v>
      </c>
      <c r="N1991" s="37" t="s">
        <v>6575</v>
      </c>
      <c r="O1991" s="37">
        <v>1</v>
      </c>
      <c r="P1991" s="37">
        <v>13</v>
      </c>
      <c r="Q1991" s="37">
        <v>0</v>
      </c>
      <c r="V1991" s="37">
        <v>1</v>
      </c>
      <c r="W1991" s="37">
        <v>6</v>
      </c>
      <c r="X1991" s="7">
        <v>1</v>
      </c>
      <c r="AB1991" s="37">
        <f t="shared" si="200"/>
        <v>5.03333333333333</v>
      </c>
      <c r="AC1991" s="37">
        <v>2</v>
      </c>
      <c r="AD1991" s="37">
        <v>1</v>
      </c>
      <c r="AE1991" s="37" t="s">
        <v>6576</v>
      </c>
      <c r="AF1991" s="37">
        <v>0.5</v>
      </c>
      <c r="AN1991" s="10"/>
      <c r="AP1991" s="267">
        <v>2692</v>
      </c>
      <c r="AQ1991" s="37" t="s">
        <v>136</v>
      </c>
      <c r="AR1991" s="11"/>
    </row>
    <row r="1992" s="37" customFormat="1" ht="16.5" spans="1:44">
      <c r="A1992" s="517">
        <v>10582</v>
      </c>
      <c r="B1992" s="290" t="s">
        <v>6776</v>
      </c>
      <c r="C1992" s="483" t="s">
        <v>526</v>
      </c>
      <c r="D1992" s="37">
        <v>1</v>
      </c>
      <c r="E1992" s="37">
        <v>0</v>
      </c>
      <c r="G1992" s="37">
        <v>1</v>
      </c>
      <c r="H1992" s="485" t="s">
        <v>6777</v>
      </c>
      <c r="I1992" s="37">
        <f>69/30</f>
        <v>2.3</v>
      </c>
      <c r="J1992" s="37">
        <f>69/30</f>
        <v>2.3</v>
      </c>
      <c r="L1992" s="37">
        <v>0</v>
      </c>
      <c r="M1992" s="37">
        <f t="shared" si="198"/>
        <v>1.9</v>
      </c>
      <c r="N1992" s="37" t="s">
        <v>6778</v>
      </c>
      <c r="O1992" s="37">
        <v>1</v>
      </c>
      <c r="P1992" s="37">
        <v>1.8</v>
      </c>
      <c r="Q1992" s="37">
        <v>0</v>
      </c>
      <c r="R1992" s="37">
        <v>1</v>
      </c>
      <c r="S1992" s="37">
        <v>1</v>
      </c>
      <c r="T1992" s="37">
        <v>0.5</v>
      </c>
      <c r="U1992" s="37">
        <v>0.5</v>
      </c>
      <c r="V1992" s="37">
        <v>1</v>
      </c>
      <c r="W1992" s="37">
        <v>0</v>
      </c>
      <c r="X1992" s="7">
        <v>3</v>
      </c>
      <c r="Y1992" s="37">
        <v>-0.1</v>
      </c>
      <c r="Z1992" s="37">
        <v>0</v>
      </c>
      <c r="AN1992" s="10">
        <v>3382</v>
      </c>
      <c r="AO1992" s="37" t="s">
        <v>6779</v>
      </c>
      <c r="AP1992" s="267">
        <v>3381</v>
      </c>
      <c r="AQ1992" s="37" t="s">
        <v>136</v>
      </c>
      <c r="AR1992" s="11"/>
    </row>
    <row r="1993" s="37" customFormat="1" ht="16.5" spans="1:44">
      <c r="A1993" s="517">
        <v>10583</v>
      </c>
      <c r="B1993" s="290" t="s">
        <v>6776</v>
      </c>
      <c r="C1993" s="483" t="s">
        <v>5225</v>
      </c>
      <c r="D1993" s="37">
        <v>1</v>
      </c>
      <c r="E1993" s="37">
        <v>0</v>
      </c>
      <c r="G1993" s="37">
        <v>1</v>
      </c>
      <c r="H1993" s="485" t="s">
        <v>6780</v>
      </c>
      <c r="I1993" s="37">
        <f>79/30</f>
        <v>2.63333333333333</v>
      </c>
      <c r="J1993" s="37">
        <f>79/30</f>
        <v>2.63333333333333</v>
      </c>
      <c r="L1993" s="37">
        <v>1</v>
      </c>
      <c r="M1993" s="37">
        <f t="shared" si="198"/>
        <v>2.23333333333333</v>
      </c>
      <c r="N1993" s="17" t="s">
        <v>6781</v>
      </c>
      <c r="O1993" s="37">
        <v>1</v>
      </c>
      <c r="P1993" s="37">
        <v>1.8</v>
      </c>
      <c r="Q1993" s="37">
        <v>0</v>
      </c>
      <c r="S1993" s="37">
        <v>0</v>
      </c>
      <c r="T1993" s="37">
        <v>0.8</v>
      </c>
      <c r="U1993" s="37">
        <v>1.5</v>
      </c>
      <c r="V1993" s="37">
        <v>1</v>
      </c>
      <c r="W1993" s="37">
        <v>4</v>
      </c>
      <c r="X1993" s="7">
        <v>1</v>
      </c>
      <c r="Y1993" s="37">
        <v>-0.1</v>
      </c>
      <c r="Z1993" s="37">
        <v>0</v>
      </c>
      <c r="AN1993" s="10">
        <v>3385</v>
      </c>
      <c r="AO1993" s="37" t="s">
        <v>6779</v>
      </c>
      <c r="AP1993" s="267">
        <v>3384</v>
      </c>
      <c r="AQ1993" s="37" t="s">
        <v>136</v>
      </c>
      <c r="AR1993" s="11"/>
    </row>
    <row r="1994" s="37" customFormat="1" ht="16.5" spans="1:44">
      <c r="A1994" s="517">
        <v>10584</v>
      </c>
      <c r="B1994" s="290" t="s">
        <v>6782</v>
      </c>
      <c r="C1994" s="483" t="s">
        <v>526</v>
      </c>
      <c r="D1994" s="37">
        <v>1</v>
      </c>
      <c r="E1994" s="37">
        <v>0</v>
      </c>
      <c r="G1994" s="37">
        <v>1</v>
      </c>
      <c r="H1994" s="485" t="s">
        <v>6783</v>
      </c>
      <c r="I1994" s="37">
        <v>1.866666667</v>
      </c>
      <c r="J1994" s="37">
        <v>1.866666667</v>
      </c>
      <c r="L1994" s="37">
        <v>0</v>
      </c>
      <c r="M1994" s="37">
        <f t="shared" si="198"/>
        <v>1.466666667</v>
      </c>
      <c r="N1994" s="37" t="s">
        <v>6784</v>
      </c>
      <c r="O1994" s="37">
        <v>1</v>
      </c>
      <c r="P1994" s="37">
        <v>2.5</v>
      </c>
      <c r="Q1994" s="37">
        <v>0</v>
      </c>
      <c r="S1994" s="37">
        <v>0</v>
      </c>
      <c r="U1994" s="37">
        <v>0.3</v>
      </c>
      <c r="V1994" s="37">
        <v>1</v>
      </c>
      <c r="W1994" s="37">
        <v>0</v>
      </c>
      <c r="X1994" s="7">
        <v>3</v>
      </c>
      <c r="Y1994" s="37">
        <v>-0.1</v>
      </c>
      <c r="Z1994" s="37">
        <v>0</v>
      </c>
      <c r="AN1994" s="10"/>
      <c r="AP1994" s="267">
        <v>3387</v>
      </c>
      <c r="AQ1994" s="37" t="s">
        <v>136</v>
      </c>
      <c r="AR1994" s="11"/>
    </row>
    <row r="1995" s="37" customFormat="1" ht="16.5" spans="1:44">
      <c r="A1995" s="517">
        <v>10585</v>
      </c>
      <c r="B1995" s="290" t="s">
        <v>6782</v>
      </c>
      <c r="C1995" s="483" t="s">
        <v>6785</v>
      </c>
      <c r="D1995" s="37">
        <v>1</v>
      </c>
      <c r="E1995" s="37">
        <v>0</v>
      </c>
      <c r="G1995" s="37">
        <v>1</v>
      </c>
      <c r="H1995" s="485" t="s">
        <v>6786</v>
      </c>
      <c r="I1995" s="37">
        <v>1.933333333</v>
      </c>
      <c r="J1995" s="37">
        <v>1.933333333</v>
      </c>
      <c r="L1995" s="37">
        <v>1</v>
      </c>
      <c r="M1995" s="37">
        <f t="shared" si="198"/>
        <v>1.533333333</v>
      </c>
      <c r="N1995" s="37" t="s">
        <v>6787</v>
      </c>
      <c r="O1995" s="37">
        <v>1</v>
      </c>
      <c r="P1995" s="37">
        <v>2.5</v>
      </c>
      <c r="Q1995" s="37">
        <v>0</v>
      </c>
      <c r="S1995" s="37">
        <v>0</v>
      </c>
      <c r="U1995" s="37">
        <v>0.5</v>
      </c>
      <c r="V1995" s="37">
        <v>1</v>
      </c>
      <c r="W1995" s="37">
        <v>0</v>
      </c>
      <c r="X1995" s="7">
        <v>1</v>
      </c>
      <c r="Y1995" s="37">
        <v>-0.1</v>
      </c>
      <c r="Z1995" s="37">
        <v>0</v>
      </c>
      <c r="AN1995" s="10">
        <v>3390</v>
      </c>
      <c r="AO1995" s="37" t="s">
        <v>674</v>
      </c>
      <c r="AP1995" s="267">
        <v>3389</v>
      </c>
      <c r="AQ1995" s="37" t="s">
        <v>136</v>
      </c>
      <c r="AR1995" s="11"/>
    </row>
    <row r="1996" s="37" customFormat="1" ht="16.5" spans="1:44">
      <c r="A1996" s="517">
        <v>10586</v>
      </c>
      <c r="B1996" s="290" t="s">
        <v>6782</v>
      </c>
      <c r="C1996" s="483" t="s">
        <v>6788</v>
      </c>
      <c r="D1996" s="37">
        <v>1</v>
      </c>
      <c r="E1996" s="37">
        <v>0</v>
      </c>
      <c r="G1996" s="37">
        <v>1</v>
      </c>
      <c r="H1996" s="485" t="s">
        <v>6789</v>
      </c>
      <c r="I1996" s="37">
        <v>2.133333333</v>
      </c>
      <c r="J1996" s="37">
        <v>2.133333333</v>
      </c>
      <c r="L1996" s="37">
        <v>1</v>
      </c>
      <c r="M1996" s="37">
        <f t="shared" si="198"/>
        <v>1.733333333</v>
      </c>
      <c r="N1996" s="17" t="s">
        <v>6790</v>
      </c>
      <c r="O1996" s="37">
        <v>1</v>
      </c>
      <c r="P1996" s="37">
        <v>2.5</v>
      </c>
      <c r="Q1996" s="37">
        <v>0</v>
      </c>
      <c r="S1996" s="37">
        <v>0</v>
      </c>
      <c r="T1996" s="37">
        <v>0.5</v>
      </c>
      <c r="U1996" s="37">
        <v>0.9</v>
      </c>
      <c r="V1996" s="37">
        <v>6</v>
      </c>
      <c r="W1996" s="37">
        <v>4</v>
      </c>
      <c r="X1996" s="7">
        <v>1</v>
      </c>
      <c r="Y1996" s="37">
        <v>-0.1</v>
      </c>
      <c r="Z1996" s="37">
        <v>0</v>
      </c>
      <c r="AN1996" s="10">
        <v>3393</v>
      </c>
      <c r="AO1996" s="37" t="s">
        <v>674</v>
      </c>
      <c r="AP1996" s="267">
        <v>3392</v>
      </c>
      <c r="AQ1996" s="37" t="s">
        <v>136</v>
      </c>
      <c r="AR1996" s="11"/>
    </row>
    <row r="1997" s="37" customFormat="1" ht="16.5" spans="1:44">
      <c r="A1997" s="517">
        <v>10587</v>
      </c>
      <c r="B1997" s="290" t="s">
        <v>6791</v>
      </c>
      <c r="C1997" s="483" t="s">
        <v>526</v>
      </c>
      <c r="D1997" s="37">
        <v>1</v>
      </c>
      <c r="E1997" s="37">
        <v>0</v>
      </c>
      <c r="G1997" s="37">
        <v>1</v>
      </c>
      <c r="H1997" s="485" t="s">
        <v>6792</v>
      </c>
      <c r="I1997" s="37">
        <v>3.26666666666667</v>
      </c>
      <c r="J1997" s="37">
        <v>3.26666666666667</v>
      </c>
      <c r="L1997" s="37">
        <v>0</v>
      </c>
      <c r="M1997" s="37">
        <f t="shared" ref="M1997:M2016" si="201">I1997-0.4</f>
        <v>2.86666666666667</v>
      </c>
      <c r="N1997" s="37" t="s">
        <v>6793</v>
      </c>
      <c r="O1997" s="37">
        <v>1</v>
      </c>
      <c r="P1997" s="37">
        <v>1.3</v>
      </c>
      <c r="Q1997" s="37">
        <v>0</v>
      </c>
      <c r="S1997" s="37">
        <v>0.2</v>
      </c>
      <c r="T1997" s="37">
        <v>0.2</v>
      </c>
      <c r="V1997" s="37">
        <v>1</v>
      </c>
      <c r="W1997" s="37">
        <v>0</v>
      </c>
      <c r="X1997" s="7">
        <v>5</v>
      </c>
      <c r="Y1997" s="37">
        <v>-0.1</v>
      </c>
      <c r="Z1997" s="37">
        <v>0</v>
      </c>
      <c r="AN1997" s="10"/>
      <c r="AP1997" s="267">
        <v>3395</v>
      </c>
      <c r="AQ1997" s="37" t="s">
        <v>136</v>
      </c>
      <c r="AR1997" s="11"/>
    </row>
    <row r="1998" s="37" customFormat="1" ht="16.5" spans="1:44">
      <c r="A1998" s="517">
        <v>10588</v>
      </c>
      <c r="B1998" s="290" t="s">
        <v>6794</v>
      </c>
      <c r="C1998" s="483" t="s">
        <v>526</v>
      </c>
      <c r="D1998" s="37">
        <v>1</v>
      </c>
      <c r="E1998" s="37">
        <v>0</v>
      </c>
      <c r="G1998" s="37">
        <v>1</v>
      </c>
      <c r="H1998" s="485" t="s">
        <v>6795</v>
      </c>
      <c r="I1998" s="37">
        <v>2.03333333333333</v>
      </c>
      <c r="J1998" s="37">
        <v>2.03333333333333</v>
      </c>
      <c r="L1998" s="37">
        <v>0</v>
      </c>
      <c r="M1998" s="37">
        <f t="shared" si="201"/>
        <v>1.63333333333333</v>
      </c>
      <c r="N1998" s="37" t="s">
        <v>6796</v>
      </c>
      <c r="O1998" s="37">
        <v>1</v>
      </c>
      <c r="P1998" s="37">
        <v>1.2</v>
      </c>
      <c r="Q1998" s="37">
        <v>0</v>
      </c>
      <c r="V1998" s="37">
        <v>1</v>
      </c>
      <c r="W1998" s="37">
        <v>0</v>
      </c>
      <c r="X1998" s="7">
        <v>3</v>
      </c>
      <c r="Y1998" s="37">
        <v>-0.1</v>
      </c>
      <c r="Z1998" s="37">
        <v>0</v>
      </c>
      <c r="AN1998" s="10"/>
      <c r="AP1998" s="267">
        <v>3397</v>
      </c>
      <c r="AQ1998" s="37" t="s">
        <v>136</v>
      </c>
      <c r="AR1998" s="11"/>
    </row>
    <row r="1999" s="37" customFormat="1" ht="16.5" spans="1:44">
      <c r="A1999" s="517">
        <v>10589</v>
      </c>
      <c r="B1999" s="290" t="s">
        <v>6797</v>
      </c>
      <c r="C1999" s="483" t="s">
        <v>526</v>
      </c>
      <c r="D1999" s="37">
        <v>1</v>
      </c>
      <c r="E1999" s="37">
        <v>0</v>
      </c>
      <c r="G1999" s="37">
        <v>1</v>
      </c>
      <c r="H1999" s="485" t="s">
        <v>6798</v>
      </c>
      <c r="I1999" s="37">
        <v>2.7</v>
      </c>
      <c r="J1999" s="37">
        <v>2.7</v>
      </c>
      <c r="L1999" s="37">
        <v>0</v>
      </c>
      <c r="M1999" s="37">
        <f t="shared" si="201"/>
        <v>2.3</v>
      </c>
      <c r="N1999" s="37" t="s">
        <v>6799</v>
      </c>
      <c r="O1999" s="37">
        <v>1</v>
      </c>
      <c r="P1999" s="37">
        <v>2</v>
      </c>
      <c r="Q1999" s="37">
        <v>0</v>
      </c>
      <c r="V1999" s="37">
        <v>1</v>
      </c>
      <c r="W1999" s="37">
        <v>0</v>
      </c>
      <c r="X1999" s="7">
        <v>3</v>
      </c>
      <c r="Y1999" s="37">
        <v>-0.1</v>
      </c>
      <c r="Z1999" s="37">
        <v>0</v>
      </c>
      <c r="AN1999" s="10"/>
      <c r="AP1999" s="267">
        <v>3398</v>
      </c>
      <c r="AQ1999" s="37" t="s">
        <v>136</v>
      </c>
      <c r="AR1999" s="11"/>
    </row>
    <row r="2000" s="37" customFormat="1" ht="16.5" spans="1:44">
      <c r="A2000" s="517">
        <v>10590</v>
      </c>
      <c r="B2000" s="290" t="s">
        <v>6800</v>
      </c>
      <c r="C2000" s="483" t="s">
        <v>526</v>
      </c>
      <c r="D2000" s="37">
        <v>1</v>
      </c>
      <c r="E2000" s="37">
        <v>0</v>
      </c>
      <c r="G2000" s="37">
        <v>1</v>
      </c>
      <c r="H2000" s="485" t="s">
        <v>6801</v>
      </c>
      <c r="I2000" s="37">
        <v>2.26666666666667</v>
      </c>
      <c r="J2000" s="37">
        <v>2.26666666666667</v>
      </c>
      <c r="L2000" s="37">
        <v>0</v>
      </c>
      <c r="M2000" s="37">
        <f t="shared" si="201"/>
        <v>1.86666666666667</v>
      </c>
      <c r="N2000" s="37" t="s">
        <v>6802</v>
      </c>
      <c r="O2000" s="37">
        <v>1</v>
      </c>
      <c r="P2000" s="37">
        <v>2</v>
      </c>
      <c r="Q2000" s="37">
        <v>0</v>
      </c>
      <c r="V2000" s="37">
        <v>1</v>
      </c>
      <c r="W2000" s="37">
        <v>0</v>
      </c>
      <c r="X2000" s="7">
        <v>3</v>
      </c>
      <c r="Y2000" s="37">
        <v>-0.1</v>
      </c>
      <c r="Z2000" s="37">
        <v>0</v>
      </c>
      <c r="AN2000" s="10"/>
      <c r="AP2000" s="267">
        <v>3400</v>
      </c>
      <c r="AQ2000" s="37" t="s">
        <v>136</v>
      </c>
      <c r="AR2000" s="11"/>
    </row>
    <row r="2001" s="37" customFormat="1" ht="16.5" spans="1:44">
      <c r="A2001" s="517">
        <v>10591</v>
      </c>
      <c r="B2001" s="290" t="s">
        <v>6803</v>
      </c>
      <c r="C2001" s="483" t="s">
        <v>526</v>
      </c>
      <c r="D2001" s="37">
        <v>1</v>
      </c>
      <c r="E2001" s="37">
        <v>0</v>
      </c>
      <c r="G2001" s="37">
        <v>1</v>
      </c>
      <c r="H2001" s="485" t="s">
        <v>6804</v>
      </c>
      <c r="I2001" s="37">
        <v>2.43333333333333</v>
      </c>
      <c r="J2001" s="37">
        <v>2.43333333333333</v>
      </c>
      <c r="L2001" s="37">
        <v>0</v>
      </c>
      <c r="M2001" s="37">
        <f t="shared" si="201"/>
        <v>2.03333333333333</v>
      </c>
      <c r="N2001" s="37" t="s">
        <v>6805</v>
      </c>
      <c r="O2001" s="37">
        <v>1</v>
      </c>
      <c r="P2001" s="37">
        <v>2.2</v>
      </c>
      <c r="Q2001" s="37">
        <v>0</v>
      </c>
      <c r="S2001" s="37">
        <v>-0.2</v>
      </c>
      <c r="T2001" s="37">
        <v>0.2</v>
      </c>
      <c r="V2001" s="37">
        <v>1</v>
      </c>
      <c r="W2001" s="37">
        <v>0</v>
      </c>
      <c r="X2001" s="7">
        <v>3</v>
      </c>
      <c r="Y2001" s="37">
        <v>-0.1</v>
      </c>
      <c r="Z2001" s="37">
        <v>0</v>
      </c>
      <c r="AN2001" s="10"/>
      <c r="AP2001" s="267">
        <v>3402</v>
      </c>
      <c r="AQ2001" s="37" t="s">
        <v>136</v>
      </c>
      <c r="AR2001" s="11"/>
    </row>
    <row r="2002" s="37" customFormat="1" ht="16.5" spans="1:44">
      <c r="A2002" s="517">
        <v>10592</v>
      </c>
      <c r="B2002" s="290" t="s">
        <v>6803</v>
      </c>
      <c r="C2002" s="483" t="s">
        <v>6806</v>
      </c>
      <c r="D2002" s="37">
        <v>1</v>
      </c>
      <c r="E2002" s="37">
        <v>0</v>
      </c>
      <c r="G2002" s="37">
        <v>1</v>
      </c>
      <c r="H2002" s="485" t="s">
        <v>6807</v>
      </c>
      <c r="I2002" s="37">
        <v>3.06666666666667</v>
      </c>
      <c r="J2002" s="37">
        <v>3.06666666666667</v>
      </c>
      <c r="L2002" s="37">
        <v>1</v>
      </c>
      <c r="M2002" s="37">
        <f t="shared" si="201"/>
        <v>2.66666666666667</v>
      </c>
      <c r="N2002" s="37" t="s">
        <v>6808</v>
      </c>
      <c r="O2002" s="37">
        <v>1</v>
      </c>
      <c r="P2002" s="37">
        <v>2.2</v>
      </c>
      <c r="Q2002" s="37">
        <v>0</v>
      </c>
      <c r="S2002" s="37">
        <v>0.7</v>
      </c>
      <c r="U2002" s="37">
        <v>1.1</v>
      </c>
      <c r="V2002" s="37">
        <v>1</v>
      </c>
      <c r="W2002" s="37">
        <v>0</v>
      </c>
      <c r="X2002" s="7">
        <v>2</v>
      </c>
      <c r="Y2002" s="37">
        <v>-0.1</v>
      </c>
      <c r="Z2002" s="37">
        <v>0</v>
      </c>
      <c r="AN2002" s="10"/>
      <c r="AP2002" s="267">
        <v>3405</v>
      </c>
      <c r="AQ2002" s="37" t="s">
        <v>136</v>
      </c>
      <c r="AR2002" s="11"/>
    </row>
    <row r="2003" s="37" customFormat="1" ht="16.5" spans="1:44">
      <c r="A2003" s="517">
        <v>10593</v>
      </c>
      <c r="B2003" s="290" t="s">
        <v>6803</v>
      </c>
      <c r="C2003" s="483" t="s">
        <v>6809</v>
      </c>
      <c r="D2003" s="37">
        <v>1</v>
      </c>
      <c r="E2003" s="37">
        <v>0</v>
      </c>
      <c r="G2003" s="37">
        <v>1</v>
      </c>
      <c r="H2003" s="485" t="s">
        <v>6810</v>
      </c>
      <c r="I2003" s="37">
        <v>4.06666666666667</v>
      </c>
      <c r="J2003" s="37">
        <v>4.06666666666667</v>
      </c>
      <c r="L2003" s="37">
        <v>1</v>
      </c>
      <c r="M2003" s="37">
        <f t="shared" si="201"/>
        <v>3.66666666666667</v>
      </c>
      <c r="N2003" s="37" t="s">
        <v>6811</v>
      </c>
      <c r="O2003" s="37">
        <v>1</v>
      </c>
      <c r="P2003" s="37">
        <v>2.2</v>
      </c>
      <c r="Q2003" s="37">
        <v>0</v>
      </c>
      <c r="S2003" s="37">
        <v>-0.2</v>
      </c>
      <c r="T2003" s="37">
        <v>0.2</v>
      </c>
      <c r="V2003" s="37">
        <v>1</v>
      </c>
      <c r="W2003" s="37">
        <v>0</v>
      </c>
      <c r="X2003" s="7">
        <v>2</v>
      </c>
      <c r="Y2003" s="37">
        <v>-0.1</v>
      </c>
      <c r="Z2003" s="37">
        <v>0</v>
      </c>
      <c r="AN2003" s="10"/>
      <c r="AP2003" s="267">
        <v>3406</v>
      </c>
      <c r="AQ2003" s="37" t="s">
        <v>136</v>
      </c>
      <c r="AR2003" s="11"/>
    </row>
    <row r="2004" s="37" customFormat="1" ht="16.5" spans="1:44">
      <c r="A2004" s="517">
        <v>10594</v>
      </c>
      <c r="B2004" s="290" t="s">
        <v>6812</v>
      </c>
      <c r="C2004" s="483" t="s">
        <v>526</v>
      </c>
      <c r="D2004" s="37">
        <v>1</v>
      </c>
      <c r="E2004" s="37">
        <v>0</v>
      </c>
      <c r="G2004" s="37">
        <v>1</v>
      </c>
      <c r="H2004" s="485" t="s">
        <v>6813</v>
      </c>
      <c r="I2004" s="37">
        <v>2.7</v>
      </c>
      <c r="J2004" s="37">
        <v>2.7</v>
      </c>
      <c r="L2004" s="37">
        <v>0</v>
      </c>
      <c r="M2004" s="37">
        <f t="shared" si="201"/>
        <v>2.3</v>
      </c>
      <c r="N2004" s="37" t="s">
        <v>6814</v>
      </c>
      <c r="O2004" s="37">
        <v>0</v>
      </c>
      <c r="P2004" s="37">
        <v>2</v>
      </c>
      <c r="Q2004" s="37">
        <v>0</v>
      </c>
      <c r="V2004" s="37">
        <v>1</v>
      </c>
      <c r="W2004" s="37">
        <v>0</v>
      </c>
      <c r="X2004" s="7">
        <v>12</v>
      </c>
      <c r="Y2004" s="37">
        <v>-0.1</v>
      </c>
      <c r="Z2004" s="37">
        <v>0</v>
      </c>
      <c r="AN2004" s="10"/>
      <c r="AP2004" s="267">
        <v>3409</v>
      </c>
      <c r="AQ2004" s="37" t="s">
        <v>136</v>
      </c>
      <c r="AR2004" s="11"/>
    </row>
    <row r="2005" s="37" customFormat="1" ht="16.5" spans="1:44">
      <c r="A2005" s="517">
        <v>10595</v>
      </c>
      <c r="B2005" s="290" t="s">
        <v>6812</v>
      </c>
      <c r="C2005" s="483" t="s">
        <v>5225</v>
      </c>
      <c r="D2005" s="37">
        <v>1</v>
      </c>
      <c r="E2005" s="37">
        <v>0</v>
      </c>
      <c r="G2005" s="37">
        <v>1</v>
      </c>
      <c r="H2005" s="485" t="s">
        <v>6815</v>
      </c>
      <c r="I2005" s="37">
        <v>3.33333333333333</v>
      </c>
      <c r="J2005" s="37">
        <v>3.33333333333333</v>
      </c>
      <c r="L2005" s="37">
        <v>0</v>
      </c>
      <c r="M2005" s="37">
        <f t="shared" si="201"/>
        <v>2.93333333333333</v>
      </c>
      <c r="N2005" s="37" t="s">
        <v>6816</v>
      </c>
      <c r="O2005" s="37">
        <v>0</v>
      </c>
      <c r="P2005" s="37">
        <v>2</v>
      </c>
      <c r="Q2005" s="37">
        <v>0</v>
      </c>
      <c r="S2005" s="37">
        <v>2</v>
      </c>
      <c r="T2005" s="37">
        <v>-1</v>
      </c>
      <c r="U2005" s="37">
        <v>0.2</v>
      </c>
      <c r="V2005" s="37">
        <v>6</v>
      </c>
      <c r="W2005" s="37">
        <v>0</v>
      </c>
      <c r="X2005" s="7">
        <v>0</v>
      </c>
      <c r="Y2005" s="37">
        <v>-0.1</v>
      </c>
      <c r="Z2005" s="37">
        <v>0</v>
      </c>
      <c r="AN2005" s="10"/>
      <c r="AP2005" s="267">
        <v>3411</v>
      </c>
      <c r="AQ2005" s="37" t="s">
        <v>136</v>
      </c>
      <c r="AR2005" s="11"/>
    </row>
    <row r="2006" s="37" customFormat="1" ht="16.5" spans="1:44">
      <c r="A2006" s="517">
        <v>10596</v>
      </c>
      <c r="B2006" s="290" t="s">
        <v>6812</v>
      </c>
      <c r="C2006" s="483" t="s">
        <v>5413</v>
      </c>
      <c r="D2006" s="37">
        <v>1</v>
      </c>
      <c r="E2006" s="37">
        <v>0</v>
      </c>
      <c r="G2006" s="37">
        <v>1</v>
      </c>
      <c r="H2006" s="485" t="s">
        <v>6817</v>
      </c>
      <c r="I2006" s="37">
        <v>3.93333333333333</v>
      </c>
      <c r="J2006" s="37">
        <v>3.93333333333333</v>
      </c>
      <c r="L2006" s="37">
        <v>1</v>
      </c>
      <c r="M2006" s="37">
        <f t="shared" si="201"/>
        <v>3.53333333333333</v>
      </c>
      <c r="N2006" s="37" t="s">
        <v>6818</v>
      </c>
      <c r="O2006" s="37">
        <v>0</v>
      </c>
      <c r="P2006" s="37">
        <v>2</v>
      </c>
      <c r="Q2006" s="37">
        <v>0</v>
      </c>
      <c r="S2006" s="37">
        <v>-4.6</v>
      </c>
      <c r="T2006" s="37">
        <v>-2.3</v>
      </c>
      <c r="U2006" s="37">
        <v>1</v>
      </c>
      <c r="V2006" s="37">
        <v>1</v>
      </c>
      <c r="W2006" s="37">
        <v>6</v>
      </c>
      <c r="X2006" s="7">
        <v>10</v>
      </c>
      <c r="Y2006" s="37">
        <v>-0.1</v>
      </c>
      <c r="Z2006" s="37">
        <v>0</v>
      </c>
      <c r="AN2006" s="10" t="s">
        <v>6819</v>
      </c>
      <c r="AO2006" s="37" t="s">
        <v>6820</v>
      </c>
      <c r="AP2006" s="267">
        <v>3412</v>
      </c>
      <c r="AQ2006" s="37" t="s">
        <v>136</v>
      </c>
      <c r="AR2006" s="11"/>
    </row>
    <row r="2007" s="37" customFormat="1" ht="16.5" spans="1:44">
      <c r="A2007" s="517">
        <v>10597</v>
      </c>
      <c r="B2007" s="290" t="s">
        <v>6821</v>
      </c>
      <c r="C2007" s="483" t="s">
        <v>526</v>
      </c>
      <c r="D2007" s="37">
        <v>1</v>
      </c>
      <c r="E2007" s="37">
        <v>0</v>
      </c>
      <c r="G2007" s="37">
        <v>1</v>
      </c>
      <c r="H2007" s="485" t="s">
        <v>6822</v>
      </c>
      <c r="I2007" s="37">
        <v>2.16666666666667</v>
      </c>
      <c r="J2007" s="37">
        <v>2.16666666666667</v>
      </c>
      <c r="L2007" s="37">
        <v>0</v>
      </c>
      <c r="M2007" s="37">
        <f t="shared" si="201"/>
        <v>1.76666666666667</v>
      </c>
      <c r="N2007" s="37" t="s">
        <v>6823</v>
      </c>
      <c r="O2007" s="37">
        <v>1</v>
      </c>
      <c r="P2007" s="37">
        <v>2.5</v>
      </c>
      <c r="Q2007" s="37">
        <v>0</v>
      </c>
      <c r="V2007" s="37">
        <v>1</v>
      </c>
      <c r="W2007" s="37">
        <v>0</v>
      </c>
      <c r="X2007" s="7">
        <v>2</v>
      </c>
      <c r="Y2007" s="37">
        <v>-0.1</v>
      </c>
      <c r="Z2007" s="37">
        <v>0</v>
      </c>
      <c r="AN2007" s="10"/>
      <c r="AP2007" s="267">
        <v>3420</v>
      </c>
      <c r="AQ2007" s="37" t="s">
        <v>136</v>
      </c>
      <c r="AR2007" s="11"/>
    </row>
    <row r="2008" s="37" customFormat="1" ht="16.5" spans="1:44">
      <c r="A2008" s="517">
        <v>10598</v>
      </c>
      <c r="B2008" s="290" t="s">
        <v>6824</v>
      </c>
      <c r="C2008" s="483" t="s">
        <v>526</v>
      </c>
      <c r="D2008" s="37">
        <v>1</v>
      </c>
      <c r="E2008" s="37">
        <v>0</v>
      </c>
      <c r="G2008" s="37">
        <v>1</v>
      </c>
      <c r="H2008" s="485" t="s">
        <v>6825</v>
      </c>
      <c r="I2008" s="37">
        <v>2.13333333333333</v>
      </c>
      <c r="J2008" s="37">
        <v>2.13333333333333</v>
      </c>
      <c r="L2008" s="37">
        <v>0</v>
      </c>
      <c r="M2008" s="37">
        <f t="shared" si="201"/>
        <v>1.73333333333333</v>
      </c>
      <c r="N2008" s="37" t="s">
        <v>6826</v>
      </c>
      <c r="O2008" s="37">
        <v>1</v>
      </c>
      <c r="P2008" s="37">
        <v>2.5</v>
      </c>
      <c r="Q2008" s="37">
        <v>0</v>
      </c>
      <c r="V2008" s="37">
        <v>1</v>
      </c>
      <c r="W2008" s="37">
        <v>0</v>
      </c>
      <c r="X2008" s="7">
        <v>3</v>
      </c>
      <c r="Y2008" s="37">
        <v>-0.1</v>
      </c>
      <c r="Z2008" s="37">
        <v>0</v>
      </c>
      <c r="AN2008" s="10"/>
      <c r="AP2008" s="267">
        <v>3422</v>
      </c>
      <c r="AQ2008" s="37" t="s">
        <v>136</v>
      </c>
      <c r="AR2008" s="11"/>
    </row>
    <row r="2009" s="37" customFormat="1" ht="16.5" spans="1:44">
      <c r="A2009" s="517">
        <v>10599</v>
      </c>
      <c r="B2009" s="290" t="s">
        <v>3681</v>
      </c>
      <c r="C2009" s="483" t="s">
        <v>526</v>
      </c>
      <c r="D2009" s="37">
        <v>1</v>
      </c>
      <c r="E2009" s="37">
        <v>0</v>
      </c>
      <c r="G2009" s="37">
        <v>1</v>
      </c>
      <c r="H2009" s="485" t="s">
        <v>6827</v>
      </c>
      <c r="I2009" s="37">
        <f>132/30</f>
        <v>4.4</v>
      </c>
      <c r="J2009" s="37">
        <v>4.4</v>
      </c>
      <c r="L2009" s="37">
        <v>0</v>
      </c>
      <c r="M2009" s="37">
        <f t="shared" si="201"/>
        <v>4</v>
      </c>
      <c r="N2009" s="37" t="s">
        <v>6828</v>
      </c>
      <c r="O2009" s="37">
        <v>1</v>
      </c>
      <c r="P2009" s="37">
        <v>2.8</v>
      </c>
      <c r="Q2009" s="37">
        <v>0</v>
      </c>
      <c r="S2009" s="37">
        <v>-4.6</v>
      </c>
      <c r="U2009" s="37">
        <v>2.2</v>
      </c>
      <c r="V2009" s="37">
        <v>1</v>
      </c>
      <c r="W2009" s="37">
        <v>0</v>
      </c>
      <c r="X2009" s="7">
        <v>3</v>
      </c>
      <c r="Y2009" s="37">
        <v>-0.1</v>
      </c>
      <c r="Z2009" s="37">
        <v>0</v>
      </c>
      <c r="AN2009" s="10"/>
      <c r="AP2009" s="267">
        <v>3424</v>
      </c>
      <c r="AQ2009" s="37" t="s">
        <v>136</v>
      </c>
      <c r="AR2009" s="11"/>
    </row>
    <row r="2010" s="37" customFormat="1" ht="16.5" spans="1:44">
      <c r="A2010" s="517">
        <v>10600</v>
      </c>
      <c r="B2010" s="290" t="s">
        <v>3681</v>
      </c>
      <c r="C2010" s="483" t="s">
        <v>5225</v>
      </c>
      <c r="D2010" s="37">
        <v>1</v>
      </c>
      <c r="E2010" s="37">
        <v>0</v>
      </c>
      <c r="G2010" s="37">
        <v>1</v>
      </c>
      <c r="H2010" s="485" t="s">
        <v>6829</v>
      </c>
      <c r="I2010" s="37">
        <f>144/30</f>
        <v>4.8</v>
      </c>
      <c r="J2010" s="37">
        <v>4.8</v>
      </c>
      <c r="L2010" s="37">
        <v>1</v>
      </c>
      <c r="M2010" s="37">
        <f t="shared" si="201"/>
        <v>4.4</v>
      </c>
      <c r="N2010" s="37" t="s">
        <v>6830</v>
      </c>
      <c r="O2010" s="37">
        <v>1</v>
      </c>
      <c r="P2010" s="37">
        <v>2.8</v>
      </c>
      <c r="Q2010" s="37">
        <v>0</v>
      </c>
      <c r="S2010" s="37">
        <v>-4.6</v>
      </c>
      <c r="U2010" s="37">
        <v>2.2</v>
      </c>
      <c r="V2010" s="37">
        <v>1</v>
      </c>
      <c r="W2010" s="37">
        <v>0</v>
      </c>
      <c r="X2010" s="7">
        <v>6</v>
      </c>
      <c r="Y2010" s="37">
        <v>-0.1</v>
      </c>
      <c r="Z2010" s="37">
        <v>0</v>
      </c>
      <c r="AN2010" s="10"/>
      <c r="AP2010" s="267">
        <v>3426</v>
      </c>
      <c r="AQ2010" s="37" t="s">
        <v>136</v>
      </c>
      <c r="AR2010" s="11"/>
    </row>
    <row r="2011" s="37" customFormat="1" ht="16.5" spans="1:44">
      <c r="A2011" s="517">
        <v>10601</v>
      </c>
      <c r="B2011" s="290" t="s">
        <v>6831</v>
      </c>
      <c r="C2011" s="483" t="s">
        <v>526</v>
      </c>
      <c r="D2011" s="37">
        <v>1</v>
      </c>
      <c r="E2011" s="37">
        <v>0</v>
      </c>
      <c r="G2011" s="37">
        <v>1</v>
      </c>
      <c r="H2011" s="485" t="s">
        <v>6832</v>
      </c>
      <c r="I2011" s="37">
        <f>89/30</f>
        <v>2.96666666666667</v>
      </c>
      <c r="J2011" s="37">
        <f>89/30</f>
        <v>2.96666666666667</v>
      </c>
      <c r="L2011" s="37">
        <v>0</v>
      </c>
      <c r="M2011" s="37">
        <f t="shared" si="201"/>
        <v>2.56666666666667</v>
      </c>
      <c r="N2011" s="37" t="s">
        <v>6833</v>
      </c>
      <c r="O2011" s="37">
        <v>1</v>
      </c>
      <c r="P2011" s="37">
        <v>4.3</v>
      </c>
      <c r="Q2011" s="37">
        <v>0</v>
      </c>
      <c r="S2011" s="37">
        <v>0.3</v>
      </c>
      <c r="U2011" s="37">
        <v>1.5</v>
      </c>
      <c r="V2011" s="37">
        <v>1</v>
      </c>
      <c r="W2011" s="37">
        <v>0</v>
      </c>
      <c r="X2011" s="7">
        <v>2</v>
      </c>
      <c r="Y2011" s="37">
        <v>-0.1</v>
      </c>
      <c r="Z2011" s="37">
        <v>0</v>
      </c>
      <c r="AN2011" s="10"/>
      <c r="AP2011" s="267">
        <v>3427</v>
      </c>
      <c r="AQ2011" s="37" t="s">
        <v>136</v>
      </c>
      <c r="AR2011" s="11"/>
    </row>
    <row r="2012" s="37" customFormat="1" ht="16.5" spans="1:44">
      <c r="A2012" s="517">
        <v>10602</v>
      </c>
      <c r="B2012" s="290" t="s">
        <v>6831</v>
      </c>
      <c r="C2012" s="483" t="s">
        <v>5225</v>
      </c>
      <c r="D2012" s="37">
        <v>1</v>
      </c>
      <c r="E2012" s="37">
        <v>0</v>
      </c>
      <c r="G2012" s="37">
        <v>1</v>
      </c>
      <c r="H2012" s="485" t="s">
        <v>6834</v>
      </c>
      <c r="I2012" s="37">
        <f>125/30</f>
        <v>4.16666666666667</v>
      </c>
      <c r="J2012" s="37">
        <f>125/30</f>
        <v>4.16666666666667</v>
      </c>
      <c r="L2012" s="37">
        <v>1</v>
      </c>
      <c r="M2012" s="37">
        <f t="shared" si="201"/>
        <v>3.76666666666667</v>
      </c>
      <c r="N2012" s="37" t="s">
        <v>6835</v>
      </c>
      <c r="O2012" s="37">
        <v>1</v>
      </c>
      <c r="P2012" s="37">
        <v>4.3</v>
      </c>
      <c r="Q2012" s="37">
        <v>0</v>
      </c>
      <c r="S2012" s="37">
        <v>0.3</v>
      </c>
      <c r="U2012" s="37">
        <v>2</v>
      </c>
      <c r="V2012" s="37">
        <v>1</v>
      </c>
      <c r="W2012" s="37">
        <v>6</v>
      </c>
      <c r="X2012" s="7">
        <v>4</v>
      </c>
      <c r="Y2012" s="37">
        <v>-0.1</v>
      </c>
      <c r="Z2012" s="37">
        <v>0</v>
      </c>
      <c r="AN2012" s="10"/>
      <c r="AP2012" s="267">
        <v>3428</v>
      </c>
      <c r="AQ2012" s="37" t="s">
        <v>136</v>
      </c>
      <c r="AR2012" s="11"/>
    </row>
    <row r="2013" s="37" customFormat="1" ht="16.5" spans="1:44">
      <c r="A2013" s="517">
        <v>10603</v>
      </c>
      <c r="B2013" s="290" t="s">
        <v>6831</v>
      </c>
      <c r="C2013" s="483" t="s">
        <v>5413</v>
      </c>
      <c r="D2013" s="37">
        <v>1</v>
      </c>
      <c r="E2013" s="37">
        <v>0</v>
      </c>
      <c r="G2013" s="37">
        <v>1</v>
      </c>
      <c r="H2013" s="485" t="s">
        <v>6836</v>
      </c>
      <c r="I2013" s="37">
        <f>103/30</f>
        <v>3.43333333333333</v>
      </c>
      <c r="J2013" s="37">
        <f>103/30</f>
        <v>3.43333333333333</v>
      </c>
      <c r="L2013" s="37">
        <v>1</v>
      </c>
      <c r="M2013" s="37">
        <f t="shared" si="201"/>
        <v>3.03333333333333</v>
      </c>
      <c r="N2013" s="37" t="s">
        <v>6837</v>
      </c>
      <c r="O2013" s="37">
        <v>1</v>
      </c>
      <c r="P2013" s="37">
        <v>4.3</v>
      </c>
      <c r="Q2013" s="37">
        <v>0</v>
      </c>
      <c r="S2013" s="37">
        <v>0.3</v>
      </c>
      <c r="U2013" s="37">
        <v>2.5</v>
      </c>
      <c r="V2013" s="37">
        <v>1</v>
      </c>
      <c r="W2013" s="37">
        <v>6</v>
      </c>
      <c r="X2013" s="7">
        <v>1</v>
      </c>
      <c r="Y2013" s="37">
        <v>-0.1</v>
      </c>
      <c r="Z2013" s="37">
        <v>0</v>
      </c>
      <c r="AN2013" s="10"/>
      <c r="AP2013" s="267">
        <v>3429</v>
      </c>
      <c r="AQ2013" s="37" t="s">
        <v>136</v>
      </c>
      <c r="AR2013" s="11"/>
    </row>
    <row r="2014" s="37" customFormat="1" ht="16.5" spans="1:44">
      <c r="A2014" s="517">
        <v>10604</v>
      </c>
      <c r="B2014" s="290" t="s">
        <v>6831</v>
      </c>
      <c r="C2014" s="483" t="s">
        <v>5427</v>
      </c>
      <c r="D2014" s="37">
        <v>1</v>
      </c>
      <c r="E2014" s="37">
        <v>0</v>
      </c>
      <c r="G2014" s="37">
        <v>1</v>
      </c>
      <c r="H2014" s="485" t="s">
        <v>6838</v>
      </c>
      <c r="I2014" s="37">
        <f>150/30</f>
        <v>5</v>
      </c>
      <c r="J2014" s="37">
        <f>150/30</f>
        <v>5</v>
      </c>
      <c r="L2014" s="37">
        <v>1</v>
      </c>
      <c r="M2014" s="37">
        <f t="shared" si="201"/>
        <v>4.6</v>
      </c>
      <c r="N2014" s="17" t="s">
        <v>6839</v>
      </c>
      <c r="O2014" s="37">
        <v>1</v>
      </c>
      <c r="P2014" s="37">
        <v>5</v>
      </c>
      <c r="Q2014" s="37">
        <v>0</v>
      </c>
      <c r="V2014" s="37">
        <v>1</v>
      </c>
      <c r="W2014" s="37">
        <v>6</v>
      </c>
      <c r="X2014" s="7">
        <v>2</v>
      </c>
      <c r="Y2014" s="37">
        <v>-0.1</v>
      </c>
      <c r="Z2014" s="37">
        <v>0</v>
      </c>
      <c r="AC2014" s="37">
        <v>2</v>
      </c>
      <c r="AD2014" s="37">
        <v>1</v>
      </c>
      <c r="AE2014" s="37" t="s">
        <v>6840</v>
      </c>
      <c r="AF2014" s="37">
        <v>0.5</v>
      </c>
      <c r="AN2014" s="10"/>
      <c r="AP2014" s="267">
        <v>3430</v>
      </c>
      <c r="AQ2014" s="37" t="s">
        <v>136</v>
      </c>
      <c r="AR2014" s="11"/>
    </row>
    <row r="2015" s="37" customFormat="1" ht="16.5" spans="1:44">
      <c r="A2015" s="517">
        <v>10605</v>
      </c>
      <c r="B2015" s="290" t="s">
        <v>6841</v>
      </c>
      <c r="C2015" s="483" t="s">
        <v>526</v>
      </c>
      <c r="D2015" s="37">
        <v>1</v>
      </c>
      <c r="E2015" s="37">
        <v>0</v>
      </c>
      <c r="G2015" s="37">
        <v>1</v>
      </c>
      <c r="H2015" s="291" t="s">
        <v>6842</v>
      </c>
      <c r="I2015" s="37">
        <v>3.43333333333333</v>
      </c>
      <c r="J2015" s="37">
        <v>3.43333333333333</v>
      </c>
      <c r="L2015" s="37">
        <v>0</v>
      </c>
      <c r="M2015" s="37">
        <f t="shared" si="201"/>
        <v>3.03333333333333</v>
      </c>
      <c r="N2015" s="455" t="s">
        <v>6843</v>
      </c>
      <c r="O2015" s="37">
        <v>1</v>
      </c>
      <c r="P2015" s="37">
        <v>1.3</v>
      </c>
      <c r="Q2015" s="37">
        <v>0</v>
      </c>
      <c r="S2015" s="50">
        <v>0.3</v>
      </c>
      <c r="T2015" s="50">
        <v>-0.1</v>
      </c>
      <c r="U2015" s="50">
        <v>0.1</v>
      </c>
      <c r="V2015" s="37">
        <v>1</v>
      </c>
      <c r="W2015" s="37">
        <v>0</v>
      </c>
      <c r="X2015" s="7">
        <v>3</v>
      </c>
      <c r="Y2015" s="37">
        <v>-0.1</v>
      </c>
      <c r="Z2015" s="37">
        <v>0</v>
      </c>
      <c r="AN2015" s="10">
        <v>3432</v>
      </c>
      <c r="AO2015" s="37" t="s">
        <v>690</v>
      </c>
      <c r="AP2015" s="267">
        <v>3431</v>
      </c>
      <c r="AQ2015" s="37" t="s">
        <v>136</v>
      </c>
      <c r="AR2015" s="11"/>
    </row>
    <row r="2016" s="37" customFormat="1" ht="16.5" spans="1:44">
      <c r="A2016" s="517">
        <v>10606</v>
      </c>
      <c r="B2016" s="290" t="s">
        <v>6841</v>
      </c>
      <c r="C2016" s="483" t="s">
        <v>5225</v>
      </c>
      <c r="D2016" s="37">
        <v>1</v>
      </c>
      <c r="E2016" s="37">
        <v>0</v>
      </c>
      <c r="G2016" s="37">
        <v>1</v>
      </c>
      <c r="H2016" s="291" t="s">
        <v>6844</v>
      </c>
      <c r="I2016" s="37">
        <v>3.3</v>
      </c>
      <c r="J2016" s="37">
        <v>3.3</v>
      </c>
      <c r="L2016" s="37">
        <v>1</v>
      </c>
      <c r="M2016" s="37">
        <f t="shared" si="201"/>
        <v>2.9</v>
      </c>
      <c r="N2016" s="455" t="s">
        <v>3141</v>
      </c>
      <c r="O2016" s="37">
        <v>1</v>
      </c>
      <c r="P2016" s="37">
        <v>1.3</v>
      </c>
      <c r="Q2016" s="37">
        <v>0</v>
      </c>
      <c r="S2016" s="37">
        <v>1</v>
      </c>
      <c r="T2016" s="37">
        <v>-0.1</v>
      </c>
      <c r="U2016" s="37">
        <v>0.5</v>
      </c>
      <c r="V2016" s="37">
        <v>6</v>
      </c>
      <c r="W2016" s="37">
        <v>6</v>
      </c>
      <c r="X2016" s="7">
        <v>5</v>
      </c>
      <c r="Y2016" s="37">
        <v>-0.1</v>
      </c>
      <c r="Z2016" s="37">
        <v>0</v>
      </c>
      <c r="AN2016" s="10">
        <v>3435</v>
      </c>
      <c r="AO2016" s="37" t="s">
        <v>690</v>
      </c>
      <c r="AP2016" s="267">
        <v>3434</v>
      </c>
      <c r="AQ2016" s="37" t="s">
        <v>136</v>
      </c>
      <c r="AR2016" s="11"/>
    </row>
    <row r="2017" s="28" customFormat="1" ht="16.5" spans="1:45">
      <c r="A2017" s="411">
        <v>10607</v>
      </c>
      <c r="B2017" s="229" t="s">
        <v>2836</v>
      </c>
      <c r="C2017" s="394" t="s">
        <v>526</v>
      </c>
      <c r="D2017" s="28">
        <v>1</v>
      </c>
      <c r="E2017" s="28">
        <v>0</v>
      </c>
      <c r="G2017" s="28">
        <v>1</v>
      </c>
      <c r="H2017" s="513" t="s">
        <v>2837</v>
      </c>
      <c r="I2017" s="28">
        <v>3.36666666666667</v>
      </c>
      <c r="J2017" s="28">
        <v>3.36666666666667</v>
      </c>
      <c r="L2017" s="28">
        <v>0</v>
      </c>
      <c r="M2017" s="28">
        <v>2.96666666666667</v>
      </c>
      <c r="N2017" s="28" t="s">
        <v>6845</v>
      </c>
      <c r="O2017" s="28">
        <v>1</v>
      </c>
      <c r="P2017" s="229">
        <v>1.38</v>
      </c>
      <c r="Q2017" s="28">
        <v>0</v>
      </c>
      <c r="S2017" s="28">
        <v>1.5</v>
      </c>
      <c r="T2017" s="28">
        <v>0</v>
      </c>
      <c r="U2017" s="28">
        <v>0.45</v>
      </c>
      <c r="V2017" s="28">
        <v>6</v>
      </c>
      <c r="W2017" s="229">
        <v>0</v>
      </c>
      <c r="X2017" s="218">
        <v>3</v>
      </c>
      <c r="Y2017" s="28">
        <v>-0.1</v>
      </c>
      <c r="Z2017" s="28">
        <v>0</v>
      </c>
      <c r="AE2017" s="243"/>
      <c r="AN2017" s="221"/>
      <c r="AP2017" s="423">
        <v>2902</v>
      </c>
      <c r="AQ2017" s="28" t="s">
        <v>136</v>
      </c>
      <c r="AR2017" s="245"/>
      <c r="AS2017" s="424"/>
    </row>
    <row r="2018" s="28" customFormat="1" ht="16.5" spans="1:45">
      <c r="A2018" s="411">
        <v>10608</v>
      </c>
      <c r="B2018" s="229" t="s">
        <v>2836</v>
      </c>
      <c r="C2018" s="394" t="s">
        <v>2839</v>
      </c>
      <c r="D2018" s="28">
        <v>1</v>
      </c>
      <c r="E2018" s="28">
        <v>0</v>
      </c>
      <c r="G2018" s="28">
        <v>1</v>
      </c>
      <c r="H2018" s="513" t="s">
        <v>2840</v>
      </c>
      <c r="I2018" s="28">
        <v>5.1</v>
      </c>
      <c r="J2018" s="28">
        <v>5.1</v>
      </c>
      <c r="L2018" s="28">
        <v>1</v>
      </c>
      <c r="M2018" s="28">
        <v>4.7</v>
      </c>
      <c r="N2018" s="28" t="s">
        <v>6846</v>
      </c>
      <c r="O2018" s="28">
        <v>1</v>
      </c>
      <c r="P2018" s="229">
        <v>1.38</v>
      </c>
      <c r="Q2018" s="28">
        <v>0</v>
      </c>
      <c r="S2018" s="28">
        <v>0.9</v>
      </c>
      <c r="T2018" s="28">
        <v>0.8</v>
      </c>
      <c r="U2018" s="28">
        <v>0.87</v>
      </c>
      <c r="V2018" s="28">
        <v>6</v>
      </c>
      <c r="W2018" s="229">
        <v>6</v>
      </c>
      <c r="X2018" s="218">
        <v>4</v>
      </c>
      <c r="Y2018" s="28">
        <v>-0.1</v>
      </c>
      <c r="Z2018" s="28">
        <v>0</v>
      </c>
      <c r="AE2018" s="243"/>
      <c r="AN2018" s="221" t="s">
        <v>2842</v>
      </c>
      <c r="AO2018" s="28" t="s">
        <v>2843</v>
      </c>
      <c r="AP2018" s="423">
        <v>2904</v>
      </c>
      <c r="AQ2018" s="28" t="s">
        <v>136</v>
      </c>
      <c r="AR2018" s="245"/>
      <c r="AS2018" s="424"/>
    </row>
    <row r="2019" s="28" customFormat="1" ht="16.5" spans="1:45">
      <c r="A2019" s="411">
        <v>10609</v>
      </c>
      <c r="B2019" s="229" t="s">
        <v>2836</v>
      </c>
      <c r="C2019" s="394" t="s">
        <v>2847</v>
      </c>
      <c r="D2019" s="28">
        <v>1</v>
      </c>
      <c r="E2019" s="28">
        <v>0</v>
      </c>
      <c r="G2019" s="28">
        <v>1</v>
      </c>
      <c r="H2019" s="513" t="s">
        <v>2848</v>
      </c>
      <c r="I2019" s="28">
        <v>4.13333333333333</v>
      </c>
      <c r="J2019" s="28">
        <v>4.13333333333333</v>
      </c>
      <c r="L2019" s="28">
        <v>1</v>
      </c>
      <c r="M2019" s="28">
        <v>3.73333333333333</v>
      </c>
      <c r="N2019" s="28" t="s">
        <v>6847</v>
      </c>
      <c r="O2019" s="28">
        <v>1</v>
      </c>
      <c r="P2019" s="229">
        <v>1.38</v>
      </c>
      <c r="Q2019" s="28">
        <v>0</v>
      </c>
      <c r="S2019" s="28">
        <v>0.5</v>
      </c>
      <c r="T2019" s="28">
        <v>0.4</v>
      </c>
      <c r="U2019" s="28">
        <v>0.8</v>
      </c>
      <c r="V2019" s="28">
        <v>6</v>
      </c>
      <c r="W2019" s="229">
        <v>6</v>
      </c>
      <c r="X2019" s="218">
        <v>3</v>
      </c>
      <c r="Y2019" s="28">
        <v>-0.1</v>
      </c>
      <c r="Z2019" s="28">
        <v>0</v>
      </c>
      <c r="AE2019" s="243"/>
      <c r="AN2019" s="221"/>
      <c r="AP2019" s="423">
        <v>2908</v>
      </c>
      <c r="AQ2019" s="28" t="s">
        <v>136</v>
      </c>
      <c r="AR2019" s="245"/>
      <c r="AS2019" s="424"/>
    </row>
    <row r="2020" s="28" customFormat="1" ht="16.5" spans="1:45">
      <c r="A2020" s="411">
        <v>10610</v>
      </c>
      <c r="B2020" s="229" t="s">
        <v>2836</v>
      </c>
      <c r="C2020" s="394" t="s">
        <v>2857</v>
      </c>
      <c r="D2020" s="28">
        <v>1</v>
      </c>
      <c r="E2020" s="28">
        <v>0</v>
      </c>
      <c r="G2020" s="28">
        <v>1</v>
      </c>
      <c r="H2020" s="513" t="s">
        <v>2858</v>
      </c>
      <c r="I2020" s="28">
        <v>9.66666666666667</v>
      </c>
      <c r="J2020" s="28">
        <v>9.66666666666667</v>
      </c>
      <c r="L2020" s="28">
        <v>1</v>
      </c>
      <c r="M2020" s="28">
        <v>9.26666666666667</v>
      </c>
      <c r="N2020" s="28" t="s">
        <v>6848</v>
      </c>
      <c r="O2020" s="28">
        <v>1</v>
      </c>
      <c r="P2020" s="229">
        <v>5</v>
      </c>
      <c r="Q2020" s="28">
        <v>0</v>
      </c>
      <c r="V2020" s="28">
        <v>6</v>
      </c>
      <c r="W2020" s="229">
        <v>6</v>
      </c>
      <c r="X2020" s="218">
        <v>15</v>
      </c>
      <c r="Y2020" s="28">
        <v>-0.1</v>
      </c>
      <c r="Z2020" s="28">
        <v>0</v>
      </c>
      <c r="AB2020" s="28">
        <v>9.36666666666667</v>
      </c>
      <c r="AC2020" s="28">
        <v>2</v>
      </c>
      <c r="AD2020" s="28">
        <v>1</v>
      </c>
      <c r="AE2020" s="243" t="s">
        <v>2860</v>
      </c>
      <c r="AF2020" s="28">
        <v>0.5</v>
      </c>
      <c r="AN2020" s="221"/>
      <c r="AP2020" s="423">
        <v>2911</v>
      </c>
      <c r="AQ2020" s="28" t="s">
        <v>136</v>
      </c>
      <c r="AR2020" s="245"/>
      <c r="AS2020" s="424"/>
    </row>
    <row r="2021" s="27" customFormat="1" spans="1:52">
      <c r="A2021" s="516">
        <v>10611</v>
      </c>
      <c r="B2021" s="27" t="s">
        <v>2367</v>
      </c>
      <c r="C2021" s="27" t="s">
        <v>526</v>
      </c>
      <c r="D2021" s="27">
        <v>1</v>
      </c>
      <c r="E2021" s="27">
        <v>0</v>
      </c>
      <c r="G2021" s="27">
        <v>1</v>
      </c>
      <c r="H2021" s="502" t="s">
        <v>2368</v>
      </c>
      <c r="I2021" s="27">
        <v>2.56666666666667</v>
      </c>
      <c r="J2021" s="27">
        <v>2.56666666666667</v>
      </c>
      <c r="L2021" s="27">
        <v>0</v>
      </c>
      <c r="M2021" s="27">
        <v>2.16666666666667</v>
      </c>
      <c r="N2021" s="27" t="s">
        <v>6849</v>
      </c>
      <c r="O2021" s="27">
        <v>1</v>
      </c>
      <c r="P2021" s="27">
        <v>1.2</v>
      </c>
      <c r="Q2021" s="27">
        <v>0</v>
      </c>
      <c r="S2021" s="27">
        <v>1</v>
      </c>
      <c r="T2021" s="27">
        <v>0.5</v>
      </c>
      <c r="U2021" s="27">
        <v>0.5</v>
      </c>
      <c r="V2021" s="27">
        <v>6</v>
      </c>
      <c r="W2021" s="27">
        <v>0</v>
      </c>
      <c r="X2021" s="217">
        <v>4</v>
      </c>
      <c r="Y2021" s="27">
        <v>-0.1</v>
      </c>
      <c r="Z2021" s="27">
        <v>0</v>
      </c>
      <c r="AN2021" s="213"/>
      <c r="AP2021" s="27">
        <v>2109</v>
      </c>
      <c r="AQ2021" s="27" t="s">
        <v>136</v>
      </c>
      <c r="AY2021" s="24"/>
      <c r="AZ2021" s="24"/>
    </row>
    <row r="2022" s="27" customFormat="1" spans="1:43">
      <c r="A2022" s="516">
        <v>10612</v>
      </c>
      <c r="B2022" s="27" t="s">
        <v>2367</v>
      </c>
      <c r="C2022" s="27" t="s">
        <v>2370</v>
      </c>
      <c r="D2022" s="27">
        <v>1</v>
      </c>
      <c r="E2022" s="27">
        <v>0</v>
      </c>
      <c r="G2022" s="27">
        <v>1</v>
      </c>
      <c r="H2022" s="502" t="s">
        <v>2371</v>
      </c>
      <c r="I2022" s="27">
        <v>2.73333333333333</v>
      </c>
      <c r="J2022" s="27">
        <v>2.73333333333333</v>
      </c>
      <c r="L2022" s="27">
        <v>1</v>
      </c>
      <c r="M2022" s="27">
        <v>2.33333333333333</v>
      </c>
      <c r="N2022" s="27" t="s">
        <v>6850</v>
      </c>
      <c r="O2022" s="27">
        <v>1</v>
      </c>
      <c r="P2022" s="27">
        <v>1.2</v>
      </c>
      <c r="Q2022" s="27">
        <v>0</v>
      </c>
      <c r="S2022" s="27">
        <v>1</v>
      </c>
      <c r="T2022" s="27">
        <v>0.5</v>
      </c>
      <c r="U2022" s="27">
        <v>0.5</v>
      </c>
      <c r="V2022" s="27">
        <v>6</v>
      </c>
      <c r="W2022" s="27">
        <v>0</v>
      </c>
      <c r="X2022" s="217">
        <v>6</v>
      </c>
      <c r="Y2022" s="27">
        <v>-0.1</v>
      </c>
      <c r="Z2022" s="27">
        <v>0</v>
      </c>
      <c r="AN2022" s="213">
        <v>2113</v>
      </c>
      <c r="AO2022" s="27" t="s">
        <v>483</v>
      </c>
      <c r="AP2022" s="27">
        <v>2112</v>
      </c>
      <c r="AQ2022" s="27" t="s">
        <v>136</v>
      </c>
    </row>
    <row r="2023" s="27" customFormat="1" spans="1:43">
      <c r="A2023" s="516">
        <v>10613</v>
      </c>
      <c r="B2023" s="27" t="s">
        <v>2367</v>
      </c>
      <c r="C2023" s="27" t="s">
        <v>2373</v>
      </c>
      <c r="D2023" s="27">
        <v>1</v>
      </c>
      <c r="E2023" s="27">
        <v>0</v>
      </c>
      <c r="G2023" s="27">
        <v>1</v>
      </c>
      <c r="H2023" s="502" t="s">
        <v>2374</v>
      </c>
      <c r="I2023" s="27">
        <v>3.73333333333333</v>
      </c>
      <c r="J2023" s="27">
        <v>3.73333333333333</v>
      </c>
      <c r="L2023" s="27">
        <v>1</v>
      </c>
      <c r="M2023" s="27">
        <v>3.33333333333333</v>
      </c>
      <c r="N2023" s="27" t="s">
        <v>6851</v>
      </c>
      <c r="O2023" s="27">
        <v>1</v>
      </c>
      <c r="P2023" s="27">
        <v>1.2</v>
      </c>
      <c r="Q2023" s="27">
        <v>0</v>
      </c>
      <c r="R2023" s="27">
        <v>1</v>
      </c>
      <c r="S2023" s="27">
        <v>1</v>
      </c>
      <c r="T2023" s="27">
        <v>0.5</v>
      </c>
      <c r="U2023" s="27">
        <v>0.5</v>
      </c>
      <c r="V2023" s="27">
        <v>6</v>
      </c>
      <c r="W2023" s="27">
        <v>0</v>
      </c>
      <c r="X2023" s="217">
        <v>4</v>
      </c>
      <c r="Y2023" s="27">
        <v>-0.1</v>
      </c>
      <c r="Z2023" s="27">
        <v>0</v>
      </c>
      <c r="AN2023" s="213"/>
      <c r="AP2023" s="27">
        <v>2136</v>
      </c>
      <c r="AQ2023" s="27" t="s">
        <v>136</v>
      </c>
    </row>
    <row r="2024" s="27" customFormat="1" spans="1:44">
      <c r="A2024" s="516">
        <v>10614</v>
      </c>
      <c r="B2024" s="27" t="s">
        <v>2367</v>
      </c>
      <c r="C2024" s="27" t="s">
        <v>2382</v>
      </c>
      <c r="D2024" s="27">
        <v>1</v>
      </c>
      <c r="E2024" s="27">
        <v>0</v>
      </c>
      <c r="G2024" s="27">
        <v>1</v>
      </c>
      <c r="H2024" s="502" t="s">
        <v>2383</v>
      </c>
      <c r="I2024" s="27">
        <v>7</v>
      </c>
      <c r="J2024" s="27">
        <v>7</v>
      </c>
      <c r="L2024" s="27">
        <v>1</v>
      </c>
      <c r="M2024" s="27">
        <v>6.6</v>
      </c>
      <c r="N2024" s="27" t="s">
        <v>6852</v>
      </c>
      <c r="O2024" s="27">
        <v>1</v>
      </c>
      <c r="P2024" s="27">
        <v>1.2</v>
      </c>
      <c r="Q2024" s="27">
        <v>0</v>
      </c>
      <c r="V2024" s="27">
        <v>6</v>
      </c>
      <c r="W2024" s="27">
        <v>0</v>
      </c>
      <c r="X2024" s="217">
        <v>4</v>
      </c>
      <c r="Y2024" s="27">
        <v>-0.1</v>
      </c>
      <c r="Z2024" s="27">
        <v>0</v>
      </c>
      <c r="AB2024" s="27">
        <v>6.7</v>
      </c>
      <c r="AC2024" s="27">
        <v>1</v>
      </c>
      <c r="AD2024" s="27">
        <v>1</v>
      </c>
      <c r="AE2024" s="27" t="s">
        <v>2385</v>
      </c>
      <c r="AF2024" s="27">
        <v>0.5</v>
      </c>
      <c r="AG2024" s="27" t="s">
        <v>2386</v>
      </c>
      <c r="AN2024" s="213" t="s">
        <v>2387</v>
      </c>
      <c r="AO2024" s="27" t="s">
        <v>2388</v>
      </c>
      <c r="AP2024" s="27">
        <v>2120</v>
      </c>
      <c r="AQ2024" s="27" t="s">
        <v>136</v>
      </c>
      <c r="AR2024" s="759" t="s">
        <v>2326</v>
      </c>
    </row>
    <row r="2025" s="64" customFormat="1" spans="1:43">
      <c r="A2025" s="692">
        <v>10615</v>
      </c>
      <c r="B2025" s="64" t="s">
        <v>2466</v>
      </c>
      <c r="C2025" s="64" t="s">
        <v>526</v>
      </c>
      <c r="D2025" s="64">
        <v>1</v>
      </c>
      <c r="E2025" s="64">
        <v>0</v>
      </c>
      <c r="G2025" s="64">
        <v>1</v>
      </c>
      <c r="H2025" s="583" t="s">
        <v>2467</v>
      </c>
      <c r="I2025" s="64">
        <v>3.06666666666667</v>
      </c>
      <c r="J2025" s="64">
        <v>3.06666666666667</v>
      </c>
      <c r="L2025" s="64">
        <v>0</v>
      </c>
      <c r="M2025" s="64">
        <v>2.66666666666667</v>
      </c>
      <c r="N2025" s="64" t="s">
        <v>6853</v>
      </c>
      <c r="O2025" s="64">
        <v>1</v>
      </c>
      <c r="P2025" s="64">
        <v>2.78</v>
      </c>
      <c r="Q2025" s="64">
        <v>0</v>
      </c>
      <c r="S2025" s="64">
        <v>1</v>
      </c>
      <c r="T2025" s="64">
        <v>1</v>
      </c>
      <c r="U2025" s="64">
        <v>0.8</v>
      </c>
      <c r="V2025" s="64">
        <v>1</v>
      </c>
      <c r="W2025" s="64">
        <v>0</v>
      </c>
      <c r="X2025" s="64">
        <v>3</v>
      </c>
      <c r="Y2025" s="64">
        <v>-0.1</v>
      </c>
      <c r="Z2025" s="64">
        <v>0</v>
      </c>
      <c r="AN2025" s="600" t="s">
        <v>2469</v>
      </c>
      <c r="AO2025" s="600" t="s">
        <v>524</v>
      </c>
      <c r="AP2025" s="64">
        <v>2362</v>
      </c>
      <c r="AQ2025" s="64" t="s">
        <v>136</v>
      </c>
    </row>
    <row r="2026" s="52" customFormat="1" spans="1:43">
      <c r="A2026" s="526">
        <v>10616</v>
      </c>
      <c r="B2026" s="52" t="s">
        <v>2466</v>
      </c>
      <c r="C2026" s="52" t="s">
        <v>2478</v>
      </c>
      <c r="D2026" s="52">
        <v>1</v>
      </c>
      <c r="E2026" s="52">
        <v>0</v>
      </c>
      <c r="G2026" s="52">
        <v>1</v>
      </c>
      <c r="H2026" s="693" t="s">
        <v>2479</v>
      </c>
      <c r="I2026" s="52">
        <v>3.9</v>
      </c>
      <c r="J2026" s="52">
        <v>3.9</v>
      </c>
      <c r="L2026" s="52">
        <v>1</v>
      </c>
      <c r="M2026" s="52">
        <v>3.5</v>
      </c>
      <c r="N2026" s="52" t="s">
        <v>6854</v>
      </c>
      <c r="O2026" s="52">
        <v>1</v>
      </c>
      <c r="P2026" s="52">
        <v>2.78</v>
      </c>
      <c r="Q2026" s="52">
        <v>0</v>
      </c>
      <c r="S2026" s="52">
        <v>-0.8</v>
      </c>
      <c r="T2026" s="52">
        <v>-0.5</v>
      </c>
      <c r="U2026" s="52">
        <v>1.5</v>
      </c>
      <c r="V2026" s="52">
        <v>1</v>
      </c>
      <c r="W2026" s="52">
        <v>6</v>
      </c>
      <c r="X2026" s="52">
        <v>13</v>
      </c>
      <c r="Y2026" s="52">
        <v>-0.1</v>
      </c>
      <c r="Z2026" s="52">
        <v>0</v>
      </c>
      <c r="AN2026" s="89" t="s">
        <v>2481</v>
      </c>
      <c r="AO2026" s="89" t="s">
        <v>524</v>
      </c>
      <c r="AP2026" s="52">
        <v>2374</v>
      </c>
      <c r="AQ2026" s="52" t="s">
        <v>136</v>
      </c>
    </row>
    <row r="2027" s="52" customFormat="1" spans="1:43">
      <c r="A2027" s="526">
        <v>10617</v>
      </c>
      <c r="B2027" s="52" t="s">
        <v>2466</v>
      </c>
      <c r="C2027" s="52" t="s">
        <v>2482</v>
      </c>
      <c r="D2027" s="52">
        <v>1</v>
      </c>
      <c r="E2027" s="52">
        <v>0</v>
      </c>
      <c r="G2027" s="52">
        <v>1</v>
      </c>
      <c r="H2027" s="693" t="s">
        <v>2483</v>
      </c>
      <c r="I2027" s="52">
        <v>2.8</v>
      </c>
      <c r="J2027" s="52">
        <v>2.8</v>
      </c>
      <c r="L2027" s="52">
        <v>1</v>
      </c>
      <c r="M2027" s="52">
        <v>2.4</v>
      </c>
      <c r="N2027" s="52" t="s">
        <v>6855</v>
      </c>
      <c r="O2027" s="52">
        <v>1</v>
      </c>
      <c r="P2027" s="52">
        <v>2.78</v>
      </c>
      <c r="Q2027" s="52">
        <v>1</v>
      </c>
      <c r="S2027" s="52">
        <v>-0.8</v>
      </c>
      <c r="T2027" s="52">
        <v>-0.5</v>
      </c>
      <c r="U2027" s="52">
        <v>1.5</v>
      </c>
      <c r="V2027" s="52">
        <v>1</v>
      </c>
      <c r="W2027" s="52">
        <v>6</v>
      </c>
      <c r="X2027" s="52">
        <v>3</v>
      </c>
      <c r="Y2027" s="52">
        <v>-0.1</v>
      </c>
      <c r="Z2027" s="52">
        <v>0</v>
      </c>
      <c r="AN2027" s="89"/>
      <c r="AO2027" s="89"/>
      <c r="AP2027" s="89">
        <v>2378</v>
      </c>
      <c r="AQ2027" s="52" t="s">
        <v>136</v>
      </c>
    </row>
    <row r="2028" s="52" customFormat="1" spans="1:43">
      <c r="A2028" s="526">
        <v>10618</v>
      </c>
      <c r="B2028" s="52" t="s">
        <v>2466</v>
      </c>
      <c r="C2028" s="52" t="s">
        <v>2496</v>
      </c>
      <c r="D2028" s="52">
        <v>1</v>
      </c>
      <c r="E2028" s="52">
        <v>0</v>
      </c>
      <c r="G2028" s="52">
        <v>1</v>
      </c>
      <c r="H2028" s="693" t="s">
        <v>2497</v>
      </c>
      <c r="I2028" s="52">
        <v>10.1</v>
      </c>
      <c r="J2028" s="52">
        <v>10.1</v>
      </c>
      <c r="L2028" s="52">
        <v>1</v>
      </c>
      <c r="M2028" s="52">
        <v>9.7</v>
      </c>
      <c r="N2028" s="52" t="s">
        <v>6856</v>
      </c>
      <c r="O2028" s="52">
        <v>3</v>
      </c>
      <c r="P2028" s="52">
        <v>-10</v>
      </c>
      <c r="Q2028" s="52">
        <v>0</v>
      </c>
      <c r="V2028" s="52">
        <v>1</v>
      </c>
      <c r="W2028" s="101">
        <v>6</v>
      </c>
      <c r="X2028" s="52">
        <v>14</v>
      </c>
      <c r="Y2028" s="52">
        <v>-0.1</v>
      </c>
      <c r="Z2028" s="52">
        <v>0</v>
      </c>
      <c r="AB2028" s="52">
        <v>9.8</v>
      </c>
      <c r="AC2028" s="52">
        <v>1</v>
      </c>
      <c r="AD2028" s="52">
        <v>1</v>
      </c>
      <c r="AE2028" s="52" t="s">
        <v>2499</v>
      </c>
      <c r="AF2028" s="52">
        <v>0.5</v>
      </c>
      <c r="AN2028" s="89"/>
      <c r="AP2028" s="89">
        <v>2389</v>
      </c>
      <c r="AQ2028" s="52" t="s">
        <v>136</v>
      </c>
    </row>
    <row r="2029" s="44" customFormat="1" spans="1:48">
      <c r="A2029" s="526">
        <v>10619</v>
      </c>
      <c r="B2029" s="363" t="s">
        <v>2661</v>
      </c>
      <c r="C2029" s="363" t="s">
        <v>526</v>
      </c>
      <c r="D2029" s="363">
        <v>1</v>
      </c>
      <c r="E2029" s="363">
        <v>0</v>
      </c>
      <c r="F2029" s="363"/>
      <c r="G2029" s="363">
        <v>1</v>
      </c>
      <c r="H2029" s="5" t="s">
        <v>2662</v>
      </c>
      <c r="I2029" s="44">
        <v>3.66666666666667</v>
      </c>
      <c r="J2029" s="44">
        <v>3.66666666666667</v>
      </c>
      <c r="K2029" s="363"/>
      <c r="L2029" s="363">
        <v>0</v>
      </c>
      <c r="M2029" s="44">
        <v>3.26666666666667</v>
      </c>
      <c r="N2029" s="363" t="s">
        <v>2663</v>
      </c>
      <c r="O2029" s="376">
        <v>1</v>
      </c>
      <c r="P2029" s="10">
        <v>2.5</v>
      </c>
      <c r="Q2029" s="376">
        <v>0</v>
      </c>
      <c r="R2029" s="363"/>
      <c r="S2029" s="363">
        <v>0.2</v>
      </c>
      <c r="T2029" s="363">
        <v>0.3</v>
      </c>
      <c r="U2029" s="363">
        <v>0.5</v>
      </c>
      <c r="V2029" s="363">
        <v>1</v>
      </c>
      <c r="W2029" s="363">
        <v>0</v>
      </c>
      <c r="X2029" s="376">
        <v>4</v>
      </c>
      <c r="Y2029" s="42">
        <v>-0.1</v>
      </c>
      <c r="Z2029" s="376">
        <v>0</v>
      </c>
      <c r="AA2029" s="363"/>
      <c r="AB2029" s="363"/>
      <c r="AC2029" s="363"/>
      <c r="AD2029" s="363"/>
      <c r="AE2029" s="363"/>
      <c r="AF2029" s="363"/>
      <c r="AG2029" s="363"/>
      <c r="AH2029" s="363"/>
      <c r="AI2029" s="363"/>
      <c r="AJ2029" s="363"/>
      <c r="AK2029" s="363"/>
      <c r="AL2029" s="363"/>
      <c r="AM2029" s="363"/>
      <c r="AN2029" s="363"/>
      <c r="AO2029" s="363"/>
      <c r="AP2029" s="363">
        <v>2634</v>
      </c>
      <c r="AQ2029" s="363" t="s">
        <v>136</v>
      </c>
      <c r="AR2029" s="363"/>
      <c r="AS2029" s="363"/>
      <c r="AT2029" s="363"/>
      <c r="AU2029" s="363"/>
      <c r="AV2029" s="363"/>
    </row>
    <row r="2030" s="72" customFormat="1" spans="1:48">
      <c r="A2030" s="403">
        <v>10620</v>
      </c>
      <c r="B2030" s="403" t="s">
        <v>2661</v>
      </c>
      <c r="C2030" s="403" t="s">
        <v>2667</v>
      </c>
      <c r="D2030" s="403">
        <v>1</v>
      </c>
      <c r="E2030" s="403">
        <v>0</v>
      </c>
      <c r="F2030" s="403"/>
      <c r="G2030" s="403">
        <v>1</v>
      </c>
      <c r="H2030" s="405" t="s">
        <v>2668</v>
      </c>
      <c r="I2030" s="49">
        <v>3.16666666666667</v>
      </c>
      <c r="J2030" s="49">
        <v>3.16666666666667</v>
      </c>
      <c r="K2030" s="403"/>
      <c r="L2030" s="403">
        <v>1</v>
      </c>
      <c r="M2030" s="49">
        <v>2.76666666666667</v>
      </c>
      <c r="N2030" s="403" t="s">
        <v>2669</v>
      </c>
      <c r="O2030" s="403">
        <v>1</v>
      </c>
      <c r="P2030" s="698">
        <v>2.5</v>
      </c>
      <c r="Q2030" s="403">
        <v>0</v>
      </c>
      <c r="R2030" s="403"/>
      <c r="S2030" s="403">
        <v>4</v>
      </c>
      <c r="T2030" s="403">
        <v>-0.5</v>
      </c>
      <c r="U2030" s="403">
        <v>0.5</v>
      </c>
      <c r="V2030" s="403">
        <v>1</v>
      </c>
      <c r="W2030" s="403">
        <v>6</v>
      </c>
      <c r="X2030" s="403">
        <v>2</v>
      </c>
      <c r="Y2030" s="72">
        <v>-0.1</v>
      </c>
      <c r="Z2030" s="403">
        <v>0</v>
      </c>
      <c r="AA2030" s="403"/>
      <c r="AB2030" s="403"/>
      <c r="AC2030" s="403"/>
      <c r="AD2030" s="403"/>
      <c r="AE2030" s="403"/>
      <c r="AF2030" s="403"/>
      <c r="AG2030" s="403"/>
      <c r="AH2030" s="403"/>
      <c r="AI2030" s="403"/>
      <c r="AJ2030" s="403"/>
      <c r="AK2030" s="403"/>
      <c r="AL2030" s="403"/>
      <c r="AM2030" s="403"/>
      <c r="AN2030" s="403"/>
      <c r="AO2030" s="403"/>
      <c r="AP2030" s="403">
        <v>2636</v>
      </c>
      <c r="AQ2030" s="403" t="s">
        <v>136</v>
      </c>
      <c r="AR2030" s="403"/>
      <c r="AS2030" s="403"/>
      <c r="AT2030" s="403"/>
      <c r="AU2030" s="403"/>
      <c r="AV2030" s="403"/>
    </row>
    <row r="2031" s="73" customFormat="1" ht="16.5" spans="1:48">
      <c r="A2031" s="364">
        <v>10621</v>
      </c>
      <c r="B2031" s="364" t="s">
        <v>2682</v>
      </c>
      <c r="C2031" s="364" t="s">
        <v>526</v>
      </c>
      <c r="D2031" s="364">
        <v>1</v>
      </c>
      <c r="E2031" s="364">
        <v>0</v>
      </c>
      <c r="F2031" s="364"/>
      <c r="G2031" s="364">
        <v>1</v>
      </c>
      <c r="H2031" s="273" t="s">
        <v>2683</v>
      </c>
      <c r="I2031" s="17">
        <v>2.73333333333333</v>
      </c>
      <c r="J2031" s="17">
        <v>2.73333333333333</v>
      </c>
      <c r="K2031" s="364"/>
      <c r="L2031" s="364">
        <v>0</v>
      </c>
      <c r="M2031" s="17">
        <v>2.33333333333333</v>
      </c>
      <c r="N2031" s="364" t="s">
        <v>6857</v>
      </c>
      <c r="O2031" s="364">
        <v>1</v>
      </c>
      <c r="P2031" s="364">
        <v>2.4</v>
      </c>
      <c r="Q2031" s="364">
        <v>0</v>
      </c>
      <c r="R2031" s="364"/>
      <c r="S2031" s="17">
        <v>1</v>
      </c>
      <c r="T2031" s="17">
        <v>0.5</v>
      </c>
      <c r="U2031" s="17">
        <v>0.75</v>
      </c>
      <c r="V2031" s="364">
        <v>1</v>
      </c>
      <c r="W2031" s="364">
        <v>0</v>
      </c>
      <c r="X2031" s="364">
        <v>4</v>
      </c>
      <c r="Y2031" s="73">
        <v>-0.1</v>
      </c>
      <c r="Z2031" s="364">
        <v>0</v>
      </c>
      <c r="AA2031" s="364"/>
      <c r="AB2031" s="364"/>
      <c r="AC2031" s="364"/>
      <c r="AD2031" s="364"/>
      <c r="AE2031" s="364"/>
      <c r="AF2031" s="364"/>
      <c r="AG2031" s="364"/>
      <c r="AH2031" s="364"/>
      <c r="AI2031" s="364"/>
      <c r="AJ2031" s="364"/>
      <c r="AK2031" s="364"/>
      <c r="AL2031" s="364"/>
      <c r="AM2031" s="364"/>
      <c r="AN2031" s="389">
        <v>2763</v>
      </c>
      <c r="AO2031" s="98" t="s">
        <v>2511</v>
      </c>
      <c r="AP2031" s="389">
        <v>2761</v>
      </c>
      <c r="AQ2031" s="364" t="s">
        <v>136</v>
      </c>
      <c r="AR2031" s="364"/>
      <c r="AS2031" s="364"/>
      <c r="AT2031" s="364"/>
      <c r="AU2031" s="364"/>
      <c r="AV2031" s="364"/>
    </row>
    <row r="2032" s="74" customFormat="1" ht="16.5" spans="1:48">
      <c r="A2032" s="694">
        <v>10622</v>
      </c>
      <c r="B2032" s="694" t="s">
        <v>2682</v>
      </c>
      <c r="C2032" s="694" t="s">
        <v>1925</v>
      </c>
      <c r="D2032" s="694">
        <v>1</v>
      </c>
      <c r="E2032" s="694">
        <v>0</v>
      </c>
      <c r="F2032" s="694"/>
      <c r="G2032" s="694">
        <v>1</v>
      </c>
      <c r="H2032" s="695" t="s">
        <v>2685</v>
      </c>
      <c r="I2032" s="54">
        <v>4.66666666666667</v>
      </c>
      <c r="J2032" s="54">
        <v>4.66666666666667</v>
      </c>
      <c r="K2032" s="694"/>
      <c r="L2032" s="694">
        <v>1</v>
      </c>
      <c r="M2032" s="54">
        <v>4.26666666666667</v>
      </c>
      <c r="N2032" s="694" t="s">
        <v>6858</v>
      </c>
      <c r="O2032" s="694">
        <v>1</v>
      </c>
      <c r="P2032" s="699">
        <v>2.4</v>
      </c>
      <c r="Q2032" s="694">
        <v>0</v>
      </c>
      <c r="R2032" s="694"/>
      <c r="S2032" s="54">
        <v>1.65</v>
      </c>
      <c r="T2032" s="54">
        <v>0.5</v>
      </c>
      <c r="U2032" s="54">
        <v>1.2</v>
      </c>
      <c r="V2032" s="694">
        <v>1</v>
      </c>
      <c r="W2032" s="694">
        <v>0</v>
      </c>
      <c r="X2032" s="694">
        <v>5</v>
      </c>
      <c r="Y2032" s="74">
        <v>-0.1</v>
      </c>
      <c r="Z2032" s="694">
        <v>0</v>
      </c>
      <c r="AA2032" s="694"/>
      <c r="AB2032" s="694"/>
      <c r="AC2032" s="694"/>
      <c r="AD2032" s="694"/>
      <c r="AE2032" s="694"/>
      <c r="AF2032" s="694"/>
      <c r="AG2032" s="694"/>
      <c r="AH2032" s="694"/>
      <c r="AI2032" s="694"/>
      <c r="AJ2032" s="694"/>
      <c r="AK2032" s="694"/>
      <c r="AL2032" s="694"/>
      <c r="AM2032" s="694"/>
      <c r="AN2032" s="701">
        <v>2763</v>
      </c>
      <c r="AO2032" s="699" t="s">
        <v>2511</v>
      </c>
      <c r="AP2032" s="701">
        <v>2764</v>
      </c>
      <c r="AQ2032" s="694" t="s">
        <v>136</v>
      </c>
      <c r="AR2032" s="694"/>
      <c r="AS2032" s="694"/>
      <c r="AT2032" s="694"/>
      <c r="AU2032" s="694"/>
      <c r="AV2032" s="694"/>
    </row>
    <row r="2033" s="74" customFormat="1" ht="16.5" spans="1:48">
      <c r="A2033" s="694">
        <v>10623</v>
      </c>
      <c r="B2033" s="694" t="s">
        <v>2682</v>
      </c>
      <c r="C2033" s="694" t="s">
        <v>2687</v>
      </c>
      <c r="D2033" s="694">
        <v>1</v>
      </c>
      <c r="E2033" s="694">
        <v>0</v>
      </c>
      <c r="F2033" s="694"/>
      <c r="G2033" s="694">
        <v>1</v>
      </c>
      <c r="H2033" s="695" t="s">
        <v>2688</v>
      </c>
      <c r="I2033" s="54">
        <v>1.83333333333333</v>
      </c>
      <c r="J2033" s="54">
        <v>1.83333333333333</v>
      </c>
      <c r="K2033" s="694"/>
      <c r="L2033" s="694">
        <v>1</v>
      </c>
      <c r="M2033" s="54">
        <v>1.43333333333333</v>
      </c>
      <c r="N2033" s="694" t="s">
        <v>6859</v>
      </c>
      <c r="O2033" s="694">
        <v>1</v>
      </c>
      <c r="P2033" s="694">
        <v>2.4</v>
      </c>
      <c r="Q2033" s="694">
        <v>0</v>
      </c>
      <c r="R2033" s="694"/>
      <c r="S2033" s="54">
        <v>0.8</v>
      </c>
      <c r="T2033" s="54">
        <v>0.5</v>
      </c>
      <c r="U2033" s="54">
        <v>0.5</v>
      </c>
      <c r="V2033" s="694">
        <v>1</v>
      </c>
      <c r="W2033" s="694">
        <v>0</v>
      </c>
      <c r="X2033" s="694">
        <v>2</v>
      </c>
      <c r="Y2033" s="74">
        <v>-0.1</v>
      </c>
      <c r="Z2033" s="694">
        <v>0</v>
      </c>
      <c r="AA2033" s="694"/>
      <c r="AB2033" s="694"/>
      <c r="AC2033" s="694"/>
      <c r="AD2033" s="694"/>
      <c r="AE2033" s="694"/>
      <c r="AF2033" s="694"/>
      <c r="AG2033" s="694"/>
      <c r="AH2033" s="694"/>
      <c r="AI2033" s="694"/>
      <c r="AJ2033" s="694"/>
      <c r="AK2033" s="694"/>
      <c r="AL2033" s="694"/>
      <c r="AM2033" s="694"/>
      <c r="AN2033" s="694"/>
      <c r="AO2033" s="694"/>
      <c r="AP2033" s="701">
        <v>2765</v>
      </c>
      <c r="AQ2033" s="694" t="s">
        <v>136</v>
      </c>
      <c r="AR2033" s="694"/>
      <c r="AS2033" s="694"/>
      <c r="AT2033" s="694"/>
      <c r="AU2033" s="694"/>
      <c r="AV2033" s="694"/>
    </row>
    <row r="2034" s="75" customFormat="1" ht="16.5" spans="1:48">
      <c r="A2034" s="696">
        <v>10624</v>
      </c>
      <c r="B2034" s="696" t="s">
        <v>2608</v>
      </c>
      <c r="C2034" s="696" t="s">
        <v>526</v>
      </c>
      <c r="D2034" s="696">
        <v>1</v>
      </c>
      <c r="E2034" s="696">
        <v>0</v>
      </c>
      <c r="F2034" s="696"/>
      <c r="G2034" s="696">
        <v>1</v>
      </c>
      <c r="H2034" s="697" t="s">
        <v>2609</v>
      </c>
      <c r="I2034" s="22">
        <v>3.66666666666667</v>
      </c>
      <c r="J2034" s="22">
        <v>3.66666666666667</v>
      </c>
      <c r="K2034" s="696"/>
      <c r="L2034" s="696">
        <v>0</v>
      </c>
      <c r="M2034" s="22">
        <v>3.26666666666667</v>
      </c>
      <c r="N2034" s="696" t="s">
        <v>6860</v>
      </c>
      <c r="O2034" s="696">
        <v>1</v>
      </c>
      <c r="P2034" s="696">
        <v>4.1</v>
      </c>
      <c r="Q2034" s="696">
        <v>0</v>
      </c>
      <c r="R2034" s="696"/>
      <c r="S2034" s="696">
        <v>1.02</v>
      </c>
      <c r="T2034" s="696">
        <v>0.3</v>
      </c>
      <c r="U2034" s="696">
        <v>1.74</v>
      </c>
      <c r="V2034" s="696">
        <v>1</v>
      </c>
      <c r="W2034" s="696">
        <v>0</v>
      </c>
      <c r="X2034" s="696">
        <v>5</v>
      </c>
      <c r="Y2034" s="75">
        <v>-0.1</v>
      </c>
      <c r="Z2034" s="696">
        <v>0</v>
      </c>
      <c r="AA2034" s="696"/>
      <c r="AB2034" s="696"/>
      <c r="AC2034" s="696"/>
      <c r="AD2034" s="696"/>
      <c r="AE2034" s="696"/>
      <c r="AF2034" s="696"/>
      <c r="AG2034" s="696"/>
      <c r="AH2034" s="696"/>
      <c r="AI2034" s="696"/>
      <c r="AJ2034" s="696"/>
      <c r="AK2034" s="696"/>
      <c r="AL2034" s="696"/>
      <c r="AM2034" s="696"/>
      <c r="AO2034" s="696"/>
      <c r="AP2034" s="702">
        <v>2570</v>
      </c>
      <c r="AQ2034" s="21" t="s">
        <v>136</v>
      </c>
      <c r="AR2034" s="696"/>
      <c r="AS2034" s="696"/>
      <c r="AT2034" s="696"/>
      <c r="AU2034" s="696"/>
      <c r="AV2034" s="696"/>
    </row>
    <row r="2035" s="75" customFormat="1" spans="1:48">
      <c r="A2035" s="696">
        <v>10625</v>
      </c>
      <c r="B2035" s="696" t="s">
        <v>2608</v>
      </c>
      <c r="C2035" s="696" t="s">
        <v>2614</v>
      </c>
      <c r="D2035" s="696">
        <v>1</v>
      </c>
      <c r="E2035" s="696">
        <v>0</v>
      </c>
      <c r="F2035" s="696"/>
      <c r="G2035" s="696">
        <v>1</v>
      </c>
      <c r="H2035" s="697" t="s">
        <v>2615</v>
      </c>
      <c r="I2035" s="22">
        <v>6.66666666666667</v>
      </c>
      <c r="J2035" s="22">
        <v>6.66666666666667</v>
      </c>
      <c r="K2035" s="696"/>
      <c r="L2035" s="696">
        <v>1</v>
      </c>
      <c r="M2035" s="22">
        <v>6.26666666666667</v>
      </c>
      <c r="N2035" s="696" t="s">
        <v>6861</v>
      </c>
      <c r="O2035" s="696">
        <v>1</v>
      </c>
      <c r="P2035" s="696">
        <v>4.1</v>
      </c>
      <c r="Q2035" s="696">
        <v>0</v>
      </c>
      <c r="R2035" s="696"/>
      <c r="S2035" s="696">
        <v>0.1</v>
      </c>
      <c r="T2035" s="696">
        <v>-0.2</v>
      </c>
      <c r="U2035" s="696">
        <v>2.5</v>
      </c>
      <c r="V2035" s="696">
        <v>1</v>
      </c>
      <c r="W2035" s="696">
        <v>6</v>
      </c>
      <c r="X2035" s="696">
        <v>12</v>
      </c>
      <c r="Y2035" s="75">
        <v>-0.1</v>
      </c>
      <c r="Z2035" s="696">
        <v>0</v>
      </c>
      <c r="AA2035" s="696"/>
      <c r="AB2035" s="696"/>
      <c r="AC2035" s="696"/>
      <c r="AD2035" s="696"/>
      <c r="AE2035" s="696"/>
      <c r="AF2035" s="696"/>
      <c r="AG2035" s="696"/>
      <c r="AH2035" s="696"/>
      <c r="AI2035" s="696"/>
      <c r="AJ2035" s="696"/>
      <c r="AK2035" s="696"/>
      <c r="AL2035" s="696"/>
      <c r="AM2035" s="696"/>
      <c r="AN2035" s="696"/>
      <c r="AO2035" s="696"/>
      <c r="AP2035" s="696">
        <v>2573</v>
      </c>
      <c r="AQ2035" s="696" t="s">
        <v>136</v>
      </c>
      <c r="AR2035" s="696"/>
      <c r="AS2035" s="696"/>
      <c r="AT2035" s="696"/>
      <c r="AU2035" s="696"/>
      <c r="AV2035" s="696"/>
    </row>
    <row r="2036" s="75" customFormat="1" spans="1:48">
      <c r="A2036" s="696">
        <v>10626</v>
      </c>
      <c r="B2036" s="696" t="s">
        <v>2608</v>
      </c>
      <c r="C2036" s="696" t="s">
        <v>2617</v>
      </c>
      <c r="D2036" s="696">
        <v>1</v>
      </c>
      <c r="E2036" s="696">
        <v>0</v>
      </c>
      <c r="F2036" s="696"/>
      <c r="G2036" s="696">
        <v>1</v>
      </c>
      <c r="H2036" s="697" t="s">
        <v>2618</v>
      </c>
      <c r="I2036" s="22">
        <v>4.33333333333333</v>
      </c>
      <c r="J2036" s="22">
        <v>4.33333333333333</v>
      </c>
      <c r="K2036" s="696"/>
      <c r="L2036" s="696">
        <v>1</v>
      </c>
      <c r="M2036" s="22">
        <v>3.93333333333333</v>
      </c>
      <c r="N2036" s="696" t="s">
        <v>6862</v>
      </c>
      <c r="O2036" s="696">
        <v>1</v>
      </c>
      <c r="P2036" s="696">
        <v>4.1</v>
      </c>
      <c r="Q2036" s="696">
        <v>0</v>
      </c>
      <c r="R2036" s="696"/>
      <c r="S2036" s="696">
        <v>0.1</v>
      </c>
      <c r="T2036" s="696">
        <v>-0.2</v>
      </c>
      <c r="U2036" s="696">
        <v>2.5</v>
      </c>
      <c r="V2036" s="696">
        <v>1</v>
      </c>
      <c r="W2036" s="696">
        <v>6</v>
      </c>
      <c r="X2036" s="696">
        <v>5</v>
      </c>
      <c r="Y2036" s="75">
        <v>-0.1</v>
      </c>
      <c r="Z2036" s="696">
        <v>0</v>
      </c>
      <c r="AA2036" s="696"/>
      <c r="AB2036" s="696"/>
      <c r="AC2036" s="696"/>
      <c r="AD2036" s="696"/>
      <c r="AE2036" s="696"/>
      <c r="AF2036" s="696"/>
      <c r="AG2036" s="696"/>
      <c r="AH2036" s="696"/>
      <c r="AI2036" s="696"/>
      <c r="AJ2036" s="696"/>
      <c r="AK2036" s="696"/>
      <c r="AL2036" s="696"/>
      <c r="AM2036" s="696"/>
      <c r="AN2036" s="696"/>
      <c r="AO2036" s="696"/>
      <c r="AP2036" s="696">
        <v>2576</v>
      </c>
      <c r="AQ2036" s="696" t="s">
        <v>136</v>
      </c>
      <c r="AR2036" s="696"/>
      <c r="AS2036" s="696"/>
      <c r="AT2036" s="696"/>
      <c r="AU2036" s="696"/>
      <c r="AV2036" s="696"/>
    </row>
    <row r="2037" s="75" customFormat="1" spans="1:48">
      <c r="A2037" s="696">
        <v>10627</v>
      </c>
      <c r="B2037" s="696" t="s">
        <v>2608</v>
      </c>
      <c r="C2037" s="696" t="s">
        <v>2620</v>
      </c>
      <c r="D2037" s="696">
        <v>1</v>
      </c>
      <c r="E2037" s="696">
        <v>0</v>
      </c>
      <c r="F2037" s="696"/>
      <c r="G2037" s="696">
        <v>1</v>
      </c>
      <c r="H2037" s="697" t="s">
        <v>2621</v>
      </c>
      <c r="I2037" s="22">
        <v>8.83333333333333</v>
      </c>
      <c r="J2037" s="22">
        <v>8.83333333333333</v>
      </c>
      <c r="K2037" s="696"/>
      <c r="L2037" s="696">
        <v>1</v>
      </c>
      <c r="M2037" s="22">
        <v>8.43333333333333</v>
      </c>
      <c r="N2037" s="696" t="s">
        <v>6863</v>
      </c>
      <c r="O2037" s="696">
        <v>3</v>
      </c>
      <c r="P2037" s="696">
        <v>-16</v>
      </c>
      <c r="Q2037" s="696">
        <v>0</v>
      </c>
      <c r="R2037" s="696"/>
      <c r="S2037" s="696"/>
      <c r="T2037" s="696"/>
      <c r="U2037" s="696"/>
      <c r="V2037" s="696">
        <v>1</v>
      </c>
      <c r="W2037" s="696">
        <v>6</v>
      </c>
      <c r="X2037" s="696">
        <v>2</v>
      </c>
      <c r="Y2037" s="75">
        <v>-0.1</v>
      </c>
      <c r="Z2037" s="696">
        <v>0</v>
      </c>
      <c r="AA2037" s="696"/>
      <c r="AB2037" s="696">
        <v>8.53333333333333</v>
      </c>
      <c r="AC2037" s="696">
        <v>2</v>
      </c>
      <c r="AD2037" s="696">
        <v>1</v>
      </c>
      <c r="AE2037" s="696" t="s">
        <v>2623</v>
      </c>
      <c r="AF2037" s="696">
        <v>0.5</v>
      </c>
      <c r="AG2037" s="696"/>
      <c r="AH2037" s="696"/>
      <c r="AI2037" s="696"/>
      <c r="AJ2037" s="696"/>
      <c r="AK2037" s="696"/>
      <c r="AL2037" s="696"/>
      <c r="AM2037" s="696"/>
      <c r="AN2037" s="696"/>
      <c r="AO2037" s="696"/>
      <c r="AP2037" s="696">
        <v>2580</v>
      </c>
      <c r="AQ2037" s="696" t="s">
        <v>136</v>
      </c>
      <c r="AR2037" s="696"/>
      <c r="AS2037" s="696" t="s">
        <v>2624</v>
      </c>
      <c r="AT2037" s="696"/>
      <c r="AU2037" s="696"/>
      <c r="AV2037" s="696"/>
    </row>
    <row r="2038" s="75" customFormat="1" spans="1:48">
      <c r="A2038" s="696">
        <v>10628</v>
      </c>
      <c r="B2038" s="696" t="s">
        <v>2608</v>
      </c>
      <c r="C2038" s="696" t="s">
        <v>1231</v>
      </c>
      <c r="D2038" s="696">
        <v>1</v>
      </c>
      <c r="E2038" s="696">
        <v>0</v>
      </c>
      <c r="F2038" s="696"/>
      <c r="G2038" s="696">
        <v>1</v>
      </c>
      <c r="H2038" s="697" t="s">
        <v>2625</v>
      </c>
      <c r="I2038" s="22">
        <v>1.73333333333333</v>
      </c>
      <c r="J2038" s="22">
        <v>1.73333333333333</v>
      </c>
      <c r="K2038" s="696"/>
      <c r="L2038" s="696">
        <v>0</v>
      </c>
      <c r="M2038" s="22">
        <v>1.33333333333333</v>
      </c>
      <c r="N2038" s="696" t="s">
        <v>6864</v>
      </c>
      <c r="O2038" s="696">
        <v>1</v>
      </c>
      <c r="P2038" s="696">
        <v>4.7</v>
      </c>
      <c r="Q2038" s="696">
        <v>0</v>
      </c>
      <c r="R2038" s="696"/>
      <c r="S2038" s="696">
        <v>0</v>
      </c>
      <c r="T2038" s="696">
        <v>-0.3</v>
      </c>
      <c r="U2038" s="696">
        <v>2.9</v>
      </c>
      <c r="V2038" s="696">
        <v>1</v>
      </c>
      <c r="W2038" s="696">
        <v>0</v>
      </c>
      <c r="X2038" s="696">
        <v>2</v>
      </c>
      <c r="Y2038" s="75">
        <v>-0.1</v>
      </c>
      <c r="Z2038" s="696">
        <v>0</v>
      </c>
      <c r="AA2038" s="696"/>
      <c r="AB2038" s="696"/>
      <c r="AC2038" s="696"/>
      <c r="AD2038" s="696"/>
      <c r="AE2038" s="696"/>
      <c r="AF2038" s="696"/>
      <c r="AG2038" s="696"/>
      <c r="AH2038" s="696"/>
      <c r="AI2038" s="696"/>
      <c r="AJ2038" s="696"/>
      <c r="AK2038" s="696"/>
      <c r="AL2038" s="696"/>
      <c r="AM2038" s="696"/>
      <c r="AN2038" s="696"/>
      <c r="AO2038" s="696"/>
      <c r="AP2038" s="696">
        <v>2582</v>
      </c>
      <c r="AQ2038" s="696" t="s">
        <v>136</v>
      </c>
      <c r="AR2038" s="696"/>
      <c r="AS2038" s="696"/>
      <c r="AT2038" s="696"/>
      <c r="AU2038" s="696"/>
      <c r="AV2038" s="696"/>
    </row>
    <row r="2039" s="75" customFormat="1" spans="1:48">
      <c r="A2039" s="696">
        <v>10629</v>
      </c>
      <c r="B2039" s="696" t="s">
        <v>2608</v>
      </c>
      <c r="C2039" s="696" t="s">
        <v>2627</v>
      </c>
      <c r="D2039" s="696">
        <v>1</v>
      </c>
      <c r="E2039" s="696">
        <v>0</v>
      </c>
      <c r="F2039" s="696"/>
      <c r="G2039" s="696">
        <v>1</v>
      </c>
      <c r="H2039" s="697" t="s">
        <v>2628</v>
      </c>
      <c r="I2039" s="22">
        <v>4.16666666666667</v>
      </c>
      <c r="J2039" s="22">
        <v>4.16666666666667</v>
      </c>
      <c r="K2039" s="696"/>
      <c r="L2039" s="696">
        <v>1</v>
      </c>
      <c r="M2039" s="22">
        <v>3.76666666666667</v>
      </c>
      <c r="N2039" s="696" t="s">
        <v>6865</v>
      </c>
      <c r="O2039" s="696">
        <v>1</v>
      </c>
      <c r="P2039" s="696">
        <v>4.7</v>
      </c>
      <c r="Q2039" s="696">
        <v>0</v>
      </c>
      <c r="R2039" s="696"/>
      <c r="S2039" s="696">
        <v>-0.5</v>
      </c>
      <c r="T2039" s="696">
        <v>-0.3</v>
      </c>
      <c r="U2039" s="696">
        <v>3.6</v>
      </c>
      <c r="V2039" s="696">
        <v>1</v>
      </c>
      <c r="W2039" s="696">
        <v>6</v>
      </c>
      <c r="X2039" s="696">
        <v>6</v>
      </c>
      <c r="Y2039" s="75">
        <v>-0.1</v>
      </c>
      <c r="Z2039" s="696">
        <v>0</v>
      </c>
      <c r="AA2039" s="696"/>
      <c r="AB2039" s="696"/>
      <c r="AC2039" s="696"/>
      <c r="AD2039" s="696"/>
      <c r="AE2039" s="696"/>
      <c r="AF2039" s="696"/>
      <c r="AG2039" s="696"/>
      <c r="AH2039" s="696"/>
      <c r="AI2039" s="696"/>
      <c r="AJ2039" s="696"/>
      <c r="AK2039" s="696"/>
      <c r="AL2039" s="696"/>
      <c r="AM2039" s="696"/>
      <c r="AN2039" s="696"/>
      <c r="AO2039" s="696"/>
      <c r="AP2039" s="696">
        <v>2584</v>
      </c>
      <c r="AQ2039" s="696" t="s">
        <v>136</v>
      </c>
      <c r="AR2039" s="696"/>
      <c r="AS2039" s="696"/>
      <c r="AT2039" s="696"/>
      <c r="AU2039" s="696"/>
      <c r="AV2039" s="696"/>
    </row>
    <row r="2040" s="75" customFormat="1" spans="1:48">
      <c r="A2040" s="696">
        <v>10630</v>
      </c>
      <c r="B2040" s="696" t="s">
        <v>2608</v>
      </c>
      <c r="C2040" s="696" t="s">
        <v>2630</v>
      </c>
      <c r="D2040" s="696">
        <v>1</v>
      </c>
      <c r="E2040" s="696">
        <v>0</v>
      </c>
      <c r="F2040" s="696"/>
      <c r="G2040" s="696">
        <v>1</v>
      </c>
      <c r="H2040" s="697" t="s">
        <v>2631</v>
      </c>
      <c r="I2040" s="22">
        <v>9.66666666666667</v>
      </c>
      <c r="J2040" s="22">
        <v>9.66666666666667</v>
      </c>
      <c r="K2040" s="696"/>
      <c r="L2040" s="696">
        <v>1</v>
      </c>
      <c r="M2040" s="22">
        <v>9.26666666666667</v>
      </c>
      <c r="N2040" s="696" t="s">
        <v>6866</v>
      </c>
      <c r="O2040" s="696">
        <v>3</v>
      </c>
      <c r="P2040" s="696">
        <v>-15</v>
      </c>
      <c r="Q2040" s="696">
        <v>0</v>
      </c>
      <c r="R2040" s="696"/>
      <c r="S2040" s="696"/>
      <c r="T2040" s="696"/>
      <c r="U2040" s="696"/>
      <c r="V2040" s="696">
        <v>1</v>
      </c>
      <c r="W2040" s="696">
        <v>6</v>
      </c>
      <c r="X2040" s="696">
        <v>11</v>
      </c>
      <c r="Y2040" s="75">
        <v>-0.1</v>
      </c>
      <c r="Z2040" s="696">
        <v>0</v>
      </c>
      <c r="AA2040" s="696"/>
      <c r="AB2040" s="696">
        <v>9.36666666666667</v>
      </c>
      <c r="AC2040" s="696">
        <v>1</v>
      </c>
      <c r="AD2040" s="696">
        <v>1</v>
      </c>
      <c r="AE2040" s="696" t="s">
        <v>2633</v>
      </c>
      <c r="AF2040" s="696">
        <v>0.5</v>
      </c>
      <c r="AG2040" s="696"/>
      <c r="AH2040" s="696"/>
      <c r="AI2040" s="696"/>
      <c r="AJ2040" s="696"/>
      <c r="AK2040" s="696"/>
      <c r="AL2040" s="696"/>
      <c r="AM2040" s="696"/>
      <c r="AN2040" s="696" t="s">
        <v>2634</v>
      </c>
      <c r="AO2040" s="696" t="s">
        <v>2635</v>
      </c>
      <c r="AP2040" s="696">
        <v>2589</v>
      </c>
      <c r="AQ2040" s="696" t="s">
        <v>136</v>
      </c>
      <c r="AR2040" s="696"/>
      <c r="AS2040" s="696"/>
      <c r="AT2040" s="696"/>
      <c r="AU2040" s="696"/>
      <c r="AV2040" s="696"/>
    </row>
    <row r="2041" s="43" customFormat="1" spans="1:55">
      <c r="A2041" s="696">
        <v>10631</v>
      </c>
      <c r="B2041" s="362" t="s">
        <v>2608</v>
      </c>
      <c r="C2041" s="362" t="s">
        <v>2611</v>
      </c>
      <c r="D2041" s="362">
        <v>1</v>
      </c>
      <c r="E2041" s="362">
        <v>0</v>
      </c>
      <c r="F2041" s="362"/>
      <c r="G2041" s="362">
        <v>1</v>
      </c>
      <c r="H2041" s="275" t="s">
        <v>2612</v>
      </c>
      <c r="I2041" s="31">
        <f>130/30</f>
        <v>4.33333333333333</v>
      </c>
      <c r="J2041" s="31">
        <f>130/30</f>
        <v>4.33333333333333</v>
      </c>
      <c r="K2041" s="362"/>
      <c r="L2041" s="362">
        <v>1</v>
      </c>
      <c r="M2041" s="31">
        <f t="shared" ref="M2041:M2095" si="202">I2041-0.4</f>
        <v>3.93333333333333</v>
      </c>
      <c r="N2041" s="362" t="s">
        <v>2613</v>
      </c>
      <c r="O2041" s="375">
        <v>1</v>
      </c>
      <c r="P2041" s="375">
        <v>4.1</v>
      </c>
      <c r="Q2041" s="375">
        <v>0</v>
      </c>
      <c r="R2041" s="375"/>
      <c r="S2041" s="375">
        <v>0.1</v>
      </c>
      <c r="T2041" s="375">
        <v>-0.2</v>
      </c>
      <c r="U2041" s="375">
        <v>2.5</v>
      </c>
      <c r="V2041" s="375">
        <v>1</v>
      </c>
      <c r="W2041" s="375">
        <v>6</v>
      </c>
      <c r="X2041" s="375">
        <v>5</v>
      </c>
      <c r="Y2041" s="42">
        <v>-0.1</v>
      </c>
      <c r="Z2041" s="375">
        <v>0</v>
      </c>
      <c r="AA2041" s="375"/>
      <c r="AB2041" s="375"/>
      <c r="AC2041" s="375"/>
      <c r="AD2041" s="375"/>
      <c r="AE2041" s="375"/>
      <c r="AF2041" s="375"/>
      <c r="AG2041" s="375"/>
      <c r="AH2041" s="375"/>
      <c r="AI2041" s="375"/>
      <c r="AJ2041" s="375"/>
      <c r="AK2041" s="375"/>
      <c r="AL2041" s="375"/>
      <c r="AM2041" s="375"/>
      <c r="AN2041" s="375"/>
      <c r="AO2041" s="375"/>
      <c r="AP2041" s="375">
        <v>2572</v>
      </c>
      <c r="AQ2041" s="375" t="s">
        <v>136</v>
      </c>
      <c r="AR2041" s="375"/>
      <c r="AS2041" s="375"/>
      <c r="AT2041" s="375"/>
      <c r="AU2041" s="375"/>
      <c r="AV2041" s="375"/>
      <c r="AW2041" s="375"/>
      <c r="AX2041" s="375"/>
      <c r="BA2041" s="375"/>
      <c r="BB2041" s="375"/>
      <c r="BC2041" s="375"/>
    </row>
    <row r="2042" s="76" customFormat="1" ht="19" customHeight="1" spans="1:55">
      <c r="A2042" s="411">
        <v>10632</v>
      </c>
      <c r="B2042" s="411" t="s">
        <v>6867</v>
      </c>
      <c r="C2042" s="411" t="s">
        <v>526</v>
      </c>
      <c r="D2042" s="411">
        <v>1</v>
      </c>
      <c r="E2042" s="411">
        <v>0</v>
      </c>
      <c r="F2042" s="411"/>
      <c r="G2042" s="411">
        <v>1</v>
      </c>
      <c r="H2042" s="245" t="s">
        <v>6868</v>
      </c>
      <c r="I2042" s="511">
        <f>48/30</f>
        <v>1.6</v>
      </c>
      <c r="J2042" s="511">
        <f>48/30</f>
        <v>1.6</v>
      </c>
      <c r="K2042" s="411"/>
      <c r="L2042" s="411">
        <v>0</v>
      </c>
      <c r="M2042" s="31">
        <f t="shared" si="202"/>
        <v>1.2</v>
      </c>
      <c r="N2042" s="700" t="s">
        <v>6869</v>
      </c>
      <c r="O2042" s="411">
        <v>1</v>
      </c>
      <c r="P2042" s="411">
        <v>2.6</v>
      </c>
      <c r="Q2042" s="411">
        <v>0</v>
      </c>
      <c r="R2042" s="411"/>
      <c r="S2042" s="411">
        <v>-2</v>
      </c>
      <c r="T2042" s="411"/>
      <c r="U2042" s="411">
        <v>1</v>
      </c>
      <c r="V2042" s="411">
        <v>1</v>
      </c>
      <c r="W2042" s="411">
        <v>0</v>
      </c>
      <c r="X2042" s="411">
        <v>1</v>
      </c>
      <c r="Y2042" s="42">
        <v>-0.1</v>
      </c>
      <c r="Z2042" s="411">
        <v>0</v>
      </c>
      <c r="AA2042" s="411"/>
      <c r="AB2042" s="411"/>
      <c r="AC2042" s="411"/>
      <c r="AD2042" s="411"/>
      <c r="AE2042" s="411"/>
      <c r="AF2042" s="411"/>
      <c r="AG2042" s="411"/>
      <c r="AH2042" s="411"/>
      <c r="AI2042" s="411"/>
      <c r="AJ2042" s="411"/>
      <c r="AK2042" s="411"/>
      <c r="AL2042" s="411"/>
      <c r="AM2042" s="411"/>
      <c r="AN2042" s="411"/>
      <c r="AO2042" s="411"/>
      <c r="AP2042" s="411">
        <v>3736</v>
      </c>
      <c r="AQ2042" s="411" t="s">
        <v>136</v>
      </c>
      <c r="AR2042" s="411"/>
      <c r="AS2042" s="411"/>
      <c r="AT2042" s="411"/>
      <c r="AU2042" s="411"/>
      <c r="AV2042" s="411"/>
      <c r="AW2042" s="411"/>
      <c r="AX2042" s="411"/>
      <c r="BA2042" s="411"/>
      <c r="BB2042" s="411"/>
      <c r="BC2042" s="411"/>
    </row>
    <row r="2043" s="76" customFormat="1" ht="17" customHeight="1" spans="1:55">
      <c r="A2043" s="411">
        <v>10633</v>
      </c>
      <c r="B2043" s="411" t="s">
        <v>6867</v>
      </c>
      <c r="C2043" s="411" t="s">
        <v>6870</v>
      </c>
      <c r="D2043" s="411">
        <v>1</v>
      </c>
      <c r="E2043" s="411">
        <v>0</v>
      </c>
      <c r="F2043" s="411"/>
      <c r="G2043" s="411">
        <v>1</v>
      </c>
      <c r="H2043" s="245" t="s">
        <v>6871</v>
      </c>
      <c r="I2043" s="511">
        <f>82/30</f>
        <v>2.73333333333333</v>
      </c>
      <c r="J2043" s="511">
        <f>82/30</f>
        <v>2.73333333333333</v>
      </c>
      <c r="K2043" s="411"/>
      <c r="L2043" s="411">
        <v>1</v>
      </c>
      <c r="M2043" s="31">
        <f t="shared" si="202"/>
        <v>2.33333333333333</v>
      </c>
      <c r="N2043" s="700" t="s">
        <v>6872</v>
      </c>
      <c r="O2043" s="411">
        <v>1</v>
      </c>
      <c r="P2043" s="411">
        <v>2.6</v>
      </c>
      <c r="Q2043" s="411">
        <v>0</v>
      </c>
      <c r="R2043" s="411">
        <v>1</v>
      </c>
      <c r="S2043" s="411"/>
      <c r="T2043" s="411"/>
      <c r="U2043" s="411">
        <v>2.5</v>
      </c>
      <c r="V2043" s="411">
        <v>6</v>
      </c>
      <c r="W2043" s="411">
        <v>6</v>
      </c>
      <c r="X2043" s="411">
        <v>1</v>
      </c>
      <c r="Y2043" s="42">
        <v>-0.1</v>
      </c>
      <c r="Z2043" s="411">
        <v>0</v>
      </c>
      <c r="AA2043" s="411"/>
      <c r="AB2043" s="411"/>
      <c r="AC2043" s="411"/>
      <c r="AD2043" s="411"/>
      <c r="AE2043" s="411"/>
      <c r="AF2043" s="411"/>
      <c r="AG2043" s="411"/>
      <c r="AH2043" s="411"/>
      <c r="AI2043" s="411"/>
      <c r="AJ2043" s="411"/>
      <c r="AK2043" s="411"/>
      <c r="AL2043" s="411"/>
      <c r="AM2043" s="411"/>
      <c r="AN2043" s="411"/>
      <c r="AO2043" s="411"/>
      <c r="AP2043" s="411">
        <v>3738</v>
      </c>
      <c r="AQ2043" s="411" t="s">
        <v>136</v>
      </c>
      <c r="AR2043" s="411"/>
      <c r="AS2043" s="411"/>
      <c r="AT2043" s="411"/>
      <c r="AU2043" s="411"/>
      <c r="AV2043" s="411"/>
      <c r="AW2043" s="411"/>
      <c r="AX2043" s="411"/>
      <c r="BA2043" s="411"/>
      <c r="BB2043" s="411"/>
      <c r="BC2043" s="411"/>
    </row>
    <row r="2044" s="76" customFormat="1" ht="19" customHeight="1" spans="1:55">
      <c r="A2044" s="411">
        <v>10634</v>
      </c>
      <c r="B2044" s="411" t="s">
        <v>6867</v>
      </c>
      <c r="C2044" s="411" t="s">
        <v>6873</v>
      </c>
      <c r="D2044" s="411">
        <v>1</v>
      </c>
      <c r="E2044" s="411">
        <v>0</v>
      </c>
      <c r="F2044" s="411"/>
      <c r="G2044" s="411">
        <v>1</v>
      </c>
      <c r="H2044" s="245" t="s">
        <v>6874</v>
      </c>
      <c r="I2044" s="511">
        <f>170/30</f>
        <v>5.66666666666667</v>
      </c>
      <c r="J2044" s="511">
        <f>170/30</f>
        <v>5.66666666666667</v>
      </c>
      <c r="K2044" s="411"/>
      <c r="L2044" s="411">
        <v>1</v>
      </c>
      <c r="M2044" s="31">
        <f t="shared" si="202"/>
        <v>5.26666666666667</v>
      </c>
      <c r="N2044" s="700" t="s">
        <v>6875</v>
      </c>
      <c r="O2044" s="411">
        <v>1</v>
      </c>
      <c r="P2044" s="411">
        <v>2.6</v>
      </c>
      <c r="Q2044" s="411">
        <v>0</v>
      </c>
      <c r="R2044" s="411"/>
      <c r="S2044" s="411"/>
      <c r="T2044" s="411"/>
      <c r="U2044" s="411"/>
      <c r="V2044" s="411">
        <v>1</v>
      </c>
      <c r="W2044" s="411">
        <v>0</v>
      </c>
      <c r="X2044" s="411">
        <v>5</v>
      </c>
      <c r="Y2044" s="42">
        <v>-0.1</v>
      </c>
      <c r="Z2044" s="411">
        <v>0</v>
      </c>
      <c r="AA2044" s="411"/>
      <c r="AB2044" s="511">
        <f>162/30</f>
        <v>5.4</v>
      </c>
      <c r="AC2044" s="411">
        <v>2</v>
      </c>
      <c r="AD2044" s="411">
        <v>1</v>
      </c>
      <c r="AE2044" s="411" t="s">
        <v>6876</v>
      </c>
      <c r="AF2044" s="411">
        <v>0.5</v>
      </c>
      <c r="AG2044" s="411"/>
      <c r="AH2044" s="411"/>
      <c r="AI2044" s="411"/>
      <c r="AJ2044" s="411"/>
      <c r="AK2044" s="411"/>
      <c r="AL2044" s="411"/>
      <c r="AM2044" s="411"/>
      <c r="AN2044" s="411"/>
      <c r="AO2044" s="411"/>
      <c r="AP2044" s="411">
        <v>3739</v>
      </c>
      <c r="AQ2044" s="411" t="s">
        <v>136</v>
      </c>
      <c r="AR2044" s="411"/>
      <c r="AS2044" s="411"/>
      <c r="AT2044" s="411"/>
      <c r="AU2044" s="411">
        <v>1</v>
      </c>
      <c r="AV2044" s="411"/>
      <c r="AW2044" s="411"/>
      <c r="AX2044" s="411"/>
      <c r="BA2044" s="411"/>
      <c r="BB2044" s="411"/>
      <c r="BC2044" s="411"/>
    </row>
    <row r="2045" s="76" customFormat="1" ht="17" customHeight="1" spans="1:55">
      <c r="A2045" s="411">
        <v>10635</v>
      </c>
      <c r="B2045" s="411" t="s">
        <v>6877</v>
      </c>
      <c r="C2045" s="411" t="s">
        <v>526</v>
      </c>
      <c r="D2045" s="411">
        <v>1</v>
      </c>
      <c r="E2045" s="411">
        <v>0</v>
      </c>
      <c r="F2045" s="411"/>
      <c r="G2045" s="411">
        <v>1</v>
      </c>
      <c r="H2045" s="245" t="s">
        <v>6878</v>
      </c>
      <c r="I2045" s="511">
        <f>30/30</f>
        <v>1</v>
      </c>
      <c r="J2045" s="511">
        <f>30/30</f>
        <v>1</v>
      </c>
      <c r="K2045" s="411"/>
      <c r="L2045" s="411">
        <v>0</v>
      </c>
      <c r="M2045" s="31">
        <f t="shared" si="202"/>
        <v>0.6</v>
      </c>
      <c r="N2045" s="700" t="s">
        <v>6879</v>
      </c>
      <c r="O2045" s="411">
        <v>1</v>
      </c>
      <c r="P2045" s="411">
        <v>2.2</v>
      </c>
      <c r="Q2045" s="411">
        <v>0</v>
      </c>
      <c r="R2045" s="411"/>
      <c r="S2045" s="411"/>
      <c r="T2045" s="411"/>
      <c r="U2045" s="411"/>
      <c r="V2045" s="411">
        <v>1</v>
      </c>
      <c r="W2045" s="411">
        <v>0</v>
      </c>
      <c r="X2045" s="411">
        <v>2</v>
      </c>
      <c r="Y2045" s="42">
        <v>-0.1</v>
      </c>
      <c r="Z2045" s="411">
        <v>0</v>
      </c>
      <c r="AA2045" s="411"/>
      <c r="AB2045" s="511"/>
      <c r="AC2045" s="411"/>
      <c r="AD2045" s="411"/>
      <c r="AE2045" s="411"/>
      <c r="AF2045" s="411"/>
      <c r="AG2045" s="411"/>
      <c r="AH2045" s="411"/>
      <c r="AI2045" s="411"/>
      <c r="AJ2045" s="411"/>
      <c r="AK2045" s="411"/>
      <c r="AL2045" s="411"/>
      <c r="AM2045" s="411"/>
      <c r="AN2045" s="411"/>
      <c r="AO2045" s="411"/>
      <c r="AP2045" s="411">
        <v>3689</v>
      </c>
      <c r="AQ2045" s="411" t="s">
        <v>136</v>
      </c>
      <c r="AR2045" s="411"/>
      <c r="AS2045" s="411"/>
      <c r="AT2045" s="411"/>
      <c r="AU2045" s="411"/>
      <c r="AV2045" s="411"/>
      <c r="AW2045" s="411"/>
      <c r="AX2045" s="411"/>
      <c r="BA2045" s="411"/>
      <c r="BB2045" s="411"/>
      <c r="BC2045" s="411"/>
    </row>
    <row r="2046" s="76" customFormat="1" ht="16" customHeight="1" spans="1:55">
      <c r="A2046" s="411">
        <v>10636</v>
      </c>
      <c r="B2046" s="411" t="s">
        <v>6877</v>
      </c>
      <c r="C2046" s="411" t="s">
        <v>6880</v>
      </c>
      <c r="D2046" s="411">
        <v>1</v>
      </c>
      <c r="E2046" s="411">
        <v>0</v>
      </c>
      <c r="F2046" s="411"/>
      <c r="G2046" s="411">
        <v>1</v>
      </c>
      <c r="H2046" s="245" t="s">
        <v>6881</v>
      </c>
      <c r="I2046" s="511">
        <f>70/30</f>
        <v>2.33333333333333</v>
      </c>
      <c r="J2046" s="511">
        <f>70/30</f>
        <v>2.33333333333333</v>
      </c>
      <c r="K2046" s="411"/>
      <c r="L2046" s="411">
        <v>1</v>
      </c>
      <c r="M2046" s="31">
        <f t="shared" si="202"/>
        <v>1.93333333333333</v>
      </c>
      <c r="N2046" s="700" t="s">
        <v>6882</v>
      </c>
      <c r="O2046" s="411">
        <v>5</v>
      </c>
      <c r="P2046" s="411">
        <v>0</v>
      </c>
      <c r="Q2046" s="411">
        <v>0</v>
      </c>
      <c r="R2046" s="411">
        <v>1</v>
      </c>
      <c r="S2046" s="411"/>
      <c r="T2046" s="411"/>
      <c r="U2046" s="411">
        <v>0.5</v>
      </c>
      <c r="V2046" s="411">
        <v>2</v>
      </c>
      <c r="W2046" s="411">
        <v>0</v>
      </c>
      <c r="X2046" s="411">
        <v>1</v>
      </c>
      <c r="Y2046" s="42">
        <v>-0.1</v>
      </c>
      <c r="Z2046" s="411">
        <v>0</v>
      </c>
      <c r="AA2046" s="411"/>
      <c r="AB2046" s="511"/>
      <c r="AC2046" s="411"/>
      <c r="AD2046" s="411"/>
      <c r="AE2046" s="411"/>
      <c r="AF2046" s="411"/>
      <c r="AG2046" s="411"/>
      <c r="AH2046" s="411"/>
      <c r="AI2046" s="411"/>
      <c r="AJ2046" s="411"/>
      <c r="AK2046" s="411"/>
      <c r="AL2046" s="411"/>
      <c r="AM2046" s="411"/>
      <c r="AN2046" s="411"/>
      <c r="AO2046" s="411"/>
      <c r="AP2046" s="411">
        <v>3691</v>
      </c>
      <c r="AQ2046" s="411" t="s">
        <v>136</v>
      </c>
      <c r="AR2046" s="411"/>
      <c r="AS2046" s="411"/>
      <c r="AT2046" s="411"/>
      <c r="AU2046" s="411"/>
      <c r="AV2046" s="411"/>
      <c r="AW2046" s="411"/>
      <c r="AX2046" s="411"/>
      <c r="AY2046" s="45"/>
      <c r="AZ2046" s="45"/>
      <c r="BA2046" s="411"/>
      <c r="BB2046" s="411"/>
      <c r="BC2046" s="411"/>
    </row>
    <row r="2047" s="76" customFormat="1" ht="17" customHeight="1" spans="1:55">
      <c r="A2047" s="411">
        <v>10637</v>
      </c>
      <c r="B2047" s="411" t="s">
        <v>6877</v>
      </c>
      <c r="C2047" s="411" t="s">
        <v>6883</v>
      </c>
      <c r="D2047" s="411">
        <v>1</v>
      </c>
      <c r="E2047" s="411">
        <v>0</v>
      </c>
      <c r="F2047" s="411"/>
      <c r="G2047" s="411">
        <v>2</v>
      </c>
      <c r="H2047" s="245" t="s">
        <v>6884</v>
      </c>
      <c r="I2047" s="511">
        <f>55/30</f>
        <v>1.83333333333333</v>
      </c>
      <c r="J2047" s="511">
        <f>55/30</f>
        <v>1.83333333333333</v>
      </c>
      <c r="K2047" s="411"/>
      <c r="L2047" s="411">
        <v>1</v>
      </c>
      <c r="M2047" s="31">
        <f t="shared" si="202"/>
        <v>1.43333333333333</v>
      </c>
      <c r="N2047" s="700" t="s">
        <v>6885</v>
      </c>
      <c r="O2047" s="411">
        <v>5</v>
      </c>
      <c r="P2047" s="411">
        <v>0</v>
      </c>
      <c r="Q2047" s="411">
        <v>0</v>
      </c>
      <c r="R2047" s="411">
        <v>1</v>
      </c>
      <c r="S2047" s="411"/>
      <c r="T2047" s="411">
        <v>2</v>
      </c>
      <c r="U2047" s="411">
        <v>0.5</v>
      </c>
      <c r="V2047" s="411">
        <v>1</v>
      </c>
      <c r="W2047" s="411">
        <v>4</v>
      </c>
      <c r="X2047" s="411">
        <v>1</v>
      </c>
      <c r="Y2047" s="42">
        <v>-0.1</v>
      </c>
      <c r="Z2047" s="411">
        <v>0</v>
      </c>
      <c r="AA2047" s="411"/>
      <c r="AB2047" s="511"/>
      <c r="AC2047" s="411"/>
      <c r="AD2047" s="411"/>
      <c r="AE2047" s="411"/>
      <c r="AF2047" s="411"/>
      <c r="AG2047" s="411"/>
      <c r="AH2047" s="411"/>
      <c r="AI2047" s="411"/>
      <c r="AJ2047" s="411"/>
      <c r="AK2047" s="411"/>
      <c r="AL2047" s="411"/>
      <c r="AM2047" s="411"/>
      <c r="AN2047" s="411"/>
      <c r="AO2047" s="411"/>
      <c r="AP2047" s="411">
        <v>3693</v>
      </c>
      <c r="AQ2047" s="411" t="s">
        <v>136</v>
      </c>
      <c r="AR2047" s="411"/>
      <c r="AS2047" s="411"/>
      <c r="AT2047" s="411"/>
      <c r="AU2047" s="411"/>
      <c r="AV2047" s="411"/>
      <c r="AW2047" s="411"/>
      <c r="AX2047" s="411"/>
      <c r="BA2047" s="411"/>
      <c r="BB2047" s="411"/>
      <c r="BC2047" s="411"/>
    </row>
    <row r="2048" s="76" customFormat="1" spans="1:55">
      <c r="A2048" s="411">
        <v>10638</v>
      </c>
      <c r="B2048" s="411" t="s">
        <v>6886</v>
      </c>
      <c r="C2048" s="411" t="s">
        <v>526</v>
      </c>
      <c r="D2048" s="411">
        <v>1</v>
      </c>
      <c r="E2048" s="411">
        <v>0</v>
      </c>
      <c r="F2048" s="411"/>
      <c r="G2048" s="411">
        <v>2</v>
      </c>
      <c r="H2048" s="245" t="s">
        <v>6887</v>
      </c>
      <c r="I2048" s="511">
        <f>42/30</f>
        <v>1.4</v>
      </c>
      <c r="J2048" s="511">
        <f>42/30</f>
        <v>1.4</v>
      </c>
      <c r="K2048" s="411"/>
      <c r="L2048" s="411">
        <v>0</v>
      </c>
      <c r="M2048" s="31">
        <f t="shared" si="202"/>
        <v>1</v>
      </c>
      <c r="N2048" s="411" t="s">
        <v>6888</v>
      </c>
      <c r="O2048" s="411">
        <v>1</v>
      </c>
      <c r="P2048" s="411">
        <v>3.5</v>
      </c>
      <c r="Q2048" s="411">
        <v>0</v>
      </c>
      <c r="R2048" s="411"/>
      <c r="S2048" s="411"/>
      <c r="T2048" s="411"/>
      <c r="U2048" s="411"/>
      <c r="V2048" s="411">
        <v>1</v>
      </c>
      <c r="W2048" s="411">
        <v>0</v>
      </c>
      <c r="X2048" s="411">
        <v>1</v>
      </c>
      <c r="Y2048" s="42">
        <v>-0.1</v>
      </c>
      <c r="Z2048" s="411">
        <v>0</v>
      </c>
      <c r="AA2048" s="411"/>
      <c r="AB2048" s="511"/>
      <c r="AC2048" s="411"/>
      <c r="AD2048" s="411"/>
      <c r="AE2048" s="411"/>
      <c r="AF2048" s="411"/>
      <c r="AG2048" s="411"/>
      <c r="AH2048" s="411"/>
      <c r="AI2048" s="411"/>
      <c r="AJ2048" s="411"/>
      <c r="AK2048" s="411"/>
      <c r="AL2048" s="411"/>
      <c r="AM2048" s="411"/>
      <c r="AN2048" s="411"/>
      <c r="AO2048" s="411"/>
      <c r="AP2048" s="411">
        <v>3615</v>
      </c>
      <c r="AQ2048" s="411" t="s">
        <v>136</v>
      </c>
      <c r="AR2048" s="411"/>
      <c r="AS2048" s="411"/>
      <c r="AT2048" s="411"/>
      <c r="AU2048" s="411"/>
      <c r="AV2048" s="411"/>
      <c r="AW2048" s="411"/>
      <c r="AX2048" s="411"/>
      <c r="BA2048" s="411"/>
      <c r="BB2048" s="411"/>
      <c r="BC2048" s="411"/>
    </row>
    <row r="2049" s="76" customFormat="1" spans="1:55">
      <c r="A2049" s="411">
        <v>10639</v>
      </c>
      <c r="B2049" s="411" t="s">
        <v>6886</v>
      </c>
      <c r="C2049" s="411" t="s">
        <v>6889</v>
      </c>
      <c r="D2049" s="411">
        <v>1</v>
      </c>
      <c r="E2049" s="411">
        <v>0</v>
      </c>
      <c r="F2049" s="411"/>
      <c r="G2049" s="411">
        <v>2</v>
      </c>
      <c r="H2049" s="245" t="s">
        <v>6890</v>
      </c>
      <c r="I2049" s="511">
        <f>72/30</f>
        <v>2.4</v>
      </c>
      <c r="J2049" s="511">
        <f>72/30</f>
        <v>2.4</v>
      </c>
      <c r="K2049" s="411"/>
      <c r="L2049" s="411">
        <v>1</v>
      </c>
      <c r="M2049" s="31">
        <f t="shared" si="202"/>
        <v>2</v>
      </c>
      <c r="N2049" s="411" t="s">
        <v>6891</v>
      </c>
      <c r="O2049" s="411">
        <v>1</v>
      </c>
      <c r="P2049" s="411">
        <v>3.5</v>
      </c>
      <c r="Q2049" s="411">
        <v>0</v>
      </c>
      <c r="R2049" s="411"/>
      <c r="S2049" s="411"/>
      <c r="T2049" s="411"/>
      <c r="U2049" s="411"/>
      <c r="V2049" s="411">
        <v>1</v>
      </c>
      <c r="W2049" s="411">
        <v>0</v>
      </c>
      <c r="X2049" s="411">
        <v>1</v>
      </c>
      <c r="Y2049" s="42">
        <v>-0.1</v>
      </c>
      <c r="Z2049" s="411">
        <v>0</v>
      </c>
      <c r="AA2049" s="411"/>
      <c r="AB2049" s="511"/>
      <c r="AC2049" s="411"/>
      <c r="AD2049" s="411"/>
      <c r="AE2049" s="411"/>
      <c r="AF2049" s="411"/>
      <c r="AG2049" s="411"/>
      <c r="AH2049" s="411"/>
      <c r="AI2049" s="411"/>
      <c r="AJ2049" s="411"/>
      <c r="AK2049" s="411"/>
      <c r="AL2049" s="411"/>
      <c r="AM2049" s="411"/>
      <c r="AN2049" s="411">
        <v>3618</v>
      </c>
      <c r="AO2049" s="411" t="s">
        <v>6892</v>
      </c>
      <c r="AP2049" s="411">
        <v>3617</v>
      </c>
      <c r="AQ2049" s="411" t="s">
        <v>136</v>
      </c>
      <c r="AR2049" s="411"/>
      <c r="AS2049" s="411"/>
      <c r="AT2049" s="411"/>
      <c r="AU2049" s="411"/>
      <c r="AV2049" s="411"/>
      <c r="AW2049" s="411"/>
      <c r="AX2049" s="411"/>
      <c r="BA2049" s="411"/>
      <c r="BB2049" s="411"/>
      <c r="BC2049" s="411"/>
    </row>
    <row r="2050" s="76" customFormat="1" spans="1:55">
      <c r="A2050" s="411">
        <v>10640</v>
      </c>
      <c r="B2050" s="411" t="s">
        <v>6886</v>
      </c>
      <c r="C2050" s="411" t="s">
        <v>6893</v>
      </c>
      <c r="D2050" s="411">
        <v>1</v>
      </c>
      <c r="E2050" s="411">
        <v>0</v>
      </c>
      <c r="F2050" s="411"/>
      <c r="G2050" s="411">
        <v>2</v>
      </c>
      <c r="H2050" s="245" t="s">
        <v>6894</v>
      </c>
      <c r="I2050" s="511">
        <f>90/30</f>
        <v>3</v>
      </c>
      <c r="J2050" s="511">
        <f>90/30</f>
        <v>3</v>
      </c>
      <c r="K2050" s="411"/>
      <c r="L2050" s="411">
        <v>1</v>
      </c>
      <c r="M2050" s="31">
        <f t="shared" si="202"/>
        <v>2.6</v>
      </c>
      <c r="N2050" s="411" t="s">
        <v>6895</v>
      </c>
      <c r="O2050" s="411">
        <v>1</v>
      </c>
      <c r="P2050" s="411">
        <v>20</v>
      </c>
      <c r="Q2050" s="411">
        <v>0</v>
      </c>
      <c r="R2050" s="411"/>
      <c r="S2050" s="411"/>
      <c r="T2050" s="411"/>
      <c r="U2050" s="411"/>
      <c r="V2050" s="411">
        <v>6</v>
      </c>
      <c r="W2050" s="411">
        <v>6</v>
      </c>
      <c r="X2050" s="411">
        <v>3</v>
      </c>
      <c r="Y2050" s="42">
        <v>-0.1</v>
      </c>
      <c r="Z2050" s="411">
        <v>0</v>
      </c>
      <c r="AA2050" s="411"/>
      <c r="AB2050" s="511">
        <v>2.7</v>
      </c>
      <c r="AC2050" s="411">
        <v>2</v>
      </c>
      <c r="AD2050" s="411">
        <v>1</v>
      </c>
      <c r="AE2050" s="411" t="s">
        <v>6896</v>
      </c>
      <c r="AF2050" s="411">
        <v>0.5</v>
      </c>
      <c r="AG2050" s="411"/>
      <c r="AH2050" s="411"/>
      <c r="AI2050" s="411"/>
      <c r="AJ2050" s="411"/>
      <c r="AK2050" s="411"/>
      <c r="AL2050" s="411"/>
      <c r="AM2050" s="411"/>
      <c r="AN2050" s="411">
        <v>3621</v>
      </c>
      <c r="AO2050" s="411" t="s">
        <v>6892</v>
      </c>
      <c r="AP2050" s="411">
        <v>3620</v>
      </c>
      <c r="AQ2050" s="411" t="s">
        <v>136</v>
      </c>
      <c r="AR2050" s="411"/>
      <c r="AS2050" s="411"/>
      <c r="AT2050" s="411"/>
      <c r="AU2050" s="411">
        <v>1</v>
      </c>
      <c r="AV2050" s="411"/>
      <c r="AW2050" s="411"/>
      <c r="AX2050" s="411"/>
      <c r="BA2050" s="411"/>
      <c r="BB2050" s="411"/>
      <c r="BC2050" s="411"/>
    </row>
    <row r="2051" s="76" customFormat="1" spans="1:55">
      <c r="A2051" s="411">
        <v>10641</v>
      </c>
      <c r="B2051" s="411" t="s">
        <v>6897</v>
      </c>
      <c r="C2051" s="411" t="s">
        <v>526</v>
      </c>
      <c r="D2051" s="411">
        <v>1</v>
      </c>
      <c r="E2051" s="411">
        <v>0</v>
      </c>
      <c r="F2051" s="411"/>
      <c r="G2051" s="411">
        <v>1</v>
      </c>
      <c r="H2051" s="245" t="s">
        <v>6898</v>
      </c>
      <c r="I2051" s="511">
        <f>100/30</f>
        <v>3.33333333333333</v>
      </c>
      <c r="J2051" s="511">
        <f>100/30</f>
        <v>3.33333333333333</v>
      </c>
      <c r="K2051" s="411"/>
      <c r="L2051" s="411">
        <v>0</v>
      </c>
      <c r="M2051" s="31">
        <f t="shared" si="202"/>
        <v>2.93333333333333</v>
      </c>
      <c r="N2051" s="411" t="s">
        <v>6899</v>
      </c>
      <c r="O2051" s="411">
        <v>1</v>
      </c>
      <c r="P2051" s="411">
        <v>1.5</v>
      </c>
      <c r="Q2051" s="411">
        <v>0</v>
      </c>
      <c r="R2051" s="411"/>
      <c r="S2051" s="411"/>
      <c r="T2051" s="411"/>
      <c r="U2051" s="411"/>
      <c r="V2051" s="411">
        <v>1</v>
      </c>
      <c r="W2051" s="411">
        <v>0</v>
      </c>
      <c r="X2051" s="411">
        <v>4</v>
      </c>
      <c r="Y2051" s="42">
        <v>-0.1</v>
      </c>
      <c r="Z2051" s="411">
        <v>0</v>
      </c>
      <c r="AA2051" s="411"/>
      <c r="AB2051" s="511"/>
      <c r="AC2051" s="411"/>
      <c r="AD2051" s="411"/>
      <c r="AE2051" s="411"/>
      <c r="AF2051" s="411"/>
      <c r="AG2051" s="411"/>
      <c r="AH2051" s="411"/>
      <c r="AI2051" s="411"/>
      <c r="AJ2051" s="411"/>
      <c r="AK2051" s="411"/>
      <c r="AL2051" s="411"/>
      <c r="AM2051" s="411"/>
      <c r="AN2051" s="411">
        <v>3811</v>
      </c>
      <c r="AO2051" s="411" t="s">
        <v>690</v>
      </c>
      <c r="AP2051" s="411">
        <v>3810</v>
      </c>
      <c r="AQ2051" s="411" t="s">
        <v>136</v>
      </c>
      <c r="AR2051" s="411"/>
      <c r="AS2051" s="411"/>
      <c r="AT2051" s="411"/>
      <c r="AU2051" s="411"/>
      <c r="AV2051" s="411"/>
      <c r="AW2051" s="411"/>
      <c r="AX2051" s="411"/>
      <c r="BA2051" s="411"/>
      <c r="BB2051" s="411"/>
      <c r="BC2051" s="411"/>
    </row>
    <row r="2052" s="76" customFormat="1" spans="1:55">
      <c r="A2052" s="411">
        <v>10642</v>
      </c>
      <c r="B2052" s="411" t="s">
        <v>6897</v>
      </c>
      <c r="C2052" s="411" t="s">
        <v>6900</v>
      </c>
      <c r="D2052" s="411">
        <v>1</v>
      </c>
      <c r="E2052" s="411">
        <v>0</v>
      </c>
      <c r="F2052" s="411"/>
      <c r="G2052" s="411">
        <v>1</v>
      </c>
      <c r="H2052" s="245" t="s">
        <v>6901</v>
      </c>
      <c r="I2052" s="511">
        <f>73/30</f>
        <v>2.43333333333333</v>
      </c>
      <c r="J2052" s="511">
        <f>73/30</f>
        <v>2.43333333333333</v>
      </c>
      <c r="K2052" s="411"/>
      <c r="L2052" s="411">
        <v>1</v>
      </c>
      <c r="M2052" s="31">
        <f t="shared" si="202"/>
        <v>2.03333333333333</v>
      </c>
      <c r="N2052" s="411" t="s">
        <v>6902</v>
      </c>
      <c r="O2052" s="411">
        <v>1</v>
      </c>
      <c r="P2052" s="411">
        <v>1.5</v>
      </c>
      <c r="Q2052" s="411">
        <v>0</v>
      </c>
      <c r="R2052" s="411"/>
      <c r="S2052" s="411">
        <v>1</v>
      </c>
      <c r="T2052" s="411">
        <v>1</v>
      </c>
      <c r="U2052" s="411">
        <v>1</v>
      </c>
      <c r="V2052" s="411">
        <v>6</v>
      </c>
      <c r="W2052" s="411">
        <v>6</v>
      </c>
      <c r="X2052" s="411">
        <v>1</v>
      </c>
      <c r="Y2052" s="42">
        <v>-0.1</v>
      </c>
      <c r="Z2052" s="411">
        <v>0</v>
      </c>
      <c r="AA2052" s="411"/>
      <c r="AB2052" s="511"/>
      <c r="AC2052" s="411"/>
      <c r="AD2052" s="411"/>
      <c r="AE2052" s="411"/>
      <c r="AF2052" s="411"/>
      <c r="AG2052" s="411"/>
      <c r="AH2052" s="411"/>
      <c r="AI2052" s="411"/>
      <c r="AJ2052" s="411"/>
      <c r="AK2052" s="411"/>
      <c r="AL2052" s="411"/>
      <c r="AM2052" s="411"/>
      <c r="AN2052" s="411" t="s">
        <v>6903</v>
      </c>
      <c r="AO2052" s="411" t="s">
        <v>6904</v>
      </c>
      <c r="AP2052" s="411">
        <v>3813</v>
      </c>
      <c r="AQ2052" s="411" t="s">
        <v>136</v>
      </c>
      <c r="AR2052" s="411"/>
      <c r="AS2052" s="411"/>
      <c r="AT2052" s="411"/>
      <c r="AU2052" s="411"/>
      <c r="AV2052" s="411"/>
      <c r="AW2052" s="411"/>
      <c r="AX2052" s="411"/>
      <c r="BA2052" s="411"/>
      <c r="BB2052" s="411"/>
      <c r="BC2052" s="411"/>
    </row>
    <row r="2053" s="76" customFormat="1" spans="1:55">
      <c r="A2053" s="411">
        <v>10643</v>
      </c>
      <c r="B2053" s="411" t="s">
        <v>6897</v>
      </c>
      <c r="C2053" s="411" t="s">
        <v>6905</v>
      </c>
      <c r="D2053" s="411">
        <v>1</v>
      </c>
      <c r="E2053" s="411">
        <v>0</v>
      </c>
      <c r="F2053" s="411"/>
      <c r="G2053" s="411">
        <v>1</v>
      </c>
      <c r="H2053" s="245" t="s">
        <v>6906</v>
      </c>
      <c r="I2053" s="511">
        <f>105/30</f>
        <v>3.5</v>
      </c>
      <c r="J2053" s="511">
        <f>105/30</f>
        <v>3.5</v>
      </c>
      <c r="K2053" s="411"/>
      <c r="L2053" s="411">
        <v>1</v>
      </c>
      <c r="M2053" s="31">
        <f t="shared" si="202"/>
        <v>3.1</v>
      </c>
      <c r="N2053" s="411" t="s">
        <v>6907</v>
      </c>
      <c r="O2053" s="411">
        <v>1</v>
      </c>
      <c r="P2053" s="411">
        <v>1.5</v>
      </c>
      <c r="Q2053" s="411">
        <v>0</v>
      </c>
      <c r="R2053" s="411"/>
      <c r="S2053" s="411"/>
      <c r="T2053" s="411">
        <v>-1</v>
      </c>
      <c r="U2053" s="411"/>
      <c r="V2053" s="411">
        <v>1</v>
      </c>
      <c r="W2053" s="411">
        <v>0</v>
      </c>
      <c r="X2053" s="411">
        <v>1</v>
      </c>
      <c r="Y2053" s="42">
        <v>-0.1</v>
      </c>
      <c r="Z2053" s="411">
        <v>0</v>
      </c>
      <c r="AA2053" s="411"/>
      <c r="AB2053" s="511"/>
      <c r="AC2053" s="411"/>
      <c r="AD2053" s="411"/>
      <c r="AE2053" s="411"/>
      <c r="AF2053" s="411"/>
      <c r="AG2053" s="411"/>
      <c r="AH2053" s="411"/>
      <c r="AI2053" s="411"/>
      <c r="AJ2053" s="411"/>
      <c r="AK2053" s="411"/>
      <c r="AL2053" s="411"/>
      <c r="AM2053" s="411"/>
      <c r="AN2053" s="411" t="s">
        <v>6908</v>
      </c>
      <c r="AO2053" s="411" t="s">
        <v>524</v>
      </c>
      <c r="AP2053" s="411">
        <v>3818</v>
      </c>
      <c r="AQ2053" s="411" t="s">
        <v>136</v>
      </c>
      <c r="AR2053" s="411"/>
      <c r="AS2053" s="411"/>
      <c r="AT2053" s="411"/>
      <c r="AU2053" s="411"/>
      <c r="AV2053" s="411"/>
      <c r="AW2053" s="411"/>
      <c r="AX2053" s="411"/>
      <c r="BA2053" s="411"/>
      <c r="BB2053" s="411"/>
      <c r="BC2053" s="411"/>
    </row>
    <row r="2054" s="76" customFormat="1" spans="1:55">
      <c r="A2054" s="411">
        <v>10644</v>
      </c>
      <c r="B2054" s="411" t="s">
        <v>6897</v>
      </c>
      <c r="C2054" s="411" t="s">
        <v>6909</v>
      </c>
      <c r="D2054" s="411">
        <v>1</v>
      </c>
      <c r="E2054" s="411">
        <v>0</v>
      </c>
      <c r="F2054" s="411"/>
      <c r="G2054" s="411">
        <v>1</v>
      </c>
      <c r="H2054" s="245" t="s">
        <v>6910</v>
      </c>
      <c r="I2054" s="511">
        <f>270/30</f>
        <v>9</v>
      </c>
      <c r="J2054" s="511">
        <f>270/30</f>
        <v>9</v>
      </c>
      <c r="K2054" s="411"/>
      <c r="L2054" s="411">
        <v>1</v>
      </c>
      <c r="M2054" s="31">
        <f t="shared" si="202"/>
        <v>8.6</v>
      </c>
      <c r="N2054" s="411" t="s">
        <v>6911</v>
      </c>
      <c r="O2054" s="411">
        <v>1</v>
      </c>
      <c r="P2054" s="411">
        <v>3</v>
      </c>
      <c r="Q2054" s="411">
        <v>0</v>
      </c>
      <c r="R2054" s="411"/>
      <c r="S2054" s="411"/>
      <c r="T2054" s="411"/>
      <c r="U2054" s="411"/>
      <c r="V2054" s="411">
        <v>6</v>
      </c>
      <c r="W2054" s="411">
        <v>6</v>
      </c>
      <c r="X2054" s="411">
        <v>8</v>
      </c>
      <c r="Y2054" s="42">
        <v>-0.1</v>
      </c>
      <c r="Z2054" s="411">
        <v>0</v>
      </c>
      <c r="AA2054" s="411"/>
      <c r="AB2054" s="511">
        <f>9-0.3</f>
        <v>8.7</v>
      </c>
      <c r="AC2054" s="411">
        <v>2</v>
      </c>
      <c r="AD2054" s="411">
        <v>1</v>
      </c>
      <c r="AE2054" s="411" t="s">
        <v>6912</v>
      </c>
      <c r="AF2054" s="411">
        <v>0.5</v>
      </c>
      <c r="AG2054" s="411"/>
      <c r="AH2054" s="411"/>
      <c r="AI2054" s="411"/>
      <c r="AJ2054" s="411"/>
      <c r="AK2054" s="411"/>
      <c r="AL2054" s="411"/>
      <c r="AM2054" s="411"/>
      <c r="AN2054" s="411" t="s">
        <v>6913</v>
      </c>
      <c r="AO2054" s="411" t="s">
        <v>6914</v>
      </c>
      <c r="AP2054" s="411">
        <v>3821</v>
      </c>
      <c r="AQ2054" s="411" t="s">
        <v>136</v>
      </c>
      <c r="AR2054" s="411"/>
      <c r="AS2054" s="411"/>
      <c r="AT2054" s="411"/>
      <c r="AU2054" s="411">
        <v>1</v>
      </c>
      <c r="AV2054" s="411"/>
      <c r="AW2054" s="411"/>
      <c r="AX2054" s="411"/>
      <c r="BA2054" s="411"/>
      <c r="BB2054" s="411"/>
      <c r="BC2054" s="411"/>
    </row>
    <row r="2055" s="76" customFormat="1" spans="1:55">
      <c r="A2055" s="411">
        <v>10645</v>
      </c>
      <c r="B2055" s="411" t="s">
        <v>6915</v>
      </c>
      <c r="C2055" s="411" t="s">
        <v>526</v>
      </c>
      <c r="D2055" s="411">
        <v>1</v>
      </c>
      <c r="E2055" s="411">
        <v>0</v>
      </c>
      <c r="F2055" s="411"/>
      <c r="G2055" s="411">
        <v>1</v>
      </c>
      <c r="H2055" s="245" t="s">
        <v>6916</v>
      </c>
      <c r="I2055" s="511">
        <f>87/30</f>
        <v>2.9</v>
      </c>
      <c r="J2055" s="511">
        <f>87/30</f>
        <v>2.9</v>
      </c>
      <c r="K2055" s="411"/>
      <c r="L2055" s="411">
        <v>0</v>
      </c>
      <c r="M2055" s="31">
        <f t="shared" si="202"/>
        <v>2.5</v>
      </c>
      <c r="N2055" s="411" t="s">
        <v>6917</v>
      </c>
      <c r="O2055" s="411">
        <v>1</v>
      </c>
      <c r="P2055" s="411">
        <v>2.5</v>
      </c>
      <c r="Q2055" s="411">
        <v>0</v>
      </c>
      <c r="R2055" s="411"/>
      <c r="S2055" s="411"/>
      <c r="T2055" s="411"/>
      <c r="U2055" s="411"/>
      <c r="V2055" s="411">
        <v>1</v>
      </c>
      <c r="W2055" s="411">
        <v>0</v>
      </c>
      <c r="X2055" s="411">
        <v>3</v>
      </c>
      <c r="Y2055" s="42">
        <v>-0.1</v>
      </c>
      <c r="Z2055" s="411">
        <v>0</v>
      </c>
      <c r="AA2055" s="411"/>
      <c r="AB2055" s="511"/>
      <c r="AC2055" s="411"/>
      <c r="AD2055" s="411"/>
      <c r="AE2055" s="411"/>
      <c r="AF2055" s="411"/>
      <c r="AG2055" s="411"/>
      <c r="AH2055" s="411"/>
      <c r="AI2055" s="411"/>
      <c r="AJ2055" s="411"/>
      <c r="AK2055" s="411"/>
      <c r="AL2055" s="411"/>
      <c r="AM2055" s="411"/>
      <c r="AN2055" s="411" t="s">
        <v>6918</v>
      </c>
      <c r="AO2055" s="411" t="s">
        <v>2394</v>
      </c>
      <c r="AP2055" s="411">
        <v>3776</v>
      </c>
      <c r="AQ2055" s="411" t="s">
        <v>136</v>
      </c>
      <c r="AR2055" s="411"/>
      <c r="AS2055" s="411"/>
      <c r="AT2055" s="411"/>
      <c r="AU2055" s="411"/>
      <c r="AV2055" s="411"/>
      <c r="AW2055" s="411"/>
      <c r="AX2055" s="411"/>
      <c r="BA2055" s="411"/>
      <c r="BB2055" s="411"/>
      <c r="BC2055" s="411"/>
    </row>
    <row r="2056" s="76" customFormat="1" spans="1:55">
      <c r="A2056" s="411">
        <v>10646</v>
      </c>
      <c r="B2056" s="411" t="s">
        <v>6915</v>
      </c>
      <c r="C2056" s="411" t="s">
        <v>6919</v>
      </c>
      <c r="D2056" s="411">
        <v>1</v>
      </c>
      <c r="E2056" s="411">
        <v>0</v>
      </c>
      <c r="F2056" s="411"/>
      <c r="G2056" s="411">
        <v>1</v>
      </c>
      <c r="H2056" s="245" t="s">
        <v>6920</v>
      </c>
      <c r="I2056" s="511">
        <f>64/30</f>
        <v>2.13333333333333</v>
      </c>
      <c r="J2056" s="511">
        <f>64/30</f>
        <v>2.13333333333333</v>
      </c>
      <c r="K2056" s="411"/>
      <c r="L2056" s="411">
        <v>1</v>
      </c>
      <c r="M2056" s="31">
        <f t="shared" si="202"/>
        <v>1.73333333333333</v>
      </c>
      <c r="N2056" s="411" t="s">
        <v>6921</v>
      </c>
      <c r="O2056" s="411">
        <v>1</v>
      </c>
      <c r="P2056" s="411">
        <v>2.5</v>
      </c>
      <c r="Q2056" s="411">
        <v>0</v>
      </c>
      <c r="R2056" s="411">
        <v>1</v>
      </c>
      <c r="S2056" s="411"/>
      <c r="T2056" s="411"/>
      <c r="U2056" s="411"/>
      <c r="V2056" s="411">
        <v>1</v>
      </c>
      <c r="W2056" s="411">
        <v>0</v>
      </c>
      <c r="X2056" s="411">
        <v>1</v>
      </c>
      <c r="Y2056" s="42">
        <v>-0.1</v>
      </c>
      <c r="Z2056" s="411">
        <v>0</v>
      </c>
      <c r="AA2056" s="411"/>
      <c r="AB2056" s="511"/>
      <c r="AC2056" s="411"/>
      <c r="AD2056" s="411"/>
      <c r="AE2056" s="411"/>
      <c r="AF2056" s="411"/>
      <c r="AG2056" s="411"/>
      <c r="AH2056" s="411"/>
      <c r="AI2056" s="411"/>
      <c r="AJ2056" s="411"/>
      <c r="AK2056" s="411"/>
      <c r="AL2056" s="411"/>
      <c r="AM2056" s="411"/>
      <c r="AN2056" s="411" t="s">
        <v>6922</v>
      </c>
      <c r="AO2056" s="411" t="s">
        <v>2394</v>
      </c>
      <c r="AP2056" s="411"/>
      <c r="AQ2056" s="411"/>
      <c r="AR2056" s="411"/>
      <c r="AS2056" s="411"/>
      <c r="AT2056" s="411"/>
      <c r="AU2056" s="411"/>
      <c r="AV2056" s="411"/>
      <c r="AW2056" s="411"/>
      <c r="AX2056" s="411"/>
      <c r="BA2056" s="411"/>
      <c r="BB2056" s="411"/>
      <c r="BC2056" s="411"/>
    </row>
    <row r="2057" s="76" customFormat="1" spans="1:55">
      <c r="A2057" s="411">
        <v>10647</v>
      </c>
      <c r="B2057" s="411" t="s">
        <v>6915</v>
      </c>
      <c r="C2057" s="411" t="s">
        <v>6923</v>
      </c>
      <c r="D2057" s="411">
        <v>1</v>
      </c>
      <c r="E2057" s="411">
        <v>0</v>
      </c>
      <c r="F2057" s="411"/>
      <c r="G2057" s="411">
        <v>1</v>
      </c>
      <c r="H2057" s="245" t="s">
        <v>6924</v>
      </c>
      <c r="I2057" s="511">
        <f>215/30</f>
        <v>7.16666666666667</v>
      </c>
      <c r="J2057" s="511">
        <f>215/30</f>
        <v>7.16666666666667</v>
      </c>
      <c r="K2057" s="411"/>
      <c r="L2057" s="411">
        <v>1</v>
      </c>
      <c r="M2057" s="31">
        <f t="shared" si="202"/>
        <v>6.76666666666667</v>
      </c>
      <c r="N2057" s="411" t="s">
        <v>6925</v>
      </c>
      <c r="O2057" s="411">
        <v>1</v>
      </c>
      <c r="P2057" s="411">
        <v>5</v>
      </c>
      <c r="Q2057" s="411">
        <v>0</v>
      </c>
      <c r="R2057" s="411"/>
      <c r="S2057" s="411">
        <v>2</v>
      </c>
      <c r="T2057" s="411"/>
      <c r="U2057" s="411"/>
      <c r="V2057" s="411">
        <v>6</v>
      </c>
      <c r="W2057" s="411">
        <v>6</v>
      </c>
      <c r="X2057" s="411">
        <v>7</v>
      </c>
      <c r="Y2057" s="42">
        <v>-0.1</v>
      </c>
      <c r="Z2057" s="411">
        <v>0</v>
      </c>
      <c r="AA2057" s="411"/>
      <c r="AB2057" s="511">
        <f>215/30-0.3</f>
        <v>6.86666666666667</v>
      </c>
      <c r="AC2057" s="411">
        <v>2</v>
      </c>
      <c r="AD2057" s="411">
        <v>1</v>
      </c>
      <c r="AE2057" s="411" t="s">
        <v>6926</v>
      </c>
      <c r="AF2057" s="411">
        <v>0.5</v>
      </c>
      <c r="AG2057" s="411"/>
      <c r="AH2057" s="411"/>
      <c r="AI2057" s="411"/>
      <c r="AJ2057" s="411"/>
      <c r="AK2057" s="411"/>
      <c r="AL2057" s="411"/>
      <c r="AM2057" s="411"/>
      <c r="AN2057" s="411" t="s">
        <v>6927</v>
      </c>
      <c r="AO2057" s="411" t="s">
        <v>6928</v>
      </c>
      <c r="AP2057" s="411"/>
      <c r="AQ2057" s="411"/>
      <c r="AR2057" s="411"/>
      <c r="AS2057" s="411"/>
      <c r="AT2057" s="411"/>
      <c r="AU2057" s="411"/>
      <c r="AV2057" s="411"/>
      <c r="AW2057" s="411"/>
      <c r="AX2057" s="411"/>
      <c r="BA2057" s="411"/>
      <c r="BB2057" s="411"/>
      <c r="BC2057" s="411"/>
    </row>
    <row r="2058" s="76" customFormat="1" ht="15" customHeight="1" spans="1:55">
      <c r="A2058" s="411">
        <v>10648</v>
      </c>
      <c r="B2058" s="411" t="s">
        <v>6929</v>
      </c>
      <c r="C2058" s="411" t="s">
        <v>526</v>
      </c>
      <c r="D2058" s="411">
        <v>1</v>
      </c>
      <c r="E2058" s="411">
        <v>0</v>
      </c>
      <c r="F2058" s="411"/>
      <c r="G2058" s="411">
        <v>1</v>
      </c>
      <c r="H2058" s="245" t="s">
        <v>6930</v>
      </c>
      <c r="I2058" s="511">
        <f>63/30</f>
        <v>2.1</v>
      </c>
      <c r="J2058" s="511">
        <f>63/30</f>
        <v>2.1</v>
      </c>
      <c r="K2058" s="411"/>
      <c r="L2058" s="411">
        <v>0</v>
      </c>
      <c r="M2058" s="31">
        <f t="shared" si="202"/>
        <v>1.7</v>
      </c>
      <c r="N2058" s="700" t="s">
        <v>6931</v>
      </c>
      <c r="O2058" s="411">
        <v>1</v>
      </c>
      <c r="P2058" s="411">
        <v>1</v>
      </c>
      <c r="Q2058" s="411">
        <v>0</v>
      </c>
      <c r="R2058" s="411"/>
      <c r="S2058" s="411"/>
      <c r="T2058" s="411"/>
      <c r="U2058" s="411"/>
      <c r="V2058" s="411">
        <v>1</v>
      </c>
      <c r="W2058" s="411">
        <v>0</v>
      </c>
      <c r="X2058" s="411">
        <v>3</v>
      </c>
      <c r="Y2058" s="42">
        <v>-0.1</v>
      </c>
      <c r="Z2058" s="411">
        <v>0</v>
      </c>
      <c r="AA2058" s="411"/>
      <c r="AB2058" s="511"/>
      <c r="AC2058" s="411"/>
      <c r="AD2058" s="411"/>
      <c r="AE2058" s="411"/>
      <c r="AF2058" s="411"/>
      <c r="AG2058" s="411"/>
      <c r="AH2058" s="411"/>
      <c r="AI2058" s="411"/>
      <c r="AJ2058" s="411"/>
      <c r="AK2058" s="411"/>
      <c r="AL2058" s="411"/>
      <c r="AM2058" s="411"/>
      <c r="AN2058" s="411"/>
      <c r="AO2058" s="411"/>
      <c r="AP2058" s="411">
        <v>3622</v>
      </c>
      <c r="AQ2058" s="411" t="s">
        <v>136</v>
      </c>
      <c r="AR2058" s="411"/>
      <c r="AS2058" s="411"/>
      <c r="AT2058" s="411"/>
      <c r="AU2058" s="411"/>
      <c r="AV2058" s="411"/>
      <c r="AW2058" s="411"/>
      <c r="AX2058" s="411"/>
      <c r="BA2058" s="411"/>
      <c r="BB2058" s="411"/>
      <c r="BC2058" s="411"/>
    </row>
    <row r="2059" s="76" customFormat="1" ht="15" customHeight="1" spans="1:55">
      <c r="A2059" s="411">
        <v>10649</v>
      </c>
      <c r="B2059" s="411" t="s">
        <v>6929</v>
      </c>
      <c r="C2059" s="411" t="s">
        <v>6932</v>
      </c>
      <c r="D2059" s="411">
        <v>1</v>
      </c>
      <c r="E2059" s="411">
        <v>0</v>
      </c>
      <c r="F2059" s="411"/>
      <c r="G2059" s="411">
        <v>1</v>
      </c>
      <c r="H2059" s="245" t="s">
        <v>6933</v>
      </c>
      <c r="I2059" s="511">
        <f>65/30</f>
        <v>2.16666666666667</v>
      </c>
      <c r="J2059" s="511">
        <f>65/30</f>
        <v>2.16666666666667</v>
      </c>
      <c r="K2059" s="411"/>
      <c r="L2059" s="411">
        <v>1</v>
      </c>
      <c r="M2059" s="31">
        <f t="shared" si="202"/>
        <v>1.76666666666667</v>
      </c>
      <c r="N2059" s="700" t="s">
        <v>6934</v>
      </c>
      <c r="O2059" s="411">
        <v>1</v>
      </c>
      <c r="P2059" s="411">
        <v>1</v>
      </c>
      <c r="Q2059" s="411">
        <v>0</v>
      </c>
      <c r="R2059" s="411">
        <v>1</v>
      </c>
      <c r="S2059" s="411"/>
      <c r="T2059" s="411">
        <v>1</v>
      </c>
      <c r="U2059" s="411"/>
      <c r="V2059" s="411">
        <v>6</v>
      </c>
      <c r="W2059" s="411">
        <v>4</v>
      </c>
      <c r="X2059" s="411">
        <v>1</v>
      </c>
      <c r="Y2059" s="42">
        <v>-0.1</v>
      </c>
      <c r="Z2059" s="411">
        <v>0</v>
      </c>
      <c r="AA2059" s="411"/>
      <c r="AB2059" s="511"/>
      <c r="AC2059" s="411"/>
      <c r="AD2059" s="411"/>
      <c r="AE2059" s="411"/>
      <c r="AF2059" s="411"/>
      <c r="AG2059" s="411"/>
      <c r="AH2059" s="411"/>
      <c r="AI2059" s="411"/>
      <c r="AJ2059" s="411"/>
      <c r="AK2059" s="411"/>
      <c r="AL2059" s="411"/>
      <c r="AM2059" s="411"/>
      <c r="AN2059" s="411"/>
      <c r="AO2059" s="411"/>
      <c r="AP2059" s="411">
        <v>3624</v>
      </c>
      <c r="AQ2059" s="411" t="s">
        <v>136</v>
      </c>
      <c r="AR2059" s="411"/>
      <c r="AS2059" s="411"/>
      <c r="AT2059" s="411"/>
      <c r="AU2059" s="411"/>
      <c r="AV2059" s="411"/>
      <c r="AW2059" s="411"/>
      <c r="AX2059" s="411"/>
      <c r="BA2059" s="411"/>
      <c r="BB2059" s="411"/>
      <c r="BC2059" s="411"/>
    </row>
    <row r="2060" s="76" customFormat="1" ht="15" customHeight="1" spans="1:55">
      <c r="A2060" s="411">
        <v>10650</v>
      </c>
      <c r="B2060" s="411" t="s">
        <v>6929</v>
      </c>
      <c r="C2060" s="411" t="s">
        <v>6935</v>
      </c>
      <c r="D2060" s="411">
        <v>1</v>
      </c>
      <c r="E2060" s="411">
        <v>0</v>
      </c>
      <c r="F2060" s="411"/>
      <c r="G2060" s="411">
        <v>1</v>
      </c>
      <c r="H2060" s="245" t="s">
        <v>6936</v>
      </c>
      <c r="I2060" s="511">
        <f>190/30</f>
        <v>6.33333333333333</v>
      </c>
      <c r="J2060" s="511">
        <f>190/30</f>
        <v>6.33333333333333</v>
      </c>
      <c r="K2060" s="411"/>
      <c r="L2060" s="411">
        <v>1</v>
      </c>
      <c r="M2060" s="31">
        <f t="shared" si="202"/>
        <v>5.93333333333333</v>
      </c>
      <c r="N2060" s="700" t="s">
        <v>6937</v>
      </c>
      <c r="O2060" s="411">
        <v>1</v>
      </c>
      <c r="P2060" s="411"/>
      <c r="Q2060" s="411">
        <v>0</v>
      </c>
      <c r="R2060" s="411"/>
      <c r="S2060" s="411"/>
      <c r="T2060" s="411"/>
      <c r="U2060" s="411"/>
      <c r="V2060" s="411">
        <v>5</v>
      </c>
      <c r="W2060" s="411">
        <v>5</v>
      </c>
      <c r="X2060" s="411">
        <v>6</v>
      </c>
      <c r="Y2060" s="42">
        <v>-0.1</v>
      </c>
      <c r="Z2060" s="411">
        <v>0</v>
      </c>
      <c r="AA2060" s="411"/>
      <c r="AB2060" s="511">
        <f>190/30-0.3</f>
        <v>6.03333333333333</v>
      </c>
      <c r="AC2060" s="411">
        <v>2</v>
      </c>
      <c r="AD2060" s="411">
        <v>1</v>
      </c>
      <c r="AE2060" s="411" t="s">
        <v>6938</v>
      </c>
      <c r="AF2060" s="411">
        <v>0.5</v>
      </c>
      <c r="AG2060" s="411"/>
      <c r="AH2060" s="411"/>
      <c r="AI2060" s="411">
        <v>1</v>
      </c>
      <c r="AJ2060" s="411">
        <v>0</v>
      </c>
      <c r="AK2060" s="411" t="s">
        <v>1303</v>
      </c>
      <c r="AL2060" s="411">
        <f>76/30</f>
        <v>2.53333333333333</v>
      </c>
      <c r="AM2060" s="411">
        <f>114/30</f>
        <v>3.8</v>
      </c>
      <c r="AN2060" s="411" t="s">
        <v>6939</v>
      </c>
      <c r="AO2060" s="411" t="s">
        <v>6940</v>
      </c>
      <c r="AP2060" s="411">
        <v>3626</v>
      </c>
      <c r="AQ2060" s="411" t="s">
        <v>136</v>
      </c>
      <c r="AR2060" s="411"/>
      <c r="AS2060" s="411"/>
      <c r="AT2060" s="411"/>
      <c r="AU2060" s="411">
        <v>1</v>
      </c>
      <c r="AV2060" s="411"/>
      <c r="AW2060" s="411"/>
      <c r="AX2060" s="411"/>
      <c r="BA2060" s="411"/>
      <c r="BB2060" s="411"/>
      <c r="BC2060" s="411"/>
    </row>
    <row r="2061" s="76" customFormat="1" spans="1:55">
      <c r="A2061" s="411">
        <v>10651</v>
      </c>
      <c r="B2061" s="411" t="s">
        <v>6941</v>
      </c>
      <c r="C2061" s="411" t="s">
        <v>526</v>
      </c>
      <c r="D2061" s="411">
        <v>1</v>
      </c>
      <c r="E2061" s="411">
        <v>0</v>
      </c>
      <c r="F2061" s="411"/>
      <c r="G2061" s="411">
        <v>1</v>
      </c>
      <c r="H2061" s="245" t="s">
        <v>6942</v>
      </c>
      <c r="I2061" s="511">
        <f>52/30</f>
        <v>1.73333333333333</v>
      </c>
      <c r="J2061" s="511">
        <f>52/30</f>
        <v>1.73333333333333</v>
      </c>
      <c r="K2061" s="411"/>
      <c r="L2061" s="411">
        <v>0</v>
      </c>
      <c r="M2061" s="31">
        <f t="shared" si="202"/>
        <v>1.33333333333333</v>
      </c>
      <c r="N2061" s="411" t="s">
        <v>6943</v>
      </c>
      <c r="O2061" s="411">
        <v>1</v>
      </c>
      <c r="P2061" s="411">
        <v>2.8</v>
      </c>
      <c r="Q2061" s="411">
        <v>0</v>
      </c>
      <c r="R2061" s="411"/>
      <c r="S2061" s="411">
        <v>1</v>
      </c>
      <c r="T2061" s="411"/>
      <c r="U2061" s="411">
        <v>0.5</v>
      </c>
      <c r="V2061" s="411">
        <v>1</v>
      </c>
      <c r="W2061" s="411">
        <v>0</v>
      </c>
      <c r="X2061" s="411">
        <v>1</v>
      </c>
      <c r="Y2061" s="42">
        <v>-0.1</v>
      </c>
      <c r="Z2061" s="411">
        <v>0</v>
      </c>
      <c r="AA2061" s="411"/>
      <c r="AB2061" s="511"/>
      <c r="AC2061" s="411"/>
      <c r="AD2061" s="411"/>
      <c r="AE2061" s="411"/>
      <c r="AF2061" s="411"/>
      <c r="AG2061" s="411"/>
      <c r="AH2061" s="411"/>
      <c r="AI2061" s="411"/>
      <c r="AJ2061" s="411"/>
      <c r="AK2061" s="411"/>
      <c r="AL2061" s="411"/>
      <c r="AM2061" s="411"/>
      <c r="AN2061" s="411"/>
      <c r="AO2061" s="411"/>
      <c r="AP2061" s="411">
        <v>3591</v>
      </c>
      <c r="AQ2061" s="411" t="s">
        <v>136</v>
      </c>
      <c r="AR2061" s="411"/>
      <c r="AS2061" s="411"/>
      <c r="AT2061" s="411"/>
      <c r="AU2061" s="411"/>
      <c r="AV2061" s="411"/>
      <c r="AW2061" s="411"/>
      <c r="AX2061" s="411"/>
      <c r="BA2061" s="411"/>
      <c r="BB2061" s="411"/>
      <c r="BC2061" s="411"/>
    </row>
    <row r="2062" s="76" customFormat="1" spans="1:55">
      <c r="A2062" s="411">
        <v>10652</v>
      </c>
      <c r="B2062" s="411" t="s">
        <v>6941</v>
      </c>
      <c r="C2062" s="411" t="s">
        <v>6944</v>
      </c>
      <c r="D2062" s="411">
        <v>1</v>
      </c>
      <c r="E2062" s="411">
        <v>0</v>
      </c>
      <c r="F2062" s="411"/>
      <c r="G2062" s="411">
        <v>1</v>
      </c>
      <c r="H2062" s="245" t="s">
        <v>6945</v>
      </c>
      <c r="I2062" s="511">
        <f>52/30</f>
        <v>1.73333333333333</v>
      </c>
      <c r="J2062" s="511">
        <f>52/30</f>
        <v>1.73333333333333</v>
      </c>
      <c r="K2062" s="411"/>
      <c r="L2062" s="411">
        <v>1</v>
      </c>
      <c r="M2062" s="31">
        <f t="shared" si="202"/>
        <v>1.33333333333333</v>
      </c>
      <c r="N2062" s="411" t="s">
        <v>6946</v>
      </c>
      <c r="O2062" s="411">
        <v>1</v>
      </c>
      <c r="P2062" s="411">
        <v>2.8</v>
      </c>
      <c r="Q2062" s="411">
        <v>0</v>
      </c>
      <c r="R2062" s="411">
        <v>1</v>
      </c>
      <c r="S2062" s="411">
        <v>1</v>
      </c>
      <c r="T2062" s="411"/>
      <c r="U2062" s="411">
        <v>0.5</v>
      </c>
      <c r="V2062" s="411">
        <v>1</v>
      </c>
      <c r="W2062" s="411">
        <v>0</v>
      </c>
      <c r="X2062" s="411">
        <v>3</v>
      </c>
      <c r="Y2062" s="42">
        <v>-0.1</v>
      </c>
      <c r="Z2062" s="411">
        <v>0</v>
      </c>
      <c r="AA2062" s="411"/>
      <c r="AB2062" s="511"/>
      <c r="AC2062" s="411"/>
      <c r="AD2062" s="411"/>
      <c r="AE2062" s="411"/>
      <c r="AF2062" s="411"/>
      <c r="AG2062" s="411"/>
      <c r="AH2062" s="411"/>
      <c r="AI2062" s="411"/>
      <c r="AJ2062" s="411"/>
      <c r="AK2062" s="411"/>
      <c r="AL2062" s="411"/>
      <c r="AM2062" s="411"/>
      <c r="AN2062" s="411"/>
      <c r="AO2062" s="411"/>
      <c r="AP2062" s="411">
        <v>3592</v>
      </c>
      <c r="AQ2062" s="411" t="s">
        <v>136</v>
      </c>
      <c r="AR2062" s="411"/>
      <c r="AS2062" s="411"/>
      <c r="AT2062" s="411"/>
      <c r="AU2062" s="411"/>
      <c r="AV2062" s="411"/>
      <c r="AW2062" s="411"/>
      <c r="AX2062" s="411"/>
      <c r="BA2062" s="411"/>
      <c r="BB2062" s="411"/>
      <c r="BC2062" s="411"/>
    </row>
    <row r="2063" s="76" customFormat="1" spans="1:55">
      <c r="A2063" s="411">
        <v>10653</v>
      </c>
      <c r="B2063" s="411" t="s">
        <v>6941</v>
      </c>
      <c r="C2063" s="411" t="s">
        <v>6947</v>
      </c>
      <c r="D2063" s="411">
        <v>1</v>
      </c>
      <c r="E2063" s="411">
        <v>0</v>
      </c>
      <c r="F2063" s="411"/>
      <c r="G2063" s="411">
        <v>1</v>
      </c>
      <c r="H2063" s="245" t="s">
        <v>6948</v>
      </c>
      <c r="I2063" s="511">
        <f>193/30</f>
        <v>6.43333333333333</v>
      </c>
      <c r="J2063" s="511">
        <f>193/30</f>
        <v>6.43333333333333</v>
      </c>
      <c r="K2063" s="411"/>
      <c r="L2063" s="411">
        <v>1</v>
      </c>
      <c r="M2063" s="31">
        <f t="shared" si="202"/>
        <v>6.03333333333333</v>
      </c>
      <c r="N2063" s="411" t="s">
        <v>6949</v>
      </c>
      <c r="O2063" s="411">
        <v>1</v>
      </c>
      <c r="P2063" s="411">
        <v>2.8</v>
      </c>
      <c r="Q2063" s="411">
        <v>0</v>
      </c>
      <c r="R2063" s="411"/>
      <c r="S2063" s="411">
        <v>1</v>
      </c>
      <c r="T2063" s="411"/>
      <c r="U2063" s="411">
        <v>0.5</v>
      </c>
      <c r="V2063" s="411">
        <v>1</v>
      </c>
      <c r="W2063" s="411">
        <v>0</v>
      </c>
      <c r="X2063" s="411">
        <v>8</v>
      </c>
      <c r="Y2063" s="42">
        <v>-0.1</v>
      </c>
      <c r="Z2063" s="411">
        <v>0</v>
      </c>
      <c r="AA2063" s="411"/>
      <c r="AB2063" s="511">
        <f>193/30-0.3</f>
        <v>6.13333333333333</v>
      </c>
      <c r="AC2063" s="411">
        <v>2</v>
      </c>
      <c r="AD2063" s="411">
        <v>1</v>
      </c>
      <c r="AE2063" s="411" t="s">
        <v>6950</v>
      </c>
      <c r="AF2063" s="411">
        <v>0.5</v>
      </c>
      <c r="AG2063" s="411"/>
      <c r="AH2063" s="411"/>
      <c r="AI2063" s="411"/>
      <c r="AJ2063" s="411"/>
      <c r="AK2063" s="411"/>
      <c r="AL2063" s="411"/>
      <c r="AM2063" s="411"/>
      <c r="AN2063" s="411">
        <v>3630</v>
      </c>
      <c r="AO2063" s="411" t="s">
        <v>6951</v>
      </c>
      <c r="AP2063" s="411">
        <v>3629</v>
      </c>
      <c r="AQ2063" s="411" t="s">
        <v>136</v>
      </c>
      <c r="AR2063" s="411"/>
      <c r="AS2063" s="411"/>
      <c r="AT2063" s="411"/>
      <c r="AU2063" s="411">
        <v>1</v>
      </c>
      <c r="AV2063" s="411"/>
      <c r="AW2063" s="411"/>
      <c r="AX2063" s="411"/>
      <c r="BA2063" s="411"/>
      <c r="BB2063" s="411"/>
      <c r="BC2063" s="411"/>
    </row>
    <row r="2064" s="76" customFormat="1" spans="1:55">
      <c r="A2064" s="411">
        <v>10654</v>
      </c>
      <c r="B2064" s="411" t="s">
        <v>6952</v>
      </c>
      <c r="C2064" s="411" t="s">
        <v>526</v>
      </c>
      <c r="D2064" s="411">
        <v>1</v>
      </c>
      <c r="E2064" s="411">
        <v>0</v>
      </c>
      <c r="F2064" s="411"/>
      <c r="G2064" s="411">
        <v>1</v>
      </c>
      <c r="H2064" s="245" t="s">
        <v>6953</v>
      </c>
      <c r="I2064" s="511">
        <f>55/30</f>
        <v>1.83333333333333</v>
      </c>
      <c r="J2064" s="511">
        <f>55/30</f>
        <v>1.83333333333333</v>
      </c>
      <c r="K2064" s="411"/>
      <c r="L2064" s="411">
        <v>0</v>
      </c>
      <c r="M2064" s="31">
        <f t="shared" si="202"/>
        <v>1.43333333333333</v>
      </c>
      <c r="N2064" s="76" t="s">
        <v>6954</v>
      </c>
      <c r="O2064" s="411">
        <v>1</v>
      </c>
      <c r="P2064" s="411">
        <v>2</v>
      </c>
      <c r="Q2064" s="411">
        <v>0</v>
      </c>
      <c r="R2064" s="411"/>
      <c r="S2064" s="411"/>
      <c r="T2064" s="411"/>
      <c r="U2064" s="411"/>
      <c r="V2064" s="411">
        <v>1</v>
      </c>
      <c r="W2064" s="411">
        <v>0</v>
      </c>
      <c r="X2064" s="411">
        <v>1</v>
      </c>
      <c r="Y2064" s="42">
        <v>-0.1</v>
      </c>
      <c r="Z2064" s="411">
        <v>0</v>
      </c>
      <c r="AA2064" s="411"/>
      <c r="AB2064" s="511"/>
      <c r="AC2064" s="411"/>
      <c r="AD2064" s="411"/>
      <c r="AE2064" s="411"/>
      <c r="AF2064" s="411"/>
      <c r="AG2064" s="411"/>
      <c r="AH2064" s="411"/>
      <c r="AI2064" s="411"/>
      <c r="AJ2064" s="411"/>
      <c r="AK2064" s="411"/>
      <c r="AL2064" s="411"/>
      <c r="AM2064" s="411"/>
      <c r="AN2064" s="411"/>
      <c r="AO2064" s="411"/>
      <c r="AP2064" s="411">
        <v>3593</v>
      </c>
      <c r="AQ2064" s="411" t="s">
        <v>136</v>
      </c>
      <c r="AR2064" s="411"/>
      <c r="AS2064" s="411"/>
      <c r="AT2064" s="411"/>
      <c r="AU2064" s="411"/>
      <c r="AV2064" s="411"/>
      <c r="AW2064" s="411"/>
      <c r="AX2064" s="411"/>
      <c r="BA2064" s="411"/>
      <c r="BB2064" s="411"/>
      <c r="BC2064" s="411"/>
    </row>
    <row r="2065" s="76" customFormat="1" spans="1:55">
      <c r="A2065" s="411">
        <v>10655</v>
      </c>
      <c r="B2065" s="411" t="s">
        <v>6952</v>
      </c>
      <c r="C2065" s="411" t="s">
        <v>5225</v>
      </c>
      <c r="D2065" s="411">
        <v>1</v>
      </c>
      <c r="E2065" s="411">
        <v>0</v>
      </c>
      <c r="F2065" s="411"/>
      <c r="G2065" s="411">
        <v>1</v>
      </c>
      <c r="H2065" s="245" t="s">
        <v>6955</v>
      </c>
      <c r="I2065" s="511">
        <f>67/30</f>
        <v>2.23333333333333</v>
      </c>
      <c r="J2065" s="511">
        <f>67/30</f>
        <v>2.23333333333333</v>
      </c>
      <c r="K2065" s="411"/>
      <c r="L2065" s="411">
        <v>1</v>
      </c>
      <c r="M2065" s="31">
        <f t="shared" si="202"/>
        <v>1.83333333333333</v>
      </c>
      <c r="N2065" s="76" t="s">
        <v>6956</v>
      </c>
      <c r="O2065" s="411">
        <v>1</v>
      </c>
      <c r="P2065" s="411">
        <v>2</v>
      </c>
      <c r="Q2065" s="411">
        <v>0</v>
      </c>
      <c r="R2065" s="411"/>
      <c r="S2065" s="411"/>
      <c r="T2065" s="411"/>
      <c r="U2065" s="411"/>
      <c r="V2065" s="411">
        <v>1</v>
      </c>
      <c r="W2065" s="411">
        <v>0</v>
      </c>
      <c r="X2065" s="411">
        <v>1</v>
      </c>
      <c r="Y2065" s="42">
        <v>-0.1</v>
      </c>
      <c r="Z2065" s="411">
        <v>0</v>
      </c>
      <c r="AA2065" s="411"/>
      <c r="AB2065" s="511"/>
      <c r="AC2065" s="411"/>
      <c r="AD2065" s="411"/>
      <c r="AE2065" s="411"/>
      <c r="AF2065" s="411"/>
      <c r="AG2065" s="411"/>
      <c r="AH2065" s="411"/>
      <c r="AI2065" s="411"/>
      <c r="AJ2065" s="411"/>
      <c r="AK2065" s="411"/>
      <c r="AL2065" s="411"/>
      <c r="AM2065" s="411"/>
      <c r="AN2065" s="411"/>
      <c r="AO2065" s="411"/>
      <c r="AP2065" s="411">
        <v>3595</v>
      </c>
      <c r="AQ2065" s="411" t="s">
        <v>136</v>
      </c>
      <c r="AR2065" s="411"/>
      <c r="AS2065" s="411"/>
      <c r="AT2065" s="411"/>
      <c r="AU2065" s="411"/>
      <c r="AV2065" s="411"/>
      <c r="AW2065" s="411"/>
      <c r="AX2065" s="411"/>
      <c r="BA2065" s="411"/>
      <c r="BB2065" s="411"/>
      <c r="BC2065" s="411"/>
    </row>
    <row r="2066" s="76" customFormat="1" spans="1:55">
      <c r="A2066" s="411">
        <v>10656</v>
      </c>
      <c r="B2066" s="411" t="s">
        <v>6957</v>
      </c>
      <c r="C2066" s="411" t="s">
        <v>526</v>
      </c>
      <c r="D2066" s="411">
        <v>1</v>
      </c>
      <c r="E2066" s="411">
        <v>0</v>
      </c>
      <c r="F2066" s="411"/>
      <c r="G2066" s="411">
        <v>1</v>
      </c>
      <c r="H2066" s="245" t="s">
        <v>6958</v>
      </c>
      <c r="I2066" s="511">
        <f>46/30</f>
        <v>1.53333333333333</v>
      </c>
      <c r="J2066" s="511">
        <f>46/30</f>
        <v>1.53333333333333</v>
      </c>
      <c r="K2066" s="411"/>
      <c r="L2066" s="411">
        <v>0</v>
      </c>
      <c r="M2066" s="31">
        <f t="shared" si="202"/>
        <v>1.13333333333333</v>
      </c>
      <c r="N2066" s="76" t="s">
        <v>6959</v>
      </c>
      <c r="O2066" s="411">
        <v>1</v>
      </c>
      <c r="P2066" s="411">
        <v>1.5</v>
      </c>
      <c r="Q2066" s="411">
        <v>0</v>
      </c>
      <c r="R2066" s="411"/>
      <c r="S2066" s="411"/>
      <c r="T2066" s="411"/>
      <c r="U2066" s="411"/>
      <c r="V2066" s="411">
        <v>1</v>
      </c>
      <c r="W2066" s="411">
        <v>0</v>
      </c>
      <c r="X2066" s="411">
        <v>1</v>
      </c>
      <c r="Y2066" s="42">
        <v>-0.1</v>
      </c>
      <c r="Z2066" s="411">
        <v>0</v>
      </c>
      <c r="AA2066" s="411"/>
      <c r="AB2066" s="511"/>
      <c r="AC2066" s="411"/>
      <c r="AD2066" s="411"/>
      <c r="AE2066" s="411"/>
      <c r="AF2066" s="411"/>
      <c r="AG2066" s="411"/>
      <c r="AH2066" s="411"/>
      <c r="AI2066" s="411"/>
      <c r="AJ2066" s="411"/>
      <c r="AK2066" s="411"/>
      <c r="AL2066" s="411"/>
      <c r="AM2066" s="411"/>
      <c r="AN2066" s="411"/>
      <c r="AO2066" s="411"/>
      <c r="AP2066" s="411">
        <v>3597</v>
      </c>
      <c r="AQ2066" s="411" t="s">
        <v>136</v>
      </c>
      <c r="AR2066" s="411"/>
      <c r="AS2066" s="411"/>
      <c r="AT2066" s="411"/>
      <c r="AU2066" s="411"/>
      <c r="AV2066" s="411"/>
      <c r="AW2066" s="411"/>
      <c r="AX2066" s="411"/>
      <c r="BA2066" s="411"/>
      <c r="BB2066" s="411"/>
      <c r="BC2066" s="411"/>
    </row>
    <row r="2067" s="76" customFormat="1" spans="1:55">
      <c r="A2067" s="411">
        <v>10657</v>
      </c>
      <c r="B2067" s="411" t="s">
        <v>6960</v>
      </c>
      <c r="C2067" s="411" t="s">
        <v>526</v>
      </c>
      <c r="D2067" s="411">
        <v>1</v>
      </c>
      <c r="E2067" s="411">
        <v>0</v>
      </c>
      <c r="F2067" s="411"/>
      <c r="G2067" s="411">
        <v>1</v>
      </c>
      <c r="H2067" s="245" t="s">
        <v>6961</v>
      </c>
      <c r="I2067" s="511">
        <f>42/30</f>
        <v>1.4</v>
      </c>
      <c r="J2067" s="511">
        <f>42/30</f>
        <v>1.4</v>
      </c>
      <c r="K2067" s="411"/>
      <c r="L2067" s="411">
        <v>0</v>
      </c>
      <c r="M2067" s="31">
        <f t="shared" si="202"/>
        <v>1</v>
      </c>
      <c r="N2067" s="76" t="s">
        <v>6962</v>
      </c>
      <c r="O2067" s="411">
        <v>1</v>
      </c>
      <c r="P2067" s="411">
        <v>1.5</v>
      </c>
      <c r="Q2067" s="411">
        <v>0</v>
      </c>
      <c r="R2067" s="411"/>
      <c r="S2067" s="411"/>
      <c r="T2067" s="411"/>
      <c r="U2067" s="411"/>
      <c r="V2067" s="411">
        <v>1</v>
      </c>
      <c r="W2067" s="411">
        <v>0</v>
      </c>
      <c r="X2067" s="411">
        <v>1</v>
      </c>
      <c r="Y2067" s="42">
        <v>-0.1</v>
      </c>
      <c r="Z2067" s="411">
        <v>0</v>
      </c>
      <c r="AA2067" s="411"/>
      <c r="AB2067" s="511"/>
      <c r="AC2067" s="411"/>
      <c r="AD2067" s="411"/>
      <c r="AE2067" s="411"/>
      <c r="AF2067" s="411"/>
      <c r="AG2067" s="411"/>
      <c r="AH2067" s="411"/>
      <c r="AI2067" s="411"/>
      <c r="AJ2067" s="411"/>
      <c r="AK2067" s="411"/>
      <c r="AL2067" s="411"/>
      <c r="AM2067" s="411"/>
      <c r="AN2067" s="411"/>
      <c r="AO2067" s="411"/>
      <c r="AP2067" s="411">
        <v>3598</v>
      </c>
      <c r="AQ2067" s="411" t="s">
        <v>136</v>
      </c>
      <c r="AR2067" s="411"/>
      <c r="AS2067" s="411"/>
      <c r="AT2067" s="411"/>
      <c r="AU2067" s="411"/>
      <c r="AV2067" s="411"/>
      <c r="AW2067" s="411"/>
      <c r="AX2067" s="411"/>
      <c r="BA2067" s="411"/>
      <c r="BB2067" s="411"/>
      <c r="BC2067" s="411"/>
    </row>
    <row r="2068" s="76" customFormat="1" spans="1:55">
      <c r="A2068" s="411">
        <v>10658</v>
      </c>
      <c r="B2068" s="411" t="s">
        <v>6963</v>
      </c>
      <c r="C2068" s="411" t="s">
        <v>526</v>
      </c>
      <c r="D2068" s="411">
        <v>1</v>
      </c>
      <c r="E2068" s="411">
        <v>0</v>
      </c>
      <c r="F2068" s="411"/>
      <c r="G2068" s="411">
        <v>2</v>
      </c>
      <c r="H2068" s="245" t="s">
        <v>6964</v>
      </c>
      <c r="I2068" s="511">
        <f>54/30</f>
        <v>1.8</v>
      </c>
      <c r="J2068" s="511">
        <f>54/30</f>
        <v>1.8</v>
      </c>
      <c r="K2068" s="411"/>
      <c r="L2068" s="411">
        <v>0</v>
      </c>
      <c r="M2068" s="31">
        <f t="shared" si="202"/>
        <v>1.4</v>
      </c>
      <c r="N2068" s="76" t="s">
        <v>6965</v>
      </c>
      <c r="O2068" s="411">
        <v>3</v>
      </c>
      <c r="P2068" s="411">
        <v>1.5</v>
      </c>
      <c r="Q2068" s="411">
        <v>0</v>
      </c>
      <c r="R2068" s="411"/>
      <c r="S2068" s="411"/>
      <c r="T2068" s="411"/>
      <c r="U2068" s="411"/>
      <c r="V2068" s="411">
        <v>1</v>
      </c>
      <c r="W2068" s="411">
        <v>0</v>
      </c>
      <c r="X2068" s="411">
        <v>1</v>
      </c>
      <c r="Y2068" s="42">
        <v>-0.1</v>
      </c>
      <c r="Z2068" s="411">
        <v>0</v>
      </c>
      <c r="AA2068" s="411"/>
      <c r="AB2068" s="511"/>
      <c r="AC2068" s="411"/>
      <c r="AD2068" s="411"/>
      <c r="AE2068" s="411"/>
      <c r="AF2068" s="411"/>
      <c r="AG2068" s="411"/>
      <c r="AH2068" s="411"/>
      <c r="AI2068" s="411"/>
      <c r="AJ2068" s="411"/>
      <c r="AK2068" s="411"/>
      <c r="AL2068" s="411"/>
      <c r="AM2068" s="411"/>
      <c r="AN2068" s="411"/>
      <c r="AO2068" s="411"/>
      <c r="AP2068" s="411">
        <v>3599</v>
      </c>
      <c r="AQ2068" s="411" t="s">
        <v>136</v>
      </c>
      <c r="AR2068" s="411"/>
      <c r="AS2068" s="411"/>
      <c r="AT2068" s="411"/>
      <c r="AU2068" s="411"/>
      <c r="AV2068" s="411"/>
      <c r="AW2068" s="411"/>
      <c r="AX2068" s="411"/>
      <c r="BA2068" s="411"/>
      <c r="BB2068" s="411"/>
      <c r="BC2068" s="411"/>
    </row>
    <row r="2069" s="76" customFormat="1" spans="1:55">
      <c r="A2069" s="411">
        <v>10659</v>
      </c>
      <c r="B2069" s="411" t="s">
        <v>6966</v>
      </c>
      <c r="C2069" s="411" t="s">
        <v>526</v>
      </c>
      <c r="D2069" s="411">
        <v>1</v>
      </c>
      <c r="E2069" s="411">
        <v>0</v>
      </c>
      <c r="F2069" s="411"/>
      <c r="G2069" s="411">
        <v>2</v>
      </c>
      <c r="H2069" s="245" t="s">
        <v>6967</v>
      </c>
      <c r="I2069" s="511">
        <f>58/30</f>
        <v>1.93333333333333</v>
      </c>
      <c r="J2069" s="511">
        <f>58/30</f>
        <v>1.93333333333333</v>
      </c>
      <c r="K2069" s="411"/>
      <c r="L2069" s="411">
        <v>0</v>
      </c>
      <c r="M2069" s="31">
        <f t="shared" si="202"/>
        <v>1.53333333333333</v>
      </c>
      <c r="N2069" s="76" t="s">
        <v>6968</v>
      </c>
      <c r="O2069" s="411">
        <v>3</v>
      </c>
      <c r="P2069" s="411">
        <v>1.3</v>
      </c>
      <c r="Q2069" s="411">
        <v>0</v>
      </c>
      <c r="R2069" s="411"/>
      <c r="S2069" s="411"/>
      <c r="T2069" s="411"/>
      <c r="U2069" s="411"/>
      <c r="V2069" s="411">
        <v>1</v>
      </c>
      <c r="W2069" s="411">
        <v>0</v>
      </c>
      <c r="X2069" s="411">
        <v>2</v>
      </c>
      <c r="Y2069" s="42">
        <v>-0.1</v>
      </c>
      <c r="Z2069" s="411">
        <v>0</v>
      </c>
      <c r="AA2069" s="411"/>
      <c r="AB2069" s="511"/>
      <c r="AC2069" s="411"/>
      <c r="AD2069" s="411"/>
      <c r="AE2069" s="411"/>
      <c r="AF2069" s="411"/>
      <c r="AG2069" s="411"/>
      <c r="AH2069" s="411"/>
      <c r="AI2069" s="411"/>
      <c r="AJ2069" s="411"/>
      <c r="AK2069" s="411"/>
      <c r="AL2069" s="411"/>
      <c r="AM2069" s="411"/>
      <c r="AN2069" s="411"/>
      <c r="AO2069" s="411"/>
      <c r="AP2069" s="411">
        <v>3600</v>
      </c>
      <c r="AQ2069" s="411" t="s">
        <v>136</v>
      </c>
      <c r="AR2069" s="411"/>
      <c r="AS2069" s="411"/>
      <c r="AT2069" s="411"/>
      <c r="AU2069" s="411"/>
      <c r="AV2069" s="411"/>
      <c r="AW2069" s="411"/>
      <c r="AX2069" s="411"/>
      <c r="BA2069" s="411"/>
      <c r="BB2069" s="411"/>
      <c r="BC2069" s="411"/>
    </row>
    <row r="2070" s="76" customFormat="1" spans="1:55">
      <c r="A2070" s="411">
        <v>10660</v>
      </c>
      <c r="B2070" s="411" t="s">
        <v>6969</v>
      </c>
      <c r="C2070" s="411" t="s">
        <v>526</v>
      </c>
      <c r="D2070" s="411">
        <v>1</v>
      </c>
      <c r="E2070" s="411">
        <v>0</v>
      </c>
      <c r="F2070" s="411"/>
      <c r="G2070" s="411">
        <v>1</v>
      </c>
      <c r="H2070" s="245" t="s">
        <v>6970</v>
      </c>
      <c r="I2070" s="511">
        <f>54/30</f>
        <v>1.8</v>
      </c>
      <c r="J2070" s="511">
        <f>54/30</f>
        <v>1.8</v>
      </c>
      <c r="K2070" s="411"/>
      <c r="L2070" s="411">
        <v>0</v>
      </c>
      <c r="M2070" s="31">
        <f t="shared" si="202"/>
        <v>1.4</v>
      </c>
      <c r="N2070" s="76" t="s">
        <v>6971</v>
      </c>
      <c r="O2070" s="411">
        <v>1</v>
      </c>
      <c r="P2070" s="411">
        <v>1.5</v>
      </c>
      <c r="Q2070" s="411">
        <v>0</v>
      </c>
      <c r="R2070" s="411"/>
      <c r="S2070" s="411"/>
      <c r="T2070" s="411"/>
      <c r="U2070" s="411"/>
      <c r="V2070" s="411">
        <v>1</v>
      </c>
      <c r="W2070" s="411">
        <v>0</v>
      </c>
      <c r="X2070" s="411">
        <v>2</v>
      </c>
      <c r="Y2070" s="42">
        <v>-0.1</v>
      </c>
      <c r="Z2070" s="411">
        <v>0</v>
      </c>
      <c r="AA2070" s="411"/>
      <c r="AB2070" s="511"/>
      <c r="AC2070" s="411"/>
      <c r="AD2070" s="411"/>
      <c r="AE2070" s="411"/>
      <c r="AF2070" s="411"/>
      <c r="AG2070" s="411"/>
      <c r="AH2070" s="411"/>
      <c r="AI2070" s="411"/>
      <c r="AJ2070" s="411"/>
      <c r="AK2070" s="411"/>
      <c r="AL2070" s="411"/>
      <c r="AM2070" s="411"/>
      <c r="AN2070" s="411"/>
      <c r="AO2070" s="411"/>
      <c r="AP2070" s="411">
        <v>3601</v>
      </c>
      <c r="AQ2070" s="411" t="s">
        <v>136</v>
      </c>
      <c r="AR2070" s="411"/>
      <c r="AS2070" s="411"/>
      <c r="AT2070" s="411"/>
      <c r="AU2070" s="411"/>
      <c r="AV2070" s="411"/>
      <c r="AW2070" s="411"/>
      <c r="AX2070" s="411"/>
      <c r="BA2070" s="411"/>
      <c r="BB2070" s="411"/>
      <c r="BC2070" s="411"/>
    </row>
    <row r="2071" s="76" customFormat="1" spans="1:55">
      <c r="A2071" s="411">
        <v>10661</v>
      </c>
      <c r="B2071" s="411" t="s">
        <v>6969</v>
      </c>
      <c r="C2071" s="411" t="s">
        <v>5225</v>
      </c>
      <c r="D2071" s="411">
        <v>1</v>
      </c>
      <c r="E2071" s="411">
        <v>0</v>
      </c>
      <c r="F2071" s="411"/>
      <c r="G2071" s="411">
        <v>1</v>
      </c>
      <c r="H2071" s="245" t="s">
        <v>6972</v>
      </c>
      <c r="I2071" s="511">
        <f>88/30</f>
        <v>2.93333333333333</v>
      </c>
      <c r="J2071" s="511">
        <f>88/30</f>
        <v>2.93333333333333</v>
      </c>
      <c r="K2071" s="411"/>
      <c r="L2071" s="411">
        <v>1</v>
      </c>
      <c r="M2071" s="31">
        <f t="shared" si="202"/>
        <v>2.53333333333333</v>
      </c>
      <c r="N2071" s="76" t="s">
        <v>6973</v>
      </c>
      <c r="O2071" s="411">
        <v>1</v>
      </c>
      <c r="P2071" s="411">
        <v>1.5</v>
      </c>
      <c r="Q2071" s="411">
        <v>0</v>
      </c>
      <c r="R2071" s="411">
        <v>1</v>
      </c>
      <c r="S2071" s="411">
        <v>1</v>
      </c>
      <c r="T2071" s="411">
        <v>1</v>
      </c>
      <c r="U2071" s="411">
        <v>1</v>
      </c>
      <c r="V2071" s="411">
        <v>6</v>
      </c>
      <c r="W2071" s="411">
        <v>4</v>
      </c>
      <c r="X2071" s="411">
        <v>1</v>
      </c>
      <c r="Y2071" s="42">
        <v>-0.1</v>
      </c>
      <c r="Z2071" s="411">
        <v>0</v>
      </c>
      <c r="AA2071" s="411"/>
      <c r="AB2071" s="511"/>
      <c r="AC2071" s="411"/>
      <c r="AD2071" s="411"/>
      <c r="AE2071" s="411"/>
      <c r="AF2071" s="411"/>
      <c r="AG2071" s="411"/>
      <c r="AH2071" s="411"/>
      <c r="AI2071" s="411"/>
      <c r="AJ2071" s="411"/>
      <c r="AK2071" s="411"/>
      <c r="AL2071" s="411"/>
      <c r="AM2071" s="411"/>
      <c r="AN2071" s="411">
        <v>3604</v>
      </c>
      <c r="AO2071" s="411" t="s">
        <v>966</v>
      </c>
      <c r="AP2071" s="411">
        <v>3603</v>
      </c>
      <c r="AQ2071" s="411" t="s">
        <v>136</v>
      </c>
      <c r="AR2071" s="411"/>
      <c r="AS2071" s="411"/>
      <c r="AT2071" s="411"/>
      <c r="AU2071" s="411"/>
      <c r="AV2071" s="411"/>
      <c r="AW2071" s="411"/>
      <c r="AX2071" s="411"/>
      <c r="BA2071" s="411"/>
      <c r="BB2071" s="411"/>
      <c r="BC2071" s="411"/>
    </row>
    <row r="2072" s="76" customFormat="1" spans="1:55">
      <c r="A2072" s="411">
        <v>10662</v>
      </c>
      <c r="B2072" s="411" t="s">
        <v>6974</v>
      </c>
      <c r="C2072" s="411" t="s">
        <v>526</v>
      </c>
      <c r="D2072" s="411">
        <v>1</v>
      </c>
      <c r="E2072" s="411">
        <v>0</v>
      </c>
      <c r="F2072" s="411"/>
      <c r="G2072" s="411">
        <v>1</v>
      </c>
      <c r="H2072" s="245" t="s">
        <v>6975</v>
      </c>
      <c r="I2072" s="511">
        <f>37/30</f>
        <v>1.23333333333333</v>
      </c>
      <c r="J2072" s="511">
        <f>37/30</f>
        <v>1.23333333333333</v>
      </c>
      <c r="K2072" s="411"/>
      <c r="L2072" s="411">
        <v>0</v>
      </c>
      <c r="M2072" s="76">
        <v>0.83333333333333</v>
      </c>
      <c r="N2072" s="76" t="s">
        <v>6976</v>
      </c>
      <c r="O2072" s="411">
        <v>1</v>
      </c>
      <c r="P2072" s="411">
        <v>0.5</v>
      </c>
      <c r="Q2072" s="411">
        <v>0</v>
      </c>
      <c r="R2072" s="411"/>
      <c r="S2072" s="411">
        <v>1.4</v>
      </c>
      <c r="T2072" s="411"/>
      <c r="U2072" s="411">
        <v>0.8</v>
      </c>
      <c r="V2072" s="411">
        <v>1</v>
      </c>
      <c r="W2072" s="411">
        <v>0</v>
      </c>
      <c r="X2072" s="411">
        <v>1</v>
      </c>
      <c r="Y2072" s="42">
        <v>-0.1</v>
      </c>
      <c r="Z2072" s="411">
        <v>0</v>
      </c>
      <c r="AA2072" s="411"/>
      <c r="AB2072" s="511"/>
      <c r="AC2072" s="411"/>
      <c r="AD2072" s="411"/>
      <c r="AE2072" s="411"/>
      <c r="AF2072" s="411"/>
      <c r="AG2072" s="411"/>
      <c r="AH2072" s="411"/>
      <c r="AI2072" s="411"/>
      <c r="AJ2072" s="411"/>
      <c r="AK2072" s="411"/>
      <c r="AL2072" s="411"/>
      <c r="AM2072" s="411"/>
      <c r="AN2072" s="411"/>
      <c r="AO2072" s="411"/>
      <c r="AP2072" s="411">
        <v>3606</v>
      </c>
      <c r="AQ2072" s="411" t="s">
        <v>136</v>
      </c>
      <c r="AR2072" s="411"/>
      <c r="AS2072" s="411"/>
      <c r="AT2072" s="411"/>
      <c r="AU2072" s="411"/>
      <c r="AV2072" s="411"/>
      <c r="AW2072" s="411"/>
      <c r="AX2072" s="411"/>
      <c r="BA2072" s="411"/>
      <c r="BB2072" s="411"/>
      <c r="BC2072" s="411"/>
    </row>
    <row r="2073" s="76" customFormat="1" spans="1:55">
      <c r="A2073" s="411">
        <v>10663</v>
      </c>
      <c r="B2073" s="411" t="s">
        <v>6977</v>
      </c>
      <c r="C2073" s="411" t="s">
        <v>526</v>
      </c>
      <c r="D2073" s="411">
        <v>1</v>
      </c>
      <c r="E2073" s="411">
        <v>0</v>
      </c>
      <c r="F2073" s="411"/>
      <c r="G2073" s="411">
        <v>1</v>
      </c>
      <c r="H2073" s="245" t="s">
        <v>6978</v>
      </c>
      <c r="I2073" s="511">
        <f>28/30</f>
        <v>0.933333333333333</v>
      </c>
      <c r="J2073" s="511">
        <f>28/30</f>
        <v>0.933333333333333</v>
      </c>
      <c r="K2073" s="411"/>
      <c r="L2073" s="411">
        <v>0</v>
      </c>
      <c r="M2073" s="31">
        <f t="shared" si="202"/>
        <v>0.533333333333333</v>
      </c>
      <c r="N2073" s="76" t="s">
        <v>6979</v>
      </c>
      <c r="O2073" s="411">
        <v>1</v>
      </c>
      <c r="P2073" s="411">
        <v>0.5</v>
      </c>
      <c r="Q2073" s="411">
        <v>0</v>
      </c>
      <c r="R2073" s="411"/>
      <c r="S2073" s="411">
        <v>1.4</v>
      </c>
      <c r="T2073" s="411"/>
      <c r="U2073" s="411">
        <v>0.8</v>
      </c>
      <c r="V2073" s="411">
        <v>1</v>
      </c>
      <c r="W2073" s="411">
        <v>0</v>
      </c>
      <c r="X2073" s="411">
        <v>1</v>
      </c>
      <c r="Y2073" s="42">
        <v>-0.1</v>
      </c>
      <c r="Z2073" s="411">
        <v>0</v>
      </c>
      <c r="AA2073" s="411"/>
      <c r="AB2073" s="511"/>
      <c r="AC2073" s="411"/>
      <c r="AD2073" s="411"/>
      <c r="AE2073" s="411"/>
      <c r="AF2073" s="411"/>
      <c r="AG2073" s="411"/>
      <c r="AH2073" s="411"/>
      <c r="AI2073" s="411"/>
      <c r="AJ2073" s="411"/>
      <c r="AK2073" s="411"/>
      <c r="AL2073" s="411"/>
      <c r="AM2073" s="411"/>
      <c r="AN2073" s="411"/>
      <c r="AO2073" s="411"/>
      <c r="AP2073" s="411">
        <v>3607</v>
      </c>
      <c r="AQ2073" s="411" t="s">
        <v>136</v>
      </c>
      <c r="AR2073" s="411"/>
      <c r="AS2073" s="411"/>
      <c r="AT2073" s="411"/>
      <c r="AU2073" s="411"/>
      <c r="AV2073" s="411"/>
      <c r="AW2073" s="411"/>
      <c r="AX2073" s="411"/>
      <c r="BA2073" s="411"/>
      <c r="BB2073" s="411"/>
      <c r="BC2073" s="411"/>
    </row>
    <row r="2074" s="76" customFormat="1" spans="1:55">
      <c r="A2074" s="411">
        <v>10664</v>
      </c>
      <c r="B2074" s="411" t="s">
        <v>6980</v>
      </c>
      <c r="C2074" s="411" t="s">
        <v>526</v>
      </c>
      <c r="D2074" s="411">
        <v>1</v>
      </c>
      <c r="E2074" s="411">
        <v>0</v>
      </c>
      <c r="F2074" s="411"/>
      <c r="G2074" s="411">
        <v>1</v>
      </c>
      <c r="H2074" s="245" t="s">
        <v>6981</v>
      </c>
      <c r="I2074" s="511">
        <f>43/30</f>
        <v>1.43333333333333</v>
      </c>
      <c r="J2074" s="511">
        <f>43/30</f>
        <v>1.43333333333333</v>
      </c>
      <c r="K2074" s="411"/>
      <c r="L2074" s="411">
        <v>0</v>
      </c>
      <c r="M2074" s="31">
        <f t="shared" si="202"/>
        <v>1.03333333333333</v>
      </c>
      <c r="N2074" s="76" t="s">
        <v>6982</v>
      </c>
      <c r="O2074" s="411">
        <v>1</v>
      </c>
      <c r="P2074" s="411">
        <v>1.2</v>
      </c>
      <c r="Q2074" s="411">
        <v>0</v>
      </c>
      <c r="R2074" s="411"/>
      <c r="S2074" s="411">
        <v>1.4</v>
      </c>
      <c r="T2074" s="411"/>
      <c r="U2074" s="411">
        <v>0.8</v>
      </c>
      <c r="V2074" s="411">
        <v>1</v>
      </c>
      <c r="W2074" s="411">
        <v>0</v>
      </c>
      <c r="X2074" s="411">
        <v>1</v>
      </c>
      <c r="Y2074" s="42">
        <v>-0.1</v>
      </c>
      <c r="Z2074" s="411">
        <v>0</v>
      </c>
      <c r="AA2074" s="411"/>
      <c r="AB2074" s="511"/>
      <c r="AC2074" s="411"/>
      <c r="AD2074" s="411"/>
      <c r="AE2074" s="411"/>
      <c r="AF2074" s="411"/>
      <c r="AG2074" s="411"/>
      <c r="AH2074" s="411"/>
      <c r="AI2074" s="411"/>
      <c r="AJ2074" s="411"/>
      <c r="AK2074" s="411"/>
      <c r="AL2074" s="411"/>
      <c r="AM2074" s="411"/>
      <c r="AN2074" s="411"/>
      <c r="AO2074" s="411"/>
      <c r="AP2074" s="411">
        <v>3608</v>
      </c>
      <c r="AQ2074" s="411" t="s">
        <v>136</v>
      </c>
      <c r="AR2074" s="411"/>
      <c r="AS2074" s="411"/>
      <c r="AT2074" s="411"/>
      <c r="AU2074" s="411"/>
      <c r="AV2074" s="411"/>
      <c r="AW2074" s="411"/>
      <c r="AX2074" s="411"/>
      <c r="BA2074" s="411"/>
      <c r="BB2074" s="411"/>
      <c r="BC2074" s="411"/>
    </row>
    <row r="2075" s="76" customFormat="1" spans="1:55">
      <c r="A2075" s="411">
        <v>10665</v>
      </c>
      <c r="B2075" s="411" t="s">
        <v>6983</v>
      </c>
      <c r="C2075" s="411" t="s">
        <v>526</v>
      </c>
      <c r="D2075" s="411">
        <v>1</v>
      </c>
      <c r="E2075" s="411">
        <v>0</v>
      </c>
      <c r="F2075" s="411"/>
      <c r="G2075" s="411">
        <v>1</v>
      </c>
      <c r="H2075" s="245" t="s">
        <v>6984</v>
      </c>
      <c r="I2075" s="511">
        <f>43/30</f>
        <v>1.43333333333333</v>
      </c>
      <c r="J2075" s="511">
        <f>43/30</f>
        <v>1.43333333333333</v>
      </c>
      <c r="K2075" s="411"/>
      <c r="L2075" s="411">
        <v>0</v>
      </c>
      <c r="M2075" s="31">
        <f t="shared" si="202"/>
        <v>1.03333333333333</v>
      </c>
      <c r="N2075" s="76" t="s">
        <v>6985</v>
      </c>
      <c r="O2075" s="411">
        <v>1</v>
      </c>
      <c r="P2075" s="411">
        <v>0.5</v>
      </c>
      <c r="Q2075" s="411">
        <v>0</v>
      </c>
      <c r="R2075" s="411"/>
      <c r="S2075" s="411">
        <v>1.4</v>
      </c>
      <c r="T2075" s="411"/>
      <c r="U2075" s="411">
        <v>0.8</v>
      </c>
      <c r="V2075" s="411">
        <v>1</v>
      </c>
      <c r="W2075" s="411">
        <v>0</v>
      </c>
      <c r="X2075" s="411">
        <v>1</v>
      </c>
      <c r="Y2075" s="42">
        <v>-0.1</v>
      </c>
      <c r="Z2075" s="411">
        <v>0</v>
      </c>
      <c r="AA2075" s="411"/>
      <c r="AB2075" s="511"/>
      <c r="AC2075" s="411"/>
      <c r="AD2075" s="411"/>
      <c r="AE2075" s="411"/>
      <c r="AF2075" s="411"/>
      <c r="AG2075" s="411"/>
      <c r="AH2075" s="411"/>
      <c r="AI2075" s="411"/>
      <c r="AJ2075" s="411"/>
      <c r="AK2075" s="411"/>
      <c r="AL2075" s="411"/>
      <c r="AM2075" s="411"/>
      <c r="AN2075" s="411"/>
      <c r="AO2075" s="411"/>
      <c r="AP2075" s="411">
        <v>3609</v>
      </c>
      <c r="AQ2075" s="411" t="s">
        <v>136</v>
      </c>
      <c r="AR2075" s="411"/>
      <c r="AS2075" s="411"/>
      <c r="AT2075" s="411"/>
      <c r="AU2075" s="411"/>
      <c r="AV2075" s="411"/>
      <c r="AW2075" s="411"/>
      <c r="AX2075" s="411"/>
      <c r="BA2075" s="411"/>
      <c r="BB2075" s="411"/>
      <c r="BC2075" s="411"/>
    </row>
    <row r="2076" s="76" customFormat="1" spans="1:55">
      <c r="A2076" s="411">
        <v>10666</v>
      </c>
      <c r="B2076" s="411" t="s">
        <v>6986</v>
      </c>
      <c r="C2076" s="411" t="s">
        <v>526</v>
      </c>
      <c r="D2076" s="411">
        <v>1</v>
      </c>
      <c r="E2076" s="411">
        <v>0</v>
      </c>
      <c r="F2076" s="411"/>
      <c r="G2076" s="411">
        <v>2</v>
      </c>
      <c r="H2076" s="245" t="s">
        <v>6987</v>
      </c>
      <c r="I2076" s="511">
        <f>49/30</f>
        <v>1.63333333333333</v>
      </c>
      <c r="J2076" s="511">
        <f>49/30</f>
        <v>1.63333333333333</v>
      </c>
      <c r="K2076" s="411"/>
      <c r="L2076" s="411">
        <v>0</v>
      </c>
      <c r="M2076" s="31">
        <f t="shared" si="202"/>
        <v>1.23333333333333</v>
      </c>
      <c r="N2076" s="411" t="s">
        <v>6988</v>
      </c>
      <c r="O2076" s="411">
        <v>0</v>
      </c>
      <c r="P2076" s="411">
        <v>0</v>
      </c>
      <c r="Q2076" s="411">
        <v>1</v>
      </c>
      <c r="R2076" s="411"/>
      <c r="S2076" s="411"/>
      <c r="T2076" s="411"/>
      <c r="U2076" s="411"/>
      <c r="V2076" s="411">
        <v>5</v>
      </c>
      <c r="W2076" s="411">
        <v>5</v>
      </c>
      <c r="X2076" s="411">
        <v>2</v>
      </c>
      <c r="Y2076" s="42">
        <v>-0.1</v>
      </c>
      <c r="Z2076" s="411">
        <v>0</v>
      </c>
      <c r="AA2076" s="411"/>
      <c r="AB2076" s="511"/>
      <c r="AC2076" s="411"/>
      <c r="AD2076" s="411"/>
      <c r="AE2076" s="411"/>
      <c r="AF2076" s="411"/>
      <c r="AG2076" s="411"/>
      <c r="AH2076" s="411"/>
      <c r="AI2076" s="411"/>
      <c r="AJ2076" s="411"/>
      <c r="AK2076" s="411"/>
      <c r="AL2076" s="411"/>
      <c r="AM2076" s="411"/>
      <c r="AN2076" s="411" t="s">
        <v>6989</v>
      </c>
      <c r="AO2076" s="411" t="s">
        <v>2127</v>
      </c>
      <c r="AP2076" s="411"/>
      <c r="AQ2076" s="411"/>
      <c r="AR2076" s="411"/>
      <c r="AS2076" s="411"/>
      <c r="AT2076" s="411"/>
      <c r="AU2076" s="411"/>
      <c r="AV2076" s="411"/>
      <c r="AW2076" s="411"/>
      <c r="AX2076" s="411"/>
      <c r="BA2076" s="411"/>
      <c r="BB2076" s="411"/>
      <c r="BC2076" s="411"/>
    </row>
    <row r="2077" s="76" customFormat="1" spans="1:55">
      <c r="A2077" s="411">
        <v>10667</v>
      </c>
      <c r="B2077" s="411" t="s">
        <v>6986</v>
      </c>
      <c r="C2077" s="411" t="s">
        <v>6990</v>
      </c>
      <c r="D2077" s="411">
        <v>1</v>
      </c>
      <c r="E2077" s="411">
        <v>0</v>
      </c>
      <c r="F2077" s="411"/>
      <c r="G2077" s="411">
        <v>2</v>
      </c>
      <c r="H2077" s="245" t="s">
        <v>6991</v>
      </c>
      <c r="I2077" s="511">
        <f>50/30</f>
        <v>1.66666666666667</v>
      </c>
      <c r="J2077" s="511">
        <f>50/30</f>
        <v>1.66666666666667</v>
      </c>
      <c r="K2077" s="411"/>
      <c r="L2077" s="411">
        <v>1</v>
      </c>
      <c r="M2077" s="31">
        <f t="shared" si="202"/>
        <v>1.26666666666667</v>
      </c>
      <c r="N2077" s="411" t="s">
        <v>6992</v>
      </c>
      <c r="O2077" s="411">
        <v>0</v>
      </c>
      <c r="P2077" s="411">
        <v>0</v>
      </c>
      <c r="Q2077" s="411">
        <v>1</v>
      </c>
      <c r="R2077" s="411"/>
      <c r="S2077" s="411"/>
      <c r="T2077" s="411"/>
      <c r="U2077" s="411"/>
      <c r="V2077" s="411">
        <v>5</v>
      </c>
      <c r="W2077" s="411">
        <v>5</v>
      </c>
      <c r="X2077" s="411">
        <v>1</v>
      </c>
      <c r="Y2077" s="42">
        <v>-0.1</v>
      </c>
      <c r="Z2077" s="411">
        <v>0</v>
      </c>
      <c r="AA2077" s="411"/>
      <c r="AB2077" s="511"/>
      <c r="AC2077" s="411"/>
      <c r="AD2077" s="411"/>
      <c r="AE2077" s="411"/>
      <c r="AF2077" s="411"/>
      <c r="AG2077" s="411"/>
      <c r="AH2077" s="411"/>
      <c r="AI2077" s="411"/>
      <c r="AJ2077" s="411"/>
      <c r="AK2077" s="411"/>
      <c r="AL2077" s="411"/>
      <c r="AM2077" s="411"/>
      <c r="AN2077" s="411">
        <v>3804</v>
      </c>
      <c r="AO2077" s="411" t="s">
        <v>6993</v>
      </c>
      <c r="AP2077" s="411">
        <v>3803</v>
      </c>
      <c r="AQ2077" s="411" t="s">
        <v>3483</v>
      </c>
      <c r="AR2077" s="411"/>
      <c r="AS2077" s="411"/>
      <c r="AT2077" s="411"/>
      <c r="AU2077" s="411"/>
      <c r="AV2077" s="411"/>
      <c r="AW2077" s="411"/>
      <c r="AX2077" s="411"/>
      <c r="BA2077" s="411"/>
      <c r="BB2077" s="411"/>
      <c r="BC2077" s="411"/>
    </row>
    <row r="2078" s="76" customFormat="1" spans="1:55">
      <c r="A2078" s="411">
        <v>10668</v>
      </c>
      <c r="B2078" s="411" t="s">
        <v>6986</v>
      </c>
      <c r="C2078" s="411" t="s">
        <v>6994</v>
      </c>
      <c r="D2078" s="411">
        <v>1</v>
      </c>
      <c r="E2078" s="411">
        <v>0</v>
      </c>
      <c r="F2078" s="411"/>
      <c r="G2078" s="411">
        <v>1</v>
      </c>
      <c r="H2078" s="245" t="s">
        <v>6995</v>
      </c>
      <c r="I2078" s="511">
        <f>141/30</f>
        <v>4.7</v>
      </c>
      <c r="J2078" s="511">
        <f>141/30</f>
        <v>4.7</v>
      </c>
      <c r="K2078" s="411"/>
      <c r="L2078" s="411">
        <v>1</v>
      </c>
      <c r="M2078" s="31">
        <f t="shared" si="202"/>
        <v>4.3</v>
      </c>
      <c r="N2078" s="411" t="s">
        <v>6996</v>
      </c>
      <c r="O2078" s="411">
        <v>3</v>
      </c>
      <c r="P2078" s="411">
        <v>-20</v>
      </c>
      <c r="Q2078" s="411">
        <v>1</v>
      </c>
      <c r="R2078" s="411"/>
      <c r="S2078" s="411"/>
      <c r="T2078" s="411"/>
      <c r="U2078" s="411"/>
      <c r="V2078" s="411">
        <v>6</v>
      </c>
      <c r="W2078" s="411">
        <v>6</v>
      </c>
      <c r="X2078" s="411">
        <v>1</v>
      </c>
      <c r="Y2078" s="42">
        <v>-0.1</v>
      </c>
      <c r="Z2078" s="411">
        <v>0</v>
      </c>
      <c r="AA2078" s="411"/>
      <c r="AB2078" s="511">
        <f>141/30-0.3</f>
        <v>4.4</v>
      </c>
      <c r="AC2078" s="411">
        <v>2</v>
      </c>
      <c r="AD2078" s="411">
        <v>1</v>
      </c>
      <c r="AE2078" s="411" t="s">
        <v>6997</v>
      </c>
      <c r="AF2078" s="411">
        <v>0.5</v>
      </c>
      <c r="AG2078" s="411"/>
      <c r="AH2078" s="411"/>
      <c r="AI2078" s="411"/>
      <c r="AJ2078" s="411"/>
      <c r="AK2078" s="411"/>
      <c r="AL2078" s="411"/>
      <c r="AM2078" s="411"/>
      <c r="AN2078" s="411"/>
      <c r="AO2078" s="411"/>
      <c r="AP2078" s="411">
        <v>3807</v>
      </c>
      <c r="AQ2078" s="411" t="s">
        <v>136</v>
      </c>
      <c r="AR2078" s="411"/>
      <c r="AS2078" s="411"/>
      <c r="AT2078" s="411"/>
      <c r="AU2078" s="411">
        <v>1</v>
      </c>
      <c r="AV2078" s="411"/>
      <c r="AW2078" s="411"/>
      <c r="AX2078" s="411"/>
      <c r="BA2078" s="411"/>
      <c r="BB2078" s="411"/>
      <c r="BC2078" s="411"/>
    </row>
    <row r="2079" s="76" customFormat="1" spans="1:55">
      <c r="A2079" s="411">
        <v>10669</v>
      </c>
      <c r="B2079" s="411" t="s">
        <v>6998</v>
      </c>
      <c r="C2079" s="411" t="s">
        <v>526</v>
      </c>
      <c r="D2079" s="411">
        <v>1</v>
      </c>
      <c r="E2079" s="411">
        <v>0</v>
      </c>
      <c r="F2079" s="411"/>
      <c r="G2079" s="411">
        <v>1</v>
      </c>
      <c r="H2079" s="245" t="s">
        <v>6999</v>
      </c>
      <c r="I2079" s="511">
        <f>40/30</f>
        <v>1.33333333333333</v>
      </c>
      <c r="J2079" s="511">
        <f>40/30</f>
        <v>1.33333333333333</v>
      </c>
      <c r="K2079" s="411"/>
      <c r="L2079" s="411">
        <v>0</v>
      </c>
      <c r="M2079" s="76">
        <v>0.93333333333333</v>
      </c>
      <c r="N2079" s="411" t="s">
        <v>7000</v>
      </c>
      <c r="O2079" s="411">
        <v>1</v>
      </c>
      <c r="P2079" s="411">
        <v>3</v>
      </c>
      <c r="Q2079" s="411">
        <v>0</v>
      </c>
      <c r="R2079" s="411"/>
      <c r="S2079" s="411">
        <v>0.5</v>
      </c>
      <c r="T2079" s="411"/>
      <c r="U2079" s="411"/>
      <c r="V2079" s="411">
        <v>1</v>
      </c>
      <c r="W2079" s="411">
        <v>0</v>
      </c>
      <c r="X2079" s="411">
        <v>1</v>
      </c>
      <c r="Y2079" s="42">
        <v>-0.1</v>
      </c>
      <c r="Z2079" s="411">
        <v>0</v>
      </c>
      <c r="AA2079" s="411"/>
      <c r="AB2079" s="511"/>
      <c r="AC2079" s="411"/>
      <c r="AD2079" s="411"/>
      <c r="AE2079" s="411"/>
      <c r="AF2079" s="411"/>
      <c r="AG2079" s="411"/>
      <c r="AH2079" s="411"/>
      <c r="AI2079" s="411"/>
      <c r="AJ2079" s="411"/>
      <c r="AK2079" s="411"/>
      <c r="AL2079" s="411"/>
      <c r="AM2079" s="411"/>
      <c r="AP2079" s="411">
        <v>3793</v>
      </c>
      <c r="AQ2079" s="411" t="s">
        <v>136</v>
      </c>
      <c r="AR2079" s="411"/>
      <c r="AS2079" s="411"/>
      <c r="AT2079" s="411"/>
      <c r="AU2079" s="411"/>
      <c r="AV2079" s="411"/>
      <c r="AW2079" s="411"/>
      <c r="AX2079" s="411"/>
      <c r="BA2079" s="411"/>
      <c r="BB2079" s="411"/>
      <c r="BC2079" s="411"/>
    </row>
    <row r="2080" s="76" customFormat="1" spans="1:55">
      <c r="A2080" s="411">
        <v>10670</v>
      </c>
      <c r="B2080" s="411" t="s">
        <v>6998</v>
      </c>
      <c r="C2080" s="411" t="s">
        <v>7001</v>
      </c>
      <c r="D2080" s="411">
        <v>1</v>
      </c>
      <c r="E2080" s="411">
        <v>0</v>
      </c>
      <c r="F2080" s="411"/>
      <c r="G2080" s="411">
        <v>1</v>
      </c>
      <c r="H2080" s="245" t="s">
        <v>7002</v>
      </c>
      <c r="I2080" s="511">
        <f>72/30</f>
        <v>2.4</v>
      </c>
      <c r="J2080" s="511">
        <f>72/30</f>
        <v>2.4</v>
      </c>
      <c r="K2080" s="411"/>
      <c r="L2080" s="411">
        <v>1</v>
      </c>
      <c r="M2080" s="31">
        <f t="shared" si="202"/>
        <v>2</v>
      </c>
      <c r="N2080" s="411" t="s">
        <v>7003</v>
      </c>
      <c r="O2080" s="411">
        <v>1</v>
      </c>
      <c r="P2080" s="411">
        <v>3</v>
      </c>
      <c r="Q2080" s="411">
        <v>0</v>
      </c>
      <c r="R2080" s="411"/>
      <c r="S2080" s="411">
        <v>2</v>
      </c>
      <c r="T2080" s="411"/>
      <c r="U2080" s="411">
        <v>1</v>
      </c>
      <c r="V2080" s="411">
        <v>6</v>
      </c>
      <c r="W2080" s="411">
        <v>6</v>
      </c>
      <c r="X2080" s="411">
        <v>3</v>
      </c>
      <c r="Y2080" s="42">
        <v>-0.1</v>
      </c>
      <c r="Z2080" s="411">
        <v>0</v>
      </c>
      <c r="AA2080" s="411"/>
      <c r="AB2080" s="511"/>
      <c r="AC2080" s="411"/>
      <c r="AD2080" s="411"/>
      <c r="AE2080" s="411"/>
      <c r="AF2080" s="411"/>
      <c r="AG2080" s="411"/>
      <c r="AH2080" s="411"/>
      <c r="AI2080" s="411"/>
      <c r="AJ2080" s="411"/>
      <c r="AK2080" s="411"/>
      <c r="AL2080" s="411"/>
      <c r="AM2080" s="411"/>
      <c r="AN2080" s="411">
        <v>3794</v>
      </c>
      <c r="AO2080" s="411" t="s">
        <v>3070</v>
      </c>
      <c r="AP2080" s="411">
        <v>3796</v>
      </c>
      <c r="AQ2080" s="411" t="s">
        <v>136</v>
      </c>
      <c r="AR2080" s="411"/>
      <c r="AS2080" s="411"/>
      <c r="AT2080" s="411"/>
      <c r="AU2080" s="411"/>
      <c r="AV2080" s="411"/>
      <c r="AW2080" s="411"/>
      <c r="AX2080" s="411"/>
      <c r="BA2080" s="411"/>
      <c r="BB2080" s="411"/>
      <c r="BC2080" s="411"/>
    </row>
    <row r="2081" s="76" customFormat="1" ht="17" customHeight="1" spans="1:55">
      <c r="A2081" s="411">
        <v>10671</v>
      </c>
      <c r="B2081" s="411" t="s">
        <v>6998</v>
      </c>
      <c r="C2081" s="411" t="s">
        <v>7004</v>
      </c>
      <c r="D2081" s="411">
        <v>1</v>
      </c>
      <c r="E2081" s="411">
        <v>0</v>
      </c>
      <c r="F2081" s="411"/>
      <c r="G2081" s="411">
        <v>1</v>
      </c>
      <c r="H2081" s="245" t="s">
        <v>7005</v>
      </c>
      <c r="I2081" s="511">
        <f>154/30</f>
        <v>5.13333333333333</v>
      </c>
      <c r="J2081" s="511">
        <f>154/30</f>
        <v>5.13333333333333</v>
      </c>
      <c r="K2081" s="411"/>
      <c r="L2081" s="411">
        <v>1</v>
      </c>
      <c r="M2081" s="31">
        <f t="shared" si="202"/>
        <v>4.73333333333333</v>
      </c>
      <c r="N2081" s="700" t="s">
        <v>7006</v>
      </c>
      <c r="O2081" s="411">
        <v>1</v>
      </c>
      <c r="P2081" s="411">
        <v>3</v>
      </c>
      <c r="Q2081" s="411">
        <v>0</v>
      </c>
      <c r="R2081" s="411"/>
      <c r="S2081" s="411"/>
      <c r="T2081" s="411"/>
      <c r="U2081" s="411"/>
      <c r="V2081" s="411">
        <v>1</v>
      </c>
      <c r="W2081" s="411">
        <v>0</v>
      </c>
      <c r="X2081" s="411">
        <v>1</v>
      </c>
      <c r="Y2081" s="42">
        <v>-0.1</v>
      </c>
      <c r="Z2081" s="411">
        <v>0</v>
      </c>
      <c r="AA2081" s="411"/>
      <c r="AB2081" s="511">
        <f>154/30-0.3</f>
        <v>4.83333333333333</v>
      </c>
      <c r="AC2081" s="411">
        <v>2</v>
      </c>
      <c r="AD2081" s="411">
        <v>1</v>
      </c>
      <c r="AE2081" s="411" t="s">
        <v>7007</v>
      </c>
      <c r="AF2081" s="411">
        <v>0.5</v>
      </c>
      <c r="AG2081" s="411"/>
      <c r="AH2081" s="411"/>
      <c r="AI2081" s="411"/>
      <c r="AJ2081" s="411"/>
      <c r="AK2081" s="411"/>
      <c r="AL2081" s="411"/>
      <c r="AM2081" s="411"/>
      <c r="AN2081" s="411"/>
      <c r="AO2081" s="411"/>
      <c r="AP2081" s="411">
        <v>3798</v>
      </c>
      <c r="AQ2081" s="411" t="s">
        <v>136</v>
      </c>
      <c r="AR2081" s="411"/>
      <c r="AS2081" s="411"/>
      <c r="AT2081" s="411"/>
      <c r="AU2081" s="411">
        <v>1</v>
      </c>
      <c r="AV2081" s="411"/>
      <c r="AW2081" s="411"/>
      <c r="AX2081" s="411"/>
      <c r="BA2081" s="411"/>
      <c r="BB2081" s="411"/>
      <c r="BC2081" s="411"/>
    </row>
    <row r="2082" s="76" customFormat="1" ht="16" customHeight="1" spans="1:55">
      <c r="A2082" s="411">
        <v>10672</v>
      </c>
      <c r="B2082" s="411" t="s">
        <v>7008</v>
      </c>
      <c r="C2082" s="411" t="s">
        <v>526</v>
      </c>
      <c r="D2082" s="411">
        <v>1</v>
      </c>
      <c r="E2082" s="411">
        <v>0</v>
      </c>
      <c r="F2082" s="411"/>
      <c r="G2082" s="411">
        <v>1</v>
      </c>
      <c r="H2082" s="245" t="s">
        <v>7009</v>
      </c>
      <c r="I2082" s="511">
        <v>2</v>
      </c>
      <c r="J2082" s="511">
        <v>2</v>
      </c>
      <c r="K2082" s="411"/>
      <c r="L2082" s="411">
        <v>0</v>
      </c>
      <c r="M2082" s="31">
        <f t="shared" si="202"/>
        <v>1.6</v>
      </c>
      <c r="N2082" s="411" t="s">
        <v>7010</v>
      </c>
      <c r="O2082" s="411">
        <v>1</v>
      </c>
      <c r="P2082" s="411">
        <v>2.3</v>
      </c>
      <c r="Q2082" s="411">
        <v>0</v>
      </c>
      <c r="R2082" s="411"/>
      <c r="S2082" s="411">
        <v>0.5</v>
      </c>
      <c r="T2082" s="411">
        <v>1</v>
      </c>
      <c r="U2082" s="411">
        <v>0.7</v>
      </c>
      <c r="V2082" s="411">
        <v>1</v>
      </c>
      <c r="W2082" s="411">
        <v>0</v>
      </c>
      <c r="X2082" s="411">
        <v>2</v>
      </c>
      <c r="Y2082" s="42">
        <v>-0.1</v>
      </c>
      <c r="Z2082" s="411">
        <v>0</v>
      </c>
      <c r="AA2082" s="411"/>
      <c r="AB2082" s="511"/>
      <c r="AC2082" s="411"/>
      <c r="AD2082" s="411"/>
      <c r="AE2082" s="411"/>
      <c r="AF2082" s="411"/>
      <c r="AG2082" s="411"/>
      <c r="AH2082" s="411"/>
      <c r="AI2082" s="411"/>
      <c r="AJ2082" s="411"/>
      <c r="AK2082" s="411"/>
      <c r="AL2082" s="411"/>
      <c r="AM2082" s="411"/>
      <c r="AN2082" s="411"/>
      <c r="AO2082" s="411"/>
      <c r="AP2082" s="411">
        <v>3725</v>
      </c>
      <c r="AQ2082" s="411" t="s">
        <v>136</v>
      </c>
      <c r="AR2082" s="411"/>
      <c r="AS2082" s="411"/>
      <c r="AT2082" s="411"/>
      <c r="AU2082" s="411"/>
      <c r="AV2082" s="411"/>
      <c r="AW2082" s="411"/>
      <c r="AX2082" s="411"/>
      <c r="BA2082" s="411"/>
      <c r="BB2082" s="411"/>
      <c r="BC2082" s="411"/>
    </row>
    <row r="2083" s="76" customFormat="1" spans="1:55">
      <c r="A2083" s="411">
        <v>10673</v>
      </c>
      <c r="B2083" s="411" t="s">
        <v>7011</v>
      </c>
      <c r="C2083" s="411" t="s">
        <v>526</v>
      </c>
      <c r="D2083" s="411">
        <v>1</v>
      </c>
      <c r="E2083" s="411">
        <v>0</v>
      </c>
      <c r="F2083" s="411"/>
      <c r="G2083" s="411">
        <v>1</v>
      </c>
      <c r="H2083" s="245" t="s">
        <v>7012</v>
      </c>
      <c r="I2083" s="511">
        <f>103/30</f>
        <v>3.43333333333333</v>
      </c>
      <c r="J2083" s="511">
        <f>103/30</f>
        <v>3.43333333333333</v>
      </c>
      <c r="K2083" s="411"/>
      <c r="L2083" s="411">
        <v>0</v>
      </c>
      <c r="M2083" s="31">
        <f t="shared" si="202"/>
        <v>3.03333333333333</v>
      </c>
      <c r="N2083" s="411" t="s">
        <v>7013</v>
      </c>
      <c r="O2083" s="411">
        <v>1</v>
      </c>
      <c r="P2083" s="411">
        <v>1.7</v>
      </c>
      <c r="Q2083" s="411">
        <v>0</v>
      </c>
      <c r="R2083" s="411"/>
      <c r="S2083" s="411"/>
      <c r="T2083" s="411"/>
      <c r="U2083" s="411">
        <v>1</v>
      </c>
      <c r="V2083" s="411">
        <v>1</v>
      </c>
      <c r="W2083" s="411">
        <v>0</v>
      </c>
      <c r="X2083" s="411">
        <v>4</v>
      </c>
      <c r="Y2083" s="42">
        <v>-0.1</v>
      </c>
      <c r="Z2083" s="411">
        <v>0</v>
      </c>
      <c r="AA2083" s="411"/>
      <c r="AB2083" s="511"/>
      <c r="AC2083" s="411"/>
      <c r="AD2083" s="411"/>
      <c r="AE2083" s="411"/>
      <c r="AF2083" s="411"/>
      <c r="AG2083" s="411"/>
      <c r="AH2083" s="411"/>
      <c r="AI2083" s="411"/>
      <c r="AJ2083" s="411"/>
      <c r="AK2083" s="411"/>
      <c r="AL2083" s="411"/>
      <c r="AM2083" s="411"/>
      <c r="AN2083" s="411"/>
      <c r="AO2083" s="411"/>
      <c r="AP2083" s="411">
        <v>3826</v>
      </c>
      <c r="AQ2083" s="411" t="s">
        <v>136</v>
      </c>
      <c r="AR2083" s="411"/>
      <c r="AS2083" s="411"/>
      <c r="AT2083" s="411"/>
      <c r="AU2083" s="411"/>
      <c r="AV2083" s="411"/>
      <c r="AW2083" s="411"/>
      <c r="AX2083" s="411"/>
      <c r="BA2083" s="411"/>
      <c r="BB2083" s="411"/>
      <c r="BC2083" s="411"/>
    </row>
    <row r="2084" s="76" customFormat="1" ht="15" customHeight="1" spans="1:55">
      <c r="A2084" s="411">
        <v>10674</v>
      </c>
      <c r="B2084" s="411" t="s">
        <v>7011</v>
      </c>
      <c r="C2084" s="411" t="s">
        <v>7014</v>
      </c>
      <c r="D2084" s="411">
        <v>1</v>
      </c>
      <c r="E2084" s="411">
        <v>0</v>
      </c>
      <c r="F2084" s="411"/>
      <c r="G2084" s="411">
        <v>1</v>
      </c>
      <c r="H2084" s="245" t="s">
        <v>7015</v>
      </c>
      <c r="I2084" s="511">
        <f>56/30</f>
        <v>1.86666666666667</v>
      </c>
      <c r="J2084" s="511">
        <f>56/30</f>
        <v>1.86666666666667</v>
      </c>
      <c r="K2084" s="411"/>
      <c r="L2084" s="411">
        <v>1</v>
      </c>
      <c r="M2084" s="31">
        <f t="shared" si="202"/>
        <v>1.46666666666667</v>
      </c>
      <c r="N2084" s="700" t="s">
        <v>7016</v>
      </c>
      <c r="O2084" s="411">
        <v>1</v>
      </c>
      <c r="P2084" s="411">
        <v>1.7</v>
      </c>
      <c r="Q2084" s="411">
        <v>0</v>
      </c>
      <c r="R2084" s="411"/>
      <c r="S2084" s="411"/>
      <c r="T2084" s="411"/>
      <c r="U2084" s="411">
        <v>1</v>
      </c>
      <c r="V2084" s="411">
        <v>1</v>
      </c>
      <c r="W2084" s="411">
        <v>0</v>
      </c>
      <c r="X2084" s="411">
        <v>1</v>
      </c>
      <c r="Y2084" s="42">
        <v>-0.1</v>
      </c>
      <c r="Z2084" s="411">
        <v>0</v>
      </c>
      <c r="AA2084" s="411"/>
      <c r="AB2084" s="511"/>
      <c r="AC2084" s="411"/>
      <c r="AD2084" s="411"/>
      <c r="AE2084" s="411"/>
      <c r="AF2084" s="411"/>
      <c r="AG2084" s="411"/>
      <c r="AH2084" s="411"/>
      <c r="AI2084" s="411"/>
      <c r="AJ2084" s="411"/>
      <c r="AK2084" s="411"/>
      <c r="AL2084" s="411"/>
      <c r="AM2084" s="411"/>
      <c r="AN2084" s="411">
        <v>3829</v>
      </c>
      <c r="AO2084" s="411" t="s">
        <v>4076</v>
      </c>
      <c r="AP2084" s="411">
        <v>3828</v>
      </c>
      <c r="AQ2084" s="411" t="s">
        <v>136</v>
      </c>
      <c r="AR2084" s="411"/>
      <c r="AS2084" s="411"/>
      <c r="AT2084" s="411"/>
      <c r="AU2084" s="411"/>
      <c r="AV2084" s="411"/>
      <c r="AW2084" s="411"/>
      <c r="AX2084" s="411"/>
      <c r="BA2084" s="411"/>
      <c r="BB2084" s="411"/>
      <c r="BC2084" s="411"/>
    </row>
    <row r="2085" s="76" customFormat="1" spans="1:55">
      <c r="A2085" s="411">
        <v>10675</v>
      </c>
      <c r="B2085" s="411" t="s">
        <v>7011</v>
      </c>
      <c r="C2085" s="411" t="s">
        <v>7017</v>
      </c>
      <c r="D2085" s="411">
        <v>1</v>
      </c>
      <c r="E2085" s="411">
        <v>0</v>
      </c>
      <c r="F2085" s="411"/>
      <c r="G2085" s="411">
        <v>1</v>
      </c>
      <c r="H2085" s="245" t="s">
        <v>7018</v>
      </c>
      <c r="I2085" s="511">
        <f>61/30</f>
        <v>2.03333333333333</v>
      </c>
      <c r="J2085" s="511">
        <f>61/30</f>
        <v>2.03333333333333</v>
      </c>
      <c r="K2085" s="411"/>
      <c r="L2085" s="411">
        <v>1</v>
      </c>
      <c r="M2085" s="31">
        <f t="shared" si="202"/>
        <v>1.63333333333333</v>
      </c>
      <c r="N2085" s="411" t="s">
        <v>7019</v>
      </c>
      <c r="O2085" s="411">
        <v>1</v>
      </c>
      <c r="P2085" s="411">
        <v>1.7</v>
      </c>
      <c r="Q2085" s="411">
        <v>0</v>
      </c>
      <c r="R2085" s="411"/>
      <c r="S2085" s="411"/>
      <c r="T2085" s="411"/>
      <c r="U2085" s="411">
        <v>1</v>
      </c>
      <c r="V2085" s="411">
        <v>1</v>
      </c>
      <c r="W2085" s="411">
        <v>0</v>
      </c>
      <c r="X2085" s="411">
        <v>8</v>
      </c>
      <c r="Y2085" s="42">
        <v>-0.1</v>
      </c>
      <c r="Z2085" s="411">
        <v>0</v>
      </c>
      <c r="AA2085" s="411"/>
      <c r="AB2085" s="511"/>
      <c r="AC2085" s="411"/>
      <c r="AD2085" s="411"/>
      <c r="AE2085" s="411"/>
      <c r="AF2085" s="411"/>
      <c r="AG2085" s="411"/>
      <c r="AH2085" s="411"/>
      <c r="AI2085" s="411"/>
      <c r="AJ2085" s="411"/>
      <c r="AK2085" s="411"/>
      <c r="AL2085" s="411"/>
      <c r="AM2085" s="411"/>
      <c r="AN2085" s="411"/>
      <c r="AO2085" s="411"/>
      <c r="AP2085" s="411">
        <v>3831</v>
      </c>
      <c r="AQ2085" s="411" t="s">
        <v>136</v>
      </c>
      <c r="AR2085" s="411"/>
      <c r="AS2085" s="411"/>
      <c r="AT2085" s="411"/>
      <c r="AU2085" s="411"/>
      <c r="AV2085" s="411"/>
      <c r="AW2085" s="411"/>
      <c r="AX2085" s="411"/>
      <c r="BA2085" s="411"/>
      <c r="BB2085" s="411"/>
      <c r="BC2085" s="411"/>
    </row>
    <row r="2086" s="76" customFormat="1" spans="1:55">
      <c r="A2086" s="411">
        <v>10676</v>
      </c>
      <c r="B2086" s="411" t="s">
        <v>7011</v>
      </c>
      <c r="C2086" s="411" t="s">
        <v>7020</v>
      </c>
      <c r="D2086" s="411">
        <v>1</v>
      </c>
      <c r="E2086" s="411">
        <v>0</v>
      </c>
      <c r="F2086" s="411"/>
      <c r="G2086" s="411">
        <v>1</v>
      </c>
      <c r="H2086" s="245" t="s">
        <v>7021</v>
      </c>
      <c r="I2086" s="511">
        <f>174/30</f>
        <v>5.8</v>
      </c>
      <c r="J2086" s="511">
        <f>174/30</f>
        <v>5.8</v>
      </c>
      <c r="K2086" s="411"/>
      <c r="L2086" s="411">
        <v>1</v>
      </c>
      <c r="M2086" s="31">
        <f t="shared" si="202"/>
        <v>5.4</v>
      </c>
      <c r="N2086" s="411" t="s">
        <v>7022</v>
      </c>
      <c r="O2086" s="411">
        <v>3</v>
      </c>
      <c r="P2086" s="411">
        <v>0</v>
      </c>
      <c r="Q2086" s="411">
        <v>0</v>
      </c>
      <c r="R2086" s="411"/>
      <c r="S2086" s="411"/>
      <c r="T2086" s="411"/>
      <c r="U2086" s="411"/>
      <c r="V2086" s="411">
        <v>6</v>
      </c>
      <c r="W2086" s="411">
        <v>6</v>
      </c>
      <c r="X2086" s="411">
        <v>8</v>
      </c>
      <c r="Y2086" s="42">
        <v>-0.1</v>
      </c>
      <c r="Z2086" s="411">
        <v>0</v>
      </c>
      <c r="AA2086" s="411"/>
      <c r="AB2086" s="511">
        <f>174/30-0.3</f>
        <v>5.5</v>
      </c>
      <c r="AC2086" s="411">
        <v>2</v>
      </c>
      <c r="AD2086" s="411">
        <v>1</v>
      </c>
      <c r="AE2086" s="411" t="s">
        <v>7023</v>
      </c>
      <c r="AF2086" s="411">
        <v>0.5</v>
      </c>
      <c r="AG2086" s="411"/>
      <c r="AH2086" s="411"/>
      <c r="AI2086" s="411"/>
      <c r="AJ2086" s="411"/>
      <c r="AK2086" s="411"/>
      <c r="AL2086" s="411"/>
      <c r="AM2086" s="411"/>
      <c r="AN2086" s="411">
        <v>3833</v>
      </c>
      <c r="AO2086" s="411" t="s">
        <v>966</v>
      </c>
      <c r="AP2086" s="411"/>
      <c r="AQ2086" s="411"/>
      <c r="AR2086" s="411"/>
      <c r="AS2086" s="411"/>
      <c r="AT2086" s="411"/>
      <c r="AU2086" s="411">
        <v>1</v>
      </c>
      <c r="AV2086" s="411"/>
      <c r="AW2086" s="411"/>
      <c r="AX2086" s="411"/>
      <c r="BA2086" s="411"/>
      <c r="BB2086" s="411"/>
      <c r="BC2086" s="411"/>
    </row>
    <row r="2087" s="38" customFormat="1" spans="1:43">
      <c r="A2087" s="411">
        <v>10677</v>
      </c>
      <c r="B2087" s="38" t="s">
        <v>7024</v>
      </c>
      <c r="C2087" s="38" t="s">
        <v>526</v>
      </c>
      <c r="D2087" s="38">
        <v>1</v>
      </c>
      <c r="E2087" s="38">
        <v>0</v>
      </c>
      <c r="G2087" s="38">
        <v>1</v>
      </c>
      <c r="H2087" s="325" t="s">
        <v>7025</v>
      </c>
      <c r="I2087" s="38">
        <f>77/30</f>
        <v>2.56666666666667</v>
      </c>
      <c r="J2087" s="38">
        <f>77/30</f>
        <v>2.56666666666667</v>
      </c>
      <c r="L2087" s="38">
        <v>0</v>
      </c>
      <c r="M2087" s="31">
        <f t="shared" ref="M2087:M2111" si="203">I2087-0.4</f>
        <v>2.16666666666667</v>
      </c>
      <c r="N2087" s="343" t="s">
        <v>2369</v>
      </c>
      <c r="O2087" s="38">
        <v>1</v>
      </c>
      <c r="P2087" s="38">
        <v>1.2</v>
      </c>
      <c r="Q2087" s="38">
        <v>0</v>
      </c>
      <c r="S2087" s="38">
        <v>1</v>
      </c>
      <c r="T2087" s="38">
        <v>0.5</v>
      </c>
      <c r="U2087" s="38">
        <v>0.5</v>
      </c>
      <c r="V2087" s="38">
        <v>6</v>
      </c>
      <c r="W2087" s="38">
        <v>0</v>
      </c>
      <c r="X2087" s="344">
        <v>4</v>
      </c>
      <c r="Y2087" s="38">
        <v>-0.1</v>
      </c>
      <c r="Z2087" s="38">
        <v>0</v>
      </c>
      <c r="AN2087" s="351"/>
      <c r="AP2087" s="38">
        <v>2109</v>
      </c>
      <c r="AQ2087" s="38" t="s">
        <v>136</v>
      </c>
    </row>
    <row r="2088" s="38" customFormat="1" spans="1:43">
      <c r="A2088" s="411">
        <v>10678</v>
      </c>
      <c r="B2088" s="38" t="s">
        <v>7024</v>
      </c>
      <c r="C2088" s="38" t="s">
        <v>2370</v>
      </c>
      <c r="D2088" s="38">
        <v>1</v>
      </c>
      <c r="E2088" s="38">
        <v>0</v>
      </c>
      <c r="G2088" s="38">
        <v>1</v>
      </c>
      <c r="H2088" s="325" t="s">
        <v>7026</v>
      </c>
      <c r="I2088" s="38">
        <f>82/30</f>
        <v>2.73333333333333</v>
      </c>
      <c r="J2088" s="38">
        <f>82/30</f>
        <v>2.73333333333333</v>
      </c>
      <c r="L2088" s="38">
        <v>1</v>
      </c>
      <c r="M2088" s="31">
        <f t="shared" si="203"/>
        <v>2.33333333333333</v>
      </c>
      <c r="N2088" s="38" t="s">
        <v>2372</v>
      </c>
      <c r="O2088" s="38">
        <v>1</v>
      </c>
      <c r="P2088" s="38">
        <v>1.2</v>
      </c>
      <c r="Q2088" s="38">
        <v>0</v>
      </c>
      <c r="S2088" s="38">
        <v>1</v>
      </c>
      <c r="T2088" s="38">
        <v>0.5</v>
      </c>
      <c r="U2088" s="38">
        <v>0.5</v>
      </c>
      <c r="V2088" s="38">
        <v>6</v>
      </c>
      <c r="W2088" s="38">
        <v>0</v>
      </c>
      <c r="X2088" s="344">
        <v>6</v>
      </c>
      <c r="Y2088" s="38">
        <v>-0.1</v>
      </c>
      <c r="Z2088" s="38">
        <v>0</v>
      </c>
      <c r="AN2088" s="351">
        <v>2113</v>
      </c>
      <c r="AO2088" s="38" t="s">
        <v>483</v>
      </c>
      <c r="AP2088" s="38">
        <v>2112</v>
      </c>
      <c r="AQ2088" s="38" t="s">
        <v>136</v>
      </c>
    </row>
    <row r="2089" s="38" customFormat="1" spans="1:43">
      <c r="A2089" s="411">
        <v>10679</v>
      </c>
      <c r="B2089" s="38" t="s">
        <v>7024</v>
      </c>
      <c r="C2089" s="38" t="s">
        <v>2373</v>
      </c>
      <c r="D2089" s="38">
        <v>1</v>
      </c>
      <c r="E2089" s="38">
        <v>0</v>
      </c>
      <c r="G2089" s="38">
        <v>1</v>
      </c>
      <c r="H2089" s="325" t="s">
        <v>7027</v>
      </c>
      <c r="I2089" s="38">
        <f>100/30</f>
        <v>3.33333333333333</v>
      </c>
      <c r="J2089" s="38">
        <f>100/30</f>
        <v>3.33333333333333</v>
      </c>
      <c r="L2089" s="38">
        <v>1</v>
      </c>
      <c r="M2089" s="31">
        <f t="shared" si="203"/>
        <v>2.93333333333333</v>
      </c>
      <c r="N2089" s="38" t="s">
        <v>2375</v>
      </c>
      <c r="O2089" s="38">
        <v>1</v>
      </c>
      <c r="P2089" s="38">
        <v>1.2</v>
      </c>
      <c r="Q2089" s="38">
        <v>0</v>
      </c>
      <c r="R2089" s="38">
        <v>1</v>
      </c>
      <c r="S2089" s="38">
        <v>1</v>
      </c>
      <c r="T2089" s="38">
        <v>0.5</v>
      </c>
      <c r="U2089" s="38">
        <v>0.5</v>
      </c>
      <c r="V2089" s="38">
        <v>6</v>
      </c>
      <c r="W2089" s="38">
        <v>0</v>
      </c>
      <c r="X2089" s="344">
        <v>4</v>
      </c>
      <c r="Y2089" s="38">
        <v>-0.1</v>
      </c>
      <c r="Z2089" s="38">
        <v>0</v>
      </c>
      <c r="AN2089" s="351"/>
      <c r="AP2089" s="38">
        <v>2136</v>
      </c>
      <c r="AQ2089" s="38" t="s">
        <v>136</v>
      </c>
    </row>
    <row r="2090" s="38" customFormat="1" spans="1:43">
      <c r="A2090" s="411">
        <v>10680</v>
      </c>
      <c r="B2090" s="38" t="s">
        <v>7024</v>
      </c>
      <c r="C2090" s="38" t="s">
        <v>2376</v>
      </c>
      <c r="D2090" s="38">
        <v>1</v>
      </c>
      <c r="E2090" s="38">
        <v>0</v>
      </c>
      <c r="G2090" s="38">
        <v>1</v>
      </c>
      <c r="H2090" s="325" t="s">
        <v>7028</v>
      </c>
      <c r="I2090" s="38">
        <f>85/30</f>
        <v>2.83333333333333</v>
      </c>
      <c r="J2090" s="38">
        <f>85/30</f>
        <v>2.83333333333333</v>
      </c>
      <c r="L2090" s="38">
        <v>1</v>
      </c>
      <c r="M2090" s="31">
        <f t="shared" si="203"/>
        <v>2.43333333333333</v>
      </c>
      <c r="N2090" s="38" t="s">
        <v>2378</v>
      </c>
      <c r="O2090" s="38">
        <v>1</v>
      </c>
      <c r="P2090" s="38">
        <v>1.2</v>
      </c>
      <c r="Q2090" s="38">
        <v>0</v>
      </c>
      <c r="S2090" s="38">
        <v>0.3</v>
      </c>
      <c r="T2090" s="38">
        <v>0.5</v>
      </c>
      <c r="U2090" s="38">
        <v>1</v>
      </c>
      <c r="V2090" s="38">
        <v>6</v>
      </c>
      <c r="W2090" s="38">
        <v>4</v>
      </c>
      <c r="X2090" s="344">
        <v>4</v>
      </c>
      <c r="Y2090" s="38">
        <v>-0.1</v>
      </c>
      <c r="Z2090" s="38">
        <v>0</v>
      </c>
      <c r="AN2090" s="351"/>
      <c r="AP2090" s="38">
        <v>2115</v>
      </c>
      <c r="AQ2090" s="38" t="s">
        <v>136</v>
      </c>
    </row>
    <row r="2091" s="38" customFormat="1" spans="1:43">
      <c r="A2091" s="411">
        <v>10681</v>
      </c>
      <c r="B2091" s="38" t="s">
        <v>7024</v>
      </c>
      <c r="C2091" s="38" t="s">
        <v>2379</v>
      </c>
      <c r="D2091" s="38">
        <v>1</v>
      </c>
      <c r="E2091" s="38">
        <v>0</v>
      </c>
      <c r="G2091" s="38">
        <v>1</v>
      </c>
      <c r="H2091" s="325" t="s">
        <v>7029</v>
      </c>
      <c r="I2091" s="38">
        <f>80/30</f>
        <v>2.66666666666667</v>
      </c>
      <c r="J2091" s="38">
        <f>80/30</f>
        <v>2.66666666666667</v>
      </c>
      <c r="L2091" s="38">
        <v>1</v>
      </c>
      <c r="M2091" s="31">
        <f t="shared" si="203"/>
        <v>2.26666666666667</v>
      </c>
      <c r="N2091" s="38" t="s">
        <v>2381</v>
      </c>
      <c r="O2091" s="38">
        <v>1</v>
      </c>
      <c r="P2091" s="38">
        <v>1.2</v>
      </c>
      <c r="Q2091" s="38">
        <v>0</v>
      </c>
      <c r="S2091" s="38">
        <v>1</v>
      </c>
      <c r="T2091" s="38">
        <v>0.5</v>
      </c>
      <c r="U2091" s="38">
        <v>0.5</v>
      </c>
      <c r="V2091" s="38">
        <v>6</v>
      </c>
      <c r="W2091" s="38">
        <v>0</v>
      </c>
      <c r="X2091" s="344">
        <v>3</v>
      </c>
      <c r="Y2091" s="38">
        <v>-0.1</v>
      </c>
      <c r="Z2091" s="38">
        <v>0</v>
      </c>
      <c r="AN2091" s="351">
        <v>2118</v>
      </c>
      <c r="AO2091" s="38" t="s">
        <v>489</v>
      </c>
      <c r="AP2091" s="38">
        <v>2117</v>
      </c>
      <c r="AQ2091" s="38" t="s">
        <v>136</v>
      </c>
    </row>
    <row r="2092" s="77" customFormat="1" spans="1:44">
      <c r="A2092" s="450">
        <v>10682</v>
      </c>
      <c r="B2092" s="77" t="s">
        <v>7024</v>
      </c>
      <c r="C2092" s="77" t="s">
        <v>2382</v>
      </c>
      <c r="D2092" s="77">
        <v>1</v>
      </c>
      <c r="E2092" s="77">
        <v>0</v>
      </c>
      <c r="G2092" s="77">
        <v>1</v>
      </c>
      <c r="H2092" s="703" t="s">
        <v>7030</v>
      </c>
      <c r="I2092" s="77">
        <f>210/30</f>
        <v>7</v>
      </c>
      <c r="J2092" s="77">
        <f>210/30</f>
        <v>7</v>
      </c>
      <c r="L2092" s="77">
        <v>1</v>
      </c>
      <c r="M2092" s="77">
        <f t="shared" si="203"/>
        <v>6.6</v>
      </c>
      <c r="N2092" s="77" t="s">
        <v>2384</v>
      </c>
      <c r="O2092" s="77">
        <v>1</v>
      </c>
      <c r="P2092" s="77">
        <v>1.2</v>
      </c>
      <c r="Q2092" s="77">
        <v>0</v>
      </c>
      <c r="V2092" s="77">
        <v>6</v>
      </c>
      <c r="W2092" s="77">
        <v>0</v>
      </c>
      <c r="X2092" s="705">
        <v>4</v>
      </c>
      <c r="Y2092" s="77">
        <v>-0.1</v>
      </c>
      <c r="Z2092" s="77">
        <v>0</v>
      </c>
      <c r="AB2092" s="77">
        <v>6.7</v>
      </c>
      <c r="AC2092" s="77">
        <v>1</v>
      </c>
      <c r="AD2092" s="77">
        <v>1</v>
      </c>
      <c r="AE2092" s="77" t="s">
        <v>2385</v>
      </c>
      <c r="AF2092" s="77">
        <v>0.5</v>
      </c>
      <c r="AG2092" s="77" t="s">
        <v>2386</v>
      </c>
      <c r="AN2092" s="706" t="s">
        <v>2387</v>
      </c>
      <c r="AO2092" s="77" t="s">
        <v>2388</v>
      </c>
      <c r="AP2092" s="77">
        <v>2120</v>
      </c>
      <c r="AQ2092" s="77" t="s">
        <v>136</v>
      </c>
      <c r="AR2092" s="760" t="s">
        <v>2326</v>
      </c>
    </row>
    <row r="2093" s="66" customFormat="1" spans="1:44">
      <c r="A2093" s="704">
        <v>10683</v>
      </c>
      <c r="B2093" s="66" t="s">
        <v>7024</v>
      </c>
      <c r="C2093" s="66" t="s">
        <v>2389</v>
      </c>
      <c r="D2093" s="66">
        <v>1</v>
      </c>
      <c r="E2093" s="66">
        <v>0</v>
      </c>
      <c r="G2093" s="66">
        <v>1</v>
      </c>
      <c r="H2093" s="585" t="s">
        <v>7031</v>
      </c>
      <c r="I2093" s="66">
        <f>260/30</f>
        <v>8.66666666666667</v>
      </c>
      <c r="J2093" s="66">
        <f>260/30</f>
        <v>8.66666666666667</v>
      </c>
      <c r="L2093" s="66">
        <v>1</v>
      </c>
      <c r="M2093" s="66">
        <f t="shared" si="203"/>
        <v>8.26666666666667</v>
      </c>
      <c r="N2093" s="66" t="s">
        <v>2391</v>
      </c>
      <c r="O2093" s="66">
        <v>1</v>
      </c>
      <c r="P2093" s="66">
        <v>1.2</v>
      </c>
      <c r="Q2093" s="66">
        <v>0</v>
      </c>
      <c r="V2093" s="66">
        <v>6</v>
      </c>
      <c r="W2093" s="66">
        <v>0</v>
      </c>
      <c r="X2093" s="597">
        <v>19</v>
      </c>
      <c r="Y2093" s="66">
        <v>-0.1</v>
      </c>
      <c r="Z2093" s="66">
        <v>0</v>
      </c>
      <c r="AB2093" s="66">
        <v>8.36666666666666</v>
      </c>
      <c r="AC2093" s="66">
        <v>2</v>
      </c>
      <c r="AD2093" s="66">
        <v>1</v>
      </c>
      <c r="AE2093" s="66" t="s">
        <v>2392</v>
      </c>
      <c r="AF2093" s="66">
        <v>0.5</v>
      </c>
      <c r="AN2093" s="602" t="s">
        <v>2393</v>
      </c>
      <c r="AO2093" s="66" t="s">
        <v>2394</v>
      </c>
      <c r="AP2093" s="66">
        <v>2123</v>
      </c>
      <c r="AQ2093" s="66" t="s">
        <v>136</v>
      </c>
      <c r="AR2093" s="761" t="s">
        <v>2326</v>
      </c>
    </row>
    <row r="2094" s="38" customFormat="1" spans="1:47">
      <c r="A2094" s="411">
        <v>10684</v>
      </c>
      <c r="B2094" s="38" t="s">
        <v>7024</v>
      </c>
      <c r="C2094" s="38" t="s">
        <v>2395</v>
      </c>
      <c r="D2094" s="38">
        <v>1</v>
      </c>
      <c r="E2094" s="38">
        <v>0</v>
      </c>
      <c r="G2094" s="38">
        <v>1</v>
      </c>
      <c r="H2094" s="325" t="s">
        <v>7032</v>
      </c>
      <c r="I2094" s="38">
        <f>205/30</f>
        <v>6.83333333333333</v>
      </c>
      <c r="J2094" s="38">
        <f>205/30</f>
        <v>6.83333333333333</v>
      </c>
      <c r="L2094" s="38">
        <v>1</v>
      </c>
      <c r="M2094" s="31">
        <f t="shared" si="203"/>
        <v>6.43333333333333</v>
      </c>
      <c r="N2094" s="38" t="s">
        <v>2397</v>
      </c>
      <c r="O2094" s="38">
        <v>1</v>
      </c>
      <c r="P2094" s="38">
        <v>1.2</v>
      </c>
      <c r="Q2094" s="38">
        <v>0</v>
      </c>
      <c r="V2094" s="38">
        <v>6</v>
      </c>
      <c r="W2094" s="38">
        <v>0</v>
      </c>
      <c r="X2094" s="344">
        <v>10</v>
      </c>
      <c r="Y2094" s="38">
        <v>-0.1</v>
      </c>
      <c r="Z2094" s="38">
        <v>0</v>
      </c>
      <c r="AB2094" s="38">
        <v>6.5333333333</v>
      </c>
      <c r="AC2094" s="38">
        <v>2</v>
      </c>
      <c r="AD2094" s="38">
        <v>1</v>
      </c>
      <c r="AE2094" s="38" t="s">
        <v>2398</v>
      </c>
      <c r="AF2094" s="38">
        <v>0.5</v>
      </c>
      <c r="AN2094" s="351"/>
      <c r="AP2094" s="38">
        <v>2124</v>
      </c>
      <c r="AQ2094" s="38" t="s">
        <v>136</v>
      </c>
      <c r="AR2094" s="754" t="s">
        <v>2326</v>
      </c>
      <c r="AT2094" s="38">
        <v>4</v>
      </c>
      <c r="AU2094" s="38">
        <v>1</v>
      </c>
    </row>
    <row r="2095" s="18" customFormat="1" spans="1:47">
      <c r="A2095" s="411">
        <v>10685</v>
      </c>
      <c r="B2095" s="38" t="s">
        <v>7024</v>
      </c>
      <c r="C2095" s="18" t="s">
        <v>2399</v>
      </c>
      <c r="D2095" s="18">
        <v>1</v>
      </c>
      <c r="E2095" s="18">
        <v>0</v>
      </c>
      <c r="G2095" s="18">
        <v>1</v>
      </c>
      <c r="H2095" s="325" t="s">
        <v>7032</v>
      </c>
      <c r="I2095" s="18">
        <f>205/30</f>
        <v>6.83333333333333</v>
      </c>
      <c r="J2095" s="18">
        <f>205/30</f>
        <v>6.83333333333333</v>
      </c>
      <c r="L2095" s="18">
        <v>1</v>
      </c>
      <c r="M2095" s="31">
        <f t="shared" si="203"/>
        <v>6.43333333333333</v>
      </c>
      <c r="N2095" s="18" t="s">
        <v>2397</v>
      </c>
      <c r="O2095" s="18">
        <v>1</v>
      </c>
      <c r="P2095" s="38">
        <v>1.2</v>
      </c>
      <c r="Q2095" s="18">
        <v>0</v>
      </c>
      <c r="V2095" s="18">
        <v>6</v>
      </c>
      <c r="W2095" s="18">
        <v>0</v>
      </c>
      <c r="X2095" s="297">
        <v>10</v>
      </c>
      <c r="Y2095" s="18">
        <v>-0.1</v>
      </c>
      <c r="Z2095" s="18">
        <v>0</v>
      </c>
      <c r="AB2095" s="18">
        <v>6.5333333333</v>
      </c>
      <c r="AC2095" s="18">
        <v>2</v>
      </c>
      <c r="AD2095" s="18">
        <v>1</v>
      </c>
      <c r="AE2095" s="18" t="s">
        <v>2398</v>
      </c>
      <c r="AF2095" s="18">
        <v>0.5</v>
      </c>
      <c r="AN2095" s="306"/>
      <c r="AP2095" s="18">
        <v>2124</v>
      </c>
      <c r="AQ2095" s="18" t="s">
        <v>136</v>
      </c>
      <c r="AT2095" s="18">
        <v>4</v>
      </c>
      <c r="AU2095" s="18">
        <v>1</v>
      </c>
    </row>
    <row r="2096" s="18" customFormat="1" spans="1:43">
      <c r="A2096" s="411">
        <v>10686</v>
      </c>
      <c r="B2096" s="38" t="s">
        <v>7033</v>
      </c>
      <c r="C2096" s="18" t="s">
        <v>526</v>
      </c>
      <c r="D2096" s="18">
        <v>1</v>
      </c>
      <c r="E2096" s="18">
        <v>0</v>
      </c>
      <c r="G2096" s="18">
        <v>1</v>
      </c>
      <c r="H2096" s="5" t="s">
        <v>7034</v>
      </c>
      <c r="I2096" s="18">
        <f>60/30</f>
        <v>2</v>
      </c>
      <c r="J2096" s="18">
        <f>60/30</f>
        <v>2</v>
      </c>
      <c r="L2096" s="18">
        <v>0</v>
      </c>
      <c r="M2096" s="31">
        <f t="shared" si="203"/>
        <v>1.6</v>
      </c>
      <c r="N2096" s="18" t="s">
        <v>7035</v>
      </c>
      <c r="O2096" s="18">
        <v>1</v>
      </c>
      <c r="P2096" s="38">
        <v>1</v>
      </c>
      <c r="Q2096" s="18">
        <v>0</v>
      </c>
      <c r="U2096" s="18">
        <v>0.8</v>
      </c>
      <c r="V2096" s="18">
        <v>1</v>
      </c>
      <c r="W2096" s="18">
        <v>0</v>
      </c>
      <c r="X2096" s="297">
        <v>3</v>
      </c>
      <c r="Y2096" s="18">
        <v>-0.1</v>
      </c>
      <c r="Z2096" s="18">
        <v>0</v>
      </c>
      <c r="AN2096" s="306"/>
      <c r="AP2096" s="18">
        <v>3931</v>
      </c>
      <c r="AQ2096" s="18" t="s">
        <v>136</v>
      </c>
    </row>
    <row r="2097" s="18" customFormat="1" spans="1:43">
      <c r="A2097" s="411">
        <v>10687</v>
      </c>
      <c r="B2097" s="38" t="s">
        <v>7036</v>
      </c>
      <c r="C2097" s="18" t="s">
        <v>526</v>
      </c>
      <c r="D2097" s="18">
        <v>1</v>
      </c>
      <c r="E2097" s="18">
        <v>0</v>
      </c>
      <c r="G2097" s="18">
        <v>1</v>
      </c>
      <c r="H2097" s="5">
        <v>128501</v>
      </c>
      <c r="I2097" s="18">
        <f>65/30</f>
        <v>2.16666666666667</v>
      </c>
      <c r="J2097" s="18">
        <f>65/30</f>
        <v>2.16666666666667</v>
      </c>
      <c r="L2097" s="18">
        <v>0</v>
      </c>
      <c r="M2097" s="31">
        <f t="shared" si="203"/>
        <v>1.76666666666667</v>
      </c>
      <c r="N2097" s="18" t="s">
        <v>7037</v>
      </c>
      <c r="O2097" s="18">
        <v>1</v>
      </c>
      <c r="P2097" s="38">
        <v>1.5</v>
      </c>
      <c r="Q2097" s="18">
        <v>0</v>
      </c>
      <c r="U2097" s="18">
        <v>0.8</v>
      </c>
      <c r="V2097" s="18">
        <v>1</v>
      </c>
      <c r="W2097" s="18">
        <v>0</v>
      </c>
      <c r="X2097" s="297">
        <v>3</v>
      </c>
      <c r="Y2097" s="18">
        <v>-0.1</v>
      </c>
      <c r="Z2097" s="18">
        <v>0</v>
      </c>
      <c r="AN2097" s="306"/>
      <c r="AP2097" s="18">
        <v>3933</v>
      </c>
      <c r="AQ2097" s="18" t="s">
        <v>136</v>
      </c>
    </row>
    <row r="2098" s="18" customFormat="1" spans="1:43">
      <c r="A2098" s="411">
        <v>10688</v>
      </c>
      <c r="B2098" s="38" t="s">
        <v>7038</v>
      </c>
      <c r="C2098" s="18" t="s">
        <v>526</v>
      </c>
      <c r="D2098" s="18">
        <v>1</v>
      </c>
      <c r="E2098" s="18">
        <v>0</v>
      </c>
      <c r="G2098" s="18">
        <v>1</v>
      </c>
      <c r="H2098" s="5">
        <v>128601</v>
      </c>
      <c r="I2098" s="18">
        <f>60/30</f>
        <v>2</v>
      </c>
      <c r="J2098" s="18">
        <f>60/30</f>
        <v>2</v>
      </c>
      <c r="L2098" s="18">
        <v>0</v>
      </c>
      <c r="M2098" s="31">
        <f t="shared" si="203"/>
        <v>1.6</v>
      </c>
      <c r="N2098" s="18" t="s">
        <v>7039</v>
      </c>
      <c r="O2098" s="18">
        <v>1</v>
      </c>
      <c r="P2098" s="38">
        <v>2.3</v>
      </c>
      <c r="Q2098" s="18">
        <v>0</v>
      </c>
      <c r="U2098" s="18">
        <v>0.2</v>
      </c>
      <c r="V2098" s="18">
        <v>1</v>
      </c>
      <c r="W2098" s="18">
        <v>0</v>
      </c>
      <c r="X2098" s="297">
        <v>2</v>
      </c>
      <c r="Y2098" s="18">
        <v>-0.1</v>
      </c>
      <c r="Z2098" s="18">
        <v>0</v>
      </c>
      <c r="AN2098" s="306"/>
      <c r="AP2098" s="18">
        <v>3935</v>
      </c>
      <c r="AQ2098" s="18" t="s">
        <v>136</v>
      </c>
    </row>
    <row r="2099" s="18" customFormat="1" spans="1:43">
      <c r="A2099" s="411">
        <v>10689</v>
      </c>
      <c r="B2099" s="38" t="s">
        <v>7040</v>
      </c>
      <c r="D2099" s="18">
        <v>1</v>
      </c>
      <c r="E2099" s="18">
        <v>0</v>
      </c>
      <c r="G2099" s="18">
        <v>1</v>
      </c>
      <c r="H2099" s="11" t="s">
        <v>7041</v>
      </c>
      <c r="I2099" s="18">
        <f>101/30</f>
        <v>3.36666666666667</v>
      </c>
      <c r="J2099" s="18">
        <f>101/30</f>
        <v>3.36666666666667</v>
      </c>
      <c r="L2099" s="18">
        <v>0</v>
      </c>
      <c r="M2099" s="31">
        <f t="shared" si="203"/>
        <v>2.96666666666667</v>
      </c>
      <c r="N2099" s="18" t="s">
        <v>7042</v>
      </c>
      <c r="O2099" s="18">
        <v>1</v>
      </c>
      <c r="P2099" s="38">
        <v>2.2</v>
      </c>
      <c r="Q2099" s="18">
        <v>0</v>
      </c>
      <c r="U2099" s="18">
        <v>1</v>
      </c>
      <c r="V2099" s="18">
        <v>1</v>
      </c>
      <c r="W2099" s="18">
        <v>0</v>
      </c>
      <c r="X2099" s="297">
        <v>3</v>
      </c>
      <c r="Y2099" s="18">
        <v>-0.1</v>
      </c>
      <c r="Z2099" s="18">
        <v>0</v>
      </c>
      <c r="AN2099" s="306">
        <v>3941</v>
      </c>
      <c r="AO2099" s="18" t="s">
        <v>136</v>
      </c>
      <c r="AP2099" s="18">
        <v>3937</v>
      </c>
      <c r="AQ2099" s="18" t="s">
        <v>136</v>
      </c>
    </row>
    <row r="2100" s="18" customFormat="1" spans="1:41">
      <c r="A2100" s="411">
        <v>10690</v>
      </c>
      <c r="B2100" s="38" t="s">
        <v>7043</v>
      </c>
      <c r="D2100" s="18">
        <v>1</v>
      </c>
      <c r="E2100" s="18">
        <v>0</v>
      </c>
      <c r="G2100" s="18">
        <v>1</v>
      </c>
      <c r="H2100" s="11" t="s">
        <v>7044</v>
      </c>
      <c r="I2100" s="18">
        <f>80/30</f>
        <v>2.66666666666667</v>
      </c>
      <c r="J2100" s="18">
        <f>80/30</f>
        <v>2.66666666666667</v>
      </c>
      <c r="L2100" s="18">
        <v>1</v>
      </c>
      <c r="M2100" s="31">
        <f t="shared" si="203"/>
        <v>2.26666666666667</v>
      </c>
      <c r="N2100" s="18" t="s">
        <v>7045</v>
      </c>
      <c r="O2100" s="18">
        <v>1</v>
      </c>
      <c r="P2100" s="38">
        <v>2.2</v>
      </c>
      <c r="Q2100" s="18">
        <v>0</v>
      </c>
      <c r="U2100" s="18">
        <v>1</v>
      </c>
      <c r="V2100" s="18">
        <v>1</v>
      </c>
      <c r="W2100" s="18">
        <v>6</v>
      </c>
      <c r="X2100" s="297">
        <v>3</v>
      </c>
      <c r="Y2100" s="18">
        <v>-0.1</v>
      </c>
      <c r="Z2100" s="18">
        <v>0</v>
      </c>
      <c r="AN2100" s="306">
        <v>3942</v>
      </c>
      <c r="AO2100" s="18" t="s">
        <v>1726</v>
      </c>
    </row>
    <row r="2101" s="18" customFormat="1" spans="1:43">
      <c r="A2101" s="411">
        <v>10691</v>
      </c>
      <c r="B2101" s="38" t="s">
        <v>7046</v>
      </c>
      <c r="D2101" s="18">
        <v>1</v>
      </c>
      <c r="E2101" s="18">
        <v>0</v>
      </c>
      <c r="G2101" s="18">
        <v>1</v>
      </c>
      <c r="H2101" s="11" t="s">
        <v>7047</v>
      </c>
      <c r="I2101" s="18">
        <f>79/30</f>
        <v>2.63333333333333</v>
      </c>
      <c r="J2101" s="18">
        <f>79/30</f>
        <v>2.63333333333333</v>
      </c>
      <c r="L2101" s="18">
        <v>1</v>
      </c>
      <c r="M2101" s="31">
        <f t="shared" si="203"/>
        <v>2.23333333333333</v>
      </c>
      <c r="N2101" s="18" t="s">
        <v>7048</v>
      </c>
      <c r="O2101" s="18">
        <v>1</v>
      </c>
      <c r="P2101" s="38">
        <v>2.2</v>
      </c>
      <c r="Q2101" s="18">
        <v>0</v>
      </c>
      <c r="U2101" s="18">
        <v>1</v>
      </c>
      <c r="V2101" s="18">
        <v>1</v>
      </c>
      <c r="W2101" s="18">
        <v>0</v>
      </c>
      <c r="X2101" s="297">
        <v>3</v>
      </c>
      <c r="Y2101" s="18">
        <v>-0.1</v>
      </c>
      <c r="Z2101" s="18">
        <v>0</v>
      </c>
      <c r="AN2101" s="306"/>
      <c r="AP2101" s="18">
        <v>3944</v>
      </c>
      <c r="AQ2101" s="18" t="s">
        <v>136</v>
      </c>
    </row>
    <row r="2102" s="18" customFormat="1" spans="1:47">
      <c r="A2102" s="411">
        <v>10692</v>
      </c>
      <c r="B2102" s="38" t="s">
        <v>7049</v>
      </c>
      <c r="D2102" s="18">
        <v>1</v>
      </c>
      <c r="E2102" s="18">
        <v>0</v>
      </c>
      <c r="G2102" s="18">
        <v>1</v>
      </c>
      <c r="H2102" s="11" t="s">
        <v>7050</v>
      </c>
      <c r="I2102" s="18">
        <f>225/30</f>
        <v>7.5</v>
      </c>
      <c r="J2102" s="18">
        <f>225/30</f>
        <v>7.5</v>
      </c>
      <c r="L2102" s="18">
        <v>1</v>
      </c>
      <c r="M2102" s="31">
        <f t="shared" si="203"/>
        <v>7.1</v>
      </c>
      <c r="N2102" s="18" t="s">
        <v>7051</v>
      </c>
      <c r="O2102" s="18">
        <v>1</v>
      </c>
      <c r="P2102" s="38">
        <v>2.2</v>
      </c>
      <c r="Q2102" s="18">
        <v>0</v>
      </c>
      <c r="V2102" s="18">
        <v>1</v>
      </c>
      <c r="W2102" s="18">
        <v>0</v>
      </c>
      <c r="X2102" s="297">
        <v>1</v>
      </c>
      <c r="Y2102" s="18">
        <v>-0.1</v>
      </c>
      <c r="Z2102" s="18">
        <v>0</v>
      </c>
      <c r="AB2102" s="18">
        <f>225/30-0.3</f>
        <v>7.2</v>
      </c>
      <c r="AC2102" s="18">
        <v>2</v>
      </c>
      <c r="AD2102" s="18">
        <v>1</v>
      </c>
      <c r="AE2102" s="18" t="s">
        <v>7052</v>
      </c>
      <c r="AF2102" s="18">
        <v>0.5</v>
      </c>
      <c r="AN2102" s="306"/>
      <c r="AP2102" s="18">
        <v>3946</v>
      </c>
      <c r="AQ2102" s="18" t="s">
        <v>136</v>
      </c>
      <c r="AU2102" s="18">
        <v>1</v>
      </c>
    </row>
    <row r="2103" s="18" customFormat="1" spans="1:43">
      <c r="A2103" s="411">
        <v>10693</v>
      </c>
      <c r="B2103" s="38" t="s">
        <v>7053</v>
      </c>
      <c r="D2103" s="18">
        <v>1</v>
      </c>
      <c r="E2103" s="18">
        <v>0</v>
      </c>
      <c r="G2103" s="18">
        <v>1</v>
      </c>
      <c r="H2103" s="11" t="s">
        <v>7054</v>
      </c>
      <c r="I2103" s="18">
        <f>90/30</f>
        <v>3</v>
      </c>
      <c r="J2103" s="18">
        <f>90/30</f>
        <v>3</v>
      </c>
      <c r="L2103" s="18">
        <v>0</v>
      </c>
      <c r="M2103" s="31">
        <f t="shared" si="203"/>
        <v>2.6</v>
      </c>
      <c r="N2103" s="18" t="s">
        <v>7055</v>
      </c>
      <c r="O2103" s="18">
        <v>1</v>
      </c>
      <c r="P2103" s="38">
        <v>7</v>
      </c>
      <c r="Q2103" s="18">
        <v>0</v>
      </c>
      <c r="S2103" s="18">
        <v>1</v>
      </c>
      <c r="T2103" s="18">
        <v>1</v>
      </c>
      <c r="U2103" s="18">
        <v>1</v>
      </c>
      <c r="V2103" s="18">
        <v>1</v>
      </c>
      <c r="W2103" s="18">
        <v>0</v>
      </c>
      <c r="X2103" s="297">
        <v>2</v>
      </c>
      <c r="Y2103" s="18">
        <v>-0.1</v>
      </c>
      <c r="Z2103" s="18">
        <v>0</v>
      </c>
      <c r="AN2103" s="306"/>
      <c r="AP2103" s="18">
        <v>3958</v>
      </c>
      <c r="AQ2103" s="18" t="s">
        <v>136</v>
      </c>
    </row>
    <row r="2104" s="18" customFormat="1" spans="1:43">
      <c r="A2104" s="411">
        <v>10694</v>
      </c>
      <c r="B2104" s="38" t="s">
        <v>7056</v>
      </c>
      <c r="D2104" s="18">
        <v>1</v>
      </c>
      <c r="E2104" s="18">
        <v>0</v>
      </c>
      <c r="G2104" s="18">
        <v>1</v>
      </c>
      <c r="H2104" s="11" t="s">
        <v>7057</v>
      </c>
      <c r="I2104" s="18">
        <f>100/30</f>
        <v>3.33333333333333</v>
      </c>
      <c r="J2104" s="18">
        <f>100/30</f>
        <v>3.33333333333333</v>
      </c>
      <c r="L2104" s="18">
        <v>0</v>
      </c>
      <c r="M2104" s="31">
        <f t="shared" si="203"/>
        <v>2.93333333333333</v>
      </c>
      <c r="N2104" s="18" t="s">
        <v>7058</v>
      </c>
      <c r="O2104" s="18">
        <v>1</v>
      </c>
      <c r="P2104" s="38">
        <v>7</v>
      </c>
      <c r="Q2104" s="18">
        <v>0</v>
      </c>
      <c r="S2104" s="18">
        <v>1</v>
      </c>
      <c r="T2104" s="18">
        <v>1</v>
      </c>
      <c r="U2104" s="18">
        <v>1</v>
      </c>
      <c r="V2104" s="18">
        <v>1</v>
      </c>
      <c r="W2104" s="18">
        <v>0</v>
      </c>
      <c r="X2104" s="297">
        <v>2</v>
      </c>
      <c r="Y2104" s="18">
        <v>-0.1</v>
      </c>
      <c r="Z2104" s="18">
        <v>0</v>
      </c>
      <c r="AN2104" s="306"/>
      <c r="AP2104" s="18">
        <v>3960</v>
      </c>
      <c r="AQ2104" s="18" t="s">
        <v>136</v>
      </c>
    </row>
    <row r="2105" s="18" customFormat="1" spans="1:43">
      <c r="A2105" s="411">
        <v>10695</v>
      </c>
      <c r="B2105" s="38" t="s">
        <v>7059</v>
      </c>
      <c r="D2105" s="18">
        <v>1</v>
      </c>
      <c r="E2105" s="18">
        <v>0</v>
      </c>
      <c r="G2105" s="18">
        <v>1</v>
      </c>
      <c r="H2105" s="11" t="s">
        <v>7060</v>
      </c>
      <c r="I2105" s="18">
        <f>92/30</f>
        <v>3.06666666666667</v>
      </c>
      <c r="J2105" s="18">
        <f>92/30</f>
        <v>3.06666666666667</v>
      </c>
      <c r="L2105" s="18">
        <v>0</v>
      </c>
      <c r="M2105" s="31">
        <f t="shared" si="203"/>
        <v>2.66666666666667</v>
      </c>
      <c r="N2105" s="18" t="s">
        <v>7061</v>
      </c>
      <c r="O2105" s="18">
        <v>1</v>
      </c>
      <c r="P2105" s="38">
        <v>7</v>
      </c>
      <c r="Q2105" s="18">
        <v>0</v>
      </c>
      <c r="U2105" s="18">
        <v>2</v>
      </c>
      <c r="V2105" s="18">
        <v>1</v>
      </c>
      <c r="W2105" s="18">
        <v>6</v>
      </c>
      <c r="X2105" s="297">
        <v>1</v>
      </c>
      <c r="Y2105" s="18">
        <v>-0.1</v>
      </c>
      <c r="Z2105" s="18">
        <v>0</v>
      </c>
      <c r="AN2105" s="306"/>
      <c r="AP2105" s="18">
        <v>3961</v>
      </c>
      <c r="AQ2105" s="18" t="s">
        <v>136</v>
      </c>
    </row>
    <row r="2106" s="18" customFormat="1" spans="1:47">
      <c r="A2106" s="411">
        <v>10696</v>
      </c>
      <c r="B2106" s="38" t="s">
        <v>7062</v>
      </c>
      <c r="D2106" s="18">
        <v>1</v>
      </c>
      <c r="E2106" s="18">
        <v>0</v>
      </c>
      <c r="G2106" s="18">
        <v>1</v>
      </c>
      <c r="H2106" s="11" t="s">
        <v>7063</v>
      </c>
      <c r="I2106" s="18">
        <f>260/30</f>
        <v>8.66666666666667</v>
      </c>
      <c r="J2106" s="18">
        <f>260/30</f>
        <v>8.66666666666667</v>
      </c>
      <c r="L2106" s="18">
        <v>1</v>
      </c>
      <c r="M2106" s="31">
        <f t="shared" si="203"/>
        <v>8.26666666666667</v>
      </c>
      <c r="N2106" s="18" t="s">
        <v>7064</v>
      </c>
      <c r="O2106" s="18">
        <v>1</v>
      </c>
      <c r="P2106" s="38">
        <v>19</v>
      </c>
      <c r="Q2106" s="18">
        <v>0</v>
      </c>
      <c r="V2106" s="18">
        <v>1</v>
      </c>
      <c r="W2106" s="18">
        <v>6</v>
      </c>
      <c r="X2106" s="297">
        <v>1</v>
      </c>
      <c r="Y2106" s="18">
        <v>-0.1</v>
      </c>
      <c r="Z2106" s="18">
        <v>0</v>
      </c>
      <c r="AB2106" s="18">
        <f>260/30-0.3</f>
        <v>8.36666666666667</v>
      </c>
      <c r="AC2106" s="18">
        <v>2</v>
      </c>
      <c r="AD2106" s="18">
        <v>1</v>
      </c>
      <c r="AE2106" s="18" t="s">
        <v>7052</v>
      </c>
      <c r="AF2106" s="18">
        <v>0.5</v>
      </c>
      <c r="AN2106" s="306"/>
      <c r="AP2106" s="18">
        <v>3963</v>
      </c>
      <c r="AQ2106" s="18" t="s">
        <v>136</v>
      </c>
      <c r="AU2106" s="18">
        <v>1</v>
      </c>
    </row>
    <row r="2107" s="18" customFormat="1" spans="1:43">
      <c r="A2107" s="411">
        <v>10697</v>
      </c>
      <c r="B2107" s="38" t="s">
        <v>7065</v>
      </c>
      <c r="D2107" s="18">
        <v>1</v>
      </c>
      <c r="E2107" s="18">
        <v>0</v>
      </c>
      <c r="G2107" s="18">
        <v>1</v>
      </c>
      <c r="H2107" s="11" t="s">
        <v>7066</v>
      </c>
      <c r="I2107" s="18">
        <f>59/30</f>
        <v>1.96666666666667</v>
      </c>
      <c r="J2107" s="18">
        <f>59/30</f>
        <v>1.96666666666667</v>
      </c>
      <c r="L2107" s="18">
        <v>0</v>
      </c>
      <c r="M2107" s="31">
        <f t="shared" si="203"/>
        <v>1.56666666666667</v>
      </c>
      <c r="N2107" s="18" t="s">
        <v>7067</v>
      </c>
      <c r="O2107" s="18">
        <v>0</v>
      </c>
      <c r="P2107" s="38">
        <v>0</v>
      </c>
      <c r="Q2107" s="18">
        <v>1</v>
      </c>
      <c r="V2107" s="18">
        <v>1</v>
      </c>
      <c r="W2107" s="18">
        <v>0</v>
      </c>
      <c r="X2107" s="297">
        <v>2</v>
      </c>
      <c r="Y2107" s="18">
        <v>-0.1</v>
      </c>
      <c r="Z2107" s="18">
        <v>0</v>
      </c>
      <c r="AN2107" s="306"/>
      <c r="AP2107" s="18">
        <v>3947</v>
      </c>
      <c r="AQ2107" s="18" t="s">
        <v>136</v>
      </c>
    </row>
    <row r="2108" s="18" customFormat="1" spans="1:43">
      <c r="A2108" s="411">
        <v>10698</v>
      </c>
      <c r="B2108" s="38" t="s">
        <v>7068</v>
      </c>
      <c r="D2108" s="18">
        <v>1</v>
      </c>
      <c r="E2108" s="18">
        <v>0</v>
      </c>
      <c r="G2108" s="18">
        <v>1</v>
      </c>
      <c r="H2108" s="11" t="s">
        <v>7069</v>
      </c>
      <c r="I2108" s="18">
        <f>63/30</f>
        <v>2.1</v>
      </c>
      <c r="J2108" s="18">
        <f>63/30</f>
        <v>2.1</v>
      </c>
      <c r="L2108" s="18">
        <v>0</v>
      </c>
      <c r="M2108" s="31">
        <f t="shared" si="203"/>
        <v>1.7</v>
      </c>
      <c r="N2108" s="18" t="s">
        <v>7070</v>
      </c>
      <c r="O2108" s="18">
        <v>1</v>
      </c>
      <c r="P2108" s="38">
        <v>2</v>
      </c>
      <c r="Q2108" s="18">
        <v>0</v>
      </c>
      <c r="U2108" s="18">
        <v>1</v>
      </c>
      <c r="V2108" s="18">
        <v>1</v>
      </c>
      <c r="W2108" s="18">
        <v>0</v>
      </c>
      <c r="X2108" s="297">
        <v>2</v>
      </c>
      <c r="Y2108" s="18">
        <v>-0.1</v>
      </c>
      <c r="Z2108" s="18">
        <v>0</v>
      </c>
      <c r="AN2108" s="306"/>
      <c r="AP2108" s="18">
        <v>3950</v>
      </c>
      <c r="AQ2108" s="18" t="s">
        <v>136</v>
      </c>
    </row>
    <row r="2109" s="18" customFormat="1" spans="1:43">
      <c r="A2109" s="411">
        <v>10699</v>
      </c>
      <c r="B2109" s="38" t="s">
        <v>7071</v>
      </c>
      <c r="D2109" s="18">
        <v>2</v>
      </c>
      <c r="E2109" s="18">
        <v>0</v>
      </c>
      <c r="G2109" s="18">
        <v>1</v>
      </c>
      <c r="H2109" s="11" t="s">
        <v>7072</v>
      </c>
      <c r="I2109" s="18">
        <f>67/30</f>
        <v>2.23333333333333</v>
      </c>
      <c r="J2109" s="18">
        <f>67/30</f>
        <v>2.23333333333333</v>
      </c>
      <c r="L2109" s="18">
        <v>0</v>
      </c>
      <c r="M2109" s="31">
        <f t="shared" si="203"/>
        <v>1.83333333333333</v>
      </c>
      <c r="N2109" s="18" t="s">
        <v>7073</v>
      </c>
      <c r="O2109" s="18">
        <v>5</v>
      </c>
      <c r="P2109" s="38">
        <v>0</v>
      </c>
      <c r="Q2109" s="18">
        <v>0</v>
      </c>
      <c r="U2109" s="18">
        <v>1</v>
      </c>
      <c r="V2109" s="18">
        <v>101</v>
      </c>
      <c r="W2109" s="18">
        <v>0</v>
      </c>
      <c r="X2109" s="297">
        <v>0</v>
      </c>
      <c r="Y2109" s="18">
        <v>-0.1</v>
      </c>
      <c r="Z2109" s="18">
        <v>0</v>
      </c>
      <c r="AN2109" s="306"/>
      <c r="AP2109" s="37">
        <v>3952</v>
      </c>
      <c r="AQ2109" s="18" t="s">
        <v>136</v>
      </c>
    </row>
    <row r="2110" s="18" customFormat="1" spans="1:43">
      <c r="A2110" s="411">
        <v>10700</v>
      </c>
      <c r="B2110" s="38" t="s">
        <v>7074</v>
      </c>
      <c r="D2110" s="18">
        <v>1</v>
      </c>
      <c r="E2110" s="18">
        <v>0</v>
      </c>
      <c r="G2110" s="18">
        <v>1</v>
      </c>
      <c r="H2110" s="11" t="s">
        <v>7075</v>
      </c>
      <c r="I2110" s="18">
        <f>77/30</f>
        <v>2.56666666666667</v>
      </c>
      <c r="J2110" s="18">
        <f>77/30</f>
        <v>2.56666666666667</v>
      </c>
      <c r="L2110" s="18">
        <v>1</v>
      </c>
      <c r="M2110" s="31">
        <f t="shared" si="203"/>
        <v>2.16666666666667</v>
      </c>
      <c r="N2110" s="18" t="s">
        <v>7076</v>
      </c>
      <c r="O2110" s="18">
        <v>1</v>
      </c>
      <c r="P2110" s="38">
        <v>2</v>
      </c>
      <c r="Q2110" s="18">
        <v>0</v>
      </c>
      <c r="U2110" s="18">
        <v>1</v>
      </c>
      <c r="V2110" s="18">
        <v>1</v>
      </c>
      <c r="W2110" s="18">
        <v>0</v>
      </c>
      <c r="X2110" s="297">
        <v>1</v>
      </c>
      <c r="Y2110" s="18">
        <v>-0.1</v>
      </c>
      <c r="Z2110" s="18">
        <v>0</v>
      </c>
      <c r="AN2110" s="306"/>
      <c r="AP2110" s="37">
        <v>3953</v>
      </c>
      <c r="AQ2110" s="18" t="s">
        <v>136</v>
      </c>
    </row>
    <row r="2111" s="18" customFormat="1" spans="1:47">
      <c r="A2111" s="411">
        <v>10701</v>
      </c>
      <c r="B2111" s="38" t="s">
        <v>7077</v>
      </c>
      <c r="D2111" s="18">
        <v>1</v>
      </c>
      <c r="E2111" s="18">
        <v>0</v>
      </c>
      <c r="G2111" s="18">
        <v>1</v>
      </c>
      <c r="H2111" s="11" t="s">
        <v>7078</v>
      </c>
      <c r="I2111" s="18">
        <f>285/30</f>
        <v>9.5</v>
      </c>
      <c r="J2111" s="18">
        <f>285/30</f>
        <v>9.5</v>
      </c>
      <c r="L2111" s="18">
        <v>1</v>
      </c>
      <c r="M2111" s="31">
        <f t="shared" si="203"/>
        <v>9.1</v>
      </c>
      <c r="N2111" s="18" t="s">
        <v>7079</v>
      </c>
      <c r="O2111" s="18">
        <v>1</v>
      </c>
      <c r="P2111" s="38">
        <v>14</v>
      </c>
      <c r="Q2111" s="18">
        <v>0</v>
      </c>
      <c r="V2111" s="18">
        <v>1</v>
      </c>
      <c r="W2111" s="18">
        <v>6</v>
      </c>
      <c r="X2111" s="297">
        <v>10</v>
      </c>
      <c r="Y2111" s="18">
        <v>-0.1</v>
      </c>
      <c r="Z2111" s="18">
        <v>0</v>
      </c>
      <c r="AB2111" s="18">
        <f>285/30-0.3</f>
        <v>9.2</v>
      </c>
      <c r="AC2111" s="18">
        <v>2</v>
      </c>
      <c r="AD2111" s="18">
        <v>1</v>
      </c>
      <c r="AE2111" s="18" t="s">
        <v>7080</v>
      </c>
      <c r="AF2111" s="18">
        <v>0.5</v>
      </c>
      <c r="AN2111" s="306">
        <v>3955</v>
      </c>
      <c r="AO2111" s="18" t="s">
        <v>2726</v>
      </c>
      <c r="AP2111" s="37">
        <v>3954</v>
      </c>
      <c r="AQ2111" s="18" t="s">
        <v>136</v>
      </c>
      <c r="AU2111" s="18">
        <v>1</v>
      </c>
    </row>
    <row r="2112" s="17" customFormat="1" spans="1:44">
      <c r="A2112" s="364">
        <v>10702</v>
      </c>
      <c r="B2112" s="364" t="s">
        <v>7081</v>
      </c>
      <c r="C2112" s="368" t="s">
        <v>7082</v>
      </c>
      <c r="D2112" s="17">
        <v>1</v>
      </c>
      <c r="E2112" s="17">
        <v>0</v>
      </c>
      <c r="G2112" s="17">
        <v>2</v>
      </c>
      <c r="H2112" s="210">
        <v>129401</v>
      </c>
      <c r="I2112" s="126">
        <v>2.133</v>
      </c>
      <c r="J2112" s="126">
        <v>2.133</v>
      </c>
      <c r="L2112" s="17">
        <v>0</v>
      </c>
      <c r="M2112" s="17">
        <v>1.733</v>
      </c>
      <c r="N2112" s="17" t="s">
        <v>7083</v>
      </c>
      <c r="O2112" s="17">
        <v>0</v>
      </c>
      <c r="P2112" s="17">
        <v>2</v>
      </c>
      <c r="Q2112" s="17">
        <v>1</v>
      </c>
      <c r="V2112" s="17">
        <v>1</v>
      </c>
      <c r="W2112" s="17">
        <v>0</v>
      </c>
      <c r="X2112" s="116">
        <v>3</v>
      </c>
      <c r="Y2112" s="17">
        <v>-0.1</v>
      </c>
      <c r="Z2112" s="17">
        <v>0</v>
      </c>
      <c r="AN2112" s="241"/>
      <c r="AP2112" s="241">
        <v>4501</v>
      </c>
      <c r="AQ2112" s="17" t="s">
        <v>136</v>
      </c>
      <c r="AR2112" s="388"/>
    </row>
    <row r="2113" s="1" customFormat="1" spans="1:44">
      <c r="A2113" s="707">
        <v>10703</v>
      </c>
      <c r="B2113" s="707" t="s">
        <v>7084</v>
      </c>
      <c r="C2113" s="708" t="s">
        <v>526</v>
      </c>
      <c r="D2113" s="1">
        <v>1</v>
      </c>
      <c r="E2113" s="1">
        <v>0</v>
      </c>
      <c r="G2113" s="1">
        <v>2</v>
      </c>
      <c r="H2113" s="637">
        <v>129501</v>
      </c>
      <c r="I2113" s="726">
        <v>2.133</v>
      </c>
      <c r="J2113" s="726">
        <v>2.133</v>
      </c>
      <c r="L2113" s="1">
        <v>0</v>
      </c>
      <c r="M2113" s="1">
        <v>1.733</v>
      </c>
      <c r="N2113" s="1" t="s">
        <v>7085</v>
      </c>
      <c r="O2113" s="1">
        <v>0</v>
      </c>
      <c r="P2113" s="1">
        <v>2</v>
      </c>
      <c r="Q2113" s="1">
        <v>1</v>
      </c>
      <c r="V2113" s="1">
        <v>1</v>
      </c>
      <c r="W2113" s="1">
        <v>5</v>
      </c>
      <c r="X2113" s="648">
        <v>3</v>
      </c>
      <c r="Y2113" s="1">
        <v>-0.1</v>
      </c>
      <c r="Z2113" s="1">
        <v>0</v>
      </c>
      <c r="AN2113" s="726"/>
      <c r="AP2113" s="726">
        <v>4503</v>
      </c>
      <c r="AQ2113" s="1" t="s">
        <v>136</v>
      </c>
      <c r="AR2113" s="735"/>
    </row>
    <row r="2114" s="17" customFormat="1" spans="1:44">
      <c r="A2114" s="364">
        <v>10704</v>
      </c>
      <c r="B2114" s="364" t="s">
        <v>7086</v>
      </c>
      <c r="C2114" s="368" t="s">
        <v>526</v>
      </c>
      <c r="D2114" s="17">
        <v>1</v>
      </c>
      <c r="E2114" s="17">
        <v>0</v>
      </c>
      <c r="G2114" s="17">
        <v>1</v>
      </c>
      <c r="H2114" s="210">
        <v>129601</v>
      </c>
      <c r="I2114" s="126">
        <v>2</v>
      </c>
      <c r="J2114" s="126">
        <v>2</v>
      </c>
      <c r="L2114" s="17">
        <v>0</v>
      </c>
      <c r="M2114" s="17">
        <v>1.6</v>
      </c>
      <c r="N2114" s="17" t="s">
        <v>7087</v>
      </c>
      <c r="O2114" s="17">
        <v>1</v>
      </c>
      <c r="P2114" s="17">
        <v>2</v>
      </c>
      <c r="Q2114" s="17">
        <v>0</v>
      </c>
      <c r="V2114" s="17">
        <v>1</v>
      </c>
      <c r="W2114" s="17">
        <v>0</v>
      </c>
      <c r="X2114" s="116">
        <v>2</v>
      </c>
      <c r="Y2114" s="17">
        <v>-0.1</v>
      </c>
      <c r="Z2114" s="17">
        <v>0</v>
      </c>
      <c r="AN2114" s="241"/>
      <c r="AP2114" s="241">
        <v>4505</v>
      </c>
      <c r="AQ2114" s="17" t="s">
        <v>136</v>
      </c>
      <c r="AR2114" s="388"/>
    </row>
    <row r="2115" s="17" customFormat="1" spans="1:44">
      <c r="A2115" s="364">
        <v>10705</v>
      </c>
      <c r="B2115" s="364" t="s">
        <v>7088</v>
      </c>
      <c r="C2115" s="368" t="s">
        <v>7089</v>
      </c>
      <c r="D2115" s="17">
        <v>1</v>
      </c>
      <c r="E2115" s="17">
        <v>0</v>
      </c>
      <c r="G2115" s="17">
        <v>1</v>
      </c>
      <c r="H2115" s="210">
        <v>129602</v>
      </c>
      <c r="I2115" s="126">
        <v>2.133</v>
      </c>
      <c r="J2115" s="126">
        <v>2.133</v>
      </c>
      <c r="L2115" s="17">
        <v>0</v>
      </c>
      <c r="M2115" s="17">
        <v>1.733</v>
      </c>
      <c r="N2115" s="17" t="s">
        <v>7090</v>
      </c>
      <c r="O2115" s="17">
        <v>1</v>
      </c>
      <c r="P2115" s="17">
        <v>2</v>
      </c>
      <c r="Q2115" s="17">
        <v>0</v>
      </c>
      <c r="V2115" s="17">
        <v>1</v>
      </c>
      <c r="W2115" s="17">
        <v>0</v>
      </c>
      <c r="X2115" s="116">
        <v>1</v>
      </c>
      <c r="Y2115" s="17">
        <v>-0.1</v>
      </c>
      <c r="Z2115" s="17">
        <v>0</v>
      </c>
      <c r="AN2115" s="241"/>
      <c r="AP2115" s="241">
        <v>4507</v>
      </c>
      <c r="AQ2115" s="17" t="s">
        <v>136</v>
      </c>
      <c r="AR2115" s="388"/>
    </row>
    <row r="2116" s="53" customFormat="1" spans="1:44">
      <c r="A2116" s="439">
        <v>10706</v>
      </c>
      <c r="B2116" s="439" t="s">
        <v>7091</v>
      </c>
      <c r="C2116" s="440" t="s">
        <v>526</v>
      </c>
      <c r="D2116" s="53">
        <v>1</v>
      </c>
      <c r="E2116" s="53">
        <v>0</v>
      </c>
      <c r="G2116" s="53">
        <v>1</v>
      </c>
      <c r="H2116" s="441">
        <v>130101</v>
      </c>
      <c r="I2116" s="727">
        <v>1</v>
      </c>
      <c r="J2116" s="727">
        <v>1</v>
      </c>
      <c r="L2116" s="53">
        <v>0</v>
      </c>
      <c r="M2116" s="53">
        <v>0.6</v>
      </c>
      <c r="N2116" s="53" t="s">
        <v>7092</v>
      </c>
      <c r="O2116" s="53">
        <v>1</v>
      </c>
      <c r="P2116" s="53">
        <v>2</v>
      </c>
      <c r="Q2116" s="53">
        <v>0</v>
      </c>
      <c r="V2116" s="53">
        <v>1</v>
      </c>
      <c r="W2116" s="53">
        <v>0</v>
      </c>
      <c r="X2116" s="538">
        <v>1</v>
      </c>
      <c r="Y2116" s="53">
        <v>-0.1</v>
      </c>
      <c r="Z2116" s="53">
        <v>0</v>
      </c>
      <c r="AN2116" s="241"/>
      <c r="AP2116" s="241">
        <v>4509</v>
      </c>
      <c r="AQ2116" s="53" t="s">
        <v>136</v>
      </c>
      <c r="AR2116" s="529"/>
    </row>
    <row r="2117" s="53" customFormat="1" spans="1:44">
      <c r="A2117" s="439">
        <v>10707</v>
      </c>
      <c r="B2117" s="439" t="s">
        <v>7093</v>
      </c>
      <c r="C2117" s="440" t="s">
        <v>7089</v>
      </c>
      <c r="D2117" s="53">
        <v>1</v>
      </c>
      <c r="E2117" s="53">
        <v>0</v>
      </c>
      <c r="G2117" s="53">
        <v>1</v>
      </c>
      <c r="H2117" s="441">
        <v>130102</v>
      </c>
      <c r="I2117" s="727">
        <v>2</v>
      </c>
      <c r="J2117" s="727">
        <v>2</v>
      </c>
      <c r="L2117" s="53">
        <v>0</v>
      </c>
      <c r="M2117" s="53">
        <v>1.6</v>
      </c>
      <c r="N2117" s="53" t="s">
        <v>7094</v>
      </c>
      <c r="O2117" s="53">
        <v>1</v>
      </c>
      <c r="P2117" s="53">
        <v>2</v>
      </c>
      <c r="Q2117" s="53">
        <v>0</v>
      </c>
      <c r="V2117" s="53">
        <v>1</v>
      </c>
      <c r="W2117" s="53">
        <v>0</v>
      </c>
      <c r="X2117" s="538">
        <v>1</v>
      </c>
      <c r="Y2117" s="53">
        <v>-0.1</v>
      </c>
      <c r="Z2117" s="53">
        <v>0</v>
      </c>
      <c r="AN2117" s="241"/>
      <c r="AP2117" s="241">
        <v>4511</v>
      </c>
      <c r="AQ2117" s="53" t="s">
        <v>136</v>
      </c>
      <c r="AR2117" s="529"/>
    </row>
    <row r="2118" s="53" customFormat="1" spans="1:44">
      <c r="A2118" s="439">
        <v>10708</v>
      </c>
      <c r="B2118" s="439" t="s">
        <v>7095</v>
      </c>
      <c r="C2118" s="440" t="s">
        <v>7096</v>
      </c>
      <c r="D2118" s="53">
        <v>1</v>
      </c>
      <c r="E2118" s="53">
        <v>0</v>
      </c>
      <c r="G2118" s="53">
        <v>1</v>
      </c>
      <c r="H2118" s="441">
        <v>130103</v>
      </c>
      <c r="I2118" s="727">
        <v>2.833</v>
      </c>
      <c r="J2118" s="727">
        <v>2.833</v>
      </c>
      <c r="L2118" s="53">
        <v>0</v>
      </c>
      <c r="M2118" s="53">
        <v>2.433</v>
      </c>
      <c r="N2118" s="53" t="s">
        <v>7097</v>
      </c>
      <c r="O2118" s="53">
        <v>1</v>
      </c>
      <c r="P2118" s="53">
        <v>2</v>
      </c>
      <c r="Q2118" s="53">
        <v>0</v>
      </c>
      <c r="V2118" s="53">
        <v>1</v>
      </c>
      <c r="W2118" s="53">
        <v>0</v>
      </c>
      <c r="X2118" s="538">
        <v>1</v>
      </c>
      <c r="Y2118" s="53">
        <v>-0.1</v>
      </c>
      <c r="Z2118" s="53">
        <v>0</v>
      </c>
      <c r="AN2118" s="241"/>
      <c r="AP2118" s="241">
        <v>4513</v>
      </c>
      <c r="AQ2118" s="53" t="s">
        <v>136</v>
      </c>
      <c r="AR2118" s="529"/>
    </row>
    <row r="2119" s="17" customFormat="1" spans="1:44">
      <c r="A2119" s="364">
        <v>10709</v>
      </c>
      <c r="B2119" s="364" t="s">
        <v>7098</v>
      </c>
      <c r="C2119" s="368" t="s">
        <v>526</v>
      </c>
      <c r="D2119" s="17">
        <v>1</v>
      </c>
      <c r="E2119" s="17">
        <v>0</v>
      </c>
      <c r="G2119" s="17">
        <v>2</v>
      </c>
      <c r="H2119" s="210">
        <v>129301</v>
      </c>
      <c r="I2119" s="126">
        <v>1.6</v>
      </c>
      <c r="J2119" s="126">
        <v>1.6</v>
      </c>
      <c r="L2119" s="17">
        <v>0</v>
      </c>
      <c r="M2119" s="17">
        <v>1.2</v>
      </c>
      <c r="N2119" s="17" t="s">
        <v>7099</v>
      </c>
      <c r="O2119" s="17">
        <v>0</v>
      </c>
      <c r="P2119" s="17">
        <v>2</v>
      </c>
      <c r="Q2119" s="17">
        <v>1</v>
      </c>
      <c r="V2119" s="17">
        <v>1</v>
      </c>
      <c r="W2119" s="17">
        <v>0</v>
      </c>
      <c r="X2119" s="116">
        <v>1</v>
      </c>
      <c r="Y2119" s="17">
        <v>-0.1</v>
      </c>
      <c r="Z2119" s="17">
        <v>0</v>
      </c>
      <c r="AN2119" s="241"/>
      <c r="AP2119" s="241">
        <v>4515</v>
      </c>
      <c r="AQ2119" s="17" t="s">
        <v>136</v>
      </c>
      <c r="AR2119" s="388"/>
    </row>
    <row r="2120" s="17" customFormat="1" spans="1:44">
      <c r="A2120" s="364">
        <v>10710</v>
      </c>
      <c r="B2120" s="364" t="s">
        <v>7100</v>
      </c>
      <c r="C2120" s="368" t="s">
        <v>7101</v>
      </c>
      <c r="D2120" s="17">
        <v>2</v>
      </c>
      <c r="E2120" s="17">
        <v>0</v>
      </c>
      <c r="G2120" s="17">
        <v>2</v>
      </c>
      <c r="H2120" s="210">
        <v>129302</v>
      </c>
      <c r="I2120" s="126">
        <v>2.3</v>
      </c>
      <c r="J2120" s="126">
        <v>2.3</v>
      </c>
      <c r="L2120" s="17">
        <v>0</v>
      </c>
      <c r="M2120" s="17">
        <v>1.9</v>
      </c>
      <c r="N2120" s="17" t="s">
        <v>7102</v>
      </c>
      <c r="O2120" s="17">
        <v>0</v>
      </c>
      <c r="P2120" s="17">
        <v>2</v>
      </c>
      <c r="Q2120" s="17">
        <v>2</v>
      </c>
      <c r="V2120" s="17">
        <v>1000</v>
      </c>
      <c r="W2120" s="17">
        <v>0</v>
      </c>
      <c r="X2120" s="116">
        <v>0</v>
      </c>
      <c r="Y2120" s="17">
        <v>-0.1</v>
      </c>
      <c r="Z2120" s="17">
        <v>0</v>
      </c>
      <c r="AN2120" s="241"/>
      <c r="AP2120" s="241">
        <v>4517</v>
      </c>
      <c r="AQ2120" s="17" t="s">
        <v>136</v>
      </c>
      <c r="AR2120" s="388"/>
    </row>
    <row r="2121" s="17" customFormat="1" spans="1:44">
      <c r="A2121" s="364">
        <v>10711</v>
      </c>
      <c r="B2121" s="364" t="s">
        <v>7103</v>
      </c>
      <c r="C2121" s="368" t="s">
        <v>7104</v>
      </c>
      <c r="D2121" s="17">
        <v>1</v>
      </c>
      <c r="E2121" s="17">
        <v>0</v>
      </c>
      <c r="G2121" s="17">
        <v>2</v>
      </c>
      <c r="H2121" s="210">
        <v>129303</v>
      </c>
      <c r="I2121" s="126">
        <v>2.2</v>
      </c>
      <c r="J2121" s="126">
        <v>2.2</v>
      </c>
      <c r="L2121" s="17">
        <v>0</v>
      </c>
      <c r="M2121" s="17">
        <v>1.8</v>
      </c>
      <c r="N2121" s="17" t="s">
        <v>7105</v>
      </c>
      <c r="O2121" s="17">
        <v>0</v>
      </c>
      <c r="P2121" s="17">
        <v>2</v>
      </c>
      <c r="Q2121" s="17">
        <v>1</v>
      </c>
      <c r="S2121" s="17">
        <v>1.1</v>
      </c>
      <c r="V2121" s="17">
        <v>1</v>
      </c>
      <c r="W2121" s="17">
        <v>6</v>
      </c>
      <c r="X2121" s="116">
        <v>1</v>
      </c>
      <c r="Y2121" s="17">
        <v>-0.1</v>
      </c>
      <c r="Z2121" s="17">
        <v>0</v>
      </c>
      <c r="AN2121" s="241"/>
      <c r="AP2121" s="241">
        <v>4519</v>
      </c>
      <c r="AQ2121" s="17" t="s">
        <v>136</v>
      </c>
      <c r="AR2121" s="388"/>
    </row>
    <row r="2122" s="53" customFormat="1" spans="1:43">
      <c r="A2122" s="439">
        <v>10712</v>
      </c>
      <c r="B2122" s="439" t="s">
        <v>7106</v>
      </c>
      <c r="C2122" s="440" t="s">
        <v>526</v>
      </c>
      <c r="D2122" s="53">
        <v>1</v>
      </c>
      <c r="E2122" s="53">
        <v>0</v>
      </c>
      <c r="G2122" s="53">
        <v>1</v>
      </c>
      <c r="H2122" s="709">
        <v>11501</v>
      </c>
      <c r="I2122" s="727">
        <v>3.9</v>
      </c>
      <c r="J2122" s="727">
        <v>3.9</v>
      </c>
      <c r="L2122" s="53">
        <v>0</v>
      </c>
      <c r="M2122" s="53">
        <v>3.5</v>
      </c>
      <c r="N2122" s="728" t="s">
        <v>3467</v>
      </c>
      <c r="O2122" s="53">
        <v>1</v>
      </c>
      <c r="P2122" s="53">
        <v>2</v>
      </c>
      <c r="Q2122" s="53">
        <v>0</v>
      </c>
      <c r="U2122" s="53">
        <v>0.3</v>
      </c>
      <c r="V2122" s="53">
        <v>1</v>
      </c>
      <c r="W2122" s="53">
        <v>0</v>
      </c>
      <c r="X2122" s="538">
        <v>3</v>
      </c>
      <c r="Y2122" s="53">
        <v>-0.1</v>
      </c>
      <c r="Z2122" s="53">
        <v>0</v>
      </c>
      <c r="AN2122" s="541"/>
      <c r="AP2122" s="736">
        <v>3645</v>
      </c>
      <c r="AQ2122" s="53" t="s">
        <v>136</v>
      </c>
    </row>
    <row r="2123" s="53" customFormat="1" spans="1:44">
      <c r="A2123" s="439">
        <v>10713</v>
      </c>
      <c r="B2123" s="439" t="s">
        <v>7107</v>
      </c>
      <c r="C2123" s="440" t="s">
        <v>7108</v>
      </c>
      <c r="D2123" s="53">
        <v>1</v>
      </c>
      <c r="E2123" s="53">
        <v>0</v>
      </c>
      <c r="G2123" s="53">
        <v>1</v>
      </c>
      <c r="H2123" s="709">
        <v>11506</v>
      </c>
      <c r="I2123" s="727">
        <v>1.18333333333333</v>
      </c>
      <c r="J2123" s="727">
        <v>1.18333333333333</v>
      </c>
      <c r="L2123" s="53">
        <v>0</v>
      </c>
      <c r="M2123" s="53">
        <v>0.78333333333333</v>
      </c>
      <c r="N2123" s="53" t="s">
        <v>3482</v>
      </c>
      <c r="O2123" s="53">
        <v>1</v>
      </c>
      <c r="P2123" s="53">
        <v>2</v>
      </c>
      <c r="Q2123" s="53">
        <v>0</v>
      </c>
      <c r="S2123" s="53">
        <v>1</v>
      </c>
      <c r="U2123" s="53">
        <v>1</v>
      </c>
      <c r="V2123" s="53">
        <v>1</v>
      </c>
      <c r="W2123" s="53">
        <v>4</v>
      </c>
      <c r="X2123" s="538">
        <v>1</v>
      </c>
      <c r="Y2123" s="53">
        <v>-0.1</v>
      </c>
      <c r="Z2123" s="53">
        <v>0</v>
      </c>
      <c r="AN2123" s="733"/>
      <c r="AP2123" s="736">
        <v>3634</v>
      </c>
      <c r="AQ2123" s="53" t="s">
        <v>3483</v>
      </c>
      <c r="AR2123" s="529"/>
    </row>
    <row r="2124" s="53" customFormat="1" spans="1:43">
      <c r="A2124" s="439">
        <v>10714</v>
      </c>
      <c r="B2124" s="439" t="s">
        <v>7109</v>
      </c>
      <c r="C2124" s="440" t="s">
        <v>3487</v>
      </c>
      <c r="D2124" s="53">
        <v>1</v>
      </c>
      <c r="E2124" s="53">
        <v>0</v>
      </c>
      <c r="G2124" s="53">
        <v>1</v>
      </c>
      <c r="H2124" s="709">
        <v>11508</v>
      </c>
      <c r="I2124" s="727">
        <v>2.56666666666667</v>
      </c>
      <c r="J2124" s="727">
        <v>2.56666666666667</v>
      </c>
      <c r="L2124" s="53">
        <v>0</v>
      </c>
      <c r="M2124" s="53">
        <v>2.16666666666667</v>
      </c>
      <c r="N2124" s="728" t="s">
        <v>3489</v>
      </c>
      <c r="O2124" s="53">
        <v>1</v>
      </c>
      <c r="P2124" s="53">
        <v>2</v>
      </c>
      <c r="Q2124" s="53">
        <v>0</v>
      </c>
      <c r="S2124" s="53">
        <v>1</v>
      </c>
      <c r="U2124" s="53">
        <v>0.5</v>
      </c>
      <c r="V2124" s="53">
        <v>2</v>
      </c>
      <c r="W2124" s="53">
        <v>0</v>
      </c>
      <c r="X2124" s="538">
        <v>1</v>
      </c>
      <c r="Y2124" s="53">
        <v>-0.1</v>
      </c>
      <c r="Z2124" s="53">
        <v>0</v>
      </c>
      <c r="AN2124" s="541">
        <v>3637</v>
      </c>
      <c r="AO2124" s="53" t="s">
        <v>3490</v>
      </c>
      <c r="AP2124" s="736">
        <v>3636</v>
      </c>
      <c r="AQ2124" s="53" t="s">
        <v>136</v>
      </c>
    </row>
    <row r="2125" s="17" customFormat="1" spans="1:44">
      <c r="A2125" s="364">
        <v>10715</v>
      </c>
      <c r="B2125" s="364" t="s">
        <v>7110</v>
      </c>
      <c r="C2125" s="368" t="s">
        <v>526</v>
      </c>
      <c r="D2125" s="17">
        <v>1</v>
      </c>
      <c r="E2125" s="17">
        <v>0</v>
      </c>
      <c r="G2125" s="17">
        <v>1</v>
      </c>
      <c r="H2125" s="210">
        <v>129701</v>
      </c>
      <c r="I2125" s="126">
        <v>1.6</v>
      </c>
      <c r="J2125" s="126">
        <v>1.6</v>
      </c>
      <c r="L2125" s="17">
        <v>0</v>
      </c>
      <c r="M2125" s="17">
        <v>1.2</v>
      </c>
      <c r="N2125" s="17" t="s">
        <v>7111</v>
      </c>
      <c r="O2125" s="17">
        <v>1</v>
      </c>
      <c r="P2125" s="17">
        <v>2</v>
      </c>
      <c r="Q2125" s="17">
        <v>0</v>
      </c>
      <c r="V2125" s="17">
        <v>1</v>
      </c>
      <c r="W2125" s="17">
        <v>0</v>
      </c>
      <c r="X2125" s="116">
        <v>2</v>
      </c>
      <c r="Y2125" s="17">
        <v>-0.1</v>
      </c>
      <c r="Z2125" s="17">
        <v>0</v>
      </c>
      <c r="AN2125" s="241"/>
      <c r="AP2125" s="241">
        <v>4521</v>
      </c>
      <c r="AQ2125" s="17" t="s">
        <v>136</v>
      </c>
      <c r="AR2125" s="388"/>
    </row>
    <row r="2126" s="1" customFormat="1" spans="1:44">
      <c r="A2126" s="707">
        <v>10716</v>
      </c>
      <c r="B2126" s="707" t="s">
        <v>7112</v>
      </c>
      <c r="C2126" s="708" t="s">
        <v>7113</v>
      </c>
      <c r="D2126" s="1">
        <v>1</v>
      </c>
      <c r="E2126" s="1">
        <v>0</v>
      </c>
      <c r="G2126" s="1">
        <v>1</v>
      </c>
      <c r="H2126" s="637">
        <v>129801</v>
      </c>
      <c r="I2126" s="726">
        <v>1.667</v>
      </c>
      <c r="J2126" s="726">
        <v>1.667</v>
      </c>
      <c r="L2126" s="1">
        <v>0</v>
      </c>
      <c r="M2126" s="1">
        <v>1.267</v>
      </c>
      <c r="N2126" s="1" t="s">
        <v>7114</v>
      </c>
      <c r="O2126" s="1">
        <v>1</v>
      </c>
      <c r="P2126" s="1">
        <v>2</v>
      </c>
      <c r="Q2126" s="1">
        <v>0</v>
      </c>
      <c r="S2126" s="1">
        <v>1.1</v>
      </c>
      <c r="V2126" s="1">
        <v>1</v>
      </c>
      <c r="W2126" s="1">
        <v>2</v>
      </c>
      <c r="X2126" s="648">
        <v>2</v>
      </c>
      <c r="Y2126" s="1">
        <v>-0.1</v>
      </c>
      <c r="Z2126" s="1">
        <v>0</v>
      </c>
      <c r="AN2126" s="726"/>
      <c r="AP2126" s="726">
        <v>4523</v>
      </c>
      <c r="AQ2126" s="1" t="s">
        <v>136</v>
      </c>
      <c r="AR2126" s="735"/>
    </row>
    <row r="2127" s="17" customFormat="1" spans="1:44">
      <c r="A2127" s="364">
        <v>10717</v>
      </c>
      <c r="B2127" s="364" t="s">
        <v>7115</v>
      </c>
      <c r="C2127" s="368" t="s">
        <v>526</v>
      </c>
      <c r="D2127" s="17">
        <v>1</v>
      </c>
      <c r="E2127" s="17">
        <v>0</v>
      </c>
      <c r="G2127" s="17">
        <v>1</v>
      </c>
      <c r="H2127" s="210">
        <v>129901</v>
      </c>
      <c r="I2127" s="126">
        <v>1.6</v>
      </c>
      <c r="J2127" s="126">
        <v>1.6</v>
      </c>
      <c r="L2127" s="17">
        <v>0</v>
      </c>
      <c r="M2127" s="17">
        <v>1.2</v>
      </c>
      <c r="N2127" s="17" t="s">
        <v>7116</v>
      </c>
      <c r="O2127" s="17">
        <v>1</v>
      </c>
      <c r="P2127" s="17">
        <v>2</v>
      </c>
      <c r="Q2127" s="17">
        <v>0</v>
      </c>
      <c r="V2127" s="17">
        <v>1</v>
      </c>
      <c r="W2127" s="17">
        <v>0</v>
      </c>
      <c r="X2127" s="116">
        <v>2</v>
      </c>
      <c r="Y2127" s="17">
        <v>-0.1</v>
      </c>
      <c r="Z2127" s="17">
        <v>0</v>
      </c>
      <c r="AN2127" s="241"/>
      <c r="AP2127" s="241">
        <v>4525</v>
      </c>
      <c r="AQ2127" s="17" t="s">
        <v>136</v>
      </c>
      <c r="AR2127" s="388"/>
    </row>
    <row r="2128" s="53" customFormat="1" spans="1:44">
      <c r="A2128" s="439">
        <v>10718</v>
      </c>
      <c r="B2128" s="439" t="s">
        <v>7117</v>
      </c>
      <c r="C2128" s="440" t="s">
        <v>7118</v>
      </c>
      <c r="D2128" s="53">
        <v>1</v>
      </c>
      <c r="E2128" s="53">
        <v>0</v>
      </c>
      <c r="G2128" s="53">
        <v>1</v>
      </c>
      <c r="H2128" s="441">
        <v>130001</v>
      </c>
      <c r="I2128" s="727">
        <v>1.667</v>
      </c>
      <c r="J2128" s="727">
        <v>1.667</v>
      </c>
      <c r="L2128" s="53">
        <v>0</v>
      </c>
      <c r="M2128" s="53">
        <v>1.267</v>
      </c>
      <c r="N2128" s="53" t="s">
        <v>7119</v>
      </c>
      <c r="O2128" s="53">
        <v>1</v>
      </c>
      <c r="P2128" s="53">
        <v>2</v>
      </c>
      <c r="Q2128" s="53">
        <v>0</v>
      </c>
      <c r="V2128" s="53">
        <v>1</v>
      </c>
      <c r="W2128" s="53">
        <v>0</v>
      </c>
      <c r="X2128" s="538">
        <v>2</v>
      </c>
      <c r="Y2128" s="53">
        <v>-0.1</v>
      </c>
      <c r="Z2128" s="53">
        <v>0</v>
      </c>
      <c r="AN2128" s="733"/>
      <c r="AP2128" s="241">
        <v>4527</v>
      </c>
      <c r="AQ2128" s="53" t="s">
        <v>136</v>
      </c>
      <c r="AR2128" s="529"/>
    </row>
    <row r="2129" s="17" customFormat="1" spans="1:44">
      <c r="A2129" s="364">
        <v>10719</v>
      </c>
      <c r="B2129" s="364" t="s">
        <v>7120</v>
      </c>
      <c r="C2129" s="368" t="s">
        <v>526</v>
      </c>
      <c r="D2129" s="17">
        <v>1</v>
      </c>
      <c r="E2129" s="17">
        <v>0</v>
      </c>
      <c r="G2129" s="17">
        <v>1</v>
      </c>
      <c r="H2129" s="210">
        <v>129101</v>
      </c>
      <c r="I2129" s="126">
        <v>1.667</v>
      </c>
      <c r="J2129" s="126">
        <v>1.667</v>
      </c>
      <c r="L2129" s="17">
        <v>0</v>
      </c>
      <c r="M2129" s="17">
        <v>1.267</v>
      </c>
      <c r="N2129" s="17" t="s">
        <v>7121</v>
      </c>
      <c r="O2129" s="17">
        <v>1</v>
      </c>
      <c r="P2129" s="17">
        <v>2</v>
      </c>
      <c r="Q2129" s="17">
        <v>0</v>
      </c>
      <c r="V2129" s="17">
        <v>1</v>
      </c>
      <c r="W2129" s="17">
        <v>0</v>
      </c>
      <c r="X2129" s="116">
        <v>2</v>
      </c>
      <c r="Y2129" s="17">
        <v>-0.1</v>
      </c>
      <c r="Z2129" s="17">
        <v>0</v>
      </c>
      <c r="AN2129" s="98"/>
      <c r="AP2129" s="241">
        <v>4529</v>
      </c>
      <c r="AQ2129" s="17" t="s">
        <v>136</v>
      </c>
      <c r="AR2129" s="388"/>
    </row>
    <row r="2130" s="17" customFormat="1" spans="1:44">
      <c r="A2130" s="364">
        <v>10720</v>
      </c>
      <c r="B2130" s="364" t="s">
        <v>7122</v>
      </c>
      <c r="C2130" s="368" t="s">
        <v>7123</v>
      </c>
      <c r="D2130" s="17">
        <v>1</v>
      </c>
      <c r="E2130" s="17">
        <v>0</v>
      </c>
      <c r="G2130" s="17">
        <v>1</v>
      </c>
      <c r="H2130" s="210">
        <v>129102</v>
      </c>
      <c r="I2130" s="126">
        <v>2.6</v>
      </c>
      <c r="J2130" s="126">
        <v>2.6</v>
      </c>
      <c r="L2130" s="17">
        <v>0</v>
      </c>
      <c r="M2130" s="17">
        <v>2.2</v>
      </c>
      <c r="N2130" s="17" t="s">
        <v>7124</v>
      </c>
      <c r="O2130" s="17">
        <v>1</v>
      </c>
      <c r="P2130" s="17">
        <v>2</v>
      </c>
      <c r="Q2130" s="17">
        <v>0</v>
      </c>
      <c r="S2130" s="17">
        <v>1.1</v>
      </c>
      <c r="V2130" s="17">
        <v>1</v>
      </c>
      <c r="W2130" s="17">
        <v>6</v>
      </c>
      <c r="X2130" s="116">
        <v>1</v>
      </c>
      <c r="Y2130" s="17">
        <v>-0.1</v>
      </c>
      <c r="Z2130" s="17">
        <v>0</v>
      </c>
      <c r="AN2130" s="98"/>
      <c r="AP2130" s="241">
        <v>4531</v>
      </c>
      <c r="AQ2130" s="17" t="s">
        <v>136</v>
      </c>
      <c r="AR2130" s="388"/>
    </row>
    <row r="2131" s="17" customFormat="1" spans="1:47">
      <c r="A2131" s="364">
        <v>10721</v>
      </c>
      <c r="B2131" s="364" t="s">
        <v>7125</v>
      </c>
      <c r="C2131" s="368" t="s">
        <v>7123</v>
      </c>
      <c r="D2131" s="17">
        <v>1</v>
      </c>
      <c r="E2131" s="17">
        <v>0</v>
      </c>
      <c r="G2131" s="17">
        <v>2</v>
      </c>
      <c r="H2131" s="210">
        <v>129103</v>
      </c>
      <c r="I2131" s="126">
        <v>5.6</v>
      </c>
      <c r="J2131" s="126">
        <v>5.6</v>
      </c>
      <c r="L2131" s="17">
        <v>0</v>
      </c>
      <c r="M2131" s="17">
        <v>5.2</v>
      </c>
      <c r="N2131" s="17" t="s">
        <v>7126</v>
      </c>
      <c r="O2131" s="17">
        <v>1</v>
      </c>
      <c r="P2131" s="17">
        <v>2</v>
      </c>
      <c r="Q2131" s="17">
        <v>1</v>
      </c>
      <c r="S2131" s="17">
        <v>3</v>
      </c>
      <c r="V2131" s="17">
        <v>1</v>
      </c>
      <c r="W2131" s="17">
        <v>6</v>
      </c>
      <c r="X2131" s="116">
        <v>1</v>
      </c>
      <c r="Y2131" s="17">
        <v>-0.1</v>
      </c>
      <c r="Z2131" s="17">
        <v>0</v>
      </c>
      <c r="AB2131" s="17">
        <v>5</v>
      </c>
      <c r="AC2131" s="17">
        <v>2</v>
      </c>
      <c r="AD2131" s="17">
        <v>1</v>
      </c>
      <c r="AE2131" s="17" t="s">
        <v>7127</v>
      </c>
      <c r="AF2131" s="17">
        <v>0.5</v>
      </c>
      <c r="AN2131" s="98"/>
      <c r="AP2131" s="241">
        <v>4533</v>
      </c>
      <c r="AQ2131" s="17" t="s">
        <v>136</v>
      </c>
      <c r="AR2131" s="388"/>
      <c r="AU2131" s="17">
        <v>1</v>
      </c>
    </row>
    <row r="2132" s="53" customFormat="1" spans="1:44">
      <c r="A2132" s="439">
        <v>10722</v>
      </c>
      <c r="B2132" s="439" t="s">
        <v>7128</v>
      </c>
      <c r="C2132" s="440" t="s">
        <v>526</v>
      </c>
      <c r="D2132" s="53">
        <v>1</v>
      </c>
      <c r="E2132" s="53">
        <v>0</v>
      </c>
      <c r="G2132" s="53">
        <v>1</v>
      </c>
      <c r="H2132" s="441">
        <v>129201</v>
      </c>
      <c r="I2132" s="727">
        <v>1.833</v>
      </c>
      <c r="J2132" s="727">
        <v>1.833</v>
      </c>
      <c r="L2132" s="53">
        <v>0</v>
      </c>
      <c r="M2132" s="53">
        <v>1.433</v>
      </c>
      <c r="N2132" s="53" t="s">
        <v>7119</v>
      </c>
      <c r="O2132" s="53">
        <v>1</v>
      </c>
      <c r="P2132" s="53">
        <v>2</v>
      </c>
      <c r="Q2132" s="53">
        <v>0</v>
      </c>
      <c r="V2132" s="53">
        <v>1</v>
      </c>
      <c r="W2132" s="53">
        <v>0</v>
      </c>
      <c r="X2132" s="538">
        <v>1</v>
      </c>
      <c r="Y2132" s="53">
        <v>-0.1</v>
      </c>
      <c r="Z2132" s="53">
        <v>0</v>
      </c>
      <c r="AN2132" s="733"/>
      <c r="AP2132" s="241">
        <v>4535</v>
      </c>
      <c r="AQ2132" s="53" t="s">
        <v>136</v>
      </c>
      <c r="AR2132" s="529"/>
    </row>
    <row r="2133" s="53" customFormat="1" spans="1:44">
      <c r="A2133" s="439">
        <v>10723</v>
      </c>
      <c r="B2133" s="439" t="s">
        <v>7129</v>
      </c>
      <c r="C2133" s="440" t="s">
        <v>7130</v>
      </c>
      <c r="D2133" s="53">
        <v>1</v>
      </c>
      <c r="E2133" s="53">
        <v>0</v>
      </c>
      <c r="G2133" s="53">
        <v>1</v>
      </c>
      <c r="H2133" s="441">
        <v>129202</v>
      </c>
      <c r="I2133" s="727">
        <v>1.733</v>
      </c>
      <c r="J2133" s="727">
        <v>1.733</v>
      </c>
      <c r="L2133" s="53">
        <v>0</v>
      </c>
      <c r="M2133" s="53">
        <v>1.333</v>
      </c>
      <c r="N2133" s="53" t="s">
        <v>7131</v>
      </c>
      <c r="O2133" s="53">
        <v>1</v>
      </c>
      <c r="P2133" s="53">
        <v>2</v>
      </c>
      <c r="Q2133" s="53">
        <v>0</v>
      </c>
      <c r="S2133" s="53">
        <v>1.1</v>
      </c>
      <c r="V2133" s="53">
        <v>1</v>
      </c>
      <c r="W2133" s="53">
        <v>0</v>
      </c>
      <c r="X2133" s="538">
        <v>1</v>
      </c>
      <c r="Y2133" s="53">
        <v>-0.1</v>
      </c>
      <c r="Z2133" s="53">
        <v>0</v>
      </c>
      <c r="AN2133" s="733"/>
      <c r="AP2133" s="241">
        <v>4537</v>
      </c>
      <c r="AQ2133" s="53" t="s">
        <v>136</v>
      </c>
      <c r="AR2133" s="529"/>
    </row>
    <row r="2134" s="53" customFormat="1" spans="1:44">
      <c r="A2134" s="439">
        <v>10724</v>
      </c>
      <c r="B2134" s="439" t="s">
        <v>7132</v>
      </c>
      <c r="C2134" s="440" t="s">
        <v>7089</v>
      </c>
      <c r="D2134" s="53">
        <v>1</v>
      </c>
      <c r="E2134" s="53">
        <v>0</v>
      </c>
      <c r="G2134" s="53">
        <v>1</v>
      </c>
      <c r="H2134" s="441">
        <v>129203</v>
      </c>
      <c r="I2134" s="727">
        <v>2.267</v>
      </c>
      <c r="J2134" s="727">
        <v>2.267</v>
      </c>
      <c r="L2134" s="53">
        <v>1</v>
      </c>
      <c r="M2134" s="53">
        <v>1.867</v>
      </c>
      <c r="N2134" s="53" t="s">
        <v>7133</v>
      </c>
      <c r="O2134" s="53">
        <v>1</v>
      </c>
      <c r="P2134" s="53">
        <v>2</v>
      </c>
      <c r="Q2134" s="53">
        <v>0</v>
      </c>
      <c r="V2134" s="53">
        <v>1</v>
      </c>
      <c r="W2134" s="53">
        <v>0</v>
      </c>
      <c r="X2134" s="538">
        <v>3</v>
      </c>
      <c r="Y2134" s="53">
        <v>-0.1</v>
      </c>
      <c r="Z2134" s="53">
        <v>0</v>
      </c>
      <c r="AN2134" s="733"/>
      <c r="AP2134" s="241">
        <v>4539</v>
      </c>
      <c r="AQ2134" s="53" t="s">
        <v>136</v>
      </c>
      <c r="AR2134" s="529"/>
    </row>
    <row r="2135" s="53" customFormat="1" spans="1:47">
      <c r="A2135" s="439">
        <v>10725</v>
      </c>
      <c r="B2135" s="439" t="s">
        <v>7134</v>
      </c>
      <c r="C2135" s="440" t="s">
        <v>7104</v>
      </c>
      <c r="D2135" s="53">
        <v>1</v>
      </c>
      <c r="E2135" s="53">
        <v>0</v>
      </c>
      <c r="G2135" s="53">
        <v>1</v>
      </c>
      <c r="H2135" s="441">
        <v>129204</v>
      </c>
      <c r="I2135" s="727">
        <v>4.933</v>
      </c>
      <c r="J2135" s="727">
        <v>4.933</v>
      </c>
      <c r="L2135" s="53">
        <v>1</v>
      </c>
      <c r="M2135" s="53">
        <v>4.533</v>
      </c>
      <c r="N2135" s="53" t="s">
        <v>7135</v>
      </c>
      <c r="O2135" s="53">
        <v>1</v>
      </c>
      <c r="P2135" s="53">
        <v>2</v>
      </c>
      <c r="Q2135" s="53">
        <v>1</v>
      </c>
      <c r="S2135" s="53">
        <v>3</v>
      </c>
      <c r="V2135" s="53">
        <v>1</v>
      </c>
      <c r="W2135" s="53">
        <v>6</v>
      </c>
      <c r="X2135" s="538">
        <v>26</v>
      </c>
      <c r="Y2135" s="53">
        <v>-0.1</v>
      </c>
      <c r="Z2135" s="53">
        <v>0</v>
      </c>
      <c r="AB2135" s="53">
        <v>5</v>
      </c>
      <c r="AC2135" s="53">
        <v>2</v>
      </c>
      <c r="AD2135" s="53">
        <v>1</v>
      </c>
      <c r="AE2135" s="53" t="s">
        <v>7136</v>
      </c>
      <c r="AF2135" s="53">
        <v>0.5</v>
      </c>
      <c r="AN2135" s="733"/>
      <c r="AP2135" s="241">
        <v>4541</v>
      </c>
      <c r="AQ2135" s="53" t="s">
        <v>136</v>
      </c>
      <c r="AR2135" s="529"/>
      <c r="AU2135" s="53">
        <v>1</v>
      </c>
    </row>
    <row r="2136" s="53" customFormat="1" ht="16.5" spans="1:44">
      <c r="A2136" s="439">
        <v>10726</v>
      </c>
      <c r="B2136" s="710" t="s">
        <v>7137</v>
      </c>
      <c r="C2136" s="710" t="s">
        <v>2736</v>
      </c>
      <c r="D2136" s="53">
        <v>1</v>
      </c>
      <c r="E2136" s="53">
        <v>0</v>
      </c>
      <c r="G2136" s="53">
        <v>1</v>
      </c>
      <c r="H2136" s="442" t="s">
        <v>2737</v>
      </c>
      <c r="I2136" s="53">
        <f>408/30</f>
        <v>13.6</v>
      </c>
      <c r="J2136" s="53">
        <f>408/30</f>
        <v>13.6</v>
      </c>
      <c r="L2136" s="53">
        <v>1</v>
      </c>
      <c r="M2136" s="53">
        <f>I2136-0.4</f>
        <v>13.2</v>
      </c>
      <c r="N2136" s="729" t="s">
        <v>2738</v>
      </c>
      <c r="O2136" s="53">
        <v>1</v>
      </c>
      <c r="P2136" s="439">
        <v>4.1</v>
      </c>
      <c r="Q2136" s="53">
        <v>0</v>
      </c>
      <c r="V2136" s="53">
        <v>1</v>
      </c>
      <c r="W2136" s="439">
        <v>0</v>
      </c>
      <c r="X2136" s="538">
        <v>2</v>
      </c>
      <c r="Y2136" s="53">
        <v>-0.1</v>
      </c>
      <c r="Z2136" s="53">
        <v>0</v>
      </c>
      <c r="AB2136" s="53">
        <f>I2136-0.3</f>
        <v>13.3</v>
      </c>
      <c r="AC2136" s="53">
        <v>2</v>
      </c>
      <c r="AD2136" s="53">
        <v>1</v>
      </c>
      <c r="AE2136" s="53" t="s">
        <v>2739</v>
      </c>
      <c r="AF2136" s="53">
        <v>0.5</v>
      </c>
      <c r="AN2136" s="733"/>
      <c r="AP2136" s="737">
        <v>2665</v>
      </c>
      <c r="AQ2136" s="53" t="s">
        <v>136</v>
      </c>
      <c r="AR2136" s="529"/>
    </row>
    <row r="2137" s="59" customFormat="1" ht="16.5" spans="1:44">
      <c r="A2137" s="711">
        <v>10727</v>
      </c>
      <c r="B2137" s="712" t="s">
        <v>7138</v>
      </c>
      <c r="C2137" s="712" t="s">
        <v>526</v>
      </c>
      <c r="D2137" s="59">
        <v>1</v>
      </c>
      <c r="E2137" s="59">
        <v>0</v>
      </c>
      <c r="G2137" s="59">
        <v>2</v>
      </c>
      <c r="H2137" s="713">
        <v>130201</v>
      </c>
      <c r="I2137" s="59">
        <v>2</v>
      </c>
      <c r="J2137" s="59">
        <v>2</v>
      </c>
      <c r="L2137" s="59">
        <v>0</v>
      </c>
      <c r="M2137" s="59">
        <v>0.9</v>
      </c>
      <c r="N2137" s="59" t="s">
        <v>7139</v>
      </c>
      <c r="O2137" s="59">
        <v>1</v>
      </c>
      <c r="P2137" s="711">
        <v>3</v>
      </c>
      <c r="Q2137" s="59">
        <v>0</v>
      </c>
      <c r="V2137" s="59">
        <v>1</v>
      </c>
      <c r="W2137" s="711">
        <v>0</v>
      </c>
      <c r="X2137" s="557">
        <v>1</v>
      </c>
      <c r="Y2137" s="59">
        <v>-0.1</v>
      </c>
      <c r="Z2137" s="59">
        <v>0</v>
      </c>
      <c r="AN2137" s="545"/>
      <c r="AP2137" s="738">
        <v>4827</v>
      </c>
      <c r="AQ2137" s="59" t="s">
        <v>136</v>
      </c>
      <c r="AR2137" s="552"/>
    </row>
    <row r="2138" s="59" customFormat="1" ht="16.5" spans="1:44">
      <c r="A2138" s="711">
        <v>10728</v>
      </c>
      <c r="B2138" s="712" t="s">
        <v>7140</v>
      </c>
      <c r="C2138" s="712" t="s">
        <v>526</v>
      </c>
      <c r="D2138" s="59">
        <v>1</v>
      </c>
      <c r="E2138" s="59">
        <v>0</v>
      </c>
      <c r="G2138" s="59">
        <v>1</v>
      </c>
      <c r="H2138" s="713">
        <v>130301</v>
      </c>
      <c r="I2138" s="59">
        <v>2</v>
      </c>
      <c r="J2138" s="59">
        <v>2</v>
      </c>
      <c r="L2138" s="59">
        <v>0</v>
      </c>
      <c r="M2138" s="59">
        <v>0.866666666666667</v>
      </c>
      <c r="N2138" s="59" t="s">
        <v>7141</v>
      </c>
      <c r="O2138" s="59">
        <v>1</v>
      </c>
      <c r="P2138" s="711">
        <v>2</v>
      </c>
      <c r="Q2138" s="59">
        <v>0</v>
      </c>
      <c r="V2138" s="59">
        <v>1</v>
      </c>
      <c r="W2138" s="711">
        <v>0</v>
      </c>
      <c r="X2138" s="557">
        <v>1</v>
      </c>
      <c r="Y2138" s="59">
        <v>-0.1</v>
      </c>
      <c r="Z2138" s="59">
        <v>0</v>
      </c>
      <c r="AN2138" s="545"/>
      <c r="AP2138" s="738">
        <v>4829</v>
      </c>
      <c r="AQ2138" s="59" t="s">
        <v>136</v>
      </c>
      <c r="AR2138" s="552"/>
    </row>
    <row r="2139" s="78" customFormat="1" ht="16.5" spans="1:44">
      <c r="A2139" s="714">
        <v>10729</v>
      </c>
      <c r="B2139" s="715" t="s">
        <v>7142</v>
      </c>
      <c r="C2139" s="715" t="s">
        <v>526</v>
      </c>
      <c r="D2139" s="78">
        <v>1</v>
      </c>
      <c r="E2139" s="78">
        <v>0</v>
      </c>
      <c r="G2139" s="78">
        <v>1</v>
      </c>
      <c r="H2139" s="716">
        <v>130801</v>
      </c>
      <c r="I2139" s="78">
        <v>1.8</v>
      </c>
      <c r="J2139" s="78">
        <v>1.8</v>
      </c>
      <c r="L2139" s="78">
        <v>0</v>
      </c>
      <c r="M2139" s="78">
        <v>0.833333333333333</v>
      </c>
      <c r="N2139" s="78" t="s">
        <v>7143</v>
      </c>
      <c r="O2139" s="78">
        <v>1</v>
      </c>
      <c r="P2139" s="714">
        <v>3</v>
      </c>
      <c r="Q2139" s="78">
        <v>0</v>
      </c>
      <c r="S2139" s="78">
        <v>2</v>
      </c>
      <c r="U2139" s="78">
        <v>0.3</v>
      </c>
      <c r="V2139" s="78">
        <v>1</v>
      </c>
      <c r="W2139" s="714">
        <v>0</v>
      </c>
      <c r="X2139" s="730">
        <v>1</v>
      </c>
      <c r="Y2139" s="78">
        <v>-0.1</v>
      </c>
      <c r="Z2139" s="78">
        <v>0</v>
      </c>
      <c r="AN2139" s="79"/>
      <c r="AP2139" s="739">
        <v>4831</v>
      </c>
      <c r="AQ2139" s="78" t="s">
        <v>136</v>
      </c>
      <c r="AR2139" s="740"/>
    </row>
    <row r="2140" s="78" customFormat="1" ht="16.5" spans="1:44">
      <c r="A2140" s="714">
        <v>10730</v>
      </c>
      <c r="B2140" s="715" t="s">
        <v>7144</v>
      </c>
      <c r="C2140" s="715" t="s">
        <v>7145</v>
      </c>
      <c r="D2140" s="78">
        <v>1</v>
      </c>
      <c r="E2140" s="78">
        <v>0</v>
      </c>
      <c r="G2140" s="78">
        <v>1</v>
      </c>
      <c r="H2140" s="716">
        <v>130802</v>
      </c>
      <c r="I2140" s="78">
        <v>1.933</v>
      </c>
      <c r="J2140" s="78">
        <v>1.933</v>
      </c>
      <c r="L2140" s="78">
        <v>1</v>
      </c>
      <c r="M2140" s="78">
        <v>1.4</v>
      </c>
      <c r="N2140" s="78" t="s">
        <v>7146</v>
      </c>
      <c r="O2140" s="78">
        <v>1</v>
      </c>
      <c r="P2140" s="714">
        <v>3</v>
      </c>
      <c r="Q2140" s="78">
        <v>0</v>
      </c>
      <c r="S2140" s="78">
        <v>2</v>
      </c>
      <c r="U2140" s="78">
        <v>0.3</v>
      </c>
      <c r="V2140" s="78">
        <v>1</v>
      </c>
      <c r="W2140" s="714">
        <v>0</v>
      </c>
      <c r="X2140" s="730">
        <v>2</v>
      </c>
      <c r="Y2140" s="78">
        <v>-0.1</v>
      </c>
      <c r="Z2140" s="78">
        <v>0</v>
      </c>
      <c r="AN2140" s="79"/>
      <c r="AP2140" s="739">
        <v>4833</v>
      </c>
      <c r="AQ2140" s="78" t="s">
        <v>136</v>
      </c>
      <c r="AR2140" s="740"/>
    </row>
    <row r="2141" s="78" customFormat="1" ht="16.5" spans="1:44">
      <c r="A2141" s="714">
        <v>10731</v>
      </c>
      <c r="B2141" s="715" t="s">
        <v>7147</v>
      </c>
      <c r="C2141" s="715" t="s">
        <v>7148</v>
      </c>
      <c r="D2141" s="78">
        <v>1</v>
      </c>
      <c r="E2141" s="78">
        <v>7</v>
      </c>
      <c r="G2141" s="78">
        <v>1</v>
      </c>
      <c r="H2141" s="716">
        <v>130803</v>
      </c>
      <c r="I2141" s="78">
        <v>2.267</v>
      </c>
      <c r="J2141" s="78">
        <v>2.267</v>
      </c>
      <c r="L2141" s="78">
        <v>0</v>
      </c>
      <c r="M2141" s="78">
        <v>1.23333333333333</v>
      </c>
      <c r="N2141" s="78" t="s">
        <v>7149</v>
      </c>
      <c r="O2141" s="78">
        <v>1</v>
      </c>
      <c r="P2141" s="714">
        <v>3</v>
      </c>
      <c r="Q2141" s="78">
        <v>0</v>
      </c>
      <c r="S2141" s="78">
        <v>1</v>
      </c>
      <c r="U2141" s="78">
        <v>0.3</v>
      </c>
      <c r="V2141" s="78">
        <v>1</v>
      </c>
      <c r="W2141" s="714">
        <v>6</v>
      </c>
      <c r="X2141" s="730">
        <v>1</v>
      </c>
      <c r="Y2141" s="78">
        <v>-0.1</v>
      </c>
      <c r="Z2141" s="78">
        <v>0</v>
      </c>
      <c r="AN2141" s="79"/>
      <c r="AP2141" s="739">
        <v>4835</v>
      </c>
      <c r="AQ2141" s="78" t="s">
        <v>136</v>
      </c>
      <c r="AR2141" s="740"/>
    </row>
    <row r="2142" s="59" customFormat="1" ht="16.5" spans="1:44">
      <c r="A2142" s="711">
        <v>10732</v>
      </c>
      <c r="B2142" s="712" t="s">
        <v>7150</v>
      </c>
      <c r="C2142" s="712" t="s">
        <v>526</v>
      </c>
      <c r="D2142" s="59">
        <v>1</v>
      </c>
      <c r="E2142" s="59">
        <v>0</v>
      </c>
      <c r="G2142" s="59">
        <v>1</v>
      </c>
      <c r="H2142" s="713">
        <v>130901</v>
      </c>
      <c r="I2142" s="59">
        <v>1.933</v>
      </c>
      <c r="J2142" s="59">
        <v>1.933</v>
      </c>
      <c r="L2142" s="59">
        <v>1</v>
      </c>
      <c r="M2142" s="59">
        <v>1.53333333333333</v>
      </c>
      <c r="N2142" s="59" t="s">
        <v>7151</v>
      </c>
      <c r="O2142" s="59">
        <v>1</v>
      </c>
      <c r="P2142" s="711">
        <v>2</v>
      </c>
      <c r="Q2142" s="59">
        <v>0</v>
      </c>
      <c r="V2142" s="59">
        <v>1</v>
      </c>
      <c r="W2142" s="711">
        <v>0</v>
      </c>
      <c r="X2142" s="557">
        <v>3</v>
      </c>
      <c r="Y2142" s="59">
        <v>-0.1</v>
      </c>
      <c r="Z2142" s="59">
        <v>0</v>
      </c>
      <c r="AN2142" s="545"/>
      <c r="AP2142" s="738">
        <v>4837</v>
      </c>
      <c r="AQ2142" s="59" t="s">
        <v>136</v>
      </c>
      <c r="AR2142" s="552"/>
    </row>
    <row r="2143" s="59" customFormat="1" ht="16.5" spans="1:44">
      <c r="A2143" s="711">
        <v>10733</v>
      </c>
      <c r="B2143" s="712" t="s">
        <v>7152</v>
      </c>
      <c r="C2143" s="712" t="s">
        <v>7153</v>
      </c>
      <c r="D2143" s="59">
        <v>1</v>
      </c>
      <c r="E2143" s="59">
        <v>0</v>
      </c>
      <c r="G2143" s="59">
        <v>1</v>
      </c>
      <c r="H2143" s="713">
        <v>130902</v>
      </c>
      <c r="I2143" s="59">
        <v>2.833</v>
      </c>
      <c r="J2143" s="59">
        <v>2.833</v>
      </c>
      <c r="L2143" s="59">
        <v>1</v>
      </c>
      <c r="M2143" s="59">
        <v>1.86666666666667</v>
      </c>
      <c r="N2143" s="59" t="s">
        <v>7154</v>
      </c>
      <c r="O2143" s="59">
        <v>1</v>
      </c>
      <c r="P2143" s="711">
        <v>2</v>
      </c>
      <c r="Q2143" s="59">
        <v>0</v>
      </c>
      <c r="V2143" s="59">
        <v>1</v>
      </c>
      <c r="W2143" s="711">
        <v>0</v>
      </c>
      <c r="X2143" s="557">
        <v>3</v>
      </c>
      <c r="Y2143" s="59">
        <v>-0.1</v>
      </c>
      <c r="Z2143" s="59">
        <v>0</v>
      </c>
      <c r="AN2143" s="545"/>
      <c r="AP2143" s="738">
        <v>4839</v>
      </c>
      <c r="AQ2143" s="59" t="s">
        <v>136</v>
      </c>
      <c r="AR2143" s="552"/>
    </row>
    <row r="2144" s="59" customFormat="1" ht="16.5" spans="1:44">
      <c r="A2144" s="711">
        <v>10734</v>
      </c>
      <c r="B2144" s="712" t="s">
        <v>7155</v>
      </c>
      <c r="C2144" s="712" t="s">
        <v>7156</v>
      </c>
      <c r="D2144" s="59">
        <v>1</v>
      </c>
      <c r="E2144" s="59">
        <v>0</v>
      </c>
      <c r="G2144" s="59">
        <v>1</v>
      </c>
      <c r="H2144" s="713">
        <v>130903</v>
      </c>
      <c r="I2144" s="59">
        <v>2.167</v>
      </c>
      <c r="J2144" s="59">
        <v>2.167</v>
      </c>
      <c r="L2144" s="59">
        <v>1</v>
      </c>
      <c r="M2144" s="59">
        <v>1.5</v>
      </c>
      <c r="N2144" s="59" t="s">
        <v>7157</v>
      </c>
      <c r="O2144" s="59">
        <v>1</v>
      </c>
      <c r="P2144" s="711">
        <v>2</v>
      </c>
      <c r="Q2144" s="59">
        <v>0</v>
      </c>
      <c r="V2144" s="59">
        <v>1</v>
      </c>
      <c r="W2144" s="711">
        <v>4</v>
      </c>
      <c r="X2144" s="557">
        <v>2</v>
      </c>
      <c r="Y2144" s="59">
        <v>-0.1</v>
      </c>
      <c r="Z2144" s="59">
        <v>0</v>
      </c>
      <c r="AN2144" s="545"/>
      <c r="AP2144" s="738">
        <v>4841</v>
      </c>
      <c r="AQ2144" s="59" t="s">
        <v>136</v>
      </c>
      <c r="AR2144" s="552"/>
    </row>
    <row r="2145" s="59" customFormat="1" ht="16.5" spans="1:44">
      <c r="A2145" s="711">
        <v>10735</v>
      </c>
      <c r="B2145" s="712" t="s">
        <v>7158</v>
      </c>
      <c r="C2145" s="712" t="s">
        <v>7159</v>
      </c>
      <c r="D2145" s="59">
        <v>1</v>
      </c>
      <c r="E2145" s="59">
        <v>0</v>
      </c>
      <c r="G2145" s="59">
        <v>1</v>
      </c>
      <c r="H2145" s="713">
        <v>130903</v>
      </c>
      <c r="I2145" s="59">
        <v>2.167</v>
      </c>
      <c r="J2145" s="59">
        <v>2.167</v>
      </c>
      <c r="L2145" s="59">
        <v>1</v>
      </c>
      <c r="M2145" s="59">
        <v>1.5</v>
      </c>
      <c r="N2145" s="59" t="s">
        <v>7157</v>
      </c>
      <c r="O2145" s="59">
        <v>1</v>
      </c>
      <c r="P2145" s="711">
        <v>2</v>
      </c>
      <c r="Q2145" s="59">
        <v>0</v>
      </c>
      <c r="V2145" s="59">
        <v>1</v>
      </c>
      <c r="W2145" s="711">
        <v>4</v>
      </c>
      <c r="X2145" s="557">
        <v>2</v>
      </c>
      <c r="Y2145" s="59">
        <v>-0.1</v>
      </c>
      <c r="Z2145" s="59">
        <v>0</v>
      </c>
      <c r="AN2145" s="545"/>
      <c r="AP2145" s="738">
        <v>4841</v>
      </c>
      <c r="AQ2145" s="59" t="s">
        <v>136</v>
      </c>
      <c r="AR2145" s="552"/>
    </row>
    <row r="2146" s="79" customFormat="1" ht="16.5" spans="1:44">
      <c r="A2146" s="714">
        <v>10736</v>
      </c>
      <c r="B2146" s="717" t="s">
        <v>7160</v>
      </c>
      <c r="C2146" s="717" t="s">
        <v>526</v>
      </c>
      <c r="D2146" s="79">
        <v>1</v>
      </c>
      <c r="E2146" s="79">
        <v>0</v>
      </c>
      <c r="G2146" s="79">
        <v>1</v>
      </c>
      <c r="H2146" s="718">
        <v>12701</v>
      </c>
      <c r="I2146" s="79">
        <v>2.36666666666667</v>
      </c>
      <c r="J2146" s="79">
        <v>2.36666666666667</v>
      </c>
      <c r="L2146" s="79">
        <v>0</v>
      </c>
      <c r="M2146" s="79">
        <v>1.96666666666667</v>
      </c>
      <c r="N2146" s="79" t="s">
        <v>3872</v>
      </c>
      <c r="O2146" s="79">
        <v>1</v>
      </c>
      <c r="P2146" s="714">
        <v>1.2</v>
      </c>
      <c r="Q2146" s="79">
        <v>0</v>
      </c>
      <c r="V2146" s="79">
        <v>1</v>
      </c>
      <c r="W2146" s="714">
        <v>0</v>
      </c>
      <c r="X2146" s="731">
        <v>3</v>
      </c>
      <c r="Y2146" s="79">
        <v>-0.1</v>
      </c>
      <c r="Z2146" s="79">
        <v>0</v>
      </c>
      <c r="AP2146" s="739">
        <v>4089</v>
      </c>
      <c r="AQ2146" s="79" t="s">
        <v>136</v>
      </c>
      <c r="AR2146" s="718"/>
    </row>
    <row r="2147" s="79" customFormat="1" ht="16.5" spans="1:47">
      <c r="A2147" s="714">
        <v>10737</v>
      </c>
      <c r="B2147" s="717" t="s">
        <v>7161</v>
      </c>
      <c r="C2147" s="717" t="s">
        <v>3875</v>
      </c>
      <c r="D2147" s="79">
        <v>1</v>
      </c>
      <c r="E2147" s="79">
        <v>0</v>
      </c>
      <c r="G2147" s="79">
        <v>1</v>
      </c>
      <c r="H2147" s="718">
        <v>3007603</v>
      </c>
      <c r="I2147" s="79">
        <v>3.23333333333333</v>
      </c>
      <c r="J2147" s="79">
        <v>3.23333333333333</v>
      </c>
      <c r="L2147" s="79">
        <v>1</v>
      </c>
      <c r="M2147" s="79">
        <v>2.83333333333333</v>
      </c>
      <c r="N2147" s="79" t="s">
        <v>3876</v>
      </c>
      <c r="O2147" s="79">
        <v>1</v>
      </c>
      <c r="P2147" s="714">
        <v>1.2</v>
      </c>
      <c r="Q2147" s="79">
        <v>0</v>
      </c>
      <c r="V2147" s="79">
        <v>1</v>
      </c>
      <c r="W2147" s="714">
        <v>6</v>
      </c>
      <c r="X2147" s="731">
        <v>1</v>
      </c>
      <c r="Y2147" s="79">
        <v>-0.1</v>
      </c>
      <c r="Z2147" s="79">
        <v>0</v>
      </c>
      <c r="AB2147" s="79">
        <v>3.23333333333333</v>
      </c>
      <c r="AC2147" s="79">
        <v>2</v>
      </c>
      <c r="AD2147" s="79">
        <v>1</v>
      </c>
      <c r="AE2147" s="79" t="s">
        <v>3877</v>
      </c>
      <c r="AF2147" s="79">
        <v>0.4</v>
      </c>
      <c r="AP2147" s="739">
        <v>4092</v>
      </c>
      <c r="AQ2147" s="79" t="s">
        <v>136</v>
      </c>
      <c r="AR2147" s="718"/>
      <c r="AU2147" s="79">
        <v>1</v>
      </c>
    </row>
    <row r="2148" s="79" customFormat="1" ht="16.5" spans="1:47">
      <c r="A2148" s="714">
        <v>10738</v>
      </c>
      <c r="B2148" s="717" t="s">
        <v>7162</v>
      </c>
      <c r="C2148" s="717" t="s">
        <v>3890</v>
      </c>
      <c r="D2148" s="79">
        <v>1</v>
      </c>
      <c r="E2148" s="79">
        <v>0</v>
      </c>
      <c r="G2148" s="79">
        <v>1</v>
      </c>
      <c r="H2148" s="718">
        <v>3007608</v>
      </c>
      <c r="I2148" s="79">
        <v>10</v>
      </c>
      <c r="J2148" s="79">
        <v>10</v>
      </c>
      <c r="L2148" s="79">
        <v>1</v>
      </c>
      <c r="M2148" s="79">
        <v>9.6</v>
      </c>
      <c r="N2148" s="79" t="s">
        <v>3891</v>
      </c>
      <c r="O2148" s="79">
        <v>1</v>
      </c>
      <c r="P2148" s="714">
        <v>20</v>
      </c>
      <c r="Q2148" s="79">
        <v>0</v>
      </c>
      <c r="V2148" s="79">
        <v>1</v>
      </c>
      <c r="W2148" s="714">
        <v>0</v>
      </c>
      <c r="X2148" s="731">
        <v>1</v>
      </c>
      <c r="Y2148" s="79">
        <v>-0.1</v>
      </c>
      <c r="Z2148" s="79">
        <v>0</v>
      </c>
      <c r="AB2148" s="79">
        <v>9.6</v>
      </c>
      <c r="AC2148" s="79">
        <v>2</v>
      </c>
      <c r="AD2148" s="79">
        <v>1</v>
      </c>
      <c r="AE2148" s="79" t="s">
        <v>3892</v>
      </c>
      <c r="AF2148" s="79">
        <v>0.5</v>
      </c>
      <c r="AN2148" s="79">
        <v>4098</v>
      </c>
      <c r="AO2148" s="79" t="s">
        <v>966</v>
      </c>
      <c r="AP2148" s="739">
        <v>4097</v>
      </c>
      <c r="AQ2148" s="79" t="s">
        <v>136</v>
      </c>
      <c r="AR2148" s="718"/>
      <c r="AU2148" s="79">
        <v>1</v>
      </c>
    </row>
    <row r="2149" s="80" customFormat="1" ht="16.5" spans="1:44">
      <c r="A2149" s="692">
        <v>10739</v>
      </c>
      <c r="B2149" s="719" t="s">
        <v>7106</v>
      </c>
      <c r="C2149" s="719" t="s">
        <v>526</v>
      </c>
      <c r="D2149" s="80">
        <v>1</v>
      </c>
      <c r="E2149" s="80">
        <v>0</v>
      </c>
      <c r="G2149" s="80">
        <v>1</v>
      </c>
      <c r="H2149" s="720" t="s">
        <v>3466</v>
      </c>
      <c r="I2149" s="80">
        <v>3.9</v>
      </c>
      <c r="J2149" s="80">
        <v>3.9</v>
      </c>
      <c r="L2149" s="80">
        <v>0</v>
      </c>
      <c r="M2149" s="80">
        <v>3.5</v>
      </c>
      <c r="N2149" s="80" t="s">
        <v>3467</v>
      </c>
      <c r="O2149" s="80">
        <v>1</v>
      </c>
      <c r="P2149" s="692">
        <v>2</v>
      </c>
      <c r="Q2149" s="80">
        <v>0</v>
      </c>
      <c r="U2149" s="80">
        <v>0.3</v>
      </c>
      <c r="V2149" s="80">
        <v>1</v>
      </c>
      <c r="W2149" s="692">
        <v>0</v>
      </c>
      <c r="X2149" s="732">
        <v>3</v>
      </c>
      <c r="Y2149" s="80">
        <v>-0.1</v>
      </c>
      <c r="Z2149" s="80">
        <v>0</v>
      </c>
      <c r="AP2149" s="741">
        <v>3645</v>
      </c>
      <c r="AQ2149" s="80" t="s">
        <v>136</v>
      </c>
      <c r="AR2149" s="720"/>
    </row>
    <row r="2150" s="80" customFormat="1" ht="16.5" spans="1:44">
      <c r="A2150" s="692">
        <v>10740</v>
      </c>
      <c r="B2150" s="719" t="s">
        <v>7107</v>
      </c>
      <c r="C2150" s="719" t="s">
        <v>3480</v>
      </c>
      <c r="D2150" s="80">
        <v>1</v>
      </c>
      <c r="E2150" s="80">
        <v>0</v>
      </c>
      <c r="G2150" s="80">
        <v>1</v>
      </c>
      <c r="H2150" s="720" t="s">
        <v>3481</v>
      </c>
      <c r="I2150" s="80">
        <v>1.18333333333333</v>
      </c>
      <c r="J2150" s="80">
        <v>1.18333333333333</v>
      </c>
      <c r="L2150" s="80">
        <v>1</v>
      </c>
      <c r="M2150" s="80">
        <v>0.783333333333333</v>
      </c>
      <c r="N2150" s="80" t="s">
        <v>3482</v>
      </c>
      <c r="O2150" s="80">
        <v>1</v>
      </c>
      <c r="P2150" s="692">
        <v>2</v>
      </c>
      <c r="Q2150" s="80">
        <v>0</v>
      </c>
      <c r="S2150" s="80">
        <v>1</v>
      </c>
      <c r="U2150" s="80">
        <v>1</v>
      </c>
      <c r="V2150" s="80">
        <v>1</v>
      </c>
      <c r="W2150" s="692">
        <v>4</v>
      </c>
      <c r="X2150" s="732">
        <v>1</v>
      </c>
      <c r="Y2150" s="80">
        <v>-0.1</v>
      </c>
      <c r="Z2150" s="80">
        <v>0</v>
      </c>
      <c r="AP2150" s="741">
        <v>3634</v>
      </c>
      <c r="AQ2150" s="80" t="s">
        <v>3483</v>
      </c>
      <c r="AR2150" s="720"/>
    </row>
    <row r="2151" s="80" customFormat="1" ht="16.5" spans="1:44">
      <c r="A2151" s="692">
        <v>10741</v>
      </c>
      <c r="B2151" s="719" t="s">
        <v>7109</v>
      </c>
      <c r="C2151" s="719" t="s">
        <v>3477</v>
      </c>
      <c r="D2151" s="80">
        <v>2</v>
      </c>
      <c r="E2151" s="80">
        <v>0</v>
      </c>
      <c r="G2151" s="80">
        <v>1</v>
      </c>
      <c r="H2151" s="720" t="s">
        <v>3478</v>
      </c>
      <c r="I2151" s="80">
        <v>2.1</v>
      </c>
      <c r="J2151" s="80">
        <v>2.1</v>
      </c>
      <c r="L2151" s="80">
        <v>0</v>
      </c>
      <c r="M2151" s="80">
        <v>1.7</v>
      </c>
      <c r="N2151" s="80" t="s">
        <v>3479</v>
      </c>
      <c r="O2151" s="80">
        <v>1</v>
      </c>
      <c r="P2151" s="692">
        <v>2</v>
      </c>
      <c r="Q2151" s="80">
        <v>0</v>
      </c>
      <c r="S2151" s="80">
        <v>0.5</v>
      </c>
      <c r="T2151" s="80">
        <v>-2</v>
      </c>
      <c r="U2151" s="80">
        <v>0.5</v>
      </c>
      <c r="V2151" s="80">
        <v>101</v>
      </c>
      <c r="W2151" s="692">
        <v>0</v>
      </c>
      <c r="X2151" s="732">
        <v>0</v>
      </c>
      <c r="Y2151" s="80">
        <v>-0.1</v>
      </c>
      <c r="Z2151" s="80">
        <v>0</v>
      </c>
      <c r="AP2151" s="741">
        <v>3647</v>
      </c>
      <c r="AQ2151" s="80" t="s">
        <v>136</v>
      </c>
      <c r="AR2151" s="720"/>
    </row>
    <row r="2152" s="80" customFormat="1" ht="16.5" spans="1:47">
      <c r="A2152" s="692">
        <v>10742</v>
      </c>
      <c r="B2152" s="719" t="s">
        <v>7163</v>
      </c>
      <c r="C2152" s="719" t="s">
        <v>3499</v>
      </c>
      <c r="D2152" s="80">
        <v>1</v>
      </c>
      <c r="E2152" s="80">
        <v>0</v>
      </c>
      <c r="G2152" s="80">
        <v>1</v>
      </c>
      <c r="H2152" s="720" t="s">
        <v>3500</v>
      </c>
      <c r="I2152" s="80">
        <v>11.6666666666667</v>
      </c>
      <c r="J2152" s="80">
        <v>11.6666666666667</v>
      </c>
      <c r="L2152" s="80">
        <v>1</v>
      </c>
      <c r="M2152" s="80">
        <v>11.2666666666667</v>
      </c>
      <c r="N2152" s="80" t="s">
        <v>3501</v>
      </c>
      <c r="O2152" s="80">
        <v>3</v>
      </c>
      <c r="P2152" s="692">
        <v>-15</v>
      </c>
      <c r="Q2152" s="80">
        <v>0</v>
      </c>
      <c r="V2152" s="80">
        <v>6</v>
      </c>
      <c r="W2152" s="692">
        <v>6</v>
      </c>
      <c r="X2152" s="732">
        <v>1</v>
      </c>
      <c r="Y2152" s="80">
        <v>-0.1</v>
      </c>
      <c r="Z2152" s="80">
        <v>0</v>
      </c>
      <c r="AD2152" s="80">
        <v>1</v>
      </c>
      <c r="AE2152" s="80" t="s">
        <v>3502</v>
      </c>
      <c r="AP2152" s="741">
        <v>3656</v>
      </c>
      <c r="AQ2152" s="80" t="s">
        <v>136</v>
      </c>
      <c r="AR2152" s="720"/>
      <c r="AU2152" s="80">
        <v>1</v>
      </c>
    </row>
    <row r="2153" s="79" customFormat="1" ht="16.5" spans="1:44">
      <c r="A2153" s="714">
        <v>10743</v>
      </c>
      <c r="B2153" s="717" t="s">
        <v>7164</v>
      </c>
      <c r="C2153" s="717" t="s">
        <v>526</v>
      </c>
      <c r="D2153" s="79">
        <v>1</v>
      </c>
      <c r="E2153" s="79">
        <v>0</v>
      </c>
      <c r="G2153" s="79">
        <v>1</v>
      </c>
      <c r="H2153" s="718" t="s">
        <v>3509</v>
      </c>
      <c r="I2153" s="79">
        <v>1.66666666666667</v>
      </c>
      <c r="J2153" s="79">
        <v>1.66666666666667</v>
      </c>
      <c r="L2153" s="79">
        <v>0</v>
      </c>
      <c r="M2153" s="79">
        <v>1.26666666666667</v>
      </c>
      <c r="N2153" s="79" t="s">
        <v>3510</v>
      </c>
      <c r="O2153" s="79">
        <v>1</v>
      </c>
      <c r="P2153" s="714">
        <v>2.2</v>
      </c>
      <c r="Q2153" s="79">
        <v>0</v>
      </c>
      <c r="S2153" s="79">
        <v>0.2</v>
      </c>
      <c r="T2153" s="79">
        <v>-0.1</v>
      </c>
      <c r="U2153" s="79">
        <v>0.1</v>
      </c>
      <c r="V2153" s="79">
        <v>1</v>
      </c>
      <c r="W2153" s="714">
        <v>0</v>
      </c>
      <c r="X2153" s="731">
        <v>2</v>
      </c>
      <c r="Y2153" s="79">
        <v>-0.1</v>
      </c>
      <c r="Z2153" s="79">
        <v>0</v>
      </c>
      <c r="AP2153" s="739">
        <v>3662</v>
      </c>
      <c r="AQ2153" s="79" t="s">
        <v>136</v>
      </c>
      <c r="AR2153" s="718"/>
    </row>
    <row r="2154" s="79" customFormat="1" ht="16.5" spans="1:44">
      <c r="A2154" s="714">
        <v>10744</v>
      </c>
      <c r="B2154" s="717" t="s">
        <v>7165</v>
      </c>
      <c r="C2154" s="717" t="s">
        <v>3511</v>
      </c>
      <c r="D2154" s="79">
        <v>1</v>
      </c>
      <c r="E2154" s="79">
        <v>0</v>
      </c>
      <c r="G2154" s="79">
        <v>1</v>
      </c>
      <c r="H2154" s="718" t="s">
        <v>3512</v>
      </c>
      <c r="I2154" s="79">
        <v>2.46666666666667</v>
      </c>
      <c r="J2154" s="79">
        <v>2.46666666666667</v>
      </c>
      <c r="L2154" s="79">
        <v>1</v>
      </c>
      <c r="M2154" s="79">
        <v>2.06666666666667</v>
      </c>
      <c r="N2154" s="79" t="s">
        <v>3513</v>
      </c>
      <c r="O2154" s="79">
        <v>1</v>
      </c>
      <c r="P2154" s="714">
        <v>2.2</v>
      </c>
      <c r="Q2154" s="79">
        <v>0</v>
      </c>
      <c r="S2154" s="79">
        <v>1</v>
      </c>
      <c r="T2154" s="79">
        <v>-0.4</v>
      </c>
      <c r="U2154" s="79">
        <v>2</v>
      </c>
      <c r="V2154" s="79">
        <v>1</v>
      </c>
      <c r="W2154" s="714">
        <v>6</v>
      </c>
      <c r="X2154" s="731">
        <v>1</v>
      </c>
      <c r="Y2154" s="79">
        <v>-0.1</v>
      </c>
      <c r="Z2154" s="79">
        <v>0</v>
      </c>
      <c r="AP2154" s="739">
        <v>3664</v>
      </c>
      <c r="AQ2154" s="79" t="s">
        <v>136</v>
      </c>
      <c r="AR2154" s="718"/>
    </row>
    <row r="2155" s="79" customFormat="1" ht="16.5" spans="1:47">
      <c r="A2155" s="714">
        <v>10745</v>
      </c>
      <c r="B2155" s="717" t="s">
        <v>7166</v>
      </c>
      <c r="C2155" s="717" t="s">
        <v>3525</v>
      </c>
      <c r="D2155" s="79">
        <v>1</v>
      </c>
      <c r="E2155" s="79">
        <v>0</v>
      </c>
      <c r="G2155" s="79">
        <v>1</v>
      </c>
      <c r="H2155" s="718" t="s">
        <v>3526</v>
      </c>
      <c r="I2155" s="79">
        <v>12.3333333333333</v>
      </c>
      <c r="J2155" s="79">
        <v>12.3333333333333</v>
      </c>
      <c r="L2155" s="79">
        <v>1</v>
      </c>
      <c r="M2155" s="79">
        <v>11.9333333333333</v>
      </c>
      <c r="N2155" s="79" t="s">
        <v>3527</v>
      </c>
      <c r="O2155" s="79">
        <v>1</v>
      </c>
      <c r="P2155" s="714">
        <v>4</v>
      </c>
      <c r="Q2155" s="79">
        <v>0</v>
      </c>
      <c r="V2155" s="79">
        <v>1</v>
      </c>
      <c r="W2155" s="714">
        <v>6</v>
      </c>
      <c r="X2155" s="731">
        <v>4</v>
      </c>
      <c r="Y2155" s="79">
        <v>-0.1</v>
      </c>
      <c r="Z2155" s="79">
        <v>0</v>
      </c>
      <c r="AB2155" s="79">
        <v>12.0333333333333</v>
      </c>
      <c r="AC2155" s="79">
        <v>2</v>
      </c>
      <c r="AD2155" s="79">
        <v>1</v>
      </c>
      <c r="AE2155" s="79" t="s">
        <v>3528</v>
      </c>
      <c r="AF2155" s="79">
        <v>0.5</v>
      </c>
      <c r="AP2155" s="739">
        <v>3695</v>
      </c>
      <c r="AQ2155" s="79" t="s">
        <v>136</v>
      </c>
      <c r="AR2155" s="718"/>
      <c r="AU2155" s="79">
        <v>1</v>
      </c>
    </row>
    <row r="2156" s="59" customFormat="1" ht="16.5" spans="1:44">
      <c r="A2156" s="711">
        <v>10746</v>
      </c>
      <c r="B2156" s="712" t="s">
        <v>7167</v>
      </c>
      <c r="C2156" s="712" t="s">
        <v>526</v>
      </c>
      <c r="D2156" s="59">
        <v>1</v>
      </c>
      <c r="E2156" s="59">
        <v>0</v>
      </c>
      <c r="G2156" s="59">
        <v>1</v>
      </c>
      <c r="H2156" s="713">
        <v>130401</v>
      </c>
      <c r="I2156" s="59">
        <v>2.7</v>
      </c>
      <c r="J2156" s="59">
        <v>2.7</v>
      </c>
      <c r="L2156" s="59">
        <v>1</v>
      </c>
      <c r="M2156" s="59">
        <v>1.23333333333333</v>
      </c>
      <c r="N2156" s="545" t="s">
        <v>7168</v>
      </c>
      <c r="O2156" s="59">
        <v>1</v>
      </c>
      <c r="P2156" s="711">
        <v>2</v>
      </c>
      <c r="Q2156" s="59">
        <v>0</v>
      </c>
      <c r="V2156" s="59">
        <v>1</v>
      </c>
      <c r="W2156" s="711">
        <v>0</v>
      </c>
      <c r="X2156" s="557">
        <v>3</v>
      </c>
      <c r="Y2156" s="59">
        <v>-0.1</v>
      </c>
      <c r="Z2156" s="59">
        <v>0</v>
      </c>
      <c r="AN2156" s="545"/>
      <c r="AP2156" s="738">
        <v>4844</v>
      </c>
      <c r="AQ2156" s="59" t="s">
        <v>136</v>
      </c>
      <c r="AR2156" s="552"/>
    </row>
    <row r="2157" s="59" customFormat="1" ht="16.5" spans="1:44">
      <c r="A2157" s="711">
        <v>10747</v>
      </c>
      <c r="B2157" s="712" t="s">
        <v>7169</v>
      </c>
      <c r="C2157" s="712" t="s">
        <v>7170</v>
      </c>
      <c r="D2157" s="59">
        <v>1</v>
      </c>
      <c r="E2157" s="59">
        <v>0</v>
      </c>
      <c r="G2157" s="59">
        <v>1</v>
      </c>
      <c r="H2157" s="713">
        <v>130402</v>
      </c>
      <c r="I2157" s="59">
        <v>2.1</v>
      </c>
      <c r="J2157" s="59">
        <v>2.1</v>
      </c>
      <c r="L2157" s="59">
        <v>0</v>
      </c>
      <c r="M2157" s="59">
        <v>1.23333333333333</v>
      </c>
      <c r="N2157" s="545" t="s">
        <v>7171</v>
      </c>
      <c r="O2157" s="59">
        <v>1</v>
      </c>
      <c r="P2157" s="711">
        <v>2</v>
      </c>
      <c r="Q2157" s="59">
        <v>0</v>
      </c>
      <c r="V2157" s="59">
        <v>1</v>
      </c>
      <c r="W2157" s="711">
        <v>4</v>
      </c>
      <c r="X2157" s="557">
        <v>1</v>
      </c>
      <c r="Y2157" s="59">
        <v>-0.1</v>
      </c>
      <c r="Z2157" s="59">
        <v>0</v>
      </c>
      <c r="AN2157" s="545"/>
      <c r="AP2157" s="738">
        <v>4846</v>
      </c>
      <c r="AQ2157" s="59" t="s">
        <v>136</v>
      </c>
      <c r="AR2157" s="552"/>
    </row>
    <row r="2158" s="59" customFormat="1" ht="16.5" spans="1:47">
      <c r="A2158" s="711">
        <v>10748</v>
      </c>
      <c r="B2158" s="721" t="s">
        <v>7172</v>
      </c>
      <c r="C2158" s="721" t="s">
        <v>7173</v>
      </c>
      <c r="D2158" s="63">
        <v>1</v>
      </c>
      <c r="E2158" s="63">
        <v>0</v>
      </c>
      <c r="F2158" s="63"/>
      <c r="G2158" s="63">
        <v>1</v>
      </c>
      <c r="H2158" s="617">
        <v>130403</v>
      </c>
      <c r="I2158" s="63">
        <v>6</v>
      </c>
      <c r="J2158" s="63">
        <v>6</v>
      </c>
      <c r="K2158" s="63"/>
      <c r="L2158" s="63">
        <v>0</v>
      </c>
      <c r="M2158" s="63">
        <v>5.6</v>
      </c>
      <c r="N2158" s="545" t="s">
        <v>7174</v>
      </c>
      <c r="O2158" s="63">
        <v>1</v>
      </c>
      <c r="P2158" s="457">
        <v>16</v>
      </c>
      <c r="Q2158" s="63">
        <v>0</v>
      </c>
      <c r="R2158" s="63"/>
      <c r="S2158" s="63">
        <v>5</v>
      </c>
      <c r="T2158" s="63"/>
      <c r="U2158" s="63"/>
      <c r="V2158" s="63">
        <v>1</v>
      </c>
      <c r="W2158" s="457">
        <v>0</v>
      </c>
      <c r="X2158" s="577">
        <v>1</v>
      </c>
      <c r="Y2158" s="63">
        <v>-0.1</v>
      </c>
      <c r="Z2158" s="63">
        <v>0</v>
      </c>
      <c r="AA2158" s="63"/>
      <c r="AB2158" s="63">
        <v>6</v>
      </c>
      <c r="AC2158" s="63">
        <v>2</v>
      </c>
      <c r="AD2158" s="63">
        <v>1</v>
      </c>
      <c r="AE2158" s="59" t="s">
        <v>7175</v>
      </c>
      <c r="AF2158" s="59">
        <v>0.5</v>
      </c>
      <c r="AN2158" s="545"/>
      <c r="AP2158" s="738">
        <v>4848</v>
      </c>
      <c r="AQ2158" s="59" t="s">
        <v>136</v>
      </c>
      <c r="AR2158" s="552"/>
      <c r="AU2158" s="59">
        <v>1</v>
      </c>
    </row>
    <row r="2159" s="66" customFormat="1" ht="16.5" spans="1:44">
      <c r="A2159" s="704">
        <v>10749</v>
      </c>
      <c r="B2159" s="722" t="s">
        <v>7176</v>
      </c>
      <c r="C2159" s="722" t="s">
        <v>526</v>
      </c>
      <c r="D2159" s="66">
        <v>1</v>
      </c>
      <c r="E2159" s="66">
        <v>0</v>
      </c>
      <c r="G2159" s="66">
        <v>1</v>
      </c>
      <c r="H2159" s="723">
        <v>131001</v>
      </c>
      <c r="I2159" s="66">
        <v>2.333</v>
      </c>
      <c r="J2159" s="66">
        <f>I2159</f>
        <v>2.333</v>
      </c>
      <c r="L2159" s="66">
        <v>0</v>
      </c>
      <c r="M2159" s="66">
        <f t="shared" ref="M2159:M2170" si="204">I2159-0.4</f>
        <v>1.933</v>
      </c>
      <c r="O2159" s="66">
        <v>1</v>
      </c>
      <c r="P2159" s="704">
        <v>3</v>
      </c>
      <c r="Q2159" s="66">
        <v>0</v>
      </c>
      <c r="V2159" s="66">
        <v>1</v>
      </c>
      <c r="W2159" s="704">
        <v>0</v>
      </c>
      <c r="X2159" s="597">
        <v>1</v>
      </c>
      <c r="Y2159" s="66">
        <v>-0.1</v>
      </c>
      <c r="Z2159" s="66">
        <v>0</v>
      </c>
      <c r="AN2159" s="734"/>
      <c r="AP2159" s="742">
        <v>4928</v>
      </c>
      <c r="AQ2159" s="66" t="s">
        <v>136</v>
      </c>
      <c r="AR2159" s="743"/>
    </row>
    <row r="2160" s="66" customFormat="1" ht="16.5" spans="1:44">
      <c r="A2160" s="704">
        <v>10750</v>
      </c>
      <c r="B2160" s="722" t="s">
        <v>7176</v>
      </c>
      <c r="C2160" s="722" t="s">
        <v>7177</v>
      </c>
      <c r="D2160" s="66">
        <v>1</v>
      </c>
      <c r="E2160" s="66">
        <v>0</v>
      </c>
      <c r="G2160" s="66">
        <v>1</v>
      </c>
      <c r="H2160" s="723">
        <v>131002</v>
      </c>
      <c r="I2160" s="66">
        <v>1.967</v>
      </c>
      <c r="J2160" s="66">
        <f t="shared" ref="J2160:J2166" si="205">I2160</f>
        <v>1.967</v>
      </c>
      <c r="L2160" s="66">
        <v>0</v>
      </c>
      <c r="M2160" s="66">
        <f t="shared" si="204"/>
        <v>1.567</v>
      </c>
      <c r="O2160" s="66">
        <v>1</v>
      </c>
      <c r="P2160" s="704">
        <v>3</v>
      </c>
      <c r="Q2160" s="66">
        <v>0</v>
      </c>
      <c r="V2160" s="66">
        <v>1</v>
      </c>
      <c r="W2160" s="704">
        <v>6</v>
      </c>
      <c r="X2160" s="597">
        <v>1</v>
      </c>
      <c r="Y2160" s="66">
        <v>-0.1</v>
      </c>
      <c r="Z2160" s="66">
        <v>0</v>
      </c>
      <c r="AN2160" s="734"/>
      <c r="AP2160" s="742">
        <v>4930</v>
      </c>
      <c r="AQ2160" s="66" t="s">
        <v>136</v>
      </c>
      <c r="AR2160" s="743"/>
    </row>
    <row r="2161" s="58" customFormat="1" ht="16.5" spans="1:44">
      <c r="A2161" s="724">
        <v>10751</v>
      </c>
      <c r="B2161" s="725" t="s">
        <v>7178</v>
      </c>
      <c r="C2161" s="725" t="s">
        <v>526</v>
      </c>
      <c r="D2161" s="58">
        <v>1</v>
      </c>
      <c r="E2161" s="58">
        <v>0</v>
      </c>
      <c r="G2161" s="58">
        <v>1</v>
      </c>
      <c r="H2161" s="548">
        <v>131101</v>
      </c>
      <c r="I2161" s="58">
        <v>1.933</v>
      </c>
      <c r="J2161" s="58">
        <f t="shared" si="205"/>
        <v>1.933</v>
      </c>
      <c r="L2161" s="58">
        <v>0</v>
      </c>
      <c r="M2161" s="58">
        <f t="shared" si="204"/>
        <v>1.533</v>
      </c>
      <c r="O2161" s="58">
        <v>1</v>
      </c>
      <c r="P2161" s="724">
        <v>3</v>
      </c>
      <c r="Q2161" s="58">
        <v>0</v>
      </c>
      <c r="V2161" s="58">
        <v>1</v>
      </c>
      <c r="W2161" s="724">
        <v>0</v>
      </c>
      <c r="X2161" s="556">
        <v>1</v>
      </c>
      <c r="Y2161" s="58">
        <v>-0.1</v>
      </c>
      <c r="Z2161" s="58">
        <v>0</v>
      </c>
      <c r="AN2161" s="547"/>
      <c r="AP2161" s="744">
        <v>4932</v>
      </c>
      <c r="AQ2161" s="58" t="s">
        <v>136</v>
      </c>
      <c r="AR2161" s="745"/>
    </row>
    <row r="2162" s="58" customFormat="1" ht="16.5" spans="1:44">
      <c r="A2162" s="724">
        <v>10752</v>
      </c>
      <c r="B2162" s="725" t="s">
        <v>7178</v>
      </c>
      <c r="C2162" s="725" t="s">
        <v>7179</v>
      </c>
      <c r="D2162" s="58">
        <v>1</v>
      </c>
      <c r="E2162" s="58">
        <v>0</v>
      </c>
      <c r="G2162" s="58">
        <v>1</v>
      </c>
      <c r="H2162" s="548">
        <v>131102</v>
      </c>
      <c r="I2162" s="58">
        <v>3.5</v>
      </c>
      <c r="J2162" s="58">
        <f t="shared" si="205"/>
        <v>3.5</v>
      </c>
      <c r="L2162" s="58">
        <v>0</v>
      </c>
      <c r="M2162" s="58">
        <f t="shared" si="204"/>
        <v>3.1</v>
      </c>
      <c r="O2162" s="58">
        <v>1</v>
      </c>
      <c r="P2162" s="724">
        <v>3</v>
      </c>
      <c r="Q2162" s="58">
        <v>0</v>
      </c>
      <c r="V2162" s="58">
        <v>1</v>
      </c>
      <c r="W2162" s="724">
        <v>6</v>
      </c>
      <c r="X2162" s="556">
        <v>1</v>
      </c>
      <c r="Y2162" s="58">
        <v>-0.1</v>
      </c>
      <c r="Z2162" s="58">
        <v>0</v>
      </c>
      <c r="AN2162" s="547">
        <v>4935</v>
      </c>
      <c r="AO2162" s="58" t="s">
        <v>674</v>
      </c>
      <c r="AP2162" s="744">
        <v>4934</v>
      </c>
      <c r="AQ2162" s="58" t="s">
        <v>136</v>
      </c>
      <c r="AR2162" s="745"/>
    </row>
    <row r="2163" s="58" customFormat="1" ht="16.5" spans="1:44">
      <c r="A2163" s="724">
        <v>10753</v>
      </c>
      <c r="B2163" s="725" t="s">
        <v>7178</v>
      </c>
      <c r="C2163" s="725" t="s">
        <v>7180</v>
      </c>
      <c r="D2163" s="58">
        <v>1</v>
      </c>
      <c r="E2163" s="58">
        <v>0</v>
      </c>
      <c r="G2163" s="58">
        <v>1</v>
      </c>
      <c r="H2163" s="548">
        <v>131103</v>
      </c>
      <c r="I2163" s="58">
        <v>1.8</v>
      </c>
      <c r="J2163" s="58">
        <f t="shared" si="205"/>
        <v>1.8</v>
      </c>
      <c r="L2163" s="58">
        <v>0</v>
      </c>
      <c r="M2163" s="58">
        <f t="shared" si="204"/>
        <v>1.4</v>
      </c>
      <c r="O2163" s="58">
        <v>1</v>
      </c>
      <c r="P2163" s="724">
        <v>3</v>
      </c>
      <c r="Q2163" s="58">
        <v>0</v>
      </c>
      <c r="V2163" s="58">
        <v>1</v>
      </c>
      <c r="W2163" s="724">
        <v>6</v>
      </c>
      <c r="X2163" s="556">
        <v>1</v>
      </c>
      <c r="Y2163" s="58">
        <v>-0.1</v>
      </c>
      <c r="Z2163" s="58">
        <v>0</v>
      </c>
      <c r="AN2163" s="547"/>
      <c r="AP2163" s="744">
        <v>4937</v>
      </c>
      <c r="AQ2163" s="58" t="s">
        <v>136</v>
      </c>
      <c r="AR2163" s="745"/>
    </row>
    <row r="2164" s="66" customFormat="1" ht="16.5" spans="1:44">
      <c r="A2164" s="704">
        <v>10754</v>
      </c>
      <c r="B2164" s="722" t="s">
        <v>7181</v>
      </c>
      <c r="C2164" s="722" t="s">
        <v>526</v>
      </c>
      <c r="D2164" s="66">
        <v>1</v>
      </c>
      <c r="E2164" s="66">
        <v>0</v>
      </c>
      <c r="G2164" s="66">
        <v>1</v>
      </c>
      <c r="H2164" s="723">
        <v>131201</v>
      </c>
      <c r="I2164" s="66">
        <v>1.6</v>
      </c>
      <c r="J2164" s="66">
        <f t="shared" si="205"/>
        <v>1.6</v>
      </c>
      <c r="L2164" s="66">
        <v>0</v>
      </c>
      <c r="M2164" s="66">
        <f t="shared" si="204"/>
        <v>1.2</v>
      </c>
      <c r="O2164" s="66">
        <v>1</v>
      </c>
      <c r="P2164" s="704">
        <v>3</v>
      </c>
      <c r="Q2164" s="66">
        <v>0</v>
      </c>
      <c r="V2164" s="66">
        <v>1</v>
      </c>
      <c r="W2164" s="704">
        <v>0</v>
      </c>
      <c r="X2164" s="597">
        <v>1</v>
      </c>
      <c r="Y2164" s="66">
        <v>-0.1</v>
      </c>
      <c r="Z2164" s="66">
        <v>0</v>
      </c>
      <c r="AN2164" s="734"/>
      <c r="AP2164" s="742">
        <v>4939</v>
      </c>
      <c r="AQ2164" s="66" t="s">
        <v>136</v>
      </c>
      <c r="AR2164" s="743"/>
    </row>
    <row r="2165" s="66" customFormat="1" ht="16.5" spans="1:44">
      <c r="A2165" s="704">
        <v>10755</v>
      </c>
      <c r="B2165" s="722" t="s">
        <v>7181</v>
      </c>
      <c r="C2165" s="722" t="s">
        <v>7182</v>
      </c>
      <c r="D2165" s="66">
        <v>1</v>
      </c>
      <c r="E2165" s="66">
        <v>0</v>
      </c>
      <c r="G2165" s="66">
        <v>1</v>
      </c>
      <c r="H2165" s="723">
        <v>131202</v>
      </c>
      <c r="I2165" s="66">
        <v>1.8</v>
      </c>
      <c r="J2165" s="66">
        <f t="shared" si="205"/>
        <v>1.8</v>
      </c>
      <c r="L2165" s="66">
        <v>0</v>
      </c>
      <c r="M2165" s="66">
        <f t="shared" si="204"/>
        <v>1.4</v>
      </c>
      <c r="O2165" s="66">
        <v>1</v>
      </c>
      <c r="P2165" s="704">
        <v>3</v>
      </c>
      <c r="Q2165" s="66">
        <v>0</v>
      </c>
      <c r="V2165" s="66">
        <v>1</v>
      </c>
      <c r="W2165" s="704">
        <v>0</v>
      </c>
      <c r="X2165" s="597">
        <v>1</v>
      </c>
      <c r="Y2165" s="66">
        <v>-0.1</v>
      </c>
      <c r="Z2165" s="66">
        <v>0</v>
      </c>
      <c r="AN2165" s="734"/>
      <c r="AP2165" s="742">
        <v>4941</v>
      </c>
      <c r="AQ2165" s="66" t="s">
        <v>136</v>
      </c>
      <c r="AR2165" s="743"/>
    </row>
    <row r="2166" s="58" customFormat="1" ht="16.5" spans="1:44">
      <c r="A2166" s="724">
        <v>10756</v>
      </c>
      <c r="B2166" s="725" t="s">
        <v>7183</v>
      </c>
      <c r="C2166" s="725" t="s">
        <v>526</v>
      </c>
      <c r="D2166" s="58">
        <v>1</v>
      </c>
      <c r="E2166" s="58">
        <v>0</v>
      </c>
      <c r="G2166" s="58">
        <v>1</v>
      </c>
      <c r="H2166" s="548">
        <v>131301</v>
      </c>
      <c r="I2166" s="58">
        <v>1.467</v>
      </c>
      <c r="J2166" s="58">
        <f t="shared" si="205"/>
        <v>1.467</v>
      </c>
      <c r="L2166" s="58">
        <v>0</v>
      </c>
      <c r="M2166" s="58">
        <f t="shared" si="204"/>
        <v>1.067</v>
      </c>
      <c r="O2166" s="58">
        <v>1</v>
      </c>
      <c r="P2166" s="724">
        <v>3</v>
      </c>
      <c r="Q2166" s="58">
        <v>0</v>
      </c>
      <c r="V2166" s="58">
        <v>1</v>
      </c>
      <c r="W2166" s="724">
        <v>0</v>
      </c>
      <c r="X2166" s="556">
        <v>1</v>
      </c>
      <c r="Y2166" s="58">
        <v>-0.1</v>
      </c>
      <c r="Z2166" s="58">
        <v>0</v>
      </c>
      <c r="AN2166" s="547"/>
      <c r="AP2166" s="744">
        <v>4943</v>
      </c>
      <c r="AQ2166" s="58" t="s">
        <v>136</v>
      </c>
      <c r="AR2166" s="745"/>
    </row>
    <row r="2167" s="71" customFormat="1" spans="1:43">
      <c r="A2167" s="71">
        <v>20000</v>
      </c>
      <c r="B2167" s="71" t="s">
        <v>5193</v>
      </c>
      <c r="C2167" s="668" t="str">
        <f t="shared" ref="C2167:C2175" si="206">IF(D2167=1,"","技能"&amp;D2167)</f>
        <v/>
      </c>
      <c r="D2167" s="71">
        <v>1</v>
      </c>
      <c r="E2167" s="71">
        <v>0</v>
      </c>
      <c r="G2167" s="71">
        <v>1</v>
      </c>
      <c r="H2167" s="654">
        <v>101401</v>
      </c>
      <c r="I2167" s="71">
        <v>1.93333333333333</v>
      </c>
      <c r="J2167" s="71">
        <v>1.93333333333333</v>
      </c>
      <c r="L2167" s="71">
        <f>IF(X2167&gt;4,1,0)</f>
        <v>0</v>
      </c>
      <c r="M2167" s="71">
        <f t="shared" ref="M2167:M2174" si="207">I2167-0.4</f>
        <v>1.53333333333333</v>
      </c>
      <c r="N2167" s="71" t="s">
        <v>5194</v>
      </c>
      <c r="O2167" s="71">
        <v>1</v>
      </c>
      <c r="P2167" s="71">
        <v>1</v>
      </c>
      <c r="Q2167" s="71">
        <v>0</v>
      </c>
      <c r="S2167" s="71">
        <v>0</v>
      </c>
      <c r="V2167" s="71">
        <v>1</v>
      </c>
      <c r="W2167" s="71">
        <v>0</v>
      </c>
      <c r="X2167" s="661">
        <v>2</v>
      </c>
      <c r="Y2167" s="71">
        <v>-0.1</v>
      </c>
      <c r="Z2167" s="71">
        <v>0</v>
      </c>
      <c r="AF2167" s="71">
        <f>IF(AD2167=--1,0.5,0)</f>
        <v>0</v>
      </c>
      <c r="AP2167" s="664">
        <v>506</v>
      </c>
      <c r="AQ2167" s="71" t="s">
        <v>136</v>
      </c>
    </row>
    <row r="2168" s="71" customFormat="1" spans="1:42">
      <c r="A2168" s="71">
        <v>20001</v>
      </c>
      <c r="B2168" s="71" t="s">
        <v>5211</v>
      </c>
      <c r="C2168" s="668" t="str">
        <f t="shared" si="206"/>
        <v/>
      </c>
      <c r="D2168" s="71">
        <v>1</v>
      </c>
      <c r="E2168" s="71">
        <v>0</v>
      </c>
      <c r="G2168" s="71">
        <v>2</v>
      </c>
      <c r="H2168" s="654">
        <v>102501</v>
      </c>
      <c r="I2168" s="71">
        <v>2</v>
      </c>
      <c r="J2168" s="71">
        <v>2</v>
      </c>
      <c r="L2168" s="71">
        <f>IF(X2168&gt;4,1,0)</f>
        <v>0</v>
      </c>
      <c r="M2168" s="71">
        <f t="shared" si="207"/>
        <v>1.6</v>
      </c>
      <c r="N2168" s="71" t="s">
        <v>5212</v>
      </c>
      <c r="O2168" s="71">
        <v>2</v>
      </c>
      <c r="P2168" s="71">
        <v>0</v>
      </c>
      <c r="Q2168" s="71">
        <v>0</v>
      </c>
      <c r="S2168" s="71">
        <v>0</v>
      </c>
      <c r="V2168" s="71">
        <v>8</v>
      </c>
      <c r="W2168" s="71">
        <v>1</v>
      </c>
      <c r="X2168" s="661">
        <v>1</v>
      </c>
      <c r="Y2168" s="71">
        <v>-0.1</v>
      </c>
      <c r="Z2168" s="71">
        <v>0</v>
      </c>
      <c r="AF2168" s="71">
        <f>IF(AD2168=--1,0.5,0)</f>
        <v>0</v>
      </c>
      <c r="AP2168" s="664"/>
    </row>
    <row r="2169" s="71" customFormat="1" spans="1:43">
      <c r="A2169" s="71">
        <v>20002</v>
      </c>
      <c r="B2169" s="71" t="s">
        <v>7184</v>
      </c>
      <c r="C2169" s="668" t="str">
        <f t="shared" si="206"/>
        <v/>
      </c>
      <c r="D2169" s="71">
        <v>1</v>
      </c>
      <c r="E2169" s="71">
        <v>0</v>
      </c>
      <c r="G2169" s="71">
        <v>2</v>
      </c>
      <c r="H2169" s="654">
        <v>102101</v>
      </c>
      <c r="I2169" s="71">
        <v>1.06666666666667</v>
      </c>
      <c r="J2169" s="71">
        <v>1.06666666666667</v>
      </c>
      <c r="L2169" s="71">
        <f t="shared" ref="L2169:L2177" si="208">IF(X2169&gt;4,1,0)</f>
        <v>0</v>
      </c>
      <c r="M2169" s="71">
        <f t="shared" si="207"/>
        <v>0.66666666666667</v>
      </c>
      <c r="N2169" s="71" t="s">
        <v>5204</v>
      </c>
      <c r="O2169" s="71">
        <v>2</v>
      </c>
      <c r="P2169" s="71">
        <v>0</v>
      </c>
      <c r="Q2169" s="71">
        <v>0</v>
      </c>
      <c r="S2169" s="71">
        <v>0</v>
      </c>
      <c r="V2169" s="71">
        <v>6</v>
      </c>
      <c r="W2169" s="71">
        <v>0</v>
      </c>
      <c r="X2169" s="661">
        <v>3</v>
      </c>
      <c r="Y2169" s="71">
        <v>-0.1</v>
      </c>
      <c r="Z2169" s="71">
        <v>0</v>
      </c>
      <c r="AF2169" s="71">
        <f t="shared" ref="AF2169:AF2177" si="209">IF(AD2169=--1,0.5,0)</f>
        <v>0</v>
      </c>
      <c r="AP2169" s="664">
        <v>512</v>
      </c>
      <c r="AQ2169" s="71" t="s">
        <v>136</v>
      </c>
    </row>
    <row r="2170" s="71" customFormat="1" spans="1:43">
      <c r="A2170" s="71">
        <v>20003</v>
      </c>
      <c r="B2170" s="71" t="s">
        <v>5205</v>
      </c>
      <c r="C2170" s="668" t="str">
        <f t="shared" si="206"/>
        <v/>
      </c>
      <c r="D2170" s="71">
        <v>1</v>
      </c>
      <c r="E2170" s="71">
        <v>0</v>
      </c>
      <c r="G2170" s="71">
        <v>2</v>
      </c>
      <c r="H2170" s="654">
        <v>102201</v>
      </c>
      <c r="I2170" s="71">
        <v>1.06666666666667</v>
      </c>
      <c r="J2170" s="71">
        <v>1.06666666666667</v>
      </c>
      <c r="L2170" s="71">
        <f t="shared" si="208"/>
        <v>0</v>
      </c>
      <c r="M2170" s="71">
        <v>0.66666666666667</v>
      </c>
      <c r="N2170" s="71" t="s">
        <v>5206</v>
      </c>
      <c r="O2170" s="71">
        <v>2</v>
      </c>
      <c r="P2170" s="71">
        <v>0</v>
      </c>
      <c r="Q2170" s="71">
        <v>0</v>
      </c>
      <c r="S2170" s="71">
        <v>0</v>
      </c>
      <c r="V2170" s="71">
        <v>3</v>
      </c>
      <c r="W2170" s="71">
        <v>0</v>
      </c>
      <c r="X2170" s="661">
        <v>2</v>
      </c>
      <c r="Y2170" s="71">
        <v>-0.1</v>
      </c>
      <c r="Z2170" s="71">
        <v>0</v>
      </c>
      <c r="AF2170" s="71">
        <f t="shared" si="209"/>
        <v>0</v>
      </c>
      <c r="AP2170" s="664">
        <v>513</v>
      </c>
      <c r="AQ2170" s="71" t="s">
        <v>136</v>
      </c>
    </row>
    <row r="2171" s="71" customFormat="1" spans="1:42">
      <c r="A2171" s="71">
        <v>20004</v>
      </c>
      <c r="B2171" s="71" t="s">
        <v>5211</v>
      </c>
      <c r="C2171" s="668" t="str">
        <f t="shared" si="206"/>
        <v/>
      </c>
      <c r="D2171" s="71">
        <v>1</v>
      </c>
      <c r="E2171" s="71">
        <v>0</v>
      </c>
      <c r="G2171" s="71">
        <v>2</v>
      </c>
      <c r="H2171" s="654">
        <v>102501</v>
      </c>
      <c r="I2171" s="71">
        <v>2</v>
      </c>
      <c r="J2171" s="71">
        <v>2</v>
      </c>
      <c r="L2171" s="71">
        <f t="shared" si="208"/>
        <v>0</v>
      </c>
      <c r="M2171" s="71">
        <v>1.6</v>
      </c>
      <c r="N2171" s="71" t="s">
        <v>5212</v>
      </c>
      <c r="O2171" s="71">
        <v>2</v>
      </c>
      <c r="P2171" s="71">
        <v>0</v>
      </c>
      <c r="Q2171" s="71">
        <v>0</v>
      </c>
      <c r="S2171" s="71">
        <v>0</v>
      </c>
      <c r="V2171" s="71">
        <v>8</v>
      </c>
      <c r="W2171" s="71">
        <v>1</v>
      </c>
      <c r="X2171" s="661">
        <v>1</v>
      </c>
      <c r="Y2171" s="71">
        <v>-0.1</v>
      </c>
      <c r="Z2171" s="71">
        <v>0</v>
      </c>
      <c r="AF2171" s="71">
        <f t="shared" si="209"/>
        <v>0</v>
      </c>
      <c r="AP2171" s="664"/>
    </row>
    <row r="2172" s="71" customFormat="1" spans="1:42">
      <c r="A2172" s="71">
        <v>20005</v>
      </c>
      <c r="B2172" s="71" t="s">
        <v>5221</v>
      </c>
      <c r="C2172" s="668" t="str">
        <f t="shared" si="206"/>
        <v/>
      </c>
      <c r="D2172" s="71">
        <v>1</v>
      </c>
      <c r="E2172" s="71">
        <v>0</v>
      </c>
      <c r="G2172" s="71">
        <v>2</v>
      </c>
      <c r="H2172" s="654">
        <v>103001</v>
      </c>
      <c r="I2172" s="71">
        <v>1.5</v>
      </c>
      <c r="J2172" s="71">
        <v>1.5</v>
      </c>
      <c r="L2172" s="71">
        <f t="shared" si="208"/>
        <v>0</v>
      </c>
      <c r="M2172" s="71">
        <v>1.1</v>
      </c>
      <c r="N2172" s="71" t="s">
        <v>5222</v>
      </c>
      <c r="O2172" s="71">
        <v>2</v>
      </c>
      <c r="P2172" s="71">
        <v>0</v>
      </c>
      <c r="Q2172" s="71">
        <v>0</v>
      </c>
      <c r="S2172" s="71">
        <v>0</v>
      </c>
      <c r="V2172" s="71">
        <v>3</v>
      </c>
      <c r="W2172" s="71">
        <v>5</v>
      </c>
      <c r="X2172" s="661">
        <v>1</v>
      </c>
      <c r="Y2172" s="71">
        <v>-0.1</v>
      </c>
      <c r="Z2172" s="71">
        <v>0</v>
      </c>
      <c r="AF2172" s="71">
        <f t="shared" si="209"/>
        <v>0</v>
      </c>
      <c r="AP2172" s="664"/>
    </row>
    <row r="2173" s="71" customFormat="1" spans="1:43">
      <c r="A2173" s="71">
        <v>20006</v>
      </c>
      <c r="B2173" s="71" t="s">
        <v>5199</v>
      </c>
      <c r="C2173" s="668" t="str">
        <f t="shared" si="206"/>
        <v/>
      </c>
      <c r="D2173" s="71">
        <v>1</v>
      </c>
      <c r="E2173" s="71">
        <v>0</v>
      </c>
      <c r="G2173" s="71">
        <v>2</v>
      </c>
      <c r="H2173" s="654">
        <v>102001</v>
      </c>
      <c r="I2173" s="71">
        <v>2.33333333333333</v>
      </c>
      <c r="J2173" s="71">
        <v>2.33333333333333</v>
      </c>
      <c r="L2173" s="71">
        <f t="shared" si="208"/>
        <v>0</v>
      </c>
      <c r="M2173" s="71">
        <v>1.93333333333333</v>
      </c>
      <c r="N2173" s="71" t="s">
        <v>5200</v>
      </c>
      <c r="O2173" s="71">
        <v>2</v>
      </c>
      <c r="P2173" s="71">
        <v>0</v>
      </c>
      <c r="Q2173" s="71">
        <v>0</v>
      </c>
      <c r="S2173" s="71">
        <v>0</v>
      </c>
      <c r="V2173" s="71">
        <v>8</v>
      </c>
      <c r="W2173" s="71">
        <v>0</v>
      </c>
      <c r="X2173" s="661">
        <v>2</v>
      </c>
      <c r="Y2173" s="71">
        <v>-0.1</v>
      </c>
      <c r="Z2173" s="71">
        <v>0</v>
      </c>
      <c r="AF2173" s="71">
        <f t="shared" si="209"/>
        <v>0</v>
      </c>
      <c r="AP2173" s="664">
        <v>510</v>
      </c>
      <c r="AQ2173" s="71" t="s">
        <v>136</v>
      </c>
    </row>
    <row r="2174" spans="1:41">
      <c r="A2174" s="71">
        <v>20007</v>
      </c>
      <c r="B2174" s="71" t="s">
        <v>5267</v>
      </c>
      <c r="C2174" s="668" t="s">
        <v>7185</v>
      </c>
      <c r="D2174">
        <v>1</v>
      </c>
      <c r="E2174">
        <v>0</v>
      </c>
      <c r="G2174">
        <v>2</v>
      </c>
      <c r="H2174" s="82">
        <v>104501</v>
      </c>
      <c r="I2174">
        <v>2.53333333333333</v>
      </c>
      <c r="J2174">
        <v>2.53333333333333</v>
      </c>
      <c r="L2174">
        <v>0</v>
      </c>
      <c r="M2174">
        <v>2.13333333333333</v>
      </c>
      <c r="N2174" t="s">
        <v>5268</v>
      </c>
      <c r="O2174" s="659">
        <v>0</v>
      </c>
      <c r="P2174" s="71">
        <v>1</v>
      </c>
      <c r="Q2174" s="20">
        <v>1</v>
      </c>
      <c r="S2174">
        <v>0</v>
      </c>
      <c r="V2174" s="20">
        <v>3</v>
      </c>
      <c r="W2174">
        <v>0</v>
      </c>
      <c r="X2174" s="7">
        <v>3</v>
      </c>
      <c r="Y2174">
        <v>-0.1</v>
      </c>
      <c r="Z2174" s="20">
        <v>0</v>
      </c>
      <c r="AF2174">
        <v>0</v>
      </c>
      <c r="AN2174" s="10">
        <v>593</v>
      </c>
      <c r="AO2174" t="s">
        <v>5269</v>
      </c>
    </row>
    <row r="2175" s="71" customFormat="1" spans="1:43">
      <c r="A2175" s="71">
        <v>20008</v>
      </c>
      <c r="B2175" s="71" t="s">
        <v>5221</v>
      </c>
      <c r="C2175" s="668" t="str">
        <f t="shared" si="206"/>
        <v/>
      </c>
      <c r="D2175" s="71">
        <v>1</v>
      </c>
      <c r="E2175" s="71">
        <v>0</v>
      </c>
      <c r="G2175" s="71">
        <v>2</v>
      </c>
      <c r="H2175" s="654">
        <v>103001</v>
      </c>
      <c r="I2175" s="71">
        <v>1.5</v>
      </c>
      <c r="J2175" s="71">
        <v>1.5</v>
      </c>
      <c r="L2175" s="71">
        <f t="shared" si="208"/>
        <v>0</v>
      </c>
      <c r="M2175" s="71">
        <f>I2175-0.4</f>
        <v>1.1</v>
      </c>
      <c r="N2175" s="71" t="s">
        <v>5222</v>
      </c>
      <c r="O2175" s="71">
        <v>1</v>
      </c>
      <c r="P2175" s="71">
        <v>5</v>
      </c>
      <c r="Q2175" s="71">
        <v>0</v>
      </c>
      <c r="S2175" s="71">
        <v>0</v>
      </c>
      <c r="V2175" s="71">
        <v>2</v>
      </c>
      <c r="W2175" s="71">
        <v>1</v>
      </c>
      <c r="X2175" s="661">
        <v>1</v>
      </c>
      <c r="Y2175" s="71">
        <v>-0.1</v>
      </c>
      <c r="Z2175" s="71">
        <v>0</v>
      </c>
      <c r="AF2175" s="71">
        <f t="shared" si="209"/>
        <v>0</v>
      </c>
      <c r="AN2175" s="664"/>
      <c r="AP2175" s="664">
        <v>523</v>
      </c>
      <c r="AQ2175" s="71" t="s">
        <v>136</v>
      </c>
    </row>
    <row r="2176" spans="1:43">
      <c r="A2176" s="71">
        <v>20009</v>
      </c>
      <c r="B2176" t="s">
        <v>5297</v>
      </c>
      <c r="D2176">
        <v>1</v>
      </c>
      <c r="E2176">
        <v>0</v>
      </c>
      <c r="G2176">
        <v>2</v>
      </c>
      <c r="H2176" s="82">
        <v>105401</v>
      </c>
      <c r="I2176">
        <v>2.83333333333333</v>
      </c>
      <c r="J2176">
        <v>2.83333333333333</v>
      </c>
      <c r="L2176">
        <f t="shared" si="208"/>
        <v>0</v>
      </c>
      <c r="M2176">
        <f>I2176-0.4</f>
        <v>2.43333333333333</v>
      </c>
      <c r="N2176" t="s">
        <v>5298</v>
      </c>
      <c r="O2176" s="659">
        <v>0</v>
      </c>
      <c r="P2176">
        <v>0</v>
      </c>
      <c r="Q2176" s="20">
        <v>1</v>
      </c>
      <c r="S2176">
        <v>0</v>
      </c>
      <c r="V2176" s="20">
        <v>3</v>
      </c>
      <c r="W2176">
        <v>0</v>
      </c>
      <c r="X2176" s="7">
        <v>2</v>
      </c>
      <c r="Y2176">
        <v>-0.1</v>
      </c>
      <c r="Z2176" s="20">
        <v>0</v>
      </c>
      <c r="AF2176">
        <f t="shared" si="209"/>
        <v>0</v>
      </c>
      <c r="AP2176" s="8">
        <v>836</v>
      </c>
      <c r="AQ2176" t="s">
        <v>157</v>
      </c>
    </row>
    <row r="2177" spans="1:48">
      <c r="A2177" s="71">
        <v>20010</v>
      </c>
      <c r="B2177" t="s">
        <v>5322</v>
      </c>
      <c r="C2177" t="s">
        <v>526</v>
      </c>
      <c r="D2177">
        <v>1</v>
      </c>
      <c r="E2177">
        <v>0</v>
      </c>
      <c r="G2177">
        <v>2</v>
      </c>
      <c r="H2177" s="82" t="s">
        <v>5323</v>
      </c>
      <c r="I2177">
        <v>2</v>
      </c>
      <c r="J2177">
        <v>2</v>
      </c>
      <c r="L2177">
        <f t="shared" si="208"/>
        <v>0</v>
      </c>
      <c r="M2177">
        <v>1.5</v>
      </c>
      <c r="N2177" t="s">
        <v>7186</v>
      </c>
      <c r="O2177">
        <v>3</v>
      </c>
      <c r="P2177">
        <v>0</v>
      </c>
      <c r="Q2177" s="20">
        <v>0</v>
      </c>
      <c r="S2177">
        <v>0</v>
      </c>
      <c r="V2177">
        <v>2</v>
      </c>
      <c r="W2177">
        <v>0</v>
      </c>
      <c r="X2177" s="7">
        <v>2</v>
      </c>
      <c r="Y2177">
        <v>-0.1</v>
      </c>
      <c r="Z2177">
        <v>0</v>
      </c>
      <c r="AF2177">
        <f t="shared" si="209"/>
        <v>0</v>
      </c>
      <c r="AP2177" s="8">
        <v>698</v>
      </c>
      <c r="AQ2177" t="s">
        <v>136</v>
      </c>
      <c r="AV2177">
        <v>0</v>
      </c>
    </row>
    <row r="2178" spans="1:48">
      <c r="A2178">
        <v>30001</v>
      </c>
      <c r="B2178" t="s">
        <v>747</v>
      </c>
      <c r="C2178" t="s">
        <v>748</v>
      </c>
      <c r="D2178">
        <v>1</v>
      </c>
      <c r="E2178">
        <v>0</v>
      </c>
      <c r="G2178">
        <v>1</v>
      </c>
      <c r="H2178" s="159">
        <v>2301</v>
      </c>
      <c r="I2178">
        <v>1</v>
      </c>
      <c r="J2178">
        <v>1</v>
      </c>
      <c r="L2178">
        <f t="shared" ref="L2178:L2208" si="210">IF(X2178&gt;4,1,0)</f>
        <v>0</v>
      </c>
      <c r="M2178">
        <f>I2178-0.4</f>
        <v>0.6</v>
      </c>
      <c r="N2178" t="s">
        <v>7187</v>
      </c>
      <c r="O2178" s="108">
        <v>1</v>
      </c>
      <c r="P2178">
        <v>1.4</v>
      </c>
      <c r="Q2178" s="108">
        <v>0</v>
      </c>
      <c r="R2178" s="108"/>
      <c r="S2178">
        <v>0</v>
      </c>
      <c r="V2178" s="108">
        <v>7</v>
      </c>
      <c r="W2178">
        <v>0</v>
      </c>
      <c r="X2178" s="7">
        <v>1</v>
      </c>
      <c r="Y2178">
        <v>-0.1</v>
      </c>
      <c r="Z2178" s="108">
        <v>0</v>
      </c>
      <c r="AA2178" s="108"/>
      <c r="AB2178" s="108"/>
      <c r="AC2178" s="108"/>
      <c r="AD2178" s="108">
        <v>0</v>
      </c>
      <c r="AF2178">
        <f t="shared" ref="AF2178:AF2217" si="211">IF(AD2178=--1,0.5,0)</f>
        <v>0</v>
      </c>
      <c r="AP2178" s="10">
        <v>243</v>
      </c>
      <c r="AQ2178" t="s">
        <v>136</v>
      </c>
      <c r="AV2178">
        <v>1</v>
      </c>
    </row>
    <row r="2179" spans="1:48">
      <c r="A2179">
        <v>30002</v>
      </c>
      <c r="B2179" t="s">
        <v>683</v>
      </c>
      <c r="C2179" t="s">
        <v>684</v>
      </c>
      <c r="D2179">
        <v>1</v>
      </c>
      <c r="E2179">
        <v>0</v>
      </c>
      <c r="G2179">
        <v>1</v>
      </c>
      <c r="H2179" s="159">
        <v>1801</v>
      </c>
      <c r="I2179">
        <v>2.66666666666667</v>
      </c>
      <c r="J2179">
        <v>2.66666666666667</v>
      </c>
      <c r="L2179">
        <f t="shared" si="210"/>
        <v>0</v>
      </c>
      <c r="M2179">
        <f>I2179-0.4</f>
        <v>2.26666666666667</v>
      </c>
      <c r="N2179" t="s">
        <v>685</v>
      </c>
      <c r="O2179" s="108">
        <v>1</v>
      </c>
      <c r="P2179">
        <v>1.2</v>
      </c>
      <c r="Q2179" s="108">
        <v>0</v>
      </c>
      <c r="R2179" s="108"/>
      <c r="S2179">
        <v>0</v>
      </c>
      <c r="V2179" s="108">
        <v>7</v>
      </c>
      <c r="W2179">
        <v>0</v>
      </c>
      <c r="X2179" s="7">
        <v>3</v>
      </c>
      <c r="Y2179">
        <v>-0.1</v>
      </c>
      <c r="Z2179" s="108">
        <v>0</v>
      </c>
      <c r="AA2179" s="108"/>
      <c r="AB2179" s="108"/>
      <c r="AC2179" s="108"/>
      <c r="AD2179" s="108">
        <v>0</v>
      </c>
      <c r="AF2179">
        <f t="shared" si="211"/>
        <v>0</v>
      </c>
      <c r="AP2179" s="10">
        <v>213</v>
      </c>
      <c r="AQ2179" t="s">
        <v>136</v>
      </c>
      <c r="AV2179">
        <v>1</v>
      </c>
    </row>
    <row r="2180" spans="1:48">
      <c r="A2180">
        <v>30003</v>
      </c>
      <c r="B2180" t="s">
        <v>754</v>
      </c>
      <c r="C2180" s="82" t="s">
        <v>755</v>
      </c>
      <c r="D2180">
        <v>1</v>
      </c>
      <c r="E2180" s="8">
        <v>0</v>
      </c>
      <c r="F2180" s="8"/>
      <c r="G2180" s="8">
        <v>1</v>
      </c>
      <c r="H2180" s="159">
        <v>2401</v>
      </c>
      <c r="I2180">
        <v>1.4</v>
      </c>
      <c r="J2180">
        <v>1.4</v>
      </c>
      <c r="K2180" s="8"/>
      <c r="L2180">
        <f t="shared" si="210"/>
        <v>0</v>
      </c>
      <c r="M2180">
        <f>I2180-0.4</f>
        <v>1</v>
      </c>
      <c r="N2180" t="s">
        <v>756</v>
      </c>
      <c r="O2180" s="108">
        <v>1</v>
      </c>
      <c r="P2180">
        <v>1.2</v>
      </c>
      <c r="Q2180" s="108">
        <v>0</v>
      </c>
      <c r="R2180" s="108"/>
      <c r="S2180">
        <v>0</v>
      </c>
      <c r="V2180" s="108">
        <v>7</v>
      </c>
      <c r="W2180">
        <v>0</v>
      </c>
      <c r="X2180" s="7">
        <v>2</v>
      </c>
      <c r="Y2180">
        <v>-0.1</v>
      </c>
      <c r="Z2180" s="108">
        <v>0</v>
      </c>
      <c r="AA2180" s="108"/>
      <c r="AB2180" s="108"/>
      <c r="AC2180" s="108"/>
      <c r="AD2180" s="108">
        <v>0</v>
      </c>
      <c r="AF2180">
        <f t="shared" si="211"/>
        <v>0</v>
      </c>
      <c r="AP2180" s="10">
        <v>225</v>
      </c>
      <c r="AQ2180" t="s">
        <v>136</v>
      </c>
      <c r="AV2180" s="8"/>
    </row>
    <row r="2181" spans="1:48">
      <c r="A2181">
        <v>30004</v>
      </c>
      <c r="B2181" t="s">
        <v>691</v>
      </c>
      <c r="C2181" t="s">
        <v>692</v>
      </c>
      <c r="D2181">
        <v>1</v>
      </c>
      <c r="E2181">
        <v>0</v>
      </c>
      <c r="G2181">
        <v>1</v>
      </c>
      <c r="H2181" s="160">
        <v>1901</v>
      </c>
      <c r="I2181">
        <v>1.2</v>
      </c>
      <c r="J2181">
        <v>1.2</v>
      </c>
      <c r="L2181">
        <f t="shared" si="210"/>
        <v>0</v>
      </c>
      <c r="M2181">
        <f>I2181-0.4</f>
        <v>0.8</v>
      </c>
      <c r="N2181" t="s">
        <v>693</v>
      </c>
      <c r="O2181" s="108">
        <v>1</v>
      </c>
      <c r="P2181">
        <v>1.5</v>
      </c>
      <c r="Q2181" s="108">
        <v>0</v>
      </c>
      <c r="R2181" s="108"/>
      <c r="S2181">
        <v>0</v>
      </c>
      <c r="T2181" s="108"/>
      <c r="V2181">
        <v>7</v>
      </c>
      <c r="W2181" s="108">
        <v>0</v>
      </c>
      <c r="X2181" s="173">
        <v>2</v>
      </c>
      <c r="Y2181">
        <v>-0.1</v>
      </c>
      <c r="Z2181" s="108">
        <v>0</v>
      </c>
      <c r="AA2181" s="108"/>
      <c r="AB2181" s="108"/>
      <c r="AD2181">
        <v>0</v>
      </c>
      <c r="AF2181">
        <f t="shared" si="211"/>
        <v>0</v>
      </c>
      <c r="AL2181" s="10"/>
      <c r="AP2181" s="10">
        <v>216</v>
      </c>
      <c r="AQ2181" t="s">
        <v>136</v>
      </c>
      <c r="AV2181">
        <v>1</v>
      </c>
    </row>
    <row r="2182" spans="1:48">
      <c r="A2182">
        <v>30005</v>
      </c>
      <c r="B2182" t="s">
        <v>374</v>
      </c>
      <c r="C2182" t="s">
        <v>375</v>
      </c>
      <c r="D2182">
        <v>1</v>
      </c>
      <c r="E2182">
        <v>0</v>
      </c>
      <c r="G2182">
        <v>2</v>
      </c>
      <c r="H2182" s="94" t="s">
        <v>376</v>
      </c>
      <c r="I2182">
        <v>1.5</v>
      </c>
      <c r="J2182">
        <v>1.5</v>
      </c>
      <c r="L2182">
        <f t="shared" si="210"/>
        <v>0</v>
      </c>
      <c r="M2182">
        <f>I2182-0.4</f>
        <v>1.1</v>
      </c>
      <c r="N2182" t="s">
        <v>377</v>
      </c>
      <c r="O2182">
        <v>0</v>
      </c>
      <c r="P2182">
        <v>0</v>
      </c>
      <c r="Q2182" s="108">
        <v>0</v>
      </c>
      <c r="R2182" s="108"/>
      <c r="S2182">
        <v>0</v>
      </c>
      <c r="V2182">
        <v>7</v>
      </c>
      <c r="W2182">
        <v>0</v>
      </c>
      <c r="X2182" s="7">
        <v>4</v>
      </c>
      <c r="Y2182">
        <v>-0.1</v>
      </c>
      <c r="Z2182" s="108">
        <v>0</v>
      </c>
      <c r="AA2182" s="108"/>
      <c r="AB2182" s="108"/>
      <c r="AC2182" s="108"/>
      <c r="AD2182" s="108">
        <v>0</v>
      </c>
      <c r="AF2182">
        <f t="shared" si="211"/>
        <v>0</v>
      </c>
      <c r="AP2182" s="8">
        <v>104</v>
      </c>
      <c r="AQ2182" t="s">
        <v>136</v>
      </c>
      <c r="AV2182">
        <v>1</v>
      </c>
    </row>
    <row r="2183" spans="1:48">
      <c r="A2183">
        <v>30006</v>
      </c>
      <c r="B2183" t="s">
        <v>721</v>
      </c>
      <c r="C2183" t="s">
        <v>722</v>
      </c>
      <c r="D2183">
        <v>1</v>
      </c>
      <c r="E2183">
        <v>0</v>
      </c>
      <c r="G2183">
        <v>1</v>
      </c>
      <c r="H2183" s="82">
        <v>2105</v>
      </c>
      <c r="I2183">
        <v>0.8</v>
      </c>
      <c r="J2183">
        <v>0.8</v>
      </c>
      <c r="L2183">
        <f t="shared" si="210"/>
        <v>0</v>
      </c>
      <c r="M2183">
        <v>0.4</v>
      </c>
      <c r="N2183" t="s">
        <v>723</v>
      </c>
      <c r="O2183">
        <v>1</v>
      </c>
      <c r="P2183">
        <v>3.3</v>
      </c>
      <c r="Q2183">
        <v>0</v>
      </c>
      <c r="S2183">
        <v>0</v>
      </c>
      <c r="V2183">
        <v>7</v>
      </c>
      <c r="W2183">
        <v>0</v>
      </c>
      <c r="X2183" s="7">
        <v>2</v>
      </c>
      <c r="Y2183">
        <v>-0.1</v>
      </c>
      <c r="Z2183">
        <v>0</v>
      </c>
      <c r="AD2183">
        <v>0</v>
      </c>
      <c r="AF2183">
        <f t="shared" si="211"/>
        <v>0</v>
      </c>
      <c r="AP2183" s="8">
        <v>326</v>
      </c>
      <c r="AQ2183" t="s">
        <v>136</v>
      </c>
      <c r="AV2183">
        <v>1</v>
      </c>
    </row>
    <row r="2184" spans="1:48">
      <c r="A2184">
        <v>30007</v>
      </c>
      <c r="B2184" t="s">
        <v>132</v>
      </c>
      <c r="C2184" t="s">
        <v>133</v>
      </c>
      <c r="D2184">
        <v>1</v>
      </c>
      <c r="E2184" s="8">
        <v>0</v>
      </c>
      <c r="F2184" s="8"/>
      <c r="G2184" s="8">
        <v>1</v>
      </c>
      <c r="H2184" s="93" t="s">
        <v>134</v>
      </c>
      <c r="I2184">
        <v>2</v>
      </c>
      <c r="J2184">
        <v>1.6</v>
      </c>
      <c r="L2184">
        <f t="shared" si="210"/>
        <v>0</v>
      </c>
      <c r="M2184">
        <v>1.6</v>
      </c>
      <c r="N2184" t="s">
        <v>7188</v>
      </c>
      <c r="O2184">
        <v>1</v>
      </c>
      <c r="P2184">
        <v>1.3</v>
      </c>
      <c r="Q2184">
        <v>0</v>
      </c>
      <c r="S2184">
        <v>0</v>
      </c>
      <c r="V2184">
        <v>7</v>
      </c>
      <c r="W2184">
        <v>0</v>
      </c>
      <c r="X2184" s="7">
        <v>3</v>
      </c>
      <c r="Y2184">
        <v>-0.1</v>
      </c>
      <c r="Z2184">
        <v>0</v>
      </c>
      <c r="AD2184">
        <v>0</v>
      </c>
      <c r="AF2184">
        <f t="shared" si="211"/>
        <v>0</v>
      </c>
      <c r="AP2184" s="8">
        <v>1</v>
      </c>
      <c r="AQ2184" t="s">
        <v>136</v>
      </c>
      <c r="AV2184" s="8"/>
    </row>
    <row r="2185" spans="1:48">
      <c r="A2185">
        <v>30008</v>
      </c>
      <c r="B2185" t="s">
        <v>169</v>
      </c>
      <c r="C2185" t="s">
        <v>170</v>
      </c>
      <c r="D2185">
        <v>1</v>
      </c>
      <c r="E2185">
        <v>0</v>
      </c>
      <c r="G2185">
        <v>1</v>
      </c>
      <c r="H2185" s="94" t="s">
        <v>171</v>
      </c>
      <c r="I2185">
        <v>3.33333333333333</v>
      </c>
      <c r="J2185">
        <v>3.33333333333333</v>
      </c>
      <c r="L2185">
        <f t="shared" si="210"/>
        <v>0</v>
      </c>
      <c r="M2185">
        <v>2.93333333333333</v>
      </c>
      <c r="N2185" t="s">
        <v>7189</v>
      </c>
      <c r="O2185">
        <v>1</v>
      </c>
      <c r="P2185">
        <v>1.3</v>
      </c>
      <c r="Q2185">
        <v>0</v>
      </c>
      <c r="S2185">
        <v>0</v>
      </c>
      <c r="V2185">
        <v>7</v>
      </c>
      <c r="W2185">
        <v>0</v>
      </c>
      <c r="X2185" s="7">
        <v>4</v>
      </c>
      <c r="Y2185">
        <v>-0.1</v>
      </c>
      <c r="Z2185">
        <v>0</v>
      </c>
      <c r="AD2185">
        <v>0</v>
      </c>
      <c r="AF2185">
        <f t="shared" si="211"/>
        <v>0</v>
      </c>
      <c r="AP2185" s="8">
        <v>6</v>
      </c>
      <c r="AQ2185" t="s">
        <v>136</v>
      </c>
      <c r="AV2185">
        <v>1</v>
      </c>
    </row>
    <row r="2186" spans="1:48">
      <c r="A2186">
        <v>30009</v>
      </c>
      <c r="B2186" t="s">
        <v>200</v>
      </c>
      <c r="C2186" t="s">
        <v>201</v>
      </c>
      <c r="D2186">
        <v>1</v>
      </c>
      <c r="E2186">
        <v>0</v>
      </c>
      <c r="G2186">
        <v>1</v>
      </c>
      <c r="H2186" s="93" t="s">
        <v>202</v>
      </c>
      <c r="I2186">
        <v>1.93333333333333</v>
      </c>
      <c r="J2186">
        <v>1.93333333333333</v>
      </c>
      <c r="L2186">
        <f t="shared" si="210"/>
        <v>0</v>
      </c>
      <c r="M2186">
        <v>1.53333333333333</v>
      </c>
      <c r="N2186" t="s">
        <v>203</v>
      </c>
      <c r="O2186">
        <v>1</v>
      </c>
      <c r="P2186">
        <v>0.95</v>
      </c>
      <c r="Q2186">
        <v>0</v>
      </c>
      <c r="R2186">
        <v>1</v>
      </c>
      <c r="S2186">
        <v>0</v>
      </c>
      <c r="V2186">
        <v>7</v>
      </c>
      <c r="W2186">
        <v>0</v>
      </c>
      <c r="X2186" s="7">
        <v>3</v>
      </c>
      <c r="Y2186">
        <v>-0.1</v>
      </c>
      <c r="Z2186">
        <v>0</v>
      </c>
      <c r="AD2186">
        <v>0</v>
      </c>
      <c r="AF2186">
        <f t="shared" si="211"/>
        <v>0</v>
      </c>
      <c r="AP2186" s="8">
        <v>11</v>
      </c>
      <c r="AQ2186" t="s">
        <v>136</v>
      </c>
      <c r="AV2186">
        <v>1</v>
      </c>
    </row>
    <row r="2187" spans="1:43">
      <c r="A2187">
        <v>30010</v>
      </c>
      <c r="B2187" t="s">
        <v>231</v>
      </c>
      <c r="C2187" t="s">
        <v>232</v>
      </c>
      <c r="D2187">
        <v>1</v>
      </c>
      <c r="E2187">
        <v>0</v>
      </c>
      <c r="G2187">
        <v>2</v>
      </c>
      <c r="H2187" s="94" t="s">
        <v>233</v>
      </c>
      <c r="I2187">
        <v>3.5</v>
      </c>
      <c r="J2187">
        <v>2.8</v>
      </c>
      <c r="L2187">
        <f t="shared" si="210"/>
        <v>0</v>
      </c>
      <c r="M2187">
        <v>3.1</v>
      </c>
      <c r="N2187" t="s">
        <v>234</v>
      </c>
      <c r="O2187">
        <v>0</v>
      </c>
      <c r="P2187">
        <v>0</v>
      </c>
      <c r="Q2187">
        <v>1</v>
      </c>
      <c r="S2187">
        <v>0</v>
      </c>
      <c r="V2187">
        <v>7</v>
      </c>
      <c r="W2187">
        <v>0</v>
      </c>
      <c r="X2187" s="7">
        <v>4</v>
      </c>
      <c r="Y2187">
        <v>-0.1</v>
      </c>
      <c r="Z2187">
        <v>0</v>
      </c>
      <c r="AD2187">
        <v>0</v>
      </c>
      <c r="AF2187">
        <f t="shared" si="211"/>
        <v>0</v>
      </c>
      <c r="AP2187" s="8">
        <v>33</v>
      </c>
      <c r="AQ2187" t="s">
        <v>136</v>
      </c>
    </row>
    <row r="2188" s="20" customFormat="1" spans="1:48">
      <c r="A2188" s="20">
        <v>30011</v>
      </c>
      <c r="B2188" s="20" t="s">
        <v>266</v>
      </c>
      <c r="C2188" s="20" t="s">
        <v>267</v>
      </c>
      <c r="D2188" s="20">
        <v>1</v>
      </c>
      <c r="E2188" s="20">
        <v>0</v>
      </c>
      <c r="G2188" s="20">
        <v>2</v>
      </c>
      <c r="H2188" s="93" t="s">
        <v>268</v>
      </c>
      <c r="I2188" s="20">
        <v>2.83333333333333</v>
      </c>
      <c r="J2188" s="20">
        <v>2.83333333333333</v>
      </c>
      <c r="L2188" s="20">
        <f t="shared" si="210"/>
        <v>0</v>
      </c>
      <c r="M2188" s="20">
        <v>2.43333333333333</v>
      </c>
      <c r="N2188" s="20" t="s">
        <v>269</v>
      </c>
      <c r="O2188" s="20">
        <v>1</v>
      </c>
      <c r="P2188" s="20">
        <v>4.4</v>
      </c>
      <c r="Q2188" s="20">
        <v>0</v>
      </c>
      <c r="S2188" s="20">
        <v>0</v>
      </c>
      <c r="V2188" s="20">
        <v>7</v>
      </c>
      <c r="W2188" s="20">
        <v>0</v>
      </c>
      <c r="X2188" s="7">
        <v>3</v>
      </c>
      <c r="Y2188" s="20">
        <v>-0.1</v>
      </c>
      <c r="Z2188" s="20">
        <v>0</v>
      </c>
      <c r="AD2188" s="20">
        <v>0</v>
      </c>
      <c r="AF2188" s="20">
        <f t="shared" si="211"/>
        <v>0</v>
      </c>
      <c r="AP2188" s="119">
        <v>36</v>
      </c>
      <c r="AQ2188" s="20" t="s">
        <v>136</v>
      </c>
      <c r="AV2188" s="20">
        <v>1</v>
      </c>
    </row>
    <row r="2189" s="21" customFormat="1" spans="1:48">
      <c r="A2189" s="21">
        <v>30012</v>
      </c>
      <c r="B2189" s="21" t="s">
        <v>340</v>
      </c>
      <c r="C2189" s="21" t="s">
        <v>341</v>
      </c>
      <c r="D2189" s="21">
        <v>3</v>
      </c>
      <c r="E2189" s="21">
        <v>1</v>
      </c>
      <c r="G2189" s="21">
        <v>2</v>
      </c>
      <c r="H2189" s="96" t="s">
        <v>342</v>
      </c>
      <c r="I2189" s="21">
        <v>1.8</v>
      </c>
      <c r="J2189" s="21">
        <v>1.8</v>
      </c>
      <c r="L2189" s="21">
        <f t="shared" si="210"/>
        <v>1</v>
      </c>
      <c r="M2189" s="21">
        <v>1.4</v>
      </c>
      <c r="N2189" s="21" t="s">
        <v>343</v>
      </c>
      <c r="O2189" s="110">
        <v>0</v>
      </c>
      <c r="P2189" s="21">
        <v>0</v>
      </c>
      <c r="Q2189" s="110">
        <v>0</v>
      </c>
      <c r="R2189" s="110"/>
      <c r="S2189" s="21">
        <v>0</v>
      </c>
      <c r="U2189" s="21">
        <v>0.5</v>
      </c>
      <c r="V2189" s="110">
        <v>101</v>
      </c>
      <c r="W2189" s="21">
        <v>0</v>
      </c>
      <c r="X2189" s="115" t="s">
        <v>302</v>
      </c>
      <c r="Y2189" s="21">
        <v>-0.1</v>
      </c>
      <c r="Z2189" s="110">
        <v>0</v>
      </c>
      <c r="AA2189" s="110"/>
      <c r="AB2189" s="110"/>
      <c r="AC2189" s="110"/>
      <c r="AD2189" s="110">
        <v>0</v>
      </c>
      <c r="AF2189" s="21">
        <f t="shared" si="211"/>
        <v>0</v>
      </c>
      <c r="AP2189" s="120" t="s">
        <v>344</v>
      </c>
      <c r="AQ2189" s="21" t="s">
        <v>245</v>
      </c>
      <c r="AV2189" s="21">
        <v>0</v>
      </c>
    </row>
    <row r="2190" spans="1:48">
      <c r="A2190">
        <v>30013</v>
      </c>
      <c r="B2190" t="s">
        <v>309</v>
      </c>
      <c r="C2190" t="s">
        <v>310</v>
      </c>
      <c r="D2190">
        <v>1</v>
      </c>
      <c r="E2190">
        <v>0</v>
      </c>
      <c r="G2190">
        <v>1</v>
      </c>
      <c r="H2190" s="94" t="s">
        <v>311</v>
      </c>
      <c r="I2190">
        <v>3.83333333333333</v>
      </c>
      <c r="J2190">
        <v>3.83333333333333</v>
      </c>
      <c r="L2190">
        <f t="shared" si="210"/>
        <v>1</v>
      </c>
      <c r="M2190">
        <v>3.43333333333333</v>
      </c>
      <c r="N2190" t="s">
        <v>7190</v>
      </c>
      <c r="O2190" s="108">
        <v>1</v>
      </c>
      <c r="P2190">
        <v>3.6</v>
      </c>
      <c r="Q2190" s="108">
        <v>0</v>
      </c>
      <c r="R2190" s="108"/>
      <c r="S2190">
        <v>0</v>
      </c>
      <c r="V2190" s="108">
        <v>7</v>
      </c>
      <c r="W2190">
        <v>0</v>
      </c>
      <c r="X2190" s="7">
        <v>11</v>
      </c>
      <c r="Y2190">
        <v>-0.1</v>
      </c>
      <c r="Z2190" s="108">
        <v>0</v>
      </c>
      <c r="AA2190" s="108"/>
      <c r="AB2190" s="108"/>
      <c r="AC2190" s="108"/>
      <c r="AD2190" s="108">
        <v>0</v>
      </c>
      <c r="AF2190">
        <f t="shared" si="211"/>
        <v>0</v>
      </c>
      <c r="AP2190" s="8" t="s">
        <v>313</v>
      </c>
      <c r="AQ2190" t="s">
        <v>314</v>
      </c>
      <c r="AV2190">
        <v>1</v>
      </c>
    </row>
    <row r="2191" spans="1:48">
      <c r="A2191">
        <v>30014</v>
      </c>
      <c r="B2191" t="s">
        <v>389</v>
      </c>
      <c r="C2191" t="s">
        <v>390</v>
      </c>
      <c r="D2191">
        <v>1</v>
      </c>
      <c r="E2191">
        <v>0</v>
      </c>
      <c r="G2191">
        <v>2</v>
      </c>
      <c r="H2191" s="94" t="s">
        <v>391</v>
      </c>
      <c r="I2191">
        <v>1.36666666666667</v>
      </c>
      <c r="J2191">
        <v>1.36666666666667</v>
      </c>
      <c r="L2191">
        <f t="shared" si="210"/>
        <v>0</v>
      </c>
      <c r="M2191">
        <v>0.96666666666667</v>
      </c>
      <c r="N2191" t="s">
        <v>392</v>
      </c>
      <c r="O2191" s="108">
        <v>1</v>
      </c>
      <c r="P2191">
        <v>4</v>
      </c>
      <c r="Q2191" s="108">
        <v>0</v>
      </c>
      <c r="R2191" s="108"/>
      <c r="S2191">
        <v>0</v>
      </c>
      <c r="V2191" s="108">
        <v>7</v>
      </c>
      <c r="W2191">
        <v>0</v>
      </c>
      <c r="X2191" s="7">
        <v>2</v>
      </c>
      <c r="Y2191">
        <v>-0.1</v>
      </c>
      <c r="Z2191" s="108">
        <v>0</v>
      </c>
      <c r="AA2191" s="108"/>
      <c r="AB2191" s="108"/>
      <c r="AC2191" s="108"/>
      <c r="AD2191" s="108">
        <v>0</v>
      </c>
      <c r="AF2191">
        <f t="shared" si="211"/>
        <v>0</v>
      </c>
      <c r="AP2191" s="8"/>
      <c r="AV2191">
        <v>1</v>
      </c>
    </row>
    <row r="2192" spans="1:48">
      <c r="A2192">
        <v>30015</v>
      </c>
      <c r="B2192" t="s">
        <v>451</v>
      </c>
      <c r="C2192" t="s">
        <v>452</v>
      </c>
      <c r="D2192">
        <v>1</v>
      </c>
      <c r="E2192">
        <v>0</v>
      </c>
      <c r="G2192">
        <v>1</v>
      </c>
      <c r="H2192" s="94" t="s">
        <v>453</v>
      </c>
      <c r="I2192">
        <v>2</v>
      </c>
      <c r="J2192">
        <v>2</v>
      </c>
      <c r="L2192">
        <f t="shared" si="210"/>
        <v>0</v>
      </c>
      <c r="M2192">
        <v>1.6</v>
      </c>
      <c r="N2192" t="s">
        <v>454</v>
      </c>
      <c r="O2192" s="108">
        <v>1</v>
      </c>
      <c r="P2192">
        <v>1.4</v>
      </c>
      <c r="Q2192" s="108">
        <v>0</v>
      </c>
      <c r="R2192" s="108"/>
      <c r="S2192">
        <v>0</v>
      </c>
      <c r="V2192" s="108">
        <v>7</v>
      </c>
      <c r="W2192">
        <v>0</v>
      </c>
      <c r="X2192" s="7">
        <v>3</v>
      </c>
      <c r="Y2192">
        <v>-0.1</v>
      </c>
      <c r="Z2192" s="108">
        <v>0</v>
      </c>
      <c r="AA2192" s="108"/>
      <c r="AB2192" s="108"/>
      <c r="AC2192" s="108"/>
      <c r="AD2192" s="108">
        <v>0</v>
      </c>
      <c r="AF2192">
        <f t="shared" si="211"/>
        <v>0</v>
      </c>
      <c r="AP2192" s="154">
        <v>133</v>
      </c>
      <c r="AQ2192" t="s">
        <v>136</v>
      </c>
      <c r="AV2192">
        <v>1</v>
      </c>
    </row>
    <row r="2193" spans="1:48">
      <c r="A2193">
        <v>30016</v>
      </c>
      <c r="B2193" t="s">
        <v>525</v>
      </c>
      <c r="C2193" t="s">
        <v>526</v>
      </c>
      <c r="D2193">
        <v>1</v>
      </c>
      <c r="E2193">
        <v>0</v>
      </c>
      <c r="G2193">
        <v>1</v>
      </c>
      <c r="H2193" s="93" t="s">
        <v>527</v>
      </c>
      <c r="I2193">
        <v>1.66666666666667</v>
      </c>
      <c r="J2193">
        <v>1.2</v>
      </c>
      <c r="L2193">
        <f t="shared" si="210"/>
        <v>0</v>
      </c>
      <c r="M2193">
        <v>1.26666666666667</v>
      </c>
      <c r="N2193" t="s">
        <v>528</v>
      </c>
      <c r="O2193" s="108">
        <v>1</v>
      </c>
      <c r="P2193">
        <v>1.5</v>
      </c>
      <c r="Q2193" s="108">
        <v>0</v>
      </c>
      <c r="R2193" s="108"/>
      <c r="S2193">
        <v>0</v>
      </c>
      <c r="V2193" s="108">
        <v>7</v>
      </c>
      <c r="W2193">
        <v>0</v>
      </c>
      <c r="X2193" s="7">
        <v>3</v>
      </c>
      <c r="Y2193">
        <v>-0.1</v>
      </c>
      <c r="Z2193" s="108">
        <v>0</v>
      </c>
      <c r="AA2193" s="108"/>
      <c r="AB2193" s="108"/>
      <c r="AC2193" s="108"/>
      <c r="AD2193" s="108">
        <v>0</v>
      </c>
      <c r="AF2193">
        <f t="shared" si="211"/>
        <v>0</v>
      </c>
      <c r="AP2193" s="8">
        <v>164</v>
      </c>
      <c r="AQ2193" t="s">
        <v>136</v>
      </c>
      <c r="AV2193">
        <v>1</v>
      </c>
    </row>
    <row r="2194" spans="1:48">
      <c r="A2194">
        <v>30017</v>
      </c>
      <c r="B2194" t="s">
        <v>491</v>
      </c>
      <c r="C2194" t="s">
        <v>492</v>
      </c>
      <c r="D2194">
        <v>1</v>
      </c>
      <c r="E2194">
        <v>0</v>
      </c>
      <c r="G2194">
        <v>1</v>
      </c>
      <c r="H2194" s="93" t="s">
        <v>493</v>
      </c>
      <c r="I2194">
        <v>2.5</v>
      </c>
      <c r="J2194">
        <v>1.9333333333</v>
      </c>
      <c r="L2194">
        <f t="shared" si="210"/>
        <v>0</v>
      </c>
      <c r="M2194">
        <v>2.1</v>
      </c>
      <c r="N2194" t="s">
        <v>494</v>
      </c>
      <c r="O2194" s="108">
        <v>1</v>
      </c>
      <c r="P2194">
        <v>1.5</v>
      </c>
      <c r="Q2194" s="108">
        <v>0</v>
      </c>
      <c r="R2194" s="108"/>
      <c r="S2194">
        <v>0</v>
      </c>
      <c r="V2194" s="108">
        <v>7</v>
      </c>
      <c r="W2194">
        <v>0</v>
      </c>
      <c r="X2194" s="7">
        <v>3</v>
      </c>
      <c r="Y2194">
        <v>-0.1</v>
      </c>
      <c r="Z2194" s="108">
        <v>0</v>
      </c>
      <c r="AA2194" s="108"/>
      <c r="AB2194" s="108"/>
      <c r="AC2194" s="108"/>
      <c r="AD2194" s="108">
        <v>0</v>
      </c>
      <c r="AF2194">
        <f t="shared" si="211"/>
        <v>0</v>
      </c>
      <c r="AP2194" s="8">
        <v>172</v>
      </c>
      <c r="AQ2194" t="s">
        <v>136</v>
      </c>
      <c r="AV2194">
        <v>1</v>
      </c>
    </row>
    <row r="2195" spans="1:48">
      <c r="A2195">
        <v>30018</v>
      </c>
      <c r="B2195" t="s">
        <v>591</v>
      </c>
      <c r="C2195" t="s">
        <v>526</v>
      </c>
      <c r="D2195">
        <v>1</v>
      </c>
      <c r="E2195">
        <v>0</v>
      </c>
      <c r="G2195">
        <v>1</v>
      </c>
      <c r="H2195" s="93" t="s">
        <v>592</v>
      </c>
      <c r="I2195" s="15">
        <v>2.2</v>
      </c>
      <c r="J2195" s="15">
        <v>2.2</v>
      </c>
      <c r="K2195" s="15"/>
      <c r="L2195">
        <f t="shared" si="210"/>
        <v>0</v>
      </c>
      <c r="M2195">
        <v>1.8</v>
      </c>
      <c r="N2195" t="s">
        <v>593</v>
      </c>
      <c r="O2195" s="108">
        <v>1</v>
      </c>
      <c r="P2195">
        <v>1.2</v>
      </c>
      <c r="Q2195" s="108">
        <v>0</v>
      </c>
      <c r="R2195" s="108"/>
      <c r="S2195">
        <v>0</v>
      </c>
      <c r="V2195" s="108">
        <v>6</v>
      </c>
      <c r="W2195">
        <v>0</v>
      </c>
      <c r="X2195" s="7">
        <v>3</v>
      </c>
      <c r="Y2195">
        <v>-0.1</v>
      </c>
      <c r="Z2195" s="108">
        <v>0</v>
      </c>
      <c r="AA2195" s="108"/>
      <c r="AB2195" s="108"/>
      <c r="AC2195" s="108"/>
      <c r="AD2195" s="108">
        <v>0</v>
      </c>
      <c r="AE2195" s="15"/>
      <c r="AF2195">
        <f t="shared" si="211"/>
        <v>0</v>
      </c>
      <c r="AP2195" s="8">
        <v>156</v>
      </c>
      <c r="AQ2195" t="s">
        <v>136</v>
      </c>
      <c r="AV2195">
        <v>1</v>
      </c>
    </row>
    <row r="2196" s="24" customFormat="1" spans="1:48">
      <c r="A2196" s="24">
        <v>30019</v>
      </c>
      <c r="B2196" s="24" t="s">
        <v>554</v>
      </c>
      <c r="C2196" s="130" t="s">
        <v>555</v>
      </c>
      <c r="D2196" s="24">
        <v>1</v>
      </c>
      <c r="E2196" s="131">
        <v>0</v>
      </c>
      <c r="F2196" s="131"/>
      <c r="G2196" s="131">
        <v>2</v>
      </c>
      <c r="H2196" s="132" t="s">
        <v>556</v>
      </c>
      <c r="I2196" s="24">
        <v>1.3</v>
      </c>
      <c r="J2196" s="24">
        <v>1.3</v>
      </c>
      <c r="L2196" s="24">
        <f t="shared" si="210"/>
        <v>0</v>
      </c>
      <c r="M2196" s="24">
        <v>0.9</v>
      </c>
      <c r="N2196" s="24" t="s">
        <v>557</v>
      </c>
      <c r="O2196" s="147">
        <v>0</v>
      </c>
      <c r="P2196" s="24">
        <v>0.9</v>
      </c>
      <c r="Q2196" s="147">
        <v>1</v>
      </c>
      <c r="R2196" s="147"/>
      <c r="S2196" s="24">
        <v>0</v>
      </c>
      <c r="V2196" s="147">
        <v>8</v>
      </c>
      <c r="W2196" s="24">
        <v>0</v>
      </c>
      <c r="X2196" s="151">
        <v>4</v>
      </c>
      <c r="Y2196" s="24">
        <v>-0.1</v>
      </c>
      <c r="Z2196" s="147">
        <v>0</v>
      </c>
      <c r="AA2196" s="147"/>
      <c r="AB2196" s="147"/>
      <c r="AC2196" s="147"/>
      <c r="AD2196" s="147">
        <v>0</v>
      </c>
      <c r="AF2196" s="24">
        <f t="shared" si="211"/>
        <v>0</v>
      </c>
      <c r="AP2196" s="157" t="s">
        <v>558</v>
      </c>
      <c r="AQ2196" s="24" t="s">
        <v>559</v>
      </c>
      <c r="AV2196" s="131">
        <v>0</v>
      </c>
    </row>
    <row r="2197" spans="1:48">
      <c r="A2197">
        <v>30020</v>
      </c>
      <c r="B2197" t="s">
        <v>1235</v>
      </c>
      <c r="C2197" s="211" t="s">
        <v>526</v>
      </c>
      <c r="D2197">
        <v>1</v>
      </c>
      <c r="E2197">
        <v>0</v>
      </c>
      <c r="G2197">
        <v>1</v>
      </c>
      <c r="H2197" s="82" t="s">
        <v>1236</v>
      </c>
      <c r="I2197" s="20">
        <v>1.93333333333333</v>
      </c>
      <c r="J2197" s="20">
        <v>1.93333333333333</v>
      </c>
      <c r="K2197" s="20"/>
      <c r="L2197">
        <f t="shared" si="210"/>
        <v>1</v>
      </c>
      <c r="M2197">
        <v>1.53333333333333</v>
      </c>
      <c r="N2197" t="s">
        <v>1237</v>
      </c>
      <c r="O2197" s="20">
        <v>1</v>
      </c>
      <c r="P2197">
        <v>1.2</v>
      </c>
      <c r="Q2197" s="20">
        <v>0</v>
      </c>
      <c r="R2197" s="20"/>
      <c r="V2197" s="20">
        <v>7</v>
      </c>
      <c r="W2197">
        <v>0</v>
      </c>
      <c r="X2197" s="7">
        <v>12</v>
      </c>
      <c r="Y2197">
        <v>-0.1</v>
      </c>
      <c r="Z2197" s="20">
        <v>0</v>
      </c>
      <c r="AA2197" s="20"/>
      <c r="AB2197" s="20"/>
      <c r="AC2197" s="20"/>
      <c r="AD2197" s="20">
        <v>0</v>
      </c>
      <c r="AE2197" s="20"/>
      <c r="AF2197">
        <f t="shared" si="211"/>
        <v>0</v>
      </c>
      <c r="AG2197" s="20"/>
      <c r="AH2197" s="20"/>
      <c r="AI2197" s="20"/>
      <c r="AJ2197" s="20"/>
      <c r="AK2197" s="20"/>
      <c r="AL2197" s="20"/>
      <c r="AM2197" s="20"/>
      <c r="AP2197" s="119">
        <v>552</v>
      </c>
      <c r="AQ2197" s="20" t="s">
        <v>136</v>
      </c>
      <c r="AV2197">
        <v>1</v>
      </c>
    </row>
    <row r="2198" spans="1:48">
      <c r="A2198">
        <v>30021</v>
      </c>
      <c r="B2198" t="s">
        <v>831</v>
      </c>
      <c r="C2198" s="82" t="s">
        <v>526</v>
      </c>
      <c r="D2198">
        <v>1</v>
      </c>
      <c r="E2198" s="82">
        <v>0</v>
      </c>
      <c r="F2198" s="82"/>
      <c r="G2198" s="82">
        <v>1</v>
      </c>
      <c r="H2198" s="82">
        <v>2801</v>
      </c>
      <c r="I2198">
        <v>1.4</v>
      </c>
      <c r="J2198">
        <v>1.4</v>
      </c>
      <c r="K2198" s="118"/>
      <c r="L2198">
        <f t="shared" si="210"/>
        <v>0</v>
      </c>
      <c r="M2198">
        <v>1</v>
      </c>
      <c r="N2198" t="s">
        <v>832</v>
      </c>
      <c r="O2198" s="108">
        <v>1</v>
      </c>
      <c r="P2198" s="108">
        <v>1.2</v>
      </c>
      <c r="Q2198" s="108">
        <v>0</v>
      </c>
      <c r="R2198" s="108"/>
      <c r="S2198">
        <v>0</v>
      </c>
      <c r="V2198" s="108">
        <v>6</v>
      </c>
      <c r="W2198">
        <v>0</v>
      </c>
      <c r="X2198" s="7">
        <v>3</v>
      </c>
      <c r="Y2198">
        <v>-0.1</v>
      </c>
      <c r="Z2198" s="108">
        <v>0</v>
      </c>
      <c r="AA2198" s="108"/>
      <c r="AB2198" s="108"/>
      <c r="AC2198" s="108"/>
      <c r="AD2198" s="108">
        <v>0</v>
      </c>
      <c r="AF2198">
        <f t="shared" si="211"/>
        <v>0</v>
      </c>
      <c r="AP2198" s="154">
        <v>282</v>
      </c>
      <c r="AQ2198" t="s">
        <v>136</v>
      </c>
      <c r="AV2198" s="82">
        <v>1</v>
      </c>
    </row>
    <row r="2199" spans="1:48">
      <c r="A2199">
        <v>30022</v>
      </c>
      <c r="B2199" t="s">
        <v>924</v>
      </c>
      <c r="C2199" t="s">
        <v>925</v>
      </c>
      <c r="D2199">
        <v>1</v>
      </c>
      <c r="E2199">
        <v>0</v>
      </c>
      <c r="G2199">
        <v>2</v>
      </c>
      <c r="H2199" s="82" t="s">
        <v>926</v>
      </c>
      <c r="I2199">
        <v>1.9</v>
      </c>
      <c r="J2199">
        <v>1.9</v>
      </c>
      <c r="L2199">
        <f t="shared" si="210"/>
        <v>0</v>
      </c>
      <c r="M2199">
        <v>1.5</v>
      </c>
      <c r="N2199" t="s">
        <v>6199</v>
      </c>
      <c r="O2199">
        <v>1</v>
      </c>
      <c r="P2199">
        <v>5</v>
      </c>
      <c r="Q2199">
        <v>0</v>
      </c>
      <c r="S2199" s="108">
        <v>0</v>
      </c>
      <c r="V2199">
        <v>7</v>
      </c>
      <c r="W2199">
        <v>0</v>
      </c>
      <c r="X2199" s="7">
        <v>3</v>
      </c>
      <c r="Y2199">
        <v>-0.1</v>
      </c>
      <c r="Z2199">
        <v>0</v>
      </c>
      <c r="AD2199">
        <v>0</v>
      </c>
      <c r="AF2199">
        <f t="shared" si="211"/>
        <v>0</v>
      </c>
      <c r="AP2199">
        <v>349</v>
      </c>
      <c r="AQ2199" t="s">
        <v>136</v>
      </c>
      <c r="AV2199">
        <v>1</v>
      </c>
    </row>
    <row r="2200" spans="1:48">
      <c r="A2200">
        <v>30023</v>
      </c>
      <c r="B2200" t="s">
        <v>621</v>
      </c>
      <c r="C2200" t="s">
        <v>622</v>
      </c>
      <c r="D2200">
        <v>1</v>
      </c>
      <c r="E2200">
        <v>0</v>
      </c>
      <c r="G2200">
        <v>2</v>
      </c>
      <c r="H2200" s="93" t="s">
        <v>623</v>
      </c>
      <c r="I2200">
        <v>1.6</v>
      </c>
      <c r="J2200">
        <v>1.6</v>
      </c>
      <c r="L2200">
        <f t="shared" si="210"/>
        <v>1</v>
      </c>
      <c r="M2200">
        <v>1.2</v>
      </c>
      <c r="N2200" t="s">
        <v>7191</v>
      </c>
      <c r="O2200" s="108">
        <v>1</v>
      </c>
      <c r="P2200">
        <v>5</v>
      </c>
      <c r="Q2200" s="108">
        <v>0</v>
      </c>
      <c r="R2200" s="108"/>
      <c r="S2200">
        <v>0</v>
      </c>
      <c r="V2200" s="108">
        <v>7</v>
      </c>
      <c r="W2200">
        <v>0</v>
      </c>
      <c r="X2200" s="7">
        <v>8</v>
      </c>
      <c r="Y2200">
        <v>-0.1</v>
      </c>
      <c r="Z2200" s="108">
        <v>0</v>
      </c>
      <c r="AA2200" s="108"/>
      <c r="AB2200" s="108"/>
      <c r="AC2200" s="108"/>
      <c r="AD2200" s="108">
        <v>0</v>
      </c>
      <c r="AE2200" s="15"/>
      <c r="AF2200">
        <f t="shared" si="211"/>
        <v>0</v>
      </c>
      <c r="AP2200" s="10">
        <v>146</v>
      </c>
      <c r="AQ2200" t="s">
        <v>136</v>
      </c>
      <c r="AV2200">
        <v>1</v>
      </c>
    </row>
    <row r="2201" spans="1:48">
      <c r="A2201">
        <v>30024</v>
      </c>
      <c r="B2201" t="s">
        <v>1200</v>
      </c>
      <c r="C2201" s="208" t="s">
        <v>526</v>
      </c>
      <c r="D2201">
        <v>1</v>
      </c>
      <c r="E2201">
        <v>0</v>
      </c>
      <c r="G2201">
        <v>1</v>
      </c>
      <c r="H2201" s="5" t="s">
        <v>1201</v>
      </c>
      <c r="I2201" s="118">
        <v>3.33333333333333</v>
      </c>
      <c r="J2201" s="118">
        <v>3.33333333333333</v>
      </c>
      <c r="L2201">
        <f t="shared" si="210"/>
        <v>0</v>
      </c>
      <c r="M2201">
        <v>2.93333333333333</v>
      </c>
      <c r="N2201" t="s">
        <v>7192</v>
      </c>
      <c r="O2201">
        <v>1</v>
      </c>
      <c r="P2201">
        <v>2</v>
      </c>
      <c r="Q2201">
        <v>0</v>
      </c>
      <c r="S2201">
        <v>0</v>
      </c>
      <c r="V2201">
        <v>7</v>
      </c>
      <c r="W2201">
        <v>0</v>
      </c>
      <c r="X2201" s="7">
        <v>3</v>
      </c>
      <c r="Y2201">
        <v>-0.1</v>
      </c>
      <c r="Z2201" s="108">
        <v>0</v>
      </c>
      <c r="AF2201">
        <f t="shared" si="211"/>
        <v>0</v>
      </c>
      <c r="AP2201" s="8">
        <v>497</v>
      </c>
      <c r="AQ2201" t="s">
        <v>136</v>
      </c>
      <c r="AV2201">
        <v>1</v>
      </c>
    </row>
    <row r="2202" s="24" customFormat="1" spans="1:48">
      <c r="A2202" s="24">
        <v>30025</v>
      </c>
      <c r="B2202" s="24" t="s">
        <v>959</v>
      </c>
      <c r="C2202" s="24" t="s">
        <v>960</v>
      </c>
      <c r="D2202" s="24">
        <v>1</v>
      </c>
      <c r="E2202" s="24">
        <v>0</v>
      </c>
      <c r="G2202" s="24">
        <v>2</v>
      </c>
      <c r="H2202" s="187" t="s">
        <v>961</v>
      </c>
      <c r="I2202" s="24">
        <v>1.66666666666667</v>
      </c>
      <c r="J2202" s="24">
        <v>1.66666666666667</v>
      </c>
      <c r="L2202" s="24">
        <f t="shared" si="210"/>
        <v>0</v>
      </c>
      <c r="M2202" s="24">
        <v>1.26666666666667</v>
      </c>
      <c r="N2202" s="24" t="s">
        <v>7193</v>
      </c>
      <c r="O2202" s="24">
        <v>2</v>
      </c>
      <c r="P2202" s="24">
        <v>5</v>
      </c>
      <c r="Q2202" s="24">
        <v>0</v>
      </c>
      <c r="S2202" s="24">
        <v>0</v>
      </c>
      <c r="V2202" s="24">
        <v>8</v>
      </c>
      <c r="W2202" s="24">
        <v>0</v>
      </c>
      <c r="X2202" s="151">
        <v>3</v>
      </c>
      <c r="Y2202" s="24">
        <v>-0.1</v>
      </c>
      <c r="Z2202" s="24">
        <v>0</v>
      </c>
      <c r="AD2202" s="24">
        <v>0</v>
      </c>
      <c r="AF2202" s="24">
        <f t="shared" si="211"/>
        <v>0</v>
      </c>
      <c r="AP2202" s="157"/>
      <c r="AV2202" s="24">
        <v>1</v>
      </c>
    </row>
    <row r="2203" spans="1:48">
      <c r="A2203">
        <v>30026</v>
      </c>
      <c r="B2203" t="s">
        <v>1104</v>
      </c>
      <c r="C2203" t="s">
        <v>526</v>
      </c>
      <c r="D2203">
        <v>1</v>
      </c>
      <c r="E2203">
        <v>0</v>
      </c>
      <c r="G2203">
        <v>1</v>
      </c>
      <c r="H2203" s="82" t="s">
        <v>1105</v>
      </c>
      <c r="I2203" s="118">
        <v>2.16666666666667</v>
      </c>
      <c r="J2203" s="118">
        <v>2.16666666666667</v>
      </c>
      <c r="L2203">
        <f t="shared" si="210"/>
        <v>0</v>
      </c>
      <c r="M2203">
        <v>1.76666666666667</v>
      </c>
      <c r="N2203" t="s">
        <v>7194</v>
      </c>
      <c r="O2203">
        <v>1</v>
      </c>
      <c r="P2203">
        <v>1.2</v>
      </c>
      <c r="Q2203">
        <v>0</v>
      </c>
      <c r="S2203">
        <v>0</v>
      </c>
      <c r="V2203">
        <v>7</v>
      </c>
      <c r="W2203">
        <v>0</v>
      </c>
      <c r="X2203" s="7">
        <v>3</v>
      </c>
      <c r="Y2203">
        <v>-0.1</v>
      </c>
      <c r="Z2203">
        <v>0</v>
      </c>
      <c r="AF2203">
        <f t="shared" si="211"/>
        <v>0</v>
      </c>
      <c r="AP2203" s="8">
        <v>443</v>
      </c>
      <c r="AQ2203" t="s">
        <v>136</v>
      </c>
      <c r="AV2203">
        <v>1</v>
      </c>
    </row>
    <row r="2204" spans="1:48">
      <c r="A2204">
        <v>30027</v>
      </c>
      <c r="B2204" t="s">
        <v>1023</v>
      </c>
      <c r="C2204" t="s">
        <v>1024</v>
      </c>
      <c r="D2204">
        <v>1</v>
      </c>
      <c r="E2204">
        <v>0</v>
      </c>
      <c r="G2204">
        <v>1</v>
      </c>
      <c r="H2204" s="168" t="s">
        <v>1025</v>
      </c>
      <c r="I2204">
        <v>1.66666666666667</v>
      </c>
      <c r="J2204">
        <v>1.66666666666667</v>
      </c>
      <c r="L2204">
        <f t="shared" si="210"/>
        <v>0</v>
      </c>
      <c r="M2204">
        <v>1.26666666666667</v>
      </c>
      <c r="N2204" t="s">
        <v>1026</v>
      </c>
      <c r="O2204">
        <v>1</v>
      </c>
      <c r="P2204">
        <v>5</v>
      </c>
      <c r="Q2204">
        <v>0</v>
      </c>
      <c r="S2204">
        <v>-1.5</v>
      </c>
      <c r="U2204">
        <v>0.8</v>
      </c>
      <c r="V2204">
        <v>7</v>
      </c>
      <c r="W2204">
        <v>4</v>
      </c>
      <c r="X2204" s="7">
        <v>3</v>
      </c>
      <c r="Y2204">
        <v>-0.1</v>
      </c>
      <c r="Z2204">
        <v>0</v>
      </c>
      <c r="AD2204">
        <v>0</v>
      </c>
      <c r="AF2204">
        <f t="shared" si="211"/>
        <v>0</v>
      </c>
      <c r="AP2204" s="8" t="s">
        <v>1027</v>
      </c>
      <c r="AQ2204" t="s">
        <v>517</v>
      </c>
      <c r="AV2204">
        <v>1</v>
      </c>
    </row>
    <row r="2205" spans="1:48">
      <c r="A2205">
        <v>30028</v>
      </c>
      <c r="B2205" t="s">
        <v>1334</v>
      </c>
      <c r="C2205" s="211" t="s">
        <v>526</v>
      </c>
      <c r="D2205">
        <v>1</v>
      </c>
      <c r="E2205">
        <v>0</v>
      </c>
      <c r="G2205">
        <v>2</v>
      </c>
      <c r="H2205" s="82" t="s">
        <v>1335</v>
      </c>
      <c r="I2205" s="20">
        <v>1.5</v>
      </c>
      <c r="J2205" s="20">
        <v>1.5</v>
      </c>
      <c r="K2205" s="20"/>
      <c r="L2205">
        <f t="shared" si="210"/>
        <v>1</v>
      </c>
      <c r="M2205">
        <v>1.1</v>
      </c>
      <c r="N2205" s="192" t="s">
        <v>7195</v>
      </c>
      <c r="O2205" s="20">
        <v>1</v>
      </c>
      <c r="P2205">
        <v>5</v>
      </c>
      <c r="Q2205" s="20">
        <v>0</v>
      </c>
      <c r="R2205" s="20"/>
      <c r="S2205" s="20"/>
      <c r="T2205" s="20"/>
      <c r="U2205" s="20"/>
      <c r="V2205" s="20">
        <v>6</v>
      </c>
      <c r="W2205">
        <v>0</v>
      </c>
      <c r="X2205" s="7">
        <v>11</v>
      </c>
      <c r="Y2205">
        <v>-0.1</v>
      </c>
      <c r="Z2205" s="20">
        <v>0</v>
      </c>
      <c r="AA2205" s="20"/>
      <c r="AB2205" s="20"/>
      <c r="AC2205" s="20"/>
      <c r="AD2205" s="20">
        <v>0</v>
      </c>
      <c r="AE2205" s="20"/>
      <c r="AF2205">
        <f t="shared" si="211"/>
        <v>0</v>
      </c>
      <c r="AG2205" s="20"/>
      <c r="AH2205" s="20"/>
      <c r="AI2205" s="20"/>
      <c r="AJ2205" s="20"/>
      <c r="AK2205" s="20"/>
      <c r="AL2205" s="20"/>
      <c r="AM2205" s="20"/>
      <c r="AP2205" s="8">
        <v>620</v>
      </c>
      <c r="AQ2205" t="s">
        <v>136</v>
      </c>
      <c r="AV2205">
        <v>1</v>
      </c>
    </row>
    <row r="2206" spans="1:48">
      <c r="A2206">
        <v>30029</v>
      </c>
      <c r="B2206" t="s">
        <v>7196</v>
      </c>
      <c r="C2206" s="211" t="s">
        <v>526</v>
      </c>
      <c r="D2206">
        <v>1</v>
      </c>
      <c r="E2206">
        <v>0</v>
      </c>
      <c r="G2206">
        <v>1</v>
      </c>
      <c r="H2206" s="94" t="s">
        <v>425</v>
      </c>
      <c r="I2206">
        <v>1.6</v>
      </c>
      <c r="J2206">
        <v>1.4</v>
      </c>
      <c r="L2206">
        <f t="shared" si="210"/>
        <v>0</v>
      </c>
      <c r="M2206">
        <v>1.2</v>
      </c>
      <c r="N2206" t="s">
        <v>426</v>
      </c>
      <c r="O2206" s="108">
        <v>1</v>
      </c>
      <c r="P2206">
        <v>2</v>
      </c>
      <c r="Q2206" s="108">
        <v>0</v>
      </c>
      <c r="R2206" s="108"/>
      <c r="S2206">
        <v>0</v>
      </c>
      <c r="V2206" s="108">
        <v>7</v>
      </c>
      <c r="W2206">
        <v>0</v>
      </c>
      <c r="X2206" s="7">
        <v>3</v>
      </c>
      <c r="Y2206">
        <v>-0.1</v>
      </c>
      <c r="Z2206" s="108">
        <v>0</v>
      </c>
      <c r="AA2206" s="108"/>
      <c r="AB2206" s="108"/>
      <c r="AC2206" s="108"/>
      <c r="AD2206" s="108">
        <v>0</v>
      </c>
      <c r="AF2206">
        <f t="shared" si="211"/>
        <v>0</v>
      </c>
      <c r="AP2206" s="154">
        <v>112</v>
      </c>
      <c r="AQ2206" t="s">
        <v>136</v>
      </c>
      <c r="AV2206">
        <v>1</v>
      </c>
    </row>
    <row r="2207" spans="1:48">
      <c r="A2207">
        <v>30030</v>
      </c>
      <c r="B2207" t="s">
        <v>7197</v>
      </c>
      <c r="C2207" s="211" t="s">
        <v>526</v>
      </c>
      <c r="D2207">
        <v>1</v>
      </c>
      <c r="E2207">
        <v>0</v>
      </c>
      <c r="G2207">
        <v>2</v>
      </c>
      <c r="H2207" s="5" t="s">
        <v>1416</v>
      </c>
      <c r="I2207">
        <v>3.1</v>
      </c>
      <c r="J2207">
        <v>3.1</v>
      </c>
      <c r="L2207">
        <f t="shared" si="210"/>
        <v>0</v>
      </c>
      <c r="M2207">
        <f t="shared" ref="M2207:M2208" si="212">I2207-0.4</f>
        <v>2.7</v>
      </c>
      <c r="N2207" t="s">
        <v>7198</v>
      </c>
      <c r="O2207" s="108">
        <v>2</v>
      </c>
      <c r="P2207">
        <v>0</v>
      </c>
      <c r="Q2207" s="108">
        <v>0</v>
      </c>
      <c r="R2207" s="108"/>
      <c r="V2207" s="108">
        <v>7</v>
      </c>
      <c r="W2207">
        <v>0</v>
      </c>
      <c r="X2207" s="7">
        <v>2</v>
      </c>
      <c r="Y2207">
        <v>0.4</v>
      </c>
      <c r="Z2207" s="108">
        <v>0</v>
      </c>
      <c r="AA2207" s="108"/>
      <c r="AB2207" s="108"/>
      <c r="AC2207" s="108"/>
      <c r="AD2207" s="108"/>
      <c r="AF2207">
        <f t="shared" si="211"/>
        <v>0</v>
      </c>
      <c r="AP2207" s="8">
        <v>741</v>
      </c>
      <c r="AQ2207" t="s">
        <v>136</v>
      </c>
      <c r="AR2207" s="11"/>
      <c r="AV2207">
        <v>1</v>
      </c>
    </row>
    <row r="2208" spans="1:48">
      <c r="A2208">
        <v>30031</v>
      </c>
      <c r="B2208" t="s">
        <v>7199</v>
      </c>
      <c r="C2208" s="211" t="s">
        <v>526</v>
      </c>
      <c r="D2208">
        <v>1</v>
      </c>
      <c r="E2208">
        <v>0</v>
      </c>
      <c r="G2208">
        <v>1</v>
      </c>
      <c r="H2208" s="82">
        <v>4001</v>
      </c>
      <c r="I2208">
        <v>3</v>
      </c>
      <c r="J2208">
        <v>3</v>
      </c>
      <c r="L2208">
        <f t="shared" si="210"/>
        <v>1</v>
      </c>
      <c r="M2208">
        <f t="shared" si="212"/>
        <v>2.6</v>
      </c>
      <c r="N2208" t="s">
        <v>7200</v>
      </c>
      <c r="O2208">
        <v>1</v>
      </c>
      <c r="P2208">
        <v>1.2</v>
      </c>
      <c r="Q2208">
        <v>0</v>
      </c>
      <c r="S2208">
        <v>0</v>
      </c>
      <c r="V2208">
        <v>7</v>
      </c>
      <c r="W2208">
        <v>0</v>
      </c>
      <c r="X2208" s="7">
        <v>5</v>
      </c>
      <c r="Y2208">
        <v>-0.1</v>
      </c>
      <c r="Z2208">
        <v>0</v>
      </c>
      <c r="AF2208">
        <f t="shared" si="211"/>
        <v>0</v>
      </c>
      <c r="AV2208">
        <v>1</v>
      </c>
    </row>
    <row r="2209" spans="1:48">
      <c r="A2209">
        <v>30032</v>
      </c>
      <c r="B2209" t="s">
        <v>870</v>
      </c>
      <c r="C2209" t="s">
        <v>871</v>
      </c>
      <c r="D2209">
        <v>1</v>
      </c>
      <c r="E2209">
        <v>6</v>
      </c>
      <c r="G2209">
        <v>2</v>
      </c>
      <c r="H2209" s="82" t="s">
        <v>872</v>
      </c>
      <c r="I2209">
        <v>1.56666666666667</v>
      </c>
      <c r="J2209">
        <v>1.56666666666667</v>
      </c>
      <c r="L2209">
        <v>0</v>
      </c>
      <c r="M2209">
        <v>1.16666666666667</v>
      </c>
      <c r="N2209" t="s">
        <v>873</v>
      </c>
      <c r="O2209">
        <v>0</v>
      </c>
      <c r="P2209">
        <v>0</v>
      </c>
      <c r="Q2209">
        <v>1</v>
      </c>
      <c r="S2209">
        <v>0</v>
      </c>
      <c r="V2209">
        <v>5</v>
      </c>
      <c r="W2209">
        <v>0</v>
      </c>
      <c r="X2209" s="7">
        <v>1</v>
      </c>
      <c r="Y2209">
        <v>-0.1</v>
      </c>
      <c r="Z2209">
        <v>0</v>
      </c>
      <c r="AD2209">
        <v>0</v>
      </c>
      <c r="AF2209">
        <f t="shared" si="211"/>
        <v>0</v>
      </c>
      <c r="AP2209" s="8"/>
      <c r="AV2209">
        <v>1</v>
      </c>
    </row>
    <row r="2210" spans="1:42">
      <c r="A2210">
        <v>30033</v>
      </c>
      <c r="B2210" t="s">
        <v>870</v>
      </c>
      <c r="C2210" t="s">
        <v>874</v>
      </c>
      <c r="D2210">
        <v>1</v>
      </c>
      <c r="E2210">
        <v>6</v>
      </c>
      <c r="G2210">
        <v>2</v>
      </c>
      <c r="H2210" s="82" t="s">
        <v>875</v>
      </c>
      <c r="I2210">
        <v>1.43333333333333</v>
      </c>
      <c r="J2210">
        <v>1.43333333333333</v>
      </c>
      <c r="L2210">
        <v>1</v>
      </c>
      <c r="M2210">
        <v>1.03333333333333</v>
      </c>
      <c r="N2210" t="s">
        <v>876</v>
      </c>
      <c r="O2210">
        <v>0</v>
      </c>
      <c r="P2210">
        <v>0</v>
      </c>
      <c r="Q2210">
        <v>1</v>
      </c>
      <c r="S2210">
        <v>0</v>
      </c>
      <c r="V2210">
        <v>5</v>
      </c>
      <c r="W2210">
        <v>0</v>
      </c>
      <c r="X2210" s="7">
        <v>2</v>
      </c>
      <c r="Y2210">
        <v>-0.1</v>
      </c>
      <c r="Z2210">
        <v>0</v>
      </c>
      <c r="AD2210">
        <v>0</v>
      </c>
      <c r="AF2210">
        <f t="shared" si="211"/>
        <v>0</v>
      </c>
      <c r="AP2210" s="8"/>
    </row>
    <row r="2211" spans="1:42">
      <c r="A2211">
        <v>30034</v>
      </c>
      <c r="B2211" t="s">
        <v>870</v>
      </c>
      <c r="C2211" t="s">
        <v>877</v>
      </c>
      <c r="D2211">
        <v>2</v>
      </c>
      <c r="E2211">
        <v>1</v>
      </c>
      <c r="G2211">
        <v>2</v>
      </c>
      <c r="H2211" s="82" t="s">
        <v>878</v>
      </c>
      <c r="I2211">
        <v>1.73333333333333</v>
      </c>
      <c r="J2211">
        <v>1.73333333333333</v>
      </c>
      <c r="L2211">
        <v>0</v>
      </c>
      <c r="M2211">
        <v>1.33333333333333</v>
      </c>
      <c r="N2211" t="s">
        <v>879</v>
      </c>
      <c r="O2211">
        <v>0</v>
      </c>
      <c r="P2211">
        <v>0</v>
      </c>
      <c r="Q2211">
        <v>1</v>
      </c>
      <c r="S2211">
        <v>0</v>
      </c>
      <c r="V2211">
        <v>1000</v>
      </c>
      <c r="W2211">
        <v>0</v>
      </c>
      <c r="X2211" s="7">
        <v>1</v>
      </c>
      <c r="Y2211">
        <v>-0.1</v>
      </c>
      <c r="Z2211">
        <v>0</v>
      </c>
      <c r="AD2211">
        <v>0</v>
      </c>
      <c r="AF2211">
        <f t="shared" si="211"/>
        <v>0</v>
      </c>
      <c r="AP2211" s="8"/>
    </row>
    <row r="2212" spans="1:42">
      <c r="A2212">
        <v>30035</v>
      </c>
      <c r="B2212" t="s">
        <v>870</v>
      </c>
      <c r="C2212" t="s">
        <v>880</v>
      </c>
      <c r="D2212">
        <v>1</v>
      </c>
      <c r="E2212">
        <v>6</v>
      </c>
      <c r="G2212">
        <v>2</v>
      </c>
      <c r="H2212" s="82" t="s">
        <v>881</v>
      </c>
      <c r="I2212">
        <v>6.2</v>
      </c>
      <c r="J2212">
        <v>5.33333333333333</v>
      </c>
      <c r="L2212">
        <v>1</v>
      </c>
      <c r="M2212">
        <v>5.8</v>
      </c>
      <c r="N2212" t="s">
        <v>882</v>
      </c>
      <c r="O2212">
        <v>1</v>
      </c>
      <c r="P2212">
        <v>10.5</v>
      </c>
      <c r="Q2212">
        <v>0</v>
      </c>
      <c r="S2212">
        <v>0</v>
      </c>
      <c r="V2212">
        <v>5</v>
      </c>
      <c r="W2212">
        <v>0</v>
      </c>
      <c r="X2212" s="7">
        <v>1</v>
      </c>
      <c r="Y2212">
        <v>-0.1</v>
      </c>
      <c r="Z2212">
        <v>0</v>
      </c>
      <c r="AA2212">
        <v>1</v>
      </c>
      <c r="AD2212">
        <v>1</v>
      </c>
      <c r="AE2212" t="s">
        <v>883</v>
      </c>
      <c r="AF2212">
        <f t="shared" si="211"/>
        <v>0.5</v>
      </c>
      <c r="AP2212" s="8"/>
    </row>
    <row r="2213" spans="1:43">
      <c r="A2213">
        <v>30036</v>
      </c>
      <c r="B2213" s="71" t="s">
        <v>5263</v>
      </c>
      <c r="C2213" t="s">
        <v>7201</v>
      </c>
      <c r="D2213">
        <v>1</v>
      </c>
      <c r="E2213">
        <v>0</v>
      </c>
      <c r="G2213">
        <v>1</v>
      </c>
      <c r="H2213" s="82">
        <v>104302</v>
      </c>
      <c r="I2213">
        <v>2.33333333333333</v>
      </c>
      <c r="J2213">
        <v>2.33333333333333</v>
      </c>
      <c r="L2213">
        <f>IF(X2213&gt;4,1,0)</f>
        <v>0</v>
      </c>
      <c r="M2213">
        <f>I2213-0.4</f>
        <v>1.93333333333333</v>
      </c>
      <c r="N2213" t="s">
        <v>7202</v>
      </c>
      <c r="O2213" s="659">
        <v>3</v>
      </c>
      <c r="P2213">
        <v>6</v>
      </c>
      <c r="Q2213" s="20">
        <v>0</v>
      </c>
      <c r="S2213">
        <v>2</v>
      </c>
      <c r="T2213">
        <v>1</v>
      </c>
      <c r="U2213">
        <v>2</v>
      </c>
      <c r="V2213" s="20">
        <v>1</v>
      </c>
      <c r="W2213">
        <v>6</v>
      </c>
      <c r="X2213" s="7">
        <v>1</v>
      </c>
      <c r="Y2213">
        <v>-0.1</v>
      </c>
      <c r="Z2213" s="20">
        <v>0</v>
      </c>
      <c r="AF2213">
        <f t="shared" si="211"/>
        <v>0</v>
      </c>
      <c r="AP2213" s="8">
        <v>845</v>
      </c>
      <c r="AQ2213" s="654" t="s">
        <v>136</v>
      </c>
    </row>
    <row r="2214" spans="1:48">
      <c r="A2214">
        <v>30037</v>
      </c>
      <c r="B2214" t="s">
        <v>900</v>
      </c>
      <c r="C2214" t="s">
        <v>901</v>
      </c>
      <c r="D2214">
        <v>3</v>
      </c>
      <c r="E2214">
        <v>1</v>
      </c>
      <c r="G2214">
        <v>2</v>
      </c>
      <c r="H2214" s="82" t="s">
        <v>7203</v>
      </c>
      <c r="I2214">
        <v>1.86666666666667</v>
      </c>
      <c r="J2214">
        <v>1.86666666666667</v>
      </c>
      <c r="L2214">
        <v>0</v>
      </c>
      <c r="M2214">
        <v>1.46666666666667</v>
      </c>
      <c r="N2214" t="s">
        <v>903</v>
      </c>
      <c r="O2214">
        <v>0</v>
      </c>
      <c r="P2214">
        <v>0</v>
      </c>
      <c r="Q2214">
        <v>0</v>
      </c>
      <c r="S2214">
        <v>3.5</v>
      </c>
      <c r="V2214">
        <v>101</v>
      </c>
      <c r="W2214">
        <v>25</v>
      </c>
      <c r="X2214" s="7">
        <v>0</v>
      </c>
      <c r="Y2214">
        <v>-0.1</v>
      </c>
      <c r="Z2214">
        <v>0</v>
      </c>
      <c r="AD2214">
        <v>0</v>
      </c>
      <c r="AF2214">
        <f t="shared" si="211"/>
        <v>0</v>
      </c>
      <c r="AN2214" s="8">
        <v>220</v>
      </c>
      <c r="AO2214" t="s">
        <v>136</v>
      </c>
      <c r="AV2214">
        <v>0</v>
      </c>
    </row>
    <row r="2215" spans="1:41">
      <c r="A2215">
        <v>30038</v>
      </c>
      <c r="B2215" t="s">
        <v>900</v>
      </c>
      <c r="C2215" t="s">
        <v>904</v>
      </c>
      <c r="D2215">
        <v>3</v>
      </c>
      <c r="E2215">
        <v>1</v>
      </c>
      <c r="G2215">
        <v>2</v>
      </c>
      <c r="H2215" s="82" t="s">
        <v>7204</v>
      </c>
      <c r="I2215">
        <v>1.16666666666667</v>
      </c>
      <c r="J2215">
        <v>1.16666666666667</v>
      </c>
      <c r="L2215">
        <v>0</v>
      </c>
      <c r="M2215">
        <v>0.76666666666667</v>
      </c>
      <c r="N2215" t="s">
        <v>906</v>
      </c>
      <c r="O2215">
        <v>0</v>
      </c>
      <c r="P2215">
        <v>0</v>
      </c>
      <c r="Q2215">
        <v>0</v>
      </c>
      <c r="S2215">
        <v>3.5</v>
      </c>
      <c r="V2215">
        <v>101</v>
      </c>
      <c r="W2215">
        <v>25</v>
      </c>
      <c r="X2215" s="7">
        <v>1</v>
      </c>
      <c r="Y2215">
        <v>-0.1</v>
      </c>
      <c r="Z2215">
        <v>0</v>
      </c>
      <c r="AD2215">
        <v>0</v>
      </c>
      <c r="AF2215">
        <f t="shared" si="211"/>
        <v>0</v>
      </c>
      <c r="AN2215" s="8">
        <v>221</v>
      </c>
      <c r="AO2215" t="s">
        <v>136</v>
      </c>
    </row>
    <row r="2216" spans="1:41">
      <c r="A2216">
        <v>30039</v>
      </c>
      <c r="B2216" t="s">
        <v>900</v>
      </c>
      <c r="C2216" t="s">
        <v>907</v>
      </c>
      <c r="D2216">
        <v>3</v>
      </c>
      <c r="E2216">
        <v>1</v>
      </c>
      <c r="G2216">
        <v>2</v>
      </c>
      <c r="H2216" s="82" t="s">
        <v>7205</v>
      </c>
      <c r="I2216">
        <v>1.76666666666667</v>
      </c>
      <c r="J2216">
        <v>1.76666666666667</v>
      </c>
      <c r="L2216">
        <v>0</v>
      </c>
      <c r="M2216">
        <v>1.36666666666667</v>
      </c>
      <c r="N2216" t="s">
        <v>909</v>
      </c>
      <c r="O2216">
        <v>0</v>
      </c>
      <c r="P2216">
        <v>0</v>
      </c>
      <c r="Q2216">
        <v>0</v>
      </c>
      <c r="S2216">
        <v>3.5</v>
      </c>
      <c r="V2216">
        <v>101</v>
      </c>
      <c r="W2216">
        <v>25</v>
      </c>
      <c r="X2216" s="7">
        <v>1</v>
      </c>
      <c r="Y2216">
        <v>-0.1</v>
      </c>
      <c r="Z2216">
        <v>0</v>
      </c>
      <c r="AD2216">
        <v>0</v>
      </c>
      <c r="AF2216">
        <f t="shared" si="211"/>
        <v>0</v>
      </c>
      <c r="AN2216" s="8">
        <v>222</v>
      </c>
      <c r="AO2216" t="s">
        <v>136</v>
      </c>
    </row>
    <row r="2217" spans="1:41">
      <c r="A2217">
        <v>30040</v>
      </c>
      <c r="B2217" t="s">
        <v>900</v>
      </c>
      <c r="C2217" t="s">
        <v>910</v>
      </c>
      <c r="D2217">
        <v>3</v>
      </c>
      <c r="E2217">
        <v>1</v>
      </c>
      <c r="G2217">
        <v>2</v>
      </c>
      <c r="H2217" s="82" t="s">
        <v>7206</v>
      </c>
      <c r="I2217">
        <v>2.83333333333333</v>
      </c>
      <c r="J2217">
        <v>2.83333333333333</v>
      </c>
      <c r="L2217">
        <v>0</v>
      </c>
      <c r="M2217">
        <v>2.43333333333333</v>
      </c>
      <c r="N2217" t="s">
        <v>912</v>
      </c>
      <c r="O2217">
        <v>0</v>
      </c>
      <c r="P2217">
        <v>0</v>
      </c>
      <c r="Q2217">
        <v>0</v>
      </c>
      <c r="S2217">
        <v>3.5</v>
      </c>
      <c r="V2217">
        <v>101</v>
      </c>
      <c r="W2217">
        <v>25</v>
      </c>
      <c r="X2217" s="7">
        <v>1</v>
      </c>
      <c r="Y2217">
        <v>-0.1</v>
      </c>
      <c r="Z2217">
        <v>0</v>
      </c>
      <c r="AD2217">
        <v>1</v>
      </c>
      <c r="AE2217" t="s">
        <v>913</v>
      </c>
      <c r="AF2217">
        <f t="shared" si="211"/>
        <v>0.5</v>
      </c>
      <c r="AN2217" s="8" t="s">
        <v>914</v>
      </c>
      <c r="AO2217" t="s">
        <v>7207</v>
      </c>
    </row>
    <row r="2218" spans="1:55">
      <c r="A2218">
        <v>30041</v>
      </c>
      <c r="B2218" t="s">
        <v>7208</v>
      </c>
      <c r="C2218" t="s">
        <v>7209</v>
      </c>
      <c r="D2218">
        <v>4</v>
      </c>
      <c r="E2218">
        <v>0</v>
      </c>
      <c r="G2218">
        <v>1</v>
      </c>
      <c r="H2218" s="168" t="s">
        <v>1042</v>
      </c>
      <c r="I2218">
        <v>3</v>
      </c>
      <c r="J2218">
        <v>3</v>
      </c>
      <c r="K2218">
        <v>0.8</v>
      </c>
      <c r="L2218">
        <v>0</v>
      </c>
      <c r="M2218">
        <f t="shared" ref="M2218:M2224" si="213">I2218-0.4</f>
        <v>2.6</v>
      </c>
      <c r="N2218" s="99" t="s">
        <v>7210</v>
      </c>
      <c r="O2218">
        <v>1</v>
      </c>
      <c r="P2218">
        <v>2</v>
      </c>
      <c r="Q2218">
        <v>2</v>
      </c>
      <c r="S2218">
        <v>0</v>
      </c>
      <c r="V2218">
        <v>1</v>
      </c>
      <c r="W2218">
        <v>0</v>
      </c>
      <c r="X2218" s="7">
        <v>1</v>
      </c>
      <c r="Y2218">
        <v>-0.1</v>
      </c>
      <c r="Z2218">
        <v>0</v>
      </c>
      <c r="AB2218">
        <v>2.8</v>
      </c>
      <c r="AC2218">
        <v>2</v>
      </c>
      <c r="AD2218">
        <v>1</v>
      </c>
      <c r="AE2218" t="s">
        <v>1044</v>
      </c>
      <c r="AF2218">
        <v>3</v>
      </c>
      <c r="AH2218">
        <v>1</v>
      </c>
      <c r="AN2218" s="8">
        <v>399</v>
      </c>
      <c r="AO2218" t="s">
        <v>136</v>
      </c>
      <c r="BC2218" t="s">
        <v>1045</v>
      </c>
    </row>
    <row r="2219" spans="1:45">
      <c r="A2219">
        <v>30042</v>
      </c>
      <c r="B2219" t="s">
        <v>1415</v>
      </c>
      <c r="C2219" t="s">
        <v>1426</v>
      </c>
      <c r="D2219">
        <v>1</v>
      </c>
      <c r="E2219">
        <v>0</v>
      </c>
      <c r="G2219">
        <v>1</v>
      </c>
      <c r="H2219" s="5" t="s">
        <v>1427</v>
      </c>
      <c r="I2219">
        <v>4.8</v>
      </c>
      <c r="J2219">
        <v>4.8</v>
      </c>
      <c r="L2219">
        <v>1</v>
      </c>
      <c r="M2219">
        <f t="shared" si="213"/>
        <v>4.4</v>
      </c>
      <c r="N2219" t="s">
        <v>7211</v>
      </c>
      <c r="O2219" s="108">
        <v>1</v>
      </c>
      <c r="P2219">
        <v>12.7</v>
      </c>
      <c r="Q2219" s="108">
        <v>0</v>
      </c>
      <c r="R2219" s="108"/>
      <c r="V2219" s="108">
        <v>20</v>
      </c>
      <c r="W2219">
        <v>0</v>
      </c>
      <c r="X2219" s="7">
        <v>4</v>
      </c>
      <c r="Y2219">
        <v>-0.1</v>
      </c>
      <c r="Z2219" s="108">
        <v>0</v>
      </c>
      <c r="AA2219" s="108"/>
      <c r="AB2219" s="108">
        <v>4.5</v>
      </c>
      <c r="AC2219" s="108">
        <v>2</v>
      </c>
      <c r="AD2219" s="108">
        <v>1</v>
      </c>
      <c r="AE2219" t="s">
        <v>1429</v>
      </c>
      <c r="AF2219">
        <v>4.8</v>
      </c>
      <c r="AN2219" s="8" t="s">
        <v>1430</v>
      </c>
      <c r="AO2219" t="s">
        <v>1015</v>
      </c>
      <c r="AP2219" s="8"/>
      <c r="AR2219" s="749" t="s">
        <v>239</v>
      </c>
      <c r="AS2219" t="s">
        <v>1431</v>
      </c>
    </row>
    <row r="2220" spans="1:44">
      <c r="A2220">
        <v>30043</v>
      </c>
      <c r="B2220" t="s">
        <v>1415</v>
      </c>
      <c r="C2220" t="s">
        <v>1418</v>
      </c>
      <c r="D2220">
        <v>4</v>
      </c>
      <c r="E2220">
        <v>0</v>
      </c>
      <c r="G2220">
        <v>2</v>
      </c>
      <c r="H2220" s="5" t="s">
        <v>1419</v>
      </c>
      <c r="I2220">
        <v>2.5</v>
      </c>
      <c r="J2220">
        <v>2.5</v>
      </c>
      <c r="L2220">
        <f>IF(X2220&gt;4,1,0)</f>
        <v>0</v>
      </c>
      <c r="M2220">
        <f t="shared" si="213"/>
        <v>2.1</v>
      </c>
      <c r="N2220" t="s">
        <v>7212</v>
      </c>
      <c r="O2220" s="108">
        <v>2</v>
      </c>
      <c r="P2220">
        <v>0</v>
      </c>
      <c r="Q2220" s="108">
        <v>0</v>
      </c>
      <c r="R2220" s="108"/>
      <c r="V2220" s="108">
        <v>2</v>
      </c>
      <c r="W2220">
        <v>0</v>
      </c>
      <c r="X2220" s="7">
        <v>3</v>
      </c>
      <c r="Y2220">
        <v>0.4</v>
      </c>
      <c r="Z2220" s="108">
        <v>0</v>
      </c>
      <c r="AA2220" s="108"/>
      <c r="AB2220" s="108"/>
      <c r="AC2220" s="108"/>
      <c r="AD2220" s="108"/>
      <c r="AF2220">
        <f>IF(AD2220=--1,0.5,0)</f>
        <v>0</v>
      </c>
      <c r="AN2220" s="8">
        <v>742</v>
      </c>
      <c r="AO2220" t="s">
        <v>136</v>
      </c>
      <c r="AP2220" s="8"/>
      <c r="AR2220" s="11"/>
    </row>
    <row r="2221" spans="1:44">
      <c r="A2221">
        <v>30044</v>
      </c>
      <c r="B2221" t="s">
        <v>1415</v>
      </c>
      <c r="C2221" t="s">
        <v>1421</v>
      </c>
      <c r="D2221">
        <v>1</v>
      </c>
      <c r="E2221">
        <v>0</v>
      </c>
      <c r="G2221">
        <v>2</v>
      </c>
      <c r="H2221" s="5" t="s">
        <v>1422</v>
      </c>
      <c r="I2221">
        <v>2.5</v>
      </c>
      <c r="J2221">
        <v>2.5</v>
      </c>
      <c r="L2221">
        <f>IF(X2221&gt;4,1,0)</f>
        <v>0</v>
      </c>
      <c r="M2221">
        <f t="shared" si="213"/>
        <v>2.1</v>
      </c>
      <c r="N2221" t="s">
        <v>7213</v>
      </c>
      <c r="O2221" s="108">
        <v>2</v>
      </c>
      <c r="P2221">
        <v>0</v>
      </c>
      <c r="Q2221" s="108">
        <v>0</v>
      </c>
      <c r="R2221" s="108"/>
      <c r="V2221" s="108">
        <v>2</v>
      </c>
      <c r="W2221">
        <v>0</v>
      </c>
      <c r="X2221" s="7">
        <v>1</v>
      </c>
      <c r="Y2221">
        <v>-0.1</v>
      </c>
      <c r="Z2221" s="108">
        <v>0</v>
      </c>
      <c r="AA2221" s="108"/>
      <c r="AB2221" s="108"/>
      <c r="AC2221" s="108"/>
      <c r="AD2221" s="108"/>
      <c r="AF2221">
        <f>IF(AD2221=--1,0.5,0)</f>
        <v>0</v>
      </c>
      <c r="AN2221" s="8" t="s">
        <v>1424</v>
      </c>
      <c r="AO2221" t="s">
        <v>1425</v>
      </c>
      <c r="AP2221" s="8"/>
      <c r="AR2221" s="11"/>
    </row>
    <row r="2222" spans="1:44">
      <c r="A2222">
        <v>30045</v>
      </c>
      <c r="B2222" t="s">
        <v>1415</v>
      </c>
      <c r="C2222" t="s">
        <v>1432</v>
      </c>
      <c r="D2222">
        <v>1</v>
      </c>
      <c r="E2222">
        <v>0</v>
      </c>
      <c r="G2222">
        <v>2</v>
      </c>
      <c r="H2222" s="5" t="s">
        <v>1433</v>
      </c>
      <c r="I2222">
        <v>2.16666666666667</v>
      </c>
      <c r="J2222">
        <v>2.16666666666667</v>
      </c>
      <c r="L2222">
        <f>IF(X2222&gt;4,1,0)</f>
        <v>0</v>
      </c>
      <c r="M2222">
        <f t="shared" si="213"/>
        <v>1.76666666666667</v>
      </c>
      <c r="N2222" t="s">
        <v>7214</v>
      </c>
      <c r="O2222" s="108">
        <v>2</v>
      </c>
      <c r="P2222">
        <v>0</v>
      </c>
      <c r="Q2222" s="108">
        <v>0</v>
      </c>
      <c r="R2222" s="108"/>
      <c r="S2222" s="108">
        <v>2</v>
      </c>
      <c r="T2222" s="108">
        <v>1</v>
      </c>
      <c r="U2222" s="108">
        <v>1</v>
      </c>
      <c r="V2222" s="108">
        <v>2</v>
      </c>
      <c r="W2222">
        <v>1</v>
      </c>
      <c r="X2222" s="7">
        <v>3</v>
      </c>
      <c r="Y2222">
        <v>-0.1</v>
      </c>
      <c r="Z2222" s="108">
        <v>0</v>
      </c>
      <c r="AA2222" s="108"/>
      <c r="AB2222" s="108"/>
      <c r="AC2222" s="108"/>
      <c r="AD2222" s="108"/>
      <c r="AF2222">
        <f>IF(AD2222=--1,0.5,0)</f>
        <v>0</v>
      </c>
      <c r="AN2222" s="8">
        <v>747</v>
      </c>
      <c r="AO2222" t="s">
        <v>1103</v>
      </c>
      <c r="AP2222" s="8"/>
      <c r="AR2222" s="11"/>
    </row>
    <row r="2223" spans="1:41">
      <c r="A2223">
        <v>30046</v>
      </c>
      <c r="B2223" s="669" t="s">
        <v>5792</v>
      </c>
      <c r="C2223" s="668" t="s">
        <v>5793</v>
      </c>
      <c r="D2223">
        <v>1</v>
      </c>
      <c r="E2223">
        <v>0</v>
      </c>
      <c r="G2223">
        <v>2</v>
      </c>
      <c r="H2223" s="5" t="s">
        <v>5794</v>
      </c>
      <c r="I2223">
        <f>50/30</f>
        <v>1.66666666666667</v>
      </c>
      <c r="J2223">
        <f>50/30</f>
        <v>1.66666666666667</v>
      </c>
      <c r="L2223">
        <v>0</v>
      </c>
      <c r="M2223">
        <f t="shared" si="213"/>
        <v>1.26666666666667</v>
      </c>
      <c r="N2223" s="104" t="s">
        <v>5795</v>
      </c>
      <c r="O2223">
        <v>1</v>
      </c>
      <c r="P2223">
        <v>2.8</v>
      </c>
      <c r="Q2223">
        <v>0</v>
      </c>
      <c r="V2223">
        <v>16</v>
      </c>
      <c r="W2223">
        <v>0</v>
      </c>
      <c r="X2223" s="7">
        <v>1</v>
      </c>
      <c r="Y2223">
        <v>-0.1</v>
      </c>
      <c r="Z2223">
        <v>0</v>
      </c>
      <c r="AN2223" s="8">
        <v>1234</v>
      </c>
      <c r="AO2223" t="s">
        <v>136</v>
      </c>
    </row>
    <row r="2224" spans="1:44">
      <c r="A2224">
        <v>30047</v>
      </c>
      <c r="B2224" s="3" t="s">
        <v>1720</v>
      </c>
      <c r="C2224" s="3" t="s">
        <v>1741</v>
      </c>
      <c r="D2224">
        <v>1</v>
      </c>
      <c r="E2224">
        <v>3</v>
      </c>
      <c r="F2224" s="3"/>
      <c r="G2224" s="3">
        <v>1</v>
      </c>
      <c r="H2224" s="5" t="s">
        <v>1742</v>
      </c>
      <c r="I2224">
        <v>17.5</v>
      </c>
      <c r="J2224">
        <v>17.5</v>
      </c>
      <c r="K2224" s="3"/>
      <c r="L2224">
        <v>1</v>
      </c>
      <c r="M2224">
        <f t="shared" si="213"/>
        <v>17.1</v>
      </c>
      <c r="N2224" s="3" t="s">
        <v>1743</v>
      </c>
      <c r="O2224">
        <v>3</v>
      </c>
      <c r="P2224">
        <v>-8</v>
      </c>
      <c r="Q2224">
        <v>0</v>
      </c>
      <c r="V2224">
        <v>1</v>
      </c>
      <c r="W2224">
        <v>6</v>
      </c>
      <c r="X2224" s="7">
        <v>0</v>
      </c>
      <c r="Y2224">
        <v>-0.1</v>
      </c>
      <c r="Z2224">
        <v>0</v>
      </c>
      <c r="AB2224">
        <v>17.4</v>
      </c>
      <c r="AC2224">
        <v>2</v>
      </c>
      <c r="AD2224">
        <v>1</v>
      </c>
      <c r="AE2224" t="s">
        <v>1744</v>
      </c>
      <c r="AF2224">
        <v>0.5</v>
      </c>
      <c r="AP2224" s="10">
        <v>1402</v>
      </c>
      <c r="AQ2224" t="s">
        <v>136</v>
      </c>
      <c r="AR2224" s="11"/>
    </row>
    <row r="2225" spans="1:43">
      <c r="A2225">
        <v>30048</v>
      </c>
      <c r="B2225" t="s">
        <v>1060</v>
      </c>
      <c r="C2225" t="s">
        <v>1078</v>
      </c>
      <c r="D2225">
        <v>1</v>
      </c>
      <c r="E2225">
        <v>0</v>
      </c>
      <c r="H2225" s="82">
        <v>4008</v>
      </c>
      <c r="I2225">
        <v>11</v>
      </c>
      <c r="J2225">
        <v>11</v>
      </c>
      <c r="K2225">
        <v>0.5</v>
      </c>
      <c r="L2225">
        <v>1</v>
      </c>
      <c r="M2225">
        <v>10.6</v>
      </c>
      <c r="N2225" t="s">
        <v>7215</v>
      </c>
      <c r="O2225">
        <v>1</v>
      </c>
      <c r="P2225">
        <v>5</v>
      </c>
      <c r="Q2225">
        <v>0</v>
      </c>
      <c r="S2225">
        <v>-5</v>
      </c>
      <c r="T2225">
        <v>-1</v>
      </c>
      <c r="U2225">
        <v>1</v>
      </c>
      <c r="V2225">
        <v>1</v>
      </c>
      <c r="W2225">
        <v>6</v>
      </c>
      <c r="X2225" s="7">
        <v>9</v>
      </c>
      <c r="Y2225">
        <v>-0.1</v>
      </c>
      <c r="Z2225">
        <v>0</v>
      </c>
      <c r="AB2225">
        <v>10.7</v>
      </c>
      <c r="AC2225">
        <v>2</v>
      </c>
      <c r="AD2225">
        <v>1</v>
      </c>
      <c r="AE2225" t="s">
        <v>1080</v>
      </c>
      <c r="AF2225">
        <v>0.5</v>
      </c>
      <c r="AN2225" s="8" t="s">
        <v>1081</v>
      </c>
      <c r="AO2225" t="s">
        <v>1082</v>
      </c>
      <c r="AP2225">
        <v>416</v>
      </c>
      <c r="AQ2225" t="s">
        <v>136</v>
      </c>
    </row>
    <row r="2226" spans="1:43">
      <c r="A2226">
        <v>40000</v>
      </c>
      <c r="B2226" t="s">
        <v>1646</v>
      </c>
      <c r="C2226" t="s">
        <v>7216</v>
      </c>
      <c r="D2226">
        <v>1</v>
      </c>
      <c r="E2226">
        <v>0</v>
      </c>
      <c r="G2226">
        <v>1</v>
      </c>
      <c r="H2226" s="82" t="s">
        <v>1649</v>
      </c>
      <c r="I2226">
        <v>3.5</v>
      </c>
      <c r="J2226">
        <v>3.5</v>
      </c>
      <c r="L2226">
        <v>0</v>
      </c>
      <c r="M2226">
        <v>3.1</v>
      </c>
      <c r="N2226" t="s">
        <v>1650</v>
      </c>
      <c r="O2226">
        <v>1</v>
      </c>
      <c r="P2226">
        <v>2.5</v>
      </c>
      <c r="Q2226">
        <v>0</v>
      </c>
      <c r="U2226">
        <v>0.5</v>
      </c>
      <c r="V2226">
        <v>1</v>
      </c>
      <c r="W2226">
        <v>0</v>
      </c>
      <c r="X2226" s="7">
        <v>3</v>
      </c>
      <c r="Y2226">
        <v>-0.1</v>
      </c>
      <c r="Z2226">
        <v>0</v>
      </c>
      <c r="AP2226">
        <v>1161</v>
      </c>
      <c r="AQ2226" t="s">
        <v>136</v>
      </c>
    </row>
    <row r="2227" spans="1:44">
      <c r="A2227">
        <v>40001</v>
      </c>
      <c r="B2227" s="3" t="s">
        <v>1646</v>
      </c>
      <c r="C2227" s="3" t="s">
        <v>7217</v>
      </c>
      <c r="D2227">
        <v>3</v>
      </c>
      <c r="E2227">
        <v>1</v>
      </c>
      <c r="F2227" s="3"/>
      <c r="G2227" s="3">
        <v>1</v>
      </c>
      <c r="H2227" s="5" t="s">
        <v>1655</v>
      </c>
      <c r="I2227">
        <v>2.5</v>
      </c>
      <c r="J2227">
        <v>2.5</v>
      </c>
      <c r="K2227" s="3"/>
      <c r="L2227">
        <v>0</v>
      </c>
      <c r="M2227">
        <f t="shared" ref="M2227:M2231" si="214">I2227-0.4</f>
        <v>2.1</v>
      </c>
      <c r="N2227" s="3" t="s">
        <v>1656</v>
      </c>
      <c r="O2227">
        <v>1</v>
      </c>
      <c r="P2227">
        <v>2.5</v>
      </c>
      <c r="Q2227">
        <v>0</v>
      </c>
      <c r="S2227">
        <v>1</v>
      </c>
      <c r="U2227">
        <v>1.5</v>
      </c>
      <c r="V2227">
        <v>1</v>
      </c>
      <c r="W2227">
        <v>0</v>
      </c>
      <c r="X2227" s="7">
        <v>3</v>
      </c>
      <c r="Y2227">
        <v>-0.1</v>
      </c>
      <c r="Z2227">
        <v>0</v>
      </c>
      <c r="AP2227" s="10"/>
      <c r="AQ2227" s="3"/>
      <c r="AR2227" s="11"/>
    </row>
    <row r="2228" spans="1:41">
      <c r="A2228">
        <v>40002</v>
      </c>
      <c r="B2228" t="s">
        <v>1104</v>
      </c>
      <c r="C2228" t="s">
        <v>1124</v>
      </c>
      <c r="D2228">
        <v>1</v>
      </c>
      <c r="E2228">
        <v>0</v>
      </c>
      <c r="G2228">
        <v>1</v>
      </c>
      <c r="H2228" s="82" t="s">
        <v>1125</v>
      </c>
      <c r="I2228" s="118">
        <v>2.83333333333333</v>
      </c>
      <c r="J2228" s="118">
        <v>2.83333333333333</v>
      </c>
      <c r="L2228">
        <f t="shared" ref="L2228:L2231" si="215">IF(X2228&gt;4,1,0)</f>
        <v>1</v>
      </c>
      <c r="M2228">
        <f t="shared" si="214"/>
        <v>2.43333333333333</v>
      </c>
      <c r="N2228" t="s">
        <v>1702</v>
      </c>
      <c r="O2228">
        <v>1</v>
      </c>
      <c r="P2228">
        <v>1.2</v>
      </c>
      <c r="Q2228">
        <v>0</v>
      </c>
      <c r="S2228">
        <v>-0.3</v>
      </c>
      <c r="T2228">
        <v>1</v>
      </c>
      <c r="U2228">
        <v>0.5</v>
      </c>
      <c r="V2228">
        <v>1</v>
      </c>
      <c r="W2228">
        <v>0</v>
      </c>
      <c r="X2228" s="7">
        <v>16</v>
      </c>
      <c r="Y2228">
        <v>-0.1</v>
      </c>
      <c r="Z2228">
        <v>0</v>
      </c>
      <c r="AF2228">
        <f t="shared" ref="AF2228:AF2231" si="216">IF(AD2228=--1,0.5,0)</f>
        <v>0</v>
      </c>
      <c r="AN2228" s="8">
        <v>448</v>
      </c>
      <c r="AO2228" t="s">
        <v>136</v>
      </c>
    </row>
    <row r="2229" spans="1:41">
      <c r="A2229">
        <v>40003</v>
      </c>
      <c r="B2229" t="s">
        <v>1104</v>
      </c>
      <c r="C2229" t="s">
        <v>1130</v>
      </c>
      <c r="D2229">
        <v>3</v>
      </c>
      <c r="E2229">
        <v>1</v>
      </c>
      <c r="G2229">
        <v>1</v>
      </c>
      <c r="H2229" s="82">
        <v>4209</v>
      </c>
      <c r="I2229">
        <v>3.66666666666667</v>
      </c>
      <c r="J2229" s="118">
        <v>3.66666666666667</v>
      </c>
      <c r="L2229">
        <f t="shared" si="215"/>
        <v>0</v>
      </c>
      <c r="M2229">
        <f t="shared" si="214"/>
        <v>3.26666666666667</v>
      </c>
      <c r="N2229" t="s">
        <v>7218</v>
      </c>
      <c r="O2229">
        <v>0</v>
      </c>
      <c r="P2229">
        <v>1.2</v>
      </c>
      <c r="Q2229">
        <v>2</v>
      </c>
      <c r="S2229">
        <v>1</v>
      </c>
      <c r="V2229">
        <v>1000</v>
      </c>
      <c r="W2229">
        <v>0</v>
      </c>
      <c r="X2229" s="7">
        <v>0</v>
      </c>
      <c r="Y2229">
        <v>-0.1</v>
      </c>
      <c r="Z2229">
        <v>0</v>
      </c>
      <c r="AF2229">
        <f t="shared" si="216"/>
        <v>0</v>
      </c>
      <c r="AN2229" s="8" t="s">
        <v>1132</v>
      </c>
      <c r="AO2229" t="s">
        <v>1133</v>
      </c>
    </row>
    <row r="2230" spans="1:41">
      <c r="A2230">
        <v>40004</v>
      </c>
      <c r="B2230" t="s">
        <v>1023</v>
      </c>
      <c r="C2230" s="746" t="s">
        <v>1408</v>
      </c>
      <c r="D2230">
        <v>2</v>
      </c>
      <c r="E2230">
        <v>1</v>
      </c>
      <c r="G2230">
        <v>2</v>
      </c>
      <c r="H2230" s="168" t="s">
        <v>1409</v>
      </c>
      <c r="I2230">
        <f>55/30</f>
        <v>1.83333333333333</v>
      </c>
      <c r="J2230">
        <f>55/30</f>
        <v>1.83333333333333</v>
      </c>
      <c r="L2230">
        <f t="shared" si="215"/>
        <v>0</v>
      </c>
      <c r="M2230">
        <f t="shared" si="214"/>
        <v>1.43333333333333</v>
      </c>
      <c r="N2230" t="s">
        <v>7219</v>
      </c>
      <c r="O2230">
        <v>0</v>
      </c>
      <c r="P2230">
        <v>0</v>
      </c>
      <c r="Q2230">
        <v>0</v>
      </c>
      <c r="S2230">
        <v>1</v>
      </c>
      <c r="U2230">
        <v>0.7</v>
      </c>
      <c r="V2230">
        <v>1</v>
      </c>
      <c r="W2230">
        <v>0</v>
      </c>
      <c r="X2230" s="7">
        <v>0</v>
      </c>
      <c r="Y2230">
        <v>-0.1</v>
      </c>
      <c r="Z2230">
        <v>0</v>
      </c>
      <c r="AD2230">
        <v>0</v>
      </c>
      <c r="AF2230">
        <f t="shared" si="216"/>
        <v>0</v>
      </c>
      <c r="AN2230" s="8">
        <v>686</v>
      </c>
      <c r="AO2230" t="s">
        <v>136</v>
      </c>
    </row>
    <row r="2231" spans="1:43">
      <c r="A2231">
        <v>40005</v>
      </c>
      <c r="B2231" t="s">
        <v>1060</v>
      </c>
      <c r="C2231" t="s">
        <v>7220</v>
      </c>
      <c r="D2231">
        <v>1</v>
      </c>
      <c r="E2231">
        <v>0</v>
      </c>
      <c r="H2231" s="82">
        <v>4003</v>
      </c>
      <c r="I2231">
        <v>2.5</v>
      </c>
      <c r="J2231">
        <v>2.5</v>
      </c>
      <c r="L2231">
        <f t="shared" si="215"/>
        <v>0</v>
      </c>
      <c r="M2231">
        <f t="shared" si="214"/>
        <v>2.1</v>
      </c>
      <c r="N2231" s="104" t="s">
        <v>7221</v>
      </c>
      <c r="O2231">
        <v>1</v>
      </c>
      <c r="P2231">
        <v>1.2</v>
      </c>
      <c r="Q2231">
        <v>0</v>
      </c>
      <c r="S2231">
        <v>0</v>
      </c>
      <c r="V2231">
        <v>1</v>
      </c>
      <c r="W2231">
        <v>0</v>
      </c>
      <c r="X2231" s="7">
        <v>1</v>
      </c>
      <c r="Y2231">
        <v>-0.1</v>
      </c>
      <c r="Z2231">
        <v>0</v>
      </c>
      <c r="AF2231">
        <f t="shared" si="216"/>
        <v>0</v>
      </c>
      <c r="AN2231" s="8" t="s">
        <v>1065</v>
      </c>
      <c r="AO2231" t="s">
        <v>524</v>
      </c>
      <c r="AP2231">
        <v>409</v>
      </c>
      <c r="AQ2231" t="s">
        <v>136</v>
      </c>
    </row>
    <row r="2232" spans="1:41">
      <c r="A2232">
        <v>40006</v>
      </c>
      <c r="B2232" t="s">
        <v>1508</v>
      </c>
      <c r="C2232" t="s">
        <v>1511</v>
      </c>
      <c r="D2232">
        <v>1</v>
      </c>
      <c r="E2232">
        <v>0</v>
      </c>
      <c r="G2232">
        <v>1</v>
      </c>
      <c r="H2232" s="82" t="s">
        <v>1512</v>
      </c>
      <c r="I2232">
        <v>3</v>
      </c>
      <c r="J2232">
        <v>3</v>
      </c>
      <c r="L2232">
        <v>1</v>
      </c>
      <c r="M2232">
        <v>2.6</v>
      </c>
      <c r="N2232" t="s">
        <v>7222</v>
      </c>
      <c r="O2232">
        <v>1</v>
      </c>
      <c r="P2232">
        <v>1.5</v>
      </c>
      <c r="Q2232">
        <v>0</v>
      </c>
      <c r="S2232">
        <v>-1</v>
      </c>
      <c r="U2232">
        <v>0.8</v>
      </c>
      <c r="V2232">
        <v>1</v>
      </c>
      <c r="W2232">
        <v>102</v>
      </c>
      <c r="X2232" s="7">
        <v>4</v>
      </c>
      <c r="Y2232">
        <v>-0.1</v>
      </c>
      <c r="Z2232">
        <v>0</v>
      </c>
      <c r="AF2232">
        <v>0</v>
      </c>
      <c r="AN2232" s="8">
        <v>1018</v>
      </c>
      <c r="AO2232" t="s">
        <v>136</v>
      </c>
    </row>
    <row r="2233" spans="1:43">
      <c r="A2233">
        <v>40007</v>
      </c>
      <c r="B2233" t="s">
        <v>7223</v>
      </c>
      <c r="C2233" t="s">
        <v>7224</v>
      </c>
      <c r="D2233">
        <v>1</v>
      </c>
      <c r="E2233">
        <v>0</v>
      </c>
      <c r="F2233">
        <v>5</v>
      </c>
      <c r="G2233">
        <v>1</v>
      </c>
      <c r="H2233" s="82" t="s">
        <v>1703</v>
      </c>
      <c r="I2233">
        <v>1.93333333333333</v>
      </c>
      <c r="J2233">
        <v>1.93333333333333</v>
      </c>
      <c r="L2233">
        <v>1</v>
      </c>
      <c r="M2233">
        <v>1.53333333333333</v>
      </c>
      <c r="N2233" t="s">
        <v>1704</v>
      </c>
      <c r="O2233">
        <v>1</v>
      </c>
      <c r="P2233">
        <v>1.5</v>
      </c>
      <c r="Q2233">
        <v>0</v>
      </c>
      <c r="S2233">
        <v>1</v>
      </c>
      <c r="V2233">
        <v>1</v>
      </c>
      <c r="W2233">
        <v>0</v>
      </c>
      <c r="X2233" s="7">
        <v>3</v>
      </c>
      <c r="Y2233">
        <v>-0.1</v>
      </c>
      <c r="Z2233">
        <v>0</v>
      </c>
      <c r="AP2233">
        <v>1215</v>
      </c>
      <c r="AQ2233" t="s">
        <v>136</v>
      </c>
    </row>
    <row r="2234" spans="1:44">
      <c r="A2234">
        <v>40008</v>
      </c>
      <c r="B2234" s="3" t="s">
        <v>1806</v>
      </c>
      <c r="C2234" s="3" t="s">
        <v>7225</v>
      </c>
      <c r="D2234">
        <v>2</v>
      </c>
      <c r="E2234">
        <v>1</v>
      </c>
      <c r="F2234" s="3"/>
      <c r="G2234" s="3">
        <v>1</v>
      </c>
      <c r="H2234" s="5" t="s">
        <v>1811</v>
      </c>
      <c r="I2234">
        <f>70/30</f>
        <v>2.33333333333333</v>
      </c>
      <c r="J2234">
        <f>70/30</f>
        <v>2.33333333333333</v>
      </c>
      <c r="K2234" s="3"/>
      <c r="L2234">
        <v>0</v>
      </c>
      <c r="M2234">
        <f>I2234-0.4</f>
        <v>1.93333333333333</v>
      </c>
      <c r="N2234" s="3" t="s">
        <v>7226</v>
      </c>
      <c r="O2234">
        <v>0</v>
      </c>
      <c r="P2234">
        <v>0</v>
      </c>
      <c r="Q2234">
        <v>0</v>
      </c>
      <c r="S2234">
        <v>1.2</v>
      </c>
      <c r="U2234">
        <v>0.8</v>
      </c>
      <c r="V2234">
        <v>1000</v>
      </c>
      <c r="W2234">
        <v>0</v>
      </c>
      <c r="X2234" s="7">
        <v>0</v>
      </c>
      <c r="Y2234">
        <v>-0.1</v>
      </c>
      <c r="Z2234">
        <v>0</v>
      </c>
      <c r="AP2234" s="10">
        <v>1503</v>
      </c>
      <c r="AQ2234" s="3" t="s">
        <v>136</v>
      </c>
      <c r="AR2234" s="11"/>
    </row>
    <row r="2235" spans="1:41">
      <c r="A2235">
        <v>40009</v>
      </c>
      <c r="B2235" t="s">
        <v>1200</v>
      </c>
      <c r="C2235" t="s">
        <v>1210</v>
      </c>
      <c r="D2235">
        <v>1</v>
      </c>
      <c r="E2235">
        <v>0</v>
      </c>
      <c r="G2235">
        <v>1</v>
      </c>
      <c r="H2235" s="82" t="s">
        <v>7227</v>
      </c>
      <c r="I2235">
        <v>5.5</v>
      </c>
      <c r="J2235">
        <v>5.5</v>
      </c>
      <c r="L2235">
        <v>1</v>
      </c>
      <c r="M2235">
        <v>5.1</v>
      </c>
      <c r="N2235" t="s">
        <v>7228</v>
      </c>
      <c r="O2235">
        <v>1</v>
      </c>
      <c r="P2235">
        <v>2</v>
      </c>
      <c r="Q2235">
        <v>0</v>
      </c>
      <c r="R2235">
        <v>1</v>
      </c>
      <c r="S2235">
        <v>0.8</v>
      </c>
      <c r="U2235">
        <v>0.8</v>
      </c>
      <c r="V2235">
        <v>1</v>
      </c>
      <c r="W2235">
        <v>0</v>
      </c>
      <c r="X2235" s="7">
        <v>9</v>
      </c>
      <c r="Y2235">
        <v>-0.1</v>
      </c>
      <c r="Z2235">
        <v>0</v>
      </c>
      <c r="AF2235">
        <v>0</v>
      </c>
      <c r="AN2235" s="8">
        <v>501</v>
      </c>
      <c r="AO2235" t="s">
        <v>136</v>
      </c>
    </row>
    <row r="2236" spans="1:43">
      <c r="A2236">
        <v>40010</v>
      </c>
      <c r="B2236" t="s">
        <v>7229</v>
      </c>
      <c r="C2236" t="s">
        <v>7230</v>
      </c>
      <c r="D2236">
        <v>1</v>
      </c>
      <c r="E2236">
        <v>0</v>
      </c>
      <c r="F2236">
        <v>1</v>
      </c>
      <c r="G2236">
        <v>1</v>
      </c>
      <c r="H2236" s="82" t="s">
        <v>1573</v>
      </c>
      <c r="I2236">
        <v>2.5</v>
      </c>
      <c r="J2236">
        <v>2.5</v>
      </c>
      <c r="L2236">
        <v>1</v>
      </c>
      <c r="M2236">
        <v>2.1</v>
      </c>
      <c r="N2236" t="s">
        <v>1574</v>
      </c>
      <c r="O2236">
        <v>1</v>
      </c>
      <c r="P2236">
        <v>1.8</v>
      </c>
      <c r="Q2236">
        <v>0</v>
      </c>
      <c r="V2236">
        <v>1</v>
      </c>
      <c r="W2236">
        <v>0</v>
      </c>
      <c r="X2236" s="7">
        <v>5</v>
      </c>
      <c r="Y2236">
        <v>-0.1</v>
      </c>
      <c r="Z2236">
        <v>0</v>
      </c>
      <c r="AP2236">
        <v>1120</v>
      </c>
      <c r="AQ2236" t="s">
        <v>136</v>
      </c>
    </row>
    <row r="2237" spans="1:43">
      <c r="A2237">
        <v>40011</v>
      </c>
      <c r="B2237" t="s">
        <v>7231</v>
      </c>
      <c r="C2237" t="s">
        <v>686</v>
      </c>
      <c r="D2237">
        <v>1</v>
      </c>
      <c r="E2237">
        <v>0</v>
      </c>
      <c r="F2237">
        <v>2</v>
      </c>
      <c r="G2237">
        <v>1</v>
      </c>
      <c r="H2237" s="82">
        <v>5704</v>
      </c>
      <c r="I2237">
        <v>3</v>
      </c>
      <c r="J2237">
        <v>3</v>
      </c>
      <c r="L2237">
        <v>1</v>
      </c>
      <c r="M2237">
        <v>2.6</v>
      </c>
      <c r="N2237" t="s">
        <v>1602</v>
      </c>
      <c r="O2237">
        <v>1</v>
      </c>
      <c r="P2237">
        <v>1.8</v>
      </c>
      <c r="Q2237">
        <v>0</v>
      </c>
      <c r="S2237">
        <v>1</v>
      </c>
      <c r="T2237">
        <v>1</v>
      </c>
      <c r="U2237">
        <v>0.8</v>
      </c>
      <c r="V2237">
        <v>1</v>
      </c>
      <c r="W2237">
        <v>0</v>
      </c>
      <c r="X2237" s="7">
        <v>3</v>
      </c>
      <c r="Y2237">
        <v>-0.1</v>
      </c>
      <c r="Z2237">
        <v>0</v>
      </c>
      <c r="AI2237">
        <v>1</v>
      </c>
      <c r="AJ2237">
        <v>1</v>
      </c>
      <c r="AK2237" t="s">
        <v>1603</v>
      </c>
      <c r="AL2237">
        <v>1.16666666666667</v>
      </c>
      <c r="AM2237">
        <v>1.3</v>
      </c>
      <c r="AP2237">
        <v>1112</v>
      </c>
      <c r="AQ2237" t="s">
        <v>136</v>
      </c>
    </row>
    <row r="2238" spans="1:43">
      <c r="A2238">
        <v>40012</v>
      </c>
      <c r="B2238" t="s">
        <v>7231</v>
      </c>
      <c r="C2238" t="s">
        <v>7232</v>
      </c>
      <c r="D2238">
        <v>2</v>
      </c>
      <c r="E2238">
        <v>1</v>
      </c>
      <c r="G2238">
        <v>1</v>
      </c>
      <c r="H2238" s="82">
        <v>5702</v>
      </c>
      <c r="I2238">
        <v>2.83333333333333</v>
      </c>
      <c r="J2238">
        <v>2.83333333333333</v>
      </c>
      <c r="L2238">
        <v>0</v>
      </c>
      <c r="M2238">
        <v>2.43333333333333</v>
      </c>
      <c r="N2238" t="s">
        <v>1599</v>
      </c>
      <c r="O2238">
        <v>0</v>
      </c>
      <c r="P2238">
        <v>0</v>
      </c>
      <c r="Q2238">
        <v>0</v>
      </c>
      <c r="S2238">
        <v>2</v>
      </c>
      <c r="T2238">
        <v>-2</v>
      </c>
      <c r="U2238">
        <v>0.8</v>
      </c>
      <c r="V2238">
        <v>1000</v>
      </c>
      <c r="W2238">
        <v>0</v>
      </c>
      <c r="X2238" s="7" t="s">
        <v>302</v>
      </c>
      <c r="Y2238">
        <v>-0.1</v>
      </c>
      <c r="Z2238">
        <v>0</v>
      </c>
      <c r="AP2238">
        <v>1107</v>
      </c>
      <c r="AQ2238" t="s">
        <v>136</v>
      </c>
    </row>
    <row r="2239" spans="1:43">
      <c r="A2239">
        <v>40013</v>
      </c>
      <c r="B2239" t="s">
        <v>1672</v>
      </c>
      <c r="C2239" s="669" t="s">
        <v>7233</v>
      </c>
      <c r="D2239">
        <v>1</v>
      </c>
      <c r="E2239">
        <v>0</v>
      </c>
      <c r="G2239">
        <v>1</v>
      </c>
      <c r="H2239" s="82" t="s">
        <v>1681</v>
      </c>
      <c r="I2239">
        <v>2.66666666666667</v>
      </c>
      <c r="J2239">
        <v>2.66666666666667</v>
      </c>
      <c r="L2239">
        <v>1</v>
      </c>
      <c r="M2239">
        <v>2.26666666666667</v>
      </c>
      <c r="N2239" t="s">
        <v>1682</v>
      </c>
      <c r="O2239">
        <v>1</v>
      </c>
      <c r="P2239">
        <v>1.5</v>
      </c>
      <c r="Q2239">
        <v>0</v>
      </c>
      <c r="T2239">
        <v>0.8</v>
      </c>
      <c r="U2239">
        <v>0.8</v>
      </c>
      <c r="V2239">
        <v>1</v>
      </c>
      <c r="W2239">
        <v>102</v>
      </c>
      <c r="X2239" s="7">
        <v>3</v>
      </c>
      <c r="Y2239">
        <v>0.5</v>
      </c>
      <c r="Z2239">
        <v>0</v>
      </c>
      <c r="AP2239">
        <v>1184</v>
      </c>
      <c r="AQ2239" t="s">
        <v>136</v>
      </c>
    </row>
    <row r="2240" spans="1:41">
      <c r="A2240">
        <v>40014</v>
      </c>
      <c r="B2240" t="s">
        <v>386</v>
      </c>
      <c r="C2240" t="s">
        <v>5060</v>
      </c>
      <c r="D2240">
        <v>1</v>
      </c>
      <c r="E2240">
        <v>0</v>
      </c>
      <c r="G2240">
        <v>1</v>
      </c>
      <c r="H2240" s="94" t="s">
        <v>663</v>
      </c>
      <c r="I2240">
        <v>3.93333333333333</v>
      </c>
      <c r="J2240" s="118">
        <v>3.93333333333333</v>
      </c>
      <c r="L2240">
        <f>IF(X2240&gt;4,1,0)</f>
        <v>1</v>
      </c>
      <c r="M2240">
        <f>I2240-0.4</f>
        <v>3.53333333333333</v>
      </c>
      <c r="N2240" t="s">
        <v>7234</v>
      </c>
      <c r="O2240" s="108">
        <v>1</v>
      </c>
      <c r="P2240">
        <v>1.6</v>
      </c>
      <c r="Q2240" s="108">
        <v>0</v>
      </c>
      <c r="R2240" s="108"/>
      <c r="S2240" s="108">
        <v>2.5</v>
      </c>
      <c r="T2240" s="108"/>
      <c r="U2240">
        <v>1</v>
      </c>
      <c r="V2240" s="108">
        <v>6</v>
      </c>
      <c r="W2240">
        <v>0</v>
      </c>
      <c r="X2240" s="7">
        <v>10</v>
      </c>
      <c r="Y2240">
        <v>-0.1</v>
      </c>
      <c r="Z2240" s="108">
        <v>0</v>
      </c>
      <c r="AA2240" s="108"/>
      <c r="AB2240" s="108"/>
      <c r="AC2240" s="108"/>
      <c r="AD2240" s="108">
        <v>0</v>
      </c>
      <c r="AF2240">
        <f>IF(AD2240=--1,0.5,0)</f>
        <v>0</v>
      </c>
      <c r="AN2240" s="10" t="s">
        <v>665</v>
      </c>
      <c r="AO2240" s="177" t="s">
        <v>666</v>
      </c>
    </row>
    <row r="2241" spans="1:55">
      <c r="A2241">
        <v>40015</v>
      </c>
      <c r="B2241" t="s">
        <v>1334</v>
      </c>
      <c r="C2241" t="s">
        <v>1337</v>
      </c>
      <c r="D2241">
        <v>1</v>
      </c>
      <c r="E2241">
        <v>0</v>
      </c>
      <c r="G2241">
        <v>2</v>
      </c>
      <c r="H2241" s="82" t="s">
        <v>1338</v>
      </c>
      <c r="I2241">
        <v>1.83333333333333</v>
      </c>
      <c r="J2241">
        <v>1.83333333333333</v>
      </c>
      <c r="L2241">
        <v>0</v>
      </c>
      <c r="M2241">
        <v>1.43333333333333</v>
      </c>
      <c r="N2241" t="s">
        <v>7235</v>
      </c>
      <c r="O2241">
        <v>1</v>
      </c>
      <c r="P2241">
        <v>5</v>
      </c>
      <c r="Q2241">
        <v>0</v>
      </c>
      <c r="S2241">
        <v>-3</v>
      </c>
      <c r="T2241">
        <v>-1</v>
      </c>
      <c r="U2241">
        <v>1</v>
      </c>
      <c r="V2241">
        <v>1</v>
      </c>
      <c r="W2241">
        <v>104</v>
      </c>
      <c r="X2241" s="7">
        <v>1</v>
      </c>
      <c r="Y2241">
        <v>0.8</v>
      </c>
      <c r="Z2241">
        <v>0</v>
      </c>
      <c r="AD2241">
        <v>0</v>
      </c>
      <c r="AF2241">
        <v>0</v>
      </c>
      <c r="AN2241" s="8">
        <v>624</v>
      </c>
      <c r="AO2241" t="s">
        <v>690</v>
      </c>
      <c r="AP2241">
        <v>623</v>
      </c>
      <c r="AQ2241" t="s">
        <v>136</v>
      </c>
      <c r="BC2241" t="s">
        <v>1340</v>
      </c>
    </row>
    <row r="2242" spans="1:55">
      <c r="A2242">
        <v>40016</v>
      </c>
      <c r="B2242" t="s">
        <v>1334</v>
      </c>
      <c r="C2242" t="s">
        <v>1359</v>
      </c>
      <c r="D2242">
        <v>1</v>
      </c>
      <c r="E2242">
        <v>0</v>
      </c>
      <c r="G2242">
        <v>2</v>
      </c>
      <c r="H2242" s="82" t="s">
        <v>1360</v>
      </c>
      <c r="I2242">
        <v>3</v>
      </c>
      <c r="J2242">
        <v>3</v>
      </c>
      <c r="L2242">
        <v>0</v>
      </c>
      <c r="M2242">
        <v>2.6</v>
      </c>
      <c r="N2242" t="s">
        <v>7236</v>
      </c>
      <c r="O2242">
        <v>1</v>
      </c>
      <c r="P2242">
        <v>5</v>
      </c>
      <c r="Q2242">
        <v>0</v>
      </c>
      <c r="V2242">
        <v>1000</v>
      </c>
      <c r="W2242">
        <v>5</v>
      </c>
      <c r="X2242" s="7">
        <v>1</v>
      </c>
      <c r="Y2242">
        <v>0.4</v>
      </c>
      <c r="Z2242">
        <v>0</v>
      </c>
      <c r="AD2242">
        <v>0</v>
      </c>
      <c r="AF2242">
        <v>0</v>
      </c>
      <c r="AN2242" s="8">
        <v>636</v>
      </c>
      <c r="AO2242" t="s">
        <v>136</v>
      </c>
      <c r="BC2242" t="s">
        <v>1362</v>
      </c>
    </row>
    <row r="2243" spans="1:41">
      <c r="A2243">
        <v>40017</v>
      </c>
      <c r="B2243" t="s">
        <v>1415</v>
      </c>
      <c r="C2243" t="s">
        <v>1432</v>
      </c>
      <c r="D2243">
        <v>1</v>
      </c>
      <c r="E2243">
        <v>0</v>
      </c>
      <c r="G2243">
        <v>2</v>
      </c>
      <c r="H2243" s="82" t="s">
        <v>1433</v>
      </c>
      <c r="I2243">
        <v>2.16666666666667</v>
      </c>
      <c r="J2243">
        <v>2.16666666666667</v>
      </c>
      <c r="L2243">
        <v>0</v>
      </c>
      <c r="M2243">
        <v>1.76666666666667</v>
      </c>
      <c r="N2243" t="s">
        <v>7214</v>
      </c>
      <c r="O2243">
        <v>0</v>
      </c>
      <c r="P2243">
        <v>0</v>
      </c>
      <c r="Q2243">
        <v>0</v>
      </c>
      <c r="S2243">
        <v>2</v>
      </c>
      <c r="T2243">
        <v>1</v>
      </c>
      <c r="U2243">
        <v>1</v>
      </c>
      <c r="V2243">
        <v>1</v>
      </c>
      <c r="W2243">
        <v>1</v>
      </c>
      <c r="X2243" s="7">
        <v>3</v>
      </c>
      <c r="Y2243">
        <v>-0.1</v>
      </c>
      <c r="Z2243">
        <v>0</v>
      </c>
      <c r="AF2243">
        <v>0</v>
      </c>
      <c r="AN2243" s="8">
        <v>747</v>
      </c>
      <c r="AO2243" t="s">
        <v>1103</v>
      </c>
    </row>
    <row r="2244" spans="1:41">
      <c r="A2244">
        <v>40018</v>
      </c>
      <c r="B2244" t="s">
        <v>1473</v>
      </c>
      <c r="C2244" t="s">
        <v>7237</v>
      </c>
      <c r="D2244">
        <v>1</v>
      </c>
      <c r="E2244">
        <v>0</v>
      </c>
      <c r="H2244" s="82" t="s">
        <v>7238</v>
      </c>
      <c r="I2244">
        <v>1.66666666666667</v>
      </c>
      <c r="J2244">
        <v>1.66666666666667</v>
      </c>
      <c r="L2244">
        <v>0</v>
      </c>
      <c r="M2244">
        <v>1.26666666666667</v>
      </c>
      <c r="N2244" t="s">
        <v>1488</v>
      </c>
      <c r="O2244">
        <v>0</v>
      </c>
      <c r="P2244">
        <v>-2</v>
      </c>
      <c r="Q2244">
        <v>0</v>
      </c>
      <c r="S2244">
        <v>2</v>
      </c>
      <c r="T2244">
        <v>0.8</v>
      </c>
      <c r="U2244">
        <v>1.25</v>
      </c>
      <c r="V2244">
        <v>1</v>
      </c>
      <c r="W2244">
        <v>0</v>
      </c>
      <c r="X2244" s="7">
        <v>1</v>
      </c>
      <c r="Y2244">
        <v>-0.1</v>
      </c>
      <c r="Z2244">
        <v>0</v>
      </c>
      <c r="AF2244">
        <v>0</v>
      </c>
      <c r="AN2244" s="8">
        <v>811</v>
      </c>
      <c r="AO2244" t="s">
        <v>136</v>
      </c>
    </row>
    <row r="2245" spans="1:41">
      <c r="A2245">
        <v>40019</v>
      </c>
      <c r="B2245" t="s">
        <v>1473</v>
      </c>
      <c r="C2245" t="s">
        <v>7239</v>
      </c>
      <c r="D2245">
        <v>1</v>
      </c>
      <c r="E2245">
        <v>0</v>
      </c>
      <c r="H2245" s="82" t="s">
        <v>7240</v>
      </c>
      <c r="I2245">
        <v>3</v>
      </c>
      <c r="J2245">
        <v>2.5</v>
      </c>
      <c r="L2245">
        <v>1</v>
      </c>
      <c r="M2245">
        <v>2.6</v>
      </c>
      <c r="N2245" t="s">
        <v>1495</v>
      </c>
      <c r="O2245">
        <v>0</v>
      </c>
      <c r="P2245">
        <v>-2</v>
      </c>
      <c r="Q2245">
        <v>0</v>
      </c>
      <c r="S2245">
        <v>0.5</v>
      </c>
      <c r="T2245">
        <v>0.8</v>
      </c>
      <c r="U2245">
        <v>1.8</v>
      </c>
      <c r="V2245">
        <v>1</v>
      </c>
      <c r="W2245">
        <v>0</v>
      </c>
      <c r="X2245" s="7">
        <v>4</v>
      </c>
      <c r="Y2245">
        <v>-0.1</v>
      </c>
      <c r="Z2245">
        <v>0</v>
      </c>
      <c r="AF2245">
        <v>0</v>
      </c>
      <c r="AN2245" s="8">
        <v>1011</v>
      </c>
      <c r="AO2245" t="s">
        <v>136</v>
      </c>
    </row>
    <row r="2246" spans="1:55">
      <c r="A2246">
        <v>40020</v>
      </c>
      <c r="B2246" t="s">
        <v>621</v>
      </c>
      <c r="C2246" t="s">
        <v>625</v>
      </c>
      <c r="D2246">
        <v>4</v>
      </c>
      <c r="E2246">
        <v>0</v>
      </c>
      <c r="G2246">
        <v>2</v>
      </c>
      <c r="H2246" s="82" t="s">
        <v>626</v>
      </c>
      <c r="I2246">
        <v>1.73333333333333</v>
      </c>
      <c r="J2246">
        <v>1.73333333333333</v>
      </c>
      <c r="L2246">
        <v>0</v>
      </c>
      <c r="M2246">
        <v>1.33333333333333</v>
      </c>
      <c r="N2246" t="s">
        <v>7241</v>
      </c>
      <c r="O2246">
        <v>1</v>
      </c>
      <c r="P2246">
        <v>5</v>
      </c>
      <c r="Q2246">
        <v>0</v>
      </c>
      <c r="V2246">
        <v>1</v>
      </c>
      <c r="W2246">
        <v>0</v>
      </c>
      <c r="X2246" s="7">
        <v>1</v>
      </c>
      <c r="Y2246">
        <v>-0.1</v>
      </c>
      <c r="Z2246">
        <v>0</v>
      </c>
      <c r="AD2246">
        <v>0</v>
      </c>
      <c r="AF2246">
        <v>0</v>
      </c>
      <c r="AN2246" s="8">
        <v>147</v>
      </c>
      <c r="AO2246" t="s">
        <v>136</v>
      </c>
      <c r="BC2246" t="s">
        <v>628</v>
      </c>
    </row>
    <row r="2247" spans="1:43">
      <c r="A2247">
        <v>40021</v>
      </c>
      <c r="B2247" t="s">
        <v>959</v>
      </c>
      <c r="C2247" t="s">
        <v>963</v>
      </c>
      <c r="D2247">
        <v>1</v>
      </c>
      <c r="E2247">
        <v>0</v>
      </c>
      <c r="G2247">
        <v>2</v>
      </c>
      <c r="H2247" s="82" t="s">
        <v>964</v>
      </c>
      <c r="I2247">
        <v>2.66666666666667</v>
      </c>
      <c r="J2247">
        <v>2.66666666666667</v>
      </c>
      <c r="L2247">
        <v>0</v>
      </c>
      <c r="M2247">
        <v>2.26666666666667</v>
      </c>
      <c r="N2247" t="s">
        <v>7242</v>
      </c>
      <c r="O2247">
        <v>0</v>
      </c>
      <c r="P2247">
        <v>0</v>
      </c>
      <c r="Q2247">
        <v>0</v>
      </c>
      <c r="S2247">
        <v>2</v>
      </c>
      <c r="U2247">
        <v>0.8</v>
      </c>
      <c r="V2247">
        <v>1</v>
      </c>
      <c r="W2247">
        <v>102</v>
      </c>
      <c r="X2247" s="7">
        <v>1</v>
      </c>
      <c r="Y2247">
        <v>-0.1</v>
      </c>
      <c r="Z2247">
        <v>0</v>
      </c>
      <c r="AD2247">
        <v>0</v>
      </c>
      <c r="AF2247">
        <v>0</v>
      </c>
      <c r="AN2247" s="8">
        <v>362</v>
      </c>
      <c r="AO2247" t="s">
        <v>966</v>
      </c>
      <c r="AP2247">
        <v>361</v>
      </c>
      <c r="AQ2247" t="s">
        <v>136</v>
      </c>
    </row>
    <row r="2248" spans="1:55">
      <c r="A2248">
        <v>40022</v>
      </c>
      <c r="B2248" t="s">
        <v>924</v>
      </c>
      <c r="C2248" t="s">
        <v>931</v>
      </c>
      <c r="D2248">
        <v>1</v>
      </c>
      <c r="E2248">
        <v>0</v>
      </c>
      <c r="G2248">
        <v>2</v>
      </c>
      <c r="H2248" s="82" t="s">
        <v>932</v>
      </c>
      <c r="I2248">
        <v>3.8</v>
      </c>
      <c r="J2248">
        <v>3.8</v>
      </c>
      <c r="L2248">
        <v>1</v>
      </c>
      <c r="M2248">
        <v>3.4</v>
      </c>
      <c r="N2248" t="s">
        <v>6203</v>
      </c>
      <c r="O2248">
        <v>1</v>
      </c>
      <c r="P2248">
        <v>5</v>
      </c>
      <c r="Q2248">
        <v>0</v>
      </c>
      <c r="S2248">
        <v>2</v>
      </c>
      <c r="V2248">
        <v>1</v>
      </c>
      <c r="W2248">
        <v>0</v>
      </c>
      <c r="X2248" s="7">
        <v>6</v>
      </c>
      <c r="Y2248">
        <v>-0.1</v>
      </c>
      <c r="Z2248">
        <v>0</v>
      </c>
      <c r="AD2248">
        <v>0</v>
      </c>
      <c r="AF2248">
        <v>0</v>
      </c>
      <c r="AI2248">
        <v>1</v>
      </c>
      <c r="AJ2248">
        <v>2</v>
      </c>
      <c r="AK2248" t="s">
        <v>2537</v>
      </c>
      <c r="AL2248">
        <v>0</v>
      </c>
      <c r="AM2248">
        <v>2.5</v>
      </c>
      <c r="AP2248">
        <v>351</v>
      </c>
      <c r="AQ2248" t="s">
        <v>136</v>
      </c>
      <c r="BC2248" t="s">
        <v>935</v>
      </c>
    </row>
    <row r="2249" spans="1:43">
      <c r="A2249">
        <v>40023</v>
      </c>
      <c r="B2249" t="s">
        <v>1720</v>
      </c>
      <c r="C2249" t="s">
        <v>1733</v>
      </c>
      <c r="D2249">
        <v>1</v>
      </c>
      <c r="E2249">
        <v>0</v>
      </c>
      <c r="G2249">
        <v>1</v>
      </c>
      <c r="H2249" s="82" t="s">
        <v>7243</v>
      </c>
      <c r="I2249">
        <v>3.5</v>
      </c>
      <c r="J2249">
        <v>3.5</v>
      </c>
      <c r="L2249">
        <v>1</v>
      </c>
      <c r="M2249">
        <v>3.1</v>
      </c>
      <c r="N2249" t="s">
        <v>1735</v>
      </c>
      <c r="O2249">
        <v>1</v>
      </c>
      <c r="P2249">
        <v>3</v>
      </c>
      <c r="Q2249">
        <v>0</v>
      </c>
      <c r="S2249">
        <v>0.8</v>
      </c>
      <c r="T2249">
        <v>0.8</v>
      </c>
      <c r="U2249">
        <v>0.8</v>
      </c>
      <c r="V2249">
        <v>1</v>
      </c>
      <c r="W2249">
        <v>5</v>
      </c>
      <c r="X2249" s="7">
        <v>9</v>
      </c>
      <c r="Y2249">
        <v>-0.1</v>
      </c>
      <c r="Z2249">
        <v>0</v>
      </c>
      <c r="AP2249">
        <v>1401</v>
      </c>
      <c r="AQ2249" t="s">
        <v>136</v>
      </c>
    </row>
    <row r="2250" spans="1:43">
      <c r="A2250">
        <v>40024</v>
      </c>
      <c r="B2250" t="s">
        <v>1720</v>
      </c>
      <c r="C2250" t="s">
        <v>1730</v>
      </c>
      <c r="D2250">
        <v>1</v>
      </c>
      <c r="E2250">
        <v>0</v>
      </c>
      <c r="G2250">
        <v>1</v>
      </c>
      <c r="H2250" s="82" t="s">
        <v>7244</v>
      </c>
      <c r="I2250">
        <v>2.66666666666667</v>
      </c>
      <c r="J2250">
        <v>2.66666666666667</v>
      </c>
      <c r="L2250">
        <v>1</v>
      </c>
      <c r="M2250">
        <v>2.26666666666667</v>
      </c>
      <c r="N2250" t="s">
        <v>1732</v>
      </c>
      <c r="O2250">
        <v>1</v>
      </c>
      <c r="P2250">
        <v>3</v>
      </c>
      <c r="Q2250">
        <v>0</v>
      </c>
      <c r="V2250">
        <v>1000</v>
      </c>
      <c r="W2250">
        <v>5</v>
      </c>
      <c r="X2250" s="7">
        <v>1</v>
      </c>
      <c r="Y2250">
        <v>-0.1</v>
      </c>
      <c r="Z2250">
        <v>0</v>
      </c>
      <c r="AP2250">
        <v>1398</v>
      </c>
      <c r="AQ2250" t="s">
        <v>136</v>
      </c>
    </row>
    <row r="2251" spans="1:41">
      <c r="A2251">
        <v>40025</v>
      </c>
      <c r="B2251" t="s">
        <v>1235</v>
      </c>
      <c r="C2251" t="s">
        <v>7245</v>
      </c>
      <c r="D2251">
        <v>2</v>
      </c>
      <c r="E2251">
        <v>1</v>
      </c>
      <c r="G2251">
        <v>1</v>
      </c>
      <c r="H2251" s="82" t="s">
        <v>1250</v>
      </c>
      <c r="I2251">
        <v>2.5</v>
      </c>
      <c r="J2251">
        <v>2.5</v>
      </c>
      <c r="L2251">
        <v>0</v>
      </c>
      <c r="M2251">
        <v>2.1</v>
      </c>
      <c r="N2251" t="s">
        <v>1251</v>
      </c>
      <c r="O2251">
        <v>0</v>
      </c>
      <c r="P2251">
        <v>1.2</v>
      </c>
      <c r="Q2251">
        <v>2</v>
      </c>
      <c r="S2251">
        <v>1</v>
      </c>
      <c r="V2251">
        <v>1</v>
      </c>
      <c r="W2251">
        <v>0</v>
      </c>
      <c r="X2251" s="7">
        <v>0</v>
      </c>
      <c r="Y2251">
        <v>-0.1</v>
      </c>
      <c r="Z2251">
        <v>0</v>
      </c>
      <c r="AD2251">
        <v>0</v>
      </c>
      <c r="AF2251">
        <v>0</v>
      </c>
      <c r="AN2251" s="8">
        <v>557</v>
      </c>
      <c r="AO2251" t="s">
        <v>136</v>
      </c>
    </row>
    <row r="2252" spans="1:41">
      <c r="A2252">
        <v>40026</v>
      </c>
      <c r="B2252" t="s">
        <v>1235</v>
      </c>
      <c r="C2252" t="s">
        <v>7246</v>
      </c>
      <c r="D2252">
        <v>2</v>
      </c>
      <c r="E2252">
        <v>1</v>
      </c>
      <c r="G2252">
        <v>1</v>
      </c>
      <c r="H2252" s="82" t="s">
        <v>1246</v>
      </c>
      <c r="I2252">
        <v>2</v>
      </c>
      <c r="J2252">
        <v>2</v>
      </c>
      <c r="L2252">
        <v>0</v>
      </c>
      <c r="M2252">
        <v>1.6</v>
      </c>
      <c r="N2252" t="s">
        <v>1247</v>
      </c>
      <c r="O2252">
        <v>0</v>
      </c>
      <c r="P2252">
        <v>1.2</v>
      </c>
      <c r="Q2252">
        <v>2</v>
      </c>
      <c r="S2252">
        <v>1</v>
      </c>
      <c r="V2252">
        <v>1</v>
      </c>
      <c r="W2252">
        <v>0</v>
      </c>
      <c r="X2252" s="7">
        <v>0</v>
      </c>
      <c r="Y2252">
        <v>-0.1</v>
      </c>
      <c r="Z2252">
        <v>0</v>
      </c>
      <c r="AD2252">
        <v>0</v>
      </c>
      <c r="AF2252">
        <v>0</v>
      </c>
      <c r="AN2252" s="8" t="s">
        <v>1248</v>
      </c>
      <c r="AO2252" t="s">
        <v>972</v>
      </c>
    </row>
    <row r="2253" spans="1:41">
      <c r="A2253">
        <v>40027</v>
      </c>
      <c r="B2253" t="s">
        <v>1282</v>
      </c>
      <c r="C2253" t="s">
        <v>1301</v>
      </c>
      <c r="D2253">
        <v>1</v>
      </c>
      <c r="E2253">
        <v>0</v>
      </c>
      <c r="G2253">
        <v>2</v>
      </c>
      <c r="H2253" s="82" t="s">
        <v>7247</v>
      </c>
      <c r="I2253">
        <v>3.76666666666667</v>
      </c>
      <c r="J2253">
        <v>3.76666666666667</v>
      </c>
      <c r="L2253">
        <v>0</v>
      </c>
      <c r="M2253">
        <v>3.36666666666667</v>
      </c>
      <c r="N2253" t="s">
        <v>1302</v>
      </c>
      <c r="O2253">
        <v>0</v>
      </c>
      <c r="P2253">
        <v>0</v>
      </c>
      <c r="Q2253">
        <v>0</v>
      </c>
      <c r="T2253">
        <v>1</v>
      </c>
      <c r="U2253">
        <v>1</v>
      </c>
      <c r="V2253">
        <v>1</v>
      </c>
      <c r="W2253">
        <v>0</v>
      </c>
      <c r="X2253" s="7">
        <v>3</v>
      </c>
      <c r="Y2253">
        <v>-0.1</v>
      </c>
      <c r="Z2253">
        <v>0</v>
      </c>
      <c r="AD2253">
        <v>0</v>
      </c>
      <c r="AF2253">
        <v>0</v>
      </c>
      <c r="AI2253">
        <v>1</v>
      </c>
      <c r="AJ2253">
        <v>2</v>
      </c>
      <c r="AK2253" t="s">
        <v>1303</v>
      </c>
      <c r="AL2253">
        <v>1.5</v>
      </c>
      <c r="AM2253">
        <v>2</v>
      </c>
      <c r="AN2253" s="8" t="s">
        <v>1304</v>
      </c>
      <c r="AO2253" t="s">
        <v>1296</v>
      </c>
    </row>
    <row r="2254" spans="1:41">
      <c r="A2254">
        <v>40028</v>
      </c>
      <c r="B2254" t="s">
        <v>1282</v>
      </c>
      <c r="C2254" t="s">
        <v>1305</v>
      </c>
      <c r="D2254">
        <v>1</v>
      </c>
      <c r="E2254">
        <v>0</v>
      </c>
      <c r="G2254">
        <v>2</v>
      </c>
      <c r="H2254" s="82" t="s">
        <v>1306</v>
      </c>
      <c r="I2254">
        <v>2.16666666666667</v>
      </c>
      <c r="J2254">
        <v>2.16666666666667</v>
      </c>
      <c r="L2254">
        <v>0</v>
      </c>
      <c r="M2254">
        <v>1.76666666666667</v>
      </c>
      <c r="N2254" t="s">
        <v>1307</v>
      </c>
      <c r="O2254">
        <v>0</v>
      </c>
      <c r="P2254">
        <v>0</v>
      </c>
      <c r="Q2254">
        <v>0</v>
      </c>
      <c r="V2254">
        <v>1</v>
      </c>
      <c r="W2254">
        <v>0</v>
      </c>
      <c r="X2254" s="7">
        <v>1</v>
      </c>
      <c r="Y2254">
        <v>-0.1</v>
      </c>
      <c r="Z2254">
        <v>0</v>
      </c>
      <c r="AD2254">
        <v>0</v>
      </c>
      <c r="AF2254">
        <v>0</v>
      </c>
      <c r="AN2254" s="8">
        <v>986</v>
      </c>
      <c r="AO2254" t="s">
        <v>136</v>
      </c>
    </row>
    <row r="2255" spans="1:32">
      <c r="A2255">
        <v>40029</v>
      </c>
      <c r="B2255" t="s">
        <v>772</v>
      </c>
      <c r="C2255" t="s">
        <v>775</v>
      </c>
      <c r="D2255">
        <v>1</v>
      </c>
      <c r="E2255">
        <v>0</v>
      </c>
      <c r="G2255">
        <v>2</v>
      </c>
      <c r="H2255" s="82">
        <v>2502</v>
      </c>
      <c r="I2255">
        <v>1.06666666666667</v>
      </c>
      <c r="J2255">
        <v>1.06666666666667</v>
      </c>
      <c r="L2255">
        <v>0</v>
      </c>
      <c r="M2255">
        <v>0.66666666666667</v>
      </c>
      <c r="N2255" t="s">
        <v>776</v>
      </c>
      <c r="O2255">
        <v>0</v>
      </c>
      <c r="P2255">
        <v>-2</v>
      </c>
      <c r="Q2255">
        <v>0</v>
      </c>
      <c r="S2255">
        <v>0</v>
      </c>
      <c r="V2255">
        <v>1</v>
      </c>
      <c r="W2255">
        <v>0</v>
      </c>
      <c r="X2255" s="7">
        <v>1</v>
      </c>
      <c r="Y2255">
        <v>0.4</v>
      </c>
      <c r="Z2255">
        <v>0</v>
      </c>
      <c r="AD2255">
        <v>0</v>
      </c>
      <c r="AF2255">
        <v>0</v>
      </c>
    </row>
    <row r="2256" spans="1:43">
      <c r="A2256">
        <v>40030</v>
      </c>
      <c r="B2256" t="s">
        <v>772</v>
      </c>
      <c r="C2256" t="s">
        <v>785</v>
      </c>
      <c r="D2256">
        <v>1</v>
      </c>
      <c r="E2256">
        <v>0</v>
      </c>
      <c r="G2256">
        <v>2</v>
      </c>
      <c r="H2256" s="82">
        <v>2506</v>
      </c>
      <c r="I2256">
        <v>1.2</v>
      </c>
      <c r="J2256">
        <v>1.2</v>
      </c>
      <c r="L2256">
        <v>0</v>
      </c>
      <c r="M2256">
        <v>0.8</v>
      </c>
      <c r="N2256" t="s">
        <v>786</v>
      </c>
      <c r="O2256">
        <v>0</v>
      </c>
      <c r="P2256">
        <v>-2</v>
      </c>
      <c r="Q2256">
        <v>0</v>
      </c>
      <c r="S2256">
        <v>-2.5</v>
      </c>
      <c r="U2256">
        <v>0.8</v>
      </c>
      <c r="V2256">
        <v>1</v>
      </c>
      <c r="W2256">
        <v>0</v>
      </c>
      <c r="X2256" s="7">
        <v>1</v>
      </c>
      <c r="Y2256">
        <v>-0.1</v>
      </c>
      <c r="Z2256">
        <v>0</v>
      </c>
      <c r="AD2256">
        <v>0</v>
      </c>
      <c r="AF2256">
        <v>0</v>
      </c>
      <c r="AP2256">
        <v>279</v>
      </c>
      <c r="AQ2256" t="s">
        <v>136</v>
      </c>
    </row>
    <row r="2257" spans="1:41">
      <c r="A2257">
        <v>40031</v>
      </c>
      <c r="B2257" t="s">
        <v>340</v>
      </c>
      <c r="C2257" t="s">
        <v>370</v>
      </c>
      <c r="D2257">
        <v>3</v>
      </c>
      <c r="E2257">
        <v>1</v>
      </c>
      <c r="G2257">
        <v>2</v>
      </c>
      <c r="H2257" s="82">
        <v>709</v>
      </c>
      <c r="I2257">
        <v>2</v>
      </c>
      <c r="J2257">
        <v>2</v>
      </c>
      <c r="L2257">
        <v>0</v>
      </c>
      <c r="M2257">
        <v>1.6</v>
      </c>
      <c r="N2257" t="s">
        <v>371</v>
      </c>
      <c r="O2257">
        <v>0</v>
      </c>
      <c r="P2257">
        <v>0</v>
      </c>
      <c r="Q2257">
        <v>0</v>
      </c>
      <c r="S2257">
        <v>0</v>
      </c>
      <c r="V2257">
        <v>1</v>
      </c>
      <c r="W2257">
        <v>0</v>
      </c>
      <c r="X2257" s="7">
        <v>0</v>
      </c>
      <c r="Y2257">
        <v>-0.1</v>
      </c>
      <c r="Z2257">
        <v>0</v>
      </c>
      <c r="AD2257">
        <v>0</v>
      </c>
      <c r="AF2257">
        <v>0</v>
      </c>
      <c r="AN2257" s="8">
        <v>561</v>
      </c>
      <c r="AO2257" t="s">
        <v>136</v>
      </c>
    </row>
    <row r="2258" spans="1:41">
      <c r="A2258">
        <v>40032</v>
      </c>
      <c r="B2258" t="s">
        <v>1083</v>
      </c>
      <c r="C2258" t="s">
        <v>1094</v>
      </c>
      <c r="D2258">
        <v>3</v>
      </c>
      <c r="E2258">
        <v>1</v>
      </c>
      <c r="G2258">
        <v>2</v>
      </c>
      <c r="H2258" s="82">
        <v>4105</v>
      </c>
      <c r="I2258">
        <v>4</v>
      </c>
      <c r="J2258">
        <v>4</v>
      </c>
      <c r="L2258">
        <v>0</v>
      </c>
      <c r="M2258">
        <v>3.6</v>
      </c>
      <c r="N2258" t="s">
        <v>1095</v>
      </c>
      <c r="O2258">
        <v>0</v>
      </c>
      <c r="P2258">
        <v>4</v>
      </c>
      <c r="Q2258">
        <v>2</v>
      </c>
      <c r="S2258">
        <v>1</v>
      </c>
      <c r="V2258">
        <v>1</v>
      </c>
      <c r="W2258">
        <v>100</v>
      </c>
      <c r="X2258" s="7">
        <v>0</v>
      </c>
      <c r="Y2258">
        <v>-0.1</v>
      </c>
      <c r="Z2258">
        <v>0</v>
      </c>
      <c r="AF2258">
        <v>0</v>
      </c>
      <c r="AN2258" s="8">
        <v>422</v>
      </c>
      <c r="AO2258" t="s">
        <v>136</v>
      </c>
    </row>
    <row r="2259" spans="1:41">
      <c r="A2259">
        <v>40033</v>
      </c>
      <c r="B2259" t="s">
        <v>1083</v>
      </c>
      <c r="C2259" t="s">
        <v>7248</v>
      </c>
      <c r="D2259">
        <v>3</v>
      </c>
      <c r="E2259">
        <v>1</v>
      </c>
      <c r="G2259">
        <v>2</v>
      </c>
      <c r="H2259" s="82">
        <v>4105</v>
      </c>
      <c r="I2259">
        <v>4</v>
      </c>
      <c r="J2259">
        <v>4</v>
      </c>
      <c r="L2259">
        <v>0</v>
      </c>
      <c r="M2259">
        <v>3.6</v>
      </c>
      <c r="N2259" t="s">
        <v>1095</v>
      </c>
      <c r="O2259">
        <v>0</v>
      </c>
      <c r="P2259">
        <v>4</v>
      </c>
      <c r="Q2259">
        <v>2</v>
      </c>
      <c r="S2259">
        <v>1</v>
      </c>
      <c r="V2259">
        <v>1</v>
      </c>
      <c r="W2259">
        <v>0</v>
      </c>
      <c r="X2259" s="7">
        <v>0</v>
      </c>
      <c r="Y2259">
        <v>-0.1</v>
      </c>
      <c r="Z2259">
        <v>0</v>
      </c>
      <c r="AF2259">
        <v>0</v>
      </c>
      <c r="AN2259" s="8">
        <v>422</v>
      </c>
      <c r="AO2259" t="s">
        <v>136</v>
      </c>
    </row>
    <row r="2260" spans="1:32">
      <c r="A2260">
        <v>40034</v>
      </c>
      <c r="B2260" t="s">
        <v>1377</v>
      </c>
      <c r="C2260" t="s">
        <v>1384</v>
      </c>
      <c r="D2260">
        <v>3</v>
      </c>
      <c r="E2260">
        <v>1</v>
      </c>
      <c r="G2260">
        <v>2</v>
      </c>
      <c r="H2260" s="82" t="s">
        <v>1385</v>
      </c>
      <c r="I2260">
        <v>1.66666666666667</v>
      </c>
      <c r="J2260">
        <v>1.66666666666667</v>
      </c>
      <c r="L2260">
        <v>0</v>
      </c>
      <c r="M2260">
        <v>1.26666666666667</v>
      </c>
      <c r="N2260" t="s">
        <v>1386</v>
      </c>
      <c r="O2260">
        <v>0</v>
      </c>
      <c r="P2260">
        <v>0</v>
      </c>
      <c r="Q2260">
        <v>0</v>
      </c>
      <c r="S2260">
        <v>0.5</v>
      </c>
      <c r="U2260">
        <v>0.8</v>
      </c>
      <c r="V2260">
        <v>1</v>
      </c>
      <c r="W2260">
        <v>0</v>
      </c>
      <c r="X2260" s="7">
        <v>0</v>
      </c>
      <c r="Y2260">
        <v>-0.1</v>
      </c>
      <c r="Z2260">
        <v>0</v>
      </c>
      <c r="AD2260">
        <v>0</v>
      </c>
      <c r="AF2260">
        <v>0</v>
      </c>
    </row>
    <row r="2261" spans="1:43">
      <c r="A2261">
        <v>40035</v>
      </c>
      <c r="B2261" t="s">
        <v>1779</v>
      </c>
      <c r="C2261" t="s">
        <v>1787</v>
      </c>
      <c r="D2261">
        <v>3</v>
      </c>
      <c r="E2261">
        <v>1</v>
      </c>
      <c r="G2261">
        <v>1</v>
      </c>
      <c r="H2261" s="82">
        <v>3000907</v>
      </c>
      <c r="I2261">
        <v>3</v>
      </c>
      <c r="J2261">
        <v>3</v>
      </c>
      <c r="L2261">
        <v>0</v>
      </c>
      <c r="M2261">
        <v>2.6</v>
      </c>
      <c r="N2261" t="s">
        <v>1788</v>
      </c>
      <c r="O2261">
        <v>0</v>
      </c>
      <c r="P2261">
        <v>0</v>
      </c>
      <c r="Q2261">
        <v>0</v>
      </c>
      <c r="U2261">
        <v>0.45</v>
      </c>
      <c r="V2261">
        <v>1</v>
      </c>
      <c r="W2261">
        <v>0</v>
      </c>
      <c r="X2261" s="7" t="s">
        <v>302</v>
      </c>
      <c r="Y2261">
        <v>-0.1</v>
      </c>
      <c r="Z2261">
        <v>0</v>
      </c>
      <c r="AN2261" s="8" t="s">
        <v>7249</v>
      </c>
      <c r="AO2261" t="s">
        <v>7250</v>
      </c>
      <c r="AP2261">
        <v>1421</v>
      </c>
      <c r="AQ2261" t="s">
        <v>136</v>
      </c>
    </row>
    <row r="2262" spans="1:43">
      <c r="A2262">
        <v>40036</v>
      </c>
      <c r="B2262" t="s">
        <v>7251</v>
      </c>
      <c r="C2262" t="s">
        <v>2454</v>
      </c>
      <c r="D2262">
        <v>2</v>
      </c>
      <c r="E2262">
        <v>1</v>
      </c>
      <c r="G2262">
        <v>1</v>
      </c>
      <c r="H2262" s="82" t="s">
        <v>1566</v>
      </c>
      <c r="I2262">
        <v>4.33333333333333</v>
      </c>
      <c r="J2262">
        <v>4.33333333333333</v>
      </c>
      <c r="L2262">
        <v>0</v>
      </c>
      <c r="M2262">
        <v>3.93333333333333</v>
      </c>
      <c r="N2262" t="s">
        <v>1615</v>
      </c>
      <c r="O2262">
        <v>0</v>
      </c>
      <c r="P2262">
        <v>0</v>
      </c>
      <c r="Q2262">
        <v>0</v>
      </c>
      <c r="V2262">
        <v>101</v>
      </c>
      <c r="W2262">
        <v>0</v>
      </c>
      <c r="X2262" s="7">
        <v>0</v>
      </c>
      <c r="Y2262">
        <v>-0.1</v>
      </c>
      <c r="Z2262">
        <v>0</v>
      </c>
      <c r="AP2262">
        <v>1060</v>
      </c>
      <c r="AQ2262" t="s">
        <v>136</v>
      </c>
    </row>
    <row r="2263" spans="1:43">
      <c r="A2263">
        <v>40037</v>
      </c>
      <c r="B2263" t="s">
        <v>7251</v>
      </c>
      <c r="C2263" t="s">
        <v>7252</v>
      </c>
      <c r="D2263">
        <v>3</v>
      </c>
      <c r="E2263">
        <v>1</v>
      </c>
      <c r="G2263">
        <v>1</v>
      </c>
      <c r="H2263" s="82" t="s">
        <v>1544</v>
      </c>
      <c r="I2263">
        <v>2</v>
      </c>
      <c r="J2263">
        <v>2</v>
      </c>
      <c r="L2263">
        <v>0</v>
      </c>
      <c r="M2263">
        <v>1.6</v>
      </c>
      <c r="N2263" t="s">
        <v>1545</v>
      </c>
      <c r="O2263">
        <v>0</v>
      </c>
      <c r="P2263">
        <v>0</v>
      </c>
      <c r="Q2263">
        <v>0</v>
      </c>
      <c r="V2263">
        <v>1</v>
      </c>
      <c r="W2263">
        <v>6</v>
      </c>
      <c r="X2263" s="7">
        <v>1</v>
      </c>
      <c r="Y2263">
        <v>-0.1</v>
      </c>
      <c r="Z2263">
        <v>0</v>
      </c>
      <c r="AP2263">
        <v>1060</v>
      </c>
      <c r="AQ2263" t="s">
        <v>136</v>
      </c>
    </row>
    <row r="2264" spans="1:43">
      <c r="A2264">
        <v>40038</v>
      </c>
      <c r="B2264" t="s">
        <v>1833</v>
      </c>
      <c r="C2264" t="s">
        <v>2043</v>
      </c>
      <c r="D2264">
        <v>1</v>
      </c>
      <c r="E2264">
        <v>0</v>
      </c>
      <c r="G2264">
        <v>1</v>
      </c>
      <c r="H2264" s="82" t="s">
        <v>1839</v>
      </c>
      <c r="I2264">
        <v>2.83333333333333</v>
      </c>
      <c r="J2264">
        <v>2.83333333333333</v>
      </c>
      <c r="L2264">
        <v>1</v>
      </c>
      <c r="M2264">
        <v>2.26666666666667</v>
      </c>
      <c r="N2264" t="s">
        <v>1840</v>
      </c>
      <c r="O2264">
        <v>1</v>
      </c>
      <c r="P2264">
        <v>3</v>
      </c>
      <c r="Q2264">
        <v>1</v>
      </c>
      <c r="S2264">
        <v>0</v>
      </c>
      <c r="U2264">
        <v>0</v>
      </c>
      <c r="V2264">
        <v>1</v>
      </c>
      <c r="W2264">
        <v>0</v>
      </c>
      <c r="X2264" s="7">
        <v>2</v>
      </c>
      <c r="Y2264">
        <v>-0.1</v>
      </c>
      <c r="Z2264">
        <v>0</v>
      </c>
      <c r="AN2264" s="8">
        <v>1602</v>
      </c>
      <c r="AO2264" t="s">
        <v>1103</v>
      </c>
      <c r="AP2264">
        <v>1513</v>
      </c>
      <c r="AQ2264" t="s">
        <v>136</v>
      </c>
    </row>
    <row r="2265" spans="1:43">
      <c r="A2265">
        <v>40039</v>
      </c>
      <c r="B2265" t="s">
        <v>1868</v>
      </c>
      <c r="C2265" t="s">
        <v>1871</v>
      </c>
      <c r="D2265">
        <v>1</v>
      </c>
      <c r="E2265">
        <v>0</v>
      </c>
      <c r="G2265">
        <v>1</v>
      </c>
      <c r="H2265" s="82" t="s">
        <v>1872</v>
      </c>
      <c r="I2265">
        <v>3</v>
      </c>
      <c r="J2265">
        <v>3</v>
      </c>
      <c r="L2265">
        <v>1</v>
      </c>
      <c r="M2265">
        <v>2.6</v>
      </c>
      <c r="N2265" t="s">
        <v>1873</v>
      </c>
      <c r="O2265">
        <v>1</v>
      </c>
      <c r="P2265">
        <v>1.4</v>
      </c>
      <c r="Q2265">
        <v>0</v>
      </c>
      <c r="R2265">
        <v>1</v>
      </c>
      <c r="S2265">
        <v>0</v>
      </c>
      <c r="U2265">
        <v>0.1</v>
      </c>
      <c r="V2265">
        <v>1</v>
      </c>
      <c r="W2265">
        <v>0</v>
      </c>
      <c r="X2265" s="7">
        <v>2</v>
      </c>
      <c r="Y2265">
        <v>-0.1</v>
      </c>
      <c r="Z2265">
        <v>0</v>
      </c>
      <c r="AP2265">
        <v>1529</v>
      </c>
      <c r="AQ2265" t="s">
        <v>136</v>
      </c>
    </row>
    <row r="2266" spans="1:41">
      <c r="A2266">
        <v>41001</v>
      </c>
      <c r="B2266" t="s">
        <v>7253</v>
      </c>
      <c r="C2266" t="s">
        <v>7254</v>
      </c>
      <c r="D2266">
        <v>1</v>
      </c>
      <c r="E2266">
        <v>0</v>
      </c>
      <c r="G2266">
        <v>1</v>
      </c>
      <c r="H2266" s="82" t="s">
        <v>7255</v>
      </c>
      <c r="I2266">
        <v>3.16666666666667</v>
      </c>
      <c r="J2266">
        <v>3.16666666666667</v>
      </c>
      <c r="L2266">
        <f t="shared" ref="L2266:L2270" si="217">IF(X2266&gt;4,1,0)</f>
        <v>1</v>
      </c>
      <c r="M2266">
        <f t="shared" ref="M2266:M2276" si="218">I2266-0.4</f>
        <v>2.76666666666667</v>
      </c>
      <c r="N2266" t="s">
        <v>7256</v>
      </c>
      <c r="O2266">
        <v>1</v>
      </c>
      <c r="P2266">
        <v>1.3</v>
      </c>
      <c r="Q2266">
        <v>0</v>
      </c>
      <c r="S2266">
        <v>0</v>
      </c>
      <c r="V2266">
        <v>1</v>
      </c>
      <c r="W2266">
        <v>0</v>
      </c>
      <c r="X2266" s="7">
        <v>13</v>
      </c>
      <c r="Y2266">
        <v>-0.1</v>
      </c>
      <c r="Z2266">
        <v>0</v>
      </c>
      <c r="AD2266">
        <v>0</v>
      </c>
      <c r="AF2266">
        <f t="shared" ref="AF2266:AF2270" si="219">IF(AD2266=--1,0.5,0)</f>
        <v>0</v>
      </c>
      <c r="AN2266" s="8">
        <v>2</v>
      </c>
      <c r="AO2266" t="s">
        <v>136</v>
      </c>
    </row>
    <row r="2267" spans="1:41">
      <c r="A2267">
        <v>41002</v>
      </c>
      <c r="B2267" t="s">
        <v>7257</v>
      </c>
      <c r="C2267" t="s">
        <v>7258</v>
      </c>
      <c r="D2267">
        <v>1</v>
      </c>
      <c r="E2267">
        <v>0</v>
      </c>
      <c r="G2267">
        <v>1</v>
      </c>
      <c r="H2267" s="82" t="s">
        <v>7259</v>
      </c>
      <c r="I2267">
        <v>5</v>
      </c>
      <c r="J2267">
        <v>5</v>
      </c>
      <c r="L2267">
        <v>1</v>
      </c>
      <c r="M2267">
        <f t="shared" si="218"/>
        <v>4.6</v>
      </c>
      <c r="N2267" t="s">
        <v>7260</v>
      </c>
      <c r="O2267">
        <v>1</v>
      </c>
      <c r="P2267">
        <v>3.6</v>
      </c>
      <c r="Q2267">
        <v>0</v>
      </c>
      <c r="S2267">
        <v>0</v>
      </c>
      <c r="V2267">
        <v>1</v>
      </c>
      <c r="W2267">
        <v>0</v>
      </c>
      <c r="X2267" s="7">
        <v>4</v>
      </c>
      <c r="Y2267">
        <v>-0.1</v>
      </c>
      <c r="Z2267">
        <v>0</v>
      </c>
      <c r="AD2267">
        <v>0</v>
      </c>
      <c r="AF2267">
        <f t="shared" si="219"/>
        <v>0</v>
      </c>
      <c r="AN2267" s="8">
        <v>65</v>
      </c>
      <c r="AO2267" t="s">
        <v>136</v>
      </c>
    </row>
    <row r="2268" spans="1:54">
      <c r="A2268">
        <v>41003</v>
      </c>
      <c r="B2268" t="s">
        <v>7261</v>
      </c>
      <c r="C2268" t="s">
        <v>458</v>
      </c>
      <c r="D2268">
        <v>1</v>
      </c>
      <c r="E2268">
        <v>0</v>
      </c>
      <c r="G2268">
        <v>1</v>
      </c>
      <c r="H2268" s="82" t="s">
        <v>459</v>
      </c>
      <c r="I2268">
        <v>1.83333333333333</v>
      </c>
      <c r="J2268">
        <v>1.83333333333333</v>
      </c>
      <c r="L2268">
        <f t="shared" si="217"/>
        <v>0</v>
      </c>
      <c r="M2268">
        <f t="shared" si="218"/>
        <v>1.43333333333333</v>
      </c>
      <c r="N2268" t="s">
        <v>460</v>
      </c>
      <c r="O2268">
        <v>1</v>
      </c>
      <c r="P2268">
        <v>1.4</v>
      </c>
      <c r="Q2268">
        <v>0</v>
      </c>
      <c r="S2268">
        <v>2</v>
      </c>
      <c r="U2268">
        <v>0.5</v>
      </c>
      <c r="V2268">
        <v>1</v>
      </c>
      <c r="W2268">
        <v>0</v>
      </c>
      <c r="X2268" s="7">
        <v>3</v>
      </c>
      <c r="Y2268">
        <v>-0.1</v>
      </c>
      <c r="Z2268">
        <v>0</v>
      </c>
      <c r="AD2268">
        <v>0</v>
      </c>
      <c r="AF2268">
        <f t="shared" si="219"/>
        <v>0</v>
      </c>
      <c r="AI2268">
        <v>1</v>
      </c>
      <c r="AK2268" t="s">
        <v>461</v>
      </c>
      <c r="AL2268">
        <v>0.6</v>
      </c>
      <c r="AM2268">
        <v>0.7</v>
      </c>
      <c r="AN2268" s="8" t="s">
        <v>462</v>
      </c>
      <c r="AO2268" t="s">
        <v>463</v>
      </c>
      <c r="AP2268">
        <v>135</v>
      </c>
      <c r="AQ2268" t="s">
        <v>136</v>
      </c>
      <c r="BB2268" t="s">
        <v>464</v>
      </c>
    </row>
    <row r="2269" spans="1:41">
      <c r="A2269">
        <v>41004</v>
      </c>
      <c r="B2269" t="s">
        <v>7262</v>
      </c>
      <c r="C2269" t="s">
        <v>560</v>
      </c>
      <c r="D2269">
        <v>1</v>
      </c>
      <c r="E2269">
        <v>0</v>
      </c>
      <c r="G2269">
        <v>2</v>
      </c>
      <c r="H2269" s="82" t="s">
        <v>561</v>
      </c>
      <c r="I2269">
        <v>1.4</v>
      </c>
      <c r="J2269">
        <v>1.4</v>
      </c>
      <c r="L2269">
        <f t="shared" si="217"/>
        <v>0</v>
      </c>
      <c r="M2269">
        <f t="shared" si="218"/>
        <v>1</v>
      </c>
      <c r="N2269" t="s">
        <v>562</v>
      </c>
      <c r="O2269">
        <v>0</v>
      </c>
      <c r="P2269">
        <v>0.9</v>
      </c>
      <c r="Q2269">
        <v>1</v>
      </c>
      <c r="S2269">
        <v>0</v>
      </c>
      <c r="V2269">
        <v>2</v>
      </c>
      <c r="W2269">
        <v>0</v>
      </c>
      <c r="X2269" s="7">
        <v>1</v>
      </c>
      <c r="Y2269">
        <v>0.4</v>
      </c>
      <c r="Z2269">
        <v>0</v>
      </c>
      <c r="AD2269">
        <v>0</v>
      </c>
      <c r="AF2269">
        <f t="shared" si="219"/>
        <v>0</v>
      </c>
      <c r="AN2269" s="8" t="s">
        <v>7263</v>
      </c>
      <c r="AO2269" t="s">
        <v>569</v>
      </c>
    </row>
    <row r="2270" spans="1:41">
      <c r="A2270">
        <v>41005</v>
      </c>
      <c r="B2270" t="s">
        <v>7264</v>
      </c>
      <c r="C2270" t="s">
        <v>7265</v>
      </c>
      <c r="D2270">
        <v>1</v>
      </c>
      <c r="E2270">
        <v>0</v>
      </c>
      <c r="G2270">
        <v>1</v>
      </c>
      <c r="H2270" s="82">
        <v>2807</v>
      </c>
      <c r="I2270">
        <v>1.66666666666667</v>
      </c>
      <c r="J2270">
        <v>1.66666666666667</v>
      </c>
      <c r="K2270">
        <v>0</v>
      </c>
      <c r="L2270">
        <f t="shared" si="217"/>
        <v>0</v>
      </c>
      <c r="M2270">
        <f t="shared" si="218"/>
        <v>1.26666666666667</v>
      </c>
      <c r="N2270" t="s">
        <v>846</v>
      </c>
      <c r="O2270">
        <v>1</v>
      </c>
      <c r="P2270">
        <v>1.2</v>
      </c>
      <c r="Q2270">
        <v>0</v>
      </c>
      <c r="R2270">
        <v>1</v>
      </c>
      <c r="S2270">
        <v>0</v>
      </c>
      <c r="V2270">
        <v>6</v>
      </c>
      <c r="W2270">
        <v>0</v>
      </c>
      <c r="X2270" s="7">
        <v>3</v>
      </c>
      <c r="Y2270">
        <v>-0.1</v>
      </c>
      <c r="Z2270">
        <v>0</v>
      </c>
      <c r="AD2270">
        <v>0</v>
      </c>
      <c r="AF2270">
        <f t="shared" si="219"/>
        <v>0</v>
      </c>
      <c r="AN2270" s="8">
        <v>288</v>
      </c>
      <c r="AO2270" t="s">
        <v>136</v>
      </c>
    </row>
    <row r="2271" spans="1:43">
      <c r="A2271">
        <v>41006</v>
      </c>
      <c r="B2271" t="s">
        <v>7266</v>
      </c>
      <c r="C2271" t="s">
        <v>2875</v>
      </c>
      <c r="D2271">
        <v>1</v>
      </c>
      <c r="E2271">
        <v>0</v>
      </c>
      <c r="G2271">
        <v>1</v>
      </c>
      <c r="H2271" s="82" t="s">
        <v>7267</v>
      </c>
      <c r="I2271">
        <v>1.2</v>
      </c>
      <c r="J2271">
        <v>1.2</v>
      </c>
      <c r="L2271">
        <v>0</v>
      </c>
      <c r="M2271">
        <f t="shared" si="218"/>
        <v>0.8</v>
      </c>
      <c r="N2271" t="s">
        <v>1504</v>
      </c>
      <c r="O2271">
        <v>1</v>
      </c>
      <c r="P2271">
        <v>1.3</v>
      </c>
      <c r="Q2271">
        <v>0</v>
      </c>
      <c r="S2271">
        <v>0</v>
      </c>
      <c r="V2271">
        <v>1</v>
      </c>
      <c r="W2271">
        <v>0</v>
      </c>
      <c r="X2271" s="7">
        <v>1</v>
      </c>
      <c r="Y2271">
        <v>-0.1</v>
      </c>
      <c r="Z2271">
        <v>0</v>
      </c>
      <c r="AD2271">
        <v>0</v>
      </c>
      <c r="AF2271">
        <v>0</v>
      </c>
      <c r="AP2271">
        <v>865</v>
      </c>
      <c r="AQ2271" t="s">
        <v>136</v>
      </c>
    </row>
    <row r="2272" spans="1:43">
      <c r="A2272">
        <v>41007</v>
      </c>
      <c r="B2272" t="s">
        <v>7268</v>
      </c>
      <c r="C2272" t="s">
        <v>1142</v>
      </c>
      <c r="D2272">
        <v>1</v>
      </c>
      <c r="E2272">
        <v>0</v>
      </c>
      <c r="G2272">
        <v>1</v>
      </c>
      <c r="H2272" s="82" t="s">
        <v>7269</v>
      </c>
      <c r="I2272">
        <v>1.93333333333333</v>
      </c>
      <c r="J2272">
        <v>1.93333333333333</v>
      </c>
      <c r="L2272">
        <f t="shared" ref="L2272:L2285" si="220">IF(X2272&gt;4,1,0)</f>
        <v>0</v>
      </c>
      <c r="M2272">
        <f t="shared" si="218"/>
        <v>1.53333333333333</v>
      </c>
      <c r="N2272" t="s">
        <v>1144</v>
      </c>
      <c r="O2272">
        <v>1</v>
      </c>
      <c r="P2272">
        <v>1.2</v>
      </c>
      <c r="Q2272">
        <v>0</v>
      </c>
      <c r="R2272">
        <v>1</v>
      </c>
      <c r="S2272">
        <v>0</v>
      </c>
      <c r="U2272">
        <v>0.8</v>
      </c>
      <c r="V2272">
        <v>1</v>
      </c>
      <c r="W2272">
        <v>0</v>
      </c>
      <c r="X2272" s="7">
        <v>3</v>
      </c>
      <c r="Y2272">
        <v>-0.1</v>
      </c>
      <c r="Z2272">
        <v>0</v>
      </c>
      <c r="AF2272">
        <f t="shared" ref="AF2272:AF2285" si="221">IF(AD2272=--1,0.5,0)</f>
        <v>0</v>
      </c>
      <c r="AP2272">
        <v>461</v>
      </c>
      <c r="AQ2272" t="s">
        <v>136</v>
      </c>
    </row>
    <row r="2273" spans="1:43">
      <c r="A2273">
        <v>41008</v>
      </c>
      <c r="B2273" t="s">
        <v>7270</v>
      </c>
      <c r="C2273" t="s">
        <v>7271</v>
      </c>
      <c r="D2273">
        <v>1</v>
      </c>
      <c r="E2273">
        <v>0</v>
      </c>
      <c r="G2273">
        <v>1</v>
      </c>
      <c r="H2273" s="82" t="s">
        <v>1623</v>
      </c>
      <c r="I2273">
        <v>3</v>
      </c>
      <c r="J2273">
        <v>3</v>
      </c>
      <c r="L2273">
        <v>0</v>
      </c>
      <c r="M2273">
        <f t="shared" si="218"/>
        <v>2.6</v>
      </c>
      <c r="N2273" t="s">
        <v>1624</v>
      </c>
      <c r="O2273">
        <v>1</v>
      </c>
      <c r="P2273">
        <v>1.75</v>
      </c>
      <c r="Q2273">
        <v>0</v>
      </c>
      <c r="S2273">
        <v>0</v>
      </c>
      <c r="T2273">
        <v>0</v>
      </c>
      <c r="U2273">
        <v>0.5</v>
      </c>
      <c r="V2273">
        <v>1</v>
      </c>
      <c r="W2273">
        <v>0</v>
      </c>
      <c r="X2273" s="7">
        <v>3</v>
      </c>
      <c r="Y2273">
        <v>-0.1</v>
      </c>
      <c r="Z2273">
        <v>0</v>
      </c>
      <c r="AP2273">
        <v>1166</v>
      </c>
      <c r="AQ2273" t="s">
        <v>136</v>
      </c>
    </row>
    <row r="2274" spans="1:41">
      <c r="A2274">
        <v>41009</v>
      </c>
      <c r="B2274" t="s">
        <v>7272</v>
      </c>
      <c r="C2274" t="s">
        <v>7273</v>
      </c>
      <c r="D2274">
        <v>1</v>
      </c>
      <c r="E2274">
        <v>0</v>
      </c>
      <c r="G2274">
        <v>1</v>
      </c>
      <c r="H2274" s="82" t="s">
        <v>178</v>
      </c>
      <c r="I2274">
        <v>2</v>
      </c>
      <c r="J2274">
        <v>2</v>
      </c>
      <c r="L2274">
        <f t="shared" si="220"/>
        <v>0</v>
      </c>
      <c r="M2274">
        <f t="shared" si="218"/>
        <v>1.6</v>
      </c>
      <c r="N2274" t="s">
        <v>7274</v>
      </c>
      <c r="O2274">
        <v>1</v>
      </c>
      <c r="P2274">
        <v>1.3</v>
      </c>
      <c r="Q2274">
        <v>0</v>
      </c>
      <c r="S2274">
        <v>-1.5</v>
      </c>
      <c r="U2274">
        <v>0.8</v>
      </c>
      <c r="V2274">
        <v>1</v>
      </c>
      <c r="W2274">
        <v>0</v>
      </c>
      <c r="X2274" s="7">
        <v>1</v>
      </c>
      <c r="Y2274">
        <v>0.4</v>
      </c>
      <c r="Z2274">
        <v>0</v>
      </c>
      <c r="AD2274">
        <v>0</v>
      </c>
      <c r="AF2274">
        <f t="shared" si="221"/>
        <v>0</v>
      </c>
      <c r="AN2274" s="8">
        <v>8</v>
      </c>
      <c r="AO2274" t="s">
        <v>136</v>
      </c>
    </row>
    <row r="2275" spans="1:32">
      <c r="A2275">
        <v>41010</v>
      </c>
      <c r="B2275" t="s">
        <v>7275</v>
      </c>
      <c r="C2275" t="s">
        <v>7276</v>
      </c>
      <c r="D2275">
        <v>1</v>
      </c>
      <c r="E2275">
        <v>0</v>
      </c>
      <c r="G2275">
        <v>2</v>
      </c>
      <c r="H2275" s="82" t="s">
        <v>247</v>
      </c>
      <c r="I2275">
        <v>3.5</v>
      </c>
      <c r="J2275">
        <v>3.5</v>
      </c>
      <c r="L2275">
        <f t="shared" si="220"/>
        <v>1</v>
      </c>
      <c r="M2275">
        <f t="shared" si="218"/>
        <v>3.1</v>
      </c>
      <c r="N2275" t="s">
        <v>248</v>
      </c>
      <c r="O2275">
        <v>0</v>
      </c>
      <c r="P2275">
        <v>0</v>
      </c>
      <c r="Q2275">
        <v>1</v>
      </c>
      <c r="S2275">
        <v>0</v>
      </c>
      <c r="V2275">
        <v>2</v>
      </c>
      <c r="W2275">
        <v>0</v>
      </c>
      <c r="X2275" s="7">
        <v>10</v>
      </c>
      <c r="Y2275">
        <v>0.4</v>
      </c>
      <c r="Z2275">
        <v>0</v>
      </c>
      <c r="AD2275">
        <v>0</v>
      </c>
      <c r="AF2275">
        <f t="shared" si="221"/>
        <v>0</v>
      </c>
    </row>
    <row r="2276" spans="1:41">
      <c r="A2276">
        <v>41011</v>
      </c>
      <c r="B2276" t="s">
        <v>7277</v>
      </c>
      <c r="C2276" t="s">
        <v>7278</v>
      </c>
      <c r="D2276">
        <v>1</v>
      </c>
      <c r="E2276">
        <v>0</v>
      </c>
      <c r="G2276">
        <v>1</v>
      </c>
      <c r="H2276" s="82">
        <v>309</v>
      </c>
      <c r="I2276">
        <v>3.333333</v>
      </c>
      <c r="J2276">
        <v>3.333333</v>
      </c>
      <c r="L2276">
        <f t="shared" si="220"/>
        <v>0</v>
      </c>
      <c r="M2276">
        <f t="shared" si="218"/>
        <v>2.933333</v>
      </c>
      <c r="N2276" t="s">
        <v>1321</v>
      </c>
      <c r="O2276">
        <v>1</v>
      </c>
      <c r="P2276">
        <v>0.95</v>
      </c>
      <c r="Q2276">
        <v>0</v>
      </c>
      <c r="S2276">
        <v>1.2</v>
      </c>
      <c r="U2276">
        <v>0.5</v>
      </c>
      <c r="V2276">
        <v>6</v>
      </c>
      <c r="W2276">
        <v>0</v>
      </c>
      <c r="X2276" s="7">
        <v>1</v>
      </c>
      <c r="Y2276">
        <v>-0.1</v>
      </c>
      <c r="Z2276">
        <v>0</v>
      </c>
      <c r="AD2276">
        <v>0</v>
      </c>
      <c r="AF2276">
        <f t="shared" si="221"/>
        <v>0</v>
      </c>
      <c r="AN2276" s="8">
        <v>603</v>
      </c>
      <c r="AO2276" t="s">
        <v>136</v>
      </c>
    </row>
    <row r="2277" spans="1:41">
      <c r="A2277">
        <v>41012</v>
      </c>
      <c r="B2277" t="s">
        <v>7279</v>
      </c>
      <c r="C2277" t="s">
        <v>434</v>
      </c>
      <c r="D2277">
        <v>1</v>
      </c>
      <c r="E2277">
        <v>0</v>
      </c>
      <c r="G2277">
        <v>1</v>
      </c>
      <c r="H2277" s="82" t="s">
        <v>435</v>
      </c>
      <c r="I2277">
        <v>1.7</v>
      </c>
      <c r="J2277">
        <v>1.7</v>
      </c>
      <c r="L2277">
        <f t="shared" si="220"/>
        <v>0</v>
      </c>
      <c r="M2277">
        <v>1.3</v>
      </c>
      <c r="N2277" t="s">
        <v>436</v>
      </c>
      <c r="O2277">
        <v>1</v>
      </c>
      <c r="P2277">
        <v>2</v>
      </c>
      <c r="Q2277">
        <v>0</v>
      </c>
      <c r="S2277">
        <v>0</v>
      </c>
      <c r="V2277">
        <v>6</v>
      </c>
      <c r="W2277">
        <v>0</v>
      </c>
      <c r="X2277" s="7">
        <v>1</v>
      </c>
      <c r="Y2277">
        <v>-0.1</v>
      </c>
      <c r="Z2277">
        <v>0</v>
      </c>
      <c r="AD2277">
        <v>0</v>
      </c>
      <c r="AF2277">
        <f t="shared" si="221"/>
        <v>0</v>
      </c>
      <c r="AN2277" s="8">
        <v>115</v>
      </c>
      <c r="AO2277" t="s">
        <v>136</v>
      </c>
    </row>
    <row r="2278" spans="1:43">
      <c r="A2278">
        <v>41013</v>
      </c>
      <c r="B2278" t="s">
        <v>7280</v>
      </c>
      <c r="C2278" t="s">
        <v>541</v>
      </c>
      <c r="D2278">
        <v>1</v>
      </c>
      <c r="E2278">
        <v>0</v>
      </c>
      <c r="F2278">
        <v>2</v>
      </c>
      <c r="G2278">
        <v>1</v>
      </c>
      <c r="H2278" s="82" t="s">
        <v>542</v>
      </c>
      <c r="I2278">
        <v>3.43333333333333</v>
      </c>
      <c r="J2278">
        <v>3.43333333333333</v>
      </c>
      <c r="L2278">
        <f t="shared" si="220"/>
        <v>0</v>
      </c>
      <c r="M2278">
        <f t="shared" ref="M2278:M2284" si="222">I2278-0.4</f>
        <v>3.03333333333333</v>
      </c>
      <c r="N2278" t="s">
        <v>543</v>
      </c>
      <c r="O2278">
        <v>1</v>
      </c>
      <c r="P2278">
        <v>1.5</v>
      </c>
      <c r="Q2278">
        <v>0</v>
      </c>
      <c r="S2278">
        <v>0.5</v>
      </c>
      <c r="U2278">
        <v>0.5</v>
      </c>
      <c r="V2278">
        <v>1</v>
      </c>
      <c r="W2278">
        <v>0</v>
      </c>
      <c r="X2278" s="7">
        <v>3</v>
      </c>
      <c r="Y2278">
        <v>-0.1</v>
      </c>
      <c r="Z2278">
        <v>0</v>
      </c>
      <c r="AD2278">
        <v>0</v>
      </c>
      <c r="AF2278">
        <f t="shared" si="221"/>
        <v>0</v>
      </c>
      <c r="AP2278">
        <v>169</v>
      </c>
      <c r="AQ2278" t="s">
        <v>136</v>
      </c>
    </row>
    <row r="2279" spans="1:41">
      <c r="A2279">
        <v>41014</v>
      </c>
      <c r="B2279" t="s">
        <v>7281</v>
      </c>
      <c r="C2279" t="s">
        <v>506</v>
      </c>
      <c r="D2279">
        <v>1</v>
      </c>
      <c r="E2279">
        <v>0</v>
      </c>
      <c r="G2279">
        <v>1</v>
      </c>
      <c r="H2279" s="82" t="s">
        <v>507</v>
      </c>
      <c r="I2279">
        <v>2.16666666666667</v>
      </c>
      <c r="J2279">
        <v>2</v>
      </c>
      <c r="L2279">
        <f t="shared" si="220"/>
        <v>1</v>
      </c>
      <c r="M2279">
        <f t="shared" si="222"/>
        <v>1.76666666666667</v>
      </c>
      <c r="N2279" t="s">
        <v>508</v>
      </c>
      <c r="O2279">
        <v>1</v>
      </c>
      <c r="P2279">
        <v>1.5</v>
      </c>
      <c r="Q2279">
        <v>0</v>
      </c>
      <c r="S2279">
        <v>0</v>
      </c>
      <c r="V2279">
        <v>1</v>
      </c>
      <c r="W2279">
        <v>0</v>
      </c>
      <c r="X2279" s="7">
        <v>7</v>
      </c>
      <c r="Y2279">
        <v>-0.1</v>
      </c>
      <c r="Z2279">
        <v>0</v>
      </c>
      <c r="AD2279">
        <v>0</v>
      </c>
      <c r="AF2279">
        <f t="shared" si="221"/>
        <v>0</v>
      </c>
      <c r="AN2279" s="8">
        <v>175</v>
      </c>
      <c r="AO2279" t="s">
        <v>136</v>
      </c>
    </row>
    <row r="2280" spans="1:41">
      <c r="A2280">
        <v>41015</v>
      </c>
      <c r="B2280" t="s">
        <v>7282</v>
      </c>
      <c r="C2280" t="s">
        <v>7283</v>
      </c>
      <c r="D2280">
        <v>1</v>
      </c>
      <c r="E2280">
        <v>0</v>
      </c>
      <c r="G2280">
        <v>1</v>
      </c>
      <c r="H2280" s="82" t="s">
        <v>599</v>
      </c>
      <c r="I2280">
        <v>3.23</v>
      </c>
      <c r="J2280">
        <v>3.23</v>
      </c>
      <c r="L2280">
        <f t="shared" si="220"/>
        <v>1</v>
      </c>
      <c r="M2280">
        <f t="shared" si="222"/>
        <v>2.83</v>
      </c>
      <c r="N2280" t="s">
        <v>600</v>
      </c>
      <c r="O2280">
        <v>1</v>
      </c>
      <c r="P2280">
        <v>1.2</v>
      </c>
      <c r="Q2280">
        <v>0</v>
      </c>
      <c r="S2280">
        <v>2</v>
      </c>
      <c r="T2280">
        <v>0.5</v>
      </c>
      <c r="V2280">
        <v>6</v>
      </c>
      <c r="W2280">
        <v>0</v>
      </c>
      <c r="X2280" s="7">
        <v>5</v>
      </c>
      <c r="Y2280">
        <v>-0.1</v>
      </c>
      <c r="Z2280">
        <v>0</v>
      </c>
      <c r="AD2280">
        <v>0</v>
      </c>
      <c r="AF2280">
        <f t="shared" si="221"/>
        <v>0</v>
      </c>
      <c r="AN2280" s="8">
        <v>158</v>
      </c>
      <c r="AO2280" t="s">
        <v>136</v>
      </c>
    </row>
    <row r="2281" spans="1:41">
      <c r="A2281">
        <v>41016</v>
      </c>
      <c r="B2281" t="s">
        <v>7284</v>
      </c>
      <c r="C2281" t="s">
        <v>7285</v>
      </c>
      <c r="D2281">
        <v>1</v>
      </c>
      <c r="E2281">
        <v>0</v>
      </c>
      <c r="G2281">
        <v>1</v>
      </c>
      <c r="H2281" s="82">
        <v>2602</v>
      </c>
      <c r="I2281">
        <v>1.73333333333333</v>
      </c>
      <c r="J2281">
        <v>1.73333333333333</v>
      </c>
      <c r="L2281">
        <f t="shared" si="220"/>
        <v>1</v>
      </c>
      <c r="M2281">
        <f t="shared" si="222"/>
        <v>1.33333333333333</v>
      </c>
      <c r="N2281" t="s">
        <v>796</v>
      </c>
      <c r="O2281">
        <v>1</v>
      </c>
      <c r="P2281">
        <v>2.1</v>
      </c>
      <c r="Q2281">
        <v>0</v>
      </c>
      <c r="S2281">
        <v>0</v>
      </c>
      <c r="V2281">
        <v>6</v>
      </c>
      <c r="W2281">
        <v>0</v>
      </c>
      <c r="X2281" s="7">
        <v>8</v>
      </c>
      <c r="Y2281">
        <v>-0.1</v>
      </c>
      <c r="Z2281">
        <v>0</v>
      </c>
      <c r="AD2281">
        <v>0</v>
      </c>
      <c r="AF2281">
        <f t="shared" si="221"/>
        <v>0</v>
      </c>
      <c r="AN2281" s="8">
        <v>262</v>
      </c>
      <c r="AO2281" t="s">
        <v>136</v>
      </c>
    </row>
    <row r="2282" spans="1:54">
      <c r="A2282">
        <v>41017</v>
      </c>
      <c r="B2282" t="s">
        <v>7286</v>
      </c>
      <c r="C2282" t="s">
        <v>393</v>
      </c>
      <c r="D2282">
        <v>1</v>
      </c>
      <c r="E2282">
        <v>0</v>
      </c>
      <c r="G2282">
        <v>2</v>
      </c>
      <c r="H2282" s="82" t="s">
        <v>394</v>
      </c>
      <c r="I2282">
        <v>1.13333333333333</v>
      </c>
      <c r="J2282">
        <v>1.13333333333333</v>
      </c>
      <c r="L2282">
        <f t="shared" si="220"/>
        <v>0</v>
      </c>
      <c r="M2282">
        <f t="shared" si="222"/>
        <v>0.73333333333333</v>
      </c>
      <c r="N2282" t="s">
        <v>395</v>
      </c>
      <c r="O2282">
        <v>1</v>
      </c>
      <c r="P2282">
        <v>4</v>
      </c>
      <c r="Q2282">
        <v>0</v>
      </c>
      <c r="S2282">
        <v>0</v>
      </c>
      <c r="V2282">
        <v>1</v>
      </c>
      <c r="W2282">
        <v>0</v>
      </c>
      <c r="X2282" s="7">
        <v>1</v>
      </c>
      <c r="Y2282">
        <v>0.4</v>
      </c>
      <c r="Z2282">
        <v>0</v>
      </c>
      <c r="AD2282">
        <v>0</v>
      </c>
      <c r="AF2282">
        <f t="shared" si="221"/>
        <v>0</v>
      </c>
      <c r="AN2282" s="8">
        <v>122</v>
      </c>
      <c r="AO2282" t="s">
        <v>136</v>
      </c>
      <c r="BB2282" t="s">
        <v>396</v>
      </c>
    </row>
    <row r="2283" spans="1:32">
      <c r="A2283">
        <v>41018</v>
      </c>
      <c r="B2283" t="s">
        <v>7287</v>
      </c>
      <c r="C2283" t="s">
        <v>274</v>
      </c>
      <c r="D2283">
        <v>1</v>
      </c>
      <c r="E2283">
        <v>0</v>
      </c>
      <c r="G2283">
        <v>2</v>
      </c>
      <c r="H2283" s="82" t="s">
        <v>275</v>
      </c>
      <c r="I2283">
        <v>2.66666666666667</v>
      </c>
      <c r="J2283">
        <v>2.66666666666667</v>
      </c>
      <c r="L2283">
        <f t="shared" si="220"/>
        <v>0</v>
      </c>
      <c r="M2283">
        <f t="shared" si="222"/>
        <v>2.26666666666667</v>
      </c>
      <c r="N2283" t="s">
        <v>276</v>
      </c>
      <c r="O2283">
        <v>1</v>
      </c>
      <c r="P2283">
        <v>4.4</v>
      </c>
      <c r="Q2283">
        <v>0</v>
      </c>
      <c r="S2283">
        <v>0</v>
      </c>
      <c r="V2283">
        <v>1</v>
      </c>
      <c r="W2283">
        <v>0</v>
      </c>
      <c r="X2283" s="7">
        <v>1</v>
      </c>
      <c r="Y2283">
        <v>0.4</v>
      </c>
      <c r="Z2283">
        <v>0</v>
      </c>
      <c r="AD2283">
        <v>0</v>
      </c>
      <c r="AF2283">
        <f t="shared" si="221"/>
        <v>0</v>
      </c>
    </row>
    <row r="2284" s="24" customFormat="1" spans="1:40">
      <c r="A2284" s="24">
        <v>41019</v>
      </c>
      <c r="B2284" s="24" t="s">
        <v>7288</v>
      </c>
      <c r="C2284" s="24" t="s">
        <v>6329</v>
      </c>
      <c r="D2284" s="24">
        <v>2</v>
      </c>
      <c r="E2284" s="24">
        <v>1</v>
      </c>
      <c r="G2284" s="24">
        <v>2</v>
      </c>
      <c r="H2284" s="187" t="s">
        <v>964</v>
      </c>
      <c r="I2284" s="24">
        <v>2.66666666666667</v>
      </c>
      <c r="J2284" s="24">
        <v>2.66666666666667</v>
      </c>
      <c r="L2284" s="24">
        <f t="shared" si="220"/>
        <v>0</v>
      </c>
      <c r="M2284" s="24">
        <f t="shared" si="222"/>
        <v>2.26666666666667</v>
      </c>
      <c r="O2284" s="24">
        <v>1</v>
      </c>
      <c r="P2284" s="24">
        <v>0</v>
      </c>
      <c r="Q2284" s="24">
        <v>0</v>
      </c>
      <c r="S2284" s="24">
        <v>0</v>
      </c>
      <c r="U2284" s="24">
        <v>0.4</v>
      </c>
      <c r="V2284" s="24">
        <v>1000</v>
      </c>
      <c r="W2284" s="24">
        <v>100</v>
      </c>
      <c r="X2284" s="24">
        <v>0</v>
      </c>
      <c r="Y2284" s="24">
        <v>-0.1</v>
      </c>
      <c r="Z2284" s="24">
        <v>0</v>
      </c>
      <c r="AD2284" s="24">
        <v>0</v>
      </c>
      <c r="AF2284" s="24">
        <f t="shared" si="221"/>
        <v>0</v>
      </c>
      <c r="AN2284" s="157"/>
    </row>
    <row r="2285" spans="1:48">
      <c r="A2285">
        <v>41020</v>
      </c>
      <c r="B2285" t="s">
        <v>5370</v>
      </c>
      <c r="C2285" t="s">
        <v>526</v>
      </c>
      <c r="D2285">
        <v>1</v>
      </c>
      <c r="E2285">
        <v>0</v>
      </c>
      <c r="G2285">
        <v>2</v>
      </c>
      <c r="H2285" s="5" t="s">
        <v>5371</v>
      </c>
      <c r="I2285">
        <v>2.46666666666667</v>
      </c>
      <c r="J2285">
        <v>2.46666666666667</v>
      </c>
      <c r="L2285">
        <f t="shared" si="220"/>
        <v>0</v>
      </c>
      <c r="M2285">
        <f>J2285-0.4</f>
        <v>2.06666666666667</v>
      </c>
      <c r="N2285" t="s">
        <v>5372</v>
      </c>
      <c r="O2285">
        <v>0</v>
      </c>
      <c r="P2285">
        <v>0</v>
      </c>
      <c r="Q2285">
        <v>1</v>
      </c>
      <c r="V2285">
        <v>0</v>
      </c>
      <c r="W2285">
        <v>0</v>
      </c>
      <c r="X2285" s="7">
        <v>3</v>
      </c>
      <c r="Y2285">
        <v>-0.1</v>
      </c>
      <c r="Z2285">
        <v>0</v>
      </c>
      <c r="AF2285">
        <f t="shared" si="221"/>
        <v>0</v>
      </c>
      <c r="AM2285" s="669"/>
      <c r="AP2285" s="8">
        <v>850</v>
      </c>
      <c r="AQ2285" t="s">
        <v>136</v>
      </c>
      <c r="AV2285">
        <v>1</v>
      </c>
    </row>
    <row r="2286" ht="16.5" spans="1:44">
      <c r="A2286">
        <v>41021</v>
      </c>
      <c r="B2286" t="s">
        <v>7289</v>
      </c>
      <c r="C2286" t="s">
        <v>7290</v>
      </c>
      <c r="D2286">
        <v>1</v>
      </c>
      <c r="E2286">
        <v>0</v>
      </c>
      <c r="F2286" s="3"/>
      <c r="G2286" s="3">
        <v>1</v>
      </c>
      <c r="H2286" s="5" t="s">
        <v>1926</v>
      </c>
      <c r="I2286">
        <f>80/30</f>
        <v>2.66666666666667</v>
      </c>
      <c r="J2286">
        <f>80/30</f>
        <v>2.66666666666667</v>
      </c>
      <c r="K2286" s="3"/>
      <c r="L2286">
        <v>1</v>
      </c>
      <c r="M2286">
        <f t="shared" ref="M2286:M2290" si="223">I2286-0.4</f>
        <v>2.26666666666667</v>
      </c>
      <c r="N2286" s="3" t="s">
        <v>1927</v>
      </c>
      <c r="O2286">
        <v>1</v>
      </c>
      <c r="P2286">
        <v>2</v>
      </c>
      <c r="Q2286">
        <v>0</v>
      </c>
      <c r="R2286">
        <v>0</v>
      </c>
      <c r="S2286">
        <v>0.3</v>
      </c>
      <c r="U2286">
        <v>0.6</v>
      </c>
      <c r="V2286">
        <v>6</v>
      </c>
      <c r="W2286">
        <v>0</v>
      </c>
      <c r="X2286" s="7">
        <v>9</v>
      </c>
      <c r="Y2286">
        <v>-0.1</v>
      </c>
      <c r="Z2286">
        <v>0</v>
      </c>
      <c r="AP2286" s="267">
        <v>1585</v>
      </c>
      <c r="AQ2286" s="3" t="s">
        <v>136</v>
      </c>
      <c r="AR2286" s="11"/>
    </row>
    <row r="2287" spans="1:43">
      <c r="A2287">
        <v>41022</v>
      </c>
      <c r="B2287" t="s">
        <v>7291</v>
      </c>
      <c r="C2287" s="668" t="s">
        <v>5413</v>
      </c>
      <c r="D2287">
        <v>1</v>
      </c>
      <c r="E2287">
        <v>0</v>
      </c>
      <c r="G2287">
        <v>1</v>
      </c>
      <c r="H2287" s="11" t="s">
        <v>5452</v>
      </c>
      <c r="I2287">
        <v>2.83333333333333</v>
      </c>
      <c r="J2287">
        <v>2.83333333333333</v>
      </c>
      <c r="L2287">
        <v>0</v>
      </c>
      <c r="M2287">
        <f>J2287-0.4</f>
        <v>2.43333333333333</v>
      </c>
      <c r="N2287" t="s">
        <v>5453</v>
      </c>
      <c r="O2287">
        <v>1</v>
      </c>
      <c r="P2287">
        <v>1.5</v>
      </c>
      <c r="Q2287">
        <v>0</v>
      </c>
      <c r="S2287">
        <v>-1.2</v>
      </c>
      <c r="U2287">
        <v>0.8</v>
      </c>
      <c r="V2287">
        <v>1</v>
      </c>
      <c r="W2287">
        <v>0</v>
      </c>
      <c r="X2287" s="7">
        <v>1</v>
      </c>
      <c r="Y2287">
        <v>-0.1</v>
      </c>
      <c r="Z2287">
        <v>0</v>
      </c>
      <c r="AF2287">
        <v>0</v>
      </c>
      <c r="AM2287" s="669"/>
      <c r="AP2287" s="8">
        <v>931</v>
      </c>
      <c r="AQ2287" t="s">
        <v>1444</v>
      </c>
    </row>
    <row r="2288" spans="1:48">
      <c r="A2288">
        <v>41023</v>
      </c>
      <c r="B2288" t="s">
        <v>7292</v>
      </c>
      <c r="C2288" t="s">
        <v>526</v>
      </c>
      <c r="D2288">
        <v>1</v>
      </c>
      <c r="E2288">
        <v>0</v>
      </c>
      <c r="G2288">
        <v>2</v>
      </c>
      <c r="H2288" s="82">
        <v>103001</v>
      </c>
      <c r="I2288">
        <v>1.5</v>
      </c>
      <c r="J2288">
        <v>1.5</v>
      </c>
      <c r="L2288">
        <v>0</v>
      </c>
      <c r="M2288">
        <v>1.1</v>
      </c>
      <c r="N2288" t="s">
        <v>5222</v>
      </c>
      <c r="O2288">
        <v>1</v>
      </c>
      <c r="P2288">
        <v>5</v>
      </c>
      <c r="Q2288">
        <v>0</v>
      </c>
      <c r="S2288">
        <v>0</v>
      </c>
      <c r="V2288">
        <v>1</v>
      </c>
      <c r="W2288">
        <v>101</v>
      </c>
      <c r="X2288" s="7">
        <v>1</v>
      </c>
      <c r="Y2288">
        <v>-0.1</v>
      </c>
      <c r="Z2288">
        <v>0</v>
      </c>
      <c r="AF2288">
        <v>0</v>
      </c>
      <c r="AP2288">
        <v>523</v>
      </c>
      <c r="AQ2288" t="s">
        <v>136</v>
      </c>
      <c r="AV2288">
        <v>1</v>
      </c>
    </row>
    <row r="2289" spans="1:48">
      <c r="A2289">
        <v>41024</v>
      </c>
      <c r="B2289" t="s">
        <v>7293</v>
      </c>
      <c r="C2289" s="161" t="s">
        <v>708</v>
      </c>
      <c r="D2289">
        <v>1</v>
      </c>
      <c r="E2289" s="162">
        <v>0</v>
      </c>
      <c r="F2289" s="162"/>
      <c r="G2289" s="162">
        <v>1</v>
      </c>
      <c r="H2289" s="160">
        <v>2003</v>
      </c>
      <c r="I2289">
        <v>3.06666666666667</v>
      </c>
      <c r="J2289">
        <v>3.06666666666667</v>
      </c>
      <c r="L2289">
        <f t="shared" ref="L2289:L2293" si="224">IF(X2289&gt;4,1,0)</f>
        <v>1</v>
      </c>
      <c r="M2289">
        <f t="shared" si="223"/>
        <v>2.66666666666667</v>
      </c>
      <c r="N2289" s="104" t="s">
        <v>709</v>
      </c>
      <c r="O2289" s="108">
        <v>1</v>
      </c>
      <c r="P2289" s="15">
        <v>1.8</v>
      </c>
      <c r="Q2289" s="108">
        <v>0</v>
      </c>
      <c r="R2289" s="108"/>
      <c r="S2289">
        <v>-1</v>
      </c>
      <c r="U2289">
        <v>1.5</v>
      </c>
      <c r="V2289" s="108">
        <v>1</v>
      </c>
      <c r="W2289">
        <v>0</v>
      </c>
      <c r="X2289" s="7">
        <v>6</v>
      </c>
      <c r="Y2289">
        <v>-0.1</v>
      </c>
      <c r="Z2289" s="108">
        <v>0</v>
      </c>
      <c r="AA2289" s="108"/>
      <c r="AB2289" s="108"/>
      <c r="AC2289" s="108"/>
      <c r="AD2289" s="108">
        <v>0</v>
      </c>
      <c r="AF2289">
        <f t="shared" ref="AF2289:AF2294" si="225">IF(AD2289=--1,0.5,0)</f>
        <v>0</v>
      </c>
      <c r="AN2289" s="10">
        <v>211</v>
      </c>
      <c r="AO2289" t="s">
        <v>136</v>
      </c>
      <c r="AV2289" s="162"/>
    </row>
    <row r="2290" spans="1:41">
      <c r="A2290">
        <v>41025</v>
      </c>
      <c r="B2290" t="s">
        <v>5778</v>
      </c>
      <c r="C2290" s="669" t="s">
        <v>5779</v>
      </c>
      <c r="D2290">
        <v>1</v>
      </c>
      <c r="E2290">
        <v>0</v>
      </c>
      <c r="G2290">
        <v>1</v>
      </c>
      <c r="H2290" s="168" t="s">
        <v>5780</v>
      </c>
      <c r="I2290">
        <f>50/30</f>
        <v>1.66666666666667</v>
      </c>
      <c r="J2290">
        <f>50/30</f>
        <v>1.66666666666667</v>
      </c>
      <c r="L2290">
        <f t="shared" si="224"/>
        <v>0</v>
      </c>
      <c r="M2290">
        <f t="shared" si="223"/>
        <v>1.26666666666667</v>
      </c>
      <c r="N2290" t="s">
        <v>1026</v>
      </c>
      <c r="O2290">
        <v>1</v>
      </c>
      <c r="P2290">
        <v>5</v>
      </c>
      <c r="Q2290">
        <v>0</v>
      </c>
      <c r="S2290">
        <v>0.5</v>
      </c>
      <c r="U2290">
        <v>0.65</v>
      </c>
      <c r="V2290">
        <v>1</v>
      </c>
      <c r="W2290">
        <v>0</v>
      </c>
      <c r="X2290" s="7">
        <v>3</v>
      </c>
      <c r="Y2290">
        <v>-0.1</v>
      </c>
      <c r="Z2290">
        <v>0</v>
      </c>
      <c r="AN2290" s="8" t="s">
        <v>5781</v>
      </c>
      <c r="AO2290" t="s">
        <v>517</v>
      </c>
    </row>
    <row r="2291" spans="1:44">
      <c r="A2291" s="747">
        <v>41026</v>
      </c>
      <c r="B2291" s="3" t="s">
        <v>7294</v>
      </c>
      <c r="C2291" s="3" t="s">
        <v>7295</v>
      </c>
      <c r="D2291">
        <v>1</v>
      </c>
      <c r="E2291">
        <v>0</v>
      </c>
      <c r="F2291" s="3"/>
      <c r="G2291" s="3">
        <v>1</v>
      </c>
      <c r="H2291" s="11" t="s">
        <v>1958</v>
      </c>
      <c r="I2291">
        <v>2.63333333333333</v>
      </c>
      <c r="J2291">
        <v>2.63333333333333</v>
      </c>
      <c r="K2291" s="3"/>
      <c r="L2291">
        <v>1</v>
      </c>
      <c r="M2291">
        <v>2.23333333333333</v>
      </c>
      <c r="N2291" s="3" t="s">
        <v>1959</v>
      </c>
      <c r="O2291">
        <v>1</v>
      </c>
      <c r="P2291">
        <v>2.5</v>
      </c>
      <c r="Q2291">
        <v>0</v>
      </c>
      <c r="S2291">
        <v>0.2</v>
      </c>
      <c r="U2291">
        <v>0.6</v>
      </c>
      <c r="V2291">
        <v>1</v>
      </c>
      <c r="W2291">
        <v>102</v>
      </c>
      <c r="X2291" s="7">
        <v>2</v>
      </c>
      <c r="Y2291">
        <v>-0.1</v>
      </c>
      <c r="Z2291">
        <v>0</v>
      </c>
      <c r="AP2291" s="10">
        <v>1634</v>
      </c>
      <c r="AQ2291" s="3" t="s">
        <v>136</v>
      </c>
      <c r="AR2291" s="11"/>
    </row>
    <row r="2292" spans="1:44">
      <c r="A2292" s="747">
        <v>41027</v>
      </c>
      <c r="B2292" s="3" t="s">
        <v>7294</v>
      </c>
      <c r="C2292" s="3" t="s">
        <v>7296</v>
      </c>
      <c r="D2292">
        <v>1</v>
      </c>
      <c r="E2292">
        <v>0</v>
      </c>
      <c r="F2292" s="3"/>
      <c r="G2292" s="3">
        <v>1</v>
      </c>
      <c r="H2292" s="11" t="s">
        <v>1961</v>
      </c>
      <c r="I2292">
        <v>3.33333333333333</v>
      </c>
      <c r="J2292">
        <v>3.33333333333333</v>
      </c>
      <c r="K2292" s="3"/>
      <c r="L2292">
        <v>1</v>
      </c>
      <c r="M2292">
        <v>2.93333333333333</v>
      </c>
      <c r="N2292" s="3" t="s">
        <v>1962</v>
      </c>
      <c r="O2292">
        <v>1</v>
      </c>
      <c r="P2292">
        <v>2.5</v>
      </c>
      <c r="Q2292">
        <v>0</v>
      </c>
      <c r="S2292">
        <v>0.4</v>
      </c>
      <c r="U2292">
        <v>0.45</v>
      </c>
      <c r="V2292">
        <v>1</v>
      </c>
      <c r="W2292">
        <v>0</v>
      </c>
      <c r="X2292" s="7">
        <v>4</v>
      </c>
      <c r="Y2292">
        <v>-0.1</v>
      </c>
      <c r="Z2292">
        <v>0</v>
      </c>
      <c r="AP2292" s="10">
        <v>1635</v>
      </c>
      <c r="AQ2292" s="3" t="s">
        <v>136</v>
      </c>
      <c r="AR2292" s="11"/>
    </row>
    <row r="2293" spans="1:55">
      <c r="A2293">
        <v>41028</v>
      </c>
      <c r="B2293" t="s">
        <v>7297</v>
      </c>
      <c r="C2293" t="s">
        <v>1051</v>
      </c>
      <c r="D2293">
        <v>1</v>
      </c>
      <c r="E2293">
        <v>0</v>
      </c>
      <c r="G2293">
        <v>1</v>
      </c>
      <c r="H2293" s="168" t="s">
        <v>1052</v>
      </c>
      <c r="I2293">
        <v>4.33333333333333</v>
      </c>
      <c r="J2293">
        <v>4.33333333333333</v>
      </c>
      <c r="K2293">
        <v>0.8</v>
      </c>
      <c r="L2293">
        <f t="shared" si="224"/>
        <v>1</v>
      </c>
      <c r="M2293">
        <f t="shared" ref="M2293:M2295" si="226">I2293-0.4</f>
        <v>3.93333333333333</v>
      </c>
      <c r="N2293" s="105" t="s">
        <v>7298</v>
      </c>
      <c r="O2293">
        <v>1</v>
      </c>
      <c r="P2293">
        <v>5</v>
      </c>
      <c r="Q2293">
        <v>0</v>
      </c>
      <c r="S2293">
        <v>-1.5</v>
      </c>
      <c r="U2293">
        <v>0.8</v>
      </c>
      <c r="V2293">
        <v>1</v>
      </c>
      <c r="W2293">
        <v>102</v>
      </c>
      <c r="X2293" s="7">
        <v>11</v>
      </c>
      <c r="Y2293">
        <v>-0.1</v>
      </c>
      <c r="Z2293">
        <v>0</v>
      </c>
      <c r="AD2293">
        <v>0</v>
      </c>
      <c r="AF2293">
        <f t="shared" si="225"/>
        <v>0</v>
      </c>
      <c r="AN2293" s="8">
        <v>486</v>
      </c>
      <c r="AO2293" t="s">
        <v>136</v>
      </c>
      <c r="BC2293" t="s">
        <v>1054</v>
      </c>
    </row>
    <row r="2294" spans="1:44">
      <c r="A2294">
        <v>41029</v>
      </c>
      <c r="B2294" t="s">
        <v>7299</v>
      </c>
      <c r="C2294" s="6" t="s">
        <v>7300</v>
      </c>
      <c r="D2294">
        <v>1</v>
      </c>
      <c r="E2294">
        <v>0</v>
      </c>
      <c r="F2294" s="3"/>
      <c r="G2294" s="3"/>
      <c r="H2294" s="228" t="s">
        <v>1470</v>
      </c>
      <c r="I2294" s="3">
        <v>1.83333333333333</v>
      </c>
      <c r="J2294" s="3">
        <v>1.83333333333333</v>
      </c>
      <c r="K2294" s="3"/>
      <c r="L2294">
        <v>1</v>
      </c>
      <c r="M2294">
        <f t="shared" si="226"/>
        <v>1.43333333333333</v>
      </c>
      <c r="N2294" s="3" t="s">
        <v>7301</v>
      </c>
      <c r="O2294">
        <v>1</v>
      </c>
      <c r="P2294">
        <v>1.2</v>
      </c>
      <c r="Q2294">
        <v>0</v>
      </c>
      <c r="S2294">
        <v>0</v>
      </c>
      <c r="T2294">
        <v>0.8</v>
      </c>
      <c r="U2294">
        <v>0.8</v>
      </c>
      <c r="V2294">
        <v>1</v>
      </c>
      <c r="W2294">
        <v>102</v>
      </c>
      <c r="X2294" s="7">
        <v>1</v>
      </c>
      <c r="Y2294">
        <v>-0.1</v>
      </c>
      <c r="Z2294">
        <v>0</v>
      </c>
      <c r="AF2294">
        <f t="shared" si="225"/>
        <v>0</v>
      </c>
      <c r="AP2294" s="9">
        <v>806</v>
      </c>
      <c r="AQ2294" s="3" t="s">
        <v>136</v>
      </c>
      <c r="AR2294" s="11"/>
    </row>
    <row r="2295" spans="1:48">
      <c r="A2295">
        <v>41030</v>
      </c>
      <c r="B2295" t="s">
        <v>7302</v>
      </c>
      <c r="C2295" s="6" t="s">
        <v>1518</v>
      </c>
      <c r="D2295">
        <v>2</v>
      </c>
      <c r="E2295" s="4">
        <v>1</v>
      </c>
      <c r="F2295" s="3"/>
      <c r="G2295" s="3">
        <v>1</v>
      </c>
      <c r="H2295" s="5" t="s">
        <v>1519</v>
      </c>
      <c r="I2295">
        <v>2</v>
      </c>
      <c r="J2295">
        <v>2</v>
      </c>
      <c r="K2295" s="3"/>
      <c r="L2295" s="3">
        <v>0</v>
      </c>
      <c r="M2295">
        <f t="shared" si="226"/>
        <v>1.6</v>
      </c>
      <c r="N2295" s="3" t="s">
        <v>7303</v>
      </c>
      <c r="O2295">
        <v>5</v>
      </c>
      <c r="P2295">
        <v>0</v>
      </c>
      <c r="Q2295">
        <v>2</v>
      </c>
      <c r="S2295">
        <v>1</v>
      </c>
      <c r="V2295">
        <v>1000</v>
      </c>
      <c r="W2295">
        <v>0</v>
      </c>
      <c r="X2295" s="7">
        <v>0</v>
      </c>
      <c r="Y2295">
        <v>-0.1</v>
      </c>
      <c r="Z2295">
        <v>0</v>
      </c>
      <c r="AF2295">
        <v>0</v>
      </c>
      <c r="AP2295" s="8">
        <v>1020</v>
      </c>
      <c r="AQ2295" s="3" t="s">
        <v>136</v>
      </c>
      <c r="AR2295" s="11"/>
      <c r="AV2295" s="4"/>
    </row>
    <row r="2296" spans="1:44">
      <c r="A2296">
        <v>41031</v>
      </c>
      <c r="B2296" t="s">
        <v>7304</v>
      </c>
      <c r="C2296" s="3" t="s">
        <v>7305</v>
      </c>
      <c r="D2296">
        <v>1</v>
      </c>
      <c r="E2296">
        <v>0</v>
      </c>
      <c r="F2296" s="3">
        <v>5</v>
      </c>
      <c r="G2296" s="3">
        <v>1</v>
      </c>
      <c r="H2296" s="11" t="s">
        <v>1699</v>
      </c>
      <c r="I2296">
        <v>2.3</v>
      </c>
      <c r="J2296">
        <v>2.3</v>
      </c>
      <c r="K2296" s="3"/>
      <c r="L2296">
        <v>1</v>
      </c>
      <c r="M2296">
        <v>1.9</v>
      </c>
      <c r="N2296" s="3" t="s">
        <v>1700</v>
      </c>
      <c r="O2296">
        <v>1</v>
      </c>
      <c r="P2296">
        <v>1.5</v>
      </c>
      <c r="Q2296">
        <v>0</v>
      </c>
      <c r="S2296">
        <v>1</v>
      </c>
      <c r="U2296">
        <v>0.8</v>
      </c>
      <c r="V2296">
        <v>1</v>
      </c>
      <c r="W2296">
        <v>102</v>
      </c>
      <c r="X2296" s="7">
        <v>1</v>
      </c>
      <c r="Y2296">
        <v>0.5</v>
      </c>
      <c r="Z2296">
        <v>0</v>
      </c>
      <c r="AN2296" s="8">
        <v>1225</v>
      </c>
      <c r="AO2296" t="s">
        <v>690</v>
      </c>
      <c r="AP2296" s="10">
        <v>1213</v>
      </c>
      <c r="AQ2296" t="s">
        <v>136</v>
      </c>
      <c r="AR2296" s="11"/>
    </row>
    <row r="2297" spans="1:44">
      <c r="A2297">
        <v>41032</v>
      </c>
      <c r="B2297" t="s">
        <v>7306</v>
      </c>
      <c r="C2297" s="3" t="s">
        <v>1819</v>
      </c>
      <c r="D2297">
        <v>1</v>
      </c>
      <c r="E2297">
        <v>0</v>
      </c>
      <c r="F2297" s="3"/>
      <c r="G2297" s="3">
        <v>1</v>
      </c>
      <c r="H2297" s="5" t="s">
        <v>1820</v>
      </c>
      <c r="I2297">
        <f>90/30</f>
        <v>3</v>
      </c>
      <c r="J2297">
        <f>90/30</f>
        <v>3</v>
      </c>
      <c r="K2297" s="3"/>
      <c r="L2297">
        <v>0</v>
      </c>
      <c r="M2297">
        <f>I2297-0.4</f>
        <v>2.6</v>
      </c>
      <c r="N2297" s="3" t="s">
        <v>7307</v>
      </c>
      <c r="O2297">
        <v>1</v>
      </c>
      <c r="P2297">
        <v>2.2</v>
      </c>
      <c r="Q2297">
        <v>0</v>
      </c>
      <c r="R2297">
        <v>1</v>
      </c>
      <c r="S2297">
        <v>1.2</v>
      </c>
      <c r="U2297">
        <v>0.8</v>
      </c>
      <c r="V2297">
        <v>1</v>
      </c>
      <c r="W2297">
        <v>0</v>
      </c>
      <c r="X2297" s="7">
        <v>1</v>
      </c>
      <c r="Y2297">
        <v>-0.1</v>
      </c>
      <c r="Z2297">
        <v>0</v>
      </c>
      <c r="AN2297" s="8">
        <v>1509</v>
      </c>
      <c r="AO2297" t="s">
        <v>1809</v>
      </c>
      <c r="AP2297" s="10">
        <v>1479</v>
      </c>
      <c r="AQ2297" s="3" t="s">
        <v>136</v>
      </c>
      <c r="AR2297" s="11"/>
    </row>
    <row r="2298" spans="1:43">
      <c r="A2298">
        <v>41033</v>
      </c>
      <c r="B2298" t="s">
        <v>7308</v>
      </c>
      <c r="C2298" s="3" t="s">
        <v>7309</v>
      </c>
      <c r="D2298">
        <v>1</v>
      </c>
      <c r="E2298">
        <v>0</v>
      </c>
      <c r="G2298">
        <v>1</v>
      </c>
      <c r="H2298" s="5" t="s">
        <v>1204</v>
      </c>
      <c r="I2298" s="118">
        <v>3</v>
      </c>
      <c r="J2298" s="118">
        <v>3</v>
      </c>
      <c r="L2298">
        <f>IF(X2298&gt;4,1,0)</f>
        <v>1</v>
      </c>
      <c r="M2298">
        <f>I2298-0.4</f>
        <v>2.6</v>
      </c>
      <c r="N2298" t="s">
        <v>7310</v>
      </c>
      <c r="O2298">
        <v>1</v>
      </c>
      <c r="P2298">
        <v>2</v>
      </c>
      <c r="Q2298">
        <v>0</v>
      </c>
      <c r="S2298">
        <v>-1.5</v>
      </c>
      <c r="U2298">
        <v>0.8</v>
      </c>
      <c r="V2298">
        <v>1</v>
      </c>
      <c r="W2298">
        <v>102</v>
      </c>
      <c r="X2298" s="7">
        <v>5</v>
      </c>
      <c r="Y2298">
        <v>-0.1</v>
      </c>
      <c r="Z2298" s="108">
        <v>0</v>
      </c>
      <c r="AF2298">
        <f>IF(AD2298=--1,0.5,0)</f>
        <v>0</v>
      </c>
      <c r="AN2298" s="8">
        <v>499</v>
      </c>
      <c r="AO2298" t="s">
        <v>1206</v>
      </c>
      <c r="AP2298">
        <v>498</v>
      </c>
      <c r="AQ2298" t="s">
        <v>136</v>
      </c>
    </row>
    <row r="2299" spans="1:48">
      <c r="A2299">
        <v>41034</v>
      </c>
      <c r="B2299" t="s">
        <v>7311</v>
      </c>
      <c r="C2299" s="6" t="s">
        <v>7312</v>
      </c>
      <c r="D2299">
        <v>1</v>
      </c>
      <c r="E2299" s="4">
        <v>0</v>
      </c>
      <c r="F2299" s="3"/>
      <c r="G2299" s="3">
        <v>1</v>
      </c>
      <c r="H2299" s="11" t="s">
        <v>1583</v>
      </c>
      <c r="I2299">
        <v>5.33333333333333</v>
      </c>
      <c r="J2299">
        <v>5.33333333333333</v>
      </c>
      <c r="K2299" s="3"/>
      <c r="L2299" s="3">
        <v>1</v>
      </c>
      <c r="M2299">
        <v>4.93333333333333</v>
      </c>
      <c r="N2299" s="3" t="s">
        <v>1584</v>
      </c>
      <c r="O2299">
        <v>1</v>
      </c>
      <c r="P2299">
        <v>1.8</v>
      </c>
      <c r="Q2299">
        <v>0</v>
      </c>
      <c r="S2299">
        <v>-0.8</v>
      </c>
      <c r="U2299">
        <v>0.5</v>
      </c>
      <c r="V2299">
        <v>6</v>
      </c>
      <c r="W2299">
        <v>102</v>
      </c>
      <c r="X2299" s="7">
        <v>9</v>
      </c>
      <c r="Y2299">
        <v>-0.1</v>
      </c>
      <c r="Z2299">
        <v>0</v>
      </c>
      <c r="AP2299" s="10">
        <v>1123</v>
      </c>
      <c r="AQ2299" s="3" t="s">
        <v>136</v>
      </c>
      <c r="AR2299" s="11"/>
      <c r="AV2299" s="4"/>
    </row>
    <row r="2300" spans="1:48">
      <c r="A2300">
        <v>41035</v>
      </c>
      <c r="B2300" t="s">
        <v>7313</v>
      </c>
      <c r="C2300" s="6" t="s">
        <v>7314</v>
      </c>
      <c r="D2300">
        <v>2</v>
      </c>
      <c r="E2300" s="4">
        <v>1</v>
      </c>
      <c r="F2300" s="3"/>
      <c r="G2300" s="3">
        <v>1</v>
      </c>
      <c r="H2300" s="11">
        <v>5706</v>
      </c>
      <c r="I2300">
        <v>1.83333333333333</v>
      </c>
      <c r="J2300">
        <v>1.83333333333333</v>
      </c>
      <c r="K2300" s="3"/>
      <c r="L2300" s="7">
        <v>0</v>
      </c>
      <c r="M2300">
        <v>1.43333333333333</v>
      </c>
      <c r="N2300" s="3" t="s">
        <v>1605</v>
      </c>
      <c r="O2300">
        <v>1</v>
      </c>
      <c r="P2300">
        <v>1.8</v>
      </c>
      <c r="Q2300">
        <v>0</v>
      </c>
      <c r="S2300">
        <v>1</v>
      </c>
      <c r="U2300">
        <v>0.8</v>
      </c>
      <c r="V2300">
        <v>1</v>
      </c>
      <c r="W2300">
        <v>0</v>
      </c>
      <c r="X2300" s="7" t="s">
        <v>302</v>
      </c>
      <c r="Y2300">
        <v>-0.1</v>
      </c>
      <c r="Z2300">
        <v>0</v>
      </c>
      <c r="AP2300" s="10">
        <v>1115</v>
      </c>
      <c r="AQ2300" s="3" t="s">
        <v>136</v>
      </c>
      <c r="AR2300" s="11"/>
      <c r="AV2300" s="4"/>
    </row>
    <row r="2301" spans="1:44">
      <c r="A2301">
        <v>41036</v>
      </c>
      <c r="B2301" t="s">
        <v>7315</v>
      </c>
      <c r="C2301" s="3" t="s">
        <v>7316</v>
      </c>
      <c r="D2301">
        <v>1</v>
      </c>
      <c r="E2301">
        <v>0</v>
      </c>
      <c r="F2301" s="3"/>
      <c r="G2301" s="3">
        <v>1</v>
      </c>
      <c r="H2301" s="11" t="s">
        <v>1675</v>
      </c>
      <c r="I2301">
        <v>3.33333333333333</v>
      </c>
      <c r="J2301">
        <v>3.33333333333333</v>
      </c>
      <c r="K2301" s="3"/>
      <c r="L2301">
        <v>1</v>
      </c>
      <c r="M2301">
        <v>2.93333333333333</v>
      </c>
      <c r="N2301" s="3" t="s">
        <v>1676</v>
      </c>
      <c r="O2301">
        <v>1</v>
      </c>
      <c r="P2301">
        <v>1.5</v>
      </c>
      <c r="Q2301">
        <v>0</v>
      </c>
      <c r="S2301">
        <v>0.8</v>
      </c>
      <c r="T2301">
        <v>0.8</v>
      </c>
      <c r="U2301">
        <v>0.8</v>
      </c>
      <c r="V2301">
        <v>6</v>
      </c>
      <c r="W2301">
        <v>0</v>
      </c>
      <c r="X2301" s="7">
        <v>3</v>
      </c>
      <c r="Y2301">
        <v>-0.1</v>
      </c>
      <c r="Z2301">
        <v>0</v>
      </c>
      <c r="AP2301" s="10">
        <v>1175</v>
      </c>
      <c r="AQ2301" t="s">
        <v>136</v>
      </c>
      <c r="AR2301" s="11"/>
    </row>
    <row r="2302" spans="1:44">
      <c r="A2302">
        <v>41037</v>
      </c>
      <c r="B2302" t="s">
        <v>7317</v>
      </c>
      <c r="C2302" s="3" t="s">
        <v>7318</v>
      </c>
      <c r="D2302">
        <v>1</v>
      </c>
      <c r="E2302">
        <v>0</v>
      </c>
      <c r="F2302" s="3"/>
      <c r="G2302" s="3">
        <v>1</v>
      </c>
      <c r="H2302" s="5" t="s">
        <v>1845</v>
      </c>
      <c r="I2302">
        <f>130/30</f>
        <v>4.33333333333333</v>
      </c>
      <c r="J2302">
        <f>130/30</f>
        <v>4.33333333333333</v>
      </c>
      <c r="K2302" s="3"/>
      <c r="L2302">
        <v>1</v>
      </c>
      <c r="M2302">
        <v>3.93333333333333</v>
      </c>
      <c r="N2302" s="3" t="s">
        <v>1846</v>
      </c>
      <c r="O2302">
        <v>1</v>
      </c>
      <c r="P2302">
        <v>3</v>
      </c>
      <c r="Q2302">
        <v>0</v>
      </c>
      <c r="S2302">
        <v>1.2</v>
      </c>
      <c r="T2302">
        <v>-0.4</v>
      </c>
      <c r="U2302">
        <v>0.8</v>
      </c>
      <c r="V2302">
        <v>1</v>
      </c>
      <c r="W2302">
        <v>102</v>
      </c>
      <c r="X2302" s="7">
        <v>4</v>
      </c>
      <c r="Y2302">
        <v>-0.1</v>
      </c>
      <c r="Z2302">
        <v>0</v>
      </c>
      <c r="AN2302" s="8">
        <v>1611</v>
      </c>
      <c r="AO2302" t="s">
        <v>1837</v>
      </c>
      <c r="AP2302" s="10">
        <v>1518</v>
      </c>
      <c r="AQ2302" s="3" t="s">
        <v>136</v>
      </c>
      <c r="AR2302" s="11"/>
    </row>
    <row r="2303" spans="1:43">
      <c r="A2303">
        <v>41038</v>
      </c>
      <c r="B2303" t="s">
        <v>7319</v>
      </c>
      <c r="C2303" t="s">
        <v>667</v>
      </c>
      <c r="D2303">
        <v>1</v>
      </c>
      <c r="E2303">
        <v>0</v>
      </c>
      <c r="G2303">
        <v>1</v>
      </c>
      <c r="H2303" s="93" t="s">
        <v>668</v>
      </c>
      <c r="I2303">
        <v>2.06666666666667</v>
      </c>
      <c r="J2303" s="118">
        <v>2.06666666666667</v>
      </c>
      <c r="L2303">
        <f t="shared" ref="L2303:L2304" si="227">IF(X2303&gt;4,1,0)</f>
        <v>0</v>
      </c>
      <c r="M2303">
        <f>I2303-0.4</f>
        <v>1.66666666666667</v>
      </c>
      <c r="N2303" t="s">
        <v>7320</v>
      </c>
      <c r="O2303" s="108">
        <v>1</v>
      </c>
      <c r="P2303">
        <v>1.6</v>
      </c>
      <c r="Q2303" s="108">
        <v>0</v>
      </c>
      <c r="R2303" s="108"/>
      <c r="S2303">
        <v>0</v>
      </c>
      <c r="T2303">
        <v>2</v>
      </c>
      <c r="V2303" s="108">
        <v>6</v>
      </c>
      <c r="W2303">
        <v>0</v>
      </c>
      <c r="X2303" s="7">
        <v>1</v>
      </c>
      <c r="Y2303">
        <v>-0.1</v>
      </c>
      <c r="Z2303" s="108">
        <v>0</v>
      </c>
      <c r="AA2303" s="108"/>
      <c r="AB2303" s="108"/>
      <c r="AC2303" s="108"/>
      <c r="AD2303" s="108">
        <v>0</v>
      </c>
      <c r="AF2303">
        <f t="shared" ref="AF2303:AF2304" si="228">IF(AD2303=--1,0.5,0)</f>
        <v>0</v>
      </c>
      <c r="AN2303" s="10"/>
      <c r="AO2303" s="177"/>
      <c r="AP2303">
        <v>863</v>
      </c>
      <c r="AQ2303" t="s">
        <v>136</v>
      </c>
    </row>
    <row r="2304" spans="1:44">
      <c r="A2304">
        <v>41039</v>
      </c>
      <c r="B2304" t="s">
        <v>7321</v>
      </c>
      <c r="C2304" t="s">
        <v>1421</v>
      </c>
      <c r="D2304">
        <v>1</v>
      </c>
      <c r="E2304">
        <v>0</v>
      </c>
      <c r="G2304">
        <v>2</v>
      </c>
      <c r="H2304" s="5" t="s">
        <v>1422</v>
      </c>
      <c r="I2304">
        <v>2.5</v>
      </c>
      <c r="J2304">
        <v>2.5</v>
      </c>
      <c r="L2304">
        <f t="shared" si="227"/>
        <v>0</v>
      </c>
      <c r="M2304">
        <f>I2304-0.4</f>
        <v>2.1</v>
      </c>
      <c r="N2304" t="s">
        <v>7213</v>
      </c>
      <c r="O2304" s="108">
        <v>2</v>
      </c>
      <c r="P2304">
        <v>0</v>
      </c>
      <c r="Q2304" s="108">
        <v>0</v>
      </c>
      <c r="R2304" s="108"/>
      <c r="V2304" s="108">
        <v>2</v>
      </c>
      <c r="W2304">
        <v>0</v>
      </c>
      <c r="X2304" s="7">
        <v>1</v>
      </c>
      <c r="Y2304">
        <v>-0.1</v>
      </c>
      <c r="Z2304" s="108">
        <v>0</v>
      </c>
      <c r="AA2304" s="108"/>
      <c r="AB2304" s="108"/>
      <c r="AC2304" s="108"/>
      <c r="AD2304" s="108"/>
      <c r="AF2304">
        <f t="shared" si="228"/>
        <v>0</v>
      </c>
      <c r="AN2304" s="8" t="s">
        <v>1424</v>
      </c>
      <c r="AO2304" t="s">
        <v>1425</v>
      </c>
      <c r="AP2304" s="8"/>
      <c r="AR2304" s="11"/>
    </row>
    <row r="2305" spans="1:43">
      <c r="A2305">
        <v>41040</v>
      </c>
      <c r="B2305" s="28" t="s">
        <v>7322</v>
      </c>
      <c r="C2305" t="s">
        <v>642</v>
      </c>
      <c r="D2305">
        <v>1</v>
      </c>
      <c r="E2305">
        <v>0</v>
      </c>
      <c r="G2305">
        <v>2</v>
      </c>
      <c r="H2305" s="94" t="s">
        <v>643</v>
      </c>
      <c r="I2305">
        <v>3.16666666666667</v>
      </c>
      <c r="J2305">
        <v>3.16666666666667</v>
      </c>
      <c r="L2305">
        <v>0</v>
      </c>
      <c r="M2305">
        <v>2.76666666666667</v>
      </c>
      <c r="N2305" t="s">
        <v>7323</v>
      </c>
      <c r="O2305" s="108">
        <v>1</v>
      </c>
      <c r="P2305">
        <v>5</v>
      </c>
      <c r="Q2305" s="108">
        <v>0</v>
      </c>
      <c r="R2305" s="108"/>
      <c r="S2305">
        <v>-0.3</v>
      </c>
      <c r="U2305">
        <v>1.2</v>
      </c>
      <c r="V2305" s="108">
        <v>1</v>
      </c>
      <c r="W2305">
        <v>5</v>
      </c>
      <c r="X2305" s="7">
        <v>3</v>
      </c>
      <c r="Y2305">
        <v>-0.1</v>
      </c>
      <c r="Z2305" s="108">
        <v>0</v>
      </c>
      <c r="AA2305" s="108"/>
      <c r="AB2305" s="108"/>
      <c r="AC2305" s="108"/>
      <c r="AD2305" s="108">
        <v>0</v>
      </c>
      <c r="AE2305" s="15"/>
      <c r="AF2305">
        <v>0</v>
      </c>
      <c r="AP2305" s="10">
        <v>151</v>
      </c>
      <c r="AQ2305" t="s">
        <v>136</v>
      </c>
    </row>
    <row r="2306" spans="1:44">
      <c r="A2306">
        <v>41041</v>
      </c>
      <c r="B2306" t="s">
        <v>7324</v>
      </c>
      <c r="C2306" s="3" t="s">
        <v>1723</v>
      </c>
      <c r="D2306">
        <v>1</v>
      </c>
      <c r="E2306">
        <v>0</v>
      </c>
      <c r="F2306" s="3"/>
      <c r="G2306" s="3">
        <v>1</v>
      </c>
      <c r="H2306" s="5" t="s">
        <v>1724</v>
      </c>
      <c r="I2306">
        <v>1.83333333333333</v>
      </c>
      <c r="J2306">
        <v>1.83333333333333</v>
      </c>
      <c r="K2306" s="3"/>
      <c r="L2306">
        <v>1</v>
      </c>
      <c r="M2306">
        <f>I2306-0.4</f>
        <v>1.43333333333333</v>
      </c>
      <c r="N2306" s="3" t="s">
        <v>1725</v>
      </c>
      <c r="O2306">
        <v>1</v>
      </c>
      <c r="P2306">
        <v>3</v>
      </c>
      <c r="Q2306">
        <v>0</v>
      </c>
      <c r="V2306">
        <v>1</v>
      </c>
      <c r="W2306">
        <v>0</v>
      </c>
      <c r="X2306" s="7">
        <v>3</v>
      </c>
      <c r="Y2306">
        <v>-0.1</v>
      </c>
      <c r="Z2306">
        <v>0</v>
      </c>
      <c r="AN2306" s="10">
        <v>1337</v>
      </c>
      <c r="AO2306" t="s">
        <v>1726</v>
      </c>
      <c r="AR2306" s="11"/>
    </row>
    <row r="2307" ht="16.5" spans="1:44">
      <c r="A2307">
        <v>41042</v>
      </c>
      <c r="B2307" t="s">
        <v>7325</v>
      </c>
      <c r="C2307" s="3" t="s">
        <v>1931</v>
      </c>
      <c r="D2307">
        <v>1</v>
      </c>
      <c r="E2307">
        <v>0</v>
      </c>
      <c r="F2307" s="3"/>
      <c r="G2307" s="3">
        <v>1</v>
      </c>
      <c r="H2307" s="5" t="s">
        <v>1932</v>
      </c>
      <c r="I2307">
        <f>73/30</f>
        <v>2.43333333333333</v>
      </c>
      <c r="J2307">
        <f>73/30</f>
        <v>2.43333333333333</v>
      </c>
      <c r="K2307" s="3"/>
      <c r="L2307">
        <v>1</v>
      </c>
      <c r="M2307">
        <f>I2307-0.4</f>
        <v>2.03333333333333</v>
      </c>
      <c r="N2307" s="3" t="s">
        <v>1933</v>
      </c>
      <c r="O2307">
        <v>1</v>
      </c>
      <c r="P2307">
        <v>2</v>
      </c>
      <c r="Q2307">
        <v>0</v>
      </c>
      <c r="R2307">
        <v>1</v>
      </c>
      <c r="S2307">
        <v>0.3</v>
      </c>
      <c r="U2307">
        <v>0.6</v>
      </c>
      <c r="V2307">
        <v>6</v>
      </c>
      <c r="W2307">
        <v>5</v>
      </c>
      <c r="X2307" s="7">
        <v>3</v>
      </c>
      <c r="Y2307">
        <v>-0.1</v>
      </c>
      <c r="Z2307">
        <v>0</v>
      </c>
      <c r="AP2307" s="267">
        <v>1587</v>
      </c>
      <c r="AQ2307" s="3" t="s">
        <v>136</v>
      </c>
      <c r="AR2307" s="11"/>
    </row>
    <row r="2308" spans="1:55">
      <c r="A2308">
        <v>41043</v>
      </c>
      <c r="B2308" t="s">
        <v>924</v>
      </c>
      <c r="C2308" t="s">
        <v>945</v>
      </c>
      <c r="D2308">
        <v>1</v>
      </c>
      <c r="E2308">
        <v>0</v>
      </c>
      <c r="G2308">
        <v>2</v>
      </c>
      <c r="H2308" s="82" t="s">
        <v>946</v>
      </c>
      <c r="I2308">
        <v>2</v>
      </c>
      <c r="J2308">
        <v>2</v>
      </c>
      <c r="L2308">
        <v>0</v>
      </c>
      <c r="M2308">
        <f>I2308-0.4</f>
        <v>1.6</v>
      </c>
      <c r="N2308" s="104" t="s">
        <v>6209</v>
      </c>
      <c r="O2308">
        <v>1</v>
      </c>
      <c r="P2308">
        <v>5</v>
      </c>
      <c r="Q2308">
        <v>0</v>
      </c>
      <c r="S2308">
        <v>-1.5</v>
      </c>
      <c r="U2308">
        <v>0.8</v>
      </c>
      <c r="V2308">
        <v>1</v>
      </c>
      <c r="W2308">
        <v>5</v>
      </c>
      <c r="X2308" s="7">
        <v>3</v>
      </c>
      <c r="Y2308">
        <v>-0.1</v>
      </c>
      <c r="Z2308">
        <v>0</v>
      </c>
      <c r="AD2308">
        <v>0</v>
      </c>
      <c r="AF2308">
        <f>IF(AD2308=--1,0.5,0)</f>
        <v>0</v>
      </c>
      <c r="AN2308" s="8">
        <v>354</v>
      </c>
      <c r="AO2308" t="s">
        <v>136</v>
      </c>
      <c r="BC2308" t="s">
        <v>948</v>
      </c>
    </row>
    <row r="2309" s="45" customFormat="1" ht="16.5" spans="1:44">
      <c r="A2309" s="369">
        <v>41044</v>
      </c>
      <c r="B2309" s="370" t="s">
        <v>7326</v>
      </c>
      <c r="C2309" s="370" t="s">
        <v>2764</v>
      </c>
      <c r="D2309" s="45">
        <v>1</v>
      </c>
      <c r="E2309" s="45">
        <v>0</v>
      </c>
      <c r="G2309" s="45">
        <v>1</v>
      </c>
      <c r="H2309" s="5" t="s">
        <v>2765</v>
      </c>
      <c r="I2309" s="45">
        <f>268/30</f>
        <v>8.93333333333333</v>
      </c>
      <c r="J2309" s="45">
        <f>268/30</f>
        <v>8.93333333333333</v>
      </c>
      <c r="L2309" s="45">
        <v>1</v>
      </c>
      <c r="M2309" s="17">
        <f>I2309-0.4</f>
        <v>8.53333333333333</v>
      </c>
      <c r="N2309" s="45" t="s">
        <v>2766</v>
      </c>
      <c r="O2309" s="45">
        <v>1</v>
      </c>
      <c r="P2309" s="369">
        <v>18</v>
      </c>
      <c r="Q2309" s="45">
        <v>0</v>
      </c>
      <c r="V2309" s="45">
        <v>1</v>
      </c>
      <c r="W2309" s="369">
        <v>6</v>
      </c>
      <c r="X2309" s="379">
        <v>3</v>
      </c>
      <c r="Y2309" s="45">
        <v>-0.1</v>
      </c>
      <c r="Z2309" s="45">
        <v>0</v>
      </c>
      <c r="AB2309" s="41">
        <f>I2309-0.3</f>
        <v>8.63333333333333</v>
      </c>
      <c r="AC2309" s="45">
        <v>2</v>
      </c>
      <c r="AD2309" s="45">
        <v>1</v>
      </c>
      <c r="AE2309" s="384" t="s">
        <v>2767</v>
      </c>
      <c r="AF2309" s="45">
        <v>0.5</v>
      </c>
      <c r="AG2309" s="757" t="s">
        <v>2768</v>
      </c>
      <c r="AN2309" s="386"/>
      <c r="AP2309" s="390">
        <v>2753</v>
      </c>
      <c r="AQ2309" s="45" t="s">
        <v>136</v>
      </c>
      <c r="AR2309" s="391"/>
    </row>
    <row r="2310" s="81" customFormat="1" spans="1:43">
      <c r="A2310" s="516">
        <v>41045</v>
      </c>
      <c r="B2310" s="81" t="s">
        <v>3946</v>
      </c>
      <c r="C2310" s="81" t="s">
        <v>3947</v>
      </c>
      <c r="D2310" s="81">
        <v>1</v>
      </c>
      <c r="E2310" s="81">
        <v>0</v>
      </c>
      <c r="G2310" s="81">
        <v>1</v>
      </c>
      <c r="H2310" s="200" t="s">
        <v>7327</v>
      </c>
      <c r="I2310" s="81">
        <v>3.06666666666667</v>
      </c>
      <c r="J2310" s="81">
        <v>3.06666666666667</v>
      </c>
      <c r="L2310" s="81">
        <v>0</v>
      </c>
      <c r="M2310" s="27">
        <v>2.66666666666667</v>
      </c>
      <c r="N2310" s="81" t="s">
        <v>3948</v>
      </c>
      <c r="O2310" s="81">
        <v>1</v>
      </c>
      <c r="P2310" s="27">
        <v>2.1</v>
      </c>
      <c r="Q2310" s="81">
        <v>0</v>
      </c>
      <c r="V2310" s="81">
        <v>1</v>
      </c>
      <c r="W2310" s="81">
        <v>0</v>
      </c>
      <c r="X2310" s="748">
        <v>1</v>
      </c>
      <c r="Y2310" s="81">
        <v>0.1</v>
      </c>
      <c r="Z2310" s="81">
        <v>0</v>
      </c>
      <c r="AN2310" s="220"/>
      <c r="AP2310" s="81">
        <v>4153</v>
      </c>
      <c r="AQ2310" s="81" t="s">
        <v>136</v>
      </c>
    </row>
    <row r="2311" s="81" customFormat="1" spans="1:43">
      <c r="A2311" s="516">
        <v>41046</v>
      </c>
      <c r="B2311" s="81" t="s">
        <v>3946</v>
      </c>
      <c r="C2311" s="81" t="s">
        <v>3954</v>
      </c>
      <c r="D2311" s="81">
        <v>1</v>
      </c>
      <c r="E2311" s="81">
        <v>0</v>
      </c>
      <c r="G2311" s="81">
        <v>1</v>
      </c>
      <c r="H2311" s="200" t="s">
        <v>7328</v>
      </c>
      <c r="I2311" s="81">
        <v>3.4</v>
      </c>
      <c r="J2311" s="81">
        <v>3.4</v>
      </c>
      <c r="L2311" s="81">
        <v>1</v>
      </c>
      <c r="M2311" s="27">
        <v>3</v>
      </c>
      <c r="N2311" s="81" t="s">
        <v>3955</v>
      </c>
      <c r="O2311" s="81">
        <v>1</v>
      </c>
      <c r="P2311" s="27">
        <v>2.1</v>
      </c>
      <c r="Q2311" s="81">
        <v>0</v>
      </c>
      <c r="V2311" s="81">
        <v>1</v>
      </c>
      <c r="W2311" s="81">
        <v>0</v>
      </c>
      <c r="X2311" s="748">
        <v>1</v>
      </c>
      <c r="Y2311" s="81">
        <v>0.1</v>
      </c>
      <c r="Z2311" s="81">
        <v>0</v>
      </c>
      <c r="AN2311" s="220"/>
      <c r="AP2311" s="81">
        <v>4161</v>
      </c>
      <c r="AQ2311" s="81" t="s">
        <v>136</v>
      </c>
    </row>
    <row r="2312" s="81" customFormat="1" spans="1:47">
      <c r="A2312" s="516">
        <v>41047</v>
      </c>
      <c r="B2312" s="81" t="s">
        <v>3946</v>
      </c>
      <c r="C2312" s="81" t="s">
        <v>3961</v>
      </c>
      <c r="D2312" s="81">
        <v>1</v>
      </c>
      <c r="E2312" s="81">
        <v>0</v>
      </c>
      <c r="G2312" s="81">
        <v>1</v>
      </c>
      <c r="H2312" s="200" t="s">
        <v>7329</v>
      </c>
      <c r="I2312" s="81">
        <v>15</v>
      </c>
      <c r="J2312" s="81">
        <v>15</v>
      </c>
      <c r="L2312" s="81">
        <v>1</v>
      </c>
      <c r="M2312" s="27">
        <v>14.6</v>
      </c>
      <c r="N2312" s="81" t="s">
        <v>3962</v>
      </c>
      <c r="O2312" s="81">
        <v>3</v>
      </c>
      <c r="P2312" s="27">
        <v>-75</v>
      </c>
      <c r="Q2312" s="81">
        <v>0</v>
      </c>
      <c r="V2312" s="81">
        <v>1</v>
      </c>
      <c r="W2312" s="81">
        <v>6</v>
      </c>
      <c r="X2312" s="748">
        <v>1</v>
      </c>
      <c r="Y2312" s="81">
        <v>0.1</v>
      </c>
      <c r="Z2312" s="81">
        <v>0</v>
      </c>
      <c r="AB2312" s="27">
        <v>14.6</v>
      </c>
      <c r="AC2312" s="81">
        <v>2</v>
      </c>
      <c r="AD2312" s="81">
        <v>1</v>
      </c>
      <c r="AE2312" s="81" t="s">
        <v>3963</v>
      </c>
      <c r="AF2312" s="81">
        <v>0.5</v>
      </c>
      <c r="AN2312" s="220"/>
      <c r="AP2312" s="81">
        <v>4167</v>
      </c>
      <c r="AQ2312" s="81" t="s">
        <v>136</v>
      </c>
      <c r="AS2312" s="27" t="s">
        <v>3964</v>
      </c>
      <c r="AU2312" s="81">
        <v>1</v>
      </c>
    </row>
  </sheetData>
  <autoFilter ref="A6:BC2312">
    <sortState ref="A6:BC2312">
      <sortCondition ref="A6:A686"/>
    </sortState>
    <extLst>
      <etc:autoFilterAnalysis etc:version="v1" etc:showPane="0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mergeCells count="2">
    <mergeCell ref="AN2:AO2"/>
    <mergeCell ref="AP2:AQ2"/>
  </mergeCells>
  <conditionalFormatting sqref="AO334">
    <cfRule type="duplicateValues" dxfId="0" priority="51"/>
  </conditionalFormatting>
  <conditionalFormatting sqref="H1241">
    <cfRule type="duplicateValues" dxfId="0" priority="36"/>
  </conditionalFormatting>
  <conditionalFormatting sqref="H1242">
    <cfRule type="duplicateValues" dxfId="0" priority="35"/>
  </conditionalFormatting>
  <conditionalFormatting sqref="H1243">
    <cfRule type="duplicateValues" dxfId="0" priority="37"/>
  </conditionalFormatting>
  <conditionalFormatting sqref="H1252">
    <cfRule type="duplicateValues" dxfId="0" priority="33"/>
  </conditionalFormatting>
  <conditionalFormatting sqref="H1273">
    <cfRule type="duplicateValues" dxfId="0" priority="29"/>
  </conditionalFormatting>
  <conditionalFormatting sqref="H1289">
    <cfRule type="duplicateValues" dxfId="0" priority="27"/>
  </conditionalFormatting>
  <conditionalFormatting sqref="H1311">
    <cfRule type="duplicateValues" dxfId="0" priority="17"/>
  </conditionalFormatting>
  <conditionalFormatting sqref="H1346">
    <cfRule type="duplicateValues" dxfId="0" priority="8"/>
  </conditionalFormatting>
  <conditionalFormatting sqref="H1381">
    <cfRule type="duplicateValues" dxfId="0" priority="3"/>
  </conditionalFormatting>
  <conditionalFormatting sqref="AM1561">
    <cfRule type="duplicateValues" dxfId="0" priority="48"/>
  </conditionalFormatting>
  <conditionalFormatting sqref="AM2285">
    <cfRule type="duplicateValues" dxfId="0" priority="46"/>
  </conditionalFormatting>
  <conditionalFormatting sqref="AM2287">
    <cfRule type="duplicateValues" dxfId="0" priority="45"/>
  </conditionalFormatting>
  <conditionalFormatting sqref="H1193:H1200">
    <cfRule type="duplicateValues" dxfId="0" priority="43"/>
  </conditionalFormatting>
  <conditionalFormatting sqref="H1201:H1202">
    <cfRule type="duplicateValues" dxfId="0" priority="41"/>
  </conditionalFormatting>
  <conditionalFormatting sqref="H1203:H1210">
    <cfRule type="duplicateValues" dxfId="0" priority="40"/>
  </conditionalFormatting>
  <conditionalFormatting sqref="H1211:H1232">
    <cfRule type="duplicateValues" dxfId="0" priority="39"/>
  </conditionalFormatting>
  <conditionalFormatting sqref="H1233:H1240">
    <cfRule type="duplicateValues" dxfId="0" priority="38"/>
  </conditionalFormatting>
  <conditionalFormatting sqref="H1244:H1251">
    <cfRule type="duplicateValues" dxfId="0" priority="34"/>
  </conditionalFormatting>
  <conditionalFormatting sqref="H1256:H1263">
    <cfRule type="duplicateValues" dxfId="0" priority="32"/>
  </conditionalFormatting>
  <conditionalFormatting sqref="H1264:H1272">
    <cfRule type="duplicateValues" dxfId="0" priority="31"/>
  </conditionalFormatting>
  <conditionalFormatting sqref="H1274:H1276">
    <cfRule type="duplicateValues" dxfId="0" priority="28"/>
  </conditionalFormatting>
  <conditionalFormatting sqref="H1290:H1291">
    <cfRule type="duplicateValues" dxfId="0" priority="26"/>
  </conditionalFormatting>
  <conditionalFormatting sqref="H1292:H1299">
    <cfRule type="duplicateValues" dxfId="0" priority="25"/>
  </conditionalFormatting>
  <conditionalFormatting sqref="H1300:H1302">
    <cfRule type="duplicateValues" dxfId="0" priority="21"/>
  </conditionalFormatting>
  <conditionalFormatting sqref="H1303:H1310">
    <cfRule type="duplicateValues" dxfId="0" priority="20"/>
  </conditionalFormatting>
  <conditionalFormatting sqref="H1312:H1323">
    <cfRule type="duplicateValues" dxfId="0" priority="15"/>
  </conditionalFormatting>
  <conditionalFormatting sqref="H1324:H1325">
    <cfRule type="duplicateValues" dxfId="0" priority="13"/>
  </conditionalFormatting>
  <conditionalFormatting sqref="H1326:H1337">
    <cfRule type="duplicateValues" dxfId="0" priority="12"/>
  </conditionalFormatting>
  <conditionalFormatting sqref="H1338:H1340">
    <cfRule type="duplicateValues" dxfId="0" priority="11"/>
  </conditionalFormatting>
  <conditionalFormatting sqref="H1355:H1357">
    <cfRule type="duplicateValues" dxfId="0" priority="7"/>
  </conditionalFormatting>
  <conditionalFormatting sqref="H1358:H1359">
    <cfRule type="duplicateValues" dxfId="0" priority="6"/>
  </conditionalFormatting>
  <conditionalFormatting sqref="H1366:H1371">
    <cfRule type="duplicateValues" dxfId="0" priority="4"/>
  </conditionalFormatting>
  <conditionalFormatting sqref="H1391:H1398">
    <cfRule type="duplicateValues" dxfId="0" priority="2"/>
  </conditionalFormatting>
  <conditionalFormatting sqref="H1399:H1410">
    <cfRule type="duplicateValues" dxfId="0" priority="1"/>
  </conditionalFormatting>
  <conditionalFormatting sqref="AM1497:AM1558">
    <cfRule type="duplicateValues" dxfId="0" priority="55"/>
  </conditionalFormatting>
  <conditionalFormatting sqref="AM1559:AM1560">
    <cfRule type="duplicateValues" dxfId="0" priority="44"/>
  </conditionalFormatting>
  <conditionalFormatting sqref="AM1562:AM1563">
    <cfRule type="duplicateValues" dxfId="0" priority="50"/>
  </conditionalFormatting>
  <conditionalFormatting sqref="AM1564:AM1602">
    <cfRule type="duplicateValues" dxfId="0" priority="47"/>
  </conditionalFormatting>
  <conditionalFormatting sqref="H1341:H1344 H1347:H1354">
    <cfRule type="duplicateValues" dxfId="0" priority="10"/>
  </conditionalFormatting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42" sqref="A42"/>
    </sheetView>
  </sheetViews>
  <sheetFormatPr defaultColWidth="9" defaultRowHeight="14.25" outlineLevelRow="6" outlineLevelCol="4"/>
  <cols>
    <col min="1" max="1" width="22.3333333333333" customWidth="1"/>
    <col min="2" max="2" width="27.25" customWidth="1"/>
  </cols>
  <sheetData>
    <row r="1" spans="1:5">
      <c r="A1">
        <v>1161</v>
      </c>
      <c r="B1" t="s">
        <v>7330</v>
      </c>
      <c r="D1" t="str">
        <f>TRIM(A1)</f>
        <v>1161</v>
      </c>
      <c r="E1" t="str">
        <f>TRIM(B1)</f>
        <v>bajilisike001_body巴基利克斯</v>
      </c>
    </row>
    <row r="2" spans="1:5">
      <c r="A2">
        <v>1162</v>
      </c>
      <c r="B2" t="s">
        <v>7331</v>
      </c>
      <c r="D2" t="str">
        <f t="shared" ref="D2:E7" si="0">TRIM(A2)</f>
        <v>1162</v>
      </c>
      <c r="E2" t="str">
        <f t="shared" si="0"/>
        <v>bluestar001_body蓝猩猩</v>
      </c>
    </row>
    <row r="3" spans="1:5">
      <c r="A3">
        <v>1163</v>
      </c>
      <c r="B3" t="s">
        <v>7332</v>
      </c>
      <c r="D3" t="str">
        <f t="shared" si="0"/>
        <v>1163</v>
      </c>
      <c r="E3" t="str">
        <f t="shared" si="0"/>
        <v>hannyabal001_body汉尼拔</v>
      </c>
    </row>
    <row r="4" spans="1:5">
      <c r="A4">
        <v>1164</v>
      </c>
      <c r="B4" t="s">
        <v>7333</v>
      </c>
      <c r="D4" t="str">
        <f t="shared" si="0"/>
        <v>1164</v>
      </c>
      <c r="E4" t="str">
        <f t="shared" si="0"/>
        <v>hoss001_body候斯</v>
      </c>
    </row>
    <row r="5" spans="1:5">
      <c r="A5">
        <v>1165</v>
      </c>
      <c r="B5" t="s">
        <v>7334</v>
      </c>
      <c r="D5" t="str">
        <f t="shared" si="0"/>
        <v>1165</v>
      </c>
      <c r="E5" t="str">
        <f t="shared" si="0"/>
        <v>mantikra001_body蔓提克拉</v>
      </c>
    </row>
    <row r="6" spans="1:5">
      <c r="A6">
        <v>1166</v>
      </c>
      <c r="B6" t="s">
        <v>7335</v>
      </c>
      <c r="D6" t="str">
        <f t="shared" si="0"/>
        <v>1166</v>
      </c>
      <c r="E6" t="str">
        <f t="shared" si="0"/>
        <v>sadie001_body萨迪</v>
      </c>
    </row>
    <row r="7" spans="1:5">
      <c r="A7">
        <v>1167</v>
      </c>
      <c r="B7" t="s">
        <v>7336</v>
      </c>
      <c r="D7" t="str">
        <f t="shared" si="0"/>
        <v>1167</v>
      </c>
      <c r="E7" t="str">
        <f t="shared" si="0"/>
        <v>sphinx001_body斯芬克斯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topLeftCell="A64" workbookViewId="0">
      <selection activeCell="C62" sqref="C62"/>
    </sheetView>
  </sheetViews>
  <sheetFormatPr defaultColWidth="9" defaultRowHeight="14.25" outlineLevelCol="3"/>
  <cols>
    <col min="1" max="1" width="18.25" customWidth="1"/>
    <col min="2" max="2" width="63.5833333333333" customWidth="1"/>
    <col min="3" max="3" width="48.3333333333333" customWidth="1"/>
    <col min="4" max="4" width="22.3333333333333" customWidth="1"/>
  </cols>
  <sheetData>
    <row r="1" spans="1:1">
      <c r="A1" t="s">
        <v>60</v>
      </c>
    </row>
    <row r="2" spans="1:1">
      <c r="A2">
        <v>0</v>
      </c>
    </row>
    <row r="3" spans="1:3">
      <c r="A3">
        <v>1</v>
      </c>
      <c r="C3" t="s">
        <v>7337</v>
      </c>
    </row>
    <row r="4" spans="1:3">
      <c r="A4">
        <v>2</v>
      </c>
      <c r="C4" t="s">
        <v>7338</v>
      </c>
    </row>
    <row r="7" spans="1:1">
      <c r="A7" t="s">
        <v>68</v>
      </c>
    </row>
    <row r="8" spans="1:3">
      <c r="A8">
        <v>0</v>
      </c>
      <c r="C8" t="s">
        <v>7339</v>
      </c>
    </row>
    <row r="9" spans="1:3">
      <c r="A9">
        <v>1</v>
      </c>
      <c r="C9" t="s">
        <v>7340</v>
      </c>
    </row>
    <row r="10" spans="1:3">
      <c r="A10">
        <v>2</v>
      </c>
      <c r="C10" t="s">
        <v>7341</v>
      </c>
    </row>
    <row r="11" spans="1:3">
      <c r="A11">
        <v>3</v>
      </c>
      <c r="C11" t="s">
        <v>7342</v>
      </c>
    </row>
    <row r="12" spans="1:3">
      <c r="A12">
        <v>4</v>
      </c>
      <c r="C12" t="s">
        <v>7343</v>
      </c>
    </row>
    <row r="13" spans="1:3">
      <c r="A13">
        <v>5</v>
      </c>
      <c r="C13" t="s">
        <v>7344</v>
      </c>
    </row>
    <row r="16" spans="1:1">
      <c r="A16" t="s">
        <v>58</v>
      </c>
    </row>
    <row r="17" spans="3:3">
      <c r="C17" t="s">
        <v>7345</v>
      </c>
    </row>
    <row r="18" spans="3:3">
      <c r="C18" t="s">
        <v>7346</v>
      </c>
    </row>
    <row r="19" spans="3:3">
      <c r="C19" t="s">
        <v>7347</v>
      </c>
    </row>
    <row r="20" spans="3:3">
      <c r="C20" t="s">
        <v>7348</v>
      </c>
    </row>
    <row r="21" spans="3:3">
      <c r="C21" t="s">
        <v>7349</v>
      </c>
    </row>
    <row r="22" spans="3:3">
      <c r="C22" t="s">
        <v>7350</v>
      </c>
    </row>
    <row r="23" spans="3:3">
      <c r="C23" t="s">
        <v>7351</v>
      </c>
    </row>
    <row r="24" spans="3:3">
      <c r="C24" t="s">
        <v>7352</v>
      </c>
    </row>
    <row r="25" spans="3:3">
      <c r="C25" t="s">
        <v>7353</v>
      </c>
    </row>
    <row r="26" spans="3:3">
      <c r="C26" t="s">
        <v>7354</v>
      </c>
    </row>
    <row r="27" spans="3:3">
      <c r="C27" t="s">
        <v>7355</v>
      </c>
    </row>
    <row r="28" spans="3:3">
      <c r="C28" t="s">
        <v>7356</v>
      </c>
    </row>
    <row r="29" spans="3:3">
      <c r="C29" t="s">
        <v>7357</v>
      </c>
    </row>
    <row r="30" ht="173" customHeight="1"/>
    <row r="31" spans="1:1">
      <c r="A31" t="s">
        <v>128</v>
      </c>
    </row>
    <row r="32" spans="1:4">
      <c r="A32">
        <v>0</v>
      </c>
      <c r="B32" t="s">
        <v>7358</v>
      </c>
      <c r="C32" t="s">
        <v>7359</v>
      </c>
      <c r="D32" t="s">
        <v>7360</v>
      </c>
    </row>
    <row r="33" spans="1:4">
      <c r="A33">
        <v>1</v>
      </c>
      <c r="B33" t="s">
        <v>7361</v>
      </c>
      <c r="C33" t="s">
        <v>7362</v>
      </c>
      <c r="D33" t="s">
        <v>7363</v>
      </c>
    </row>
    <row r="34" spans="1:4">
      <c r="A34">
        <v>2</v>
      </c>
      <c r="B34" t="s">
        <v>7364</v>
      </c>
      <c r="C34" t="s">
        <v>7365</v>
      </c>
      <c r="D34" t="s">
        <v>7366</v>
      </c>
    </row>
    <row r="35" spans="1:4">
      <c r="A35">
        <v>3</v>
      </c>
      <c r="B35" t="s">
        <v>7367</v>
      </c>
      <c r="C35" t="s">
        <v>7368</v>
      </c>
      <c r="D35" t="s">
        <v>7369</v>
      </c>
    </row>
    <row r="36" spans="1:4">
      <c r="A36">
        <v>4</v>
      </c>
      <c r="B36" t="s">
        <v>7370</v>
      </c>
      <c r="C36" t="s">
        <v>7371</v>
      </c>
      <c r="D36" t="s">
        <v>7372</v>
      </c>
    </row>
    <row r="37" spans="1:4">
      <c r="A37">
        <v>5</v>
      </c>
      <c r="B37" t="s">
        <v>7373</v>
      </c>
      <c r="C37" t="s">
        <v>7374</v>
      </c>
      <c r="D37" t="s">
        <v>7375</v>
      </c>
    </row>
    <row r="38" spans="1:4">
      <c r="A38">
        <v>6</v>
      </c>
      <c r="B38" t="s">
        <v>7376</v>
      </c>
      <c r="C38" t="s">
        <v>7377</v>
      </c>
      <c r="D38" t="s">
        <v>7378</v>
      </c>
    </row>
    <row r="39" spans="1:4">
      <c r="A39">
        <v>7</v>
      </c>
      <c r="B39" t="s">
        <v>7379</v>
      </c>
      <c r="C39" t="s">
        <v>7380</v>
      </c>
      <c r="D39" t="s">
        <v>7381</v>
      </c>
    </row>
    <row r="40" spans="1:4">
      <c r="A40">
        <v>8</v>
      </c>
      <c r="B40" t="s">
        <v>7382</v>
      </c>
      <c r="C40" t="s">
        <v>7383</v>
      </c>
      <c r="D40" t="s">
        <v>7384</v>
      </c>
    </row>
    <row r="41" spans="1:4">
      <c r="A41">
        <v>9</v>
      </c>
      <c r="C41" t="s">
        <v>7385</v>
      </c>
      <c r="D41" t="s">
        <v>7386</v>
      </c>
    </row>
    <row r="42" spans="1:4">
      <c r="A42">
        <v>10</v>
      </c>
      <c r="C42" t="s">
        <v>7387</v>
      </c>
      <c r="D42" t="s">
        <v>7388</v>
      </c>
    </row>
    <row r="43" spans="1:4">
      <c r="A43">
        <v>11</v>
      </c>
      <c r="C43" t="s">
        <v>7389</v>
      </c>
      <c r="D43" t="s">
        <v>7390</v>
      </c>
    </row>
    <row r="44" spans="1:4">
      <c r="A44">
        <v>12</v>
      </c>
      <c r="C44" t="s">
        <v>7391</v>
      </c>
      <c r="D44" t="s">
        <v>7392</v>
      </c>
    </row>
    <row r="45" spans="1:4">
      <c r="A45">
        <v>13</v>
      </c>
      <c r="C45" t="s">
        <v>7393</v>
      </c>
      <c r="D45" t="s">
        <v>7394</v>
      </c>
    </row>
    <row r="46" spans="1:4">
      <c r="A46">
        <v>14</v>
      </c>
      <c r="C46" t="s">
        <v>7395</v>
      </c>
      <c r="D46" t="s">
        <v>7396</v>
      </c>
    </row>
    <row r="47" spans="1:4">
      <c r="A47">
        <v>15</v>
      </c>
      <c r="C47" t="s">
        <v>7397</v>
      </c>
      <c r="D47" t="s">
        <v>7398</v>
      </c>
    </row>
    <row r="48" spans="1:3">
      <c r="A48">
        <v>16</v>
      </c>
      <c r="C48" t="s">
        <v>7399</v>
      </c>
    </row>
    <row r="49" spans="1:3">
      <c r="A49">
        <v>17</v>
      </c>
      <c r="C49" t="s">
        <v>7400</v>
      </c>
    </row>
    <row r="50" spans="1:3">
      <c r="A50">
        <v>18</v>
      </c>
      <c r="C50" t="s">
        <v>7401</v>
      </c>
    </row>
    <row r="51" spans="1:3">
      <c r="A51">
        <v>19</v>
      </c>
      <c r="C51" t="s">
        <v>7402</v>
      </c>
    </row>
    <row r="52" spans="1:3">
      <c r="A52">
        <v>20</v>
      </c>
      <c r="C52" t="s">
        <v>7403</v>
      </c>
    </row>
    <row r="53" spans="1:3">
      <c r="A53">
        <v>21</v>
      </c>
      <c r="C53" t="s">
        <v>7404</v>
      </c>
    </row>
    <row r="54" spans="1:3">
      <c r="A54">
        <v>22</v>
      </c>
      <c r="C54" s="16" t="s">
        <v>7405</v>
      </c>
    </row>
    <row r="55" spans="1:3">
      <c r="A55">
        <v>23</v>
      </c>
      <c r="C55" t="s">
        <v>7406</v>
      </c>
    </row>
    <row r="56" spans="1:3">
      <c r="A56">
        <v>24</v>
      </c>
      <c r="C56" t="s">
        <v>7407</v>
      </c>
    </row>
    <row r="57" spans="1:3">
      <c r="A57">
        <v>25</v>
      </c>
      <c r="C57" t="s">
        <v>7408</v>
      </c>
    </row>
    <row r="58" spans="1:3">
      <c r="A58">
        <v>26</v>
      </c>
      <c r="C58" t="s">
        <v>7409</v>
      </c>
    </row>
    <row r="59" spans="1:3">
      <c r="A59">
        <v>27</v>
      </c>
      <c r="C59" t="s">
        <v>7410</v>
      </c>
    </row>
    <row r="60" spans="1:3">
      <c r="A60">
        <v>28</v>
      </c>
      <c r="C60" t="s">
        <v>7411</v>
      </c>
    </row>
    <row r="61" spans="1:3">
      <c r="A61">
        <v>100</v>
      </c>
      <c r="C61" t="s">
        <v>7412</v>
      </c>
    </row>
    <row r="62" spans="1:3">
      <c r="A62">
        <v>101</v>
      </c>
      <c r="C62" t="s">
        <v>7413</v>
      </c>
    </row>
    <row r="63" spans="1:3">
      <c r="A63">
        <v>102</v>
      </c>
      <c r="C63" t="s">
        <v>7414</v>
      </c>
    </row>
    <row r="64" spans="1:3">
      <c r="A64">
        <v>103</v>
      </c>
      <c r="C64" t="s">
        <v>7415</v>
      </c>
    </row>
    <row r="65" spans="1:3">
      <c r="A65">
        <v>104</v>
      </c>
      <c r="C65" t="s">
        <v>7416</v>
      </c>
    </row>
    <row r="70" spans="1:1">
      <c r="A70" s="17" t="s">
        <v>128</v>
      </c>
    </row>
    <row r="72" spans="2:2">
      <c r="B72" t="s">
        <v>7417</v>
      </c>
    </row>
    <row r="74" spans="2:2">
      <c r="B74" s="18" t="s">
        <v>7418</v>
      </c>
    </row>
    <row r="75" spans="2:2">
      <c r="B75" s="18" t="s">
        <v>7419</v>
      </c>
    </row>
    <row r="76" spans="2:2">
      <c r="B76" s="18" t="s">
        <v>7420</v>
      </c>
    </row>
    <row r="77" spans="2:2">
      <c r="B77" s="18" t="s">
        <v>7421</v>
      </c>
    </row>
    <row r="78" spans="2:2">
      <c r="B78" s="18" t="s">
        <v>7422</v>
      </c>
    </row>
    <row r="79" spans="2:2">
      <c r="B79" s="18" t="s">
        <v>7423</v>
      </c>
    </row>
    <row r="80" spans="2:2">
      <c r="B80" s="18" t="s">
        <v>7424</v>
      </c>
    </row>
    <row r="81" spans="2:2">
      <c r="B81" s="18" t="s">
        <v>7425</v>
      </c>
    </row>
    <row r="82" spans="2:2">
      <c r="B82" s="18" t="s">
        <v>7426</v>
      </c>
    </row>
    <row r="83" spans="2:2">
      <c r="B83" s="18" t="s">
        <v>7427</v>
      </c>
    </row>
    <row r="84" spans="2:2">
      <c r="B84" s="18" t="s">
        <v>7428</v>
      </c>
    </row>
    <row r="85" spans="2:2">
      <c r="B85" s="18" t="s">
        <v>7429</v>
      </c>
    </row>
    <row r="86" spans="2:2">
      <c r="B86" s="18" t="s">
        <v>7430</v>
      </c>
    </row>
    <row r="87" spans="2:2">
      <c r="B87" s="18" t="s">
        <v>7431</v>
      </c>
    </row>
    <row r="88" spans="2:2">
      <c r="B88" s="18" t="s">
        <v>7432</v>
      </c>
    </row>
    <row r="89" spans="2:2">
      <c r="B89" s="18" t="s">
        <v>7433</v>
      </c>
    </row>
    <row r="90" spans="2:2">
      <c r="B90" s="18" t="s">
        <v>7434</v>
      </c>
    </row>
    <row r="91" spans="2:2">
      <c r="B91" s="18" t="s">
        <v>7435</v>
      </c>
    </row>
    <row r="92" spans="2:2">
      <c r="B92" s="18" t="s">
        <v>7436</v>
      </c>
    </row>
    <row r="93" spans="2:2">
      <c r="B93" s="18" t="s">
        <v>7437</v>
      </c>
    </row>
    <row r="94" spans="2:2">
      <c r="B94" s="18" t="s">
        <v>7438</v>
      </c>
    </row>
    <row r="95" spans="2:2">
      <c r="B95" s="18" t="s">
        <v>7439</v>
      </c>
    </row>
    <row r="96" spans="2:2">
      <c r="B96" s="18" t="s">
        <v>7440</v>
      </c>
    </row>
    <row r="97" spans="2:2">
      <c r="B97" s="18" t="s">
        <v>7441</v>
      </c>
    </row>
    <row r="98" spans="2:2">
      <c r="B98" s="18" t="s">
        <v>7442</v>
      </c>
    </row>
    <row r="99" spans="2:2">
      <c r="B99" s="18" t="s">
        <v>7443</v>
      </c>
    </row>
    <row r="100" spans="2:2">
      <c r="B100" s="18" t="s">
        <v>7444</v>
      </c>
    </row>
    <row r="101" spans="2:2">
      <c r="B101" s="18" t="s">
        <v>7445</v>
      </c>
    </row>
    <row r="102" spans="2:2">
      <c r="B102" s="18" t="s">
        <v>7446</v>
      </c>
    </row>
    <row r="103" spans="2:2">
      <c r="B103" s="18" t="s">
        <v>7447</v>
      </c>
    </row>
    <row r="104" spans="2:2">
      <c r="B104" s="18" t="s">
        <v>7448</v>
      </c>
    </row>
    <row r="105" spans="2:2">
      <c r="B105" t="s">
        <v>7449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51"/>
  <sheetViews>
    <sheetView topLeftCell="A58" workbookViewId="0">
      <selection activeCell="B10" sqref="B10"/>
    </sheetView>
  </sheetViews>
  <sheetFormatPr defaultColWidth="9" defaultRowHeight="14.25"/>
  <cols>
    <col min="1" max="2" width="17.25" style="14" customWidth="1"/>
    <col min="3" max="3" width="137.825" style="14" customWidth="1"/>
    <col min="4" max="4" width="10.25" style="14" customWidth="1"/>
    <col min="5" max="5" width="9" style="14" customWidth="1"/>
    <col min="6" max="6" width="10.825" style="14" customWidth="1"/>
    <col min="7" max="16384" width="9" style="14" customWidth="1"/>
  </cols>
  <sheetData>
    <row r="1" spans="1:5">
      <c r="A1" s="14">
        <v>7</v>
      </c>
      <c r="C1" s="14">
        <v>1</v>
      </c>
      <c r="D1" s="14">
        <v>9999</v>
      </c>
      <c r="E1" s="14">
        <v>3</v>
      </c>
    </row>
    <row r="3" spans="1:4">
      <c r="A3" s="14" t="s">
        <v>7450</v>
      </c>
      <c r="C3" s="14" t="s">
        <v>7451</v>
      </c>
      <c r="D3" s="14" t="s">
        <v>7452</v>
      </c>
    </row>
    <row r="4" spans="1:4">
      <c r="A4" s="14" t="s">
        <v>105</v>
      </c>
      <c r="C4" s="14" t="s">
        <v>109</v>
      </c>
      <c r="D4" s="14" t="s">
        <v>109</v>
      </c>
    </row>
    <row r="5" spans="1:4">
      <c r="A5" s="14" t="s">
        <v>117</v>
      </c>
      <c r="C5" s="14" t="s">
        <v>118</v>
      </c>
      <c r="D5" s="14" t="s">
        <v>118</v>
      </c>
    </row>
    <row r="6" spans="1:4">
      <c r="A6" s="14" t="s">
        <v>7450</v>
      </c>
      <c r="C6" s="14" t="s">
        <v>7451</v>
      </c>
      <c r="D6" s="14" t="s">
        <v>7452</v>
      </c>
    </row>
    <row r="7" spans="1:4">
      <c r="A7" s="14">
        <v>0</v>
      </c>
      <c r="B7" s="14" t="s">
        <v>7453</v>
      </c>
      <c r="C7" s="14" t="s">
        <v>7454</v>
      </c>
      <c r="D7" s="14" t="s">
        <v>7455</v>
      </c>
    </row>
    <row r="8" spans="1:4">
      <c r="A8" s="14">
        <v>100</v>
      </c>
      <c r="B8" s="14" t="s">
        <v>7456</v>
      </c>
      <c r="C8" s="14" t="s">
        <v>7457</v>
      </c>
      <c r="D8" s="14" t="s">
        <v>7458</v>
      </c>
    </row>
    <row r="9" spans="1:4">
      <c r="A9" s="14">
        <v>1</v>
      </c>
      <c r="B9" s="14" t="s">
        <v>7453</v>
      </c>
      <c r="C9" s="14" t="s">
        <v>7459</v>
      </c>
      <c r="D9" s="14" t="s">
        <v>7460</v>
      </c>
    </row>
    <row r="10" spans="1:4">
      <c r="A10" s="14">
        <v>101</v>
      </c>
      <c r="B10" s="14" t="s">
        <v>7456</v>
      </c>
      <c r="C10" s="14" t="s">
        <v>7461</v>
      </c>
      <c r="D10" s="14" t="s">
        <v>7462</v>
      </c>
    </row>
    <row r="11" spans="1:4">
      <c r="A11" s="14">
        <v>2</v>
      </c>
      <c r="B11" s="14" t="s">
        <v>7463</v>
      </c>
      <c r="C11" s="14" t="s">
        <v>7464</v>
      </c>
      <c r="D11" s="14" t="s">
        <v>7465</v>
      </c>
    </row>
    <row r="12" spans="1:4">
      <c r="A12" s="14">
        <v>102</v>
      </c>
      <c r="B12" s="14" t="s">
        <v>7466</v>
      </c>
      <c r="C12" s="14" t="s">
        <v>7467</v>
      </c>
      <c r="D12" s="14" t="s">
        <v>7468</v>
      </c>
    </row>
    <row r="13" spans="1:4">
      <c r="A13" s="14">
        <v>3</v>
      </c>
      <c r="B13" s="14" t="s">
        <v>7469</v>
      </c>
      <c r="C13" s="14" t="s">
        <v>7470</v>
      </c>
      <c r="D13" s="14" t="s">
        <v>7471</v>
      </c>
    </row>
    <row r="14" spans="1:4">
      <c r="A14" s="14">
        <v>103</v>
      </c>
      <c r="B14" s="14" t="s">
        <v>7472</v>
      </c>
      <c r="C14" s="14" t="s">
        <v>7473</v>
      </c>
      <c r="D14" s="14" t="s">
        <v>7474</v>
      </c>
    </row>
    <row r="15" spans="1:4">
      <c r="A15" s="14">
        <v>4</v>
      </c>
      <c r="B15" s="14" t="s">
        <v>7475</v>
      </c>
      <c r="C15" s="14" t="s">
        <v>7476</v>
      </c>
      <c r="D15" s="14" t="s">
        <v>7477</v>
      </c>
    </row>
    <row r="16" spans="1:4">
      <c r="A16" s="14">
        <v>104</v>
      </c>
      <c r="B16" s="14" t="s">
        <v>7478</v>
      </c>
      <c r="C16" s="14" t="s">
        <v>7479</v>
      </c>
      <c r="D16" s="14" t="s">
        <v>7480</v>
      </c>
    </row>
    <row r="17" spans="1:4">
      <c r="A17" s="14">
        <v>5</v>
      </c>
      <c r="B17" s="14" t="s">
        <v>7481</v>
      </c>
      <c r="C17" s="14" t="s">
        <v>7482</v>
      </c>
      <c r="D17" s="14" t="s">
        <v>7483</v>
      </c>
    </row>
    <row r="18" spans="1:4">
      <c r="A18" s="14">
        <v>105</v>
      </c>
      <c r="B18" s="14" t="s">
        <v>7484</v>
      </c>
      <c r="C18" s="14" t="s">
        <v>7485</v>
      </c>
      <c r="D18" s="14" t="s">
        <v>7486</v>
      </c>
    </row>
    <row r="19" spans="1:6">
      <c r="A19" s="14">
        <v>6</v>
      </c>
      <c r="B19" s="14" t="s">
        <v>7453</v>
      </c>
      <c r="C19" s="14" t="s">
        <v>7487</v>
      </c>
      <c r="D19" s="14" t="s">
        <v>7488</v>
      </c>
      <c r="F19" s="14" t="s">
        <v>7489</v>
      </c>
    </row>
    <row r="20" spans="1:4">
      <c r="A20" s="14">
        <v>106</v>
      </c>
      <c r="B20" s="14" t="s">
        <v>7456</v>
      </c>
      <c r="C20" s="14" t="s">
        <v>7490</v>
      </c>
      <c r="D20" s="14" t="s">
        <v>7491</v>
      </c>
    </row>
    <row r="21" spans="1:3">
      <c r="A21" s="14">
        <v>1000</v>
      </c>
      <c r="B21" s="14" t="s">
        <v>7492</v>
      </c>
      <c r="C21" s="14" t="s">
        <v>7492</v>
      </c>
    </row>
    <row r="22" spans="1:3">
      <c r="A22" s="14">
        <v>16</v>
      </c>
      <c r="B22" s="14" t="s">
        <v>7399</v>
      </c>
      <c r="C22" s="14" t="s">
        <v>7399</v>
      </c>
    </row>
    <row r="23" spans="1:3">
      <c r="A23" s="14">
        <v>7</v>
      </c>
      <c r="C23" s="14" t="s">
        <v>7493</v>
      </c>
    </row>
    <row r="24" spans="1:1">
      <c r="A24" s="14">
        <v>107</v>
      </c>
    </row>
    <row r="25" spans="1:3">
      <c r="A25" s="14">
        <v>8</v>
      </c>
      <c r="C25" s="14" t="s">
        <v>7494</v>
      </c>
    </row>
    <row r="26" spans="1:1">
      <c r="A26" s="14">
        <v>108</v>
      </c>
    </row>
    <row r="27" spans="1:3">
      <c r="A27" s="14">
        <v>9</v>
      </c>
      <c r="C27" s="14" t="s">
        <v>7495</v>
      </c>
    </row>
    <row r="28" spans="1:1">
      <c r="A28" s="14">
        <v>109</v>
      </c>
    </row>
    <row r="29" spans="1:3">
      <c r="A29" s="14">
        <v>10</v>
      </c>
      <c r="C29" s="14" t="s">
        <v>7496</v>
      </c>
    </row>
    <row r="30" spans="1:1">
      <c r="A30" s="14">
        <v>110</v>
      </c>
    </row>
    <row r="31" spans="1:3">
      <c r="A31" s="14">
        <v>11</v>
      </c>
      <c r="C31" s="14" t="s">
        <v>7497</v>
      </c>
    </row>
    <row r="32" spans="1:1">
      <c r="A32" s="14">
        <v>111</v>
      </c>
    </row>
    <row r="33" spans="1:3">
      <c r="A33" s="14">
        <v>12</v>
      </c>
      <c r="C33" s="14" t="s">
        <v>7498</v>
      </c>
    </row>
    <row r="34" spans="1:1">
      <c r="A34" s="14">
        <v>112</v>
      </c>
    </row>
    <row r="35" spans="1:3">
      <c r="A35" s="14">
        <v>13</v>
      </c>
      <c r="C35" s="14" t="s">
        <v>7499</v>
      </c>
    </row>
    <row r="36" spans="1:1">
      <c r="A36" s="14">
        <v>113</v>
      </c>
    </row>
    <row r="37" spans="1:3">
      <c r="A37" s="14">
        <v>14</v>
      </c>
      <c r="C37" s="14" t="s">
        <v>7500</v>
      </c>
    </row>
    <row r="38" spans="1:1">
      <c r="A38" s="14">
        <v>114</v>
      </c>
    </row>
    <row r="39" spans="1:3">
      <c r="A39" s="14">
        <v>15</v>
      </c>
      <c r="C39" s="14" t="s">
        <v>7501</v>
      </c>
    </row>
    <row r="40" spans="1:1">
      <c r="A40" s="14">
        <v>115</v>
      </c>
    </row>
    <row r="41" spans="1:3">
      <c r="A41" s="14">
        <v>16</v>
      </c>
      <c r="C41" s="14" t="s">
        <v>7502</v>
      </c>
    </row>
    <row r="42" spans="1:1">
      <c r="A42" s="14">
        <v>116</v>
      </c>
    </row>
    <row r="43" spans="1:3">
      <c r="A43" s="14">
        <v>17</v>
      </c>
      <c r="C43" s="14" t="s">
        <v>7503</v>
      </c>
    </row>
    <row r="44" spans="1:1">
      <c r="A44" s="14">
        <v>117</v>
      </c>
    </row>
    <row r="59" spans="1:3">
      <c r="A59" s="14">
        <v>970</v>
      </c>
      <c r="C59" s="15" t="s">
        <v>966</v>
      </c>
    </row>
    <row r="61" spans="1:1">
      <c r="A61" s="14" t="s">
        <v>7504</v>
      </c>
    </row>
    <row r="62" spans="1:1">
      <c r="A62" s="14" t="s">
        <v>7505</v>
      </c>
    </row>
    <row r="63" spans="1:1">
      <c r="A63" s="14" t="s">
        <v>7506</v>
      </c>
    </row>
    <row r="64" spans="1:1">
      <c r="A64" s="14" t="s">
        <v>7507</v>
      </c>
    </row>
    <row r="65" spans="1:1">
      <c r="A65" s="14" t="s">
        <v>7508</v>
      </c>
    </row>
    <row r="66" spans="1:1">
      <c r="A66" s="14" t="s">
        <v>7509</v>
      </c>
    </row>
    <row r="67" spans="1:1">
      <c r="A67" s="14" t="s">
        <v>7510</v>
      </c>
    </row>
    <row r="68" spans="1:1">
      <c r="A68" s="14" t="s">
        <v>7511</v>
      </c>
    </row>
    <row r="69" spans="1:1">
      <c r="A69" s="14" t="s">
        <v>7512</v>
      </c>
    </row>
    <row r="70" spans="1:1">
      <c r="A70" s="14" t="s">
        <v>7513</v>
      </c>
    </row>
    <row r="71" spans="1:1">
      <c r="A71" s="14" t="s">
        <v>7514</v>
      </c>
    </row>
    <row r="72" spans="1:1">
      <c r="A72" s="14" t="s">
        <v>7515</v>
      </c>
    </row>
    <row r="73" spans="1:1">
      <c r="A73" s="14" t="s">
        <v>7516</v>
      </c>
    </row>
    <row r="74" spans="1:1">
      <c r="A74" s="14" t="s">
        <v>7517</v>
      </c>
    </row>
    <row r="75" spans="1:1">
      <c r="A75" s="14" t="s">
        <v>7518</v>
      </c>
    </row>
    <row r="76" spans="1:1">
      <c r="A76" s="14" t="s">
        <v>7519</v>
      </c>
    </row>
    <row r="77" spans="1:1">
      <c r="A77" s="14" t="s">
        <v>7520</v>
      </c>
    </row>
    <row r="78" spans="1:1">
      <c r="A78" s="14" t="s">
        <v>7521</v>
      </c>
    </row>
    <row r="79" spans="1:1">
      <c r="A79" s="14" t="s">
        <v>7522</v>
      </c>
    </row>
    <row r="80" spans="1:1">
      <c r="A80" s="14" t="s">
        <v>7523</v>
      </c>
    </row>
    <row r="81" spans="1:1">
      <c r="A81" s="14" t="s">
        <v>7524</v>
      </c>
    </row>
    <row r="82" spans="1:1">
      <c r="A82" s="14" t="s">
        <v>7525</v>
      </c>
    </row>
    <row r="83" spans="1:1">
      <c r="A83" s="14" t="s">
        <v>7526</v>
      </c>
    </row>
    <row r="84" spans="1:1">
      <c r="A84" s="14" t="s">
        <v>7527</v>
      </c>
    </row>
    <row r="85" spans="1:1">
      <c r="A85" s="14" t="s">
        <v>7528</v>
      </c>
    </row>
    <row r="86" spans="1:1">
      <c r="A86" s="14" t="s">
        <v>7529</v>
      </c>
    </row>
    <row r="87" spans="1:1">
      <c r="A87" s="14" t="s">
        <v>7530</v>
      </c>
    </row>
    <row r="88" spans="1:1">
      <c r="A88" s="14" t="s">
        <v>7531</v>
      </c>
    </row>
    <row r="89" spans="1:1">
      <c r="A89" s="14" t="s">
        <v>7532</v>
      </c>
    </row>
    <row r="90" spans="1:1">
      <c r="A90" s="14" t="s">
        <v>7533</v>
      </c>
    </row>
    <row r="91" spans="1:1">
      <c r="A91" s="14" t="s">
        <v>7534</v>
      </c>
    </row>
    <row r="92" spans="1:1">
      <c r="A92" s="14" t="s">
        <v>7535</v>
      </c>
    </row>
    <row r="93" spans="1:1">
      <c r="A93" s="14" t="s">
        <v>7536</v>
      </c>
    </row>
    <row r="94" spans="1:1">
      <c r="A94" s="14" t="s">
        <v>7537</v>
      </c>
    </row>
    <row r="95" spans="1:1">
      <c r="A95" s="14" t="s">
        <v>7538</v>
      </c>
    </row>
    <row r="96" spans="1:1">
      <c r="A96" s="14" t="s">
        <v>7539</v>
      </c>
    </row>
    <row r="97" spans="1:1">
      <c r="A97" s="14" t="s">
        <v>7540</v>
      </c>
    </row>
    <row r="98" spans="1:1">
      <c r="A98" s="14" t="s">
        <v>7541</v>
      </c>
    </row>
    <row r="99" spans="1:1">
      <c r="A99" s="14" t="s">
        <v>7542</v>
      </c>
    </row>
    <row r="100" spans="1:1">
      <c r="A100" s="14" t="s">
        <v>7543</v>
      </c>
    </row>
    <row r="101" spans="1:1">
      <c r="A101" s="14" t="s">
        <v>7544</v>
      </c>
    </row>
    <row r="102" spans="1:1">
      <c r="A102" s="14" t="s">
        <v>7545</v>
      </c>
    </row>
    <row r="103" spans="1:1">
      <c r="A103" s="14" t="s">
        <v>7546</v>
      </c>
    </row>
    <row r="104" spans="1:1">
      <c r="A104" s="14" t="s">
        <v>7547</v>
      </c>
    </row>
    <row r="105" spans="1:1">
      <c r="A105" s="14" t="s">
        <v>7548</v>
      </c>
    </row>
    <row r="106" spans="1:1">
      <c r="A106" s="14" t="s">
        <v>7549</v>
      </c>
    </row>
    <row r="107" spans="1:1">
      <c r="A107" s="14" t="s">
        <v>7550</v>
      </c>
    </row>
    <row r="108" spans="1:1">
      <c r="A108" s="14" t="s">
        <v>7551</v>
      </c>
    </row>
    <row r="1071" spans="1:8">
      <c r="A1071" s="14">
        <v>1067</v>
      </c>
      <c r="H1071" s="14">
        <v>12607</v>
      </c>
    </row>
    <row r="1244" s="13" customFormat="1" spans="14:42">
      <c r="N1244" s="13" t="s">
        <v>4530</v>
      </c>
      <c r="R1244" s="13">
        <v>1</v>
      </c>
      <c r="S1244" s="13">
        <v>2</v>
      </c>
      <c r="T1244" s="13">
        <v>2</v>
      </c>
      <c r="AN1244" s="13">
        <v>4660</v>
      </c>
      <c r="AO1244" s="13" t="s">
        <v>1695</v>
      </c>
      <c r="AP1244" s="13">
        <v>4659</v>
      </c>
    </row>
    <row r="1245" s="13" customFormat="1" spans="3:42">
      <c r="C1245" s="13" t="s">
        <v>4532</v>
      </c>
      <c r="N1245" s="13" t="s">
        <v>4534</v>
      </c>
      <c r="AN1245" s="13">
        <v>4664</v>
      </c>
      <c r="AO1245" s="13" t="s">
        <v>1695</v>
      </c>
      <c r="AP1245" s="13">
        <v>4663</v>
      </c>
    </row>
    <row r="1246" s="13" customFormat="1" spans="3:42">
      <c r="C1246" s="13" t="s">
        <v>4536</v>
      </c>
      <c r="N1246" s="13" t="s">
        <v>4538</v>
      </c>
      <c r="S1246" s="13">
        <v>3</v>
      </c>
      <c r="U1246" s="13">
        <v>2</v>
      </c>
      <c r="AN1246" s="13">
        <v>4667</v>
      </c>
      <c r="AO1246" s="13" t="s">
        <v>1695</v>
      </c>
      <c r="AP1246" s="13">
        <v>4666</v>
      </c>
    </row>
    <row r="1247" s="13" customFormat="1" spans="14:42">
      <c r="N1247" s="13" t="s">
        <v>4542</v>
      </c>
      <c r="S1247" s="13">
        <v>3</v>
      </c>
      <c r="T1247" s="13">
        <v>1</v>
      </c>
      <c r="U1247" s="13">
        <v>1.5</v>
      </c>
      <c r="X1247" s="13">
        <v>1</v>
      </c>
      <c r="AN1247" s="13" t="s">
        <v>4543</v>
      </c>
      <c r="AO1247" s="13" t="s">
        <v>2288</v>
      </c>
      <c r="AP1247" s="13">
        <v>4669</v>
      </c>
    </row>
    <row r="1248" s="13" customFormat="1" spans="14:42">
      <c r="N1248" s="13" t="s">
        <v>4547</v>
      </c>
      <c r="O1248" s="13">
        <v>1</v>
      </c>
      <c r="V1248" s="13">
        <v>1000</v>
      </c>
      <c r="X1248" s="13">
        <v>1</v>
      </c>
      <c r="AP1248" s="13">
        <v>4673</v>
      </c>
    </row>
    <row r="1249" s="13" customFormat="1" spans="1:42">
      <c r="A1249" s="13">
        <v>1245</v>
      </c>
      <c r="N1249" s="13" t="s">
        <v>4551</v>
      </c>
      <c r="X1249" s="13">
        <v>2</v>
      </c>
      <c r="AE1249" s="13" t="s">
        <v>4552</v>
      </c>
      <c r="AP1249" s="13">
        <v>4674</v>
      </c>
    </row>
    <row r="1250" s="13" customFormat="1" spans="14:42">
      <c r="N1250" s="13" t="s">
        <v>4556</v>
      </c>
      <c r="P1250" s="13">
        <v>61</v>
      </c>
      <c r="X1250" s="13">
        <v>7</v>
      </c>
      <c r="AB1250" s="13">
        <f>I1250-0.1</f>
        <v>-0.1</v>
      </c>
      <c r="AE1250" s="13" t="s">
        <v>4557</v>
      </c>
      <c r="AN1250" s="13" t="s">
        <v>4558</v>
      </c>
      <c r="AO1250" s="13" t="s">
        <v>4559</v>
      </c>
      <c r="AP1250" s="13">
        <v>4675</v>
      </c>
    </row>
    <row r="1251" s="13" customFormat="1" spans="9:42">
      <c r="I1251" s="13">
        <f>376/30</f>
        <v>12.5333333333333</v>
      </c>
      <c r="N1251" s="13" t="s">
        <v>4563</v>
      </c>
      <c r="P1251" s="13">
        <v>14.5</v>
      </c>
      <c r="X1251" s="13">
        <v>1</v>
      </c>
      <c r="AB1251" s="13">
        <f>I1251-0.1</f>
        <v>12.4333333333333</v>
      </c>
      <c r="AE1251" s="13" t="s">
        <v>4564</v>
      </c>
      <c r="AP1251" s="13">
        <v>4679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9"/>
  <sheetViews>
    <sheetView workbookViewId="0">
      <selection activeCell="H42" sqref="H42"/>
    </sheetView>
  </sheetViews>
  <sheetFormatPr defaultColWidth="9" defaultRowHeight="14.25"/>
  <sheetData>
    <row r="1" spans="1:44">
      <c r="A1" s="3">
        <v>379</v>
      </c>
      <c r="B1" s="3" t="s">
        <v>1508</v>
      </c>
      <c r="C1" s="3" t="s">
        <v>526</v>
      </c>
      <c r="D1">
        <v>1</v>
      </c>
      <c r="E1" s="4">
        <v>0</v>
      </c>
      <c r="F1" s="3"/>
      <c r="G1" s="3">
        <v>1</v>
      </c>
      <c r="H1" s="5" t="s">
        <v>7552</v>
      </c>
      <c r="I1">
        <v>3.03333333333333</v>
      </c>
      <c r="J1">
        <v>3.03333333333333</v>
      </c>
      <c r="K1" s="3"/>
      <c r="L1" s="3">
        <v>1</v>
      </c>
      <c r="M1">
        <f t="shared" ref="M1:M8" si="0">I1-0.4</f>
        <v>2.63333333333333</v>
      </c>
      <c r="N1" s="3" t="s">
        <v>7553</v>
      </c>
      <c r="O1">
        <v>1</v>
      </c>
      <c r="P1" s="4">
        <v>1.5</v>
      </c>
      <c r="Q1">
        <v>0</v>
      </c>
      <c r="T1">
        <v>0.5</v>
      </c>
      <c r="U1">
        <v>1</v>
      </c>
      <c r="V1">
        <v>1</v>
      </c>
      <c r="W1">
        <v>0</v>
      </c>
      <c r="X1" s="7">
        <v>1</v>
      </c>
      <c r="Y1">
        <v>-0.1</v>
      </c>
      <c r="Z1">
        <v>0</v>
      </c>
      <c r="AF1">
        <v>0</v>
      </c>
      <c r="AN1" s="8">
        <v>1017</v>
      </c>
      <c r="AO1" s="3" t="s">
        <v>136</v>
      </c>
      <c r="AP1" s="9"/>
      <c r="AQ1" s="3"/>
      <c r="AR1" s="11"/>
    </row>
    <row r="2" spans="1:44">
      <c r="A2" s="3">
        <v>380</v>
      </c>
      <c r="B2" s="3" t="s">
        <v>1508</v>
      </c>
      <c r="C2" s="6" t="s">
        <v>1511</v>
      </c>
      <c r="D2">
        <v>1</v>
      </c>
      <c r="E2" s="4">
        <v>0</v>
      </c>
      <c r="F2" s="3"/>
      <c r="G2" s="3">
        <v>1</v>
      </c>
      <c r="H2" s="5" t="s">
        <v>7554</v>
      </c>
      <c r="I2">
        <v>3</v>
      </c>
      <c r="J2">
        <v>3</v>
      </c>
      <c r="K2" s="3"/>
      <c r="L2" s="3">
        <v>1</v>
      </c>
      <c r="M2">
        <f t="shared" si="0"/>
        <v>2.6</v>
      </c>
      <c r="N2" s="3" t="s">
        <v>7222</v>
      </c>
      <c r="O2">
        <v>1</v>
      </c>
      <c r="P2" s="4">
        <v>1.5</v>
      </c>
      <c r="Q2">
        <v>0</v>
      </c>
      <c r="S2">
        <v>-1</v>
      </c>
      <c r="U2">
        <v>0.8</v>
      </c>
      <c r="V2">
        <v>1</v>
      </c>
      <c r="W2">
        <v>4</v>
      </c>
      <c r="X2" s="7">
        <v>1</v>
      </c>
      <c r="Y2">
        <v>-0.1</v>
      </c>
      <c r="Z2">
        <v>0</v>
      </c>
      <c r="AF2">
        <v>0</v>
      </c>
      <c r="AN2" s="8">
        <v>1018</v>
      </c>
      <c r="AO2" s="3" t="s">
        <v>136</v>
      </c>
      <c r="AP2" s="9"/>
      <c r="AQ2" s="3"/>
      <c r="AR2" s="11"/>
    </row>
    <row r="3" spans="1:44">
      <c r="A3" s="3">
        <v>381</v>
      </c>
      <c r="B3" s="3" t="s">
        <v>1508</v>
      </c>
      <c r="C3" s="6" t="s">
        <v>1514</v>
      </c>
      <c r="D3">
        <v>1</v>
      </c>
      <c r="E3" s="4">
        <v>0</v>
      </c>
      <c r="F3" s="3"/>
      <c r="G3" s="3">
        <v>1</v>
      </c>
      <c r="H3" s="5" t="s">
        <v>7555</v>
      </c>
      <c r="I3">
        <v>4.33333333333333</v>
      </c>
      <c r="J3">
        <v>4.33333333333333</v>
      </c>
      <c r="K3" s="3"/>
      <c r="L3" s="3">
        <v>0</v>
      </c>
      <c r="M3">
        <f t="shared" si="0"/>
        <v>3.93333333333333</v>
      </c>
      <c r="N3" s="3" t="s">
        <v>7556</v>
      </c>
      <c r="O3">
        <v>1</v>
      </c>
      <c r="P3" s="4">
        <v>1.5</v>
      </c>
      <c r="Q3">
        <v>0</v>
      </c>
      <c r="V3">
        <v>1</v>
      </c>
      <c r="W3">
        <v>0</v>
      </c>
      <c r="X3" s="7">
        <v>1</v>
      </c>
      <c r="Y3">
        <v>-0.1</v>
      </c>
      <c r="Z3">
        <v>0</v>
      </c>
      <c r="AD3">
        <v>1</v>
      </c>
      <c r="AE3" t="s">
        <v>1517</v>
      </c>
      <c r="AF3">
        <v>0.5</v>
      </c>
      <c r="AN3" s="8">
        <v>1019</v>
      </c>
      <c r="AO3" s="3" t="s">
        <v>136</v>
      </c>
      <c r="AP3" s="9"/>
      <c r="AQ3" s="3"/>
      <c r="AR3" s="11"/>
    </row>
    <row r="4" spans="1:44">
      <c r="A4" s="3">
        <v>382</v>
      </c>
      <c r="B4" s="3" t="s">
        <v>1508</v>
      </c>
      <c r="C4" s="6" t="s">
        <v>1518</v>
      </c>
      <c r="D4">
        <v>1</v>
      </c>
      <c r="E4" s="4">
        <v>0</v>
      </c>
      <c r="F4" s="3"/>
      <c r="G4" s="3">
        <v>1</v>
      </c>
      <c r="H4" s="5" t="s">
        <v>7557</v>
      </c>
      <c r="I4">
        <v>2</v>
      </c>
      <c r="J4">
        <v>2</v>
      </c>
      <c r="K4" s="3"/>
      <c r="L4" s="3">
        <v>0</v>
      </c>
      <c r="M4">
        <f t="shared" si="0"/>
        <v>1.6</v>
      </c>
      <c r="N4" s="3" t="s">
        <v>7558</v>
      </c>
      <c r="O4">
        <v>1</v>
      </c>
      <c r="P4" s="4">
        <v>1.5</v>
      </c>
      <c r="Q4">
        <v>0</v>
      </c>
      <c r="V4">
        <v>1</v>
      </c>
      <c r="W4">
        <v>0</v>
      </c>
      <c r="X4" s="7">
        <v>1</v>
      </c>
      <c r="Y4">
        <v>-0.1</v>
      </c>
      <c r="Z4">
        <v>0</v>
      </c>
      <c r="AF4">
        <v>0</v>
      </c>
      <c r="AN4" s="8">
        <v>1020</v>
      </c>
      <c r="AO4" s="3" t="s">
        <v>136</v>
      </c>
      <c r="AP4" s="9"/>
      <c r="AQ4" s="3"/>
      <c r="AR4" s="11"/>
    </row>
    <row r="5" spans="1:44">
      <c r="A5" s="3">
        <v>383</v>
      </c>
      <c r="B5" s="3" t="s">
        <v>1508</v>
      </c>
      <c r="C5" s="6" t="s">
        <v>1521</v>
      </c>
      <c r="D5">
        <v>1</v>
      </c>
      <c r="E5" s="4">
        <v>0</v>
      </c>
      <c r="F5" s="3"/>
      <c r="G5" s="3">
        <v>1</v>
      </c>
      <c r="H5" s="5" t="s">
        <v>7559</v>
      </c>
      <c r="I5">
        <v>3.16666666666667</v>
      </c>
      <c r="J5">
        <v>3.16666666666667</v>
      </c>
      <c r="K5" s="3"/>
      <c r="L5" s="3">
        <v>1</v>
      </c>
      <c r="M5">
        <f t="shared" si="0"/>
        <v>2.76666666666667</v>
      </c>
      <c r="N5" s="3" t="s">
        <v>7560</v>
      </c>
      <c r="O5">
        <v>1</v>
      </c>
      <c r="P5" s="4">
        <v>1.5</v>
      </c>
      <c r="Q5">
        <v>0</v>
      </c>
      <c r="T5">
        <v>1</v>
      </c>
      <c r="U5">
        <v>2.3</v>
      </c>
      <c r="V5">
        <v>1</v>
      </c>
      <c r="W5">
        <v>6</v>
      </c>
      <c r="X5" s="7">
        <v>1</v>
      </c>
      <c r="Y5">
        <v>-0.1</v>
      </c>
      <c r="Z5">
        <v>0</v>
      </c>
      <c r="AF5">
        <v>0</v>
      </c>
      <c r="AN5" s="8"/>
      <c r="AP5" s="8">
        <v>1021</v>
      </c>
      <c r="AQ5" s="3" t="s">
        <v>136</v>
      </c>
      <c r="AR5" s="11"/>
    </row>
    <row r="6" spans="1:44">
      <c r="A6" s="3">
        <v>384</v>
      </c>
      <c r="B6" s="3" t="s">
        <v>1508</v>
      </c>
      <c r="C6" s="6" t="s">
        <v>1524</v>
      </c>
      <c r="D6">
        <v>1</v>
      </c>
      <c r="E6" s="4">
        <v>0</v>
      </c>
      <c r="F6" s="3"/>
      <c r="G6" s="3">
        <v>1</v>
      </c>
      <c r="H6" s="5" t="s">
        <v>7561</v>
      </c>
      <c r="I6">
        <v>2.66666666666667</v>
      </c>
      <c r="J6">
        <v>2.66666666666667</v>
      </c>
      <c r="K6" s="3"/>
      <c r="L6" s="3">
        <v>1</v>
      </c>
      <c r="M6">
        <f t="shared" si="0"/>
        <v>2.26666666666667</v>
      </c>
      <c r="N6" s="3" t="s">
        <v>7562</v>
      </c>
      <c r="O6">
        <v>1</v>
      </c>
      <c r="P6" s="4">
        <v>1.5</v>
      </c>
      <c r="Q6">
        <v>0</v>
      </c>
      <c r="V6">
        <v>1</v>
      </c>
      <c r="W6">
        <v>8</v>
      </c>
      <c r="X6" s="7">
        <v>1</v>
      </c>
      <c r="Y6">
        <v>-0.1</v>
      </c>
      <c r="Z6">
        <v>0</v>
      </c>
      <c r="AF6">
        <v>0</v>
      </c>
      <c r="AN6" s="8">
        <v>1022</v>
      </c>
      <c r="AO6" s="3" t="s">
        <v>136</v>
      </c>
      <c r="AP6" s="9"/>
      <c r="AQ6" s="3"/>
      <c r="AR6" s="11"/>
    </row>
    <row r="7" spans="1:44">
      <c r="A7" s="3">
        <v>385</v>
      </c>
      <c r="B7" s="3" t="s">
        <v>1508</v>
      </c>
      <c r="C7" s="6" t="s">
        <v>1527</v>
      </c>
      <c r="D7">
        <v>1</v>
      </c>
      <c r="E7" s="4">
        <v>0</v>
      </c>
      <c r="F7" s="3"/>
      <c r="G7" s="3">
        <v>1</v>
      </c>
      <c r="H7" s="5" t="s">
        <v>7563</v>
      </c>
      <c r="I7">
        <v>11.3333333333333</v>
      </c>
      <c r="J7">
        <v>11.3333333333333</v>
      </c>
      <c r="K7" s="3"/>
      <c r="L7" s="3">
        <v>1</v>
      </c>
      <c r="M7">
        <f t="shared" si="0"/>
        <v>10.9333333333333</v>
      </c>
      <c r="N7" s="3" t="s">
        <v>7564</v>
      </c>
      <c r="O7">
        <v>1</v>
      </c>
      <c r="P7" s="4">
        <v>1.5</v>
      </c>
      <c r="Q7">
        <v>0</v>
      </c>
      <c r="V7">
        <v>1</v>
      </c>
      <c r="W7">
        <v>6</v>
      </c>
      <c r="X7" s="7">
        <v>1</v>
      </c>
      <c r="Y7">
        <v>-0.1</v>
      </c>
      <c r="Z7">
        <v>0</v>
      </c>
      <c r="AD7">
        <v>1</v>
      </c>
      <c r="AE7" t="s">
        <v>1530</v>
      </c>
      <c r="AF7">
        <v>0.5</v>
      </c>
      <c r="AN7" s="8"/>
      <c r="AP7" s="8">
        <v>1023</v>
      </c>
      <c r="AQ7" s="3" t="s">
        <v>136</v>
      </c>
      <c r="AR7" s="11"/>
    </row>
    <row r="8" spans="1:44">
      <c r="A8" s="3">
        <v>386</v>
      </c>
      <c r="B8" s="3" t="s">
        <v>1508</v>
      </c>
      <c r="C8" s="6" t="s">
        <v>1532</v>
      </c>
      <c r="D8">
        <v>1</v>
      </c>
      <c r="E8" s="4">
        <v>0</v>
      </c>
      <c r="F8" s="3"/>
      <c r="G8" s="3">
        <v>1</v>
      </c>
      <c r="H8" s="5" t="s">
        <v>7565</v>
      </c>
      <c r="I8">
        <v>8</v>
      </c>
      <c r="J8">
        <v>8</v>
      </c>
      <c r="K8" s="3"/>
      <c r="L8" s="3">
        <v>1</v>
      </c>
      <c r="M8">
        <f t="shared" si="0"/>
        <v>7.6</v>
      </c>
      <c r="N8" s="3" t="s">
        <v>7566</v>
      </c>
      <c r="O8">
        <v>1</v>
      </c>
      <c r="P8" s="4">
        <v>1.5</v>
      </c>
      <c r="Q8">
        <v>0</v>
      </c>
      <c r="V8">
        <v>1</v>
      </c>
      <c r="W8">
        <v>0</v>
      </c>
      <c r="X8" s="7">
        <v>1</v>
      </c>
      <c r="Y8">
        <v>-0.1</v>
      </c>
      <c r="Z8">
        <v>0</v>
      </c>
      <c r="AD8">
        <v>1</v>
      </c>
      <c r="AE8" t="s">
        <v>7567</v>
      </c>
      <c r="AF8">
        <v>0.5</v>
      </c>
      <c r="AN8" s="8">
        <v>1025</v>
      </c>
      <c r="AO8" t="s">
        <v>690</v>
      </c>
      <c r="AP8" s="8">
        <v>1024</v>
      </c>
      <c r="AQ8" s="3" t="s">
        <v>7568</v>
      </c>
      <c r="AR8" s="11"/>
    </row>
    <row r="9" spans="1:44">
      <c r="A9" s="3"/>
      <c r="B9" s="3"/>
      <c r="C9" s="3"/>
      <c r="F9" s="3"/>
      <c r="G9" s="3"/>
      <c r="H9" s="5"/>
      <c r="K9" s="3"/>
      <c r="N9" s="3"/>
      <c r="X9" s="7"/>
      <c r="AN9" s="8"/>
      <c r="AP9" s="9"/>
      <c r="AQ9" s="3"/>
      <c r="AR9" s="11"/>
    </row>
    <row r="10" spans="1:41">
      <c r="A10">
        <v>379</v>
      </c>
      <c r="B10" t="s">
        <v>1508</v>
      </c>
      <c r="C10" t="s">
        <v>526</v>
      </c>
      <c r="D10">
        <v>1</v>
      </c>
      <c r="E10">
        <v>0</v>
      </c>
      <c r="G10">
        <v>1</v>
      </c>
      <c r="H10" t="s">
        <v>1509</v>
      </c>
      <c r="I10">
        <v>3.03333333333333</v>
      </c>
      <c r="J10">
        <v>3.03333333333333</v>
      </c>
      <c r="L10">
        <v>1</v>
      </c>
      <c r="M10">
        <v>2.63333333333333</v>
      </c>
      <c r="N10" s="3" t="s">
        <v>7553</v>
      </c>
      <c r="O10">
        <v>1</v>
      </c>
      <c r="P10">
        <v>1.5</v>
      </c>
      <c r="Q10">
        <v>0</v>
      </c>
      <c r="T10">
        <v>0.5</v>
      </c>
      <c r="U10">
        <v>1</v>
      </c>
      <c r="V10">
        <v>1</v>
      </c>
      <c r="W10">
        <v>0</v>
      </c>
      <c r="X10">
        <v>1</v>
      </c>
      <c r="Y10">
        <v>-0.1</v>
      </c>
      <c r="Z10">
        <v>0</v>
      </c>
      <c r="AF10">
        <v>0</v>
      </c>
      <c r="AN10">
        <v>1017</v>
      </c>
      <c r="AO10" t="s">
        <v>136</v>
      </c>
    </row>
    <row r="11" spans="1:44">
      <c r="A11" s="3">
        <v>380</v>
      </c>
      <c r="B11" s="3" t="s">
        <v>1508</v>
      </c>
      <c r="C11" s="3" t="s">
        <v>1511</v>
      </c>
      <c r="D11">
        <v>1</v>
      </c>
      <c r="E11">
        <v>0</v>
      </c>
      <c r="F11" s="3"/>
      <c r="G11" s="3">
        <v>1</v>
      </c>
      <c r="H11" s="5" t="s">
        <v>1512</v>
      </c>
      <c r="I11">
        <v>3</v>
      </c>
      <c r="J11">
        <v>3</v>
      </c>
      <c r="K11" s="3"/>
      <c r="L11">
        <v>1</v>
      </c>
      <c r="M11">
        <v>2.6</v>
      </c>
      <c r="N11" s="3" t="s">
        <v>7222</v>
      </c>
      <c r="O11">
        <v>1</v>
      </c>
      <c r="P11">
        <v>1.5</v>
      </c>
      <c r="Q11">
        <v>0</v>
      </c>
      <c r="S11">
        <v>-1</v>
      </c>
      <c r="U11">
        <v>0.8</v>
      </c>
      <c r="V11">
        <v>1</v>
      </c>
      <c r="W11">
        <v>4</v>
      </c>
      <c r="X11" s="7">
        <v>1</v>
      </c>
      <c r="Y11">
        <v>-0.1</v>
      </c>
      <c r="Z11">
        <v>0</v>
      </c>
      <c r="AF11">
        <v>0</v>
      </c>
      <c r="AN11" s="8">
        <v>1018</v>
      </c>
      <c r="AO11" t="s">
        <v>136</v>
      </c>
      <c r="AP11" s="9"/>
      <c r="AQ11" s="3"/>
      <c r="AR11" s="11"/>
    </row>
    <row r="12" spans="1:44">
      <c r="A12" s="3">
        <v>381</v>
      </c>
      <c r="B12" s="3" t="s">
        <v>1508</v>
      </c>
      <c r="C12" s="3" t="s">
        <v>1514</v>
      </c>
      <c r="D12">
        <v>1</v>
      </c>
      <c r="E12">
        <v>0</v>
      </c>
      <c r="F12" s="3"/>
      <c r="G12" s="3">
        <v>1</v>
      </c>
      <c r="H12" s="5" t="s">
        <v>1515</v>
      </c>
      <c r="I12">
        <v>4.33333333333333</v>
      </c>
      <c r="J12">
        <v>4.33333333333333</v>
      </c>
      <c r="K12" s="3"/>
      <c r="L12">
        <v>0</v>
      </c>
      <c r="M12">
        <v>3.93333333333333</v>
      </c>
      <c r="N12" s="3" t="s">
        <v>7556</v>
      </c>
      <c r="O12">
        <v>1</v>
      </c>
      <c r="P12">
        <v>1.5</v>
      </c>
      <c r="Q12">
        <v>0</v>
      </c>
      <c r="V12">
        <v>1</v>
      </c>
      <c r="W12">
        <v>0</v>
      </c>
      <c r="X12" s="7">
        <v>1</v>
      </c>
      <c r="Y12">
        <v>-0.1</v>
      </c>
      <c r="Z12">
        <v>0</v>
      </c>
      <c r="AD12">
        <v>1</v>
      </c>
      <c r="AE12" t="s">
        <v>1517</v>
      </c>
      <c r="AF12">
        <v>0.5</v>
      </c>
      <c r="AN12" s="9">
        <v>1019</v>
      </c>
      <c r="AO12" s="3" t="s">
        <v>136</v>
      </c>
      <c r="AP12" s="12"/>
      <c r="AQ12" s="3"/>
      <c r="AR12" s="11"/>
    </row>
    <row r="13" spans="1:44">
      <c r="A13" s="3">
        <v>382</v>
      </c>
      <c r="B13" s="3" t="s">
        <v>1508</v>
      </c>
      <c r="C13" s="3" t="s">
        <v>1518</v>
      </c>
      <c r="D13">
        <v>1</v>
      </c>
      <c r="E13">
        <v>0</v>
      </c>
      <c r="F13" s="3"/>
      <c r="G13" s="3">
        <v>1</v>
      </c>
      <c r="H13" s="5" t="s">
        <v>1519</v>
      </c>
      <c r="I13">
        <v>2</v>
      </c>
      <c r="J13">
        <v>2</v>
      </c>
      <c r="K13" s="3"/>
      <c r="L13">
        <v>0</v>
      </c>
      <c r="M13">
        <v>1.6</v>
      </c>
      <c r="N13" s="3" t="s">
        <v>7558</v>
      </c>
      <c r="O13">
        <v>1</v>
      </c>
      <c r="P13">
        <v>1.5</v>
      </c>
      <c r="Q13">
        <v>0</v>
      </c>
      <c r="V13">
        <v>1</v>
      </c>
      <c r="W13">
        <v>0</v>
      </c>
      <c r="X13" s="7">
        <v>1</v>
      </c>
      <c r="Y13">
        <v>-0.1</v>
      </c>
      <c r="Z13">
        <v>0</v>
      </c>
      <c r="AF13">
        <v>0</v>
      </c>
      <c r="AN13" s="9">
        <v>1020</v>
      </c>
      <c r="AO13" s="3" t="s">
        <v>136</v>
      </c>
      <c r="AP13" s="12"/>
      <c r="AQ13" s="3"/>
      <c r="AR13" s="11"/>
    </row>
    <row r="14" spans="1:44">
      <c r="A14" s="3">
        <v>383</v>
      </c>
      <c r="B14" s="3" t="s">
        <v>1508</v>
      </c>
      <c r="C14" s="3" t="s">
        <v>1521</v>
      </c>
      <c r="D14">
        <v>1</v>
      </c>
      <c r="E14">
        <v>0</v>
      </c>
      <c r="F14" s="3"/>
      <c r="G14" s="3">
        <v>1</v>
      </c>
      <c r="H14" s="5" t="s">
        <v>1522</v>
      </c>
      <c r="I14">
        <v>3.16666666666667</v>
      </c>
      <c r="J14">
        <v>3.16666666666667</v>
      </c>
      <c r="K14" s="3"/>
      <c r="L14">
        <v>1</v>
      </c>
      <c r="M14">
        <v>2.76666666666667</v>
      </c>
      <c r="N14" s="3" t="s">
        <v>7560</v>
      </c>
      <c r="O14">
        <v>1</v>
      </c>
      <c r="P14">
        <v>1.5</v>
      </c>
      <c r="Q14">
        <v>0</v>
      </c>
      <c r="T14">
        <v>1</v>
      </c>
      <c r="U14">
        <v>2.3</v>
      </c>
      <c r="V14">
        <v>1</v>
      </c>
      <c r="W14">
        <v>6</v>
      </c>
      <c r="X14" s="7">
        <v>1</v>
      </c>
      <c r="Y14">
        <v>-0.1</v>
      </c>
      <c r="Z14">
        <v>0</v>
      </c>
      <c r="AF14">
        <v>0</v>
      </c>
      <c r="AN14" s="8"/>
      <c r="AP14" s="8">
        <v>1021</v>
      </c>
      <c r="AQ14" s="3" t="s">
        <v>136</v>
      </c>
      <c r="AR14" s="11"/>
    </row>
    <row r="15" spans="1:44">
      <c r="A15" s="3">
        <v>384</v>
      </c>
      <c r="B15" s="3" t="s">
        <v>1508</v>
      </c>
      <c r="C15" s="3" t="s">
        <v>1524</v>
      </c>
      <c r="D15">
        <v>1</v>
      </c>
      <c r="E15">
        <v>0</v>
      </c>
      <c r="F15" s="3"/>
      <c r="G15" s="3">
        <v>1</v>
      </c>
      <c r="H15" s="5" t="s">
        <v>1525</v>
      </c>
      <c r="I15">
        <v>2.66666666666667</v>
      </c>
      <c r="J15">
        <v>2.66666666666667</v>
      </c>
      <c r="K15" s="3"/>
      <c r="L15">
        <v>1</v>
      </c>
      <c r="M15">
        <v>2.26666666666667</v>
      </c>
      <c r="N15" s="3" t="s">
        <v>7562</v>
      </c>
      <c r="O15">
        <v>1</v>
      </c>
      <c r="P15">
        <v>1.5</v>
      </c>
      <c r="Q15">
        <v>0</v>
      </c>
      <c r="S15">
        <v>-1</v>
      </c>
      <c r="T15">
        <v>1</v>
      </c>
      <c r="U15">
        <v>1</v>
      </c>
      <c r="V15">
        <v>1</v>
      </c>
      <c r="W15">
        <v>6</v>
      </c>
      <c r="X15" s="7">
        <v>1</v>
      </c>
      <c r="Y15">
        <v>-0.1</v>
      </c>
      <c r="Z15">
        <v>0</v>
      </c>
      <c r="AF15">
        <v>0</v>
      </c>
      <c r="AN15" s="9">
        <v>1022</v>
      </c>
      <c r="AO15" s="3" t="s">
        <v>136</v>
      </c>
      <c r="AP15" s="12"/>
      <c r="AQ15" s="3"/>
      <c r="AR15" s="11"/>
    </row>
    <row r="16" spans="1:44">
      <c r="A16" s="3">
        <v>385</v>
      </c>
      <c r="B16" s="3" t="s">
        <v>1508</v>
      </c>
      <c r="C16" s="3" t="s">
        <v>1527</v>
      </c>
      <c r="D16">
        <v>1</v>
      </c>
      <c r="E16">
        <v>0</v>
      </c>
      <c r="F16" s="3"/>
      <c r="G16" s="3">
        <v>1</v>
      </c>
      <c r="H16" s="5" t="s">
        <v>1528</v>
      </c>
      <c r="I16">
        <v>11.3333333333333</v>
      </c>
      <c r="J16">
        <v>11.3333333333333</v>
      </c>
      <c r="K16" s="3"/>
      <c r="L16">
        <v>1</v>
      </c>
      <c r="M16">
        <v>10.9333333333333</v>
      </c>
      <c r="N16" s="3" t="s">
        <v>7564</v>
      </c>
      <c r="O16">
        <v>1</v>
      </c>
      <c r="P16">
        <v>1.5</v>
      </c>
      <c r="Q16">
        <v>0</v>
      </c>
      <c r="V16">
        <v>1</v>
      </c>
      <c r="W16">
        <v>6</v>
      </c>
      <c r="X16" s="7">
        <v>1</v>
      </c>
      <c r="Y16">
        <v>-0.1</v>
      </c>
      <c r="Z16">
        <v>0</v>
      </c>
      <c r="AD16">
        <v>1</v>
      </c>
      <c r="AE16" t="s">
        <v>1530</v>
      </c>
      <c r="AF16">
        <v>0.5</v>
      </c>
      <c r="AN16" s="8"/>
      <c r="AP16" s="9">
        <v>1023</v>
      </c>
      <c r="AQ16" s="3" t="s">
        <v>136</v>
      </c>
      <c r="AR16" s="11"/>
    </row>
    <row r="17" spans="1:44">
      <c r="A17" s="3">
        <v>386</v>
      </c>
      <c r="B17" s="3" t="s">
        <v>1508</v>
      </c>
      <c r="C17" s="3" t="s">
        <v>1532</v>
      </c>
      <c r="D17">
        <v>1</v>
      </c>
      <c r="E17">
        <v>0</v>
      </c>
      <c r="F17" s="3"/>
      <c r="G17" s="3">
        <v>1</v>
      </c>
      <c r="H17" s="5" t="s">
        <v>1533</v>
      </c>
      <c r="I17">
        <v>8</v>
      </c>
      <c r="J17">
        <v>8</v>
      </c>
      <c r="K17" s="3"/>
      <c r="L17">
        <v>1</v>
      </c>
      <c r="M17">
        <v>7.6</v>
      </c>
      <c r="N17" s="3" t="s">
        <v>7566</v>
      </c>
      <c r="O17">
        <v>1</v>
      </c>
      <c r="P17">
        <v>1.5</v>
      </c>
      <c r="Q17">
        <v>0</v>
      </c>
      <c r="V17">
        <v>1</v>
      </c>
      <c r="W17">
        <v>0</v>
      </c>
      <c r="X17" s="7">
        <v>1</v>
      </c>
      <c r="Y17">
        <v>-0.1</v>
      </c>
      <c r="Z17">
        <v>0</v>
      </c>
      <c r="AD17">
        <v>1</v>
      </c>
      <c r="AE17" t="s">
        <v>1535</v>
      </c>
      <c r="AF17">
        <v>0.5</v>
      </c>
      <c r="AN17" s="10">
        <v>1025</v>
      </c>
      <c r="AO17" s="3" t="s">
        <v>690</v>
      </c>
      <c r="AP17" s="12">
        <v>1024</v>
      </c>
      <c r="AQ17" s="3" t="s">
        <v>1536</v>
      </c>
      <c r="AR17" s="11"/>
    </row>
    <row r="18" spans="1:44">
      <c r="A18" s="3"/>
      <c r="B18" s="3"/>
      <c r="C18" s="3"/>
      <c r="F18" s="3"/>
      <c r="G18" s="3"/>
      <c r="H18" s="5"/>
      <c r="K18" s="3"/>
      <c r="N18" s="3"/>
      <c r="X18" s="7"/>
      <c r="AN18" s="9"/>
      <c r="AO18" s="3"/>
      <c r="AP18" s="12"/>
      <c r="AQ18" s="3"/>
      <c r="AR18" s="11"/>
    </row>
    <row r="19" spans="1:44">
      <c r="A19" s="3"/>
      <c r="B19" s="3"/>
      <c r="C19" s="3"/>
      <c r="F19" s="3"/>
      <c r="G19" s="3"/>
      <c r="H19" s="5"/>
      <c r="K19" s="3"/>
      <c r="N19" s="3"/>
      <c r="X19" s="7"/>
      <c r="AN19" s="8"/>
      <c r="AP19" s="9"/>
      <c r="AQ19" s="3"/>
      <c r="AR19" s="11"/>
    </row>
  </sheetData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1:G23"/>
  <sheetViews>
    <sheetView topLeftCell="A13" workbookViewId="0">
      <selection activeCell="E23" sqref="E23"/>
    </sheetView>
  </sheetViews>
  <sheetFormatPr defaultColWidth="9" defaultRowHeight="14.25" outlineLevelCol="6"/>
  <sheetData>
    <row r="11" spans="5:7">
      <c r="E11" s="1">
        <v>-0.5</v>
      </c>
      <c r="F11" s="1">
        <v>-0.2</v>
      </c>
      <c r="G11" s="1">
        <v>0.5</v>
      </c>
    </row>
    <row r="15" spans="4:6">
      <c r="D15" s="2">
        <v>1.2</v>
      </c>
      <c r="E15" s="2">
        <v>-0.5</v>
      </c>
      <c r="F15" s="2">
        <v>0.5</v>
      </c>
    </row>
    <row r="23" spans="5:5">
      <c r="E23">
        <v>720082</v>
      </c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Sheet3</vt:lpstr>
      <vt:lpstr>Sheet2</vt:lpstr>
      <vt:lpstr>目标选取规则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wangminxi</cp:lastModifiedBy>
  <dcterms:created xsi:type="dcterms:W3CDTF">2016-10-21T06:27:00Z</dcterms:created>
  <dcterms:modified xsi:type="dcterms:W3CDTF">2026-02-07T05:36:11Z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KSOReadingLayout">
    <vt:bool>true</vt:bool>
  </property>
  <property fmtid="{D5CDD505-2E9C-101B-9397-08002B2CF9AE}" pid="4" name="ICV">
    <vt:lpwstr>F7902A35EC324316957B01345F3EB2AC</vt:lpwstr>
  </property>
</Properties>
</file>