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52" windowHeight="129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'Sheet1'!$A$6:$G$146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color rgb="FFFF0000"/>
      <sz val="10"/>
      <scheme val="minor"/>
    </font>
    <font>
      <name val="宋体"/>
      <charset val="134"/>
      <color rgb="FFFF0000"/>
      <sz val="11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olor rgb="00FF0000"/>
      <sz val="11"/>
    </font>
  </fonts>
  <fills count="36">
    <fill>
      <patternFill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BD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7" borderId="4" applyAlignment="1">
      <alignment vertical="center"/>
    </xf>
    <xf numFmtId="0" fontId="14" fillId="8" borderId="5" applyAlignment="1">
      <alignment vertical="center"/>
    </xf>
    <xf numFmtId="0" fontId="15" fillId="8" borderId="4" applyAlignment="1">
      <alignment vertical="center"/>
    </xf>
    <xf numFmtId="0" fontId="16" fillId="9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4" fillId="0" borderId="0" pivotButton="0" quotePrefix="0" xfId="0"/>
    <xf numFmtId="9" fontId="0" fillId="0" borderId="0" pivotButton="0" quotePrefix="0" xfId="0"/>
    <xf numFmtId="49" fontId="0" fillId="0" borderId="0" applyAlignment="1" pivotButton="0" quotePrefix="0" xfId="0">
      <alignment horizontal="right"/>
    </xf>
    <xf numFmtId="0" fontId="3" fillId="3" borderId="0" pivotButton="0" quotePrefix="0" xfId="0"/>
    <xf numFmtId="9" fontId="0" fillId="3" borderId="0" pivotButton="0" quotePrefix="0" xfId="0"/>
    <xf numFmtId="0" fontId="3" fillId="5" borderId="0" pivotButton="0" quotePrefix="0" xfId="0"/>
    <xf numFmtId="0" fontId="0" fillId="5" borderId="0" pivotButton="0" quotePrefix="0" xfId="0"/>
    <xf numFmtId="9" fontId="0" fillId="5" borderId="0" pivotButton="0" quotePrefix="0" xfId="0"/>
    <xf numFmtId="0" fontId="24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54"/>
  <sheetViews>
    <sheetView tabSelected="1" workbookViewId="0">
      <pane ySplit="6" topLeftCell="A124" activePane="bottomLeft" state="frozen"/>
      <selection activeCell="A1" sqref="A1"/>
      <selection pane="bottomLeft" activeCell="C150" sqref="C150"/>
    </sheetView>
  </sheetViews>
  <sheetFormatPr baseColWidth="8" defaultColWidth="9" defaultRowHeight="13.5"/>
  <cols>
    <col width="15" customWidth="1" min="2" max="2"/>
    <col width="7.36283185840708" customWidth="1" min="3" max="3"/>
    <col width="12.6371681415929" customWidth="1" min="5" max="5"/>
    <col width="49.7256637168142" customWidth="1" min="7" max="7"/>
  </cols>
  <sheetData>
    <row r="1">
      <c r="A1" t="n">
        <v>7</v>
      </c>
      <c r="B1" t="n">
        <v>1</v>
      </c>
      <c r="C1" t="n">
        <v>9999</v>
      </c>
      <c r="D1" t="n">
        <v>6</v>
      </c>
    </row>
    <row r="2">
      <c r="A2" t="inlineStr">
        <is>
          <t>自增id</t>
        </is>
      </c>
      <c r="B2" t="inlineStr">
        <is>
          <t>目标选取范围</t>
        </is>
      </c>
      <c r="C2" t="inlineStr">
        <is>
          <t>档次</t>
        </is>
      </c>
      <c r="D2" t="inlineStr">
        <is>
          <t>基础概率</t>
        </is>
      </c>
      <c r="E2" t="inlineStr">
        <is>
          <t>每级增长概率</t>
        </is>
      </c>
      <c r="F2" t="inlineStr">
        <is>
          <t>最大概率</t>
        </is>
      </c>
      <c r="G2" t="inlineStr">
        <is>
          <t>EmptyKey-G2</t>
        </is>
      </c>
    </row>
    <row r="3">
      <c r="A3" t="inlineStr">
        <is>
          <t>int</t>
        </is>
      </c>
      <c r="B3" t="inlineStr">
        <is>
          <t>int</t>
        </is>
      </c>
      <c r="C3" t="inlineStr">
        <is>
          <t>int</t>
        </is>
      </c>
      <c r="D3" t="inlineStr">
        <is>
          <t>double</t>
        </is>
      </c>
      <c r="E3" t="inlineStr">
        <is>
          <t>double</t>
        </is>
      </c>
      <c r="F3" t="inlineStr">
        <is>
          <t>double</t>
        </is>
      </c>
    </row>
    <row r="4">
      <c r="A4" t="inlineStr">
        <is>
          <t>primary</t>
        </is>
      </c>
      <c r="B4" t="inlineStr">
        <is>
          <t>index</t>
        </is>
      </c>
      <c r="C4" t="inlineStr">
        <is>
          <t>index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</row>
    <row r="5">
      <c r="A5" t="inlineStr">
        <is>
          <t>id</t>
        </is>
      </c>
      <c r="B5" t="inlineStr">
        <is>
          <t>selectRuleMuti</t>
        </is>
      </c>
      <c r="C5" t="inlineStr">
        <is>
          <t>grade</t>
        </is>
      </c>
      <c r="D5" t="inlineStr">
        <is>
          <t>baseVal</t>
        </is>
      </c>
      <c r="E5" t="inlineStr">
        <is>
          <t>levelupVal</t>
        </is>
      </c>
      <c r="F5" t="inlineStr">
        <is>
          <t>maxVal</t>
        </is>
      </c>
    </row>
    <row r="6">
      <c r="A6" t="n">
        <v>1</v>
      </c>
      <c r="B6" t="n">
        <v>0</v>
      </c>
      <c r="C6" t="n">
        <v>0</v>
      </c>
      <c r="D6">
        <f>F7-E7*9</f>
        <v/>
      </c>
      <c r="E6" t="n">
        <v>0.05</v>
      </c>
      <c r="F6" t="n">
        <v>1</v>
      </c>
      <c r="G6" t="inlineStr">
        <is>
          <t>单体</t>
        </is>
      </c>
    </row>
    <row r="7">
      <c r="A7" t="n">
        <v>2</v>
      </c>
      <c r="B7" t="n">
        <v>1</v>
      </c>
      <c r="C7" t="n">
        <v>0</v>
      </c>
      <c r="D7">
        <f>F8-E8*9</f>
        <v/>
      </c>
      <c r="E7" t="n">
        <v>0.03</v>
      </c>
      <c r="F7" t="n">
        <v>0.64</v>
      </c>
      <c r="G7" t="inlineStr">
        <is>
          <t>十字</t>
        </is>
      </c>
    </row>
    <row r="8">
      <c r="A8" t="n">
        <v>3</v>
      </c>
      <c r="B8" t="n">
        <v>2</v>
      </c>
      <c r="C8" t="n">
        <v>0</v>
      </c>
      <c r="D8">
        <f>F9-E9*9</f>
        <v/>
      </c>
      <c r="E8" t="n">
        <v>0.04</v>
      </c>
      <c r="F8" t="n">
        <v>0.84</v>
      </c>
      <c r="G8" t="inlineStr">
        <is>
          <t>直线-两格</t>
        </is>
      </c>
    </row>
    <row r="9">
      <c r="A9" t="n">
        <v>4</v>
      </c>
      <c r="B9" t="n">
        <v>3</v>
      </c>
      <c r="C9" t="n">
        <v>0</v>
      </c>
      <c r="D9">
        <f>F10-E10*9</f>
        <v/>
      </c>
      <c r="E9" t="n">
        <v>0.04</v>
      </c>
      <c r="F9" t="n">
        <v>0.71</v>
      </c>
      <c r="G9" t="inlineStr">
        <is>
          <t>直线-三格</t>
        </is>
      </c>
    </row>
    <row r="10">
      <c r="A10" t="n">
        <v>5</v>
      </c>
      <c r="B10" t="n">
        <v>4</v>
      </c>
      <c r="C10" t="n">
        <v>0</v>
      </c>
      <c r="D10">
        <f>F11-E11*9</f>
        <v/>
      </c>
      <c r="E10" t="n">
        <v>0.04</v>
      </c>
      <c r="F10" t="n">
        <v>0.68</v>
      </c>
      <c r="G10" t="inlineStr">
        <is>
          <t>直线-四格</t>
        </is>
      </c>
    </row>
    <row r="11">
      <c r="A11" t="n">
        <v>6</v>
      </c>
      <c r="B11" t="n">
        <v>5</v>
      </c>
      <c r="C11" t="n">
        <v>0</v>
      </c>
      <c r="D11">
        <f>F12-E12*9</f>
        <v/>
      </c>
      <c r="E11" t="n">
        <v>0.02</v>
      </c>
      <c r="F11" t="n">
        <v>0.4</v>
      </c>
      <c r="G11" t="inlineStr">
        <is>
          <t>九宫格</t>
        </is>
      </c>
    </row>
    <row r="12">
      <c r="A12" t="n">
        <v>7</v>
      </c>
      <c r="B12" t="n">
        <v>6</v>
      </c>
      <c r="C12" t="n">
        <v>0</v>
      </c>
      <c r="D12">
        <f>F13-E13*9</f>
        <v/>
      </c>
      <c r="E12" t="n">
        <v>0.02</v>
      </c>
      <c r="F12" t="n">
        <v>0.31</v>
      </c>
      <c r="G12" t="inlineStr">
        <is>
          <t>全体</t>
        </is>
      </c>
    </row>
    <row r="13">
      <c r="A13" t="n">
        <v>8</v>
      </c>
      <c r="B13" t="n">
        <v>7</v>
      </c>
      <c r="C13" t="n">
        <v>0</v>
      </c>
      <c r="D13">
        <f>F14-E14*9</f>
        <v/>
      </c>
      <c r="E13" t="n">
        <v>0.04</v>
      </c>
      <c r="F13" t="n">
        <v>0.71</v>
      </c>
      <c r="G13" t="inlineStr">
        <is>
          <t>横排</t>
        </is>
      </c>
    </row>
    <row r="14">
      <c r="A14" t="n">
        <v>9</v>
      </c>
      <c r="B14" t="n">
        <v>8</v>
      </c>
      <c r="C14" t="n">
        <v>0</v>
      </c>
      <c r="D14">
        <f>F15-E15*9</f>
        <v/>
      </c>
      <c r="E14" t="n">
        <v>0.02</v>
      </c>
      <c r="F14" t="n">
        <v>0.5</v>
      </c>
      <c r="G14" t="inlineStr">
        <is>
          <t>双排</t>
        </is>
      </c>
    </row>
    <row r="15">
      <c r="A15" t="n">
        <v>10</v>
      </c>
      <c r="B15" s="3" t="n">
        <v>9</v>
      </c>
      <c r="C15" s="3" t="n">
        <v>0</v>
      </c>
      <c r="D15" s="3">
        <f>F16-E16*9</f>
        <v/>
      </c>
      <c r="E15" s="3" t="n">
        <v>0.02</v>
      </c>
      <c r="F15" s="3" t="n">
        <v>0.5</v>
      </c>
      <c r="G15" s="3" t="inlineStr">
        <is>
          <t>X型范围：已目标为中心的X范围</t>
        </is>
      </c>
    </row>
    <row r="16" customFormat="1" s="3">
      <c r="A16" t="n">
        <v>11</v>
      </c>
      <c r="B16" s="3" t="n">
        <v>10</v>
      </c>
      <c r="C16" s="3" t="n">
        <v>0</v>
      </c>
      <c r="D16" s="3">
        <f>F17-E17*9</f>
        <v/>
      </c>
      <c r="E16" s="3" t="n">
        <v>0.02</v>
      </c>
      <c r="F16" s="3" t="n">
        <v>0.5</v>
      </c>
      <c r="G16" s="3" t="inlineStr">
        <is>
          <t>T型范围：目标为中心的横排三格以及其身后的直线三格</t>
        </is>
      </c>
    </row>
    <row r="17" customFormat="1" s="3">
      <c r="A17" t="n">
        <v>12</v>
      </c>
      <c r="B17" t="n">
        <v>11</v>
      </c>
      <c r="C17" t="n">
        <v>0</v>
      </c>
      <c r="D17">
        <f>F18-E18*9</f>
        <v/>
      </c>
      <c r="E17" t="n">
        <v>0.04</v>
      </c>
      <c r="F17" t="n">
        <v>0.84</v>
      </c>
      <c r="G17" t="inlineStr">
        <is>
          <t>目标及左边一格</t>
        </is>
      </c>
    </row>
    <row r="18" customFormat="1" s="3">
      <c r="A18" t="n">
        <v>13</v>
      </c>
      <c r="B18" t="n">
        <v>12</v>
      </c>
      <c r="C18" t="n">
        <v>0</v>
      </c>
      <c r="D18">
        <f>F19-E19*9</f>
        <v/>
      </c>
      <c r="E18" t="n">
        <v>0.04</v>
      </c>
      <c r="F18" t="n">
        <v>0.84</v>
      </c>
      <c r="G18" t="inlineStr">
        <is>
          <t>目标及右边一格</t>
        </is>
      </c>
    </row>
    <row r="19" customFormat="1" s="3">
      <c r="A19" t="n">
        <v>14</v>
      </c>
      <c r="B19" t="n">
        <v>13</v>
      </c>
      <c r="C19" t="n">
        <v>0</v>
      </c>
      <c r="D19">
        <f>F20-E20*9</f>
        <v/>
      </c>
      <c r="E19" t="n">
        <v>0.02</v>
      </c>
      <c r="F19" t="n">
        <v>0.4</v>
      </c>
      <c r="G19" t="inlineStr">
        <is>
          <t>横排九格：目标为中心的横排三格以及其身后的2个横排三格</t>
        </is>
      </c>
    </row>
    <row r="20" customFormat="1" s="3">
      <c r="A20" t="n">
        <v>15</v>
      </c>
      <c r="B20" t="n">
        <v>14</v>
      </c>
      <c r="C20" t="n">
        <v>0</v>
      </c>
      <c r="D20">
        <f>F21-E21*9</f>
        <v/>
      </c>
      <c r="E20" t="n">
        <v>0.05</v>
      </c>
      <c r="F20" t="n">
        <v>1</v>
      </c>
      <c r="G20" t="inlineStr">
        <is>
          <t>以目标为主，附带随机攻击1名其他单位</t>
        </is>
      </c>
    </row>
    <row r="21" customFormat="1" s="3">
      <c r="A21" t="n">
        <v>16</v>
      </c>
      <c r="B21" t="n">
        <v>15</v>
      </c>
      <c r="C21" t="n">
        <v>0</v>
      </c>
      <c r="D21">
        <f>F22-E22*9</f>
        <v/>
      </c>
      <c r="E21" t="n">
        <v>0.04</v>
      </c>
      <c r="F21" t="n">
        <v>0.84</v>
      </c>
      <c r="G21" t="inlineStr">
        <is>
          <t>以目标为主，附带随机攻击2名其他单位</t>
        </is>
      </c>
    </row>
    <row r="22" customFormat="1" s="3">
      <c r="A22" t="n">
        <v>17</v>
      </c>
      <c r="B22" t="n">
        <v>16</v>
      </c>
      <c r="C22" t="n">
        <v>0</v>
      </c>
      <c r="D22">
        <f>F23-E23*9</f>
        <v/>
      </c>
      <c r="E22" t="n">
        <v>0.05</v>
      </c>
      <c r="F22" t="n">
        <v>1</v>
      </c>
      <c r="G22" t="inlineStr">
        <is>
          <t>随机一名目标</t>
        </is>
      </c>
    </row>
    <row r="23" customFormat="1" s="3">
      <c r="A23" t="n">
        <v>18</v>
      </c>
      <c r="B23" t="n">
        <v>17</v>
      </c>
      <c r="C23" t="n">
        <v>0</v>
      </c>
      <c r="D23">
        <f>F24-E24*9</f>
        <v/>
      </c>
      <c r="E23" t="n">
        <v>0.04</v>
      </c>
      <c r="F23" t="n">
        <v>0.71</v>
      </c>
      <c r="G23" t="inlineStr">
        <is>
          <t>目标所在排</t>
        </is>
      </c>
    </row>
    <row r="24" customFormat="1" s="3">
      <c r="A24" t="n">
        <v>19</v>
      </c>
      <c r="B24" t="n">
        <v>18</v>
      </c>
      <c r="C24" t="n">
        <v>0</v>
      </c>
      <c r="D24">
        <f>F25-E25*9</f>
        <v/>
      </c>
      <c r="E24" t="n">
        <v>0.02</v>
      </c>
      <c r="F24" t="n">
        <v>0.5</v>
      </c>
      <c r="G24" t="inlineStr">
        <is>
          <t>目标所在排及其后一排</t>
        </is>
      </c>
    </row>
    <row r="25" customFormat="1" s="3">
      <c r="A25" t="n">
        <v>20</v>
      </c>
      <c r="B25" t="n">
        <v>19</v>
      </c>
      <c r="C25" t="n">
        <v>0</v>
      </c>
      <c r="D25">
        <f>F26-E26*9</f>
        <v/>
      </c>
      <c r="E25" t="n">
        <v>0.04</v>
      </c>
      <c r="F25" t="n">
        <v>0.68</v>
      </c>
      <c r="G25" t="inlineStr">
        <is>
          <t>目标所在列</t>
        </is>
      </c>
    </row>
    <row r="26" customFormat="1" s="3">
      <c r="A26" t="n">
        <v>21</v>
      </c>
      <c r="B26" t="n">
        <v>20</v>
      </c>
      <c r="C26" t="n">
        <v>0</v>
      </c>
      <c r="D26">
        <f>F27-E27*9</f>
        <v/>
      </c>
      <c r="E26" t="n">
        <v>0.05</v>
      </c>
      <c r="F26" t="n">
        <v>1</v>
      </c>
      <c r="G26" t="inlineStr">
        <is>
          <t>SelfRandomOne(20),//20.随机治疗1名己方单位</t>
        </is>
      </c>
    </row>
    <row r="27" customFormat="1" s="3">
      <c r="A27" t="n">
        <v>22</v>
      </c>
      <c r="B27" t="n">
        <v>21</v>
      </c>
      <c r="C27" t="n">
        <v>0</v>
      </c>
      <c r="D27">
        <f>F28-E28*9</f>
        <v/>
      </c>
      <c r="E27" t="n">
        <v>0.05</v>
      </c>
      <c r="F27" t="n">
        <v>1</v>
      </c>
      <c r="G27" t="inlineStr">
        <is>
          <t>SelfRandomOneExcept(21);//21.随机治疗1名己方除自己以外的其他单位</t>
        </is>
      </c>
    </row>
    <row r="28" customFormat="1" s="3">
      <c r="A28" t="n">
        <v>23</v>
      </c>
      <c r="B28" t="n">
        <v>22</v>
      </c>
      <c r="C28" t="n">
        <v>0</v>
      </c>
      <c r="D28">
        <f>F29-E29*9</f>
        <v/>
      </c>
      <c r="E28" t="n">
        <v>0.03</v>
      </c>
      <c r="F28" t="n">
        <v>0.64</v>
      </c>
      <c r="G28" t="inlineStr">
        <is>
          <t>WithBackCross(22); //22.目标及其身后的十字范围</t>
        </is>
      </c>
    </row>
    <row r="29" customFormat="1" s="3">
      <c r="A29" t="n">
        <v>24</v>
      </c>
      <c r="B29" t="n">
        <v>23</v>
      </c>
      <c r="C29" t="n">
        <v>0</v>
      </c>
      <c r="D29">
        <f>F30-E30*9</f>
        <v/>
      </c>
      <c r="E29" t="n">
        <v>0.05</v>
      </c>
      <c r="F29" t="n">
        <v>1</v>
      </c>
      <c r="G29" s="6" t="inlineStr">
        <is>
          <t>除自己以外血量最少</t>
        </is>
      </c>
    </row>
    <row r="30" customFormat="1" s="3">
      <c r="A30" t="n">
        <v>25</v>
      </c>
      <c r="B30" t="n">
        <v>24</v>
      </c>
      <c r="C30" t="n">
        <v>0</v>
      </c>
      <c r="D30">
        <f>F31-E31*9</f>
        <v/>
      </c>
      <c r="E30" t="n">
        <v>0.04</v>
      </c>
      <c r="F30" t="n">
        <v>0.71</v>
      </c>
      <c r="G30" s="6" t="inlineStr">
        <is>
          <t>RowAndFront(24),;//24.目标所在排及其前一排</t>
        </is>
      </c>
    </row>
    <row r="31" customFormat="1" s="3">
      <c r="A31" t="n">
        <v>26</v>
      </c>
      <c r="B31" t="n">
        <v>25</v>
      </c>
      <c r="C31" t="n">
        <v>0</v>
      </c>
      <c r="D31">
        <f>F32-E32*9</f>
        <v/>
      </c>
      <c r="E31" t="n">
        <v>0.05</v>
      </c>
      <c r="F31" t="n">
        <v>1</v>
      </c>
      <c r="G31" t="inlineStr">
        <is>
          <t>SelfMinPerhpExcept(25);//25.己方除自己以外的血量百分比最小单位</t>
        </is>
      </c>
    </row>
    <row r="32" customFormat="1" s="3">
      <c r="A32" t="n">
        <v>27</v>
      </c>
      <c r="B32" t="n">
        <v>26</v>
      </c>
      <c r="C32" t="n">
        <v>0</v>
      </c>
      <c r="D32">
        <f>F33-E33*9</f>
        <v/>
      </c>
      <c r="E32" t="n">
        <v>0.05</v>
      </c>
      <c r="F32" t="n">
        <v>1</v>
      </c>
      <c r="G32" s="6" t="inlineStr">
        <is>
          <t>SelfMinHp(26),//26.己方血量最小单位</t>
        </is>
      </c>
    </row>
    <row r="33" customFormat="1" s="3">
      <c r="A33" t="n">
        <v>28</v>
      </c>
      <c r="B33" t="n">
        <v>27</v>
      </c>
      <c r="C33" t="n">
        <v>0</v>
      </c>
      <c r="D33">
        <f>F34-E34*9</f>
        <v/>
      </c>
      <c r="E33" t="n">
        <v>0.05</v>
      </c>
      <c r="F33" t="n">
        <v>1</v>
      </c>
      <c r="G33" s="6" t="inlineStr">
        <is>
          <t>SelfMinPerhp(27);//27.己方血量百分比最小单位</t>
        </is>
      </c>
    </row>
    <row r="34" customFormat="1" s="3">
      <c r="A34" t="n">
        <v>29</v>
      </c>
      <c r="B34" s="4" t="n">
        <v>1001</v>
      </c>
      <c r="C34" s="4" t="n">
        <v>0</v>
      </c>
      <c r="D34" s="4" t="n">
        <v>1</v>
      </c>
      <c r="E34" s="4" t="n">
        <v>0</v>
      </c>
      <c r="F34" s="4" t="n">
        <v>1</v>
      </c>
      <c r="G34" s="4" t="inlineStr">
        <is>
          <t>宝石&amp;阵型-几率100% 说明：选取范围为1000以上的是纯被动技能</t>
        </is>
      </c>
    </row>
    <row r="35" customFormat="1" s="4">
      <c r="A35" t="n">
        <v>30</v>
      </c>
      <c r="B35" s="7" t="n">
        <v>1001</v>
      </c>
      <c r="C35" s="7" t="n">
        <v>1</v>
      </c>
      <c r="D35" s="7" t="n">
        <v>0.6</v>
      </c>
      <c r="E35" s="8" t="n">
        <v>0</v>
      </c>
      <c r="F35" s="8" t="n">
        <v>1</v>
      </c>
      <c r="G35" s="7" t="inlineStr">
        <is>
          <t>套装-几率60%</t>
        </is>
      </c>
    </row>
    <row r="36">
      <c r="A36" t="n">
        <v>31</v>
      </c>
      <c r="B36" s="7" t="n">
        <v>1001</v>
      </c>
      <c r="C36" s="7" t="n">
        <v>2</v>
      </c>
      <c r="D36" s="7" t="n">
        <v>0.5</v>
      </c>
      <c r="E36" s="8" t="n">
        <v>0</v>
      </c>
      <c r="F36" s="8" t="n">
        <v>1</v>
      </c>
      <c r="G36" s="7" t="inlineStr">
        <is>
          <t>套装-暴击25%获得1点魂玉</t>
        </is>
      </c>
    </row>
    <row r="37">
      <c r="A37" t="n">
        <v>32</v>
      </c>
      <c r="B37" s="7" t="n">
        <v>1001</v>
      </c>
      <c r="C37" s="7" t="n">
        <v>3</v>
      </c>
      <c r="D37" s="7" t="n">
        <v>0.3</v>
      </c>
      <c r="E37" s="8" t="n">
        <v>0</v>
      </c>
      <c r="F37" s="8" t="n">
        <v>1</v>
      </c>
      <c r="G37" s="7" t="inlineStr">
        <is>
          <t>套装-格挡时有30%几率增加1点魂玉</t>
        </is>
      </c>
    </row>
    <row r="38">
      <c r="A38" t="n">
        <v>33</v>
      </c>
      <c r="B38" s="7" t="n">
        <v>1001</v>
      </c>
      <c r="C38" s="7" t="n">
        <v>4</v>
      </c>
      <c r="D38" s="7" t="n">
        <v>0.8</v>
      </c>
      <c r="E38" s="8" t="n">
        <v>0</v>
      </c>
      <c r="F38" s="8" t="n">
        <v>1</v>
      </c>
      <c r="G38" s="7" t="inlineStr">
        <is>
          <t>套装-攻击造成暴击时，大概率(80%)获得5点怒气</t>
        </is>
      </c>
    </row>
    <row r="39">
      <c r="A39" t="n">
        <v>34</v>
      </c>
      <c r="B39" s="7" t="n">
        <v>1001</v>
      </c>
      <c r="C39" s="7" t="n">
        <v>5</v>
      </c>
      <c r="D39" s="7" t="n">
        <v>0.2</v>
      </c>
      <c r="E39" s="8" t="n">
        <v>0</v>
      </c>
      <c r="F39" s="8" t="n">
        <v>1</v>
      </c>
      <c r="G39" s="7" t="inlineStr">
        <is>
          <t>套装-格挡时有20%几率增加1点魂玉</t>
        </is>
      </c>
    </row>
    <row r="40">
      <c r="A40" t="n">
        <v>35</v>
      </c>
      <c r="B40" s="7" t="n">
        <v>1001</v>
      </c>
      <c r="C40" s="7" t="n">
        <v>6</v>
      </c>
      <c r="D40" s="7" t="n">
        <v>0.4</v>
      </c>
      <c r="E40" s="8" t="n">
        <v>0</v>
      </c>
      <c r="F40" s="8" t="n">
        <v>1</v>
      </c>
      <c r="G40" s="7" t="inlineStr">
        <is>
          <t>决斗者40%</t>
        </is>
      </c>
    </row>
    <row r="41">
      <c r="A41" t="n">
        <v>36</v>
      </c>
      <c r="B41" t="n">
        <v>1002</v>
      </c>
      <c r="C41" t="n">
        <v>0</v>
      </c>
      <c r="D41" t="n">
        <v>1</v>
      </c>
      <c r="E41" t="n">
        <v>0</v>
      </c>
      <c r="F41" t="n">
        <v>1</v>
      </c>
      <c r="G41" s="9" t="inlineStr">
        <is>
          <t>百分百</t>
        </is>
      </c>
    </row>
    <row r="42">
      <c r="A42" t="n">
        <v>37</v>
      </c>
      <c r="B42" s="3" t="n">
        <v>1002</v>
      </c>
      <c r="C42" t="n">
        <v>1</v>
      </c>
      <c r="D42" t="n">
        <v>0.2</v>
      </c>
      <c r="E42" s="3" t="n">
        <v>0</v>
      </c>
      <c r="F42" s="3" t="n">
        <v>0.2</v>
      </c>
      <c r="G42" s="10" t="n">
        <v>0.2</v>
      </c>
    </row>
    <row r="43">
      <c r="A43" t="n">
        <v>38</v>
      </c>
      <c r="B43" s="3" t="n">
        <v>1002</v>
      </c>
      <c r="C43" t="n">
        <v>2</v>
      </c>
      <c r="D43" t="n">
        <v>0.02</v>
      </c>
      <c r="E43" s="3" t="n">
        <v>0.02</v>
      </c>
      <c r="F43" s="3" t="n">
        <v>0.4</v>
      </c>
      <c r="G43" s="10">
        <f>E44*19+D44</f>
        <v/>
      </c>
    </row>
    <row r="44">
      <c r="A44" t="n">
        <v>39</v>
      </c>
      <c r="B44" s="3" t="n">
        <v>1002</v>
      </c>
      <c r="C44" t="n">
        <v>3</v>
      </c>
      <c r="D44" t="n">
        <v>0.05</v>
      </c>
      <c r="E44" s="3" t="n">
        <v>0.05</v>
      </c>
      <c r="F44" s="3" t="n">
        <v>1</v>
      </c>
      <c r="G44" s="10">
        <f>E45*19+D45</f>
        <v/>
      </c>
    </row>
    <row r="45">
      <c r="A45" t="n">
        <v>40</v>
      </c>
      <c r="B45" s="3" t="n">
        <v>1002</v>
      </c>
      <c r="C45" t="n">
        <v>4</v>
      </c>
      <c r="D45" t="n">
        <v>0.06</v>
      </c>
      <c r="E45" s="3" t="n">
        <v>0.01</v>
      </c>
      <c r="F45" s="3" t="n">
        <v>0.25</v>
      </c>
      <c r="G45" s="10">
        <f>E46*19+D46</f>
        <v/>
      </c>
    </row>
    <row r="46">
      <c r="A46" t="n">
        <v>41</v>
      </c>
      <c r="B46" s="3" t="n">
        <v>1002</v>
      </c>
      <c r="C46" t="n">
        <v>5</v>
      </c>
      <c r="D46" t="n">
        <v>0.01</v>
      </c>
      <c r="E46" s="3" t="n">
        <v>0.005</v>
      </c>
      <c r="F46" s="3" t="n">
        <v>0.105</v>
      </c>
      <c r="G46" s="11" t="inlineStr">
        <is>
          <t>10.5%</t>
        </is>
      </c>
    </row>
    <row r="47">
      <c r="A47" t="n">
        <v>42</v>
      </c>
      <c r="B47" s="3" t="n">
        <v>1002</v>
      </c>
      <c r="C47" t="n">
        <v>6</v>
      </c>
      <c r="D47" t="n">
        <v>0.31</v>
      </c>
      <c r="E47" s="3" t="n">
        <v>0.01</v>
      </c>
      <c r="F47" s="3" t="n">
        <v>0.5</v>
      </c>
      <c r="G47" s="11" t="inlineStr">
        <is>
          <t>50%</t>
        </is>
      </c>
    </row>
    <row r="48">
      <c r="A48" t="n">
        <v>43</v>
      </c>
      <c r="B48" s="3" t="n">
        <v>1002</v>
      </c>
      <c r="C48" t="n">
        <v>7</v>
      </c>
      <c r="D48" t="n">
        <v>0.16</v>
      </c>
      <c r="E48" s="3" t="n">
        <v>0.01</v>
      </c>
      <c r="F48" s="3" t="n">
        <v>0.35</v>
      </c>
      <c r="G48" s="11" t="inlineStr">
        <is>
          <t>35%</t>
        </is>
      </c>
    </row>
    <row r="49">
      <c r="A49" t="n">
        <v>44</v>
      </c>
      <c r="B49" s="3" t="n">
        <v>1002</v>
      </c>
      <c r="C49" t="n">
        <v>8</v>
      </c>
      <c r="D49" t="n">
        <v>0.11</v>
      </c>
      <c r="E49" s="3" t="n">
        <v>0.01</v>
      </c>
      <c r="F49" s="3" t="n">
        <v>0.3</v>
      </c>
      <c r="G49" s="11" t="n"/>
    </row>
    <row r="50">
      <c r="A50" t="n">
        <v>45</v>
      </c>
      <c r="B50" s="3" t="n">
        <v>1002</v>
      </c>
      <c r="C50" t="n">
        <v>9</v>
      </c>
      <c r="D50" t="n">
        <v>0.02</v>
      </c>
      <c r="E50" s="3" t="n">
        <v>0.01</v>
      </c>
      <c r="F50" s="3" t="n">
        <v>0.21</v>
      </c>
      <c r="G50" s="11" t="inlineStr">
        <is>
          <t>新乌索普黑蜥毒扩散后打断概率</t>
        </is>
      </c>
    </row>
    <row r="51">
      <c r="A51" t="n">
        <v>46</v>
      </c>
      <c r="B51" s="3" t="n">
        <v>1002</v>
      </c>
      <c r="C51" t="n">
        <v>10</v>
      </c>
      <c r="D51" t="n">
        <v>0.05</v>
      </c>
      <c r="E51" s="3" t="n">
        <v>0.05</v>
      </c>
      <c r="F51" s="3" t="n">
        <v>0.5</v>
      </c>
      <c r="G51" s="11" t="inlineStr">
        <is>
          <t>5%-50% 10级增长</t>
        </is>
      </c>
    </row>
    <row r="52">
      <c r="A52" t="n">
        <v>47</v>
      </c>
      <c r="B52" s="3" t="n">
        <v>1002</v>
      </c>
      <c r="C52" t="n">
        <v>11</v>
      </c>
      <c r="D52" t="n">
        <v>0.12</v>
      </c>
      <c r="E52" s="3" t="n">
        <v>0.01</v>
      </c>
      <c r="F52" s="3" t="n">
        <v>0.31</v>
      </c>
      <c r="G52" s="11" t="inlineStr">
        <is>
          <t>20级特殊增长0.31</t>
        </is>
      </c>
    </row>
    <row r="53">
      <c r="A53" t="n">
        <v>48</v>
      </c>
      <c r="B53" s="3" t="n">
        <v>1002</v>
      </c>
      <c r="C53" s="7" t="n">
        <v>20</v>
      </c>
      <c r="D53" s="7" t="n">
        <v>0.03</v>
      </c>
      <c r="E53" s="3" t="n">
        <v>0</v>
      </c>
      <c r="F53" s="3" t="n">
        <v>0.03</v>
      </c>
      <c r="G53" s="10" t="n">
        <v>0.03</v>
      </c>
    </row>
    <row r="54">
      <c r="A54" t="n">
        <v>49</v>
      </c>
      <c r="B54" s="3" t="n">
        <v>1002</v>
      </c>
      <c r="C54" s="7" t="n">
        <v>21</v>
      </c>
      <c r="D54" s="7" t="n">
        <v>0.22</v>
      </c>
      <c r="E54" s="3" t="n">
        <v>0.02</v>
      </c>
      <c r="F54" s="3" t="n">
        <v>0.6</v>
      </c>
      <c r="G54" s="10" t="n"/>
    </row>
    <row r="55">
      <c r="A55" t="n">
        <v>50</v>
      </c>
      <c r="B55" s="3" t="n">
        <v>1002</v>
      </c>
      <c r="C55" s="7" t="n">
        <v>22</v>
      </c>
      <c r="D55" s="7" t="n">
        <v>0.33</v>
      </c>
      <c r="E55" s="3" t="n">
        <v>0.03</v>
      </c>
      <c r="F55" s="3" t="n">
        <v>0.9</v>
      </c>
      <c r="G55" s="10" t="n"/>
    </row>
    <row r="56">
      <c r="A56" t="n">
        <v>51</v>
      </c>
      <c r="B56" s="3" t="n">
        <v>1002</v>
      </c>
      <c r="C56" s="7" t="n">
        <v>23</v>
      </c>
      <c r="D56" s="7" t="n">
        <v>0.6</v>
      </c>
      <c r="E56" s="3" t="n">
        <v>0.1</v>
      </c>
      <c r="F56" s="3" t="n">
        <v>1</v>
      </c>
      <c r="G56" s="10" t="inlineStr">
        <is>
          <t>延展技能5级增长概率0.6-1</t>
        </is>
      </c>
    </row>
    <row r="57">
      <c r="A57" t="n">
        <v>52</v>
      </c>
      <c r="B57" s="3" t="n">
        <v>1002</v>
      </c>
      <c r="C57" s="7" t="n">
        <v>24</v>
      </c>
      <c r="D57" s="7" t="n">
        <v>0.11</v>
      </c>
      <c r="E57" s="3" t="n">
        <v>0.005</v>
      </c>
      <c r="F57" s="3" t="n">
        <v>0.205</v>
      </c>
      <c r="G57" s="10" t="inlineStr">
        <is>
          <t>青雉根据层数增长的概率</t>
        </is>
      </c>
    </row>
    <row r="58">
      <c r="A58" t="n">
        <v>53</v>
      </c>
      <c r="B58" s="3" t="n">
        <v>1002</v>
      </c>
      <c r="C58" s="7" t="n">
        <v>25</v>
      </c>
      <c r="D58" s="7" t="n">
        <v>0.21</v>
      </c>
      <c r="E58" s="3" t="n">
        <v>0.005</v>
      </c>
      <c r="F58" s="3" t="n">
        <v>0.305</v>
      </c>
      <c r="G58" s="10" t="inlineStr">
        <is>
          <t>青雉根据层数增长的概率</t>
        </is>
      </c>
    </row>
    <row r="59">
      <c r="A59" t="n">
        <v>54</v>
      </c>
      <c r="B59" s="3" t="n">
        <v>1002</v>
      </c>
      <c r="C59" s="7" t="n">
        <v>26</v>
      </c>
      <c r="D59" t="n">
        <v>0.31</v>
      </c>
      <c r="E59" s="3" t="n">
        <v>0.005</v>
      </c>
      <c r="F59" s="3" t="n">
        <v>0.405</v>
      </c>
      <c r="G59" s="10" t="inlineStr">
        <is>
          <t>青雉根据层数增长的概率</t>
        </is>
      </c>
    </row>
    <row r="60">
      <c r="A60" t="n">
        <v>55</v>
      </c>
      <c r="B60" s="12" t="n">
        <v>1002</v>
      </c>
      <c r="C60" s="5" t="n">
        <v>31</v>
      </c>
      <c r="D60" s="5" t="n">
        <v>0.02</v>
      </c>
      <c r="E60" s="12" t="n">
        <v>0</v>
      </c>
      <c r="F60" s="5" t="n">
        <v>0.02</v>
      </c>
      <c r="G60" s="13" t="inlineStr">
        <is>
          <t>赤犬-打断概率</t>
        </is>
      </c>
    </row>
    <row r="61" customFormat="1" s="5">
      <c r="A61" t="n">
        <v>56</v>
      </c>
      <c r="B61" s="12" t="n">
        <v>1002</v>
      </c>
      <c r="C61" s="5" t="n">
        <v>32</v>
      </c>
      <c r="D61" s="5" t="n">
        <v>0.04</v>
      </c>
      <c r="E61" s="12" t="n">
        <v>0</v>
      </c>
      <c r="F61" s="5" t="n">
        <v>0.04</v>
      </c>
      <c r="G61" s="13" t="inlineStr">
        <is>
          <t>赤犬-打断概率</t>
        </is>
      </c>
    </row>
    <row r="62" customFormat="1" s="5">
      <c r="A62" t="n">
        <v>57</v>
      </c>
      <c r="B62" s="12" t="n">
        <v>1002</v>
      </c>
      <c r="C62" s="5" t="n">
        <v>33</v>
      </c>
      <c r="D62" s="5" t="n">
        <v>0.06</v>
      </c>
      <c r="E62" s="12" t="n">
        <v>0</v>
      </c>
      <c r="F62" s="5" t="n">
        <v>0.06</v>
      </c>
      <c r="G62" s="13" t="inlineStr">
        <is>
          <t>赤犬-打断概率</t>
        </is>
      </c>
    </row>
    <row r="63" customFormat="1" s="5">
      <c r="A63" t="n">
        <v>58</v>
      </c>
      <c r="B63" s="12" t="n">
        <v>1002</v>
      </c>
      <c r="C63" s="5" t="n">
        <v>34</v>
      </c>
      <c r="D63" s="5" t="n">
        <v>0.08</v>
      </c>
      <c r="E63" s="12" t="n">
        <v>0</v>
      </c>
      <c r="F63" s="5" t="n">
        <v>0.08</v>
      </c>
      <c r="G63" s="13" t="inlineStr">
        <is>
          <t>赤犬-打断概率</t>
        </is>
      </c>
    </row>
    <row r="64" customFormat="1" s="5">
      <c r="A64" t="n">
        <v>59</v>
      </c>
      <c r="B64" s="12" t="n">
        <v>1002</v>
      </c>
      <c r="C64" s="5" t="n">
        <v>35</v>
      </c>
      <c r="D64" s="5" t="n">
        <v>0.1</v>
      </c>
      <c r="E64" s="12" t="n">
        <v>0</v>
      </c>
      <c r="F64" s="5" t="n">
        <v>0.1</v>
      </c>
      <c r="G64" s="13" t="inlineStr">
        <is>
          <t>赤犬-打断概率</t>
        </is>
      </c>
    </row>
    <row r="65" customFormat="1" s="5">
      <c r="A65" t="n">
        <v>60</v>
      </c>
      <c r="B65" s="12" t="n">
        <v>1002</v>
      </c>
      <c r="C65" s="5" t="n">
        <v>36</v>
      </c>
      <c r="D65" s="5" t="n">
        <v>0.025</v>
      </c>
      <c r="E65" s="12" t="n">
        <v>0.025</v>
      </c>
      <c r="F65" s="5" t="n">
        <v>0.5</v>
      </c>
      <c r="G65" s="13" t="inlineStr">
        <is>
          <t>觉醒艾尼路-麻痹概率</t>
        </is>
      </c>
    </row>
    <row r="66" customFormat="1" s="5">
      <c r="A66" t="n">
        <v>61</v>
      </c>
      <c r="B66" s="14" t="n">
        <v>1002</v>
      </c>
      <c r="C66" s="15" t="n">
        <v>37</v>
      </c>
      <c r="D66" s="15" t="n">
        <v>0.01</v>
      </c>
      <c r="E66" s="14" t="n">
        <v>0.01</v>
      </c>
      <c r="F66" s="15" t="n">
        <v>0.1</v>
      </c>
      <c r="G66" s="16" t="inlineStr">
        <is>
          <t>觉醒卡二-4层麻薯1%-10% 10级增长</t>
        </is>
      </c>
    </row>
    <row r="67">
      <c r="A67" t="n">
        <v>62</v>
      </c>
      <c r="B67" s="14" t="n">
        <v>1002</v>
      </c>
      <c r="C67" s="15" t="n">
        <v>38</v>
      </c>
      <c r="D67" s="15" t="n">
        <v>0.02</v>
      </c>
      <c r="E67" s="14" t="n">
        <v>0.02</v>
      </c>
      <c r="F67" s="15" t="n">
        <v>0.2</v>
      </c>
      <c r="G67" s="16" t="inlineStr">
        <is>
          <t>觉醒卡二-4层麻薯2%-20% 10级增长</t>
        </is>
      </c>
    </row>
    <row r="68">
      <c r="A68" t="n">
        <v>63</v>
      </c>
      <c r="B68" s="14" t="n">
        <v>1002</v>
      </c>
      <c r="C68" s="15" t="n">
        <v>39</v>
      </c>
      <c r="D68" s="15" t="n">
        <v>0.03</v>
      </c>
      <c r="E68" s="14" t="n">
        <v>0.03</v>
      </c>
      <c r="F68" s="15" t="n">
        <v>0.3</v>
      </c>
      <c r="G68" s="16" t="inlineStr">
        <is>
          <t>觉醒卡二-4层麻薯3%-30% 10级增长</t>
        </is>
      </c>
    </row>
    <row r="69">
      <c r="A69" t="n">
        <v>64</v>
      </c>
      <c r="B69" s="14" t="n">
        <v>1002</v>
      </c>
      <c r="C69" s="15" t="n">
        <v>40</v>
      </c>
      <c r="D69" s="15" t="n">
        <v>0.5</v>
      </c>
      <c r="E69" s="14" t="n">
        <v>0</v>
      </c>
      <c r="F69" s="15" t="n">
        <v>0.5</v>
      </c>
      <c r="G69" s="16" t="inlineStr">
        <is>
          <t>觉醒卡二-固定50%概率</t>
        </is>
      </c>
    </row>
    <row r="70">
      <c r="A70" t="n">
        <v>65</v>
      </c>
      <c r="B70" s="14" t="n">
        <v>1002</v>
      </c>
      <c r="C70" s="15" t="n">
        <v>41</v>
      </c>
      <c r="D70" s="15" t="n">
        <v>0.15</v>
      </c>
      <c r="E70" s="14" t="n">
        <v>0</v>
      </c>
      <c r="F70" s="15" t="n">
        <v>0.15</v>
      </c>
      <c r="G70" s="16" t="inlineStr">
        <is>
          <t>觉醒卡二-4层麻薯1%-10% 10级增长</t>
        </is>
      </c>
    </row>
    <row r="71">
      <c r="A71" t="n">
        <v>66</v>
      </c>
      <c r="B71" s="3" t="n">
        <v>1003</v>
      </c>
      <c r="C71" t="n">
        <v>0</v>
      </c>
      <c r="D71" t="n">
        <v>0.62</v>
      </c>
      <c r="E71" s="3" t="n">
        <v>0.02</v>
      </c>
      <c r="F71" s="3" t="n">
        <v>1</v>
      </c>
      <c r="G71" t="inlineStr">
        <is>
          <t>特殊机制20级BUFF概率成长</t>
        </is>
      </c>
    </row>
    <row r="72">
      <c r="A72" t="n">
        <v>67</v>
      </c>
      <c r="B72" s="3" t="n">
        <v>1003</v>
      </c>
      <c r="C72" t="n">
        <v>1</v>
      </c>
      <c r="D72" t="n">
        <v>0.01</v>
      </c>
      <c r="E72" s="3" t="n">
        <v>0.01</v>
      </c>
      <c r="F72" s="3" t="n">
        <v>0.2</v>
      </c>
      <c r="G72" t="inlineStr">
        <is>
          <t>佐罗三刀流</t>
        </is>
      </c>
    </row>
    <row r="73">
      <c r="A73" t="n">
        <v>68</v>
      </c>
      <c r="B73" s="3" t="n">
        <v>1003</v>
      </c>
      <c r="C73" t="n">
        <v>2</v>
      </c>
      <c r="D73" t="n">
        <v>0.55</v>
      </c>
      <c r="E73" s="3" t="n">
        <v>0.05</v>
      </c>
      <c r="F73" s="3" t="n">
        <v>1</v>
      </c>
      <c r="G73" t="inlineStr">
        <is>
          <t>10级BUFF 特殊成长</t>
        </is>
      </c>
    </row>
    <row r="74">
      <c r="A74" t="n">
        <v>69</v>
      </c>
      <c r="B74" s="3" t="n">
        <v>1003</v>
      </c>
      <c r="C74" t="n">
        <v>3</v>
      </c>
      <c r="D74" t="n">
        <v>0.1</v>
      </c>
      <c r="E74" s="3" t="n">
        <v>0</v>
      </c>
      <c r="F74" s="3" t="n">
        <v>0.1</v>
      </c>
      <c r="G74" t="inlineStr">
        <is>
          <t>龙马概率3倍伤害</t>
        </is>
      </c>
    </row>
    <row r="75">
      <c r="A75" t="n">
        <v>70</v>
      </c>
      <c r="B75" s="3" t="n">
        <v>1003</v>
      </c>
      <c r="C75" t="n">
        <v>4</v>
      </c>
      <c r="D75" t="n">
        <v>0.12</v>
      </c>
      <c r="E75" s="3" t="n">
        <v>0.02</v>
      </c>
      <c r="F75" s="3" t="n">
        <v>0.3</v>
      </c>
      <c r="G75" t="inlineStr">
        <is>
          <t>龙马天龙30%</t>
        </is>
      </c>
    </row>
    <row r="76">
      <c r="A76" t="n">
        <v>71</v>
      </c>
      <c r="B76" s="3" t="n">
        <v>1004</v>
      </c>
      <c r="C76" t="n">
        <v>0</v>
      </c>
      <c r="D76" t="n">
        <v>0.11</v>
      </c>
      <c r="E76" s="3" t="n">
        <v>0.01</v>
      </c>
      <c r="F76" s="3" t="n">
        <v>0.3</v>
      </c>
      <c r="G76" t="inlineStr">
        <is>
          <t>奈美小贼猫</t>
        </is>
      </c>
    </row>
    <row r="77">
      <c r="A77" t="n">
        <v>72</v>
      </c>
      <c r="B77" s="3" t="n">
        <v>1005</v>
      </c>
      <c r="C77" t="n">
        <v>0</v>
      </c>
      <c r="D77" t="n">
        <v>0.11</v>
      </c>
      <c r="E77" s="3" t="n">
        <v>0.01</v>
      </c>
      <c r="F77" t="n">
        <v>0.2</v>
      </c>
      <c r="G77" t="inlineStr">
        <is>
          <t>电弧麻痹几率</t>
        </is>
      </c>
    </row>
    <row r="78">
      <c r="A78" t="n">
        <v>73</v>
      </c>
      <c r="B78" s="3" t="n">
        <v>1005</v>
      </c>
      <c r="C78" t="n">
        <v>1</v>
      </c>
      <c r="D78">
        <f>$D$78*2</f>
        <v/>
      </c>
      <c r="E78">
        <f>$E$78*2</f>
        <v/>
      </c>
      <c r="F78" t="n">
        <v>0.4</v>
      </c>
      <c r="G78" t="inlineStr">
        <is>
          <t>电弧麻痹几率</t>
        </is>
      </c>
    </row>
    <row r="79">
      <c r="A79" t="n">
        <v>74</v>
      </c>
      <c r="B79" s="3" t="n">
        <v>1005</v>
      </c>
      <c r="C79" t="n">
        <v>2</v>
      </c>
      <c r="D79">
        <f>$D$78*3</f>
        <v/>
      </c>
      <c r="E79">
        <f>$E$78*3</f>
        <v/>
      </c>
      <c r="F79" t="n">
        <v>0.6</v>
      </c>
      <c r="G79" t="inlineStr">
        <is>
          <t>电弧麻痹几率</t>
        </is>
      </c>
    </row>
    <row r="80">
      <c r="A80" t="n">
        <v>75</v>
      </c>
      <c r="B80" s="3" t="n">
        <v>1005</v>
      </c>
      <c r="C80" t="n">
        <v>3</v>
      </c>
      <c r="D80">
        <f>$D$78*4</f>
        <v/>
      </c>
      <c r="E80">
        <f>$E$78*4</f>
        <v/>
      </c>
      <c r="F80" t="n">
        <v>0.8</v>
      </c>
      <c r="G80" t="inlineStr">
        <is>
          <t>电弧麻痹几率</t>
        </is>
      </c>
    </row>
    <row r="81">
      <c r="A81" t="n">
        <v>76</v>
      </c>
      <c r="B81" s="3" t="n">
        <v>1005</v>
      </c>
      <c r="C81" t="n">
        <v>4</v>
      </c>
      <c r="D81">
        <f>$D$78*5</f>
        <v/>
      </c>
      <c r="E81">
        <f>$E$78*5</f>
        <v/>
      </c>
      <c r="F81" t="n">
        <v>1</v>
      </c>
      <c r="G81" t="inlineStr">
        <is>
          <t>电弧麻痹几率</t>
        </is>
      </c>
    </row>
    <row r="82">
      <c r="A82" t="n">
        <v>77</v>
      </c>
      <c r="B82" s="3" t="n">
        <v>1006</v>
      </c>
      <c r="C82" t="n">
        <v>0</v>
      </c>
      <c r="D82" t="n">
        <v>0.525</v>
      </c>
      <c r="E82" s="3" t="n">
        <v>0.025</v>
      </c>
      <c r="F82" t="n">
        <v>1</v>
      </c>
      <c r="G82" t="inlineStr">
        <is>
          <t>黑刀·夜</t>
        </is>
      </c>
    </row>
    <row r="83">
      <c r="A83" t="n">
        <v>78</v>
      </c>
      <c r="B83" s="3" t="n">
        <v>1007</v>
      </c>
      <c r="C83" t="n">
        <v>0</v>
      </c>
      <c r="D83" t="n">
        <v>0.11</v>
      </c>
      <c r="E83" s="3" t="n">
        <v>0.01</v>
      </c>
      <c r="F83" t="n">
        <v>0.3</v>
      </c>
      <c r="G83" t="inlineStr">
        <is>
          <t>击退概率</t>
        </is>
      </c>
    </row>
    <row r="84">
      <c r="A84" t="n">
        <v>79</v>
      </c>
      <c r="B84" s="3" t="n">
        <v>1007</v>
      </c>
      <c r="C84" t="n">
        <v>1</v>
      </c>
      <c r="D84" t="n">
        <v>0.11</v>
      </c>
      <c r="E84" s="3" t="n">
        <v>0.01</v>
      </c>
      <c r="F84" t="n">
        <v>0.3</v>
      </c>
      <c r="G84" t="inlineStr">
        <is>
          <t>击飞概率</t>
        </is>
      </c>
    </row>
    <row r="85">
      <c r="A85" t="n">
        <v>80</v>
      </c>
      <c r="B85" s="3" t="n">
        <v>1008</v>
      </c>
      <c r="C85" t="n">
        <v>0</v>
      </c>
      <c r="D85" t="n">
        <v>0.43</v>
      </c>
      <c r="E85" s="3" t="n">
        <v>0.03</v>
      </c>
      <c r="F85" t="n">
        <v>1</v>
      </c>
      <c r="G85" t="inlineStr">
        <is>
          <t>奈美隐身</t>
        </is>
      </c>
    </row>
    <row r="86">
      <c r="A86" t="n">
        <v>81</v>
      </c>
      <c r="B86" s="3" t="n">
        <v>1009</v>
      </c>
      <c r="C86" t="n">
        <v>1</v>
      </c>
      <c r="D86" t="n">
        <v>0.01</v>
      </c>
      <c r="E86" s="3" t="n">
        <v>0.005</v>
      </c>
      <c r="F86" t="n">
        <v>0.105</v>
      </c>
      <c r="G86" t="inlineStr">
        <is>
          <t>新增根据人数给概率基础1%每级增长0.5%</t>
        </is>
      </c>
    </row>
    <row r="87">
      <c r="A87" t="n">
        <v>82</v>
      </c>
      <c r="B87" s="3" t="n">
        <v>1009</v>
      </c>
      <c r="C87" t="n">
        <v>2</v>
      </c>
      <c r="D87" t="n">
        <v>0.02</v>
      </c>
      <c r="E87" s="3" t="n">
        <v>0.01</v>
      </c>
      <c r="F87" t="n">
        <v>0.21</v>
      </c>
      <c r="G87" t="inlineStr">
        <is>
          <t>新增根据人数给概率基础1%每级增长0.5%</t>
        </is>
      </c>
    </row>
    <row r="88">
      <c r="A88" t="n">
        <v>83</v>
      </c>
      <c r="B88" s="3" t="n">
        <v>1009</v>
      </c>
      <c r="C88" t="n">
        <v>3</v>
      </c>
      <c r="D88" t="n">
        <v>0.03</v>
      </c>
      <c r="E88" s="3" t="n">
        <v>0.015</v>
      </c>
      <c r="F88" t="n">
        <v>0.315</v>
      </c>
      <c r="G88" t="inlineStr">
        <is>
          <t>新增根据人数给概率基础1%每级增长0.5%</t>
        </is>
      </c>
    </row>
    <row r="89">
      <c r="A89" t="n">
        <v>84</v>
      </c>
      <c r="B89" s="3" t="n">
        <v>1009</v>
      </c>
      <c r="C89" t="n">
        <v>4</v>
      </c>
      <c r="D89" t="n">
        <v>0.04</v>
      </c>
      <c r="E89" s="3" t="n">
        <v>0.02</v>
      </c>
      <c r="F89" t="n">
        <v>0.42</v>
      </c>
      <c r="G89" t="inlineStr">
        <is>
          <t>新增根据人数给概率基础1%每级增长0.5%</t>
        </is>
      </c>
    </row>
    <row r="90">
      <c r="A90" t="n">
        <v>85</v>
      </c>
      <c r="B90" s="3" t="n">
        <v>1009</v>
      </c>
      <c r="C90" t="n">
        <v>5</v>
      </c>
      <c r="D90" t="n">
        <v>0.05</v>
      </c>
      <c r="E90" s="3" t="n">
        <v>0.025</v>
      </c>
      <c r="F90" t="n">
        <v>0.525</v>
      </c>
      <c r="G90" t="inlineStr">
        <is>
          <t>新增根据人数给概率基础1%每级增长0.5%</t>
        </is>
      </c>
    </row>
    <row r="91">
      <c r="A91" t="n">
        <v>86</v>
      </c>
      <c r="B91" s="3" t="n">
        <v>1010</v>
      </c>
      <c r="C91" t="n">
        <v>0</v>
      </c>
      <c r="D91" t="n">
        <v>0.11</v>
      </c>
      <c r="E91" s="3" t="n">
        <v>0.01</v>
      </c>
      <c r="F91" t="n">
        <v>0.2</v>
      </c>
      <c r="G91" t="inlineStr">
        <is>
          <t>兔子-10级成长0.11-0.2</t>
        </is>
      </c>
    </row>
    <row r="92">
      <c r="A92" t="n">
        <v>87</v>
      </c>
      <c r="B92" s="3" t="n">
        <v>1010</v>
      </c>
      <c r="C92" t="n">
        <v>1</v>
      </c>
      <c r="D92" t="n">
        <v>0.21</v>
      </c>
      <c r="E92" s="3" t="n">
        <v>0.01</v>
      </c>
      <c r="F92" t="n">
        <v>0.3</v>
      </c>
      <c r="G92" t="inlineStr">
        <is>
          <t>兔子-10级成长0.21-0.3</t>
        </is>
      </c>
    </row>
    <row r="93">
      <c r="A93" t="n">
        <v>88</v>
      </c>
      <c r="B93" s="3" t="n">
        <v>1010</v>
      </c>
      <c r="C93" t="n">
        <v>2</v>
      </c>
      <c r="D93" t="n">
        <v>0.31</v>
      </c>
      <c r="E93" s="3" t="n">
        <v>0.01</v>
      </c>
      <c r="F93" t="n">
        <v>0.4</v>
      </c>
      <c r="G93" t="inlineStr">
        <is>
          <t>兔子-10级成长0.31-0.4</t>
        </is>
      </c>
    </row>
    <row r="94">
      <c r="A94" t="n">
        <v>89</v>
      </c>
      <c r="B94" s="3" t="n">
        <v>1010</v>
      </c>
      <c r="C94" t="n">
        <v>3</v>
      </c>
      <c r="D94" t="n">
        <v>0.41</v>
      </c>
      <c r="E94" s="3" t="n">
        <v>0.01</v>
      </c>
      <c r="F94" t="n">
        <v>0.5</v>
      </c>
      <c r="G94" t="inlineStr">
        <is>
          <t>兔子-10级成长0.41-0.5</t>
        </is>
      </c>
    </row>
    <row r="95">
      <c r="A95" t="n">
        <v>90</v>
      </c>
      <c r="B95" s="3" t="n">
        <v>10001</v>
      </c>
      <c r="C95" t="n">
        <v>0</v>
      </c>
      <c r="D95" t="n">
        <v>0.7</v>
      </c>
      <c r="E95" s="3" t="n">
        <v>0</v>
      </c>
      <c r="F95" t="n">
        <v>0</v>
      </c>
    </row>
    <row r="96">
      <c r="A96" t="n">
        <v>91</v>
      </c>
      <c r="B96" s="3" t="n">
        <v>10002</v>
      </c>
      <c r="C96" t="n">
        <v>0</v>
      </c>
      <c r="D96" t="n">
        <v>0.5</v>
      </c>
      <c r="E96" s="3" t="n">
        <v>0</v>
      </c>
      <c r="F96" t="n">
        <v>0</v>
      </c>
    </row>
    <row r="97">
      <c r="A97" t="n">
        <v>92</v>
      </c>
      <c r="B97" s="3" t="n">
        <v>10003</v>
      </c>
      <c r="C97" t="n">
        <v>0</v>
      </c>
      <c r="D97" t="n">
        <v>1</v>
      </c>
      <c r="E97" s="3" t="n">
        <v>0</v>
      </c>
      <c r="F97" t="n">
        <v>0</v>
      </c>
    </row>
    <row r="98">
      <c r="A98" t="n">
        <v>93</v>
      </c>
      <c r="B98" s="3" t="n">
        <v>10003</v>
      </c>
      <c r="C98" t="n">
        <v>1</v>
      </c>
      <c r="D98" t="n">
        <v>0.1</v>
      </c>
      <c r="E98" s="3" t="n">
        <v>0</v>
      </c>
      <c r="F98" t="n">
        <v>0</v>
      </c>
    </row>
    <row r="99">
      <c r="A99" t="n">
        <v>94</v>
      </c>
      <c r="B99" s="3" t="n">
        <v>10003</v>
      </c>
      <c r="C99" t="n">
        <v>2</v>
      </c>
      <c r="D99" t="n">
        <v>0.2</v>
      </c>
      <c r="E99" s="3" t="n">
        <v>0</v>
      </c>
      <c r="F99" t="n">
        <v>0</v>
      </c>
    </row>
    <row r="100">
      <c r="A100" t="n">
        <v>95</v>
      </c>
      <c r="B100" s="3" t="n">
        <v>10003</v>
      </c>
      <c r="C100" t="n">
        <v>3</v>
      </c>
      <c r="D100" t="n">
        <v>0.3</v>
      </c>
      <c r="E100" s="3" t="n">
        <v>0</v>
      </c>
      <c r="F100" t="n">
        <v>0</v>
      </c>
    </row>
    <row r="101">
      <c r="A101" t="n">
        <v>96</v>
      </c>
      <c r="B101" s="3" t="n">
        <v>10003</v>
      </c>
      <c r="C101" t="n">
        <v>4</v>
      </c>
      <c r="D101" t="n">
        <v>0.4</v>
      </c>
      <c r="E101" s="3" t="n">
        <v>0</v>
      </c>
      <c r="F101" t="n">
        <v>0</v>
      </c>
    </row>
    <row r="102">
      <c r="A102" t="n">
        <v>97</v>
      </c>
      <c r="B102" s="3" t="n">
        <v>10003</v>
      </c>
      <c r="C102" t="n">
        <v>5</v>
      </c>
      <c r="D102" t="n">
        <v>0.5</v>
      </c>
      <c r="E102" s="3" t="n">
        <v>0</v>
      </c>
      <c r="F102" t="n">
        <v>0</v>
      </c>
    </row>
    <row r="103">
      <c r="A103" t="n">
        <v>98</v>
      </c>
      <c r="B103" s="3" t="n">
        <v>10003</v>
      </c>
      <c r="C103" t="n">
        <v>6</v>
      </c>
      <c r="D103" t="n">
        <v>0.6</v>
      </c>
      <c r="E103" s="3" t="n">
        <v>0</v>
      </c>
      <c r="F103" t="n">
        <v>0</v>
      </c>
    </row>
    <row r="104">
      <c r="A104" t="n">
        <v>99</v>
      </c>
      <c r="B104" s="3" t="n">
        <v>10003</v>
      </c>
      <c r="C104" t="n">
        <v>7</v>
      </c>
      <c r="D104" t="n">
        <v>0.7</v>
      </c>
      <c r="E104" s="3" t="n">
        <v>0</v>
      </c>
      <c r="F104" t="n">
        <v>0</v>
      </c>
    </row>
    <row r="105">
      <c r="A105" t="n">
        <v>100</v>
      </c>
      <c r="B105" s="3" t="n">
        <v>10003</v>
      </c>
      <c r="C105" t="n">
        <v>8</v>
      </c>
      <c r="D105" t="n">
        <v>0.8</v>
      </c>
      <c r="E105" s="3" t="n">
        <v>0</v>
      </c>
      <c r="F105" t="n">
        <v>0</v>
      </c>
    </row>
    <row r="106">
      <c r="A106" t="n">
        <v>101</v>
      </c>
      <c r="B106" s="3" t="n">
        <v>10003</v>
      </c>
      <c r="C106" t="n">
        <v>9</v>
      </c>
      <c r="D106" t="n">
        <v>0.9</v>
      </c>
      <c r="E106" s="3" t="n">
        <v>0</v>
      </c>
      <c r="F106" t="n">
        <v>0</v>
      </c>
    </row>
    <row r="107">
      <c r="A107" t="n">
        <v>102</v>
      </c>
      <c r="B107" s="3" t="n">
        <v>10003</v>
      </c>
      <c r="C107" t="n">
        <v>10</v>
      </c>
      <c r="D107" t="n">
        <v>0.25</v>
      </c>
      <c r="E107" s="3" t="n">
        <v>0</v>
      </c>
      <c r="F107" t="n">
        <v>0</v>
      </c>
    </row>
    <row r="108">
      <c r="A108" t="n">
        <v>103</v>
      </c>
      <c r="B108" s="3" t="n">
        <v>10003</v>
      </c>
      <c r="C108" t="n">
        <v>11</v>
      </c>
      <c r="D108" t="n">
        <v>0.35</v>
      </c>
      <c r="E108" t="n">
        <v>0</v>
      </c>
      <c r="F108" t="n">
        <v>0</v>
      </c>
    </row>
    <row r="109">
      <c r="A109" t="n">
        <v>104</v>
      </c>
      <c r="B109" s="3" t="n">
        <v>10003</v>
      </c>
      <c r="C109" t="n">
        <v>12</v>
      </c>
      <c r="D109" t="n">
        <v>0.41</v>
      </c>
      <c r="E109" t="n">
        <v>0.01</v>
      </c>
      <c r="F109" t="n">
        <v>0.6</v>
      </c>
    </row>
    <row r="110">
      <c r="A110" t="n">
        <v>105</v>
      </c>
      <c r="B110" s="3" t="n">
        <v>10003</v>
      </c>
      <c r="C110" t="n">
        <v>13</v>
      </c>
      <c r="D110" t="n">
        <v>0.15</v>
      </c>
      <c r="E110" t="n">
        <v>0</v>
      </c>
      <c r="F110" t="n">
        <v>0</v>
      </c>
    </row>
    <row r="111">
      <c r="A111" t="n">
        <v>106</v>
      </c>
      <c r="B111" s="3" t="n">
        <v>10004</v>
      </c>
      <c r="C111" t="n">
        <v>0</v>
      </c>
      <c r="D111" t="n">
        <v>0.01</v>
      </c>
      <c r="E111" t="n">
        <v>0.01</v>
      </c>
      <c r="F111" t="n">
        <v>1</v>
      </c>
    </row>
    <row r="112">
      <c r="A112" t="n">
        <v>107</v>
      </c>
      <c r="B112" t="n">
        <v>10005</v>
      </c>
      <c r="C112" t="n">
        <v>1</v>
      </c>
      <c r="D112" t="n">
        <v>0.32</v>
      </c>
      <c r="E112" t="n">
        <v>0.04</v>
      </c>
      <c r="F112" t="n">
        <v>0.68</v>
      </c>
    </row>
    <row r="113">
      <c r="A113" t="n">
        <v>108</v>
      </c>
      <c r="B113" s="3" t="n">
        <v>10006</v>
      </c>
      <c r="C113" t="n">
        <v>1</v>
      </c>
      <c r="D113" t="n">
        <v>0.08</v>
      </c>
      <c r="E113" t="n">
        <v>0</v>
      </c>
      <c r="F113" t="n">
        <v>0.08</v>
      </c>
      <c r="G113" t="inlineStr">
        <is>
          <t>总概率0.08</t>
        </is>
      </c>
    </row>
    <row r="114">
      <c r="A114" t="n">
        <v>109</v>
      </c>
      <c r="B114" s="3" t="n">
        <v>10007</v>
      </c>
      <c r="C114" t="n">
        <v>1</v>
      </c>
      <c r="D114" t="n">
        <v>0.0075</v>
      </c>
      <c r="E114" t="n">
        <v>0.0075</v>
      </c>
      <c r="F114" t="n">
        <v>0.15</v>
      </c>
      <c r="G114" t="inlineStr">
        <is>
          <t>总概率0.15</t>
        </is>
      </c>
    </row>
    <row r="115">
      <c r="A115" t="n">
        <v>110</v>
      </c>
      <c r="B115" t="n">
        <v>10008</v>
      </c>
      <c r="C115" t="n">
        <v>1</v>
      </c>
      <c r="D115" t="n">
        <v>0.275</v>
      </c>
      <c r="E115" t="n">
        <v>0.025</v>
      </c>
      <c r="F115" t="n">
        <v>0.5</v>
      </c>
    </row>
    <row r="116">
      <c r="A116" t="n">
        <v>111</v>
      </c>
      <c r="B116" t="n">
        <v>10008</v>
      </c>
      <c r="C116" t="n">
        <v>2</v>
      </c>
      <c r="D116" t="n">
        <v>0.42</v>
      </c>
      <c r="E116" t="n">
        <v>0.02</v>
      </c>
      <c r="F116" t="n">
        <v>0.8</v>
      </c>
    </row>
    <row r="117">
      <c r="A117" t="n">
        <v>112</v>
      </c>
      <c r="B117" t="n">
        <v>10009</v>
      </c>
      <c r="C117" t="n">
        <v>1</v>
      </c>
      <c r="D117" t="n">
        <v>0.42</v>
      </c>
      <c r="E117" t="n">
        <v>0.02</v>
      </c>
      <c r="F117" t="n">
        <v>0.6</v>
      </c>
    </row>
    <row r="118">
      <c r="A118" t="n">
        <v>113</v>
      </c>
      <c r="B118" s="3" t="n">
        <v>10020</v>
      </c>
      <c r="C118" t="n">
        <v>1</v>
      </c>
      <c r="D118" t="n">
        <v>0.15</v>
      </c>
      <c r="E118" s="3" t="n">
        <v>0.05</v>
      </c>
      <c r="F118" s="3" t="n">
        <v>0.6</v>
      </c>
    </row>
    <row r="119">
      <c r="A119" t="n">
        <v>114</v>
      </c>
      <c r="B119" s="3" t="n">
        <v>10020</v>
      </c>
      <c r="C119" t="n">
        <v>2</v>
      </c>
      <c r="D119" t="n">
        <v>0.25</v>
      </c>
      <c r="E119" s="3" t="n">
        <v>0.05</v>
      </c>
      <c r="F119" s="3" t="n">
        <v>0.7</v>
      </c>
    </row>
    <row r="120">
      <c r="A120" t="n">
        <v>115</v>
      </c>
      <c r="B120" s="3" t="n">
        <v>10020</v>
      </c>
      <c r="C120" t="n">
        <v>3</v>
      </c>
      <c r="D120" t="n">
        <v>0.35</v>
      </c>
      <c r="E120" s="3" t="n">
        <v>0.05</v>
      </c>
      <c r="F120" s="3" t="n">
        <v>0.8</v>
      </c>
    </row>
    <row r="121">
      <c r="A121" t="n">
        <v>116</v>
      </c>
      <c r="B121" s="3" t="n">
        <v>10020</v>
      </c>
      <c r="C121" t="n">
        <v>4</v>
      </c>
      <c r="D121" t="n">
        <v>0.45</v>
      </c>
      <c r="E121" s="3" t="n">
        <v>0.05</v>
      </c>
      <c r="F121" s="3" t="n">
        <v>0.9</v>
      </c>
    </row>
    <row r="122">
      <c r="A122" t="n">
        <v>117</v>
      </c>
      <c r="B122" s="3" t="n">
        <v>10020</v>
      </c>
      <c r="C122" t="n">
        <v>5</v>
      </c>
      <c r="D122" t="n">
        <v>0.55</v>
      </c>
      <c r="E122" s="3" t="n">
        <v>0.05</v>
      </c>
      <c r="F122" s="3" t="n">
        <v>1</v>
      </c>
    </row>
    <row r="123">
      <c r="A123" t="n">
        <v>118</v>
      </c>
      <c r="B123" s="3" t="n">
        <v>10020</v>
      </c>
      <c r="C123" t="n">
        <v>6</v>
      </c>
      <c r="D123" t="n">
        <v>0.52</v>
      </c>
      <c r="E123" s="3" t="n">
        <v>0.02</v>
      </c>
      <c r="F123" s="3" t="n">
        <v>1</v>
      </c>
      <c r="G123" t="inlineStr">
        <is>
          <t>布鲁克冻结特殊概率</t>
        </is>
      </c>
    </row>
    <row r="124">
      <c r="A124" t="n">
        <v>119</v>
      </c>
      <c r="B124" s="3" t="n">
        <v>10020</v>
      </c>
      <c r="C124" t="n">
        <v>7</v>
      </c>
      <c r="D124" t="n">
        <v>0.32</v>
      </c>
      <c r="E124" t="n">
        <v>0.02</v>
      </c>
      <c r="F124" t="n">
        <v>1</v>
      </c>
      <c r="G124" t="inlineStr">
        <is>
          <t>布鲁克冻结特殊概率</t>
        </is>
      </c>
    </row>
    <row r="125">
      <c r="A125" t="n">
        <v>120</v>
      </c>
      <c r="B125" s="3" t="n">
        <v>10020</v>
      </c>
      <c r="C125" t="n">
        <v>8</v>
      </c>
      <c r="D125" t="n">
        <v>0.26</v>
      </c>
      <c r="E125" s="3" t="n">
        <v>0.01</v>
      </c>
      <c r="F125" t="n">
        <v>0.35</v>
      </c>
    </row>
    <row r="126">
      <c r="A126" t="n">
        <v>121</v>
      </c>
      <c r="B126" s="3" t="n">
        <v>10020</v>
      </c>
      <c r="C126" t="n">
        <v>9</v>
      </c>
      <c r="D126" s="7" t="n">
        <v>0.06</v>
      </c>
      <c r="E126" s="3" t="n">
        <v>0.005</v>
      </c>
      <c r="F126" s="3" t="n">
        <v>0.205</v>
      </c>
      <c r="G126" s="10" t="inlineStr">
        <is>
          <t>青雉根据层数增长的概率</t>
        </is>
      </c>
    </row>
    <row r="127">
      <c r="A127" t="n">
        <v>122</v>
      </c>
      <c r="B127" s="3" t="n">
        <v>10020</v>
      </c>
      <c r="C127" t="n">
        <v>10</v>
      </c>
      <c r="D127" s="7" t="n">
        <v>0.11</v>
      </c>
      <c r="E127" s="3" t="n">
        <v>0.005</v>
      </c>
      <c r="F127" s="3" t="n">
        <v>0.305</v>
      </c>
      <c r="G127" s="10" t="inlineStr">
        <is>
          <t>青雉根据层数增长的概率</t>
        </is>
      </c>
    </row>
    <row r="128">
      <c r="A128" t="n">
        <v>123</v>
      </c>
      <c r="B128" s="3" t="n">
        <v>10020</v>
      </c>
      <c r="C128" t="n">
        <v>11</v>
      </c>
      <c r="D128" t="n">
        <v>0.16</v>
      </c>
      <c r="E128" s="3" t="n">
        <v>0.005</v>
      </c>
      <c r="F128" s="3" t="n">
        <v>0.405</v>
      </c>
      <c r="G128" s="10" t="inlineStr">
        <is>
          <t>青雉根据层数增长的概率</t>
        </is>
      </c>
    </row>
    <row r="129">
      <c r="A129" t="n">
        <v>124</v>
      </c>
      <c r="B129" t="n">
        <v>113081</v>
      </c>
      <c r="C129" t="n">
        <v>5</v>
      </c>
      <c r="D129" t="n">
        <v>0.01</v>
      </c>
      <c r="E129" t="n">
        <v>0.01</v>
      </c>
      <c r="F129" t="n">
        <v>0.2</v>
      </c>
      <c r="G129" t="inlineStr">
        <is>
          <t>乌塔-音符束缚概率-5人</t>
        </is>
      </c>
    </row>
    <row r="130">
      <c r="A130" t="n">
        <v>125</v>
      </c>
      <c r="B130" t="n">
        <v>113081</v>
      </c>
      <c r="C130" t="n">
        <v>4</v>
      </c>
      <c r="D130" t="n">
        <v>0.16</v>
      </c>
      <c r="E130" t="n">
        <v>0.01</v>
      </c>
      <c r="F130" t="n">
        <v>0.35</v>
      </c>
      <c r="G130" t="inlineStr">
        <is>
          <t>乌塔-音符束缚概率-4人</t>
        </is>
      </c>
    </row>
    <row r="131">
      <c r="A131" t="n">
        <v>126</v>
      </c>
      <c r="B131" t="n">
        <v>113081</v>
      </c>
      <c r="C131" t="n">
        <v>3</v>
      </c>
      <c r="D131" t="n">
        <v>0.31</v>
      </c>
      <c r="E131" t="n">
        <v>0.01</v>
      </c>
      <c r="F131" t="n">
        <v>0.5</v>
      </c>
      <c r="G131" t="inlineStr">
        <is>
          <t>乌塔-音符束缚概率-3人</t>
        </is>
      </c>
    </row>
    <row r="132">
      <c r="A132" t="n">
        <v>127</v>
      </c>
      <c r="B132" t="n">
        <v>113081</v>
      </c>
      <c r="C132" t="n">
        <v>2</v>
      </c>
      <c r="D132" t="n">
        <v>0.46</v>
      </c>
      <c r="E132" t="n">
        <v>0.01</v>
      </c>
      <c r="F132" t="n">
        <v>0.65</v>
      </c>
      <c r="G132" t="inlineStr">
        <is>
          <t>乌塔-音符束缚概率-2人</t>
        </is>
      </c>
    </row>
    <row r="133">
      <c r="A133" t="n">
        <v>128</v>
      </c>
      <c r="B133" t="n">
        <v>113081</v>
      </c>
      <c r="C133" t="n">
        <v>1</v>
      </c>
      <c r="D133" t="n">
        <v>0.61</v>
      </c>
      <c r="E133" t="n">
        <v>0.01</v>
      </c>
      <c r="F133" t="n">
        <v>0.8</v>
      </c>
      <c r="G133" t="inlineStr">
        <is>
          <t>乌塔-音符束缚概率-1人</t>
        </is>
      </c>
    </row>
    <row r="134">
      <c r="A134" t="n">
        <v>129</v>
      </c>
      <c r="B134" t="n">
        <v>1112005</v>
      </c>
      <c r="C134" t="n">
        <v>1</v>
      </c>
      <c r="D134" t="n">
        <v>0.4</v>
      </c>
      <c r="E134" t="n">
        <v>0</v>
      </c>
      <c r="F134" t="n">
        <v>0.4</v>
      </c>
    </row>
    <row r="135">
      <c r="A135" t="n">
        <v>130</v>
      </c>
      <c r="B135" t="n">
        <v>1112005</v>
      </c>
      <c r="C135" t="n">
        <v>2</v>
      </c>
      <c r="D135" t="n">
        <v>0.8</v>
      </c>
      <c r="E135" t="n">
        <v>0</v>
      </c>
      <c r="F135" t="n">
        <v>0.8</v>
      </c>
    </row>
    <row r="136">
      <c r="A136" t="n">
        <v>131</v>
      </c>
      <c r="B136" t="n">
        <v>1112005</v>
      </c>
      <c r="C136" t="n">
        <v>3</v>
      </c>
      <c r="D136" t="n">
        <v>0.3</v>
      </c>
      <c r="E136" t="n">
        <v>0</v>
      </c>
      <c r="F136" t="n">
        <v>0.3</v>
      </c>
    </row>
    <row r="137">
      <c r="A137" t="n">
        <v>132</v>
      </c>
      <c r="B137" t="n">
        <v>1112005</v>
      </c>
      <c r="C137" t="n">
        <v>4</v>
      </c>
      <c r="D137" t="n">
        <v>0.6</v>
      </c>
      <c r="E137" t="n">
        <v>0</v>
      </c>
      <c r="F137" t="n">
        <v>0.6</v>
      </c>
    </row>
    <row r="138">
      <c r="A138" t="n">
        <v>133</v>
      </c>
      <c r="B138" t="n">
        <v>1112005</v>
      </c>
      <c r="C138" t="n">
        <v>5</v>
      </c>
      <c r="D138" t="n">
        <v>0.2</v>
      </c>
      <c r="E138" t="n">
        <v>0</v>
      </c>
      <c r="F138" t="n">
        <v>0.2</v>
      </c>
    </row>
    <row r="139">
      <c r="A139" t="n">
        <v>134</v>
      </c>
      <c r="B139" t="n">
        <v>113092</v>
      </c>
      <c r="C139" t="n">
        <v>1</v>
      </c>
      <c r="D139" t="n">
        <v>0.43</v>
      </c>
      <c r="E139" t="n">
        <v>0.03</v>
      </c>
      <c r="F139" t="n">
        <v>1</v>
      </c>
    </row>
    <row r="140">
      <c r="A140" t="n">
        <v>135</v>
      </c>
      <c r="B140" t="n">
        <v>113099</v>
      </c>
      <c r="C140" t="n">
        <v>1</v>
      </c>
      <c r="D140" t="n">
        <v>0.31</v>
      </c>
      <c r="E140" t="n">
        <v>0.01</v>
      </c>
      <c r="F140" t="n">
        <v>0.4</v>
      </c>
      <c r="G140" t="inlineStr">
        <is>
          <t>玛利亚特殊概率</t>
        </is>
      </c>
    </row>
    <row r="141">
      <c r="A141" t="n">
        <v>136</v>
      </c>
      <c r="B141" t="n">
        <v>113099</v>
      </c>
      <c r="C141" t="n">
        <v>2</v>
      </c>
      <c r="D141" t="n">
        <v>0.46</v>
      </c>
      <c r="E141" t="n">
        <v>0.01</v>
      </c>
      <c r="F141" t="n">
        <v>0.55</v>
      </c>
      <c r="G141" t="inlineStr">
        <is>
          <t>玛利亚特殊概率</t>
        </is>
      </c>
    </row>
    <row r="142">
      <c r="A142" t="n">
        <v>137</v>
      </c>
      <c r="B142" t="n">
        <v>113099</v>
      </c>
      <c r="C142" t="n">
        <v>3</v>
      </c>
      <c r="D142" t="n">
        <v>0.61</v>
      </c>
      <c r="E142" t="n">
        <v>0.01</v>
      </c>
      <c r="F142" t="n">
        <v>0.7</v>
      </c>
      <c r="G142" t="inlineStr">
        <is>
          <t>玛利亚特殊概率</t>
        </is>
      </c>
    </row>
    <row r="143">
      <c r="A143" t="n">
        <v>138</v>
      </c>
      <c r="B143" t="n">
        <v>113099</v>
      </c>
      <c r="C143" t="n">
        <v>4</v>
      </c>
      <c r="D143" t="n">
        <v>0.76</v>
      </c>
      <c r="E143" t="n">
        <v>0.01</v>
      </c>
      <c r="F143" t="n">
        <v>0.85</v>
      </c>
      <c r="G143" t="inlineStr">
        <is>
          <t>玛利亚特殊概率</t>
        </is>
      </c>
    </row>
    <row r="144">
      <c r="A144" t="n">
        <v>139</v>
      </c>
      <c r="B144" t="n">
        <v>113099</v>
      </c>
      <c r="C144" t="n">
        <v>5</v>
      </c>
      <c r="D144" t="n">
        <v>0.91</v>
      </c>
      <c r="E144" t="n">
        <v>0.01</v>
      </c>
      <c r="F144" t="n">
        <v>1</v>
      </c>
      <c r="G144" t="inlineStr">
        <is>
          <t>玛利亚特殊概率</t>
        </is>
      </c>
    </row>
    <row r="145">
      <c r="A145" t="n">
        <v>140</v>
      </c>
      <c r="B145" t="n">
        <v>113112</v>
      </c>
      <c r="C145" t="n">
        <v>0</v>
      </c>
      <c r="D145" t="n">
        <v>0.01</v>
      </c>
      <c r="E145" t="n">
        <v>0</v>
      </c>
      <c r="F145" t="n">
        <v>0.01</v>
      </c>
      <c r="G145" t="inlineStr">
        <is>
          <t>1%概率</t>
        </is>
      </c>
    </row>
    <row r="146">
      <c r="A146" t="n">
        <v>141</v>
      </c>
      <c r="B146" t="n">
        <v>113112</v>
      </c>
      <c r="C146" t="n">
        <v>1</v>
      </c>
      <c r="D146" t="n">
        <v>0.2</v>
      </c>
      <c r="E146" t="n">
        <v>0.2</v>
      </c>
      <c r="F146" t="n">
        <v>1</v>
      </c>
      <c r="G146" t="inlineStr">
        <is>
          <t>5级成长概率</t>
        </is>
      </c>
    </row>
    <row r="147">
      <c r="A147" s="17" t="n">
        <v>142</v>
      </c>
      <c r="B147" s="17" t="n">
        <v>1112006</v>
      </c>
      <c r="C147" s="17" t="n">
        <v>1</v>
      </c>
      <c r="D147" s="17" t="n">
        <v>0.5</v>
      </c>
      <c r="E147" s="17" t="n">
        <v>0</v>
      </c>
      <c r="F147" s="17" t="n">
        <v>1</v>
      </c>
      <c r="G147" t="inlineStr">
        <is>
          <t>单体</t>
        </is>
      </c>
    </row>
    <row r="148">
      <c r="A148" s="17" t="n">
        <v>143</v>
      </c>
      <c r="B148" s="17" t="n">
        <v>1112006</v>
      </c>
      <c r="C148" s="17" t="n">
        <v>2</v>
      </c>
      <c r="D148" s="17" t="n">
        <v>0.6</v>
      </c>
      <c r="E148" s="17" t="n">
        <v>0</v>
      </c>
      <c r="F148" s="17" t="n">
        <v>1</v>
      </c>
      <c r="G148" t="inlineStr">
        <is>
          <t>单体</t>
        </is>
      </c>
    </row>
    <row r="149">
      <c r="A149" s="17" t="n">
        <v>144</v>
      </c>
      <c r="B149" s="17" t="n">
        <v>1112006</v>
      </c>
      <c r="C149" s="17" t="n">
        <v>3</v>
      </c>
      <c r="D149" s="17" t="n">
        <v>0.7</v>
      </c>
      <c r="E149" s="17" t="n">
        <v>0</v>
      </c>
      <c r="F149" s="17" t="n">
        <v>1</v>
      </c>
      <c r="G149" t="inlineStr">
        <is>
          <t>单体</t>
        </is>
      </c>
    </row>
    <row r="150">
      <c r="A150" s="17" t="n">
        <v>145</v>
      </c>
      <c r="B150" s="17" t="n">
        <v>1112006</v>
      </c>
      <c r="C150" s="17" t="n">
        <v>4</v>
      </c>
      <c r="D150" s="17" t="n">
        <v>0.8</v>
      </c>
      <c r="E150" s="17" t="n">
        <v>0</v>
      </c>
      <c r="F150" s="17" t="n">
        <v>1</v>
      </c>
      <c r="G150" t="inlineStr">
        <is>
          <t>单体</t>
        </is>
      </c>
    </row>
    <row r="151">
      <c r="A151" s="17" t="n">
        <v>146</v>
      </c>
      <c r="B151" s="17" t="n">
        <v>1112007</v>
      </c>
      <c r="C151" s="17" t="n">
        <v>1</v>
      </c>
      <c r="D151" s="17" t="n">
        <v>0.15</v>
      </c>
      <c r="E151" s="17" t="n">
        <v>0</v>
      </c>
      <c r="F151" s="17" t="n">
        <v>1</v>
      </c>
      <c r="G151" t="inlineStr">
        <is>
          <t>单体</t>
        </is>
      </c>
    </row>
    <row r="152">
      <c r="A152" s="17" t="n">
        <v>147</v>
      </c>
      <c r="B152" s="17" t="n">
        <v>1112007</v>
      </c>
      <c r="C152" s="17" t="n">
        <v>2</v>
      </c>
      <c r="D152" s="17" t="n">
        <v>0.2</v>
      </c>
      <c r="E152" s="17" t="n">
        <v>0</v>
      </c>
      <c r="F152" s="17" t="n">
        <v>1</v>
      </c>
      <c r="G152" t="inlineStr">
        <is>
          <t>单体</t>
        </is>
      </c>
    </row>
    <row r="153">
      <c r="A153" s="17" t="n">
        <v>148</v>
      </c>
      <c r="B153" s="17" t="n">
        <v>1112007</v>
      </c>
      <c r="C153" s="17" t="n">
        <v>3</v>
      </c>
      <c r="D153" s="17" t="n">
        <v>0.25</v>
      </c>
      <c r="E153" s="17" t="n">
        <v>0</v>
      </c>
      <c r="F153" s="17" t="n">
        <v>1</v>
      </c>
      <c r="G153" t="inlineStr">
        <is>
          <t>单体</t>
        </is>
      </c>
    </row>
    <row r="154">
      <c r="A154" s="17" t="n">
        <v>149</v>
      </c>
      <c r="B154" s="17" t="n">
        <v>1112007</v>
      </c>
      <c r="C154" s="17" t="n">
        <v>4</v>
      </c>
      <c r="D154" s="17" t="n">
        <v>0.3</v>
      </c>
      <c r="E154" s="17" t="n">
        <v>0</v>
      </c>
      <c r="F154" s="17" t="n">
        <v>1</v>
      </c>
      <c r="G154" t="inlineStr">
        <is>
          <t>单体</t>
        </is>
      </c>
    </row>
  </sheetData>
  <autoFilter ref="A6:G146"/>
  <conditionalFormatting sqref="A1">
    <cfRule type="duplicateValues" priority="1" dxfId="0"/>
  </conditionalFormatting>
  <pageMargins left="0.699305555555556" right="0.699305555555556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6:S53"/>
  <sheetViews>
    <sheetView workbookViewId="0">
      <selection activeCell="A2" sqref="A2:A19"/>
    </sheetView>
  </sheetViews>
  <sheetFormatPr baseColWidth="8" defaultColWidth="9" defaultRowHeight="13.5"/>
  <cols>
    <col width="9" customWidth="1" min="1" max="16384"/>
  </cols>
  <sheetData>
    <row r="16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2" t="n"/>
      <c r="I48" s="2" t="n"/>
      <c r="J48" s="1" t="n"/>
      <c r="K48" s="1" t="n"/>
      <c r="L48" s="1" t="n"/>
      <c r="M48" s="1" t="n"/>
      <c r="N48" s="1" t="n"/>
      <c r="O48" s="1" t="n"/>
      <c r="P48" s="1" t="n"/>
      <c r="Q48" s="2" t="n"/>
      <c r="R48" s="2" t="n"/>
      <c r="S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</sheetData>
  <pageMargins left="0.699305555555556" right="0.699305555555556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1"/>
  <sheetViews>
    <sheetView workbookViewId="0">
      <selection activeCell="E17" sqref="$A1:$XFD1048576"/>
    </sheetView>
  </sheetViews>
  <sheetFormatPr baseColWidth="8" defaultColWidth="9" defaultRowHeight="13.5"/>
  <cols>
    <col width="15.7256637168142" customWidth="1" min="3" max="3"/>
    <col width="12.7256637168142" customWidth="1" min="5" max="5"/>
    <col width="12.2654867256637" customWidth="1" min="6" max="6"/>
  </cols>
  <sheetData/>
  <pageMargins left="0.699305555555556" right="0.699305555555556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2026-03-10T08:54:50Z</dcterms:modified>
  <cp:lastModifiedBy>zhangjunhao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2052-12.8.2.17149</vt:lpwstr>
  </property>
  <property name="ICV" fmtid="{D5CDD505-2E9C-101B-9397-08002B2CF9AE}" pid="3">
    <vt:lpwstr>FE0A3D001A994E9EA81B5BE743B15C8F</vt:lpwstr>
  </property>
</Properties>
</file>