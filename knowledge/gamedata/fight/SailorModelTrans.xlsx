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definedNames>
    <definedName name="_xlnm._FilterDatabase" localSheetId="0" hidden="1">Sheet1!$A$6:$J$94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该表用于注册拼接（转换）技能
该列：序号顺延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序号顺延，相同技能统一序号
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是否进行了多次转换（拼接）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转换前技能的动画ID，关联SailorModelAnimation的动画id 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转换后技能的动画ID，关联SailorModelAnimation的动画id 
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转换前技能动画中转换开始帧数除以30
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转换的过程耗时，若没有转换过程，则填0</t>
        </r>
      </text>
    </commen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转换是否有过程，有则1，无则0</t>
        </r>
      </text>
    </comment>
  </commentList>
</comments>
</file>

<file path=xl/sharedStrings.xml><?xml version="1.0" encoding="utf-8"?>
<sst xmlns="http://schemas.openxmlformats.org/spreadsheetml/2006/main" count="124" uniqueCount="80">
  <si>
    <t>EmptyKey-A2</t>
  </si>
  <si>
    <t>EmptyKey-B2</t>
  </si>
  <si>
    <t>EmptyKey-C2</t>
  </si>
  <si>
    <t>EmptyKey-D2</t>
  </si>
  <si>
    <t>EmptyKey-E2</t>
  </si>
  <si>
    <t>转换时间点</t>
  </si>
  <si>
    <t>转换过程耗时</t>
  </si>
  <si>
    <t>0:无过程  1：缩放过度</t>
  </si>
  <si>
    <t>转换过程参数，1时[ScaleFrom],[ScaleTo]</t>
  </si>
  <si>
    <t>EmptyKey-J2</t>
  </si>
  <si>
    <t>SMTIId</t>
  </si>
  <si>
    <t>SMTId</t>
  </si>
  <si>
    <t>Weight</t>
  </si>
  <si>
    <t>FromMAId</t>
  </si>
  <si>
    <t>ToMAId</t>
  </si>
  <si>
    <t>TransTimer</t>
  </si>
  <si>
    <t>TransDuration</t>
  </si>
  <si>
    <t>TransProcessType</t>
  </si>
  <si>
    <t>TransProcessArgs</t>
  </si>
  <si>
    <t>int</t>
  </si>
  <si>
    <t>double</t>
  </si>
  <si>
    <t>string(intern)</t>
  </si>
  <si>
    <t>primary</t>
  </si>
  <si>
    <t>index</t>
  </si>
  <si>
    <t>none</t>
  </si>
  <si>
    <t>1,0.5</t>
  </si>
  <si>
    <t>1,1</t>
  </si>
  <si>
    <t>0.5,1</t>
  </si>
  <si>
    <t>3002706</t>
  </si>
  <si>
    <t>3003107</t>
  </si>
  <si>
    <r>
      <rPr>
        <sz val="11"/>
        <color theme="1"/>
        <rFont val="等线"/>
        <charset val="134"/>
        <scheme val="minor"/>
      </rPr>
      <t>40710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06</t>
    </r>
  </si>
  <si>
    <t>新世界路飞-路西</t>
  </si>
  <si>
    <t>新世界路飞-皇冠</t>
  </si>
  <si>
    <t>3004308</t>
  </si>
  <si>
    <t>凯多attack08变身</t>
  </si>
  <si>
    <t>乔巴圣诞节时装</t>
  </si>
  <si>
    <t>加洛特attack06变身</t>
  </si>
  <si>
    <t>犬岚attack08变身奥义</t>
  </si>
  <si>
    <t>猫蝮蛇变身</t>
  </si>
  <si>
    <t>德雷克变身（异特龙）</t>
  </si>
  <si>
    <t>年轻战国变身</t>
  </si>
  <si>
    <t>龙人凯多变身龙</t>
  </si>
  <si>
    <t>杰克attack06</t>
  </si>
  <si>
    <t>杰克attack07</t>
  </si>
  <si>
    <t>奎因07</t>
  </si>
  <si>
    <t>UTA02</t>
  </si>
  <si>
    <t>UTA07</t>
  </si>
  <si>
    <t>UTA08</t>
  </si>
  <si>
    <t>润媞07</t>
  </si>
  <si>
    <t>润媞时装07</t>
  </si>
  <si>
    <t>烬07</t>
  </si>
  <si>
    <t>佩吉旺06</t>
  </si>
  <si>
    <t>佩吉旺时装06</t>
  </si>
  <si>
    <t>和之国基德06变身</t>
  </si>
  <si>
    <t>和之国基德08变身</t>
  </si>
  <si>
    <t>和之国路飞11变身</t>
  </si>
  <si>
    <t>和之国乔巴柔力变身01</t>
  </si>
  <si>
    <t>和之国乔巴柔力变身02</t>
  </si>
  <si>
    <t>和之国乔巴怪物变身</t>
  </si>
  <si>
    <t>和之国乔巴时装柔力变身01</t>
  </si>
  <si>
    <t>和之国乔巴时装柔力变身02</t>
  </si>
  <si>
    <t>烬时装07</t>
  </si>
  <si>
    <t>绿牛08变身</t>
  </si>
  <si>
    <t>绿牛变身时装08</t>
  </si>
  <si>
    <t>大口真神大和06变身</t>
  </si>
  <si>
    <t>大口真神大和时装06变身</t>
  </si>
  <si>
    <t>杰克觉醒10变身</t>
  </si>
  <si>
    <t>杰克觉醒时装10变身</t>
  </si>
  <si>
    <t>卡古07变身</t>
  </si>
  <si>
    <t>卡古时装07变身</t>
  </si>
  <si>
    <t>3012001</t>
  </si>
  <si>
    <t>未来岛鲁兹原皮08变身</t>
  </si>
  <si>
    <t>3012002</t>
  </si>
  <si>
    <t>未来岛鲁兹原皮09变身</t>
  </si>
  <si>
    <t>未来岛鲁兹面具08变身</t>
  </si>
  <si>
    <t>未来岛鲁兹面具09变身</t>
  </si>
  <si>
    <t>未来岛鲁兹大衣08变身</t>
  </si>
  <si>
    <t>未来岛鲁兹大衣09变身</t>
  </si>
  <si>
    <t>未来岛斯图西原皮变身</t>
  </si>
  <si>
    <t>未来岛斯图西面具变身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</si>
</sst>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8" borderId="0">
      <alignment vertical="center"/>
    </xf>
    <xf numFmtId="0" fontId="4" fillId="9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0" borderId="0">
      <alignment vertical="center"/>
    </xf>
    <xf numFmtId="0" fontId="5" fillId="11" borderId="0">
      <alignment vertical="center"/>
    </xf>
    <xf numFmtId="43" fontId="0" fillId="0" borderId="0">
      <alignment vertical="center"/>
    </xf>
    <xf numFmtId="0" fontId="6" fillId="12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3" borderId="3">
      <alignment vertical="center"/>
    </xf>
    <xf numFmtId="0" fontId="6" fillId="14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6" fillId="15" borderId="0">
      <alignment vertical="center"/>
    </xf>
    <xf numFmtId="0" fontId="9" fillId="0" borderId="5">
      <alignment vertical="center"/>
    </xf>
    <xf numFmtId="0" fontId="6" fillId="16" borderId="0">
      <alignment vertical="center"/>
    </xf>
    <xf numFmtId="0" fontId="15" fillId="17" borderId="6">
      <alignment vertical="center"/>
    </xf>
    <xf numFmtId="0" fontId="16" fillId="17" borderId="2">
      <alignment vertical="center"/>
    </xf>
    <xf numFmtId="0" fontId="17" fillId="18" borderId="7">
      <alignment vertical="center"/>
    </xf>
    <xf numFmtId="0" fontId="3" fillId="19" borderId="0">
      <alignment vertical="center"/>
    </xf>
    <xf numFmtId="0" fontId="6" fillId="20" borderId="0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3" fillId="23" borderId="0">
      <alignment vertical="center"/>
    </xf>
    <xf numFmtId="0" fontId="6" fillId="24" borderId="0">
      <alignment vertical="center"/>
    </xf>
    <xf numFmtId="0" fontId="3" fillId="25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3" fillId="28" borderId="0">
      <alignment vertical="center"/>
    </xf>
    <xf numFmtId="0" fontId="6" fillId="29" borderId="0">
      <alignment vertical="center"/>
    </xf>
    <xf numFmtId="0" fontId="6" fillId="7" borderId="0">
      <alignment vertical="center"/>
    </xf>
    <xf numFmtId="0" fontId="3" fillId="30" borderId="0">
      <alignment vertical="center"/>
    </xf>
    <xf numFmtId="0" fontId="3" fillId="31" borderId="0">
      <alignment vertical="center"/>
    </xf>
    <xf numFmtId="0" fontId="6" fillId="32" borderId="0">
      <alignment vertical="center"/>
    </xf>
    <xf numFmtId="0" fontId="3" fillId="33" borderId="0">
      <alignment vertical="center"/>
    </xf>
    <xf numFmtId="0" fontId="6" fillId="34" borderId="0">
      <alignment vertical="center"/>
    </xf>
    <xf numFmtId="0" fontId="6" fillId="35" borderId="0">
      <alignment vertical="center"/>
    </xf>
    <xf numFmtId="0" fontId="3" fillId="36" borderId="0">
      <alignment vertical="center"/>
    </xf>
    <xf numFmtId="0" fontId="6" fillId="37" borderId="0">
      <alignment vertical="center"/>
    </xf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2" fillId="6" borderId="0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49" fontId="0" fillId="2" borderId="1" xfId="0" applyNumberFormat="1" applyFont="1" applyFill="1" applyBorder="1" applyAlignment="1" applyProtection="1">
      <alignment horizontal="right" vertical="center"/>
    </xf>
    <xf numFmtId="49" fontId="0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7" borderId="0" xfId="0" applyNumberFormat="1" applyFont="1" applyFill="1" applyBorder="1" applyAlignment="1" applyProtection="1">
      <alignment vertical="center" wrapText="1"/>
    </xf>
    <xf numFmtId="0" fontId="1" fillId="3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1" fillId="5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"/>
  <sheetViews>
    <sheetView tabSelected="1" workbookViewId="0">
      <pane ySplit="6" topLeftCell="A76" activePane="bottomLeft" state="frozen"/>
      <selection/>
      <selection pane="bottomLeft" activeCell="F87" sqref="F87"/>
    </sheetView>
  </sheetViews>
  <sheetFormatPr defaultColWidth="9" defaultRowHeight="14.25"/>
  <cols>
    <col min="2" max="2" width="9" style="3" customWidth="1"/>
    <col min="4" max="4" width="14.75" customWidth="1"/>
    <col min="5" max="5" width="29.3333333333333" customWidth="1"/>
    <col min="6" max="6" width="14.75" customWidth="1"/>
    <col min="7" max="7" width="14.25" customWidth="1"/>
    <col min="8" max="8" width="10.8333333333333" customWidth="1"/>
    <col min="9" max="9" width="40.875" customWidth="1"/>
  </cols>
  <sheetData>
    <row r="1" spans="1:4">
      <c r="A1">
        <v>7</v>
      </c>
      <c r="B1" s="3">
        <v>1</v>
      </c>
      <c r="C1">
        <v>9999</v>
      </c>
      <c r="D1">
        <v>9</v>
      </c>
    </row>
    <row r="2" spans="1:10">
      <c r="A2" t="s">
        <v>0</v>
      </c>
      <c r="B2" s="3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9">
      <c r="A3" t="s">
        <v>10</v>
      </c>
      <c r="B3" s="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>
      <c r="A4" t="s">
        <v>19</v>
      </c>
      <c r="B4" s="3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19</v>
      </c>
      <c r="I4" t="s">
        <v>21</v>
      </c>
    </row>
    <row r="5" spans="1:9">
      <c r="A5" t="s">
        <v>22</v>
      </c>
      <c r="B5" s="3" t="s">
        <v>23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</row>
    <row r="6" spans="1:1">
      <c r="A6" t="s">
        <v>10</v>
      </c>
    </row>
    <row r="7" spans="1:9">
      <c r="A7">
        <v>1</v>
      </c>
      <c r="B7" s="3">
        <v>1</v>
      </c>
      <c r="C7">
        <v>0</v>
      </c>
      <c r="D7">
        <v>103</v>
      </c>
      <c r="E7">
        <v>300101</v>
      </c>
      <c r="F7">
        <f>3.83333-0.2</f>
        <v>3.63333</v>
      </c>
      <c r="G7">
        <f>0.16667-0.02</f>
        <v>0.14667</v>
      </c>
      <c r="H7">
        <v>1</v>
      </c>
      <c r="I7" t="s">
        <v>25</v>
      </c>
    </row>
    <row r="8" spans="1:9">
      <c r="A8">
        <v>2</v>
      </c>
      <c r="B8" s="3">
        <v>1</v>
      </c>
      <c r="C8">
        <v>1</v>
      </c>
      <c r="D8">
        <v>300101</v>
      </c>
      <c r="E8">
        <v>199</v>
      </c>
      <c r="F8">
        <v>2.33333</v>
      </c>
      <c r="G8">
        <f>0.16667</f>
        <v>0.16667</v>
      </c>
      <c r="H8">
        <v>1</v>
      </c>
      <c r="I8" t="s">
        <v>26</v>
      </c>
    </row>
    <row r="9" spans="1:9">
      <c r="A9">
        <v>3</v>
      </c>
      <c r="B9" s="3">
        <v>2</v>
      </c>
      <c r="C9">
        <v>0</v>
      </c>
      <c r="D9">
        <v>104</v>
      </c>
      <c r="E9">
        <v>300101</v>
      </c>
      <c r="F9">
        <v>5</v>
      </c>
      <c r="G9">
        <v>0.16667</v>
      </c>
      <c r="H9">
        <v>1</v>
      </c>
      <c r="I9" t="s">
        <v>25</v>
      </c>
    </row>
    <row r="10" spans="1:9">
      <c r="A10">
        <v>4</v>
      </c>
      <c r="B10" s="3">
        <v>2</v>
      </c>
      <c r="C10">
        <v>1</v>
      </c>
      <c r="D10">
        <v>300101</v>
      </c>
      <c r="E10">
        <v>199</v>
      </c>
      <c r="F10">
        <v>2.33333</v>
      </c>
      <c r="G10">
        <f>0.16667</f>
        <v>0.16667</v>
      </c>
      <c r="H10">
        <v>1</v>
      </c>
      <c r="I10" t="s">
        <v>26</v>
      </c>
    </row>
    <row r="11" spans="1:9">
      <c r="A11">
        <v>5</v>
      </c>
      <c r="B11" s="3">
        <v>3</v>
      </c>
      <c r="C11">
        <v>0</v>
      </c>
      <c r="D11">
        <v>702</v>
      </c>
      <c r="E11">
        <v>300401</v>
      </c>
      <c r="F11">
        <v>1</v>
      </c>
      <c r="G11">
        <f>0.16667</f>
        <v>0.16667</v>
      </c>
      <c r="H11">
        <v>1</v>
      </c>
      <c r="I11" t="s">
        <v>27</v>
      </c>
    </row>
    <row r="12" spans="1:9">
      <c r="A12">
        <v>6</v>
      </c>
      <c r="B12" s="3">
        <v>3</v>
      </c>
      <c r="C12">
        <v>1</v>
      </c>
      <c r="D12">
        <v>300401</v>
      </c>
      <c r="E12">
        <v>702</v>
      </c>
      <c r="F12">
        <v>3.56666666666667</v>
      </c>
      <c r="G12">
        <f>0.16667</f>
        <v>0.16667</v>
      </c>
      <c r="H12">
        <v>1</v>
      </c>
      <c r="I12" t="s">
        <v>25</v>
      </c>
    </row>
    <row r="13" spans="1:8">
      <c r="A13">
        <v>7</v>
      </c>
      <c r="B13" s="3">
        <v>4</v>
      </c>
      <c r="C13">
        <v>0</v>
      </c>
      <c r="D13">
        <v>3607</v>
      </c>
      <c r="E13">
        <v>300802</v>
      </c>
      <c r="F13">
        <v>2.4</v>
      </c>
      <c r="G13">
        <v>0</v>
      </c>
      <c r="H13">
        <v>0</v>
      </c>
    </row>
    <row r="14" spans="1:8">
      <c r="A14">
        <v>8</v>
      </c>
      <c r="B14" s="3">
        <v>5</v>
      </c>
      <c r="C14">
        <v>0</v>
      </c>
      <c r="D14">
        <v>703</v>
      </c>
      <c r="E14">
        <v>300512</v>
      </c>
      <c r="F14">
        <v>2</v>
      </c>
      <c r="G14">
        <v>0</v>
      </c>
      <c r="H14">
        <v>0</v>
      </c>
    </row>
    <row r="15" spans="1:9">
      <c r="A15">
        <v>9</v>
      </c>
      <c r="B15" s="3">
        <v>6</v>
      </c>
      <c r="C15">
        <v>0</v>
      </c>
      <c r="D15">
        <v>704</v>
      </c>
      <c r="E15">
        <v>300604</v>
      </c>
      <c r="F15">
        <v>1.6</v>
      </c>
      <c r="G15">
        <v>0.1</v>
      </c>
      <c r="H15">
        <v>1</v>
      </c>
      <c r="I15" t="s">
        <v>27</v>
      </c>
    </row>
    <row r="16" spans="1:9">
      <c r="A16">
        <v>10</v>
      </c>
      <c r="B16" s="3">
        <v>7</v>
      </c>
      <c r="C16">
        <v>0</v>
      </c>
      <c r="D16">
        <v>3000304</v>
      </c>
      <c r="E16">
        <v>3807</v>
      </c>
      <c r="F16">
        <v>1.33333333333333</v>
      </c>
      <c r="G16">
        <f>0.16667</f>
        <v>0.16667</v>
      </c>
      <c r="H16">
        <v>1</v>
      </c>
      <c r="I16" t="s">
        <v>27</v>
      </c>
    </row>
    <row r="17" spans="1:9">
      <c r="A17">
        <v>11</v>
      </c>
      <c r="B17" s="3">
        <v>8</v>
      </c>
      <c r="C17">
        <v>0</v>
      </c>
      <c r="D17">
        <v>40010103</v>
      </c>
      <c r="E17">
        <v>305701</v>
      </c>
      <c r="F17">
        <f>3.83333-0.2</f>
        <v>3.63333</v>
      </c>
      <c r="G17">
        <f>0.16667-0.02</f>
        <v>0.14667</v>
      </c>
      <c r="H17">
        <v>1</v>
      </c>
      <c r="I17" t="s">
        <v>25</v>
      </c>
    </row>
    <row r="18" spans="1:9">
      <c r="A18">
        <v>12</v>
      </c>
      <c r="B18" s="3">
        <v>8</v>
      </c>
      <c r="C18">
        <v>1</v>
      </c>
      <c r="D18">
        <v>305701</v>
      </c>
      <c r="E18">
        <v>40010199</v>
      </c>
      <c r="F18">
        <v>2.33333</v>
      </c>
      <c r="G18">
        <f>0.16667</f>
        <v>0.16667</v>
      </c>
      <c r="H18">
        <v>1</v>
      </c>
      <c r="I18" t="s">
        <v>26</v>
      </c>
    </row>
    <row r="19" spans="1:9">
      <c r="A19">
        <v>13</v>
      </c>
      <c r="B19" s="3">
        <v>9</v>
      </c>
      <c r="C19">
        <v>0</v>
      </c>
      <c r="D19">
        <v>40010104</v>
      </c>
      <c r="E19">
        <v>305701</v>
      </c>
      <c r="F19">
        <v>5</v>
      </c>
      <c r="G19">
        <v>0.16667</v>
      </c>
      <c r="H19">
        <v>1</v>
      </c>
      <c r="I19" t="s">
        <v>25</v>
      </c>
    </row>
    <row r="20" spans="1:9">
      <c r="A20">
        <v>14</v>
      </c>
      <c r="B20" s="3">
        <v>9</v>
      </c>
      <c r="C20">
        <v>1</v>
      </c>
      <c r="D20">
        <v>305701</v>
      </c>
      <c r="E20">
        <v>40010199</v>
      </c>
      <c r="F20">
        <v>2.33333</v>
      </c>
      <c r="G20">
        <f>0.16667</f>
        <v>0.16667</v>
      </c>
      <c r="H20">
        <v>1</v>
      </c>
      <c r="I20" t="s">
        <v>26</v>
      </c>
    </row>
    <row r="21" spans="1:8">
      <c r="A21">
        <v>15</v>
      </c>
      <c r="B21" s="3">
        <v>10</v>
      </c>
      <c r="C21">
        <v>0</v>
      </c>
      <c r="D21">
        <v>5509</v>
      </c>
      <c r="E21">
        <v>5502</v>
      </c>
      <c r="F21">
        <v>1.33333333333333</v>
      </c>
      <c r="G21">
        <v>0</v>
      </c>
      <c r="H21">
        <v>0</v>
      </c>
    </row>
    <row r="22" spans="1:8">
      <c r="A22">
        <v>16</v>
      </c>
      <c r="B22" s="3">
        <v>11</v>
      </c>
      <c r="C22">
        <v>0</v>
      </c>
      <c r="D22">
        <v>6106</v>
      </c>
      <c r="E22">
        <v>3000504</v>
      </c>
      <c r="F22">
        <v>2.83333333333333</v>
      </c>
      <c r="G22">
        <v>0</v>
      </c>
      <c r="H22">
        <v>0</v>
      </c>
    </row>
    <row r="23" spans="1:8">
      <c r="A23">
        <v>17</v>
      </c>
      <c r="B23" s="3">
        <v>12</v>
      </c>
      <c r="C23">
        <v>0</v>
      </c>
      <c r="D23">
        <v>6608</v>
      </c>
      <c r="E23">
        <v>3001301</v>
      </c>
      <c r="F23">
        <f>203/30</f>
        <v>6.76666666666667</v>
      </c>
      <c r="G23">
        <v>0</v>
      </c>
      <c r="H23">
        <v>0</v>
      </c>
    </row>
    <row r="24" spans="1:9">
      <c r="A24">
        <v>18</v>
      </c>
      <c r="B24" s="3">
        <v>13</v>
      </c>
      <c r="C24">
        <v>0</v>
      </c>
      <c r="D24">
        <v>40010203</v>
      </c>
      <c r="E24">
        <v>306001</v>
      </c>
      <c r="F24">
        <f>3.83333-0.2</f>
        <v>3.63333</v>
      </c>
      <c r="G24">
        <f>0.16667-0.02</f>
        <v>0.14667</v>
      </c>
      <c r="H24">
        <v>1</v>
      </c>
      <c r="I24" t="s">
        <v>25</v>
      </c>
    </row>
    <row r="25" spans="1:9">
      <c r="A25">
        <v>19</v>
      </c>
      <c r="B25" s="3">
        <v>13</v>
      </c>
      <c r="C25">
        <v>1</v>
      </c>
      <c r="D25">
        <v>306001</v>
      </c>
      <c r="E25">
        <v>40010299</v>
      </c>
      <c r="F25">
        <v>2.33333</v>
      </c>
      <c r="G25">
        <f>0.16667</f>
        <v>0.16667</v>
      </c>
      <c r="H25">
        <v>1</v>
      </c>
      <c r="I25" t="s">
        <v>26</v>
      </c>
    </row>
    <row r="26" spans="1:9">
      <c r="A26">
        <v>20</v>
      </c>
      <c r="B26" s="3">
        <v>14</v>
      </c>
      <c r="C26">
        <v>0</v>
      </c>
      <c r="D26">
        <v>40010204</v>
      </c>
      <c r="E26">
        <v>306001</v>
      </c>
      <c r="F26">
        <v>5</v>
      </c>
      <c r="G26">
        <v>0.16667</v>
      </c>
      <c r="H26">
        <v>1</v>
      </c>
      <c r="I26" t="s">
        <v>25</v>
      </c>
    </row>
    <row r="27" spans="1:9">
      <c r="A27">
        <v>21</v>
      </c>
      <c r="B27" s="3">
        <v>14</v>
      </c>
      <c r="C27">
        <v>1</v>
      </c>
      <c r="D27">
        <v>306001</v>
      </c>
      <c r="E27">
        <v>40010299</v>
      </c>
      <c r="F27">
        <v>2.33333</v>
      </c>
      <c r="G27">
        <f>0.16667</f>
        <v>0.16667</v>
      </c>
      <c r="H27">
        <v>1</v>
      </c>
      <c r="I27" t="s">
        <v>26</v>
      </c>
    </row>
    <row r="28" spans="1:8">
      <c r="A28">
        <v>22</v>
      </c>
      <c r="B28" s="3">
        <v>15</v>
      </c>
      <c r="C28">
        <v>0</v>
      </c>
      <c r="D28">
        <v>7106</v>
      </c>
      <c r="E28" s="7" t="s">
        <v>28</v>
      </c>
      <c r="F28">
        <v>1.5</v>
      </c>
      <c r="G28">
        <v>0</v>
      </c>
      <c r="H28">
        <v>0</v>
      </c>
    </row>
    <row r="29" spans="1:8">
      <c r="A29">
        <v>23</v>
      </c>
      <c r="B29" s="3">
        <v>16</v>
      </c>
      <c r="C29">
        <v>0</v>
      </c>
      <c r="D29">
        <v>40010306</v>
      </c>
      <c r="E29" s="7" t="s">
        <v>28</v>
      </c>
      <c r="F29">
        <v>1.5</v>
      </c>
      <c r="G29">
        <v>0</v>
      </c>
      <c r="H29">
        <v>0</v>
      </c>
    </row>
    <row r="30" spans="1:8">
      <c r="A30">
        <v>24</v>
      </c>
      <c r="B30" s="3">
        <v>17</v>
      </c>
      <c r="C30">
        <v>0</v>
      </c>
      <c r="D30">
        <v>7607</v>
      </c>
      <c r="E30" s="7" t="s">
        <v>29</v>
      </c>
      <c r="F30">
        <v>2.2</v>
      </c>
      <c r="G30">
        <v>0</v>
      </c>
      <c r="H30">
        <v>0</v>
      </c>
    </row>
    <row r="31" spans="1:8">
      <c r="A31">
        <v>25</v>
      </c>
      <c r="B31" s="3">
        <v>18</v>
      </c>
      <c r="C31">
        <v>0</v>
      </c>
      <c r="D31">
        <v>7401</v>
      </c>
      <c r="E31">
        <v>223001</v>
      </c>
      <c r="F31">
        <v>1.6333333</v>
      </c>
      <c r="G31">
        <v>0</v>
      </c>
      <c r="H31">
        <v>0</v>
      </c>
    </row>
    <row r="32" spans="1:8">
      <c r="A32">
        <v>26</v>
      </c>
      <c r="B32" s="3">
        <v>18</v>
      </c>
      <c r="C32">
        <v>1</v>
      </c>
      <c r="D32">
        <v>223001</v>
      </c>
      <c r="E32">
        <v>7411</v>
      </c>
      <c r="F32">
        <f>2.5</f>
        <v>2.5</v>
      </c>
      <c r="G32">
        <v>0</v>
      </c>
      <c r="H32">
        <v>0</v>
      </c>
    </row>
    <row r="33" spans="1:8">
      <c r="A33">
        <v>27</v>
      </c>
      <c r="B33" s="3">
        <v>19</v>
      </c>
      <c r="C33">
        <v>0</v>
      </c>
      <c r="D33">
        <v>223903</v>
      </c>
      <c r="E33">
        <v>7403</v>
      </c>
      <c r="F33">
        <f>70/30</f>
        <v>2.33333333333333</v>
      </c>
      <c r="G33">
        <v>0</v>
      </c>
      <c r="H33">
        <v>0</v>
      </c>
    </row>
    <row r="34" spans="1:8">
      <c r="A34">
        <v>28</v>
      </c>
      <c r="B34" s="3">
        <v>20</v>
      </c>
      <c r="C34">
        <v>0</v>
      </c>
      <c r="D34">
        <v>7407</v>
      </c>
      <c r="E34">
        <v>223907</v>
      </c>
      <c r="F34">
        <f>12/30</f>
        <v>0.4</v>
      </c>
      <c r="G34">
        <v>0</v>
      </c>
      <c r="H34">
        <v>0</v>
      </c>
    </row>
    <row r="35" spans="1:8">
      <c r="A35">
        <v>29</v>
      </c>
      <c r="B35" s="3">
        <v>20</v>
      </c>
      <c r="C35">
        <v>1</v>
      </c>
      <c r="D35">
        <v>223907</v>
      </c>
      <c r="E35">
        <v>7411</v>
      </c>
      <c r="F35">
        <f>95/30</f>
        <v>3.16666666666667</v>
      </c>
      <c r="G35">
        <v>0</v>
      </c>
      <c r="H35">
        <v>0</v>
      </c>
    </row>
    <row r="36" spans="1:8">
      <c r="A36">
        <v>30</v>
      </c>
      <c r="B36" s="3">
        <v>21</v>
      </c>
      <c r="C36">
        <v>0</v>
      </c>
      <c r="D36">
        <v>7409</v>
      </c>
      <c r="E36">
        <v>223809</v>
      </c>
      <c r="F36">
        <f>70/30</f>
        <v>2.33333333333333</v>
      </c>
      <c r="G36">
        <v>0</v>
      </c>
      <c r="H36">
        <v>0</v>
      </c>
    </row>
    <row r="37" spans="1:8">
      <c r="A37">
        <v>31</v>
      </c>
      <c r="B37" s="3">
        <v>22</v>
      </c>
      <c r="C37">
        <v>0</v>
      </c>
      <c r="D37">
        <v>223002</v>
      </c>
      <c r="E37">
        <v>7411</v>
      </c>
      <c r="F37">
        <f>107/30</f>
        <v>3.56666666666667</v>
      </c>
      <c r="G37">
        <v>0</v>
      </c>
      <c r="H37">
        <v>0</v>
      </c>
    </row>
    <row r="38" spans="1:8">
      <c r="A38">
        <v>32</v>
      </c>
      <c r="B38" s="3">
        <v>23</v>
      </c>
      <c r="C38">
        <v>0</v>
      </c>
      <c r="D38">
        <v>223006</v>
      </c>
      <c r="E38">
        <v>7411</v>
      </c>
      <c r="F38">
        <f>62/30</f>
        <v>2.06666666666667</v>
      </c>
      <c r="G38">
        <v>0</v>
      </c>
      <c r="H38">
        <v>0</v>
      </c>
    </row>
    <row r="39" spans="1:8">
      <c r="A39">
        <v>33</v>
      </c>
      <c r="B39" s="3">
        <v>24</v>
      </c>
      <c r="C39">
        <v>0</v>
      </c>
      <c r="D39">
        <v>7610</v>
      </c>
      <c r="E39">
        <v>3003110</v>
      </c>
      <c r="F39">
        <f>75/30</f>
        <v>2.5</v>
      </c>
      <c r="G39">
        <v>0</v>
      </c>
      <c r="H39">
        <v>0</v>
      </c>
    </row>
    <row r="40" spans="1:8">
      <c r="A40">
        <v>34</v>
      </c>
      <c r="B40" s="3">
        <v>25</v>
      </c>
      <c r="C40">
        <v>0</v>
      </c>
      <c r="D40">
        <v>120005</v>
      </c>
      <c r="E40">
        <v>120105</v>
      </c>
      <c r="F40">
        <f>90/30</f>
        <v>3</v>
      </c>
      <c r="G40">
        <v>0</v>
      </c>
      <c r="H40">
        <v>0</v>
      </c>
    </row>
    <row r="41" s="1" customFormat="1" spans="1:8">
      <c r="A41" s="1">
        <v>35</v>
      </c>
      <c r="B41" s="8">
        <v>26</v>
      </c>
      <c r="C41" s="1">
        <v>0</v>
      </c>
      <c r="D41" s="1">
        <v>40760107</v>
      </c>
      <c r="E41" s="9" t="s">
        <v>29</v>
      </c>
      <c r="F41" s="1">
        <v>2.2</v>
      </c>
      <c r="G41" s="1">
        <v>0</v>
      </c>
      <c r="H41" s="1">
        <v>0</v>
      </c>
    </row>
    <row r="42" s="1" customFormat="1" spans="1:8">
      <c r="A42" s="1">
        <v>36</v>
      </c>
      <c r="B42" s="8">
        <v>27</v>
      </c>
      <c r="C42" s="1">
        <v>0</v>
      </c>
      <c r="D42" s="1">
        <v>40760110</v>
      </c>
      <c r="E42" s="1">
        <v>3003110</v>
      </c>
      <c r="F42" s="1">
        <f>75/30</f>
        <v>2.5</v>
      </c>
      <c r="G42" s="1">
        <v>0</v>
      </c>
      <c r="H42" s="1">
        <v>0</v>
      </c>
    </row>
    <row r="43" spans="1:10">
      <c r="A43">
        <v>37</v>
      </c>
      <c r="B43" s="3">
        <v>28</v>
      </c>
      <c r="D43" s="7" t="s">
        <v>30</v>
      </c>
      <c r="E43" s="7" t="s">
        <v>28</v>
      </c>
      <c r="F43">
        <v>1.5</v>
      </c>
      <c r="G43">
        <v>0</v>
      </c>
      <c r="H43">
        <v>0</v>
      </c>
      <c r="J43" t="s">
        <v>31</v>
      </c>
    </row>
    <row r="44" spans="1:10">
      <c r="A44">
        <v>38</v>
      </c>
      <c r="B44" s="3">
        <v>29</v>
      </c>
      <c r="D44" s="7">
        <v>40710206</v>
      </c>
      <c r="E44" s="7" t="s">
        <v>28</v>
      </c>
      <c r="F44">
        <v>1.5</v>
      </c>
      <c r="G44">
        <v>0</v>
      </c>
      <c r="H44">
        <v>0</v>
      </c>
      <c r="J44" t="s">
        <v>32</v>
      </c>
    </row>
    <row r="45" spans="1:8">
      <c r="A45">
        <v>39</v>
      </c>
      <c r="B45" s="3">
        <v>30</v>
      </c>
      <c r="C45">
        <v>0</v>
      </c>
      <c r="D45">
        <v>9005</v>
      </c>
      <c r="E45">
        <v>120105</v>
      </c>
      <c r="F45">
        <f>90/30</f>
        <v>3</v>
      </c>
      <c r="G45">
        <v>0</v>
      </c>
      <c r="H45">
        <v>0</v>
      </c>
    </row>
    <row r="46" s="1" customFormat="1" spans="1:10">
      <c r="A46" s="1">
        <v>40</v>
      </c>
      <c r="B46" s="8">
        <v>31</v>
      </c>
      <c r="C46" s="1">
        <v>0</v>
      </c>
      <c r="D46" s="1">
        <v>9308</v>
      </c>
      <c r="E46" s="10" t="s">
        <v>33</v>
      </c>
      <c r="F46" s="1">
        <v>1.66666666666667</v>
      </c>
      <c r="G46" s="1">
        <v>0</v>
      </c>
      <c r="H46" s="1">
        <v>0</v>
      </c>
      <c r="J46" s="1" t="s">
        <v>34</v>
      </c>
    </row>
    <row r="47" spans="1:10">
      <c r="A47">
        <v>41</v>
      </c>
      <c r="B47" s="3">
        <v>32</v>
      </c>
      <c r="C47">
        <v>0</v>
      </c>
      <c r="D47">
        <v>40740101</v>
      </c>
      <c r="E47">
        <v>223001</v>
      </c>
      <c r="F47">
        <v>1.6333333</v>
      </c>
      <c r="G47">
        <v>0</v>
      </c>
      <c r="H47">
        <v>0</v>
      </c>
      <c r="J47" t="s">
        <v>35</v>
      </c>
    </row>
    <row r="48" spans="1:10">
      <c r="A48">
        <v>42</v>
      </c>
      <c r="B48" s="3">
        <v>33</v>
      </c>
      <c r="C48">
        <v>0</v>
      </c>
      <c r="D48">
        <v>40740107</v>
      </c>
      <c r="E48">
        <v>223907</v>
      </c>
      <c r="F48">
        <f>12/30</f>
        <v>0.4</v>
      </c>
      <c r="G48">
        <v>0</v>
      </c>
      <c r="H48">
        <v>0</v>
      </c>
      <c r="J48" t="s">
        <v>35</v>
      </c>
    </row>
    <row r="49" spans="1:10">
      <c r="A49">
        <v>43</v>
      </c>
      <c r="B49" s="3">
        <v>34</v>
      </c>
      <c r="C49">
        <v>0</v>
      </c>
      <c r="D49">
        <v>40740109</v>
      </c>
      <c r="E49">
        <v>223809</v>
      </c>
      <c r="F49">
        <f>70/30</f>
        <v>2.33333333333333</v>
      </c>
      <c r="G49">
        <v>0</v>
      </c>
      <c r="H49">
        <v>0</v>
      </c>
      <c r="J49" t="s">
        <v>35</v>
      </c>
    </row>
    <row r="50" spans="1:10">
      <c r="A50">
        <v>44</v>
      </c>
      <c r="B50" s="3">
        <v>35</v>
      </c>
      <c r="C50">
        <v>0</v>
      </c>
      <c r="D50">
        <v>223002</v>
      </c>
      <c r="E50">
        <v>40740111</v>
      </c>
      <c r="F50">
        <f>107/30</f>
        <v>3.56666666666667</v>
      </c>
      <c r="G50">
        <v>0</v>
      </c>
      <c r="H50">
        <v>0</v>
      </c>
      <c r="J50" t="s">
        <v>35</v>
      </c>
    </row>
    <row r="51" spans="1:10">
      <c r="A51">
        <v>45</v>
      </c>
      <c r="B51" s="3">
        <v>36</v>
      </c>
      <c r="C51">
        <v>0</v>
      </c>
      <c r="D51">
        <v>223006</v>
      </c>
      <c r="E51">
        <v>40740111</v>
      </c>
      <c r="F51">
        <f>62/30</f>
        <v>2.06666666666667</v>
      </c>
      <c r="G51">
        <v>0</v>
      </c>
      <c r="H51">
        <v>0</v>
      </c>
      <c r="J51" t="s">
        <v>35</v>
      </c>
    </row>
    <row r="52" spans="1:10">
      <c r="A52">
        <v>46</v>
      </c>
      <c r="B52" s="3">
        <v>37</v>
      </c>
      <c r="C52">
        <v>0</v>
      </c>
      <c r="D52">
        <v>223903</v>
      </c>
      <c r="E52">
        <v>40740103</v>
      </c>
      <c r="F52">
        <f>70/30</f>
        <v>2.33333333333333</v>
      </c>
      <c r="G52">
        <v>0</v>
      </c>
      <c r="H52">
        <v>0</v>
      </c>
      <c r="J52" t="s">
        <v>35</v>
      </c>
    </row>
    <row r="53" spans="1:10">
      <c r="A53">
        <v>47</v>
      </c>
      <c r="B53" s="3">
        <v>38</v>
      </c>
      <c r="C53">
        <v>0</v>
      </c>
      <c r="D53">
        <v>10506</v>
      </c>
      <c r="E53" s="11">
        <v>3005310</v>
      </c>
      <c r="F53">
        <v>2.6</v>
      </c>
      <c r="G53">
        <v>0</v>
      </c>
      <c r="H53">
        <v>0</v>
      </c>
      <c r="J53" t="s">
        <v>36</v>
      </c>
    </row>
    <row r="54" spans="1:8">
      <c r="A54">
        <v>48</v>
      </c>
      <c r="B54" s="3">
        <v>39</v>
      </c>
      <c r="C54">
        <v>0</v>
      </c>
      <c r="D54" s="12">
        <v>401050106</v>
      </c>
      <c r="E54">
        <v>3005310</v>
      </c>
      <c r="F54">
        <v>2.6</v>
      </c>
      <c r="G54">
        <v>0</v>
      </c>
      <c r="H54">
        <v>0</v>
      </c>
    </row>
    <row r="55" spans="1:10">
      <c r="A55">
        <v>49</v>
      </c>
      <c r="B55" s="3">
        <v>40</v>
      </c>
      <c r="C55">
        <v>0</v>
      </c>
      <c r="D55">
        <v>11208</v>
      </c>
      <c r="E55">
        <v>3005608</v>
      </c>
      <c r="F55">
        <f>150/30</f>
        <v>5</v>
      </c>
      <c r="G55">
        <v>0</v>
      </c>
      <c r="H55">
        <v>0</v>
      </c>
      <c r="J55" t="s">
        <v>37</v>
      </c>
    </row>
    <row r="56" spans="1:10">
      <c r="A56">
        <v>50</v>
      </c>
      <c r="B56" s="3">
        <v>41</v>
      </c>
      <c r="C56">
        <v>0</v>
      </c>
      <c r="D56">
        <v>11308</v>
      </c>
      <c r="E56">
        <v>3005708</v>
      </c>
      <c r="F56">
        <f>136/30</f>
        <v>4.53333333333333</v>
      </c>
      <c r="G56">
        <v>0</v>
      </c>
      <c r="H56">
        <v>0</v>
      </c>
      <c r="J56" t="s">
        <v>38</v>
      </c>
    </row>
    <row r="57" s="2" customFormat="1" spans="1:10">
      <c r="A57" s="2">
        <v>51</v>
      </c>
      <c r="B57" s="13">
        <v>42</v>
      </c>
      <c r="C57" s="2">
        <v>0</v>
      </c>
      <c r="D57" s="2">
        <v>11606</v>
      </c>
      <c r="E57" s="2">
        <v>3006306</v>
      </c>
      <c r="F57" s="2">
        <f>71/30</f>
        <v>2.36666666666667</v>
      </c>
      <c r="G57" s="2">
        <v>0</v>
      </c>
      <c r="H57" s="2">
        <v>0</v>
      </c>
      <c r="J57" s="2" t="s">
        <v>39</v>
      </c>
    </row>
    <row r="58" spans="1:10">
      <c r="A58">
        <v>52</v>
      </c>
      <c r="B58" s="3">
        <v>43</v>
      </c>
      <c r="C58">
        <v>0</v>
      </c>
      <c r="D58">
        <v>12006</v>
      </c>
      <c r="E58">
        <v>3006701</v>
      </c>
      <c r="F58">
        <f>180/30</f>
        <v>6</v>
      </c>
      <c r="G58">
        <v>0</v>
      </c>
      <c r="H58">
        <v>0</v>
      </c>
      <c r="J58" t="s">
        <v>40</v>
      </c>
    </row>
    <row r="59" spans="1:10">
      <c r="A59">
        <v>53</v>
      </c>
      <c r="B59" s="3">
        <v>44</v>
      </c>
      <c r="C59">
        <v>0</v>
      </c>
      <c r="D59">
        <v>11904</v>
      </c>
      <c r="E59">
        <v>11815</v>
      </c>
      <c r="F59">
        <f>143/30</f>
        <v>4.76666666666667</v>
      </c>
      <c r="G59">
        <v>0</v>
      </c>
      <c r="H59">
        <v>0</v>
      </c>
      <c r="J59" t="s">
        <v>41</v>
      </c>
    </row>
    <row r="60" spans="1:10">
      <c r="A60">
        <v>54</v>
      </c>
      <c r="B60" s="3">
        <v>45</v>
      </c>
      <c r="C60">
        <v>0</v>
      </c>
      <c r="D60">
        <v>12106</v>
      </c>
      <c r="E60">
        <v>3006906</v>
      </c>
      <c r="F60">
        <f>82/30</f>
        <v>2.73333333333333</v>
      </c>
      <c r="G60">
        <v>0</v>
      </c>
      <c r="H60">
        <v>0</v>
      </c>
      <c r="J60" t="s">
        <v>42</v>
      </c>
    </row>
    <row r="61" spans="1:10">
      <c r="A61">
        <v>55</v>
      </c>
      <c r="B61" s="3">
        <v>46</v>
      </c>
      <c r="C61">
        <v>0</v>
      </c>
      <c r="D61">
        <v>12107</v>
      </c>
      <c r="E61">
        <v>3006907</v>
      </c>
      <c r="F61">
        <f>121/30</f>
        <v>4.03333333333333</v>
      </c>
      <c r="G61">
        <v>0</v>
      </c>
      <c r="H61">
        <v>0</v>
      </c>
      <c r="J61" t="s">
        <v>43</v>
      </c>
    </row>
    <row r="62" spans="1:10">
      <c r="A62">
        <v>56</v>
      </c>
      <c r="B62" s="3">
        <v>47</v>
      </c>
      <c r="C62">
        <v>0</v>
      </c>
      <c r="D62">
        <v>12207</v>
      </c>
      <c r="E62">
        <v>3007007</v>
      </c>
      <c r="F62">
        <f>219/30</f>
        <v>7.3</v>
      </c>
      <c r="G62">
        <v>0</v>
      </c>
      <c r="H62">
        <v>0</v>
      </c>
      <c r="J62" t="s">
        <v>44</v>
      </c>
    </row>
    <row r="63" spans="1:10">
      <c r="A63">
        <v>57</v>
      </c>
      <c r="B63" s="3">
        <v>48</v>
      </c>
      <c r="C63">
        <v>0</v>
      </c>
      <c r="D63">
        <v>12402</v>
      </c>
      <c r="E63">
        <v>3007102</v>
      </c>
      <c r="F63">
        <v>0</v>
      </c>
      <c r="G63">
        <v>0</v>
      </c>
      <c r="H63">
        <v>0</v>
      </c>
      <c r="J63" t="s">
        <v>45</v>
      </c>
    </row>
    <row r="64" spans="1:10">
      <c r="A64">
        <v>58</v>
      </c>
      <c r="B64" s="3">
        <v>49</v>
      </c>
      <c r="C64">
        <v>0</v>
      </c>
      <c r="D64">
        <v>12407</v>
      </c>
      <c r="E64">
        <v>3007107</v>
      </c>
      <c r="F64">
        <v>0</v>
      </c>
      <c r="G64">
        <v>0</v>
      </c>
      <c r="H64">
        <v>0</v>
      </c>
      <c r="J64" t="s">
        <v>46</v>
      </c>
    </row>
    <row r="65" spans="1:10">
      <c r="A65">
        <v>59</v>
      </c>
      <c r="B65" s="3">
        <v>50</v>
      </c>
      <c r="C65">
        <v>0</v>
      </c>
      <c r="D65">
        <v>12408</v>
      </c>
      <c r="E65">
        <v>3007108</v>
      </c>
      <c r="F65">
        <f>125/30</f>
        <v>4.16666666666667</v>
      </c>
      <c r="G65">
        <v>0</v>
      </c>
      <c r="H65">
        <v>0</v>
      </c>
      <c r="J65" t="s">
        <v>47</v>
      </c>
    </row>
    <row r="66" spans="1:10">
      <c r="A66">
        <v>60</v>
      </c>
      <c r="B66" s="3">
        <v>51</v>
      </c>
      <c r="C66">
        <v>0</v>
      </c>
      <c r="D66">
        <v>12507</v>
      </c>
      <c r="E66">
        <v>3007307</v>
      </c>
      <c r="F66">
        <f>57/30</f>
        <v>1.9</v>
      </c>
      <c r="G66">
        <v>0</v>
      </c>
      <c r="H66">
        <v>0</v>
      </c>
      <c r="J66" t="s">
        <v>48</v>
      </c>
    </row>
    <row r="67" spans="1:10">
      <c r="A67">
        <v>61</v>
      </c>
      <c r="B67" s="3">
        <v>52</v>
      </c>
      <c r="C67">
        <v>0</v>
      </c>
      <c r="D67">
        <v>401250107</v>
      </c>
      <c r="E67">
        <v>3007307</v>
      </c>
      <c r="F67">
        <f>57/30</f>
        <v>1.9</v>
      </c>
      <c r="G67">
        <v>0</v>
      </c>
      <c r="H67">
        <v>0</v>
      </c>
      <c r="J67" t="s">
        <v>49</v>
      </c>
    </row>
    <row r="68" s="3" customFormat="1" spans="1:10">
      <c r="A68" s="3">
        <v>62</v>
      </c>
      <c r="B68" s="3">
        <v>53</v>
      </c>
      <c r="C68" s="3">
        <v>0</v>
      </c>
      <c r="D68" s="3">
        <v>12607</v>
      </c>
      <c r="E68" s="3">
        <v>3007507</v>
      </c>
      <c r="F68" s="3">
        <f>43/30</f>
        <v>1.43333333333333</v>
      </c>
      <c r="G68" s="3">
        <v>0</v>
      </c>
      <c r="H68" s="3">
        <v>0</v>
      </c>
      <c r="J68" s="3" t="s">
        <v>50</v>
      </c>
    </row>
    <row r="69" spans="1:10">
      <c r="A69">
        <v>63</v>
      </c>
      <c r="B69" s="3">
        <v>54</v>
      </c>
      <c r="C69">
        <v>0</v>
      </c>
      <c r="D69">
        <v>12706</v>
      </c>
      <c r="E69">
        <v>3007606</v>
      </c>
      <c r="F69">
        <f>42/30</f>
        <v>1.4</v>
      </c>
      <c r="G69">
        <v>0</v>
      </c>
      <c r="H69">
        <v>0</v>
      </c>
      <c r="J69" t="s">
        <v>51</v>
      </c>
    </row>
    <row r="70" spans="1:10">
      <c r="A70">
        <v>64</v>
      </c>
      <c r="B70" s="3">
        <v>55</v>
      </c>
      <c r="C70">
        <v>0</v>
      </c>
      <c r="D70">
        <v>401270106</v>
      </c>
      <c r="E70">
        <v>3007606</v>
      </c>
      <c r="F70">
        <f>42/30</f>
        <v>1.4</v>
      </c>
      <c r="G70">
        <v>0</v>
      </c>
      <c r="H70">
        <v>0</v>
      </c>
      <c r="J70" t="s">
        <v>52</v>
      </c>
    </row>
    <row r="71" spans="1:10">
      <c r="A71">
        <v>65</v>
      </c>
      <c r="B71" s="3">
        <v>56</v>
      </c>
      <c r="C71">
        <v>0</v>
      </c>
      <c r="D71">
        <v>12906</v>
      </c>
      <c r="E71">
        <v>3007706</v>
      </c>
      <c r="F71" s="14">
        <f>116/30</f>
        <v>3.86666666666667</v>
      </c>
      <c r="G71">
        <v>0</v>
      </c>
      <c r="H71">
        <v>0</v>
      </c>
      <c r="J71" t="s">
        <v>53</v>
      </c>
    </row>
    <row r="72" spans="1:10">
      <c r="A72">
        <v>66</v>
      </c>
      <c r="B72" s="3">
        <v>57</v>
      </c>
      <c r="C72">
        <v>0</v>
      </c>
      <c r="D72">
        <v>12908</v>
      </c>
      <c r="E72">
        <v>3007708</v>
      </c>
      <c r="F72" s="14">
        <f>104/30</f>
        <v>3.46666666666667</v>
      </c>
      <c r="G72">
        <v>0</v>
      </c>
      <c r="H72">
        <v>0</v>
      </c>
      <c r="J72" t="s">
        <v>54</v>
      </c>
    </row>
    <row r="73" spans="1:10">
      <c r="A73">
        <v>67</v>
      </c>
      <c r="B73" s="3">
        <v>58</v>
      </c>
      <c r="C73">
        <v>0</v>
      </c>
      <c r="D73">
        <v>13207</v>
      </c>
      <c r="E73">
        <v>3008201</v>
      </c>
      <c r="F73">
        <f>77/30</f>
        <v>2.56666666666667</v>
      </c>
      <c r="G73">
        <v>0</v>
      </c>
      <c r="H73">
        <v>0</v>
      </c>
      <c r="J73" t="s">
        <v>55</v>
      </c>
    </row>
    <row r="74" spans="1:10">
      <c r="A74">
        <v>68</v>
      </c>
      <c r="B74" s="3">
        <v>59</v>
      </c>
      <c r="C74">
        <v>0</v>
      </c>
      <c r="D74">
        <v>13610</v>
      </c>
      <c r="E74">
        <v>3008603</v>
      </c>
      <c r="F74">
        <f>13/30</f>
        <v>0.433333333333333</v>
      </c>
      <c r="G74">
        <v>0.1</v>
      </c>
      <c r="H74">
        <v>1</v>
      </c>
      <c r="I74" t="s">
        <v>25</v>
      </c>
      <c r="J74" t="s">
        <v>56</v>
      </c>
    </row>
    <row r="75" spans="1:10">
      <c r="A75">
        <v>69</v>
      </c>
      <c r="B75" s="3">
        <v>59</v>
      </c>
      <c r="C75">
        <v>1</v>
      </c>
      <c r="D75">
        <v>3008603</v>
      </c>
      <c r="E75">
        <v>13603</v>
      </c>
      <c r="F75">
        <f>74/30</f>
        <v>2.46666666666667</v>
      </c>
      <c r="G75">
        <v>0.15</v>
      </c>
      <c r="H75">
        <v>1</v>
      </c>
      <c r="I75" t="s">
        <v>25</v>
      </c>
      <c r="J75" t="s">
        <v>57</v>
      </c>
    </row>
    <row r="76" spans="1:10">
      <c r="A76">
        <v>70</v>
      </c>
      <c r="B76" s="3">
        <v>60</v>
      </c>
      <c r="C76">
        <v>0</v>
      </c>
      <c r="D76">
        <v>13606</v>
      </c>
      <c r="E76">
        <v>3008506</v>
      </c>
      <c r="F76">
        <f>127/30</f>
        <v>4.23333333333333</v>
      </c>
      <c r="G76">
        <v>0</v>
      </c>
      <c r="H76">
        <v>0</v>
      </c>
      <c r="J76" t="s">
        <v>58</v>
      </c>
    </row>
    <row r="77" s="4" customFormat="1" spans="1:10">
      <c r="A77">
        <v>71</v>
      </c>
      <c r="B77" s="3">
        <v>61</v>
      </c>
      <c r="C77" s="4">
        <v>0</v>
      </c>
      <c r="D77" s="4">
        <v>401360110</v>
      </c>
      <c r="E77" s="4">
        <v>3008603</v>
      </c>
      <c r="F77" s="4">
        <v>0.433333333333333</v>
      </c>
      <c r="G77" s="4">
        <v>0.1</v>
      </c>
      <c r="H77" s="4">
        <v>1</v>
      </c>
      <c r="I77" s="4" t="s">
        <v>25</v>
      </c>
      <c r="J77" s="4" t="s">
        <v>59</v>
      </c>
    </row>
    <row r="78" customFormat="1" spans="1:10">
      <c r="A78">
        <v>72</v>
      </c>
      <c r="B78" s="3">
        <v>61</v>
      </c>
      <c r="C78">
        <v>1</v>
      </c>
      <c r="D78">
        <v>3008603</v>
      </c>
      <c r="E78">
        <v>401360103</v>
      </c>
      <c r="F78">
        <v>2.46666666666667</v>
      </c>
      <c r="G78">
        <v>0.15</v>
      </c>
      <c r="H78">
        <v>1</v>
      </c>
      <c r="I78" t="s">
        <v>25</v>
      </c>
      <c r="J78" t="s">
        <v>60</v>
      </c>
    </row>
    <row r="79" customFormat="1" spans="1:10">
      <c r="A79">
        <v>73</v>
      </c>
      <c r="B79" s="3">
        <v>62</v>
      </c>
      <c r="C79">
        <v>0</v>
      </c>
      <c r="D79">
        <v>401260207</v>
      </c>
      <c r="E79">
        <v>3007507</v>
      </c>
      <c r="F79">
        <f>43/30</f>
        <v>1.43333333333333</v>
      </c>
      <c r="G79">
        <v>0</v>
      </c>
      <c r="H79">
        <v>0</v>
      </c>
      <c r="J79" t="s">
        <v>61</v>
      </c>
    </row>
    <row r="80" customFormat="1" spans="1:10">
      <c r="A80">
        <v>74</v>
      </c>
      <c r="B80" s="3">
        <v>63</v>
      </c>
      <c r="C80">
        <v>0</v>
      </c>
      <c r="D80">
        <v>14608</v>
      </c>
      <c r="E80">
        <v>3009001</v>
      </c>
      <c r="F80">
        <f t="shared" ref="F80:F82" si="0">149/30</f>
        <v>4.96666666666667</v>
      </c>
      <c r="G80">
        <v>0</v>
      </c>
      <c r="H80">
        <v>0</v>
      </c>
      <c r="J80" t="s">
        <v>62</v>
      </c>
    </row>
    <row r="81" customFormat="1" spans="1:10">
      <c r="A81">
        <v>75</v>
      </c>
      <c r="B81" s="3">
        <v>64</v>
      </c>
      <c r="C81">
        <v>0</v>
      </c>
      <c r="D81">
        <v>401460108</v>
      </c>
      <c r="E81">
        <v>3009001</v>
      </c>
      <c r="F81">
        <f t="shared" si="0"/>
        <v>4.96666666666667</v>
      </c>
      <c r="G81">
        <v>0</v>
      </c>
      <c r="H81">
        <v>0</v>
      </c>
      <c r="J81" t="s">
        <v>63</v>
      </c>
    </row>
    <row r="82" customFormat="1" spans="1:10">
      <c r="A82">
        <v>76</v>
      </c>
      <c r="B82" s="3">
        <v>65</v>
      </c>
      <c r="C82">
        <v>0</v>
      </c>
      <c r="D82">
        <v>14706</v>
      </c>
      <c r="E82">
        <v>3009201</v>
      </c>
      <c r="F82">
        <f>91/30</f>
        <v>3.03333333333333</v>
      </c>
      <c r="G82">
        <v>0</v>
      </c>
      <c r="H82">
        <v>0</v>
      </c>
      <c r="J82" t="s">
        <v>64</v>
      </c>
    </row>
    <row r="83" customFormat="1" spans="1:10">
      <c r="A83">
        <v>77</v>
      </c>
      <c r="B83" s="3">
        <v>66</v>
      </c>
      <c r="C83">
        <v>0</v>
      </c>
      <c r="D83">
        <v>401470106</v>
      </c>
      <c r="E83">
        <v>3009201</v>
      </c>
      <c r="F83">
        <f>91/30</f>
        <v>3.03333333333333</v>
      </c>
      <c r="G83">
        <v>0</v>
      </c>
      <c r="H83">
        <v>0</v>
      </c>
      <c r="J83" t="s">
        <v>65</v>
      </c>
    </row>
    <row r="84" s="1" customFormat="1" spans="1:10">
      <c r="A84" s="1">
        <v>78</v>
      </c>
      <c r="B84" s="8">
        <v>67</v>
      </c>
      <c r="C84" s="1">
        <v>0</v>
      </c>
      <c r="D84" s="1">
        <v>12110</v>
      </c>
      <c r="E84" s="1">
        <v>3009410</v>
      </c>
      <c r="F84" s="1">
        <f t="shared" ref="F84:F89" si="1">76/30</f>
        <v>2.53333333333333</v>
      </c>
      <c r="G84" s="1">
        <v>0</v>
      </c>
      <c r="H84" s="1">
        <v>0</v>
      </c>
      <c r="J84" s="1" t="s">
        <v>66</v>
      </c>
    </row>
    <row r="85" s="1" customFormat="1" spans="1:10">
      <c r="A85" s="1">
        <v>79</v>
      </c>
      <c r="B85" s="8">
        <v>68</v>
      </c>
      <c r="C85" s="1">
        <v>0</v>
      </c>
      <c r="D85" s="1">
        <v>401210110</v>
      </c>
      <c r="E85" s="1">
        <v>3009410</v>
      </c>
      <c r="F85" s="1">
        <f t="shared" si="1"/>
        <v>2.53333333333333</v>
      </c>
      <c r="G85" s="1">
        <v>0</v>
      </c>
      <c r="H85" s="1">
        <v>0</v>
      </c>
      <c r="J85" s="1" t="s">
        <v>67</v>
      </c>
    </row>
    <row r="86" s="5" customFormat="1" spans="1:10">
      <c r="A86" s="5">
        <v>80</v>
      </c>
      <c r="B86" s="15">
        <v>69</v>
      </c>
      <c r="C86" s="5">
        <v>0</v>
      </c>
      <c r="D86" s="5">
        <v>15206</v>
      </c>
      <c r="E86" s="5">
        <v>3010502</v>
      </c>
      <c r="F86" s="5">
        <f>164/30</f>
        <v>5.46666666666667</v>
      </c>
      <c r="G86" s="5">
        <v>0</v>
      </c>
      <c r="H86" s="5">
        <v>0</v>
      </c>
      <c r="J86" s="5" t="s">
        <v>68</v>
      </c>
    </row>
    <row r="87" s="5" customFormat="1" spans="1:10">
      <c r="A87" s="5">
        <v>81</v>
      </c>
      <c r="B87" s="15">
        <v>70</v>
      </c>
      <c r="C87" s="5">
        <v>1</v>
      </c>
      <c r="D87" s="5">
        <v>401520106</v>
      </c>
      <c r="E87" s="5">
        <v>3010502</v>
      </c>
      <c r="F87" s="5">
        <f>164/30</f>
        <v>5.46666666666667</v>
      </c>
      <c r="G87" s="5">
        <v>0</v>
      </c>
      <c r="H87" s="5">
        <v>0</v>
      </c>
      <c r="J87" s="5" t="s">
        <v>69</v>
      </c>
    </row>
    <row r="88" s="1" customFormat="1" spans="1:10">
      <c r="A88" s="5">
        <v>82</v>
      </c>
      <c r="B88" s="8">
        <v>71</v>
      </c>
      <c r="C88" s="1">
        <v>0</v>
      </c>
      <c r="D88" s="1">
        <v>401210210</v>
      </c>
      <c r="E88" s="1">
        <v>3009410</v>
      </c>
      <c r="F88" s="1">
        <f t="shared" si="1"/>
        <v>2.53333333333333</v>
      </c>
      <c r="G88" s="1">
        <v>0</v>
      </c>
      <c r="H88" s="1">
        <v>0</v>
      </c>
      <c r="J88" s="1" t="s">
        <v>67</v>
      </c>
    </row>
    <row r="89" s="6" customFormat="1" spans="1:10">
      <c r="A89" s="6">
        <v>83</v>
      </c>
      <c r="B89" s="6">
        <v>72</v>
      </c>
      <c r="C89" s="6">
        <v>0</v>
      </c>
      <c r="D89" s="6">
        <v>15408</v>
      </c>
      <c r="E89" s="6" t="s">
        <v>70</v>
      </c>
      <c r="F89" s="6">
        <f t="shared" ref="F89:F94" si="2">180/30</f>
        <v>6</v>
      </c>
      <c r="G89" s="6">
        <v>0</v>
      </c>
      <c r="H89" s="6">
        <v>0</v>
      </c>
      <c r="J89" s="6" t="s">
        <v>71</v>
      </c>
    </row>
    <row r="90" s="6" customFormat="1" spans="1:10">
      <c r="A90" s="6">
        <v>84</v>
      </c>
      <c r="B90" s="6">
        <v>73</v>
      </c>
      <c r="C90" s="6">
        <v>0</v>
      </c>
      <c r="D90" s="6">
        <v>3012204</v>
      </c>
      <c r="E90" s="6" t="s">
        <v>72</v>
      </c>
      <c r="F90" s="6">
        <f t="shared" si="2"/>
        <v>6</v>
      </c>
      <c r="G90" s="6">
        <v>0</v>
      </c>
      <c r="H90" s="6">
        <v>0</v>
      </c>
      <c r="J90" s="6" t="s">
        <v>73</v>
      </c>
    </row>
    <row r="91" s="1" customFormat="1" spans="1:10">
      <c r="A91" s="1">
        <v>85</v>
      </c>
      <c r="B91" s="8">
        <v>74</v>
      </c>
      <c r="C91" s="1">
        <v>0</v>
      </c>
      <c r="D91" s="1">
        <v>401540108</v>
      </c>
      <c r="E91" s="1" t="s">
        <v>70</v>
      </c>
      <c r="F91" s="1">
        <f t="shared" si="2"/>
        <v>6</v>
      </c>
      <c r="G91" s="1">
        <v>0</v>
      </c>
      <c r="H91" s="1">
        <v>0</v>
      </c>
      <c r="J91" s="1" t="s">
        <v>74</v>
      </c>
    </row>
    <row r="92" s="1" customFormat="1" spans="1:10">
      <c r="A92" s="1">
        <v>86</v>
      </c>
      <c r="B92" s="8">
        <v>75</v>
      </c>
      <c r="C92" s="1">
        <v>0</v>
      </c>
      <c r="D92" s="1">
        <v>3012304</v>
      </c>
      <c r="E92" s="1" t="s">
        <v>72</v>
      </c>
      <c r="F92" s="1">
        <f t="shared" si="2"/>
        <v>6</v>
      </c>
      <c r="G92" s="1">
        <v>0</v>
      </c>
      <c r="H92" s="1">
        <v>0</v>
      </c>
      <c r="J92" s="1" t="s">
        <v>75</v>
      </c>
    </row>
    <row r="93" s="5" customFormat="1" spans="1:10">
      <c r="A93" s="5">
        <v>87</v>
      </c>
      <c r="B93" s="5">
        <v>76</v>
      </c>
      <c r="C93" s="5">
        <v>0</v>
      </c>
      <c r="D93" s="5">
        <v>401540208</v>
      </c>
      <c r="E93" s="5" t="s">
        <v>70</v>
      </c>
      <c r="F93" s="5">
        <f t="shared" si="2"/>
        <v>6</v>
      </c>
      <c r="G93" s="5">
        <v>0</v>
      </c>
      <c r="H93" s="5">
        <v>0</v>
      </c>
      <c r="J93" s="5" t="s">
        <v>76</v>
      </c>
    </row>
    <row r="94" s="5" customFormat="1" spans="1:10">
      <c r="A94" s="5">
        <v>88</v>
      </c>
      <c r="B94" s="5">
        <v>77</v>
      </c>
      <c r="C94" s="5">
        <v>0</v>
      </c>
      <c r="D94" s="5">
        <v>3012404</v>
      </c>
      <c r="E94" s="5" t="s">
        <v>72</v>
      </c>
      <c r="F94" s="5">
        <f t="shared" si="2"/>
        <v>6</v>
      </c>
      <c r="G94" s="5">
        <v>0</v>
      </c>
      <c r="H94" s="5">
        <v>0</v>
      </c>
      <c r="J94" s="5" t="s">
        <v>77</v>
      </c>
    </row>
    <row r="95" s="6" customFormat="1" spans="1:10">
      <c r="A95" s="6">
        <v>89</v>
      </c>
      <c r="B95" s="6">
        <v>78</v>
      </c>
      <c r="C95" s="6">
        <v>0</v>
      </c>
      <c r="D95" s="6">
        <v>15505</v>
      </c>
      <c r="E95" s="6">
        <v>3012602</v>
      </c>
      <c r="F95" s="6">
        <v>0.1</v>
      </c>
      <c r="G95" s="6">
        <v>0</v>
      </c>
      <c r="H95" s="6">
        <v>0</v>
      </c>
      <c r="J95" s="6" t="s">
        <v>78</v>
      </c>
    </row>
    <row r="96" s="1" customFormat="1" spans="1:10">
      <c r="A96" s="1">
        <v>90</v>
      </c>
      <c r="B96" s="8">
        <v>79</v>
      </c>
      <c r="C96" s="1">
        <v>0</v>
      </c>
      <c r="D96" s="1">
        <v>401550105</v>
      </c>
      <c r="E96" s="1">
        <v>3012602</v>
      </c>
      <c r="F96" s="1">
        <v>0.1</v>
      </c>
      <c r="G96" s="1">
        <v>0</v>
      </c>
      <c r="H96" s="1">
        <v>0</v>
      </c>
      <c r="J96" s="1" t="s">
        <v>79</v>
      </c>
    </row>
  </sheetData>
  <autoFilter ref="A6:J94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wangminxi</cp:lastModifiedBy>
  <dcterms:created xsi:type="dcterms:W3CDTF">2016-10-21T06:21:00Z</dcterms:created>
  <dcterms:modified xsi:type="dcterms:W3CDTF">2025-11-18T11:01:38Z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4AB13CEB62CE4D189C7DC7FD94223D8A</vt:lpwstr>
  </property>
</Properties>
</file>