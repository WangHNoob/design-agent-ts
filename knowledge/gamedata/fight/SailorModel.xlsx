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450"/>
  </bookViews>
  <sheets>
    <sheet name="Sheet1" sheetId="4" r:id="rId1"/>
    <sheet name="Sheet2" sheetId="2" r:id="rId2"/>
    <sheet name="Sheet3" sheetId="3" r:id="rId3"/>
  </sheets>
  <definedNames>
    <definedName name="_xlnm._FilterDatabase" localSheetId="0" hidden="1">Sheet1!$6:$1251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yc</author>
    <author>Administrator</author>
    <author>zhoudatong</author>
    <author>A</author>
  </authors>
  <commentList>
    <comment ref="A2" authorId="0">
      <text>
        <r>
          <rPr>
            <sz val="11"/>
            <rFont val="Calibri"/>
            <charset val="134"/>
          </rPr>
          <t>admin:
该表用于模型注册
该列：英雄ID：1-999
变身后模型30001-30999
小怪：1001-1999
时装：400101（40+角色模型id+时装序号）</t>
        </r>
      </text>
    </comment>
    <comment ref="B2" authorId="0">
      <text>
        <r>
          <rPr>
            <sz val="11"/>
            <rFont val="Calibri"/>
            <charset val="134"/>
          </rPr>
          <t>admin:
根据Assets/OriginalRes/Model下的模型文件名填写</t>
        </r>
      </text>
    </comment>
    <comment ref="D2" authorId="0">
      <text>
        <r>
          <rPr>
            <sz val="11"/>
            <rFont val="Calibri"/>
            <charset val="134"/>
          </rPr>
          <t>admin:
战斗角色填1，无完整动作的角色模型填0；
影响构建的内容，坐骑角色需要先填1构建，再填0构建一遍才能骑上</t>
        </r>
      </text>
    </comment>
    <comment ref="F2" authorId="0">
      <text>
        <r>
          <rPr>
            <sz val="11"/>
            <rFont val="Calibri"/>
            <charset val="134"/>
          </rPr>
          <t>admin:
调整范围0.9-1.1，若不能满足缩放需求请找美术或程序</t>
        </r>
      </text>
    </comment>
    <comment ref="G2" authorId="0">
      <text>
        <r>
          <rPr>
            <sz val="11"/>
            <rFont val="Calibri"/>
            <charset val="134"/>
          </rPr>
          <t>admin:
影响非战斗场景中头部挂点高度，如城镇中名字和训练条</t>
        </r>
      </text>
    </comment>
    <comment ref="H2" authorId="0">
      <text>
        <r>
          <rPr>
            <sz val="11"/>
            <rFont val="Calibri"/>
            <charset val="134"/>
          </rPr>
          <t>admin:
影响战斗场景中血条高度</t>
        </r>
      </text>
    </comment>
    <comment ref="I2" authorId="0">
      <text>
        <r>
          <rPr>
            <sz val="11"/>
            <rFont val="Calibri"/>
            <charset val="134"/>
          </rPr>
          <t>admin:
影响受击时距离敌人之间的距离</t>
        </r>
      </text>
    </comment>
    <comment ref="K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如果填1移动方式为瞬移，前冲动作开始时模型隐藏</t>
        </r>
      </text>
    </comment>
    <comment ref="L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根据前冲动作脚离地帧数除以30得到</t>
        </r>
      </text>
    </comment>
    <comment ref="T2" authorId="0">
      <text>
        <r>
          <rPr>
            <sz val="11"/>
            <rFont val="Calibri"/>
            <charset val="134"/>
          </rPr>
          <t>admin:
统一2.4</t>
        </r>
      </text>
    </comment>
    <comment ref="AC2" authorId="1">
      <text>
        <r>
          <rPr>
            <sz val="9"/>
            <rFont val="宋体"/>
            <charset val="134"/>
          </rPr>
          <t>格式：
特效1&amp;&amp;特效2...&amp;&amp;特效n</t>
        </r>
      </text>
    </comment>
    <comment ref="AD2" authorId="1">
      <text>
        <r>
          <rPr>
            <sz val="9"/>
            <rFont val="宋体"/>
            <charset val="134"/>
          </rPr>
          <t>格式：
挂点1#x1,y1,z1&amp;&amp;挂点2#x2,y2,z2...&amp;&amp;挂点n#xn,yn,zn
x,y,z为特效相对于挂点的偏移量</t>
        </r>
      </text>
    </comment>
    <comment ref="AF2" authorId="1">
      <text>
        <r>
          <rPr>
            <sz val="9"/>
            <rFont val="宋体"/>
            <charset val="134"/>
          </rPr>
          <t xml:space="preserve">格式：
特效1&amp;&amp;特效2...&amp;&amp;特效n
</t>
        </r>
      </text>
    </comment>
    <comment ref="AG2" authorId="1">
      <text>
        <r>
          <rPr>
            <sz val="9"/>
            <rFont val="宋体"/>
            <charset val="134"/>
          </rPr>
          <t>格式：
挂点1#x1,y1,z1&amp;&amp;挂点2#x2,y2,z2...&amp;&amp;挂点n#xn,yn,zn
x,y,z为特效相对于挂点的偏移量</t>
        </r>
      </text>
    </comment>
    <comment ref="AH2" authorId="0">
      <text>
        <r>
          <rPr>
            <sz val="11"/>
            <rFont val="Calibri"/>
            <charset val="134"/>
          </rPr>
          <t xml:space="preserve">admin:
社交表情及八星动作
</t>
        </r>
      </text>
    </comment>
    <comment ref="AI2" authorId="0">
      <text>
        <r>
          <rPr>
            <sz val="11"/>
            <rFont val="Calibri"/>
            <charset val="134"/>
          </rPr>
          <t xml:space="preserve">admin:
奔跑run动画播放过程中是否插入播放其他动画，若需切换则填写多长时间切换一次，若不需要则留空
</t>
        </r>
      </text>
    </comment>
    <comment ref="AJ2" authorId="0">
      <text>
        <r>
          <rPr>
            <sz val="11"/>
            <rFont val="Calibri"/>
            <charset val="134"/>
          </rPr>
          <t>admin:
跑步run播放过程中切换为run02的条件</t>
        </r>
      </text>
    </comment>
    <comment ref="AM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是否是大体型
0不是（默认）
1是巨型
2是大体型</t>
        </r>
      </text>
    </comment>
    <comment ref="AP2" authorId="3">
      <text>
        <r>
          <rPr>
            <sz val="9"/>
            <rFont val="宋体"/>
            <charset val="134"/>
          </rPr>
          <t>0或不填-默认
1-船
2-据点
3-非战斗单元需要构建副本动画控制器的
4-坐骑和拥有坐骑的角色</t>
        </r>
      </text>
    </comment>
    <comment ref="AX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模型相对于阵容4号位和9号位对角线中心的偏移
只有变身后的模型才能填写这一字段
没有变身后模型需要修改位置需求的一定不要填，否则会导致战斗显示异常
按以下格式填写：
x,y,z
例：5.5,0,1.5</t>
        </r>
      </text>
    </comment>
    <comment ref="AY2" authorId="1">
      <text>
        <r>
          <rPr>
            <sz val="9"/>
            <rFont val="宋体"/>
            <charset val="134"/>
          </rPr>
          <t>格式：
特效1&amp;&amp;特效2...&amp;&amp;特效n</t>
        </r>
      </text>
    </comment>
    <comment ref="AZ2" authorId="1">
      <text>
        <r>
          <rPr>
            <sz val="9"/>
            <rFont val="宋体"/>
            <charset val="134"/>
          </rPr>
          <t>格式：
挂点1#x1,y1,z1&amp;&amp;挂点2#x2,y2,z2...&amp;&amp;挂点n#xn,yn,zn
x,y,z为特效相对于挂点的偏移量</t>
        </r>
      </text>
    </comment>
    <comment ref="J67" authorId="4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Bip001 Neck</t>
        </r>
      </text>
    </comment>
    <comment ref="AC68" authorId="4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1428</t>
        </r>
      </text>
    </comment>
    <comment ref="AY68" authorId="4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1428</t>
        </r>
      </text>
    </comment>
  </commentList>
</comments>
</file>

<file path=xl/sharedStrings.xml><?xml version="1.0" encoding="utf-8"?>
<sst xmlns="http://schemas.openxmlformats.org/spreadsheetml/2006/main" count="5563" uniqueCount="2670">
  <si>
    <t>7</t>
  </si>
  <si>
    <t>模型Id</t>
  </si>
  <si>
    <t>模型名</t>
  </si>
  <si>
    <t>备注</t>
  </si>
  <si>
    <t>是否有完整的动作</t>
  </si>
  <si>
    <t>是否有低模存在  1:有  0:没有</t>
  </si>
  <si>
    <t>缩放比率</t>
  </si>
  <si>
    <t>城镇待机高度</t>
  </si>
  <si>
    <t>战斗场景高度</t>
  </si>
  <si>
    <t>模型半径</t>
  </si>
  <si>
    <t>默认被选择的Bone</t>
  </si>
  <si>
    <t>0:普通  1:瞬移</t>
  </si>
  <si>
    <t>向前冲动作开始</t>
  </si>
  <si>
    <t>向前冲动作结束</t>
  </si>
  <si>
    <t>开始前冲动作特效，不填默认18</t>
  </si>
  <si>
    <t>结束前冲动作特效</t>
  </si>
  <si>
    <t>回跳动作开始</t>
  </si>
  <si>
    <t>回跳动作结束</t>
  </si>
  <si>
    <t>开始回跳动作特效</t>
  </si>
  <si>
    <t>结束回跳动作特效</t>
  </si>
  <si>
    <t>死亡动作持续时长</t>
  </si>
  <si>
    <t>EmptyKey-U2</t>
  </si>
  <si>
    <t>EmptyKey-V2</t>
  </si>
  <si>
    <t>EmptyKey-W2</t>
  </si>
  <si>
    <t>招募相机X</t>
  </si>
  <si>
    <t>招募相机Y</t>
  </si>
  <si>
    <t>招募相机Z</t>
  </si>
  <si>
    <t>招募模型大小</t>
  </si>
  <si>
    <t>特效是否受到星级影响</t>
  </si>
  <si>
    <t>场景模型常驻特效</t>
  </si>
  <si>
    <t>场景模型常驻特效参数</t>
  </si>
  <si>
    <t>添加材质球的数据，强烈建议不使用</t>
  </si>
  <si>
    <t>押送特效</t>
  </si>
  <si>
    <t>押送特效参数</t>
  </si>
  <si>
    <t>模型展示动画</t>
  </si>
  <si>
    <t>场景中Run02动作间隔</t>
  </si>
  <si>
    <t xml:space="preserve">场景中切换Run02动作条件
格式：星级&amp;&amp;后续扩展条件
</t>
  </si>
  <si>
    <t>死亡展示类型
0: normal
1:particledeath  2:cameraDeath</t>
  </si>
  <si>
    <t>EmptyKey-AL2</t>
  </si>
  <si>
    <t>是否为大体型</t>
  </si>
  <si>
    <t>EmptyKey-AN2</t>
  </si>
  <si>
    <t>EmptyKey-AO2</t>
  </si>
  <si>
    <t>模型特殊类型</t>
  </si>
  <si>
    <t xml:space="preserve">场景中切换模型皮条件
格式：星级&amp;&amp;后续扩展条件
</t>
  </si>
  <si>
    <t>高模，皮生效</t>
  </si>
  <si>
    <t>高模，皮失效</t>
  </si>
  <si>
    <t>低模，皮生效</t>
  </si>
  <si>
    <t>低模，皮失效</t>
  </si>
  <si>
    <t>前跳音效</t>
  </si>
  <si>
    <t>后跳音效</t>
  </si>
  <si>
    <t>变身后模型偏移</t>
  </si>
  <si>
    <t>场景模型觉醒常驻特效</t>
  </si>
  <si>
    <t>场景模型觉醒常驻特效参数</t>
  </si>
  <si>
    <t>ModelId</t>
  </si>
  <si>
    <t>ModelRes</t>
  </si>
  <si>
    <t>IsMain</t>
  </si>
  <si>
    <t>IsHaveLowModel</t>
  </si>
  <si>
    <t>ModelScale</t>
  </si>
  <si>
    <t>StandHeight</t>
  </si>
  <si>
    <t>Height</t>
  </si>
  <si>
    <t>Radius</t>
  </si>
  <si>
    <t>DefaultFoundBone</t>
  </si>
  <si>
    <t>RushJumpbType</t>
  </si>
  <si>
    <t>RushAniStartTime</t>
  </si>
  <si>
    <t>RushAniStopTime</t>
  </si>
  <si>
    <t>RushParticle</t>
  </si>
  <si>
    <t>RushEndParticle</t>
  </si>
  <si>
    <t>JumpbStartTime</t>
  </si>
  <si>
    <t>JumpbStopTime</t>
  </si>
  <si>
    <t>JumpbParticle</t>
  </si>
  <si>
    <t>JumpbEndParticle</t>
  </si>
  <si>
    <t>DeathDuration</t>
  </si>
  <si>
    <t>RecruitCamX</t>
  </si>
  <si>
    <t>RecruitCamY</t>
  </si>
  <si>
    <t>RecruitCamZ</t>
  </si>
  <si>
    <t>RecruitScale</t>
  </si>
  <si>
    <t>IsPlayerSceneParticle</t>
  </si>
  <si>
    <t>ParticleIds</t>
  </si>
  <si>
    <t>ParticleArgs</t>
  </si>
  <si>
    <t>AdditionMaterialArgs</t>
  </si>
  <si>
    <t>BeConvoyParticleIds</t>
  </si>
  <si>
    <t>BeConvoyParticleArgs</t>
  </si>
  <si>
    <t>DisplayAni</t>
  </si>
  <si>
    <t>Run02DetalValue</t>
  </si>
  <si>
    <t>SwitchRun02Condition</t>
  </si>
  <si>
    <t>DeathShowType</t>
  </si>
  <si>
    <t>DeathShowArgs</t>
  </si>
  <si>
    <t>IsHuge</t>
  </si>
  <si>
    <t>HugeModelViewScale</t>
  </si>
  <si>
    <t>HugeModelHpBarHeight</t>
  </si>
  <si>
    <t>SpecialType</t>
  </si>
  <si>
    <t>SwitchModleSkinCondition</t>
  </si>
  <si>
    <t>HighModelSkinsOn</t>
  </si>
  <si>
    <t>HighModelSkinsOff</t>
  </si>
  <si>
    <t>LowModelSkinsOn</t>
  </si>
  <si>
    <t>LowModelSkinsOff</t>
  </si>
  <si>
    <t>RushAudios</t>
  </si>
  <si>
    <t>JumpAudios</t>
  </si>
  <si>
    <t>TransferOffset</t>
  </si>
  <si>
    <t>AwakeParticleids</t>
  </si>
  <si>
    <t>AwakeParticleArgs</t>
  </si>
  <si>
    <t>int</t>
  </si>
  <si>
    <t>string</t>
  </si>
  <si>
    <t>double</t>
  </si>
  <si>
    <t>string(intern)</t>
  </si>
  <si>
    <t>float</t>
  </si>
  <si>
    <t>array_int</t>
  </si>
  <si>
    <t>array_string</t>
  </si>
  <si>
    <t>primary</t>
  </si>
  <si>
    <t>none</t>
  </si>
  <si>
    <t>modelId</t>
  </si>
  <si>
    <t>modelRes</t>
  </si>
  <si>
    <t>1</t>
  </si>
  <si>
    <t>luffy001_body</t>
  </si>
  <si>
    <t>路飞</t>
  </si>
  <si>
    <t>Bip001</t>
  </si>
  <si>
    <t>shoukao#0,0,0</t>
  </si>
  <si>
    <r>
      <rPr>
        <sz val="11"/>
        <color theme="1"/>
        <rFont val="等线"/>
        <charset val="134"/>
      </rPr>
      <t>mood01,mood02,mood03,mood04,mood05</t>
    </r>
    <r>
      <rPr>
        <sz val="11"/>
        <color theme="1"/>
        <rFont val="等线"/>
        <charset val="134"/>
      </rPr>
      <t>,mood06</t>
    </r>
  </si>
  <si>
    <t>general_A_jumpforward</t>
  </si>
  <si>
    <t>zoro001_body</t>
  </si>
  <si>
    <t>佐罗</t>
  </si>
  <si>
    <t>mood01,mood02,mood03,mood04,mood05</t>
  </si>
  <si>
    <t>general_B_jumpforward</t>
  </si>
  <si>
    <t>sanji001_body</t>
  </si>
  <si>
    <t>山智</t>
  </si>
  <si>
    <t>usopp001_body</t>
  </si>
  <si>
    <t>撒谎布</t>
  </si>
  <si>
    <t>nami001_body</t>
  </si>
  <si>
    <t>娜美</t>
  </si>
  <si>
    <t>franky001_body</t>
  </si>
  <si>
    <t>弗兰奇</t>
  </si>
  <si>
    <t>FlankyCZ_jumpforward</t>
  </si>
  <si>
    <t>FlankyCZ_jumpback</t>
  </si>
  <si>
    <t>chopper001_body</t>
  </si>
  <si>
    <t>乔巴-小</t>
  </si>
  <si>
    <t>jango_body</t>
  </si>
  <si>
    <t>强高</t>
  </si>
  <si>
    <t>buggy001_body</t>
  </si>
  <si>
    <t>巴基</t>
  </si>
  <si>
    <t>brook001_body</t>
  </si>
  <si>
    <t>布鲁克</t>
  </si>
  <si>
    <t>smoker001_body</t>
  </si>
  <si>
    <t>斯摩格</t>
  </si>
  <si>
    <t>mr1001_body</t>
  </si>
  <si>
    <t>MR1</t>
  </si>
  <si>
    <t>tashigi001_body</t>
  </si>
  <si>
    <t>塔西琪</t>
  </si>
  <si>
    <t>mr3001_body</t>
  </si>
  <si>
    <t>MR3</t>
  </si>
  <si>
    <t>bentham001_body</t>
  </si>
  <si>
    <t>MR2</t>
  </si>
  <si>
    <t>kuzan001_body</t>
  </si>
  <si>
    <t>青雉</t>
  </si>
  <si>
    <t>root#0,0,0</t>
  </si>
  <si>
    <t>kuzanCZ_showup</t>
  </si>
  <si>
    <t>roblucci001_body</t>
  </si>
  <si>
    <t>罗布路奇</t>
  </si>
  <si>
    <t>LucciCZ_showup</t>
  </si>
  <si>
    <t>LucciCZ_showdown</t>
  </si>
  <si>
    <t>morgan001_body</t>
  </si>
  <si>
    <t>斧手摩根</t>
  </si>
  <si>
    <t>kuro001_body</t>
  </si>
  <si>
    <t>克洛</t>
  </si>
  <si>
    <t>arlong001_body</t>
  </si>
  <si>
    <t>阿龙</t>
  </si>
  <si>
    <t>krieg001_body</t>
  </si>
  <si>
    <t>克里克</t>
  </si>
  <si>
    <t>gin001_body</t>
  </si>
  <si>
    <t>阿金</t>
  </si>
  <si>
    <t>coby001_body</t>
  </si>
  <si>
    <t>可比</t>
  </si>
  <si>
    <t>cabaji001_body</t>
  </si>
  <si>
    <t>卡巴奇</t>
  </si>
  <si>
    <t>perona001_body</t>
  </si>
  <si>
    <t>佩罗娜</t>
  </si>
  <si>
    <t>ryuma001_body</t>
  </si>
  <si>
    <t>龙马</t>
  </si>
  <si>
    <t>absalom001_body</t>
  </si>
  <si>
    <t>阿布萨罗姆</t>
  </si>
  <si>
    <t>bellamy001_body</t>
  </si>
  <si>
    <t>贝拉米</t>
  </si>
  <si>
    <t>hachi001_body</t>
  </si>
  <si>
    <t>阿八</t>
  </si>
  <si>
    <t>four001_body</t>
  </si>
  <si>
    <r>
      <rPr>
        <sz val="11"/>
        <color theme="1"/>
        <rFont val="等线"/>
        <charset val="134"/>
      </rPr>
      <t>MR</t>
    </r>
    <r>
      <rPr>
        <sz val="11"/>
        <color theme="1"/>
        <rFont val="等线"/>
        <charset val="134"/>
      </rPr>
      <t>4</t>
    </r>
  </si>
  <si>
    <t>five001_body</t>
  </si>
  <si>
    <t>MR5</t>
  </si>
  <si>
    <t>balu001_body</t>
  </si>
  <si>
    <t>帕鲁</t>
  </si>
  <si>
    <t>goldenweek001_body</t>
  </si>
  <si>
    <t>黄金周</t>
  </si>
  <si>
    <t>mihawk001_body</t>
  </si>
  <si>
    <t>鹰眼</t>
  </si>
  <si>
    <t>1&amp;&amp;1</t>
  </si>
  <si>
    <t>734&amp;&amp;860</t>
  </si>
  <si>
    <t>Bone022#0,0,0&amp;&amp;root#0,0,0</t>
  </si>
  <si>
    <t>mihawkCZ_showup</t>
  </si>
  <si>
    <t>mihawkCZ_showdown</t>
  </si>
  <si>
    <t>crocodile001_body</t>
  </si>
  <si>
    <t>克罗克达尔</t>
  </si>
  <si>
    <t>mood01,mood02,mood03,mood04,mood05,mood06</t>
  </si>
  <si>
    <t>enel001_body</t>
  </si>
  <si>
    <t>艾尼路</t>
  </si>
  <si>
    <r>
      <rPr>
        <sz val="11"/>
        <color theme="1"/>
        <rFont val="等线"/>
        <charset val="134"/>
      </rPr>
      <t>root</t>
    </r>
    <r>
      <rPr>
        <sz val="11"/>
        <color theme="1"/>
        <rFont val="等线"/>
        <charset val="134"/>
      </rPr>
      <t>#0,0,0</t>
    </r>
  </si>
  <si>
    <t>spark_hit</t>
  </si>
  <si>
    <t>jyabura002_body</t>
  </si>
  <si>
    <t>狼人 杰布拉</t>
  </si>
  <si>
    <t>kuma001_body</t>
  </si>
  <si>
    <t>大熊</t>
  </si>
  <si>
    <t>shanxian_showup</t>
  </si>
  <si>
    <t>sakazuki001_body</t>
  </si>
  <si>
    <t>赤犬</t>
  </si>
  <si>
    <t>kalifa001_body</t>
  </si>
  <si>
    <t>佳妮法</t>
  </si>
  <si>
    <t>garp001_body</t>
  </si>
  <si>
    <t>卡普</t>
  </si>
  <si>
    <t>ecki001_body</t>
  </si>
  <si>
    <t>卡库</t>
  </si>
  <si>
    <t>wapol001_body</t>
  </si>
  <si>
    <t>瓦波尔</t>
  </si>
  <si>
    <t>vivi002_body</t>
  </si>
  <si>
    <t>薇薇</t>
  </si>
  <si>
    <t>paula001_body</t>
  </si>
  <si>
    <t>Miss双手指</t>
  </si>
  <si>
    <t>robin001_body</t>
  </si>
  <si>
    <t>罗宾</t>
  </si>
  <si>
    <t>wapa001_body</t>
  </si>
  <si>
    <t>瓦帕</t>
  </si>
  <si>
    <t>fukurou001_body</t>
  </si>
  <si>
    <t>猫头鹰</t>
  </si>
  <si>
    <t>ace001_body</t>
  </si>
  <si>
    <t>艾斯</t>
  </si>
  <si>
    <t>hogubarker001_body</t>
  </si>
  <si>
    <t>豪格巴克</t>
  </si>
  <si>
    <t>borsalino001_body</t>
  </si>
  <si>
    <t>黄猿</t>
  </si>
  <si>
    <t>borsalinoCZ_appear</t>
  </si>
  <si>
    <t>moria001_body</t>
  </si>
  <si>
    <t>莫利亚</t>
  </si>
  <si>
    <t>jinbe001_body</t>
  </si>
  <si>
    <t>甚平</t>
  </si>
  <si>
    <t>1#jinbe001_body_d,JinbeMax;jinbe001_face_d,JinbeMax#jinbe001_body_l,JinbeMax</t>
  </si>
  <si>
    <t>trafalgarlaw001_body</t>
  </si>
  <si>
    <t>hancock001_body</t>
  </si>
  <si>
    <t>kidpirates_body</t>
  </si>
  <si>
    <t>bepo001_body</t>
  </si>
  <si>
    <t>抱歉</t>
  </si>
  <si>
    <t>sentoumaru_body</t>
  </si>
  <si>
    <t>肥肥</t>
  </si>
  <si>
    <t>rayleigh001_body</t>
  </si>
  <si>
    <t>雷利</t>
  </si>
  <si>
    <t>sengoku001_body</t>
  </si>
  <si>
    <t>战国</t>
  </si>
  <si>
    <t>Bip001 Spine1</t>
  </si>
  <si>
    <t>magellan001_body</t>
  </si>
  <si>
    <t>麦哲伦</t>
  </si>
  <si>
    <t>Bip001 Spine2</t>
  </si>
  <si>
    <t>1&amp;&amp;1&amp;&amp;1&amp;&amp;1</t>
  </si>
  <si>
    <r>
      <rPr>
        <sz val="11"/>
        <color theme="1"/>
        <rFont val="等线"/>
        <charset val="134"/>
      </rPr>
      <t>1437&amp;&amp;1438&amp;&amp;1438&amp;&amp;</t>
    </r>
    <r>
      <rPr>
        <sz val="11"/>
        <color theme="1"/>
        <rFont val="等线"/>
        <charset val="134"/>
      </rPr>
      <t>1442</t>
    </r>
  </si>
  <si>
    <t>root#0,0,0&amp;&amp;Bip001 L Hand#0,0,0&amp;&amp;Bip001 R Hand#0,0,0&amp;&amp;Dummy001#0,0,0</t>
  </si>
  <si>
    <t>lvankov001_body</t>
  </si>
  <si>
    <t>伊娃</t>
  </si>
  <si>
    <t>jozu001_body</t>
  </si>
  <si>
    <t>乔兹</t>
  </si>
  <si>
    <t>JozzCZ_forward</t>
  </si>
  <si>
    <t>JozzCZ_back</t>
  </si>
  <si>
    <t>edward001_body</t>
  </si>
  <si>
    <t>白胡子</t>
  </si>
  <si>
    <t>marco001_body</t>
  </si>
  <si>
    <t>马尔高</t>
  </si>
  <si>
    <t>1&amp;&amp;1&amp;&amp;1</t>
  </si>
  <si>
    <t>1573&amp;&amp;1574&amp;&amp;1575</t>
  </si>
  <si>
    <t>root#0,0,0&amp;&amp;Bip001 Spine1#0,0,0&amp;&amp;Point001#0,0,0</t>
  </si>
  <si>
    <t>vista001_body</t>
  </si>
  <si>
    <t>比斯塔</t>
  </si>
  <si>
    <t>root</t>
  </si>
  <si>
    <t>shanks002_body</t>
  </si>
  <si>
    <t>香克斯</t>
  </si>
  <si>
    <t>usopp006_body</t>
  </si>
  <si>
    <t>两年后撒谎布</t>
  </si>
  <si>
    <t>zoro005_body</t>
  </si>
  <si>
    <t>两年后佐罗</t>
  </si>
  <si>
    <t>luffy010_body</t>
  </si>
  <si>
    <t>两年后路飞</t>
  </si>
  <si>
    <t>nami006_body</t>
  </si>
  <si>
    <t>两年后奈美</t>
  </si>
  <si>
    <t>Female_jumpA</t>
  </si>
  <si>
    <t>sanji003_body</t>
  </si>
  <si>
    <t>两年后山智</t>
  </si>
  <si>
    <t>Hero_XinShanZhi_Move01</t>
  </si>
  <si>
    <t>Hero_XinShanZhi_Back01</t>
  </si>
  <si>
    <t>chopper005_body</t>
  </si>
  <si>
    <t>两年后乔巴</t>
  </si>
  <si>
    <t>ChoppernewCZ_forward</t>
  </si>
  <si>
    <t>ChoppernewCZ_back</t>
  </si>
  <si>
    <t>robin004_body</t>
  </si>
  <si>
    <t>两年后罗宾</t>
  </si>
  <si>
    <t>RobinnewCZ_jump</t>
  </si>
  <si>
    <t>franky002_body</t>
  </si>
  <si>
    <t>两年后弗兰奇</t>
  </si>
  <si>
    <t>mood01,mood02,mood03,mood04,mood05,ridemood01</t>
  </si>
  <si>
    <t>brook002_body</t>
  </si>
  <si>
    <t>两年后布鲁克</t>
  </si>
  <si>
    <t>blackbeard003_body</t>
  </si>
  <si>
    <t>黑胡子（主模型）</t>
  </si>
  <si>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&amp;&amp;1&amp;&amp;1</t>
    </r>
  </si>
  <si>
    <r>
      <rPr>
        <sz val="11"/>
        <color theme="1"/>
        <rFont val="Calibri"/>
        <charset val="134"/>
        <scheme val="minor"/>
      </rPr>
      <t>1777</t>
    </r>
    <r>
      <rPr>
        <sz val="11"/>
        <color theme="1"/>
        <rFont val="Calibri"/>
        <charset val="134"/>
        <scheme val="minor"/>
      </rPr>
      <t>&amp;&amp;1778&amp;&amp;1779</t>
    </r>
  </si>
  <si>
    <t>root#0,0,0&amp;&amp;Bip001 L Hand#0,0,0&amp;&amp;Bip001 R Hand#0,0,0</t>
  </si>
  <si>
    <t>smoker002_body</t>
  </si>
  <si>
    <t>新世界烟鬼</t>
  </si>
  <si>
    <t>tashigi002_body</t>
  </si>
  <si>
    <t>新世界塔西米</t>
  </si>
  <si>
    <t>kinemon001_body</t>
  </si>
  <si>
    <t>锦卫门</t>
  </si>
  <si>
    <t>Hero_JinWeiMen_Move01</t>
  </si>
  <si>
    <t>Hero_JinWeiMen_Back01</t>
  </si>
  <si>
    <t>trafalgarlaw002_body</t>
  </si>
  <si>
    <t>新世界 特拉法尔加罗</t>
  </si>
  <si>
    <t>katakuri001_body</t>
  </si>
  <si>
    <t>卡塔库栗</t>
  </si>
  <si>
    <t>Hero_YuZhiXiLiu_Move01</t>
  </si>
  <si>
    <t>Hero_YuZhiXiLiu_Back01</t>
  </si>
  <si>
    <t>sabo002_body</t>
  </si>
  <si>
    <t>萨博</t>
  </si>
  <si>
    <t>mood01,mood02,mood03,mood04,mood05,mood06,mood07</t>
  </si>
  <si>
    <t>lssho001_body</t>
  </si>
  <si>
    <t>藤虎</t>
  </si>
  <si>
    <t>FujitoraCZ_jump</t>
  </si>
  <si>
    <t>babyfive001_body</t>
  </si>
  <si>
    <t>baby5</t>
  </si>
  <si>
    <t>charlotte001_body</t>
  </si>
  <si>
    <t>大妈</t>
  </si>
  <si>
    <t>2601&amp;&amp;2581</t>
  </si>
  <si>
    <t>root#0,0,0&amp;&amp;root#0,0,0</t>
  </si>
  <si>
    <t>BMCZ_jumpforward1</t>
  </si>
  <si>
    <t>cracker001_body</t>
  </si>
  <si>
    <t>克力架（本体）</t>
  </si>
  <si>
    <t>2646&amp;&amp;2647&amp;&amp;2648</t>
  </si>
  <si>
    <t>root#0,0,0&amp;&amp;Bone007#0,0,0&amp;&amp;Bone012#0,0,0</t>
  </si>
  <si>
    <t>4346&amp;&amp;2647&amp;&amp;2648</t>
  </si>
  <si>
    <t>root#0,0,0&amp;&amp;Bone007#0,0,0&amp;&amp;Bone012#0.33,0,0</t>
  </si>
  <si>
    <t>smoothie001_body</t>
  </si>
  <si>
    <t>斯慕吉</t>
  </si>
  <si>
    <t>SmoothieCZ_jump1</t>
  </si>
  <si>
    <t>SmoothieCZ_jump2</t>
  </si>
  <si>
    <t>caesar003_body</t>
  </si>
  <si>
    <t>凯撒（精修过的卡牌模型）</t>
  </si>
  <si>
    <t>leibeika001_body</t>
  </si>
  <si>
    <t>蕾贝卡</t>
  </si>
  <si>
    <t>cavendish001_body</t>
  </si>
  <si>
    <t>凯文迪修</t>
  </si>
  <si>
    <t>kaido001_body</t>
  </si>
  <si>
    <t>凯多</t>
  </si>
  <si>
    <t>KaidoCZ_forward</t>
  </si>
  <si>
    <t>KaidoCZ_back</t>
  </si>
  <si>
    <t>kuzan003_body</t>
  </si>
  <si>
    <t>新世界库赞</t>
  </si>
  <si>
    <t>2797&amp;&amp;2800&amp;&amp;2801</t>
  </si>
  <si>
    <t>root#0,0,0&amp;&amp;Bip001 R Forearm#0,0,0&amp;&amp;Bip001 R UpperArm#0,0,0</t>
  </si>
  <si>
    <t>sakazuki002_body</t>
  </si>
  <si>
    <t>两年后赤犬</t>
  </si>
  <si>
    <t>2827&amp;&amp;2828&amp;&amp;2829&amp;&amp;2830</t>
  </si>
  <si>
    <t>root#0,0,0&amp;&amp;Bip001 L ForeTwist#0,0,0&amp;&amp;Bip001 LUpArmTwist1#0,0,0&amp;&amp;Point003#0,0,0</t>
  </si>
  <si>
    <t>reijiu002_body</t>
  </si>
  <si>
    <t>蕾玖</t>
  </si>
  <si>
    <t>Hero_LiJiu_Move01</t>
  </si>
  <si>
    <t>Hero_LiJiu_Back01</t>
  </si>
  <si>
    <t>roblucci005_body</t>
  </si>
  <si>
    <t>新世界鲁兹</t>
  </si>
  <si>
    <t>hancock006_body</t>
  </si>
  <si>
    <t>推进城汉库珂</t>
  </si>
  <si>
    <t>marco005_body</t>
  </si>
  <si>
    <t>新世界马尔高</t>
  </si>
  <si>
    <t>3011&amp;&amp;3022</t>
  </si>
  <si>
    <t>root#0,0.05,0&amp;&amp;Bip001 Spine1#0,0,-0.04</t>
  </si>
  <si>
    <t>mihawk002_body</t>
  </si>
  <si>
    <t>新世界米霍克</t>
  </si>
  <si>
    <t>3064&amp;&amp;3080</t>
  </si>
  <si>
    <t>root#0,0,0&amp;&amp;wuqi01#0,0,0</t>
  </si>
  <si>
    <t>MihawkNewCZ_appear</t>
  </si>
  <si>
    <t>sugar003_body</t>
  </si>
  <si>
    <t>砂糖（英雄）</t>
  </si>
  <si>
    <t>SugerCZ_jump</t>
  </si>
  <si>
    <t>cavendish003_body</t>
  </si>
  <si>
    <t>凯文迪修（SSR）</t>
  </si>
  <si>
    <t>kozuki001_body</t>
  </si>
  <si>
    <t>光月御田</t>
  </si>
  <si>
    <t>1&amp;&amp;1&amp;&amp;1&amp;&amp;1&amp;&amp;1&amp;&amp;1&amp;&amp;1&amp;&amp;1&amp;&amp;1&amp;&amp;1&amp;&amp;1&amp;&amp;1&amp;&amp;1&amp;&amp;1&amp;&amp;1&amp;&amp;1&amp;&amp;1</t>
  </si>
  <si>
    <t>3151&amp;&amp;3152&amp;&amp;3153&amp;&amp;3154&amp;&amp;3155&amp;&amp;3156&amp;&amp;3157&amp;&amp;3158&amp;&amp;3159&amp;&amp;3160&amp;&amp;3161&amp;&amp;3162&amp;&amp;3163&amp;&amp;3164&amp;&amp;3165&amp;&amp;3166&amp;&amp;3167</t>
  </si>
  <si>
    <t>root#0,0,0&amp;&amp;Bip001 Head#0,0,0&amp;&amp;Bip001 L Calf#0,0,0&amp;&amp;Bip001 L ForeTwist#0,0,0&amp;&amp;Bip001 L Thigh#0,0,0&amp;&amp;Bip001 L UpperArm#0,0,0&amp;&amp;Bip001 RCalfTwist#0,0,0&amp;&amp;Bip001 R Forearm#0,0,0&amp;&amp;Bip001 R Thigh#0,0,0&amp;&amp;Bip001 R UpperArm#0,0,0&amp;&amp;Bip001 Spine#0,0,0&amp;&amp;Bip001 Spine#0,0,0&amp;&amp;Bone005#0,0,0&amp;&amp;Bone009#0,0,0&amp;&amp;Bone010#0,0,0&amp;&amp;Bone034(mirrored)#0,0,0&amp;&amp;Bone034#0,0,0</t>
  </si>
  <si>
    <t>OdenCZ_jump</t>
  </si>
  <si>
    <t>rayleigh003_body</t>
  </si>
  <si>
    <t>年轻雷利</t>
  </si>
  <si>
    <t>jialuote001_body</t>
  </si>
  <si>
    <t>加洛特</t>
  </si>
  <si>
    <t>1&amp;&amp;1&amp;&amp;1&amp;&amp;1&amp;&amp;1</t>
  </si>
  <si>
    <t>3243&amp;&amp;3244&amp;&amp;3244&amp;&amp;3244&amp;&amp;3244</t>
  </si>
  <si>
    <t>root#0,0,0&amp;&amp;Bip001 R Calf#0,0,0&amp;&amp;Bip001 L Calf#0,0,0&amp;&amp;Bip001 R Forearm#0,0,0&amp;&amp;Bip001 L Forearm#0,0,0</t>
  </si>
  <si>
    <t>kikunojo001_body</t>
  </si>
  <si>
    <t>阿菊</t>
  </si>
  <si>
    <t>1|8&amp;&amp;2|3</t>
  </si>
  <si>
    <t>3330&amp;&amp;3331</t>
  </si>
  <si>
    <t>root#0,0,0&amp;&amp;Dummy001</t>
  </si>
  <si>
    <t>edward003_body</t>
  </si>
  <si>
    <t>年轻白胡子</t>
  </si>
  <si>
    <t>TeachNew_jump</t>
  </si>
  <si>
    <t>perona005_body</t>
  </si>
  <si>
    <t>新世界佩罗娜</t>
  </si>
  <si>
    <t>Peronasnew_jump</t>
  </si>
  <si>
    <t>garp004_body</t>
  </si>
  <si>
    <t>年轻卡普</t>
  </si>
  <si>
    <t>blackbeard004_body</t>
  </si>
  <si>
    <t>四皇黑胡子</t>
  </si>
  <si>
    <t>3483&amp;&amp;3484&amp;&amp;3485&amp;&amp;3486</t>
  </si>
  <si>
    <t>root#0,0,0&amp;&amp;Bip001 L Hand#0,0,0&amp;&amp;Bip001 Neck#0,0,0&amp;&amp;Bip001 R Hand#0,0,0</t>
  </si>
  <si>
    <t>dogduke004_body</t>
  </si>
  <si>
    <t>犬岚</t>
  </si>
  <si>
    <t>catviper004_body</t>
  </si>
  <si>
    <t>猫蝮蛇</t>
  </si>
  <si>
    <t>Nekomamusi_jump</t>
  </si>
  <si>
    <t>pudding001_body</t>
  </si>
  <si>
    <t>布琳</t>
  </si>
  <si>
    <t>hawkins002_body</t>
  </si>
  <si>
    <t>霍金斯</t>
  </si>
  <si>
    <t>drake003_body</t>
  </si>
  <si>
    <t>德雷克</t>
  </si>
  <si>
    <t>shiliew002_body</t>
  </si>
  <si>
    <t>雨之希留</t>
  </si>
  <si>
    <t>kaido007_body</t>
  </si>
  <si>
    <t>龙人凯多（龙形态）测试</t>
  </si>
  <si>
    <t>-4,0,0</t>
  </si>
  <si>
    <t>kaido005_body</t>
  </si>
  <si>
    <t>龙人凯多（人形态）</t>
  </si>
  <si>
    <t>Hero_KaiDuo_Move01</t>
  </si>
  <si>
    <t>Hero_KaiDuo_Back01</t>
  </si>
  <si>
    <t>sengoku003_body</t>
  </si>
  <si>
    <t>大将战国</t>
  </si>
  <si>
    <t>jack003_body</t>
  </si>
  <si>
    <t>杰克</t>
  </si>
  <si>
    <t>Hero_JieKe_Move01</t>
  </si>
  <si>
    <t>Hero_JieKe_Back01</t>
  </si>
  <si>
    <t>queen001_body</t>
  </si>
  <si>
    <t>奎因</t>
  </si>
  <si>
    <t>Hero_KuiYin_Move01</t>
  </si>
  <si>
    <t>Hero_KuiYin_Back01</t>
  </si>
  <si>
    <t>yamato001_body</t>
  </si>
  <si>
    <t>大和</t>
  </si>
  <si>
    <t>Hero_DaHe_Move01</t>
  </si>
  <si>
    <t>Hero_DaHe_Back01</t>
  </si>
  <si>
    <t>uta001_body</t>
  </si>
  <si>
    <t>乌塔</t>
  </si>
  <si>
    <t>Hero_UTA_Move01</t>
  </si>
  <si>
    <t>Hero_UTA_Back01</t>
  </si>
  <si>
    <t>ulti001_body</t>
  </si>
  <si>
    <t>润媞</t>
  </si>
  <si>
    <t>Hero_RunTi_Move01</t>
  </si>
  <si>
    <t>Hero_RunTi_Back01</t>
  </si>
  <si>
    <t>king001_body</t>
  </si>
  <si>
    <t>烬</t>
  </si>
  <si>
    <t>Hero_Jin_Move01</t>
  </si>
  <si>
    <t>Hero_Jin_Back01</t>
  </si>
  <si>
    <t>pageone001_body</t>
  </si>
  <si>
    <t>佩吉旺</t>
  </si>
  <si>
    <t>Hero_PeiJiWan_Move01</t>
  </si>
  <si>
    <t>Hero_PeiJiWan_Back01</t>
  </si>
  <si>
    <t>killer002_body</t>
  </si>
  <si>
    <t>基拉</t>
  </si>
  <si>
    <t>Hero_JiLa_Move01</t>
  </si>
  <si>
    <t>Hero_JiLa_Back01</t>
  </si>
  <si>
    <t>kidpirates003_body</t>
  </si>
  <si>
    <t>新世界基德</t>
  </si>
  <si>
    <t>4147&amp;&amp;4150</t>
  </si>
  <si>
    <t>root#0,0,0&amp;&amp;Bip001 R Finger2#0,0,0</t>
  </si>
  <si>
    <t>Hero_JiDe_Move01</t>
  </si>
  <si>
    <t>Hero_JiDe_Back01</t>
  </si>
  <si>
    <t>trafalgarlaw005_body</t>
  </si>
  <si>
    <t>和之国罗</t>
  </si>
  <si>
    <t>Hero_Luo_Move01</t>
  </si>
  <si>
    <t>Hero_Luo_Back01</t>
  </si>
  <si>
    <t>charlotte008_body</t>
  </si>
  <si>
    <t>花魁阿玲UR大妈</t>
  </si>
  <si>
    <t>4214&amp;&amp;4216</t>
  </si>
  <si>
    <t>root#0,0,0&amp;&amp;apollo#0,0,0</t>
  </si>
  <si>
    <t>Hero_HuaKui_Move01</t>
  </si>
  <si>
    <t>Hero_HuaKui_Back01</t>
  </si>
  <si>
    <t>luffy025_body</t>
  </si>
  <si>
    <t>和之国路飞</t>
  </si>
  <si>
    <t>robin010_body</t>
  </si>
  <si>
    <t>和之国罗宾</t>
  </si>
  <si>
    <t>sanji010_body</t>
  </si>
  <si>
    <t>和之国山智</t>
  </si>
  <si>
    <t>4284&amp;&amp;4285</t>
  </si>
  <si>
    <t>root#0,0,0&amp;&amp;Bip001 R Toe0#0,0,0</t>
  </si>
  <si>
    <t>zoro014_body</t>
  </si>
  <si>
    <t>和之国佐罗</t>
  </si>
  <si>
    <t>chopper011_body</t>
  </si>
  <si>
    <t>和之国乔巴</t>
  </si>
  <si>
    <t>usopp010_body</t>
  </si>
  <si>
    <t>和之国撒谎布</t>
  </si>
  <si>
    <t>nami015_body</t>
  </si>
  <si>
    <t>和之国奈美</t>
  </si>
  <si>
    <t>franky006_body</t>
  </si>
  <si>
    <t>和之国弗兰奇</t>
  </si>
  <si>
    <t>brook005_body</t>
  </si>
  <si>
    <t>和之国布鲁克</t>
  </si>
  <si>
    <t>jinbe002_body</t>
  </si>
  <si>
    <t>和之国甚平</t>
  </si>
  <si>
    <t>maria001_body</t>
  </si>
  <si>
    <t>黑色玛利亚</t>
  </si>
  <si>
    <t>ChopperHeCZ_attack08_whoosh2</t>
  </si>
  <si>
    <t>ChopperHeCZ_attack08_whoosh1</t>
  </si>
  <si>
    <t>roger002_body</t>
  </si>
  <si>
    <t>罗杰</t>
  </si>
  <si>
    <t>mood01,mood02,mood03,mood04,mood07</t>
  </si>
  <si>
    <t>shiki001_body</t>
  </si>
  <si>
    <t>金狮子</t>
  </si>
  <si>
    <t>mood01,mood02,mood03,mood04,mood06</t>
  </si>
  <si>
    <t>sanji009_body</t>
  </si>
  <si>
    <t>荞麦假面</t>
  </si>
  <si>
    <t>mood01,mood03,mood04,mood05,mood06</t>
  </si>
  <si>
    <t>aramaki001_body</t>
  </si>
  <si>
    <t>绿牛</t>
  </si>
  <si>
    <t>yamato003_body</t>
  </si>
  <si>
    <t>大口真神大和</t>
  </si>
  <si>
    <t>kidpirates005_body</t>
  </si>
  <si>
    <t>基德&amp;罗</t>
  </si>
  <si>
    <t>bonney001_body</t>
  </si>
  <si>
    <t>邦妮</t>
  </si>
  <si>
    <t>egle001_body</t>
  </si>
  <si>
    <t>S-老鹰</t>
  </si>
  <si>
    <t>snake001_body</t>
  </si>
  <si>
    <t>S-蛇女（本体）</t>
  </si>
  <si>
    <t>kaku001_body</t>
  </si>
  <si>
    <t>未来岛卡古</t>
  </si>
  <si>
    <t>luffy028_body</t>
  </si>
  <si>
    <t>5档路飞</t>
  </si>
  <si>
    <t>5008&amp;&amp;5024</t>
  </si>
  <si>
    <t>root#0,0,0&amp;&amp;root001#0,0,0</t>
  </si>
  <si>
    <t>roblucci009_body</t>
  </si>
  <si>
    <t>未来岛鲁兹</t>
  </si>
  <si>
    <t>stussy001_body</t>
  </si>
  <si>
    <t>未来岛斯图西</t>
  </si>
  <si>
    <t>bear001_body</t>
  </si>
  <si>
    <t>S-小熊</t>
  </si>
  <si>
    <t>blackbeard005_body</t>
  </si>
  <si>
    <t>未来岛黑胡子</t>
  </si>
  <si>
    <t>butchi001_body</t>
  </si>
  <si>
    <t>胖猫布治</t>
  </si>
  <si>
    <t xml:space="preserve"> </t>
  </si>
  <si>
    <t>samfisher001_body</t>
  </si>
  <si>
    <t>瘦猫山姆</t>
  </si>
  <si>
    <t>blackcat003_body</t>
  </si>
  <si>
    <t>持刀黑猫A</t>
  </si>
  <si>
    <t>blackcat004_body</t>
  </si>
  <si>
    <t>石锤黑猫</t>
  </si>
  <si>
    <t>bulahamu001_body</t>
  </si>
  <si>
    <t>【暂时不用】布拉哈姆</t>
  </si>
  <si>
    <t>kuromarimo001_body</t>
  </si>
  <si>
    <t>【暂时不用】黑莫里莫</t>
  </si>
  <si>
    <t>fossa001_body</t>
  </si>
  <si>
    <t>【暂时不用】弗萨</t>
  </si>
  <si>
    <t>soldier001_body</t>
  </si>
  <si>
    <t>持刀海兵A</t>
  </si>
  <si>
    <t>soldier002_body</t>
  </si>
  <si>
    <t>持刀海兵B黑</t>
  </si>
  <si>
    <t>helmeppo001_body</t>
  </si>
  <si>
    <t>希路麦波</t>
  </si>
  <si>
    <t>bootle001_body</t>
  </si>
  <si>
    <t>布特尔</t>
  </si>
  <si>
    <t>crocus001_body</t>
  </si>
  <si>
    <t>克洛卡斯</t>
  </si>
  <si>
    <t>clown001_body</t>
  </si>
  <si>
    <t>小丑1</t>
  </si>
  <si>
    <t>clown002_body</t>
  </si>
  <si>
    <t>小丑2</t>
  </si>
  <si>
    <t>clown003_body</t>
  </si>
  <si>
    <t>小丑秃</t>
  </si>
  <si>
    <t>kuroobi001_body</t>
  </si>
  <si>
    <t>黑带</t>
  </si>
  <si>
    <t>mohji001_body</t>
  </si>
  <si>
    <t>毛奇</t>
  </si>
  <si>
    <t>blackcat002_body</t>
  </si>
  <si>
    <t>持刀黑猫胖</t>
  </si>
  <si>
    <t>chew001_body</t>
  </si>
  <si>
    <t>阿秋</t>
  </si>
  <si>
    <t>soldier001_body04</t>
  </si>
  <si>
    <t>步枪海兵</t>
  </si>
  <si>
    <t>pirates001_body</t>
  </si>
  <si>
    <t>手枪海盗</t>
  </si>
  <si>
    <t>pirates001_body01</t>
  </si>
  <si>
    <t>步枪海贼A</t>
  </si>
  <si>
    <t>pirates002_body</t>
  </si>
  <si>
    <t>持刀海贼A</t>
  </si>
  <si>
    <t>pirates002_body02</t>
  </si>
  <si>
    <t>步枪海贼B</t>
  </si>
  <si>
    <t>pirates003_body01</t>
  </si>
  <si>
    <t>火炮海贼A</t>
  </si>
  <si>
    <t>pirates003_body02</t>
  </si>
  <si>
    <t>单斧海盗</t>
  </si>
  <si>
    <t>fishmen002_body</t>
  </si>
  <si>
    <t>胖鱼人</t>
  </si>
  <si>
    <t>pirates004_body</t>
  </si>
  <si>
    <t>持刀海贼B</t>
  </si>
  <si>
    <t>pirates004_body01</t>
  </si>
  <si>
    <t>火炮海贼B</t>
  </si>
  <si>
    <t>fishmen001_body</t>
  </si>
  <si>
    <t>阔嘴鱼人-猩猩</t>
  </si>
  <si>
    <t>fishmen003_body</t>
  </si>
  <si>
    <t>流氓鱼人</t>
  </si>
  <si>
    <t>fishmen004_body</t>
  </si>
  <si>
    <t>刺豚鱼人</t>
  </si>
  <si>
    <t>alvida001_body</t>
  </si>
  <si>
    <t>爱比达</t>
  </si>
  <si>
    <t>army001_body001</t>
  </si>
  <si>
    <t>国王军1</t>
  </si>
  <si>
    <t>army001_body002</t>
  </si>
  <si>
    <t>国王军2</t>
  </si>
  <si>
    <t>dalton001_body</t>
  </si>
  <si>
    <t>达尔顿</t>
  </si>
  <si>
    <t>igaram001_body</t>
  </si>
  <si>
    <t>伊格拉姆</t>
  </si>
  <si>
    <t>manatee001_body</t>
  </si>
  <si>
    <t>功夫海牛</t>
  </si>
  <si>
    <t>nine001_body</t>
  </si>
  <si>
    <t>Mr.9</t>
  </si>
  <si>
    <t>pell001_body</t>
  </si>
  <si>
    <t>佩鲁</t>
  </si>
  <si>
    <t>state001_body</t>
  </si>
  <si>
    <t>肉食兔</t>
  </si>
  <si>
    <t>missvalentine001_body</t>
  </si>
  <si>
    <t>情人节</t>
  </si>
  <si>
    <t>monday001_body</t>
  </si>
  <si>
    <t>Ms.星期一</t>
  </si>
  <si>
    <t>chess001_body</t>
  </si>
  <si>
    <t>棋子</t>
  </si>
  <si>
    <t>guard001_body001</t>
  </si>
  <si>
    <t>持枪铁桶护卫队</t>
  </si>
  <si>
    <t>christmas001_body</t>
  </si>
  <si>
    <t>Ms.圣诞快乐</t>
  </si>
  <si>
    <t>guard001_body002</t>
  </si>
  <si>
    <t>持刀铁桶护卫队</t>
  </si>
  <si>
    <t>rebels001_body01</t>
  </si>
  <si>
    <t>反叛军A01</t>
  </si>
  <si>
    <t>rebels001_body02</t>
  </si>
  <si>
    <t>叛军A02</t>
  </si>
  <si>
    <t>rebels002_body01</t>
  </si>
  <si>
    <t>叛军B01</t>
  </si>
  <si>
    <t>rebels002_body02</t>
  </si>
  <si>
    <t>叛军B02</t>
  </si>
  <si>
    <t>commander001_body</t>
  </si>
  <si>
    <t>海军领队</t>
  </si>
  <si>
    <t>libasi001_body</t>
  </si>
  <si>
    <t>里霸斯</t>
  </si>
  <si>
    <t>sarquiss001_body</t>
  </si>
  <si>
    <t>萨奇斯</t>
  </si>
  <si>
    <t>captain001_body</t>
  </si>
  <si>
    <t>海贼头目狼牙棒</t>
  </si>
  <si>
    <t>captain002_body</t>
  </si>
  <si>
    <t>海贼头目</t>
  </si>
  <si>
    <t>beret001_body001</t>
  </si>
  <si>
    <t>贝雷帽近战</t>
  </si>
  <si>
    <t>beret001_body002</t>
  </si>
  <si>
    <t>贝雷帽远程</t>
  </si>
  <si>
    <t>godarmy001_body01</t>
  </si>
  <si>
    <t>神兵A</t>
  </si>
  <si>
    <t>godarmy001_body02</t>
  </si>
  <si>
    <t>神兵B</t>
  </si>
  <si>
    <t>satori001_body</t>
  </si>
  <si>
    <t>阿悟</t>
  </si>
  <si>
    <t>shura001_body</t>
  </si>
  <si>
    <t>修罗</t>
  </si>
  <si>
    <t>gedatsu001_body</t>
  </si>
  <si>
    <t>涅槃</t>
  </si>
  <si>
    <t>ohm001_body</t>
  </si>
  <si>
    <t>欧姆</t>
  </si>
  <si>
    <t>chaka001_body</t>
  </si>
  <si>
    <t>恰卡</t>
  </si>
  <si>
    <t>state002_body</t>
  </si>
  <si>
    <t>肉食兔小弟</t>
  </si>
  <si>
    <t>soldier001_body05</t>
  </si>
  <si>
    <t>沙漠装-步枪海军</t>
  </si>
  <si>
    <t>soldier001_body06</t>
  </si>
  <si>
    <t>沙漠装-单刀海军</t>
  </si>
  <si>
    <t>soldier002_body03</t>
  </si>
  <si>
    <t>火炮海军A</t>
  </si>
  <si>
    <t>soldier002_body04</t>
  </si>
  <si>
    <t>火炮海军B</t>
  </si>
  <si>
    <t>soldier002_body05</t>
  </si>
  <si>
    <t>沙漠装-单刀海军B</t>
  </si>
  <si>
    <t>soldier002_body06</t>
  </si>
  <si>
    <t>沙漠装-火炮海军</t>
  </si>
  <si>
    <t>mantis001_body</t>
  </si>
  <si>
    <t>战士螳螂</t>
  </si>
  <si>
    <t>gonforr001_body</t>
  </si>
  <si>
    <t>甘·福尔</t>
  </si>
  <si>
    <t>bali001_body</t>
  </si>
  <si>
    <t>巴利</t>
  </si>
  <si>
    <t>tilestone001_body</t>
  </si>
  <si>
    <t>泰鲁斯通</t>
  </si>
  <si>
    <t>zanbai001_body</t>
  </si>
  <si>
    <t>赞拜</t>
  </si>
  <si>
    <t>tilejie001_body</t>
  </si>
  <si>
    <t>瓦杰</t>
  </si>
  <si>
    <t>nero001_body</t>
  </si>
  <si>
    <t>尼罗</t>
  </si>
  <si>
    <t>tpenn001_body</t>
  </si>
  <si>
    <t>T彭</t>
  </si>
  <si>
    <t>blueno001_body</t>
  </si>
  <si>
    <t>布鲁诺</t>
  </si>
  <si>
    <t>spandam001_body</t>
  </si>
  <si>
    <t>斯巴达姆</t>
  </si>
  <si>
    <t>coby002_body</t>
  </si>
  <si>
    <t>helmeppo002_body</t>
  </si>
  <si>
    <t>cindry001_body</t>
  </si>
  <si>
    <t>维多利亚·辛德丽</t>
  </si>
  <si>
    <t>squaresister001_body01</t>
  </si>
  <si>
    <t>基威</t>
  </si>
  <si>
    <t>squaresister001_body02</t>
  </si>
  <si>
    <t>摩兹</t>
  </si>
  <si>
    <t>kumadori001_body</t>
  </si>
  <si>
    <t>脸谱</t>
  </si>
  <si>
    <t>soldier003_body01</t>
  </si>
  <si>
    <t>海军上校A</t>
  </si>
  <si>
    <t>soldier003_body02</t>
  </si>
  <si>
    <t>海军上校B</t>
  </si>
  <si>
    <t>shandia001_body</t>
  </si>
  <si>
    <t>山迪亚战士A</t>
  </si>
  <si>
    <t>shandia002_body</t>
  </si>
  <si>
    <t>山迪亚战士B</t>
  </si>
  <si>
    <t>shipworker001_body</t>
  </si>
  <si>
    <t>铁锤船工</t>
  </si>
  <si>
    <t>family001_body</t>
  </si>
  <si>
    <t>弗兰奇家族A</t>
  </si>
  <si>
    <t>family001_body02</t>
  </si>
  <si>
    <t>弗兰奇家族B</t>
  </si>
  <si>
    <t>family002_body</t>
  </si>
  <si>
    <t>弗兰奇家族C</t>
  </si>
  <si>
    <t>lawdog001_body</t>
  </si>
  <si>
    <t>司法犬部队</t>
  </si>
  <si>
    <t>guilty001_body</t>
  </si>
  <si>
    <t>有罪陪审团</t>
  </si>
  <si>
    <t>soldier005_body01</t>
  </si>
  <si>
    <t>持枪CP9 A</t>
  </si>
  <si>
    <t>soldier005_body02</t>
  </si>
  <si>
    <t>持枪CP9 B</t>
  </si>
  <si>
    <t>soldier004_body01</t>
  </si>
  <si>
    <t>海军大佐A</t>
  </si>
  <si>
    <t>soldier004_body02</t>
  </si>
  <si>
    <t>海军大佐B</t>
  </si>
  <si>
    <t>zombies001_body01</t>
  </si>
  <si>
    <t>僵尸士兵A</t>
  </si>
  <si>
    <t>zombies001_body02</t>
  </si>
  <si>
    <t>僵尸士兵B</t>
  </si>
  <si>
    <t>zombies001_body03</t>
  </si>
  <si>
    <t>僵尸士兵C</t>
  </si>
  <si>
    <t>zombies001_body04</t>
  </si>
  <si>
    <t>僵尸士兵D</t>
  </si>
  <si>
    <t>zombies002_body01</t>
  </si>
  <si>
    <t>僵尸士兵E</t>
  </si>
  <si>
    <t>zombies002_body02</t>
  </si>
  <si>
    <t>僵尸士兵F</t>
  </si>
  <si>
    <t>zombies002_body03</t>
  </si>
  <si>
    <t>僵尸士兵G</t>
  </si>
  <si>
    <t>felhunter001_body</t>
  </si>
  <si>
    <t>僵尸三头犬</t>
  </si>
  <si>
    <t>armor001_body</t>
  </si>
  <si>
    <t>盔甲僵尸A</t>
  </si>
  <si>
    <t>armor002_body</t>
  </si>
  <si>
    <t>盔甲僵尸B</t>
  </si>
  <si>
    <t>hippopotamus001_body</t>
  </si>
  <si>
    <t>动物僵尸玩偶A</t>
  </si>
  <si>
    <t>panda001_body</t>
  </si>
  <si>
    <t>动物僵尸玩偶B</t>
  </si>
  <si>
    <t>zombiestree001_body</t>
  </si>
  <si>
    <t>僵尸树</t>
  </si>
  <si>
    <t>shockbox001_body</t>
  </si>
  <si>
    <t>惊吓盒子</t>
  </si>
  <si>
    <t>mr3003_body</t>
  </si>
  <si>
    <t>假蜡烛人-mr3</t>
  </si>
  <si>
    <t>laki001_body</t>
  </si>
  <si>
    <t>山狄亚-拉基</t>
  </si>
  <si>
    <t>shipworker002_body</t>
  </si>
  <si>
    <t>长锯船工</t>
  </si>
  <si>
    <t>shipworker003_body</t>
  </si>
  <si>
    <t>瘦铁锤船工</t>
  </si>
  <si>
    <t>usopp003_body</t>
  </si>
  <si>
    <t>狙击王</t>
  </si>
  <si>
    <t>僵尸士兵A（特供版）</t>
  </si>
  <si>
    <t>ateles001_body</t>
  </si>
  <si>
    <t>蜘蛛猴</t>
  </si>
  <si>
    <t>boar001_body</t>
  </si>
  <si>
    <t>野猪萝拉</t>
  </si>
  <si>
    <t>jgoroh001_body</t>
  </si>
  <si>
    <t>治五郎</t>
  </si>
  <si>
    <t>penguin001_body</t>
  </si>
  <si>
    <t>企鹅狗</t>
  </si>
  <si>
    <t>oades001_body</t>
  </si>
  <si>
    <t>奥--兹--</t>
  </si>
  <si>
    <t>-15,11.8,-4</t>
  </si>
  <si>
    <t>fishknights001_body</t>
  </si>
  <si>
    <t>飞鱼骑士团A</t>
  </si>
  <si>
    <t>fishknights002_body</t>
  </si>
  <si>
    <t>飞鱼骑士团B</t>
  </si>
  <si>
    <t>usepirate001_body</t>
  </si>
  <si>
    <t>新通用海盗A</t>
  </si>
  <si>
    <t>usepirate002_body</t>
  </si>
  <si>
    <t>新通用海盗B</t>
  </si>
  <si>
    <t>usepirate003_body</t>
  </si>
  <si>
    <t>新通用海盗C</t>
  </si>
  <si>
    <t>usepirate004_body</t>
  </si>
  <si>
    <t>新通用海盗D</t>
  </si>
  <si>
    <t>dibalu001_body</t>
  </si>
  <si>
    <t>迪巴鲁</t>
  </si>
  <si>
    <t>usepirate005_body</t>
  </si>
  <si>
    <t>新通用海盗A远程</t>
  </si>
  <si>
    <t>usepirate006_body</t>
  </si>
  <si>
    <t>新通用海盗B远程</t>
  </si>
  <si>
    <t>usepirate007_body</t>
  </si>
  <si>
    <t>新通用海盗C远程</t>
  </si>
  <si>
    <t>usepirate008_body</t>
  </si>
  <si>
    <t>新通用海盗D远程</t>
  </si>
  <si>
    <t>auction001_body</t>
  </si>
  <si>
    <t>拍卖行杂兵（近战）</t>
  </si>
  <si>
    <t>luoziwode002_body</t>
  </si>
  <si>
    <t>查尔罗斯（小天龙人）</t>
  </si>
  <si>
    <t>calendula001_body</t>
  </si>
  <si>
    <t>金盏花</t>
  </si>
  <si>
    <t>sandersonia001_body</t>
  </si>
  <si>
    <t>宫灯花</t>
  </si>
  <si>
    <t>kuma002_body</t>
  </si>
  <si>
    <t>量产大熊</t>
  </si>
  <si>
    <t>dragonguard001_body</t>
  </si>
  <si>
    <t>天龙人护卫（长枪）</t>
  </si>
  <si>
    <t>dragonguard002_body</t>
  </si>
  <si>
    <t>天龙人护卫（剑）</t>
  </si>
  <si>
    <t>daisy001_body</t>
  </si>
  <si>
    <t>戴兹</t>
  </si>
  <si>
    <t>amazon001_body</t>
  </si>
  <si>
    <t>女战士（剑）</t>
  </si>
  <si>
    <t>amazon002_body</t>
  </si>
  <si>
    <t>女战士（弓箭）</t>
  </si>
  <si>
    <t>fishmobs001_body</t>
  </si>
  <si>
    <t>贾罗</t>
  </si>
  <si>
    <t>fishmobs002_body</t>
  </si>
  <si>
    <t>马克罗</t>
  </si>
  <si>
    <t>fishmobs003_body</t>
  </si>
  <si>
    <t>淡水</t>
  </si>
  <si>
    <t>auction002_body</t>
  </si>
  <si>
    <t>拍卖行杂兵（远程）</t>
  </si>
  <si>
    <t>luoziwode001_body</t>
  </si>
  <si>
    <t>老天龙人</t>
  </si>
  <si>
    <t>amazon003_body</t>
  </si>
  <si>
    <t>amazon004_body</t>
  </si>
  <si>
    <t>amazon005_body</t>
  </si>
  <si>
    <t>amazon006_body</t>
  </si>
  <si>
    <t>bajilisike001_body</t>
  </si>
  <si>
    <t>巴基利克斯</t>
  </si>
  <si>
    <t>bluestar001_body</t>
  </si>
  <si>
    <t>蓝猩猩</t>
  </si>
  <si>
    <t>hannyabal001_body</t>
  </si>
  <si>
    <t>汉尼拔</t>
  </si>
  <si>
    <t>hoss001_body</t>
  </si>
  <si>
    <t>候斯</t>
  </si>
  <si>
    <t>mantikra001_body</t>
  </si>
  <si>
    <t>蔓提克拉</t>
  </si>
  <si>
    <t>Bip001 Head</t>
  </si>
  <si>
    <t>sadie001_body</t>
  </si>
  <si>
    <t>萨迪</t>
  </si>
  <si>
    <t>sphinx001_body</t>
  </si>
  <si>
    <t>斯芬克斯</t>
  </si>
  <si>
    <t>wolfbattle001_body</t>
  </si>
  <si>
    <t>白狼</t>
  </si>
  <si>
    <t>koala001_body</t>
  </si>
  <si>
    <t>考拉怪</t>
  </si>
  <si>
    <t>guard002_body</t>
  </si>
  <si>
    <t>监狱步枪守卫</t>
  </si>
  <si>
    <t>humanox001_body</t>
  </si>
  <si>
    <t>牛头怪</t>
  </si>
  <si>
    <t>prison001_body</t>
  </si>
  <si>
    <t>狱卒</t>
  </si>
  <si>
    <t>rhinoceros001_body</t>
  </si>
  <si>
    <t>犀牛怪</t>
  </si>
  <si>
    <t>zebra001_body</t>
  </si>
  <si>
    <t>斑马怪</t>
  </si>
  <si>
    <t>captain003_body</t>
  </si>
  <si>
    <t>【精英】巨锤哥</t>
  </si>
  <si>
    <t>pirates001_body02</t>
  </si>
  <si>
    <t>【精英】管儿枪哥</t>
  </si>
  <si>
    <t>usepirate009_body</t>
  </si>
  <si>
    <t>【精英】刺刀哥</t>
  </si>
  <si>
    <t>soldier003_body03</t>
  </si>
  <si>
    <t>【精英】大太刀海军</t>
  </si>
  <si>
    <t>soldier004_body03</t>
  </si>
  <si>
    <t>【精英】多功能步枪海军</t>
  </si>
  <si>
    <t>guard004_body</t>
  </si>
  <si>
    <t>监狱墨镜大炮管子</t>
  </si>
  <si>
    <t>prison002_body</t>
  </si>
  <si>
    <t>狱卒细炮管子</t>
  </si>
  <si>
    <t>hina001_body</t>
  </si>
  <si>
    <t>日奈日奈日</t>
  </si>
  <si>
    <t>bastille001_body</t>
  </si>
  <si>
    <t>巴士巴士底</t>
  </si>
  <si>
    <t>musou001_body</t>
  </si>
  <si>
    <t>鬼鬼鬼蜘蛛（背后长手）</t>
  </si>
  <si>
    <t>momonga001_body</t>
  </si>
  <si>
    <t>鼯鼠鼯鼠鼯</t>
  </si>
  <si>
    <t>musou002_body</t>
  </si>
  <si>
    <t>鬼鬼鬼蜘蛛（正常形态）</t>
  </si>
  <si>
    <t>falseluffy001_body</t>
  </si>
  <si>
    <t>假路飞</t>
  </si>
  <si>
    <t>falsenami001_body</t>
  </si>
  <si>
    <t>假奈美</t>
  </si>
  <si>
    <t>falseusopp001_body</t>
  </si>
  <si>
    <t>假乌索普</t>
  </si>
  <si>
    <t>karib001_body</t>
  </si>
  <si>
    <t>卡里布</t>
  </si>
  <si>
    <t>xinyuren001_body</t>
  </si>
  <si>
    <t>持刀新鱼人</t>
  </si>
  <si>
    <t>xinyuren002_body</t>
  </si>
  <si>
    <t>持枪新鱼人</t>
  </si>
  <si>
    <t>hordy001_body</t>
  </si>
  <si>
    <t>霍迪·琼斯</t>
  </si>
  <si>
    <t>decken002_body</t>
  </si>
  <si>
    <t>范德戴肯九世</t>
  </si>
  <si>
    <t>hyouzou001_body</t>
  </si>
  <si>
    <t>豹藏</t>
  </si>
  <si>
    <t>hyeongje001_body</t>
  </si>
  <si>
    <t>咚森</t>
  </si>
  <si>
    <t>icarus001_body</t>
  </si>
  <si>
    <t>伊卡鲁斯</t>
  </si>
  <si>
    <t>daruma001_body</t>
  </si>
  <si>
    <t>达磨</t>
  </si>
  <si>
    <t>zeao001_body</t>
  </si>
  <si>
    <t>泽奥</t>
  </si>
  <si>
    <t>caesar001_body</t>
  </si>
  <si>
    <t>凯撒（普通形态）</t>
  </si>
  <si>
    <t>caesar002_body</t>
  </si>
  <si>
    <t>凯撒（气体形态）</t>
  </si>
  <si>
    <t>chahuzi001_body</t>
  </si>
  <si>
    <t>茶胡子</t>
  </si>
  <si>
    <t>shimaili003_body</t>
  </si>
  <si>
    <t>史姆丽</t>
  </si>
  <si>
    <t>shuangzufeilong001_body</t>
  </si>
  <si>
    <t>双足飞龙</t>
  </si>
  <si>
    <t>huolong001_body</t>
  </si>
  <si>
    <t>火龙</t>
  </si>
  <si>
    <t>xingde002_body</t>
  </si>
  <si>
    <t>小孩</t>
  </si>
  <si>
    <t>phtroops001_body</t>
  </si>
  <si>
    <t>ph部队</t>
  </si>
  <si>
    <t>phtroops002_body</t>
  </si>
  <si>
    <t>g5navy001_body</t>
  </si>
  <si>
    <t>G5海军</t>
  </si>
  <si>
    <t>g5navy002_body</t>
  </si>
  <si>
    <t>baoxingrenma001_body</t>
  </si>
  <si>
    <t>半人马部队</t>
  </si>
  <si>
    <t>cjlbanrenma001_body</t>
  </si>
  <si>
    <t>xueshanxiongdi001_body</t>
  </si>
  <si>
    <t>雪山兄弟（洛克）</t>
  </si>
  <si>
    <t>xueshanxiongdi002_body</t>
  </si>
  <si>
    <t>雪山兄弟（斯科奇）</t>
  </si>
  <si>
    <t>shimaili001_body</t>
  </si>
  <si>
    <t>小型史姆丽</t>
  </si>
  <si>
    <t>vergo002_body</t>
  </si>
  <si>
    <t>维尔戈（肌肉茄子）</t>
  </si>
  <si>
    <t>monet001_body</t>
  </si>
  <si>
    <t>莫奈</t>
  </si>
  <si>
    <t>buffalo001_body</t>
  </si>
  <si>
    <t>水牛（巴发罗）</t>
  </si>
  <si>
    <t>dellinger001_body</t>
  </si>
  <si>
    <t>德林杰</t>
  </si>
  <si>
    <t>douniu001_body</t>
  </si>
  <si>
    <t>斗牛</t>
  </si>
  <si>
    <t>douyu003_body</t>
  </si>
  <si>
    <t>斗鱼03</t>
  </si>
  <si>
    <t>douyu004_body</t>
  </si>
  <si>
    <t>斗鱼04</t>
  </si>
  <si>
    <t>jiaenange001_body</t>
  </si>
  <si>
    <t>贾恩·安格</t>
  </si>
  <si>
    <t>mengeshouxia001_body</t>
  </si>
  <si>
    <t>多弗拉门戈手下01</t>
  </si>
  <si>
    <t>mengeshouxia002_body</t>
  </si>
  <si>
    <t>多弗拉门戈手下02</t>
  </si>
  <si>
    <t>ptcsz001_body</t>
  </si>
  <si>
    <t>普通参赛者01</t>
  </si>
  <si>
    <t>ptcsz002_body</t>
  </si>
  <si>
    <t>普通参赛者02</t>
  </si>
  <si>
    <t>ptcsz003_body</t>
  </si>
  <si>
    <t>普通参赛者03</t>
  </si>
  <si>
    <t>qingjiao001_body</t>
  </si>
  <si>
    <t>青椒（剧情）</t>
  </si>
  <si>
    <t>qingjiao002_body</t>
  </si>
  <si>
    <t>青椒（小怪专用）</t>
  </si>
  <si>
    <t>sileiman001_body</t>
  </si>
  <si>
    <t>斯雷曼</t>
  </si>
  <si>
    <t>sai001_body</t>
  </si>
  <si>
    <t>老蔡</t>
  </si>
  <si>
    <t>luogan001_body</t>
  </si>
  <si>
    <t>洛林格·罗甘</t>
  </si>
  <si>
    <t>ziluolan001_body</t>
  </si>
  <si>
    <t>紫罗兰</t>
  </si>
  <si>
    <t>diamante001_body</t>
  </si>
  <si>
    <t>迪亚曼蒂（boss）</t>
  </si>
  <si>
    <t>senor001_body</t>
  </si>
  <si>
    <t>赛诺尔·平克（boss）</t>
  </si>
  <si>
    <t>pica001_body</t>
  </si>
  <si>
    <t>匹卡（正常）boss</t>
  </si>
  <si>
    <t>pica002_body</t>
  </si>
  <si>
    <t>匹卡（霸气形态）boss</t>
  </si>
  <si>
    <t>pica003_body</t>
  </si>
  <si>
    <t>匹卡（小石头）boss</t>
  </si>
  <si>
    <t>pica004_body</t>
  </si>
  <si>
    <t>匹卡（大石头）boss</t>
  </si>
  <si>
    <t>guladiwusi_body</t>
  </si>
  <si>
    <t>古拉迪乌斯（boss）</t>
  </si>
  <si>
    <t>sugar001_body</t>
  </si>
  <si>
    <t>糖糖</t>
  </si>
  <si>
    <t>trebol002_body</t>
  </si>
  <si>
    <t>托雷波尔</t>
  </si>
  <si>
    <t>sugar001_threedoll03</t>
  </si>
  <si>
    <t>砂糖玩偶</t>
  </si>
  <si>
    <t>sugar003_threedoll03</t>
  </si>
  <si>
    <t>砂糖玩偶（小熊玩偶）</t>
  </si>
  <si>
    <t>sugar003_threedoll04</t>
  </si>
  <si>
    <t>砂糖玩偶（脑袋夹子）</t>
  </si>
  <si>
    <t>trebol003_body</t>
  </si>
  <si>
    <t>托雷波尔（ssr砂糖召唤）</t>
  </si>
  <si>
    <t>wangda001_body</t>
  </si>
  <si>
    <t>汪达</t>
  </si>
  <si>
    <t>maopizu001_body</t>
  </si>
  <si>
    <t>毛皮族</t>
  </si>
  <si>
    <t>maopizu003_body</t>
  </si>
  <si>
    <t>毛皮族帽子</t>
  </si>
  <si>
    <t>luodi001_body</t>
  </si>
  <si>
    <t>罗迪</t>
  </si>
  <si>
    <t>beasts001_body</t>
  </si>
  <si>
    <t>杰克海贼团海盗1</t>
  </si>
  <si>
    <t>beasts002_body</t>
  </si>
  <si>
    <t>杰克海贼团海盗2</t>
  </si>
  <si>
    <t>sheeps001_body</t>
  </si>
  <si>
    <t>绵羊头</t>
  </si>
  <si>
    <t>bege001_body</t>
  </si>
  <si>
    <t>卡朋贝基</t>
  </si>
  <si>
    <t>capone001_body</t>
  </si>
  <si>
    <t>卡朋手下1</t>
  </si>
  <si>
    <t>capone002_body</t>
  </si>
  <si>
    <t>卡朋手下2</t>
  </si>
  <si>
    <t>jack001_body</t>
  </si>
  <si>
    <t>jack002_body</t>
  </si>
  <si>
    <t>杰克象形态</t>
  </si>
  <si>
    <t>Jackelephant_forward</t>
  </si>
  <si>
    <t>Jackelephant_back</t>
  </si>
  <si>
    <t>jialuote004_body</t>
  </si>
  <si>
    <t>加洛特兔子装</t>
  </si>
  <si>
    <t>brulee001_body</t>
  </si>
  <si>
    <t>夏洛特烤布丁</t>
  </si>
  <si>
    <t>Boss_KaoBuDing_Move01</t>
  </si>
  <si>
    <t>Boss_KaoBuDing_Back01</t>
  </si>
  <si>
    <t>landrieu001_body</t>
  </si>
  <si>
    <t>兰德鲁夫</t>
  </si>
  <si>
    <t>Monster_LanDeLuFu_Move01</t>
  </si>
  <si>
    <t>Monster_LanDeLuFu_Back01</t>
  </si>
  <si>
    <t>garetto001_body</t>
  </si>
  <si>
    <t>黄油饼干</t>
  </si>
  <si>
    <t>Boss_HuangYou_Move01</t>
  </si>
  <si>
    <t>Boss_HuangYou_Back01</t>
  </si>
  <si>
    <t>yizhi001_body</t>
  </si>
  <si>
    <t>一智</t>
  </si>
  <si>
    <t>Monster_YongZhi_Move01</t>
  </si>
  <si>
    <t>Monster_YongZhi_Back01</t>
  </si>
  <si>
    <t>niji001_body</t>
  </si>
  <si>
    <t>尼智</t>
  </si>
  <si>
    <t>yongzhi001_body</t>
  </si>
  <si>
    <t>勇智</t>
  </si>
  <si>
    <t>judge001_body</t>
  </si>
  <si>
    <t>伽智</t>
  </si>
  <si>
    <t>Boss_QiangZhi_Move01</t>
  </si>
  <si>
    <t>Boss_QiangZhi_Back01</t>
  </si>
  <si>
    <t>chess002_body</t>
  </si>
  <si>
    <t>象棋兵-刀</t>
  </si>
  <si>
    <t>Monster_XiangQi_Move01</t>
  </si>
  <si>
    <t>Monster_XiangQi_Back01</t>
  </si>
  <si>
    <t>chess003_body</t>
  </si>
  <si>
    <t>象棋兵-矛</t>
  </si>
  <si>
    <t>chess004_body</t>
  </si>
  <si>
    <t>象棋兵-剑</t>
  </si>
  <si>
    <t>chess005_body</t>
  </si>
  <si>
    <t>象棋兵-弓</t>
  </si>
  <si>
    <t>chess006_body</t>
  </si>
  <si>
    <t>象棋兵-枪</t>
  </si>
  <si>
    <t>chess007_body</t>
  </si>
  <si>
    <t>象棋兵-双刀</t>
  </si>
  <si>
    <t>homies001_body</t>
  </si>
  <si>
    <t>霍姆斯-甜甜圈</t>
  </si>
  <si>
    <t>Monster_HuoMuSi_Move01</t>
  </si>
  <si>
    <t>Monster_HuoMuSi_Back01</t>
  </si>
  <si>
    <t>homies002_body</t>
  </si>
  <si>
    <t>霍姆斯-蛋糕</t>
  </si>
  <si>
    <t>homies003_body</t>
  </si>
  <si>
    <t>霍姆斯-甜筒</t>
  </si>
  <si>
    <t>homies004_body</t>
  </si>
  <si>
    <t>霍姆斯-布丁</t>
  </si>
  <si>
    <t>opera001_body</t>
  </si>
  <si>
    <t>夏洛特欧培拉</t>
  </si>
  <si>
    <t>montdor001_body</t>
  </si>
  <si>
    <t>夏洛特蒙道尔</t>
  </si>
  <si>
    <t>Boss_MengDaoEr_Move01</t>
  </si>
  <si>
    <t>Boss_MengDaoEr_Back01</t>
  </si>
  <si>
    <t>perospero001_body</t>
  </si>
  <si>
    <t>佩罗斯佩罗</t>
  </si>
  <si>
    <t>dmshouxia002_body</t>
  </si>
  <si>
    <t>大妈手下02</t>
  </si>
  <si>
    <t>Monster_DaMa02_Move01</t>
  </si>
  <si>
    <t>Monster_DaMa02_Back01</t>
  </si>
  <si>
    <t>barontamago002_body</t>
  </si>
  <si>
    <t>蛋蛋男爵</t>
  </si>
  <si>
    <t>Boss_DanDan_Move01</t>
  </si>
  <si>
    <t>Boss_DanDan_Back01</t>
  </si>
  <si>
    <t>sanji001_zuofan</t>
  </si>
  <si>
    <t>山治做饭</t>
  </si>
  <si>
    <t>dmshouxia001_body</t>
  </si>
  <si>
    <t>大妈手下01</t>
  </si>
  <si>
    <t>Monster_DaMa01_Move01</t>
  </si>
  <si>
    <t>Monster_DaMa01_Back01</t>
  </si>
  <si>
    <t>dmshouxia003_body</t>
  </si>
  <si>
    <t>大妈手下03</t>
  </si>
  <si>
    <t>dmshouxia004_body</t>
  </si>
  <si>
    <t>大妈手下04</t>
  </si>
  <si>
    <t>daifuku001_body</t>
  </si>
  <si>
    <t>大福</t>
  </si>
  <si>
    <t>Boss_DaFu_Move01</t>
  </si>
  <si>
    <t>Boss_DaFu_Back01</t>
  </si>
  <si>
    <t>oven001_body</t>
  </si>
  <si>
    <t>欧文</t>
  </si>
  <si>
    <t>Boss_KaoXiang_Move01</t>
  </si>
  <si>
    <t>Boss_KaoXiang_Back01</t>
  </si>
  <si>
    <t>perospero002_body</t>
  </si>
  <si>
    <t>Boss_PeiLuoSi_Move01</t>
  </si>
  <si>
    <t>Boss_PeiLuoSi_Back01</t>
  </si>
  <si>
    <t>jigura_body</t>
  </si>
  <si>
    <t>吉格拉</t>
  </si>
  <si>
    <t>holdem001_body</t>
  </si>
  <si>
    <t>霍尔德姆</t>
  </si>
  <si>
    <t>ChopperHeCZ_attack07_whoosh2</t>
  </si>
  <si>
    <t>pudao001_body</t>
  </si>
  <si>
    <t>浦岛</t>
  </si>
  <si>
    <t>bianfuren001_body</t>
  </si>
  <si>
    <t>蝙蝠人</t>
  </si>
  <si>
    <t>kdshouxia001_body</t>
  </si>
  <si>
    <t>凯多手下01-高个兔子</t>
  </si>
  <si>
    <t>kdshouxia002_body</t>
  </si>
  <si>
    <t>凯多手下02-强壮面罩</t>
  </si>
  <si>
    <t>hkshouxia001_body</t>
  </si>
  <si>
    <t>霍金斯手下</t>
  </si>
  <si>
    <t>wushi001_body</t>
  </si>
  <si>
    <t>武士1-黄毛武士</t>
  </si>
  <si>
    <t>wushi002_body</t>
  </si>
  <si>
    <t>武士2-胖守卫</t>
  </si>
  <si>
    <t>wushi003_body</t>
  </si>
  <si>
    <t>武士3-黑发武士</t>
  </si>
  <si>
    <t>xiangpu001_body</t>
  </si>
  <si>
    <t>相扑选手</t>
  </si>
  <si>
    <t>ChopperHeCZ_Attack03_Jump1</t>
  </si>
  <si>
    <t>hihimaru001_body</t>
  </si>
  <si>
    <t>狒狒丸</t>
  </si>
  <si>
    <t>dasheshouxia001_body</t>
  </si>
  <si>
    <t>大蛇手下1（铳）</t>
  </si>
  <si>
    <t>dasheshouxia002_body</t>
  </si>
  <si>
    <t>大蛇手下2（刀）</t>
  </si>
  <si>
    <t>denjiro001_body</t>
  </si>
  <si>
    <t>狂死郎</t>
  </si>
  <si>
    <t>renzhe001_npc</t>
  </si>
  <si>
    <t>忍者1</t>
  </si>
  <si>
    <t>renzhe003_npc</t>
  </si>
  <si>
    <t>忍者2</t>
  </si>
  <si>
    <t>fukurokuju001_body</t>
  </si>
  <si>
    <t>福禄寿</t>
  </si>
  <si>
    <t>niuguiwan001_body</t>
  </si>
  <si>
    <t>牛鬼丸</t>
  </si>
  <si>
    <t>killer003_body</t>
  </si>
  <si>
    <t>镰造</t>
  </si>
  <si>
    <t>babanuki001_body</t>
  </si>
  <si>
    <t>巴巴努基</t>
  </si>
  <si>
    <t>solitaire001_body</t>
  </si>
  <si>
    <t>索丽提雅</t>
  </si>
  <si>
    <t>dobon001_body</t>
  </si>
  <si>
    <t>多朋</t>
  </si>
  <si>
    <t>houxuanzhe001_body</t>
  </si>
  <si>
    <t>候选者</t>
  </si>
  <si>
    <t>citizen001_npc</t>
  </si>
  <si>
    <t>citizen001_npc_1</t>
  </si>
  <si>
    <t>citizen001_npc_2</t>
  </si>
  <si>
    <t>citizen001_npc_3</t>
  </si>
  <si>
    <t>rika001_body</t>
  </si>
  <si>
    <t>mood01,mood02</t>
  </si>
  <si>
    <t>villager001_body001</t>
  </si>
  <si>
    <t>villager001_body002</t>
  </si>
  <si>
    <t>villager002_body01</t>
  </si>
  <si>
    <t>villager002_body02</t>
  </si>
  <si>
    <t>villager003_body01</t>
  </si>
  <si>
    <t>villager003_body02</t>
  </si>
  <si>
    <t>soldier001_body03</t>
  </si>
  <si>
    <t>xiuxiu01_body</t>
  </si>
  <si>
    <t>johnny001_body</t>
  </si>
  <si>
    <t>joseph001_body</t>
  </si>
  <si>
    <t>约撒R卡</t>
  </si>
  <si>
    <t>kaya001_body</t>
  </si>
  <si>
    <t>zeff001_body</t>
  </si>
  <si>
    <t>thugs001_body</t>
  </si>
  <si>
    <t>爱比达手下A</t>
  </si>
  <si>
    <t>thugs002_body</t>
  </si>
  <si>
    <t>爱比达手下B</t>
  </si>
  <si>
    <t>thugs003_body</t>
  </si>
  <si>
    <t>爱比达手下C</t>
  </si>
  <si>
    <t>sailor001_body01</t>
  </si>
  <si>
    <t>序章船员A</t>
  </si>
  <si>
    <t>sailor001_body02</t>
  </si>
  <si>
    <t>序章船员B</t>
  </si>
  <si>
    <t>brogy001_body</t>
  </si>
  <si>
    <t>布罗基</t>
  </si>
  <si>
    <t>dorry001_body</t>
  </si>
  <si>
    <t>多利</t>
  </si>
  <si>
    <t>vivi001_body</t>
  </si>
  <si>
    <t>karoo001_body</t>
  </si>
  <si>
    <t>blackbeard001_body</t>
  </si>
  <si>
    <t>黑胡子</t>
  </si>
  <si>
    <t>simple001_npc</t>
  </si>
  <si>
    <t>通用npc模型，男，厨师？</t>
  </si>
  <si>
    <t>simple001_npc02</t>
  </si>
  <si>
    <t>通用npc模型，男，帽子外衣</t>
  </si>
  <si>
    <t>simple006_npc01</t>
  </si>
  <si>
    <t>通用npc模型，女</t>
  </si>
  <si>
    <t>simple006_npc02</t>
  </si>
  <si>
    <t>通用npc模型，女，帽子</t>
  </si>
  <si>
    <t>simple008_npc01</t>
  </si>
  <si>
    <t>通用npc模型，男，帽子围脖</t>
  </si>
  <si>
    <t>simple008_npc02</t>
  </si>
  <si>
    <t>通用npc模型，男，紫衬衫</t>
  </si>
  <si>
    <t>simple009_npc01</t>
  </si>
  <si>
    <t>通用npc模型，小女孩</t>
  </si>
  <si>
    <t>simple009_npc02</t>
  </si>
  <si>
    <t>通用npc模型，小男孩</t>
  </si>
  <si>
    <t>simple010_npc01</t>
  </si>
  <si>
    <t>通用npc模型，老头</t>
  </si>
  <si>
    <t>simple010_npc02</t>
  </si>
  <si>
    <t>通用npc模型，肥仔</t>
  </si>
  <si>
    <t>doctor001_npc</t>
  </si>
  <si>
    <t>通用npc模型，男，医生</t>
  </si>
  <si>
    <t>nurse001_npc</t>
  </si>
  <si>
    <t>通用npc模型，女，护士</t>
  </si>
  <si>
    <t>villagwinter001_body01</t>
  </si>
  <si>
    <t>冬装NPC1</t>
  </si>
  <si>
    <t>villagwinter004_body</t>
  </si>
  <si>
    <t>冬装NPC4</t>
  </si>
  <si>
    <t>collect002_npc</t>
  </si>
  <si>
    <t>沙漠村民，老人，精神</t>
  </si>
  <si>
    <t>potion002_npc</t>
  </si>
  <si>
    <t>沙漠村民，老人，佝偻</t>
  </si>
  <si>
    <t>cuisine002_npc</t>
  </si>
  <si>
    <t>沙漠村民，厨师</t>
  </si>
  <si>
    <t>wine001_npc</t>
  </si>
  <si>
    <t>魔谷镇，酒馆老板</t>
  </si>
  <si>
    <t>kuleha001_body</t>
  </si>
  <si>
    <t>Dr.古蕾娃</t>
  </si>
  <si>
    <t>unlucky001_body02</t>
  </si>
  <si>
    <t>Miss.星期五</t>
  </si>
  <si>
    <t>unlucky001_body01</t>
  </si>
  <si>
    <t>MR.13</t>
  </si>
  <si>
    <t>卡鲁</t>
  </si>
  <si>
    <t>bird001_body</t>
  </si>
  <si>
    <t>指南鸟</t>
  </si>
  <si>
    <t>villagwinter001_body02</t>
  </si>
  <si>
    <t>冬装NPC2</t>
  </si>
  <si>
    <t>villagwinter003_body</t>
  </si>
  <si>
    <t>冬装NPC3</t>
  </si>
  <si>
    <t>potion001_npc</t>
  </si>
  <si>
    <t>药水商人1</t>
  </si>
  <si>
    <t>potion003_npc</t>
  </si>
  <si>
    <t>药水商人3</t>
  </si>
  <si>
    <t>cuisine001_npc</t>
  </si>
  <si>
    <t>烹饪商人1</t>
  </si>
  <si>
    <t>cuisine003_npc</t>
  </si>
  <si>
    <t>烹饪商人3</t>
  </si>
  <si>
    <t>cuisine004_npc</t>
  </si>
  <si>
    <t>烹饪商人4</t>
  </si>
  <si>
    <t>collect001_npc</t>
  </si>
  <si>
    <t>采集商人1</t>
  </si>
  <si>
    <t>collect003_npc</t>
  </si>
  <si>
    <t>采集商人3</t>
  </si>
  <si>
    <t>collect004_npc</t>
  </si>
  <si>
    <t>采集商人4</t>
  </si>
  <si>
    <t>fishing001_npc</t>
  </si>
  <si>
    <t>钓鱼商人1</t>
  </si>
  <si>
    <t>fishing003_npc</t>
  </si>
  <si>
    <t>钓鱼商人3</t>
  </si>
  <si>
    <t>fight001_npc</t>
  </si>
  <si>
    <t>竞技场管理员</t>
  </si>
  <si>
    <t>sorting001_npc</t>
  </si>
  <si>
    <t>排位管理员</t>
  </si>
  <si>
    <t>equipment001_npc</t>
  </si>
  <si>
    <t>装备商人</t>
  </si>
  <si>
    <t>equipment002_npc</t>
  </si>
  <si>
    <t>高级装备商人</t>
  </si>
  <si>
    <t>jewelry001_npc</t>
  </si>
  <si>
    <t>珠宝商人</t>
  </si>
  <si>
    <t>return001_npc</t>
  </si>
  <si>
    <t>航海远征NPC</t>
  </si>
  <si>
    <t>daily001_npc</t>
  </si>
  <si>
    <t>日常任务管理员</t>
  </si>
  <si>
    <t>mysterious001_npc</t>
  </si>
  <si>
    <t>神秘海域商人</t>
  </si>
  <si>
    <t>wine002_npc</t>
  </si>
  <si>
    <t>酒馆NPC1</t>
  </si>
  <si>
    <t>guild001_npc</t>
  </si>
  <si>
    <t>公会管理员</t>
  </si>
  <si>
    <t>waiter001_npc</t>
  </si>
  <si>
    <t>酒吧服务员</t>
  </si>
  <si>
    <t>东利</t>
  </si>
  <si>
    <t>villagwinter005_body</t>
  </si>
  <si>
    <t>冬装村民女1</t>
  </si>
  <si>
    <t>villagwinter006_body</t>
  </si>
  <si>
    <t>冬装村民女2</t>
  </si>
  <si>
    <t>hongtudalu_obj_402</t>
  </si>
  <si>
    <t>拉布-图鉴</t>
  </si>
  <si>
    <t>cobra001_body</t>
  </si>
  <si>
    <t>可布拉-图鉴</t>
  </si>
  <si>
    <t>空扎-图鉴</t>
  </si>
  <si>
    <t>alabasta001_npc01</t>
  </si>
  <si>
    <t>沙漠村民-双马尾</t>
  </si>
  <si>
    <t>alabasta001_npc02</t>
  </si>
  <si>
    <t>沙漠村民-御姐</t>
  </si>
  <si>
    <t>alabasta002_npc01</t>
  </si>
  <si>
    <t>沙漠村民-黑叔叔</t>
  </si>
  <si>
    <t>alabasta002_npc02</t>
  </si>
  <si>
    <t>沙漠村民-斑点要带</t>
  </si>
  <si>
    <t>alabasta003_npc01</t>
  </si>
  <si>
    <t>沙漠村民-大胡子</t>
  </si>
  <si>
    <t>alabasta003_npc02</t>
  </si>
  <si>
    <t>沙漠村民-小胡子</t>
  </si>
  <si>
    <t>simple002_npc01</t>
  </si>
  <si>
    <t>水之都村民-流氓</t>
  </si>
  <si>
    <t>simple002_npc02</t>
  </si>
  <si>
    <t>水之都村民-带墨镜头巾男</t>
  </si>
  <si>
    <t>cricket001_body</t>
  </si>
  <si>
    <t>蒙布朗库力凯特</t>
  </si>
  <si>
    <t>emptyisland001_npc01</t>
  </si>
  <si>
    <t>空岛小白脸</t>
  </si>
  <si>
    <t>emptyisland001_npc02</t>
  </si>
  <si>
    <t>空岛小红脸</t>
  </si>
  <si>
    <t>emptyisland002_npc01</t>
  </si>
  <si>
    <t>空岛郑伊健</t>
  </si>
  <si>
    <t>emptyisland002_npc02</t>
  </si>
  <si>
    <t>空岛大叔</t>
  </si>
  <si>
    <t>emptyisland003_npc01</t>
  </si>
  <si>
    <t>空岛长发妹</t>
  </si>
  <si>
    <t>emptyisland003_npc02</t>
  </si>
  <si>
    <t>空岛短发妹</t>
  </si>
  <si>
    <t>kongdao_obj_409</t>
  </si>
  <si>
    <t>马克西姆</t>
  </si>
  <si>
    <t>conis001_body</t>
  </si>
  <si>
    <t>柯尼丝</t>
  </si>
  <si>
    <t>simple003_npc01</t>
  </si>
  <si>
    <t>水之都NPC</t>
  </si>
  <si>
    <t>simple003_npc02</t>
  </si>
  <si>
    <t>simple004_npc01</t>
  </si>
  <si>
    <t>simple004_npc02</t>
  </si>
  <si>
    <t>simple005_npc01</t>
  </si>
  <si>
    <t>simple005_npc02</t>
  </si>
  <si>
    <t>kuzan001_body_npc</t>
  </si>
  <si>
    <t>青雉-没有披风</t>
  </si>
  <si>
    <t>tonjit001_npc</t>
  </si>
  <si>
    <t>长链岛-东吉特</t>
  </si>
  <si>
    <t>foxy001_body</t>
  </si>
  <si>
    <t>NPC用福克斯</t>
  </si>
  <si>
    <t>porche001_body</t>
  </si>
  <si>
    <t>NPC用波尔茜</t>
  </si>
  <si>
    <t>hamburg001_body</t>
  </si>
  <si>
    <t>NPC用汉堡</t>
  </si>
  <si>
    <t>iceberg001_body</t>
  </si>
  <si>
    <t>阿斯巴古（冰山）</t>
  </si>
  <si>
    <t>kokoro001_body</t>
  </si>
  <si>
    <t>可可罗</t>
  </si>
  <si>
    <t>pickles001_body</t>
  </si>
  <si>
    <t>皮克鲁斯</t>
  </si>
  <si>
    <t>lupai_obj_901</t>
  </si>
  <si>
    <t>船坞牌子</t>
  </si>
  <si>
    <t>dove001_body</t>
  </si>
  <si>
    <t>船坞鸽子</t>
  </si>
  <si>
    <t>hilton001_body</t>
  </si>
  <si>
    <t>希尔顿</t>
  </si>
  <si>
    <t>spohr001_body</t>
  </si>
  <si>
    <t>提灯老人</t>
  </si>
  <si>
    <t>037_kongbuxiangkuang1_114b</t>
  </si>
  <si>
    <t>噗嘿洽克</t>
  </si>
  <si>
    <t>ghost_body</t>
  </si>
  <si>
    <t>幽灵</t>
  </si>
  <si>
    <t>bear_body</t>
  </si>
  <si>
    <t>库玛西</t>
  </si>
  <si>
    <t>lola001_body</t>
  </si>
  <si>
    <t>人形罗拉</t>
  </si>
  <si>
    <t>luffy004_boby</t>
  </si>
  <si>
    <t>梦魇路飞</t>
  </si>
  <si>
    <t>coarsefish001_body</t>
  </si>
  <si>
    <t>没有影子的人</t>
  </si>
  <si>
    <t>coarsefish002_body</t>
  </si>
  <si>
    <t>kemi001_body</t>
  </si>
  <si>
    <t>凯米</t>
  </si>
  <si>
    <t>pappug001_body</t>
  </si>
  <si>
    <t>帕帕格</t>
  </si>
  <si>
    <t>hachi002_body</t>
  </si>
  <si>
    <t>香波地小八</t>
  </si>
  <si>
    <t>xiangbovillage001_npc</t>
  </si>
  <si>
    <t>香波地居民男1</t>
  </si>
  <si>
    <t>xiangbovillage002_npc</t>
  </si>
  <si>
    <t>香波地居民男2</t>
  </si>
  <si>
    <t>xiangbovillage003_npc</t>
  </si>
  <si>
    <t>香波地居民女1</t>
  </si>
  <si>
    <t>xiangbovillage004_npc</t>
  </si>
  <si>
    <t>香波地居民女2</t>
  </si>
  <si>
    <t>shakuyaku_body</t>
  </si>
  <si>
    <t>芍奇</t>
  </si>
  <si>
    <t>disco001_body</t>
  </si>
  <si>
    <t>迪斯科</t>
  </si>
  <si>
    <t>granny001_body</t>
  </si>
  <si>
    <t>啥婆婆</t>
  </si>
  <si>
    <t>hawkins001_body</t>
  </si>
  <si>
    <t>urouge001_body</t>
  </si>
  <si>
    <t>乌鲁基</t>
  </si>
  <si>
    <t>killer001_body</t>
  </si>
  <si>
    <t>maskbear001_body</t>
  </si>
  <si>
    <t>面具熊</t>
  </si>
  <si>
    <t>dianhuachong001_body_d</t>
  </si>
  <si>
    <t>电话虫</t>
  </si>
  <si>
    <t>daisy002_body</t>
  </si>
  <si>
    <t>石化雏菊</t>
  </si>
  <si>
    <t>longzi_body</t>
  </si>
  <si>
    <t>笼子</t>
  </si>
  <si>
    <t>hancock003_body</t>
  </si>
  <si>
    <t>果体汉库珂</t>
  </si>
  <si>
    <t>ace003_body</t>
  </si>
  <si>
    <t>监狱艾斯</t>
  </si>
  <si>
    <t>kemi001_xingju_d</t>
  </si>
  <si>
    <t>凯米监禁</t>
  </si>
  <si>
    <t>xiangbodi_yugang_d</t>
  </si>
  <si>
    <t>监禁用鱼缸</t>
  </si>
  <si>
    <t>buggy003_body</t>
  </si>
  <si>
    <t>巴基监狱装</t>
  </si>
  <si>
    <t>bentham002_body</t>
  </si>
  <si>
    <t>Mr.2监狱装</t>
  </si>
  <si>
    <t>blackbeard002_body</t>
  </si>
  <si>
    <t>顶上黑胡子</t>
  </si>
  <si>
    <t>buggy002_body</t>
  </si>
  <si>
    <t>海军装巴基</t>
  </si>
  <si>
    <t>demons001_body</t>
  </si>
  <si>
    <t>人妖1</t>
  </si>
  <si>
    <t>demons002_body</t>
  </si>
  <si>
    <t>人妖2</t>
  </si>
  <si>
    <t>general001_body</t>
  </si>
  <si>
    <t>通用犯人1</t>
  </si>
  <si>
    <t>general002_body</t>
  </si>
  <si>
    <t>通用犯人2</t>
  </si>
  <si>
    <t>lightning001_body</t>
  </si>
  <si>
    <t>闪电</t>
  </si>
  <si>
    <t>mr1002_body</t>
  </si>
  <si>
    <t>Mr.1监狱装</t>
  </si>
  <si>
    <t>mr3004_body</t>
  </si>
  <si>
    <t>Mr.3监狱装</t>
  </si>
  <si>
    <t>shiliew001_body</t>
  </si>
  <si>
    <t>rhincodon001_body</t>
  </si>
  <si>
    <t>鲸鲨</t>
  </si>
  <si>
    <t>denmushi002_body</t>
  </si>
  <si>
    <t>监狱监视电话虫</t>
  </si>
  <si>
    <t>059_jianyuliucengsuolian_503</t>
  </si>
  <si>
    <t>监狱锁链1</t>
  </si>
  <si>
    <t>059_jianyuliucengsuolian_504</t>
  </si>
  <si>
    <t>监狱锁链2</t>
  </si>
  <si>
    <t>guard003_body</t>
  </si>
  <si>
    <t>石化看守</t>
  </si>
  <si>
    <t>jianyujiguan01</t>
  </si>
  <si>
    <t>两侧陷阱</t>
  </si>
  <si>
    <t>jianyujiguan02</t>
  </si>
  <si>
    <t>尖刺陷阱</t>
  </si>
  <si>
    <t>jianyujiguan03</t>
  </si>
  <si>
    <t>掉落陷阱</t>
  </si>
  <si>
    <t>conquering001_body</t>
  </si>
  <si>
    <t>处刑士兵</t>
  </si>
  <si>
    <t>burgess001_body</t>
  </si>
  <si>
    <t>巴吉斯</t>
  </si>
  <si>
    <t>laffitte001_body</t>
  </si>
  <si>
    <t>拉斐特</t>
  </si>
  <si>
    <t>general003_blood01</t>
  </si>
  <si>
    <t>毒液</t>
  </si>
  <si>
    <t>general003_body</t>
  </si>
  <si>
    <t>中毒刺头囚犯</t>
  </si>
  <si>
    <t>general004_body</t>
  </si>
  <si>
    <t>中毒光头囚犯</t>
  </si>
  <si>
    <t>general005_body</t>
  </si>
  <si>
    <t>冰冻刺头囚犯</t>
  </si>
  <si>
    <t>general006_body</t>
  </si>
  <si>
    <t>冰冻光头囚犯</t>
  </si>
  <si>
    <t>lvankov001_maike_d</t>
  </si>
  <si>
    <t>伊娃科夫麦克风</t>
  </si>
  <si>
    <t>doflamingo001_body</t>
  </si>
  <si>
    <t>多弗朗明哥</t>
  </si>
  <si>
    <t>Bip001 Spine</t>
  </si>
  <si>
    <t>Hero_MingGe_Move01</t>
  </si>
  <si>
    <t>Hero_MingGe_Back01</t>
  </si>
  <si>
    <t>edward002_body</t>
  </si>
  <si>
    <t>战损白胡子</t>
  </si>
  <si>
    <t>squard001_body</t>
  </si>
  <si>
    <t>斯库亚德</t>
  </si>
  <si>
    <t>yizang001_body</t>
  </si>
  <si>
    <t>以藏</t>
  </si>
  <si>
    <t>namyuru001_body</t>
  </si>
  <si>
    <t>那缪尔</t>
  </si>
  <si>
    <t>aodes002_body</t>
  </si>
  <si>
    <t>小奥兹Jr</t>
  </si>
  <si>
    <t>mr3005_body</t>
  </si>
  <si>
    <t>Mr.3处刑装</t>
  </si>
  <si>
    <t>roger001_body</t>
  </si>
  <si>
    <t>rouge001_body</t>
  </si>
  <si>
    <t>露玖抱着婴儿艾斯</t>
  </si>
  <si>
    <t>garp003_body</t>
  </si>
  <si>
    <t>年轻戈普</t>
  </si>
  <si>
    <t>ace004_body</t>
  </si>
  <si>
    <t>童年艾斯</t>
  </si>
  <si>
    <t>luffy006_body</t>
  </si>
  <si>
    <t>童年路飞</t>
  </si>
  <si>
    <t>062_haijunjunjian_pochuan_001a</t>
  </si>
  <si>
    <t>破损海军军舰</t>
  </si>
  <si>
    <t>usepirate002_body_l</t>
  </si>
  <si>
    <t>黑胖海盗低模</t>
  </si>
  <si>
    <t>usepirate001_body_l</t>
  </si>
  <si>
    <t>辫子海盗低模</t>
  </si>
  <si>
    <t>SeaBattle_mobidi_obj_602</t>
  </si>
  <si>
    <t>莫比迪克号</t>
  </si>
  <si>
    <t>soldier003_body01_l</t>
  </si>
  <si>
    <t>超低模海军士兵1</t>
  </si>
  <si>
    <t>soldier003_body02_l</t>
  </si>
  <si>
    <t>超低模海军士兵2</t>
  </si>
  <si>
    <t>soldier003_body03_l</t>
  </si>
  <si>
    <t>超低模海军士兵3</t>
  </si>
  <si>
    <t>soldier003_body04_l</t>
  </si>
  <si>
    <t>超低模海军士兵4</t>
  </si>
  <si>
    <t>064_malifudewanwairun_1408</t>
  </si>
  <si>
    <t>处刑台道路模型</t>
  </si>
  <si>
    <t>062_haijunjunjian_pochuan_001b</t>
  </si>
  <si>
    <t>破损海军军舰（倒）</t>
  </si>
  <si>
    <t>denmushi003_body</t>
  </si>
  <si>
    <t>海军电话虫</t>
  </si>
  <si>
    <t>marco004_body</t>
  </si>
  <si>
    <t>ace003dying_body</t>
  </si>
  <si>
    <t>胸部洞穿艾斯</t>
  </si>
  <si>
    <t>coarsefish003_body</t>
  </si>
  <si>
    <t>心脏海贼团团员01</t>
  </si>
  <si>
    <t>coarsefish004_body</t>
  </si>
  <si>
    <t>心脏海贼团团员02</t>
  </si>
  <si>
    <t>luffy011_body</t>
  </si>
  <si>
    <t>全身绷带路飞</t>
  </si>
  <si>
    <t>garp001_body_2UV</t>
  </si>
  <si>
    <t>双层贴图流血卡普</t>
  </si>
  <si>
    <t>068_liangnianhoujihedipochuan_001</t>
  </si>
  <si>
    <t>香波迪断船</t>
  </si>
  <si>
    <t>perona002_body</t>
  </si>
  <si>
    <t>2年后佩罗娜</t>
  </si>
  <si>
    <t>blackbu001_body</t>
  </si>
  <si>
    <t>白胡子黑布</t>
  </si>
  <si>
    <t>luoboshu_obj_516</t>
  </si>
  <si>
    <t>萝卜树</t>
  </si>
  <si>
    <t>baozhi_511</t>
  </si>
  <si>
    <t>路飞悼念报纸</t>
  </si>
  <si>
    <t>dadan001_body</t>
  </si>
  <si>
    <t>达旦</t>
  </si>
  <si>
    <t>mermaid001_body</t>
  </si>
  <si>
    <t>鱼人岛居民女1</t>
  </si>
  <si>
    <t>mermaid002_body</t>
  </si>
  <si>
    <t>鱼人岛居民女2</t>
  </si>
  <si>
    <t>mermaid003_body</t>
  </si>
  <si>
    <t>鱼人岛居民女3</t>
  </si>
  <si>
    <t>mermaid004_body</t>
  </si>
  <si>
    <t>鱼人岛居民女4</t>
  </si>
  <si>
    <t>resident001_body</t>
  </si>
  <si>
    <t>鱼人岛居民男1</t>
  </si>
  <si>
    <t>resident002_body</t>
  </si>
  <si>
    <t>鱼人岛居民男2</t>
  </si>
  <si>
    <t>zuodachen001_body</t>
  </si>
  <si>
    <t>左大臣</t>
  </si>
  <si>
    <t>neptune001_body</t>
  </si>
  <si>
    <t>尼普顿</t>
  </si>
  <si>
    <t>sadaijin001_body</t>
  </si>
  <si>
    <t>右大臣</t>
  </si>
  <si>
    <t>haiwangshou01_body</t>
  </si>
  <si>
    <t>海王兽1</t>
  </si>
  <si>
    <t>haiwangshou02_body</t>
  </si>
  <si>
    <t>海王兽2</t>
  </si>
  <si>
    <t>shirahoshi001_body</t>
  </si>
  <si>
    <t>白星</t>
  </si>
  <si>
    <t>nuoya501</t>
  </si>
  <si>
    <t>诺亚</t>
  </si>
  <si>
    <t>xiali001_body</t>
  </si>
  <si>
    <t>夏莉夫人</t>
  </si>
  <si>
    <t>jones001_body</t>
  </si>
  <si>
    <t>鲛星</t>
  </si>
  <si>
    <t>soldier007_body</t>
  </si>
  <si>
    <t>黑胖龙宫城士兵</t>
  </si>
  <si>
    <t>soldier006_body</t>
  </si>
  <si>
    <t>蓝瘦龙宫城士兵</t>
  </si>
  <si>
    <t>megaro001_npc</t>
  </si>
  <si>
    <t>梅迦罗</t>
  </si>
  <si>
    <t>hoestlandt001_npc</t>
  </si>
  <si>
    <t>霍艾</t>
  </si>
  <si>
    <t>sanji003_body01</t>
  </si>
  <si>
    <t>石化山智</t>
  </si>
  <si>
    <t>chopper006_body</t>
  </si>
  <si>
    <t>柔力乔巴</t>
  </si>
  <si>
    <t>070_longgongshanhu_001e</t>
  </si>
  <si>
    <t>龙宫珊瑚</t>
  </si>
  <si>
    <t>decken002_weapon01</t>
  </si>
  <si>
    <t>戴肯斧子</t>
  </si>
  <si>
    <t>neptune002_body</t>
  </si>
  <si>
    <t>尼普顿锁链</t>
  </si>
  <si>
    <t>sadaijin001_body02</t>
  </si>
  <si>
    <t>右大臣锁链</t>
  </si>
  <si>
    <t>zuodachen002_body</t>
  </si>
  <si>
    <t>左大臣锁链</t>
  </si>
  <si>
    <t>soldier006_body02</t>
  </si>
  <si>
    <t>龙宫士兵1锁链</t>
  </si>
  <si>
    <t>soldier007_body02</t>
  </si>
  <si>
    <t>龙宫士兵2锁链</t>
  </si>
  <si>
    <t>chopper007_body</t>
  </si>
  <si>
    <t>暴走乔巴</t>
  </si>
  <si>
    <t>chopper008_body</t>
  </si>
  <si>
    <t>角力强化乔巴</t>
  </si>
  <si>
    <t>barontamago001_body</t>
  </si>
  <si>
    <t>pekoms001_body</t>
  </si>
  <si>
    <t>扁姆兹/贝克慕斯</t>
  </si>
  <si>
    <t>071_haidisenlinshuyedai_001</t>
  </si>
  <si>
    <t>输血袋</t>
  </si>
  <si>
    <t>071_haidisenlintiejia_001</t>
  </si>
  <si>
    <t>捆绑铁架</t>
  </si>
  <si>
    <t>jurenxiaohai001_body</t>
  </si>
  <si>
    <t>通用巨人小女孩</t>
  </si>
  <si>
    <t>jurenxiaohai002_body</t>
  </si>
  <si>
    <t>通用巨人小男孩</t>
  </si>
  <si>
    <t>mocha001_body</t>
  </si>
  <si>
    <t>莫扎</t>
  </si>
  <si>
    <t>momosuke001_body</t>
  </si>
  <si>
    <t>桃之助人</t>
  </si>
  <si>
    <t>momosuke002_body</t>
  </si>
  <si>
    <t>桃之助龙</t>
  </si>
  <si>
    <t>xingde001_body</t>
  </si>
  <si>
    <t>辛德</t>
  </si>
  <si>
    <t>thugs001_body02</t>
  </si>
  <si>
    <t>被史姆丽气体吞噬的人（冰火岛动画001使用</t>
  </si>
  <si>
    <t>kinemon003_body</t>
  </si>
  <si>
    <t>锦卫门头、身子、腿</t>
  </si>
  <si>
    <t>073_binghuodaobBNStielian_001</t>
  </si>
  <si>
    <t>冰火岛通用锁链</t>
  </si>
  <si>
    <t>trafalgarlaw003_body</t>
  </si>
  <si>
    <t>新世界 特拉法尔加罗（剧情用）</t>
  </si>
  <si>
    <t>vergo001_body</t>
  </si>
  <si>
    <t>维尔戈（穿衣服）</t>
  </si>
  <si>
    <t>kuzan002_body</t>
  </si>
  <si>
    <t>两年后青雉（剧情用）</t>
  </si>
  <si>
    <t>luffy018_body</t>
  </si>
  <si>
    <t>路飞-路西</t>
  </si>
  <si>
    <t>sabo002_body02</t>
  </si>
  <si>
    <t>萨波</t>
  </si>
  <si>
    <t>sabo005_body</t>
  </si>
  <si>
    <t>萨波-路西</t>
  </si>
  <si>
    <t>lssho002_body</t>
  </si>
  <si>
    <t>jjcnvstaff001_body</t>
  </si>
  <si>
    <t>竞技场女工作人员</t>
  </si>
  <si>
    <t>toys004_body</t>
  </si>
  <si>
    <t>玩具熊</t>
  </si>
  <si>
    <t>toys001_body</t>
  </si>
  <si>
    <t>蓝色玩具</t>
  </si>
  <si>
    <t>toys002_body</t>
  </si>
  <si>
    <t>玩具狗</t>
  </si>
  <si>
    <t>toys003_body</t>
  </si>
  <si>
    <t>绿色玩具</t>
  </si>
  <si>
    <t>mrsoldier001_body</t>
  </si>
  <si>
    <t>士兵先生</t>
  </si>
  <si>
    <t>jjcgaici001_body</t>
  </si>
  <si>
    <t>竞技场主持人盖茨</t>
  </si>
  <si>
    <t>sibadaen_body</t>
  </si>
  <si>
    <t>斯巴达恩（剧情）</t>
  </si>
  <si>
    <t>bellamy002_body</t>
  </si>
  <si>
    <t>两年后贝拉米（剧情）</t>
  </si>
  <si>
    <t>jingguan001_body</t>
  </si>
  <si>
    <t>警官</t>
  </si>
  <si>
    <t>bartolomeo001_body</t>
  </si>
  <si>
    <t>巴尔托洛梅奥（剧情）</t>
  </si>
  <si>
    <t>qingjiao003_body</t>
  </si>
  <si>
    <t>青椒（扁头）</t>
  </si>
  <si>
    <t>qingjiao004_body</t>
  </si>
  <si>
    <t>青椒（尖头）</t>
  </si>
  <si>
    <t>leo001_body</t>
  </si>
  <si>
    <t>雷欧</t>
  </si>
  <si>
    <t>tyxr001_body</t>
  </si>
  <si>
    <t>小人族男</t>
  </si>
  <si>
    <t>tyxr002_body</t>
  </si>
  <si>
    <t>小人族女</t>
  </si>
  <si>
    <t>ganqiao001_body</t>
  </si>
  <si>
    <t>甘乔</t>
  </si>
  <si>
    <t>kyros001_body</t>
  </si>
  <si>
    <t>居鲁士</t>
  </si>
  <si>
    <t>yzmn001_body</t>
  </si>
  <si>
    <t>泳装美女01</t>
  </si>
  <si>
    <t>yzmn002_body</t>
  </si>
  <si>
    <t>泳装美女02</t>
  </si>
  <si>
    <t>kanjuro001_body</t>
  </si>
  <si>
    <t>骤雨堪十郎</t>
  </si>
  <si>
    <t>likewang_body</t>
  </si>
  <si>
    <t>力库王</t>
  </si>
  <si>
    <t>usopp008_body</t>
  </si>
  <si>
    <t>德岛乌索普（倒地）</t>
  </si>
  <si>
    <t>doflamingo003_body</t>
  </si>
  <si>
    <t>剧情多弗拉门戈</t>
  </si>
  <si>
    <t>sabo008_body</t>
  </si>
  <si>
    <t>剧情萨博</t>
  </si>
  <si>
    <t>sugar002_body</t>
  </si>
  <si>
    <t>剧情糖糖</t>
  </si>
  <si>
    <t>bigdoll_body</t>
  </si>
  <si>
    <t>巨大玩具士兵</t>
  </si>
  <si>
    <t>jidian001_body</t>
  </si>
  <si>
    <t>祭典女性</t>
  </si>
  <si>
    <t>jidian002_body</t>
  </si>
  <si>
    <t>catviper001_body</t>
  </si>
  <si>
    <t>架子猫老大（动画）</t>
  </si>
  <si>
    <t>dogduke001_body</t>
  </si>
  <si>
    <t>架子犬岚（动画）</t>
  </si>
  <si>
    <t>kinemon001juqing_body</t>
  </si>
  <si>
    <t>锦卫门（动画）</t>
  </si>
  <si>
    <t>maopizu002_body</t>
  </si>
  <si>
    <t>毛皮族小孩</t>
  </si>
  <si>
    <t>maopizu004_body</t>
  </si>
  <si>
    <t>猴爷爷</t>
  </si>
  <si>
    <t>catviper002_body</t>
  </si>
  <si>
    <t>猫蝮蛇老大断手</t>
  </si>
  <si>
    <t>dogduke002_body</t>
  </si>
  <si>
    <t>犬岚公爵断腿</t>
  </si>
  <si>
    <t>leon001_body</t>
  </si>
  <si>
    <t>狮子里昂</t>
  </si>
  <si>
    <t>catviper002_bengdai</t>
  </si>
  <si>
    <t>绷带猫老大（动画）</t>
  </si>
  <si>
    <t>dogduke002bengdai_body</t>
  </si>
  <si>
    <t>绷带犬岚（动画）</t>
  </si>
  <si>
    <t>maopizu001_mujia</t>
  </si>
  <si>
    <t>毛皮族木架</t>
  </si>
  <si>
    <t>maopizu003_mujia</t>
  </si>
  <si>
    <t>pedro001_body</t>
  </si>
  <si>
    <t>佩德罗</t>
  </si>
  <si>
    <t>raizo001_body</t>
  </si>
  <si>
    <t>雷藏</t>
  </si>
  <si>
    <t>pedro002_body</t>
  </si>
  <si>
    <t>dogduke003_body</t>
  </si>
  <si>
    <t>正常犬岚</t>
  </si>
  <si>
    <t>catviper003_body</t>
  </si>
  <si>
    <t>正常猫蝮蛇</t>
  </si>
  <si>
    <t>maopizu005_body</t>
  </si>
  <si>
    <t>女纯毛族</t>
  </si>
  <si>
    <t>chiffon001_body</t>
  </si>
  <si>
    <t>戚风</t>
  </si>
  <si>
    <t>coconut001_body</t>
  </si>
  <si>
    <t>大王椰树</t>
  </si>
  <si>
    <t>jumin001_body</t>
  </si>
  <si>
    <t>万国居民</t>
  </si>
  <si>
    <t>jumin002_body</t>
  </si>
  <si>
    <t>jumin003_body</t>
  </si>
  <si>
    <t>jumin004_body</t>
  </si>
  <si>
    <t>alading001_body</t>
  </si>
  <si>
    <t>阿拉丁</t>
  </si>
  <si>
    <t>urn001_body</t>
  </si>
  <si>
    <t>庞德</t>
  </si>
  <si>
    <t>jiaotangpaofuta_body</t>
  </si>
  <si>
    <t>焦糖泡芙塔</t>
  </si>
  <si>
    <t>jieerma_001</t>
  </si>
  <si>
    <t>杰尔马66船</t>
  </si>
  <si>
    <t>sanji008_body</t>
  </si>
  <si>
    <t>山智（王子服）怪</t>
  </si>
  <si>
    <t>maoche_01</t>
  </si>
  <si>
    <t>猫车（整体）</t>
  </si>
  <si>
    <t>maoche_02</t>
  </si>
  <si>
    <t>猫车（单体）</t>
  </si>
  <si>
    <t>stussy_body</t>
  </si>
  <si>
    <t>斯图西</t>
  </si>
  <si>
    <t>moergangsi001_body</t>
  </si>
  <si>
    <t>摩尔冈斯</t>
  </si>
  <si>
    <t>cook01_body</t>
  </si>
  <si>
    <t>蛋糕岛厨师</t>
  </si>
  <si>
    <t>cook02_body</t>
  </si>
  <si>
    <t>cook03_body</t>
  </si>
  <si>
    <t>pedro003_body</t>
  </si>
  <si>
    <t>佩德罗剧情用</t>
  </si>
  <si>
    <t>perospero003_body</t>
  </si>
  <si>
    <t>佩罗斯佩罗剧情用</t>
  </si>
  <si>
    <t>charlotte002_body</t>
  </si>
  <si>
    <t>宙斯</t>
  </si>
  <si>
    <t>charlotte001_Purometeusu</t>
  </si>
  <si>
    <t>普罗米修斯</t>
  </si>
  <si>
    <t>charlotte001_nepoleon</t>
  </si>
  <si>
    <t>拿破仑</t>
  </si>
  <si>
    <t>katakuri003_body</t>
  </si>
  <si>
    <t>战损卡塔库栗剧情用</t>
  </si>
  <si>
    <t>story065_cap</t>
  </si>
  <si>
    <t>西装帽子</t>
  </si>
  <si>
    <t>pudding005_body</t>
  </si>
  <si>
    <t>厨师布琳</t>
  </si>
  <si>
    <t>flampe001_body</t>
  </si>
  <si>
    <t>弗朗蓓</t>
  </si>
  <si>
    <t>pudding001_weapon02</t>
  </si>
  <si>
    <t>剧情用胶片</t>
  </si>
  <si>
    <t>pudding001_weapon02@story068_08</t>
  </si>
  <si>
    <t>kurozumi001_body</t>
  </si>
  <si>
    <t>阿玉</t>
  </si>
  <si>
    <t>komachiyo_body</t>
  </si>
  <si>
    <t>狛千代</t>
  </si>
  <si>
    <t>hitetsu001_body</t>
  </si>
  <si>
    <t>天狗山飞彻</t>
  </si>
  <si>
    <t>otsuru_body</t>
  </si>
  <si>
    <t>阿鹤</t>
  </si>
  <si>
    <t>speed001_body</t>
  </si>
  <si>
    <t>斯皮德</t>
  </si>
  <si>
    <t>Shinobu001_body</t>
  </si>
  <si>
    <t>阿忍</t>
  </si>
  <si>
    <t>qiongren01_body</t>
  </si>
  <si>
    <t>捡漏村穷人1-男性</t>
  </si>
  <si>
    <t>qiongren02_body</t>
  </si>
  <si>
    <t>捡漏村穷人2-女性</t>
  </si>
  <si>
    <t>qiongren03_body</t>
  </si>
  <si>
    <t>捡漏村穷人3-小孩</t>
  </si>
  <si>
    <t>qiongren04_body</t>
  </si>
  <si>
    <t>捡漏村穷人4-老人</t>
  </si>
  <si>
    <t>bljumin01_body</t>
  </si>
  <si>
    <t>博罗镇富人1-矮男子</t>
  </si>
  <si>
    <t>bljumin02_body</t>
  </si>
  <si>
    <t>博罗镇富人2-蓝发女子</t>
  </si>
  <si>
    <t>bljumin03_body</t>
  </si>
  <si>
    <t>博罗镇富人3-金发女子</t>
  </si>
  <si>
    <t>bljumin04_body</t>
  </si>
  <si>
    <t>博罗镇富人4-高男子</t>
  </si>
  <si>
    <t>toko001_npc</t>
  </si>
  <si>
    <t>户子</t>
  </si>
  <si>
    <t>Orochi001_body</t>
  </si>
  <si>
    <t>大蛇</t>
  </si>
  <si>
    <t>komurasaki_body</t>
  </si>
  <si>
    <t>花魁小紫</t>
  </si>
  <si>
    <t>堪十郎</t>
  </si>
  <si>
    <t>yasuie_body</t>
  </si>
  <si>
    <t>户野康</t>
  </si>
  <si>
    <t>hiyori_body</t>
  </si>
  <si>
    <t>日和</t>
  </si>
  <si>
    <t>hyogoro001_body</t>
  </si>
  <si>
    <t>豹爷</t>
  </si>
  <si>
    <t>qiufan001_body</t>
  </si>
  <si>
    <t>兔碗囚犯A</t>
  </si>
  <si>
    <t>qiufan002_body</t>
  </si>
  <si>
    <t>兔碗囚犯B</t>
  </si>
  <si>
    <t>dazheng001_body</t>
  </si>
  <si>
    <t>大政</t>
  </si>
  <si>
    <t>kawamatsu_body</t>
  </si>
  <si>
    <t>河松</t>
  </si>
  <si>
    <t>luffy002_body</t>
  </si>
  <si>
    <t>zoro002_body</t>
  </si>
  <si>
    <t>chopper002_body</t>
  </si>
  <si>
    <t>chopper003_body</t>
  </si>
  <si>
    <t>chopper004_body</t>
  </si>
  <si>
    <t>roblucci002_body</t>
  </si>
  <si>
    <t>罗布路奇变身</t>
  </si>
  <si>
    <t>enel002_body</t>
  </si>
  <si>
    <t>艾尼路雷神</t>
  </si>
  <si>
    <t>mr3002_body</t>
  </si>
  <si>
    <t>MR3变身用</t>
  </si>
  <si>
    <t>ship_obj_702</t>
  </si>
  <si>
    <t>黑猫船</t>
  </si>
  <si>
    <t>ajian001_body</t>
  </si>
  <si>
    <t>阿健</t>
  </si>
  <si>
    <t>cooker001_body01</t>
  </si>
  <si>
    <t>厨子A</t>
  </si>
  <si>
    <t>cooker001_body02</t>
  </si>
  <si>
    <t>厨子B</t>
  </si>
  <si>
    <t>cooker001_body03</t>
  </si>
  <si>
    <t>厨子C</t>
  </si>
  <si>
    <t>温斯默克·山治</t>
  </si>
  <si>
    <t>chopper001_zhiyao</t>
  </si>
  <si>
    <t>乔巴制药</t>
  </si>
  <si>
    <t>ship_obj_901d</t>
  </si>
  <si>
    <t>梅利号</t>
  </si>
  <si>
    <t>universal_obj_904</t>
  </si>
  <si>
    <t>公告牌</t>
  </si>
  <si>
    <t>钓鱼商人（罗格镇）</t>
  </si>
  <si>
    <t>宝石商人</t>
  </si>
  <si>
    <t>制药商人（罗格镇）</t>
  </si>
  <si>
    <t>鲸鱼</t>
  </si>
  <si>
    <t>hongtudalu_obj_402a</t>
  </si>
  <si>
    <t>鲸鱼涂鸦</t>
  </si>
  <si>
    <t>enter001_npc</t>
  </si>
  <si>
    <t>活动副本管理员</t>
  </si>
  <si>
    <t>xiaohuayuan_obj_402</t>
  </si>
  <si>
    <t>蜡烛台</t>
  </si>
  <si>
    <t>038_kongbugangqin_101</t>
  </si>
  <si>
    <t>钢琴</t>
  </si>
  <si>
    <t>forest_pla_901</t>
  </si>
  <si>
    <t>圣诞树</t>
  </si>
  <si>
    <t>festival_lihe_201</t>
  </si>
  <si>
    <t>礼盒</t>
  </si>
  <si>
    <t>festival_xueren_201</t>
  </si>
  <si>
    <t>雪人</t>
  </si>
  <si>
    <t>festival_bianpao_201</t>
  </si>
  <si>
    <t>鞭炮</t>
  </si>
  <si>
    <t>festival_denglong_201</t>
  </si>
  <si>
    <t>灯笼</t>
  </si>
  <si>
    <t>festival_fudai_201</t>
  </si>
  <si>
    <t>福袋</t>
  </si>
  <si>
    <t>SeaBattle_huifu_01</t>
  </si>
  <si>
    <t>海战-据点-恢复</t>
  </si>
  <si>
    <t>SeaBattle_jichu_01</t>
  </si>
  <si>
    <t>海战-据点-基础</t>
  </si>
  <si>
    <t>SeaBattle_paotai_01</t>
  </si>
  <si>
    <t>海战-据点-炮台</t>
  </si>
  <si>
    <t>SeaBattle_zengyi_01</t>
  </si>
  <si>
    <t>海战-据点-增益</t>
  </si>
  <si>
    <t>SeaBattle_zhucheng_01</t>
  </si>
  <si>
    <t>海战-据点-主城</t>
  </si>
  <si>
    <t>SeaBattle_miwu_01</t>
  </si>
  <si>
    <t>海战-据点-迷雾</t>
  </si>
  <si>
    <t>SeaBattle_baolei_01</t>
  </si>
  <si>
    <t>海战-据点-堡垒</t>
  </si>
  <si>
    <t>SeaBattle_dengta_01</t>
  </si>
  <si>
    <t>海战-据点-灯塔</t>
  </si>
  <si>
    <t>SeaBattle_zhihui_01</t>
  </si>
  <si>
    <t>海战-据点-指挥</t>
  </si>
  <si>
    <t>SeaBattle_zhongli_01</t>
  </si>
  <si>
    <t>海战-据点-中立</t>
  </si>
  <si>
    <t>SeaBattle_mujia</t>
  </si>
  <si>
    <t>海战-据点-升级过程</t>
  </si>
  <si>
    <t>zoro004_body</t>
  </si>
  <si>
    <t>佐罗换装-黄衣阿修罗变身</t>
  </si>
  <si>
    <t>luffy005_body</t>
  </si>
  <si>
    <t>路飞换装-爆炸头小路飞</t>
  </si>
  <si>
    <t>roblucci004_body</t>
  </si>
  <si>
    <t>路奇变身-穿工服路奇</t>
  </si>
  <si>
    <t>nami010_body</t>
  </si>
  <si>
    <t>娜美幸运卡牌泳装</t>
  </si>
  <si>
    <t>luffy009_body</t>
  </si>
  <si>
    <t>路飞夏威夷服-小路飞</t>
  </si>
  <si>
    <t>400_shineizhuozi_502</t>
  </si>
  <si>
    <t>大航海入口桌子</t>
  </si>
  <si>
    <t>901_yanhuirun_shiwu01</t>
  </si>
  <si>
    <t>宴会桌子</t>
  </si>
  <si>
    <t>roblucci006_body</t>
  </si>
  <si>
    <t>新世界鲁兹-豹形态</t>
  </si>
  <si>
    <t>marco007_body</t>
  </si>
  <si>
    <t>新世界马尔高变身</t>
  </si>
  <si>
    <t>MargoNewCZ_birdjump</t>
  </si>
  <si>
    <t>baochuan_body</t>
  </si>
  <si>
    <t>宝船</t>
  </si>
  <si>
    <t>shoukao_body01</t>
  </si>
  <si>
    <t>手铐1</t>
  </si>
  <si>
    <t>shoukao_obj_501</t>
  </si>
  <si>
    <t>手铐2</t>
  </si>
  <si>
    <t>luffy003_body</t>
  </si>
  <si>
    <t>路飞换装-爆炸头拳击手</t>
  </si>
  <si>
    <t>luffy007_body</t>
  </si>
  <si>
    <t>路飞夏威夷服</t>
  </si>
  <si>
    <t>luffy013_body</t>
  </si>
  <si>
    <t>新世界路飞唐装</t>
  </si>
  <si>
    <t>luffy015_body</t>
  </si>
  <si>
    <t>新世界路飞新时装</t>
  </si>
  <si>
    <t>zoro003_body</t>
  </si>
  <si>
    <t>佐罗换装-黄衣</t>
  </si>
  <si>
    <t>zoro006_body</t>
  </si>
  <si>
    <t>两年后索隆-黑色西服</t>
  </si>
  <si>
    <t>zoro008_body</t>
  </si>
  <si>
    <t>两年后索隆爆衣</t>
  </si>
  <si>
    <t>zoro009_body</t>
  </si>
  <si>
    <t>两年后佐罗-唐装</t>
  </si>
  <si>
    <t>sanji002_body</t>
  </si>
  <si>
    <t>山智-花</t>
  </si>
  <si>
    <t>sanji004_body</t>
  </si>
  <si>
    <t>两年后山智-唐装</t>
  </si>
  <si>
    <t>usopp004_body</t>
  </si>
  <si>
    <t>撒谎布-教练</t>
  </si>
  <si>
    <t>usopp005_body</t>
  </si>
  <si>
    <t>两年后撒谎布-德雷斯罗萨</t>
  </si>
  <si>
    <t>usopp007_body</t>
  </si>
  <si>
    <t>两年后撒谎布-唐装</t>
  </si>
  <si>
    <t>nami002_body</t>
  </si>
  <si>
    <t>娜美婚纱</t>
  </si>
  <si>
    <t>nami004_body</t>
  </si>
  <si>
    <t>奈美泳装</t>
  </si>
  <si>
    <t>nami003_body</t>
  </si>
  <si>
    <t>奈美阿拉巴斯坦</t>
  </si>
  <si>
    <t>nami007_body</t>
  </si>
  <si>
    <t>两年后奈美-唐装</t>
  </si>
  <si>
    <t>buggy004_body</t>
  </si>
  <si>
    <t>巴奇海军时装</t>
  </si>
  <si>
    <t>roblucci003_body</t>
  </si>
  <si>
    <t>罗布路奇船工时装</t>
  </si>
  <si>
    <t>crocodile002_body</t>
  </si>
  <si>
    <t>克罗克达尔换装-墨绿服</t>
  </si>
  <si>
    <t>garp002_body</t>
  </si>
  <si>
    <t>卡普换装-狗头</t>
  </si>
  <si>
    <t>vivi003_body</t>
  </si>
  <si>
    <t>薇薇公主装</t>
  </si>
  <si>
    <t>robin003_body</t>
  </si>
  <si>
    <t>罗宾泳装</t>
  </si>
  <si>
    <t>robin002_body</t>
  </si>
  <si>
    <t>罗宾MissSunday</t>
  </si>
  <si>
    <t>robin005_body</t>
  </si>
  <si>
    <t>新世界罗宾-唐装</t>
  </si>
  <si>
    <t>ace002_body</t>
  </si>
  <si>
    <t>艾斯长袍</t>
  </si>
  <si>
    <t>ace005_body</t>
  </si>
  <si>
    <t>艾斯-万圣节</t>
  </si>
  <si>
    <t>ace006_body</t>
  </si>
  <si>
    <t>艾斯-顶上战争</t>
  </si>
  <si>
    <t>hancock002_body</t>
  </si>
  <si>
    <t>女帝紫色旗袍</t>
  </si>
  <si>
    <t>hancock005_body</t>
  </si>
  <si>
    <t>女帝 - 泳装</t>
  </si>
  <si>
    <t>franky005_body</t>
  </si>
  <si>
    <t>弗兰奇摩托时装</t>
  </si>
  <si>
    <t>hancock004_body</t>
  </si>
  <si>
    <t>女帝新时装</t>
  </si>
  <si>
    <t>nami011_body</t>
  </si>
  <si>
    <t>新世界娜美泳装</t>
  </si>
  <si>
    <t>perona003_body</t>
  </si>
  <si>
    <t>佩罗娜泳装</t>
  </si>
  <si>
    <t>vivi004_body</t>
  </si>
  <si>
    <t>薇薇泳装</t>
  </si>
  <si>
    <t>robin006_body</t>
  </si>
  <si>
    <t>新世界罗宾-泳装</t>
  </si>
  <si>
    <t>brook003_body</t>
  </si>
  <si>
    <t>两年后布鲁克-唐装</t>
  </si>
  <si>
    <t>tashigi003_body</t>
  </si>
  <si>
    <t>新世界塔西米-泳装</t>
  </si>
  <si>
    <t>tashigi004_body</t>
  </si>
  <si>
    <t>新世界塔西米-泳装不穿外套</t>
  </si>
  <si>
    <t>luffy016_body</t>
  </si>
  <si>
    <t>新世界路飞 - 路西</t>
  </si>
  <si>
    <t>luffy017_body</t>
  </si>
  <si>
    <t>新世界路飞 - 皇冠</t>
  </si>
  <si>
    <t>sabo007_body</t>
  </si>
  <si>
    <t>萨波（黑鸦）</t>
  </si>
  <si>
    <t>mood01,mood02,mood03,mood04,mood05,mood06,mood07,ridemood01</t>
  </si>
  <si>
    <t>sabo004_body</t>
  </si>
  <si>
    <t>萨波-万圣节</t>
  </si>
  <si>
    <t>babyfive002_body</t>
  </si>
  <si>
    <t>charlotte005_body</t>
  </si>
  <si>
    <t>大妈睡衣</t>
  </si>
  <si>
    <t>luffy019_body</t>
  </si>
  <si>
    <t>路飞万圣节</t>
  </si>
  <si>
    <t>kaido003_body</t>
  </si>
  <si>
    <t>凯多时装</t>
  </si>
  <si>
    <t>mood01,mood02,mood03,mood04,mood05,mood06,ridemood01</t>
  </si>
  <si>
    <t>trafalgarlaw004_body</t>
  </si>
  <si>
    <t>新世界罗万圣节时装</t>
  </si>
  <si>
    <t>robin007_body</t>
  </si>
  <si>
    <t>新世界罗宾-万圣节</t>
  </si>
  <si>
    <t>sanji005_body</t>
  </si>
  <si>
    <t>新世界山治-万圣节</t>
  </si>
  <si>
    <t>zoro010_body</t>
  </si>
  <si>
    <t>新世界佐罗-万圣节</t>
  </si>
  <si>
    <t>nami012_body</t>
  </si>
  <si>
    <t>新世界娜美-万圣节时装</t>
  </si>
  <si>
    <t>smoothie003_body</t>
  </si>
  <si>
    <t>斯慕吉泳装</t>
  </si>
  <si>
    <t>kuzan004_body</t>
  </si>
  <si>
    <t>新世界库赞时装</t>
  </si>
  <si>
    <t>nami013_body</t>
  </si>
  <si>
    <t>新世界娜美-圣诞节</t>
  </si>
  <si>
    <t>robin008_body</t>
  </si>
  <si>
    <t>新世界罗宾-圣诞节</t>
  </si>
  <si>
    <t>chopper009_body</t>
  </si>
  <si>
    <t>新世界乔巴-圣诞节</t>
  </si>
  <si>
    <t>reijiu001_body</t>
  </si>
  <si>
    <t>蕾玖礼服</t>
  </si>
  <si>
    <t>roblucci007_body</t>
  </si>
  <si>
    <t>路奇和服</t>
  </si>
  <si>
    <t>hancock007_body</t>
  </si>
  <si>
    <t>女帝和服</t>
  </si>
  <si>
    <t>marco006_body</t>
  </si>
  <si>
    <t>新世界马尔高皮肤</t>
  </si>
  <si>
    <t>1&amp;&amp;0&amp;&amp;0&amp;&amp;0&amp;&amp;0</t>
  </si>
  <si>
    <t>3011&amp;&amp;3025&amp;&amp;3026&amp;&amp;3027&amp;&amp;3028</t>
  </si>
  <si>
    <t>root#0,0,0&amp;&amp;Bone024#0,0,0&amp;&amp;Bone025#0,0,0&amp;&amp;Bone029#0,0,0&amp;&amp;Dummy012#0,0,0</t>
  </si>
  <si>
    <t>mihawk003_body</t>
  </si>
  <si>
    <t>新世界米霍克和服</t>
  </si>
  <si>
    <t>cavendish005_body</t>
  </si>
  <si>
    <t>凯文迪修时装</t>
  </si>
  <si>
    <t>sugar004_body</t>
  </si>
  <si>
    <t>砂糖时装</t>
  </si>
  <si>
    <t>kozuki002_body</t>
  </si>
  <si>
    <t>光月御田时装</t>
  </si>
  <si>
    <t>1&amp;&amp;1&amp;&amp;1&amp;&amp;1&amp;&amp;1&amp;&amp;1&amp;&amp;1&amp;&amp;1&amp;&amp;1&amp;&amp;1&amp;&amp;1&amp;&amp;1&amp;&amp;1&amp;&amp;1&amp;&amp;1</t>
  </si>
  <si>
    <t>3151&amp;&amp;3180&amp;&amp;3181&amp;&amp;3182&amp;&amp;3183&amp;&amp;3184&amp;&amp;3185&amp;&amp;3186&amp;&amp;3187&amp;&amp;3188&amp;&amp;3189&amp;&amp;3190&amp;&amp;3191&amp;&amp;3192&amp;&amp;3163</t>
  </si>
  <si>
    <t>root#0,0,0&amp;&amp;Bip001 Head#0,0,0&amp;&amp;Bip001 L Calf#0,0,0&amp;&amp;Bip001 L ForeTwist#0,0,0&amp;&amp;Bip001 L Thigh#0,0,0&amp;&amp;Bip001 L UpperArm#0,0,0&amp;&amp;Bip001 RCalfTwist#0,0,0&amp;&amp;Bip001 R Forearm#0,0,0&amp;&amp;Bip001 R Thigh#0,0,0&amp;&amp;Bip001 R UpperArm#0,0,0&amp;&amp;Bip001 Spine#0,0,0&amp;&amp;Bip001 Spine#0,0,0&amp;&amp;Bone009#0,0,0&amp;&amp;Bone010#0,0,0&amp;&amp;Bone005#0,0,0</t>
  </si>
  <si>
    <t>jialuote003_body</t>
  </si>
  <si>
    <t>加洛特和服</t>
  </si>
  <si>
    <t>kikunojo002_body</t>
  </si>
  <si>
    <t>阿菊大铠</t>
  </si>
  <si>
    <r>
      <rPr>
        <sz val="11"/>
        <color theme="1"/>
        <rFont val="Calibri"/>
        <charset val="134"/>
        <scheme val="minor"/>
      </rPr>
      <t>babyfive00</t>
    </r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_body</t>
    </r>
  </si>
  <si>
    <t>baby5泳装</t>
  </si>
  <si>
    <t>edward004_body</t>
  </si>
  <si>
    <t>perona004_body</t>
  </si>
  <si>
    <t>pudding003_body</t>
  </si>
  <si>
    <t>布玲婚纱</t>
  </si>
  <si>
    <t>pudding002_body</t>
  </si>
  <si>
    <t>布琳原皮（带坐骑）</t>
  </si>
  <si>
    <t>pudding004_body</t>
  </si>
  <si>
    <t>布琳婚纱（带坐骑）</t>
  </si>
  <si>
    <t>hawkins003_body</t>
  </si>
  <si>
    <t>霍金斯（带坐骑）</t>
  </si>
  <si>
    <t>drake006_body</t>
  </si>
  <si>
    <t>德雷克（坐骑）</t>
  </si>
  <si>
    <t>roblucci008_body</t>
  </si>
  <si>
    <t>路奇变身时装</t>
  </si>
  <si>
    <t>kaido009_body</t>
  </si>
  <si>
    <t>龙人凯多变身时装（人形）</t>
  </si>
  <si>
    <t>山智王子服时装</t>
  </si>
  <si>
    <t>jack005_body</t>
  </si>
  <si>
    <t>杰克变身时装</t>
  </si>
  <si>
    <t>queen003_body</t>
  </si>
  <si>
    <t>奎因变身时装</t>
  </si>
  <si>
    <t>luffy022_body</t>
  </si>
  <si>
    <t>路飞RED剧场版时装</t>
  </si>
  <si>
    <t>yamato002_body</t>
  </si>
  <si>
    <t>大和面具时装</t>
  </si>
  <si>
    <t>uta003_body</t>
  </si>
  <si>
    <t>UTA盔甲时装变身前</t>
  </si>
  <si>
    <t>ulti003_body</t>
  </si>
  <si>
    <t>润媞时装</t>
  </si>
  <si>
    <t>king003_body</t>
  </si>
  <si>
    <t>烬变身时装</t>
  </si>
  <si>
    <t>king005_body</t>
  </si>
  <si>
    <t>烬（无面具）时装</t>
  </si>
  <si>
    <t>pageone003_body</t>
  </si>
  <si>
    <t>佩吉旺时装</t>
  </si>
  <si>
    <t>kidpirates004_body</t>
  </si>
  <si>
    <t>新世界基德时装（获赋者）</t>
  </si>
  <si>
    <t>trafalgarlaw007_body</t>
  </si>
  <si>
    <t>和之国罗讨伐时装</t>
  </si>
  <si>
    <t>charlotte010_body</t>
  </si>
  <si>
    <t>花魁阿玲UR大妈骑乘时装</t>
  </si>
  <si>
    <t>luffy020_body</t>
  </si>
  <si>
    <t>和之国路飞和服时装</t>
  </si>
  <si>
    <t>luffy024_body</t>
  </si>
  <si>
    <t>和之国路飞时装（获赋者）</t>
  </si>
  <si>
    <t>robin009_body</t>
  </si>
  <si>
    <t>和之国罗宾艺妓时装</t>
  </si>
  <si>
    <t>sanji006_body</t>
  </si>
  <si>
    <t>和之国山智山五郎时装</t>
  </si>
  <si>
    <t>zoro016_body</t>
  </si>
  <si>
    <t>和之国佐罗时装佐罗十郎</t>
  </si>
  <si>
    <t>chopper010_body</t>
  </si>
  <si>
    <t>和之国乔巴时装乔巴卫门</t>
  </si>
  <si>
    <t>usopp009_body</t>
  </si>
  <si>
    <t>和之国撒谎布时装撒谎八</t>
  </si>
  <si>
    <t>nami014_body</t>
  </si>
  <si>
    <t>和之国奈美时装阿奈美（娜美）</t>
  </si>
  <si>
    <t>franky007_body</t>
  </si>
  <si>
    <t>和之国弗兰奇时装</t>
  </si>
  <si>
    <t>brook004_body</t>
  </si>
  <si>
    <t>和之国布鲁克时装</t>
  </si>
  <si>
    <t>luffy027_body</t>
  </si>
  <si>
    <t>SR路飞剧场版时装西装</t>
  </si>
  <si>
    <t>roger003_body</t>
  </si>
  <si>
    <t>罗杰时装01</t>
  </si>
  <si>
    <t>roger004_body</t>
  </si>
  <si>
    <t>罗杰时装02</t>
  </si>
  <si>
    <t>aramaki004_body</t>
  </si>
  <si>
    <t>绿牛时装</t>
  </si>
  <si>
    <t>yamato005_body</t>
  </si>
  <si>
    <t>大口真神大和变身</t>
  </si>
  <si>
    <t>kidpirates007_body</t>
  </si>
  <si>
    <t>基德&amp;罗变身时装</t>
  </si>
  <si>
    <t>bonney003_body</t>
  </si>
  <si>
    <t>邦妮（常服）</t>
  </si>
  <si>
    <t>bonney006_body</t>
  </si>
  <si>
    <t>邦妮（未来服·小孩子）</t>
  </si>
  <si>
    <t>bonney007_body</t>
  </si>
  <si>
    <t>邦妮（常服·小孩子）</t>
  </si>
  <si>
    <t>egle003_body</t>
  </si>
  <si>
    <t>S-老鹰（飞行）</t>
  </si>
  <si>
    <t>snake003_body</t>
  </si>
  <si>
    <t>S-蛇女（时装本体）</t>
  </si>
  <si>
    <t>kozuki003_body</t>
  </si>
  <si>
    <t>kaku002_body</t>
  </si>
  <si>
    <t>未来岛卡古时装</t>
  </si>
  <si>
    <t>kaku004_body</t>
  </si>
  <si>
    <t>未来岛卡古（长颈鹿本体）</t>
  </si>
  <si>
    <t>luffy031_body</t>
  </si>
  <si>
    <t>5档路飞上衣时装</t>
  </si>
  <si>
    <t>luffy034_body</t>
  </si>
  <si>
    <t>5档路飞眼镜时装</t>
  </si>
  <si>
    <t>luffy037_body</t>
  </si>
  <si>
    <t>5档路飞原皮奔跑时装变身前</t>
  </si>
  <si>
    <t>luffy038_body</t>
  </si>
  <si>
    <t>5档路飞上衣奔跑时装变身前</t>
  </si>
  <si>
    <t>luffy039_body</t>
  </si>
  <si>
    <t>5档路飞眼镜奔跑时装变身前</t>
  </si>
  <si>
    <t>jack008_body</t>
  </si>
  <si>
    <t>queen005_body</t>
  </si>
  <si>
    <t>king006_body</t>
  </si>
  <si>
    <t>kaido011_body</t>
  </si>
  <si>
    <t>凯多飞行时装变身前</t>
  </si>
  <si>
    <t>roblucci010_body</t>
  </si>
  <si>
    <t>未来岛鲁兹面具时装</t>
  </si>
  <si>
    <t>roblucci011_body</t>
  </si>
  <si>
    <t>未来岛鲁兹大衣时装</t>
  </si>
  <si>
    <t>roblucci016_body</t>
  </si>
  <si>
    <t>未来岛鲁兹豹子变身前</t>
  </si>
  <si>
    <t>未来岛鲁兹豹子冲刺变身前</t>
  </si>
  <si>
    <t>stussy002_body</t>
  </si>
  <si>
    <t>未来岛斯图西面具时装</t>
  </si>
  <si>
    <t>stussy004_body</t>
  </si>
  <si>
    <t>未来岛斯图西蝙蝠变身前（城镇）</t>
  </si>
  <si>
    <t>enel004_body</t>
  </si>
  <si>
    <t>艾尼路-雷电移动皮肤</t>
  </si>
  <si>
    <t>enel005_body</t>
  </si>
  <si>
    <t>艾尼路-云球（变身前）</t>
  </si>
  <si>
    <t>bear003_body</t>
  </si>
  <si>
    <t>S-小熊空中飞行变身前（城镇）</t>
  </si>
  <si>
    <t>blackbeard007_body</t>
  </si>
  <si>
    <t>未来岛黑胡子（墨镜）</t>
  </si>
  <si>
    <t>blackbeard006_body</t>
  </si>
  <si>
    <t>黑胡子（大衣）</t>
  </si>
  <si>
    <t>1777&amp;&amp;1778&amp;&amp;1779</t>
  </si>
  <si>
    <t>ecki002_body</t>
  </si>
  <si>
    <t>卡库变身</t>
  </si>
  <si>
    <r>
      <rPr>
        <sz val="11"/>
        <color theme="1"/>
        <rFont val="等线"/>
        <charset val="134"/>
      </rPr>
      <t>moria00</t>
    </r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_body</t>
    </r>
  </si>
  <si>
    <t>莫利亚-影法师</t>
  </si>
  <si>
    <t>jyabura001_body</t>
  </si>
  <si>
    <t>杰布拉人形态</t>
  </si>
  <si>
    <t>kidpirates_qiu_body</t>
  </si>
  <si>
    <t>基德盾牌</t>
  </si>
  <si>
    <r>
      <rPr>
        <sz val="11"/>
        <color theme="1"/>
        <rFont val="等线"/>
        <charset val="134"/>
      </rPr>
      <t>sengoku00</t>
    </r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_body</t>
    </r>
  </si>
  <si>
    <t>sheep001_body</t>
  </si>
  <si>
    <t>战国山羊</t>
  </si>
  <si>
    <t>mood01</t>
  </si>
  <si>
    <t>magellan002_body</t>
  </si>
  <si>
    <t>麦哲伦-巨兵</t>
  </si>
  <si>
    <t>magellan003_body</t>
  </si>
  <si>
    <t>麦哲伦-毒龙</t>
  </si>
  <si>
    <t>lvankov002_body</t>
  </si>
  <si>
    <t>伊娃女</t>
  </si>
  <si>
    <t>magellan003_boby_l</t>
  </si>
  <si>
    <t>麦哲伦跟随小龙</t>
  </si>
  <si>
    <r>
      <rPr>
        <sz val="11"/>
        <color theme="1"/>
        <rFont val="等线"/>
        <charset val="134"/>
      </rPr>
      <t>1&amp;&amp;</t>
    </r>
    <r>
      <rPr>
        <sz val="11"/>
        <color theme="1"/>
        <rFont val="等线"/>
        <charset val="134"/>
      </rPr>
      <t>1</t>
    </r>
  </si>
  <si>
    <t>1439&amp;&amp;1440</t>
  </si>
  <si>
    <t>root#0,0,0&amp;&amp;Bone001#0,0,0</t>
  </si>
  <si>
    <t>lvankov003_body</t>
  </si>
  <si>
    <t>人妖王追光灯</t>
  </si>
  <si>
    <t>marco002_body</t>
  </si>
  <si>
    <t>马尔高鸟人形态</t>
  </si>
  <si>
    <t>marco003_body</t>
  </si>
  <si>
    <t>马尔高凤凰形态</t>
  </si>
  <si>
    <t>rayleigh002_body</t>
  </si>
  <si>
    <t>带桌子的雷利</t>
  </si>
  <si>
    <t>zoro007_body</t>
  </si>
  <si>
    <t>两年后索隆爆衣（镜头技专用）</t>
  </si>
  <si>
    <t>zoro001_xuni_body</t>
  </si>
  <si>
    <t>佐罗虚拟挂点（风墙用）</t>
  </si>
  <si>
    <t>nami006_xuni01_body</t>
  </si>
  <si>
    <t>奈美跟随云1</t>
  </si>
  <si>
    <t>nami006_xuni02_body</t>
  </si>
  <si>
    <t>奈美跟随云2</t>
  </si>
  <si>
    <t>nami006_xuni03_body</t>
  </si>
  <si>
    <t>奈美跟随云3</t>
  </si>
  <si>
    <t>doflamingo001_arms02</t>
  </si>
  <si>
    <t>明哥线柱子1</t>
  </si>
  <si>
    <t>doflamingo002_body</t>
  </si>
  <si>
    <t>明哥跟随物</t>
  </si>
  <si>
    <t>luffy012_body</t>
  </si>
  <si>
    <t>四档路飞</t>
  </si>
  <si>
    <t>LuffynewCZ_4_jump</t>
  </si>
  <si>
    <t>kinemon002_body</t>
  </si>
  <si>
    <t>锦卫门明哥装束</t>
  </si>
  <si>
    <t>luffy014_body</t>
  </si>
  <si>
    <t>四档路飞-唐装</t>
  </si>
  <si>
    <t>franky004_body</t>
  </si>
  <si>
    <t>弗兰奇摩托</t>
  </si>
  <si>
    <t>franky003_body</t>
  </si>
  <si>
    <t>弗兰奇将军形态</t>
  </si>
  <si>
    <t>katakuri002_body</t>
  </si>
  <si>
    <t>卡塔库栗两个圈儿</t>
  </si>
  <si>
    <t>sabo003_body</t>
  </si>
  <si>
    <t>萨博坐骑-乌鸦</t>
  </si>
  <si>
    <t>brook002_xuni01_body</t>
  </si>
  <si>
    <t>布鲁克8星虚拟点</t>
  </si>
  <si>
    <t>charlotte004_body</t>
  </si>
  <si>
    <t>大妈变身</t>
  </si>
  <si>
    <t>fire_hair</t>
  </si>
  <si>
    <t>BMCZ_jumpforward2</t>
  </si>
  <si>
    <t>BMCZ_jumpback2</t>
  </si>
  <si>
    <t>cracker002_body</t>
  </si>
  <si>
    <t>克力架饼干人战斗模型</t>
  </si>
  <si>
    <t>smoothie002_body</t>
  </si>
  <si>
    <t>斯慕吉奥义专用模型</t>
  </si>
  <si>
    <t>sabo001_body</t>
  </si>
  <si>
    <t>小萨博（8星跟随）</t>
  </si>
  <si>
    <t>charlotte006_body</t>
  </si>
  <si>
    <t>大妈睡衣变身</t>
  </si>
  <si>
    <t>大妈跟随-宙斯</t>
  </si>
  <si>
    <t>zeus_w#0,0,0</t>
  </si>
  <si>
    <t>charlotte003_body</t>
  </si>
  <si>
    <t>大妈跟随-普罗米修斯</t>
  </si>
  <si>
    <t>Point001#0,0,0</t>
  </si>
  <si>
    <t>cavendish002_body</t>
  </si>
  <si>
    <t>凯文迪修变身后</t>
  </si>
  <si>
    <t>kaido002_body</t>
  </si>
  <si>
    <t>凯多变身（含坐骑动作）</t>
  </si>
  <si>
    <t>ridemood01</t>
  </si>
  <si>
    <t>smoothie004_body</t>
  </si>
  <si>
    <t>斯慕吉泳装奥义模型</t>
  </si>
  <si>
    <t>kuzan002_penguin</t>
  </si>
  <si>
    <t>两年后青雉的企鹅（八星）</t>
  </si>
  <si>
    <t>sakazuki002_dog</t>
  </si>
  <si>
    <t>两年后赤犬单个狗头</t>
  </si>
  <si>
    <t>mood06</t>
  </si>
  <si>
    <t>sakazuki002_threedog</t>
  </si>
  <si>
    <t>两年后赤犬3头狗</t>
  </si>
  <si>
    <t>salomi_body</t>
  </si>
  <si>
    <t>Impel女帝的蛇</t>
  </si>
  <si>
    <t>cavendish004_body</t>
  </si>
  <si>
    <t>凯文迪修变身</t>
  </si>
  <si>
    <t>cavendish001_horse_body</t>
  </si>
  <si>
    <t>凯文迪修的马</t>
  </si>
  <si>
    <t>sugar003_threedoll01</t>
  </si>
  <si>
    <t>跟随物小熊1号</t>
  </si>
  <si>
    <t>sugar003_threedoll02</t>
  </si>
  <si>
    <t>跟随物小熊2号</t>
  </si>
  <si>
    <t>jialuote002_body</t>
  </si>
  <si>
    <t>加洛特变身</t>
  </si>
  <si>
    <t>jialuote_xuni01_body</t>
  </si>
  <si>
    <t>加洛特虚拟电球</t>
  </si>
  <si>
    <t>佩罗娜虚拟幽灵</t>
  </si>
  <si>
    <t>dogduke005_body</t>
  </si>
  <si>
    <t>犬岚变身</t>
  </si>
  <si>
    <t>Inuarai_jump1</t>
  </si>
  <si>
    <t>catviper005_body</t>
  </si>
  <si>
    <t>猫蝮蛇变身</t>
  </si>
  <si>
    <t>pudding001_weapon</t>
  </si>
  <si>
    <t>布玲飞毯（坐骑）</t>
  </si>
  <si>
    <t>hawkins002_horse_body</t>
  </si>
  <si>
    <t>霍金斯麋鹿</t>
  </si>
  <si>
    <t>hawkins002_weapon02</t>
  </si>
  <si>
    <t>霍金斯厄运降临召唤稻草人</t>
  </si>
  <si>
    <t>kaido004_body</t>
  </si>
  <si>
    <t>凯多龙（测试用）</t>
  </si>
  <si>
    <t>drake004_body</t>
  </si>
  <si>
    <t>德雷克（龙人）</t>
  </si>
  <si>
    <t>drake005_body</t>
  </si>
  <si>
    <t>德雷克（变龙技能中）</t>
  </si>
  <si>
    <t>drake007_body</t>
  </si>
  <si>
    <t>德雷克（时装缩放后的变龙）</t>
  </si>
  <si>
    <t>鲁兹时装变身豹形态</t>
  </si>
  <si>
    <t>kaido006_body</t>
  </si>
  <si>
    <t>凯多龙人形态</t>
  </si>
  <si>
    <t>ridemood01,ridemood06</t>
  </si>
  <si>
    <t>sengoku004_body</t>
  </si>
  <si>
    <t>大将战国变身</t>
  </si>
  <si>
    <t>Hero_DaZhanGuo_Move02</t>
  </si>
  <si>
    <t>Hero_DaZhanGuo_Back02</t>
  </si>
  <si>
    <t>kaido010_body</t>
  </si>
  <si>
    <t>龙人凯多变身时装（龙人形态）</t>
  </si>
  <si>
    <t>jack004_body</t>
  </si>
  <si>
    <t>杰克卡牌象形态</t>
  </si>
  <si>
    <t>queen002_body</t>
  </si>
  <si>
    <t>奎因腕龙形态</t>
  </si>
  <si>
    <t>uta002_body</t>
  </si>
  <si>
    <t>乌塔盔甲形态（战斗内）</t>
  </si>
  <si>
    <t>乌塔时装变身盔甲</t>
  </si>
  <si>
    <t>ulti002_body</t>
  </si>
  <si>
    <t>润媞肿头龙（战中）</t>
  </si>
  <si>
    <t>润媞肿头龙（时装）</t>
  </si>
  <si>
    <t>king002_body</t>
  </si>
  <si>
    <t>烬无齿翼龙（战斗/时装）</t>
  </si>
  <si>
    <t>pageone002_body</t>
  </si>
  <si>
    <t>佩吉旺龙形态（战斗)</t>
  </si>
  <si>
    <t>kidpirates003_hand01</t>
  </si>
  <si>
    <t>新世界基德魔人形态（战斗）</t>
  </si>
  <si>
    <t>charlotte009_body</t>
  </si>
  <si>
    <t>花魁阿玲UR大妈变身（战斗）</t>
  </si>
  <si>
    <t>charlotte008_sun</t>
  </si>
  <si>
    <t>花魁阿玲UR大妈跟随-宙斯</t>
  </si>
  <si>
    <t>charlotte008_hera</t>
  </si>
  <si>
    <t>花魁阿玲UR大妈跟随-赫拉</t>
  </si>
  <si>
    <t>charlotte011_body</t>
  </si>
  <si>
    <t>花魁阿玲UR大妈骑乘赫拉</t>
  </si>
  <si>
    <t>luffy026_body</t>
  </si>
  <si>
    <t>和之国路飞蛇人</t>
  </si>
  <si>
    <t>zoro015_body</t>
  </si>
  <si>
    <t>和之国佐罗战斗二状态</t>
  </si>
  <si>
    <t>zoro017_body</t>
  </si>
  <si>
    <t>和之国佐罗时装佐罗十郎战斗二状态</t>
  </si>
  <si>
    <t>chopper012_body</t>
  </si>
  <si>
    <t>和之国乔巴变身</t>
  </si>
  <si>
    <t>chopper013_body</t>
  </si>
  <si>
    <t>和之国乔巴柔力</t>
  </si>
  <si>
    <t>franky008_body</t>
  </si>
  <si>
    <t>和之国弗兰奇变身</t>
  </si>
  <si>
    <t>maria003_body</t>
  </si>
  <si>
    <t>黑色玛利亚战斗</t>
  </si>
  <si>
    <t>king004_body</t>
  </si>
  <si>
    <t>烬人兽形态（战中）</t>
  </si>
  <si>
    <t>aramaki002_body</t>
  </si>
  <si>
    <t>绿牛大树（战中）</t>
  </si>
  <si>
    <t>aramaki003_body</t>
  </si>
  <si>
    <t>绿牛飞行（时装）</t>
  </si>
  <si>
    <t>yamato004_body</t>
  </si>
  <si>
    <t>大口真神大和兽形态（战中）</t>
  </si>
  <si>
    <t>大口真神大和兽形态（时装）</t>
  </si>
  <si>
    <t>jack006_body</t>
  </si>
  <si>
    <t>杰克卡牌象形态（红）</t>
  </si>
  <si>
    <t>trafalgarlaw009_body</t>
  </si>
  <si>
    <t>基德&amp;罗（战中罗形态）</t>
  </si>
  <si>
    <t>kidpirates006_body</t>
  </si>
  <si>
    <t>基德&amp;罗战中磁气魔人</t>
  </si>
  <si>
    <t>基德&amp;罗（罗时装）</t>
  </si>
  <si>
    <t>ridemood01,ridemood02,ridemood03,ridemood04,ridemood05,ridemood06</t>
  </si>
  <si>
    <t>queen004_body</t>
  </si>
  <si>
    <t>昆因人兽形态（战中）</t>
  </si>
  <si>
    <t>bonney005_body</t>
  </si>
  <si>
    <t>邦妮大体型（战中）</t>
  </si>
  <si>
    <t>bonney002_body</t>
  </si>
  <si>
    <t>邦妮（未来服·小孩子时装）</t>
  </si>
  <si>
    <t>bonney004_body</t>
  </si>
  <si>
    <t>邦妮（常服·小孩子时装）</t>
  </si>
  <si>
    <t>egle002_body</t>
  </si>
  <si>
    <t>snake002_body</t>
  </si>
  <si>
    <t>S-蛇女（飞行城镇）</t>
  </si>
  <si>
    <t>luffy_Steam_Ot</t>
  </si>
  <si>
    <t>S-蛇女（飞行战斗）</t>
  </si>
  <si>
    <t>kaku003_body</t>
  </si>
  <si>
    <t>新世界卡古长颈鹿（战斗）</t>
  </si>
  <si>
    <t>新世界卡古长颈鹿（城镇）</t>
  </si>
  <si>
    <t>luffy029_body</t>
  </si>
  <si>
    <t>5档路飞（原皮雷电模式）</t>
  </si>
  <si>
    <t>luffy030_body</t>
  </si>
  <si>
    <t>5档路飞（原皮大拳头）</t>
  </si>
  <si>
    <t>luffy032_body</t>
  </si>
  <si>
    <t>5档路飞（上衣雷电模式）</t>
  </si>
  <si>
    <t>luffy033_body</t>
  </si>
  <si>
    <t>5档路飞（上衣大拳头）</t>
  </si>
  <si>
    <t>luffy035_body</t>
  </si>
  <si>
    <t>5档路飞（眼镜雷电模式）</t>
  </si>
  <si>
    <t>luffy036_body</t>
  </si>
  <si>
    <t>5档路飞（眼镜大拳头）</t>
  </si>
  <si>
    <t>luffy040_body</t>
  </si>
  <si>
    <t>5档路飞（原皮跑步轮子变身后）</t>
  </si>
  <si>
    <t>luffy041_body</t>
  </si>
  <si>
    <t>5档路飞（上衣跑步轮子变身后）</t>
  </si>
  <si>
    <t>luffy042_body</t>
  </si>
  <si>
    <t>5档路飞（眼镜跑步轮子变身后）</t>
  </si>
  <si>
    <t>jack007_body</t>
  </si>
  <si>
    <t>杰克（人兽型）</t>
  </si>
  <si>
    <t>昆因（人兽型）</t>
  </si>
  <si>
    <t>烬（人兽型）</t>
  </si>
  <si>
    <t>kaido012_body</t>
  </si>
  <si>
    <t>凯多飞行时装变身后</t>
  </si>
  <si>
    <t>roblucci012_body</t>
  </si>
  <si>
    <t>未来岛鲁兹豹子（战斗）</t>
  </si>
  <si>
    <t>未来岛鲁兹豹子（城镇）</t>
  </si>
  <si>
    <t>roblucci013_body</t>
  </si>
  <si>
    <t>未来岛鲁兹原皮空中形态</t>
  </si>
  <si>
    <t>roblucci014_body</t>
  </si>
  <si>
    <t>未来岛鲁兹面具空中形态</t>
  </si>
  <si>
    <t>roblucci015_body</t>
  </si>
  <si>
    <t>未来岛鲁兹大衣空中形态</t>
  </si>
  <si>
    <t>roblucci017_body</t>
  </si>
  <si>
    <t>未来岛鲁兹豹子冲刺（城镇）</t>
  </si>
  <si>
    <t>stussy003_body</t>
  </si>
  <si>
    <t>未来岛斯图西蝙蝠变身后（战斗）</t>
  </si>
  <si>
    <t>未来岛斯图西蝙蝠变身后（城镇）</t>
  </si>
  <si>
    <t>enel001_ball</t>
  </si>
  <si>
    <t>云球</t>
  </si>
  <si>
    <t>enel003_body</t>
  </si>
  <si>
    <t>艾尼路-云球（变身后）</t>
  </si>
  <si>
    <t>bear002_body</t>
  </si>
  <si>
    <t>S-小熊空中飞行变身后</t>
  </si>
  <si>
    <t>SeaBattle_fukexichuan_obj_901</t>
  </si>
  <si>
    <t>海战-船只-福克西船</t>
  </si>
  <si>
    <t>SeaBattle_haijunjunjian_obj_501</t>
  </si>
  <si>
    <t>海战-船只-海军战舰</t>
  </si>
  <si>
    <t>SeaBattle_haishangcanting_obj_702</t>
  </si>
  <si>
    <t>海战-船只-小木船</t>
  </si>
  <si>
    <t>SeaBattle_heihuzichuan_obj_201</t>
  </si>
  <si>
    <t>海战-船只-黑胡子船</t>
  </si>
  <si>
    <t>SeaBattle_jiushechuan_obj_901</t>
  </si>
  <si>
    <t>海战-船只-九蛇船</t>
  </si>
  <si>
    <t>SeaBattle_kuaisutianehao_obj_901</t>
  </si>
  <si>
    <t>海战-船只-快速天鹅号</t>
  </si>
  <si>
    <t>SeaBattle_leidefusihao_obj_901</t>
  </si>
  <si>
    <t>海战-船只-雷德弗斯号</t>
  </si>
  <si>
    <t>SeaBattle_sangnihao_obj_701</t>
  </si>
  <si>
    <t>海战-船只-桑尼号</t>
  </si>
  <si>
    <t>SeaBattle_ship_obj_701</t>
  </si>
  <si>
    <t>海战-船只-黑猫号</t>
  </si>
  <si>
    <t>SeaBattle_ship_obj_903</t>
  </si>
  <si>
    <t>海战-船只-梅丽号</t>
  </si>
  <si>
    <t>SesBattle_shuizhidu_obj_701b</t>
  </si>
  <si>
    <t>SeaBattle_haishangcanting_obj_703</t>
  </si>
  <si>
    <t>海战-船只-海军军舰</t>
  </si>
  <si>
    <t>SeaBattle_fukexichuan_obj_901_d</t>
  </si>
  <si>
    <t>海战-船只-福克西船(破损)</t>
  </si>
  <si>
    <t>SeaBattle_haijunjunjian_obj_501_d</t>
  </si>
  <si>
    <t>海战-船只-海军战舰(破损)</t>
  </si>
  <si>
    <t>SeaBattle_haishangcanting_obj_702_d</t>
  </si>
  <si>
    <t>海战-船只-小木船(破损)</t>
  </si>
  <si>
    <t>SeaBattle_haishangcanting_obj_703_d</t>
  </si>
  <si>
    <t>海战-船只-黑胡子船(破损)</t>
  </si>
  <si>
    <t>SeaBattle_heihuzichuan_obj_201_d</t>
  </si>
  <si>
    <t>海战-船只-九蛇船(破损)</t>
  </si>
  <si>
    <t>SeaBattle_jiushechuan_obj_901_d</t>
  </si>
  <si>
    <t>海战-船只-快速天鹅号(破损)</t>
  </si>
  <si>
    <t>SeaBattle_kuaisutianehao_obj_901_d</t>
  </si>
  <si>
    <t>海战-船只-雷德弗斯号(破损)</t>
  </si>
  <si>
    <t>SeaBattle_leidefusihao_obj_901_d</t>
  </si>
  <si>
    <t>海战-船只-桑尼号(破损)</t>
  </si>
  <si>
    <t>SeaBattle_sangnihao_obj_701_d</t>
  </si>
  <si>
    <t>海战-船只-黑猫号(破损)</t>
  </si>
  <si>
    <t>SeaBattle_ship_obj_701_d</t>
  </si>
  <si>
    <t>海战-船只-梅丽号(破损)</t>
  </si>
  <si>
    <t>SeaBattle_ship_obj_903_d</t>
  </si>
  <si>
    <t>SesBattle_shuizhidu_obj_701b_d</t>
  </si>
  <si>
    <t>海战-船只-海军军舰(破损)</t>
  </si>
  <si>
    <t>SeaBattle_baladi_obj_101</t>
  </si>
  <si>
    <t>巴拉蒂</t>
  </si>
  <si>
    <t>SeaBattle_gemingjunchuanzhi_obj_101</t>
  </si>
  <si>
    <t>革命军船</t>
  </si>
  <si>
    <t>SeaBattle_kapujunhang_obj_101</t>
  </si>
  <si>
    <t>卡普的军舰</t>
  </si>
  <si>
    <t>SeaBattle_taiyanghaidaochuan_obj_101</t>
  </si>
  <si>
    <t>太阳海盗船</t>
  </si>
  <si>
    <t>SeaBattle_luodexinzangchuan_obj_101</t>
  </si>
  <si>
    <t>潜水艇</t>
  </si>
  <si>
    <t>SeaBattle_youlingchuan_obj_201</t>
  </si>
  <si>
    <t>幽灵船</t>
  </si>
  <si>
    <t>SeaBattle_aisizhanchuan_obj_601</t>
  </si>
  <si>
    <t>黑桃海盗船</t>
  </si>
  <si>
    <t>SeaBattle_helanrenhao_obj_501</t>
  </si>
  <si>
    <t>飞翔的荷兰人号</t>
  </si>
  <si>
    <t>SeaBattle_mobidi_obj_601</t>
  </si>
  <si>
    <t>SeaBattle_duofolamengezhanchuan_obj_601</t>
  </si>
  <si>
    <t>多佛的船</t>
  </si>
  <si>
    <t>SeaBattle_bonihao_obj_501</t>
  </si>
  <si>
    <t>珠宝玛格丽塔号（波妮）</t>
  </si>
  <si>
    <t>SeaBattle_huojinsi_obj_501</t>
  </si>
  <si>
    <t>恶意狼号（霍金斯）</t>
  </si>
  <si>
    <t>SeaBattle_weiduoliya_obj_501</t>
  </si>
  <si>
    <t>维多利亚朋克号（基德）</t>
  </si>
  <si>
    <t>SeaBattle_staytune_obj_501</t>
  </si>
  <si>
    <t>Stay Tune号（阿普）</t>
  </si>
  <si>
    <t>SeaBattle_banchengwan_obj_501</t>
  </si>
  <si>
    <t>般城丸号（乌尔基）</t>
  </si>
  <si>
    <t>SeaBattle_huoyantanke_obj_501</t>
  </si>
  <si>
    <t>火焰坦克号（贝基）</t>
  </si>
  <si>
    <t>SeaBattle_fangzhouzhenyan_obj_101</t>
  </si>
  <si>
    <t>方舟箴言</t>
  </si>
  <si>
    <t>SeaBattle_shenggehao_obj_101a</t>
  </si>
  <si>
    <t>大妈船</t>
  </si>
  <si>
    <t>SeaBattle_lufeiqianbeihao_obj_101a</t>
  </si>
  <si>
    <t>路飞前辈号</t>
  </si>
  <si>
    <t>SeaBattle_yingyanhao_obj_101</t>
  </si>
  <si>
    <t>棺船</t>
  </si>
  <si>
    <t>SeaBattle_baladi_obj_101_d</t>
  </si>
  <si>
    <t>海战-船只-巴拉蒂(破损)</t>
  </si>
  <si>
    <t>SeaBattle_gemingjunchuanzhi_obj_101_d</t>
  </si>
  <si>
    <t>海战-船只-革命军船(破损)</t>
  </si>
  <si>
    <t>SeaBattle_kapujunhang_obj_101_d</t>
  </si>
  <si>
    <t>海战-船只-卡普的军舰(破损)</t>
  </si>
  <si>
    <t>SeaBattle_taiyanghaidaochuan_obj_101_d</t>
  </si>
  <si>
    <t>海战-船只-太阳海盗船(破损)</t>
  </si>
  <si>
    <t>SeaBattle_luodexinzangchuan_obj_101_d</t>
  </si>
  <si>
    <t>海战-船只-潜水艇(破损)</t>
  </si>
  <si>
    <t>SeaBattle_youlingchuan_obj_201_d</t>
  </si>
  <si>
    <t>海战-船只-幽灵船(破损)</t>
  </si>
  <si>
    <t>SeaBattle_aisizhanchuan_obj_601_d</t>
  </si>
  <si>
    <t>海战-船只-黑桃海盗船(破损)</t>
  </si>
  <si>
    <t>SeaBattle_baoxiang_501</t>
  </si>
  <si>
    <t>宝藏海域宝箱模型</t>
  </si>
  <si>
    <t>SeaBattle_baoxiang_502</t>
  </si>
  <si>
    <t>SeaBattle_helanrenhao_obj_501_d</t>
  </si>
  <si>
    <t>飞翔的荷兰人号（破损）</t>
  </si>
  <si>
    <t>SeaBattle_mobidi_obj_601_d</t>
  </si>
  <si>
    <t>莫比迪克号（破损）</t>
  </si>
  <si>
    <t>qianshuiyuan_body</t>
  </si>
  <si>
    <t>潜水员模型</t>
  </si>
  <si>
    <t>701_haidaochuan</t>
  </si>
  <si>
    <t>海盗船01</t>
  </si>
  <si>
    <t>qianshuiyuan_longzi</t>
  </si>
  <si>
    <t>笼子模型</t>
  </si>
  <si>
    <t>SeaBattle_duofolamengezhanchuan_obj_601_d</t>
  </si>
  <si>
    <t>多佛的船（破损）</t>
  </si>
  <si>
    <t>SeaBattle_bonihao_obj_501_d</t>
  </si>
  <si>
    <t>SeaBattle_huojinsi_obj_501_d</t>
  </si>
  <si>
    <t>SeaBattle_weiduoliya_obj_501_d</t>
  </si>
  <si>
    <t>SeaBattle_staytune_obj_501_d</t>
  </si>
  <si>
    <t>SeaBattle_banchengwan_obj_501_d</t>
  </si>
  <si>
    <t>SeaBattle_huoyantanke_obj_501_d</t>
  </si>
  <si>
    <t>701_hongqitong01</t>
  </si>
  <si>
    <t>爆炸桶</t>
  </si>
  <si>
    <t>701_haidaochuan03</t>
  </si>
  <si>
    <t>哀嚎冰川号</t>
  </si>
  <si>
    <t>SeaBattle_fangzhouzhenyan_obj_101_d</t>
  </si>
  <si>
    <t>方舟箴言（破损）</t>
  </si>
  <si>
    <t>SeaBattle_shenggehao_obj_101a_d</t>
  </si>
  <si>
    <t>大妈船（死亡）</t>
  </si>
  <si>
    <t>SeaBattle_lufeiqianbeihao_obj_101a_d</t>
  </si>
  <si>
    <t>路飞前辈号（死亡）</t>
  </si>
  <si>
    <t>SeaBattle_yingyanhao_obj_101_d</t>
  </si>
  <si>
    <t>棺船（死亡）</t>
  </si>
  <si>
    <t>701_haidaochuan_300</t>
  </si>
  <si>
    <t>公会货船</t>
  </si>
  <si>
    <t>100_chahui_jiehundangao_001a</t>
  </si>
  <si>
    <t>婚礼蛋糕</t>
  </si>
  <si>
    <t>SeaBattle_piting</t>
  </si>
  <si>
    <t>艾斯皮艇</t>
  </si>
  <si>
    <t>SeaBattle_SaberOfXebec_101</t>
  </si>
  <si>
    <t>吉贝克之剑（黑胡子）</t>
  </si>
  <si>
    <t>SeaBattle_SaberOfXebec_101_d</t>
  </si>
  <si>
    <t>吉贝克之剑（黑胡子破损）</t>
  </si>
  <si>
    <t>家园开垦</t>
  </si>
  <si>
    <t>家园建筑</t>
  </si>
  <si>
    <t>家园大厅</t>
  </si>
  <si>
    <t>家园作战</t>
  </si>
  <si>
    <t>仓库</t>
  </si>
  <si>
    <t>家园宿舍</t>
  </si>
  <si>
    <t>家园免费精华</t>
  </si>
  <si>
    <t>家园蓝钻</t>
  </si>
  <si>
    <t>家园宝石</t>
  </si>
  <si>
    <t>家园精炼</t>
  </si>
  <si>
    <t>家园图书馆</t>
  </si>
  <si>
    <t>家园炼金</t>
  </si>
  <si>
    <t>家园付费精华</t>
  </si>
  <si>
    <t>SeaBattle_paotai_02</t>
  </si>
  <si>
    <t>超级火炮据点</t>
  </si>
  <si>
    <t>SeaBattle_chuanwu_02</t>
  </si>
  <si>
    <t>兵营据点</t>
  </si>
  <si>
    <t>SeaBattle_jijie_01</t>
  </si>
  <si>
    <t>集结据点</t>
  </si>
  <si>
    <t>SeaBattle_shunliu_01</t>
  </si>
  <si>
    <t>顺流据点</t>
  </si>
  <si>
    <t>SeaBattle_niliu_01</t>
  </si>
  <si>
    <t>逆流据点</t>
  </si>
  <si>
    <t>oades002_body</t>
  </si>
  <si>
    <t>首领入侵 奥兹</t>
  </si>
  <si>
    <t>700_zujizhan_pao001</t>
  </si>
  <si>
    <t>迫击炮据点</t>
  </si>
  <si>
    <t>700_zuijizhan_pao002</t>
  </si>
  <si>
    <t>海啸巨炮据点</t>
  </si>
  <si>
    <t>加农炮据点</t>
  </si>
  <si>
    <t>700_zujizhan_pao004</t>
  </si>
  <si>
    <t>战争商人据点</t>
  </si>
  <si>
    <t>白星船</t>
  </si>
  <si>
    <t>ModelId定义</t>
  </si>
  <si>
    <t>1-1000</t>
  </si>
  <si>
    <t>主卡</t>
  </si>
  <si>
    <t>1001-2000</t>
  </si>
  <si>
    <t>怪物</t>
  </si>
  <si>
    <t>3000往后</t>
  </si>
  <si>
    <t>其他</t>
  </si>
  <si>
    <t>大妈备份</t>
  </si>
  <si>
    <t>moria002_body</t>
  </si>
  <si>
    <t>莫利亚变身</t>
  </si>
  <si>
    <t>paizi</t>
  </si>
  <si>
    <t>角色训练传承切换牌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</si>
</sst>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4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等线"/>
      <charset val="134"/>
    </font>
    <font>
      <sz val="10.5"/>
      <color rgb="FF191F25"/>
      <name val="Segoe UI"/>
      <charset val="134"/>
    </font>
    <font>
      <sz val="10.5"/>
      <name val="Segoe UI"/>
      <charset val="134"/>
    </font>
    <font>
      <sz val="11"/>
      <name val="微软雅黑"/>
      <charset val="134"/>
    </font>
    <font>
      <sz val="11"/>
      <name val="等线"/>
      <charset val="134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0"/>
      <name val="微软雅黑"/>
      <charset val="134"/>
    </font>
    <font>
      <sz val="10.5"/>
      <name val="微软雅黑"/>
      <charset val="134"/>
    </font>
    <font>
      <sz val="10.5"/>
      <color rgb="FF111F2C"/>
      <name val="Segoe UI"/>
      <charset val="134"/>
    </font>
    <font>
      <sz val="10.5"/>
      <color rgb="FFFF0000"/>
      <name val="微软雅黑"/>
      <charset val="134"/>
    </font>
    <font>
      <sz val="10"/>
      <color theme="1"/>
      <name val="微软雅黑"/>
      <charset val="134"/>
    </font>
    <font>
      <sz val="11"/>
      <name val="宋体"/>
      <charset val="134"/>
    </font>
    <font>
      <sz val="10.5"/>
      <name val="宋体"/>
      <charset val="134"/>
    </font>
    <font>
      <sz val="11"/>
      <name val="Segoe UI"/>
      <charset val="134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等线"/>
      <charset val="134"/>
    </font>
    <font>
      <sz val="11"/>
      <color rgb="FF111F2C"/>
      <name val="Segoe UI"/>
      <charset val="134"/>
    </font>
    <font>
      <sz val="12"/>
      <name val="宋体"/>
      <charset val="134"/>
    </font>
    <font>
      <sz val="11"/>
      <color rgb="FFFF00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indexed="8"/>
      <name val="宋体"/>
      <charset val="134"/>
    </font>
    <font>
      <sz val="11"/>
      <name val="Calibri"/>
      <charset val="134"/>
    </font>
    <font>
      <b/>
      <sz val="9"/>
      <name val="宋体"/>
      <charset val="134"/>
    </font>
    <font>
      <sz val="9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theme="4" tint="0.39664906765953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7DF4F7"/>
        <bgColor indexed="64"/>
      </patternFill>
    </fill>
    <fill>
      <patternFill patternType="solid">
        <fgColor theme="7" tint="0.39851069673757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212622455519"/>
        <bgColor indexed="64"/>
      </patternFill>
    </fill>
    <fill>
      <patternFill patternType="solid">
        <fgColor theme="4" tint="0.399243140964995"/>
        <bgColor indexed="64"/>
      </patternFill>
    </fill>
    <fill>
      <patternFill patternType="solid">
        <fgColor theme="4" tint="0.399304177983947"/>
        <bgColor indexed="64"/>
      </patternFill>
    </fill>
    <fill>
      <patternFill patternType="solid">
        <fgColor theme="4" tint="0.397656178472243"/>
        <bgColor indexed="64"/>
      </patternFill>
    </fill>
    <fill>
      <patternFill patternType="solid">
        <fgColor theme="4" tint="0.39768669698171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7717215491195"/>
        <bgColor indexed="64"/>
      </patternFill>
    </fill>
    <fill>
      <patternFill patternType="solid">
        <fgColor theme="4" tint="0.397747734000671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083F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0" fillId="44" borderId="3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4">
      <alignment vertical="center"/>
    </xf>
    <xf numFmtId="0" fontId="31" fillId="0" borderId="4">
      <alignment vertical="center"/>
    </xf>
    <xf numFmtId="0" fontId="32" fillId="0" borderId="5">
      <alignment vertical="center"/>
    </xf>
    <xf numFmtId="0" fontId="32" fillId="0" borderId="0">
      <alignment vertical="center"/>
    </xf>
    <xf numFmtId="0" fontId="33" fillId="45" borderId="6">
      <alignment vertical="center"/>
    </xf>
    <xf numFmtId="0" fontId="34" fillId="46" borderId="7">
      <alignment vertical="center"/>
    </xf>
    <xf numFmtId="0" fontId="35" fillId="46" borderId="6">
      <alignment vertical="center"/>
    </xf>
    <xf numFmtId="0" fontId="36" fillId="47" borderId="8">
      <alignment vertical="center"/>
    </xf>
    <xf numFmtId="0" fontId="37" fillId="0" borderId="9">
      <alignment vertical="center"/>
    </xf>
    <xf numFmtId="0" fontId="38" fillId="0" borderId="10">
      <alignment vertical="center"/>
    </xf>
    <xf numFmtId="0" fontId="39" fillId="48" borderId="0">
      <alignment vertical="center"/>
    </xf>
    <xf numFmtId="0" fontId="40" fillId="49" borderId="0">
      <alignment vertical="center"/>
    </xf>
    <xf numFmtId="0" fontId="41" fillId="50" borderId="0">
      <alignment vertical="center"/>
    </xf>
    <xf numFmtId="0" fontId="42" fillId="22" borderId="0">
      <alignment vertical="center"/>
    </xf>
    <xf numFmtId="0" fontId="43" fillId="43" borderId="0">
      <alignment vertical="center"/>
    </xf>
    <xf numFmtId="0" fontId="43" fillId="28" borderId="0">
      <alignment vertical="center"/>
    </xf>
    <xf numFmtId="0" fontId="44" fillId="41" borderId="0">
      <alignment vertical="center"/>
    </xf>
    <xf numFmtId="0" fontId="44" fillId="31" borderId="0">
      <alignment vertical="center"/>
    </xf>
    <xf numFmtId="0" fontId="43" fillId="51" borderId="0">
      <alignment vertical="center"/>
    </xf>
    <xf numFmtId="0" fontId="43" fillId="5" borderId="0">
      <alignment vertical="center"/>
    </xf>
    <xf numFmtId="0" fontId="44" fillId="52" borderId="0">
      <alignment vertical="center"/>
    </xf>
    <xf numFmtId="0" fontId="44" fillId="20" borderId="0">
      <alignment vertical="center"/>
    </xf>
    <xf numFmtId="0" fontId="43" fillId="53" borderId="0">
      <alignment vertical="center"/>
    </xf>
    <xf numFmtId="0" fontId="43" fillId="54" borderId="0">
      <alignment vertical="center"/>
    </xf>
    <xf numFmtId="0" fontId="44" fillId="55" borderId="0">
      <alignment vertical="center"/>
    </xf>
    <xf numFmtId="0" fontId="44" fillId="14" borderId="0">
      <alignment vertical="center"/>
    </xf>
    <xf numFmtId="0" fontId="43" fillId="56" borderId="0">
      <alignment vertical="center"/>
    </xf>
    <xf numFmtId="0" fontId="43" fillId="57" borderId="0">
      <alignment vertical="center"/>
    </xf>
    <xf numFmtId="0" fontId="44" fillId="58" borderId="0">
      <alignment vertical="center"/>
    </xf>
    <xf numFmtId="0" fontId="44" fillId="59" borderId="0">
      <alignment vertical="center"/>
    </xf>
    <xf numFmtId="0" fontId="43" fillId="60" borderId="0">
      <alignment vertical="center"/>
    </xf>
    <xf numFmtId="0" fontId="43" fillId="61" borderId="0">
      <alignment vertical="center"/>
    </xf>
    <xf numFmtId="0" fontId="44" fillId="62" borderId="0">
      <alignment vertical="center"/>
    </xf>
    <xf numFmtId="0" fontId="44" fillId="8" borderId="0">
      <alignment vertical="center"/>
    </xf>
    <xf numFmtId="0" fontId="43" fillId="63" borderId="0">
      <alignment vertical="center"/>
    </xf>
    <xf numFmtId="0" fontId="43" fillId="18" borderId="0">
      <alignment vertical="center"/>
    </xf>
    <xf numFmtId="0" fontId="44" fillId="64" borderId="0">
      <alignment vertical="center"/>
    </xf>
    <xf numFmtId="0" fontId="45" fillId="0" borderId="0">
      <alignment vertical="center"/>
    </xf>
  </cellStyleXfs>
  <cellXfs count="289">
    <xf numFmtId="0" fontId="0" fillId="0" borderId="0" xfId="0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0" fillId="3" borderId="0" xfId="0" applyFill="1" applyAlignment="1" applyProtection="1">
      <alignment vertical="center"/>
    </xf>
    <xf numFmtId="0" fontId="0" fillId="3" borderId="0" xfId="0" applyFill="1" applyAlignment="1" applyProtection="1">
      <alignment horizontal="left"/>
    </xf>
    <xf numFmtId="0" fontId="0" fillId="3" borderId="0" xfId="0" applyFill="1" applyAlignment="1" applyProtection="1">
      <alignment horizontal="center"/>
    </xf>
    <xf numFmtId="0" fontId="0" fillId="2" borderId="0" xfId="0" applyFill="1" applyAlignment="1" applyProtection="1">
      <alignment horizontal="right" vertical="center"/>
    </xf>
    <xf numFmtId="0" fontId="0" fillId="0" borderId="0" xfId="0" applyAlignment="1" applyProtection="1">
      <alignment horizontal="right" vertical="center"/>
    </xf>
    <xf numFmtId="0" fontId="0" fillId="3" borderId="0" xfId="0" applyFill="1" applyAlignment="1" applyProtection="1">
      <alignment horizontal="right"/>
    </xf>
    <xf numFmtId="0" fontId="0" fillId="4" borderId="0" xfId="0" applyFill="1" applyAlignment="1" applyProtection="1">
      <alignment vertical="center"/>
    </xf>
    <xf numFmtId="0" fontId="0" fillId="0" borderId="0" xfId="0" applyAlignment="1" applyProtection="1">
      <alignment horizontal="right"/>
    </xf>
    <xf numFmtId="0" fontId="0" fillId="0" borderId="0" xfId="0" applyAlignment="1" applyProtection="1">
      <alignment horizontal="left"/>
    </xf>
    <xf numFmtId="0" fontId="1" fillId="0" borderId="0" xfId="0" applyFont="1" applyAlignment="1" applyProtection="1">
      <alignment vertical="center"/>
    </xf>
    <xf numFmtId="0" fontId="2" fillId="5" borderId="0" xfId="0" applyFont="1" applyFill="1" applyAlignment="1" applyProtection="1">
      <alignment vertical="center"/>
    </xf>
    <xf numFmtId="0" fontId="1" fillId="4" borderId="0" xfId="0" applyFont="1" applyFill="1" applyAlignment="1" applyProtection="1">
      <alignment vertical="center"/>
    </xf>
    <xf numFmtId="0" fontId="1" fillId="6" borderId="0" xfId="0" applyFont="1" applyFill="1" applyAlignment="1" applyProtection="1">
      <alignment vertical="center"/>
    </xf>
    <xf numFmtId="0" fontId="1" fillId="7" borderId="0" xfId="0" applyFont="1" applyFill="1" applyAlignment="1" applyProtection="1">
      <alignment vertical="center"/>
    </xf>
    <xf numFmtId="0" fontId="1" fillId="8" borderId="0" xfId="0" applyFont="1" applyFill="1" applyAlignment="1" applyProtection="1">
      <alignment vertical="center"/>
    </xf>
    <xf numFmtId="0" fontId="1" fillId="3" borderId="0" xfId="0" applyFont="1" applyFill="1" applyAlignment="1" applyProtection="1">
      <alignment vertical="center"/>
    </xf>
    <xf numFmtId="0" fontId="1" fillId="9" borderId="0" xfId="0" applyFont="1" applyFill="1" applyAlignment="1" applyProtection="1">
      <alignment vertical="center"/>
    </xf>
    <xf numFmtId="0" fontId="1" fillId="10" borderId="0" xfId="0" applyFont="1" applyFill="1" applyAlignment="1" applyProtection="1">
      <alignment vertical="center"/>
    </xf>
    <xf numFmtId="0" fontId="1" fillId="11" borderId="0" xfId="0" applyFont="1" applyFill="1" applyAlignment="1" applyProtection="1">
      <alignment vertical="center"/>
    </xf>
    <xf numFmtId="0" fontId="1" fillId="12" borderId="0" xfId="0" applyFont="1" applyFill="1" applyAlignment="1" applyProtection="1">
      <alignment vertical="center"/>
    </xf>
    <xf numFmtId="0" fontId="1" fillId="13" borderId="0" xfId="0" applyFont="1" applyFill="1" applyAlignment="1" applyProtection="1">
      <alignment vertical="center"/>
    </xf>
    <xf numFmtId="0" fontId="1" fillId="14" borderId="0" xfId="0" applyFont="1" applyFill="1" applyAlignment="1" applyProtection="1">
      <alignment vertical="center"/>
    </xf>
    <xf numFmtId="0" fontId="0" fillId="15" borderId="0" xfId="0" applyFill="1" applyAlignment="1" applyProtection="1">
      <alignment vertical="center"/>
    </xf>
    <xf numFmtId="0" fontId="0" fillId="16" borderId="0" xfId="0" applyFill="1" applyAlignment="1" applyProtection="1">
      <alignment vertical="center"/>
    </xf>
    <xf numFmtId="0" fontId="0" fillId="17" borderId="0" xfId="0" applyFill="1" applyAlignment="1" applyProtection="1">
      <alignment vertical="center"/>
    </xf>
    <xf numFmtId="0" fontId="1" fillId="18" borderId="0" xfId="0" applyFont="1" applyFill="1" applyAlignment="1" applyProtection="1">
      <alignment vertical="center"/>
    </xf>
    <xf numFmtId="0" fontId="0" fillId="6" borderId="0" xfId="0" applyFill="1" applyAlignment="1" applyProtection="1">
      <alignment vertical="center"/>
    </xf>
    <xf numFmtId="0" fontId="0" fillId="11" borderId="0" xfId="0" applyFill="1" applyAlignment="1" applyProtection="1">
      <alignment vertical="center"/>
    </xf>
    <xf numFmtId="0" fontId="0" fillId="13" borderId="0" xfId="0" applyFill="1" applyAlignment="1" applyProtection="1">
      <alignment vertical="center"/>
    </xf>
    <xf numFmtId="0" fontId="0" fillId="19" borderId="0" xfId="0" applyFill="1" applyAlignment="1" applyProtection="1">
      <alignment vertical="center"/>
    </xf>
    <xf numFmtId="0" fontId="0" fillId="20" borderId="0" xfId="0" applyFill="1" applyAlignment="1" applyProtection="1">
      <alignment vertical="center"/>
    </xf>
    <xf numFmtId="0" fontId="0" fillId="12" borderId="0" xfId="0" applyFill="1" applyAlignment="1" applyProtection="1">
      <alignment vertical="center"/>
    </xf>
    <xf numFmtId="0" fontId="3" fillId="4" borderId="0" xfId="0" applyFont="1" applyFill="1" applyAlignment="1" applyProtection="1">
      <alignment vertical="center"/>
    </xf>
    <xf numFmtId="0" fontId="0" fillId="7" borderId="0" xfId="0" applyFill="1" applyAlignment="1" applyProtection="1">
      <alignment vertical="center"/>
    </xf>
    <xf numFmtId="0" fontId="0" fillId="21" borderId="0" xfId="0" applyFill="1" applyAlignment="1" applyProtection="1">
      <alignment vertical="center"/>
    </xf>
    <xf numFmtId="0" fontId="0" fillId="14" borderId="0" xfId="0" applyFill="1" applyAlignment="1" applyProtection="1">
      <alignment vertical="center"/>
    </xf>
    <xf numFmtId="0" fontId="0" fillId="22" borderId="0" xfId="0" applyFill="1" applyAlignment="1" applyProtection="1">
      <alignment vertical="center"/>
    </xf>
    <xf numFmtId="0" fontId="0" fillId="0" borderId="0" xfId="0" applyAlignment="1" applyProtection="1"/>
    <xf numFmtId="0" fontId="0" fillId="0" borderId="0" xfId="0" applyAlignment="1" applyProtection="1">
      <alignment horizontal="left" vertical="center"/>
    </xf>
    <xf numFmtId="0" fontId="0" fillId="22" borderId="0" xfId="0" applyFill="1" applyAlignment="1" applyProtection="1">
      <alignment horizontal="left" vertical="center"/>
    </xf>
    <xf numFmtId="0" fontId="3" fillId="22" borderId="0" xfId="0" applyFont="1" applyFill="1" applyAlignment="1" applyProtection="1">
      <alignment vertical="center"/>
    </xf>
    <xf numFmtId="0" fontId="0" fillId="0" borderId="0" xfId="0" applyAlignment="1" applyProtection="1">
      <alignment horizontal="center"/>
    </xf>
    <xf numFmtId="0" fontId="3" fillId="0" borderId="0" xfId="0" applyFont="1" applyAlignment="1" applyProtection="1">
      <alignment vertical="center"/>
    </xf>
    <xf numFmtId="0" fontId="0" fillId="23" borderId="0" xfId="0" applyFill="1" applyAlignment="1" applyProtection="1">
      <alignment horizontal="right"/>
    </xf>
    <xf numFmtId="0" fontId="0" fillId="23" borderId="0" xfId="0" applyFill="1" applyAlignment="1" applyProtection="1">
      <alignment horizontal="left"/>
    </xf>
    <xf numFmtId="0" fontId="1" fillId="23" borderId="0" xfId="0" applyFont="1" applyFill="1" applyAlignment="1" applyProtection="1">
      <alignment vertical="center"/>
    </xf>
    <xf numFmtId="0" fontId="0" fillId="23" borderId="0" xfId="0" applyFill="1" applyAlignment="1" applyProtection="1">
      <alignment vertical="center"/>
    </xf>
    <xf numFmtId="0" fontId="0" fillId="24" borderId="0" xfId="0" applyFill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0" fillId="23" borderId="0" xfId="0" applyFill="1" applyAlignment="1" applyProtection="1">
      <alignment horizontal="center"/>
    </xf>
    <xf numFmtId="0" fontId="4" fillId="0" borderId="0" xfId="0" applyFont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5" fillId="0" borderId="0" xfId="0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1" fillId="0" borderId="0" xfId="0" applyFont="1" applyAlignment="1" applyProtection="1"/>
    <xf numFmtId="0" fontId="1" fillId="4" borderId="0" xfId="0" applyFont="1" applyFill="1" applyAlignment="1" applyProtection="1">
      <alignment horizontal="left"/>
    </xf>
    <xf numFmtId="0" fontId="1" fillId="4" borderId="0" xfId="0" applyFont="1" applyFill="1" applyAlignment="1" applyProtection="1">
      <alignment horizontal="center"/>
    </xf>
    <xf numFmtId="0" fontId="1" fillId="6" borderId="0" xfId="0" applyFont="1" applyFill="1" applyAlignment="1" applyProtection="1">
      <alignment horizontal="left"/>
    </xf>
    <xf numFmtId="0" fontId="1" fillId="7" borderId="0" xfId="0" applyFont="1" applyFill="1" applyAlignment="1" applyProtection="1">
      <alignment horizontal="left"/>
    </xf>
    <xf numFmtId="176" fontId="1" fillId="0" borderId="0" xfId="0" applyNumberFormat="1" applyFont="1" applyAlignment="1" applyProtection="1"/>
    <xf numFmtId="0" fontId="7" fillId="0" borderId="0" xfId="0" applyFont="1" applyAlignment="1" applyProtection="1">
      <alignment vertical="center"/>
    </xf>
    <xf numFmtId="0" fontId="1" fillId="6" borderId="0" xfId="0" applyFont="1" applyFill="1" applyAlignment="1" applyProtection="1">
      <alignment horizontal="center"/>
    </xf>
    <xf numFmtId="0" fontId="1" fillId="7" borderId="0" xfId="0" applyFont="1" applyFill="1" applyAlignment="1" applyProtection="1">
      <alignment horizontal="center"/>
    </xf>
    <xf numFmtId="0" fontId="1" fillId="0" borderId="0" xfId="0" applyFont="1" applyAlignment="1" applyProtection="1">
      <alignment horizontal="right" vertical="center"/>
    </xf>
    <xf numFmtId="0" fontId="1" fillId="4" borderId="0" xfId="0" applyFont="1" applyFill="1" applyAlignment="1" applyProtection="1">
      <alignment horizontal="right"/>
    </xf>
    <xf numFmtId="0" fontId="1" fillId="6" borderId="0" xfId="0" applyFont="1" applyFill="1" applyAlignment="1" applyProtection="1">
      <alignment horizontal="right"/>
    </xf>
    <xf numFmtId="0" fontId="1" fillId="7" borderId="0" xfId="0" applyFont="1" applyFill="1" applyAlignment="1" applyProtection="1">
      <alignment horizontal="right"/>
    </xf>
    <xf numFmtId="0" fontId="8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right"/>
    </xf>
    <xf numFmtId="0" fontId="9" fillId="0" borderId="0" xfId="0" applyFont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1" fillId="6" borderId="0" xfId="0" applyFont="1" applyFill="1" applyAlignment="1" applyProtection="1">
      <alignment vertical="center" wrapText="1"/>
    </xf>
    <xf numFmtId="0" fontId="1" fillId="8" borderId="0" xfId="0" applyFont="1" applyFill="1" applyAlignment="1" applyProtection="1">
      <alignment horizontal="right"/>
    </xf>
    <xf numFmtId="0" fontId="1" fillId="8" borderId="0" xfId="0" applyFont="1" applyFill="1" applyAlignment="1" applyProtection="1">
      <alignment horizontal="left"/>
    </xf>
    <xf numFmtId="0" fontId="1" fillId="3" borderId="0" xfId="0" applyFont="1" applyFill="1" applyAlignment="1" applyProtection="1"/>
    <xf numFmtId="0" fontId="1" fillId="3" borderId="0" xfId="0" applyFont="1" applyFill="1" applyAlignment="1" applyProtection="1">
      <alignment horizontal="left"/>
    </xf>
    <xf numFmtId="0" fontId="1" fillId="9" borderId="0" xfId="0" applyFont="1" applyFill="1" applyAlignment="1" applyProtection="1">
      <alignment horizontal="right"/>
    </xf>
    <xf numFmtId="0" fontId="1" fillId="9" borderId="0" xfId="0" applyFont="1" applyFill="1" applyAlignment="1" applyProtection="1">
      <alignment horizontal="left"/>
    </xf>
    <xf numFmtId="0" fontId="0" fillId="10" borderId="0" xfId="0" applyFill="1" applyAlignment="1" applyProtection="1">
      <alignment vertical="center"/>
    </xf>
    <xf numFmtId="0" fontId="1" fillId="14" borderId="0" xfId="0" applyFont="1" applyFill="1" applyAlignment="1" applyProtection="1">
      <alignment horizontal="left"/>
    </xf>
    <xf numFmtId="0" fontId="1" fillId="25" borderId="0" xfId="0" applyFont="1" applyFill="1" applyAlignment="1" applyProtection="1">
      <alignment vertical="center"/>
    </xf>
    <xf numFmtId="0" fontId="1" fillId="25" borderId="0" xfId="0" applyFont="1" applyFill="1" applyAlignment="1" applyProtection="1"/>
    <xf numFmtId="0" fontId="1" fillId="7" borderId="0" xfId="0" applyFont="1" applyFill="1" applyAlignment="1" applyProtection="1"/>
    <xf numFmtId="0" fontId="1" fillId="26" borderId="0" xfId="0" applyFont="1" applyFill="1" applyAlignment="1" applyProtection="1">
      <alignment vertical="center"/>
    </xf>
    <xf numFmtId="0" fontId="1" fillId="8" borderId="0" xfId="0" applyFont="1" applyFill="1" applyAlignment="1" applyProtection="1">
      <alignment horizontal="center"/>
    </xf>
    <xf numFmtId="0" fontId="1" fillId="3" borderId="0" xfId="0" applyFont="1" applyFill="1" applyAlignment="1" applyProtection="1">
      <alignment horizontal="center"/>
    </xf>
    <xf numFmtId="0" fontId="1" fillId="14" borderId="0" xfId="0" applyFont="1" applyFill="1" applyAlignment="1" applyProtection="1">
      <alignment horizontal="center"/>
    </xf>
    <xf numFmtId="0" fontId="1" fillId="3" borderId="0" xfId="0" applyFont="1" applyFill="1" applyAlignment="1" applyProtection="1">
      <alignment horizontal="right"/>
    </xf>
    <xf numFmtId="0" fontId="1" fillId="8" borderId="0" xfId="0" applyFont="1" applyFill="1" applyAlignment="1" applyProtection="1">
      <alignment horizontal="right" vertical="center"/>
    </xf>
    <xf numFmtId="0" fontId="1" fillId="12" borderId="0" xfId="0" applyFont="1" applyFill="1" applyAlignment="1" applyProtection="1">
      <alignment horizontal="right" vertical="center"/>
    </xf>
    <xf numFmtId="0" fontId="1" fillId="13" borderId="0" xfId="0" applyFont="1" applyFill="1" applyAlignment="1" applyProtection="1">
      <alignment horizontal="right" vertical="center"/>
    </xf>
    <xf numFmtId="0" fontId="1" fillId="14" borderId="0" xfId="0" applyFont="1" applyFill="1" applyAlignment="1" applyProtection="1">
      <alignment horizontal="right"/>
    </xf>
    <xf numFmtId="0" fontId="0" fillId="9" borderId="0" xfId="0" applyFill="1" applyAlignment="1" applyProtection="1">
      <alignment vertical="center"/>
    </xf>
    <xf numFmtId="0" fontId="1" fillId="27" borderId="0" xfId="0" applyFont="1" applyFill="1" applyAlignment="1" applyProtection="1">
      <alignment vertical="center"/>
    </xf>
    <xf numFmtId="0" fontId="1" fillId="0" borderId="0" xfId="0" applyFont="1" applyAlignment="1" applyProtection="1">
      <alignment horizontal="left"/>
    </xf>
    <xf numFmtId="0" fontId="8" fillId="0" borderId="0" xfId="0" applyFont="1" applyAlignment="1" applyProtection="1">
      <alignment horizontal="left"/>
    </xf>
    <xf numFmtId="0" fontId="1" fillId="6" borderId="1" xfId="25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8" fillId="0" borderId="1" xfId="0" applyFont="1" applyBorder="1" applyAlignment="1" applyProtection="1">
      <alignment horizontal="center"/>
    </xf>
    <xf numFmtId="0" fontId="1" fillId="6" borderId="0" xfId="25" applyFont="1" applyFill="1" applyAlignment="1" applyProtection="1">
      <alignment horizontal="center" vertical="center"/>
    </xf>
    <xf numFmtId="0" fontId="8" fillId="0" borderId="0" xfId="0" applyFont="1" applyAlignment="1" applyProtection="1">
      <alignment horizontal="center"/>
    </xf>
    <xf numFmtId="0" fontId="1" fillId="28" borderId="0" xfId="0" applyFont="1" applyFill="1" applyAlignment="1" applyProtection="1">
      <alignment vertical="center"/>
    </xf>
    <xf numFmtId="0" fontId="1" fillId="28" borderId="0" xfId="0" applyFont="1" applyFill="1" applyAlignment="1" applyProtection="1">
      <alignment horizontal="center" vertical="center"/>
    </xf>
    <xf numFmtId="0" fontId="1" fillId="29" borderId="0" xfId="0" applyFont="1" applyFill="1" applyAlignment="1" applyProtection="1"/>
    <xf numFmtId="0" fontId="1" fillId="30" borderId="0" xfId="0" applyFont="1" applyFill="1" applyAlignment="1" applyProtection="1">
      <alignment vertical="center"/>
    </xf>
    <xf numFmtId="0" fontId="1" fillId="30" borderId="0" xfId="0" applyFont="1" applyFill="1" applyAlignment="1" applyProtection="1">
      <alignment horizontal="center" vertical="center"/>
    </xf>
    <xf numFmtId="0" fontId="11" fillId="30" borderId="0" xfId="0" applyFont="1" applyFill="1" applyAlignment="1" applyProtection="1">
      <alignment horizontal="center"/>
    </xf>
    <xf numFmtId="0" fontId="11" fillId="0" borderId="0" xfId="0" applyFont="1" applyAlignment="1" applyProtection="1">
      <alignment horizontal="center"/>
    </xf>
    <xf numFmtId="0" fontId="1" fillId="31" borderId="0" xfId="0" applyFont="1" applyFill="1" applyAlignment="1" applyProtection="1">
      <alignment vertical="center"/>
    </xf>
    <xf numFmtId="0" fontId="1" fillId="31" borderId="0" xfId="0" applyFont="1" applyFill="1" applyAlignment="1" applyProtection="1">
      <alignment horizontal="center" vertical="center"/>
    </xf>
    <xf numFmtId="0" fontId="11" fillId="31" borderId="0" xfId="0" applyFont="1" applyFill="1" applyAlignment="1" applyProtection="1">
      <alignment horizontal="center"/>
    </xf>
    <xf numFmtId="0" fontId="1" fillId="32" borderId="0" xfId="0" applyFont="1" applyFill="1" applyAlignment="1" applyProtection="1">
      <alignment vertical="center"/>
    </xf>
    <xf numFmtId="0" fontId="1" fillId="33" borderId="0" xfId="0" applyFont="1" applyFill="1" applyAlignment="1" applyProtection="1">
      <alignment vertical="center"/>
    </xf>
    <xf numFmtId="0" fontId="1" fillId="34" borderId="0" xfId="0" applyFont="1" applyFill="1" applyAlignment="1" applyProtection="1">
      <alignment vertical="center"/>
    </xf>
    <xf numFmtId="177" fontId="1" fillId="0" borderId="0" xfId="0" applyNumberFormat="1" applyFont="1" applyAlignment="1" applyProtection="1"/>
    <xf numFmtId="0" fontId="11" fillId="0" borderId="0" xfId="0" applyFont="1" applyAlignment="1" applyProtection="1">
      <alignment horizontal="left" vertical="center"/>
    </xf>
    <xf numFmtId="0" fontId="11" fillId="0" borderId="0" xfId="0" applyFont="1" applyAlignment="1" applyProtection="1">
      <alignment horizontal="center" vertical="center"/>
    </xf>
    <xf numFmtId="0" fontId="6" fillId="4" borderId="0" xfId="0" applyFont="1" applyFill="1" applyAlignment="1" applyProtection="1">
      <alignment vertical="center"/>
    </xf>
    <xf numFmtId="0" fontId="11" fillId="4" borderId="0" xfId="0" applyFont="1" applyFill="1" applyAlignment="1" applyProtection="1">
      <alignment horizontal="left" vertical="center"/>
    </xf>
    <xf numFmtId="0" fontId="11" fillId="4" borderId="0" xfId="0" applyFont="1" applyFill="1" applyAlignment="1" applyProtection="1">
      <alignment horizontal="center" vertical="center"/>
    </xf>
    <xf numFmtId="0" fontId="12" fillId="4" borderId="0" xfId="0" applyFont="1" applyFill="1" applyAlignment="1" applyProtection="1">
      <alignment horizontal="left" vertical="center"/>
    </xf>
    <xf numFmtId="0" fontId="12" fillId="0" borderId="0" xfId="0" applyFont="1" applyAlignment="1" applyProtection="1">
      <alignment horizontal="left" vertical="center"/>
    </xf>
    <xf numFmtId="0" fontId="1" fillId="4" borderId="0" xfId="0" applyFont="1" applyFill="1" applyAlignment="1" applyProtection="1"/>
    <xf numFmtId="0" fontId="1" fillId="4" borderId="0" xfId="0" applyFont="1" applyFill="1" applyAlignment="1" applyProtection="1">
      <alignment horizontal="right" vertical="center"/>
    </xf>
    <xf numFmtId="0" fontId="8" fillId="4" borderId="0" xfId="0" applyFont="1" applyFill="1" applyAlignment="1" applyProtection="1">
      <alignment vertical="center"/>
    </xf>
    <xf numFmtId="0" fontId="1" fillId="4" borderId="0" xfId="0" applyFont="1" applyFill="1" applyAlignment="1" applyProtection="1">
      <alignment vertical="center" wrapText="1"/>
    </xf>
    <xf numFmtId="0" fontId="6" fillId="13" borderId="0" xfId="0" applyFont="1" applyFill="1" applyAlignment="1" applyProtection="1">
      <alignment vertical="center"/>
    </xf>
    <xf numFmtId="0" fontId="12" fillId="11" borderId="0" xfId="0" applyFont="1" applyFill="1" applyAlignment="1" applyProtection="1">
      <alignment horizontal="left" vertical="center"/>
    </xf>
    <xf numFmtId="0" fontId="11" fillId="13" borderId="0" xfId="0" applyFont="1" applyFill="1" applyAlignment="1" applyProtection="1">
      <alignment horizontal="center" vertical="center"/>
    </xf>
    <xf numFmtId="0" fontId="12" fillId="13" borderId="0" xfId="0" applyFont="1" applyFill="1" applyAlignment="1" applyProtection="1">
      <alignment horizontal="left" vertical="center"/>
    </xf>
    <xf numFmtId="0" fontId="13" fillId="15" borderId="0" xfId="0" applyFont="1" applyFill="1" applyAlignment="1" applyProtection="1">
      <alignment vertical="center"/>
    </xf>
    <xf numFmtId="0" fontId="14" fillId="15" borderId="0" xfId="0" applyFont="1" applyFill="1" applyAlignment="1" applyProtection="1">
      <alignment horizontal="left" vertical="center"/>
    </xf>
    <xf numFmtId="0" fontId="15" fillId="15" borderId="0" xfId="0" applyFont="1" applyFill="1" applyAlignment="1" applyProtection="1">
      <alignment horizontal="center" vertical="center"/>
    </xf>
    <xf numFmtId="0" fontId="3" fillId="15" borderId="0" xfId="0" applyFont="1" applyFill="1" applyAlignment="1" applyProtection="1">
      <alignment vertical="center"/>
    </xf>
    <xf numFmtId="0" fontId="13" fillId="16" borderId="0" xfId="0" applyFont="1" applyFill="1" applyAlignment="1" applyProtection="1">
      <alignment vertical="center"/>
    </xf>
    <xf numFmtId="0" fontId="14" fillId="16" borderId="0" xfId="0" applyFont="1" applyFill="1" applyAlignment="1" applyProtection="1">
      <alignment horizontal="left" vertical="center"/>
    </xf>
    <xf numFmtId="0" fontId="15" fillId="16" borderId="0" xfId="0" applyFont="1" applyFill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13" borderId="0" xfId="0" applyFont="1" applyFill="1" applyAlignment="1" applyProtection="1"/>
    <xf numFmtId="0" fontId="1" fillId="24" borderId="0" xfId="0" applyFont="1" applyFill="1" applyAlignment="1" applyProtection="1">
      <alignment vertical="center"/>
    </xf>
    <xf numFmtId="0" fontId="0" fillId="15" borderId="0" xfId="0" applyFill="1" applyAlignment="1" applyProtection="1"/>
    <xf numFmtId="0" fontId="0" fillId="16" borderId="0" xfId="0" applyFill="1" applyAlignment="1" applyProtection="1"/>
    <xf numFmtId="0" fontId="1" fillId="15" borderId="0" xfId="0" applyFont="1" applyFill="1" applyAlignment="1" applyProtection="1">
      <alignment vertical="center"/>
    </xf>
    <xf numFmtId="0" fontId="0" fillId="15" borderId="0" xfId="0" applyFill="1" applyAlignment="1" applyProtection="1">
      <alignment horizontal="right" vertical="center"/>
    </xf>
    <xf numFmtId="0" fontId="1" fillId="16" borderId="0" xfId="0" applyFont="1" applyFill="1" applyAlignment="1" applyProtection="1">
      <alignment vertical="center"/>
    </xf>
    <xf numFmtId="0" fontId="0" fillId="16" borderId="0" xfId="0" applyFill="1" applyAlignment="1" applyProtection="1">
      <alignment horizontal="right" vertical="center"/>
    </xf>
    <xf numFmtId="0" fontId="8" fillId="13" borderId="0" xfId="0" applyFont="1" applyFill="1" applyAlignment="1" applyProtection="1">
      <alignment vertical="center"/>
    </xf>
    <xf numFmtId="0" fontId="4" fillId="15" borderId="0" xfId="0" applyFont="1" applyFill="1" applyAlignment="1" applyProtection="1">
      <alignment vertical="center"/>
    </xf>
    <xf numFmtId="0" fontId="4" fillId="16" borderId="0" xfId="0" applyFont="1" applyFill="1" applyAlignment="1" applyProtection="1">
      <alignment vertical="center"/>
    </xf>
    <xf numFmtId="0" fontId="1" fillId="13" borderId="0" xfId="0" applyFont="1" applyFill="1" applyAlignment="1" applyProtection="1">
      <alignment horizontal="left" vertical="center"/>
    </xf>
    <xf numFmtId="0" fontId="0" fillId="15" borderId="0" xfId="0" applyFill="1" applyAlignment="1" applyProtection="1">
      <alignment horizontal="left" vertical="center"/>
    </xf>
    <xf numFmtId="0" fontId="0" fillId="16" borderId="0" xfId="0" applyFill="1" applyAlignment="1" applyProtection="1">
      <alignment horizontal="left" vertical="center"/>
    </xf>
    <xf numFmtId="0" fontId="10" fillId="4" borderId="1" xfId="0" applyFont="1" applyFill="1" applyBorder="1" applyAlignment="1" applyProtection="1">
      <alignment horizontal="center" vertical="center"/>
    </xf>
    <xf numFmtId="0" fontId="10" fillId="4" borderId="0" xfId="0" applyFont="1" applyFill="1" applyAlignment="1" applyProtection="1">
      <alignment horizontal="center" vertical="center"/>
    </xf>
    <xf numFmtId="0" fontId="16" fillId="6" borderId="1" xfId="25" applyFont="1" applyFill="1" applyBorder="1" applyAlignment="1" applyProtection="1">
      <alignment horizontal="center" vertical="center"/>
    </xf>
    <xf numFmtId="49" fontId="16" fillId="0" borderId="0" xfId="49" applyNumberFormat="1" applyFont="1" applyAlignment="1" applyProtection="1"/>
    <xf numFmtId="0" fontId="8" fillId="6" borderId="0" xfId="25" applyFont="1" applyFill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1" fillId="15" borderId="0" xfId="0" applyFont="1" applyFill="1" applyAlignment="1" applyProtection="1">
      <alignment horizontal="left" vertical="center"/>
    </xf>
    <xf numFmtId="0" fontId="8" fillId="15" borderId="0" xfId="0" applyFont="1" applyFill="1" applyAlignment="1" applyProtection="1">
      <alignment horizontal="left" vertical="center"/>
    </xf>
    <xf numFmtId="0" fontId="1" fillId="35" borderId="0" xfId="0" applyFont="1" applyFill="1" applyAlignment="1" applyProtection="1">
      <alignment vertical="center"/>
    </xf>
    <xf numFmtId="0" fontId="1" fillId="35" borderId="0" xfId="0" applyFont="1" applyFill="1" applyAlignment="1" applyProtection="1">
      <alignment horizontal="left" vertical="center"/>
    </xf>
    <xf numFmtId="0" fontId="1" fillId="36" borderId="0" xfId="0" applyFont="1" applyFill="1" applyAlignment="1" applyProtection="1">
      <alignment vertical="center"/>
    </xf>
    <xf numFmtId="0" fontId="1" fillId="36" borderId="0" xfId="0" applyFont="1" applyFill="1" applyAlignment="1" applyProtection="1">
      <alignment horizontal="left" vertical="center"/>
    </xf>
    <xf numFmtId="0" fontId="1" fillId="4" borderId="0" xfId="0" applyFont="1" applyFill="1" applyAlignment="1" applyProtection="1">
      <alignment horizontal="left" vertical="center"/>
    </xf>
    <xf numFmtId="0" fontId="11" fillId="4" borderId="0" xfId="0" applyFont="1" applyFill="1" applyAlignment="1" applyProtection="1">
      <alignment horizontal="left"/>
    </xf>
    <xf numFmtId="0" fontId="11" fillId="0" borderId="0" xfId="0" applyFont="1" applyAlignment="1" applyProtection="1">
      <alignment horizontal="left"/>
    </xf>
    <xf numFmtId="0" fontId="17" fillId="0" borderId="0" xfId="0" applyFont="1" applyAlignment="1" applyProtection="1">
      <alignment horizontal="left" vertical="center"/>
    </xf>
    <xf numFmtId="0" fontId="13" fillId="17" borderId="0" xfId="0" applyFont="1" applyFill="1" applyAlignment="1" applyProtection="1">
      <alignment vertical="center"/>
    </xf>
    <xf numFmtId="0" fontId="14" fillId="17" borderId="0" xfId="0" applyFont="1" applyFill="1" applyAlignment="1" applyProtection="1">
      <alignment horizontal="left" vertical="center"/>
    </xf>
    <xf numFmtId="0" fontId="15" fillId="17" borderId="0" xfId="0" applyFont="1" applyFill="1" applyAlignment="1" applyProtection="1">
      <alignment horizontal="center" vertical="center"/>
    </xf>
    <xf numFmtId="0" fontId="0" fillId="17" borderId="0" xfId="0" applyFill="1" applyAlignment="1" applyProtection="1"/>
    <xf numFmtId="0" fontId="0" fillId="17" borderId="0" xfId="0" applyFill="1" applyAlignment="1" applyProtection="1">
      <alignment horizontal="right" vertical="center"/>
    </xf>
    <xf numFmtId="0" fontId="4" fillId="17" borderId="0" xfId="0" applyFont="1" applyFill="1" applyAlignment="1" applyProtection="1">
      <alignment vertical="center"/>
    </xf>
    <xf numFmtId="0" fontId="0" fillId="17" borderId="0" xfId="0" applyFill="1" applyAlignment="1" applyProtection="1">
      <alignment horizontal="left" vertical="center"/>
    </xf>
    <xf numFmtId="0" fontId="6" fillId="18" borderId="0" xfId="0" applyFont="1" applyFill="1" applyAlignment="1" applyProtection="1">
      <alignment vertical="center"/>
    </xf>
    <xf numFmtId="0" fontId="11" fillId="18" borderId="0" xfId="0" applyFont="1" applyFill="1" applyAlignment="1" applyProtection="1">
      <alignment horizontal="left" vertical="center"/>
    </xf>
    <xf numFmtId="0" fontId="11" fillId="18" borderId="0" xfId="0" applyFont="1" applyFill="1" applyAlignment="1" applyProtection="1">
      <alignment horizontal="center" vertical="center"/>
    </xf>
    <xf numFmtId="0" fontId="1" fillId="18" borderId="0" xfId="0" applyFont="1" applyFill="1" applyAlignment="1" applyProtection="1">
      <alignment horizontal="center"/>
    </xf>
    <xf numFmtId="0" fontId="1" fillId="18" borderId="0" xfId="0" applyFont="1" applyFill="1" applyAlignment="1" applyProtection="1">
      <alignment horizontal="left" vertical="center"/>
    </xf>
    <xf numFmtId="0" fontId="8" fillId="18" borderId="0" xfId="0" applyFont="1" applyFill="1" applyAlignment="1" applyProtection="1">
      <alignment horizontal="left" vertical="center"/>
    </xf>
    <xf numFmtId="0" fontId="1" fillId="18" borderId="0" xfId="0" applyFont="1" applyFill="1" applyAlignment="1" applyProtection="1"/>
    <xf numFmtId="0" fontId="1" fillId="37" borderId="0" xfId="0" applyFont="1" applyFill="1" applyAlignment="1" applyProtection="1">
      <alignment vertical="center"/>
    </xf>
    <xf numFmtId="0" fontId="18" fillId="13" borderId="0" xfId="0" applyFont="1" applyFill="1" applyAlignment="1" applyProtection="1">
      <alignment vertical="center"/>
    </xf>
    <xf numFmtId="0" fontId="18" fillId="0" borderId="0" xfId="0" applyFont="1" applyAlignment="1" applyProtection="1">
      <alignment vertical="center"/>
    </xf>
    <xf numFmtId="0" fontId="1" fillId="13" borderId="1" xfId="0" applyFont="1" applyFill="1" applyBorder="1" applyAlignment="1" applyProtection="1">
      <alignment horizontal="center" vertical="center"/>
    </xf>
    <xf numFmtId="0" fontId="11" fillId="13" borderId="2" xfId="0" applyFont="1" applyFill="1" applyBorder="1" applyAlignment="1" applyProtection="1">
      <alignment horizontal="center" vertical="center"/>
    </xf>
    <xf numFmtId="0" fontId="1" fillId="13" borderId="0" xfId="0" applyFont="1" applyFill="1" applyAlignment="1" applyProtection="1">
      <alignment horizontal="center" vertical="center"/>
    </xf>
    <xf numFmtId="0" fontId="1" fillId="18" borderId="0" xfId="0" applyFont="1" applyFill="1" applyAlignment="1" applyProtection="1">
      <alignment horizontal="right" vertical="center"/>
    </xf>
    <xf numFmtId="0" fontId="1" fillId="14" borderId="0" xfId="0" applyFont="1" applyFill="1" applyAlignment="1" applyProtection="1">
      <alignment horizontal="right" vertical="center"/>
    </xf>
    <xf numFmtId="0" fontId="8" fillId="18" borderId="0" xfId="0" applyFont="1" applyFill="1" applyAlignment="1" applyProtection="1">
      <alignment vertical="center"/>
    </xf>
    <xf numFmtId="0" fontId="1" fillId="18" borderId="0" xfId="0" applyFont="1" applyFill="1" applyAlignment="1" applyProtection="1">
      <alignment horizontal="left"/>
    </xf>
    <xf numFmtId="0" fontId="8" fillId="14" borderId="0" xfId="0" applyFont="1" applyFill="1" applyAlignment="1" applyProtection="1">
      <alignment vertical="center"/>
    </xf>
    <xf numFmtId="0" fontId="1" fillId="38" borderId="0" xfId="0" applyFont="1" applyFill="1" applyAlignment="1" applyProtection="1">
      <alignment vertical="center"/>
    </xf>
    <xf numFmtId="0" fontId="0" fillId="6" borderId="0" xfId="0" applyFill="1" applyAlignment="1" applyProtection="1"/>
    <xf numFmtId="0" fontId="0" fillId="14" borderId="0" xfId="0" applyFill="1" applyAlignment="1" applyProtection="1">
      <alignment vertical="center" wrapText="1"/>
    </xf>
    <xf numFmtId="0" fontId="0" fillId="11" borderId="0" xfId="0" applyFill="1" applyAlignment="1" applyProtection="1">
      <alignment vertical="center" wrapText="1"/>
    </xf>
    <xf numFmtId="0" fontId="5" fillId="11" borderId="0" xfId="0" applyFont="1" applyFill="1" applyAlignment="1" applyProtection="1">
      <alignment vertical="center"/>
    </xf>
    <xf numFmtId="0" fontId="0" fillId="11" borderId="0" xfId="0" applyFill="1" applyAlignment="1" applyProtection="1"/>
    <xf numFmtId="0" fontId="0" fillId="11" borderId="0" xfId="0" applyFill="1" applyAlignment="1" applyProtection="1">
      <alignment horizontal="left"/>
    </xf>
    <xf numFmtId="0" fontId="0" fillId="6" borderId="0" xfId="0" applyFill="1" applyAlignment="1" applyProtection="1">
      <alignment horizontal="right" vertical="center"/>
    </xf>
    <xf numFmtId="0" fontId="0" fillId="11" borderId="0" xfId="0" applyFill="1" applyAlignment="1" applyProtection="1">
      <alignment horizontal="right" vertical="center"/>
    </xf>
    <xf numFmtId="0" fontId="0" fillId="11" borderId="0" xfId="0" applyFill="1" applyAlignment="1" applyProtection="1">
      <alignment horizontal="right"/>
    </xf>
    <xf numFmtId="0" fontId="3" fillId="14" borderId="0" xfId="0" applyFont="1" applyFill="1" applyAlignment="1" applyProtection="1">
      <alignment vertical="center"/>
    </xf>
    <xf numFmtId="0" fontId="7" fillId="6" borderId="0" xfId="0" applyFont="1" applyFill="1" applyAlignment="1" applyProtection="1">
      <alignment vertical="center"/>
    </xf>
    <xf numFmtId="0" fontId="4" fillId="6" borderId="0" xfId="0" applyFont="1" applyFill="1" applyAlignment="1" applyProtection="1">
      <alignment vertical="center"/>
    </xf>
    <xf numFmtId="0" fontId="7" fillId="11" borderId="0" xfId="0" applyFont="1" applyFill="1" applyAlignment="1" applyProtection="1">
      <alignment vertical="center"/>
    </xf>
    <xf numFmtId="0" fontId="4" fillId="11" borderId="0" xfId="0" applyFont="1" applyFill="1" applyAlignment="1" applyProtection="1">
      <alignment vertical="center"/>
    </xf>
    <xf numFmtId="0" fontId="0" fillId="6" borderId="0" xfId="0" applyFill="1" applyAlignment="1" applyProtection="1">
      <alignment horizontal="right"/>
    </xf>
    <xf numFmtId="0" fontId="19" fillId="0" borderId="0" xfId="0" applyFont="1" applyAlignment="1" applyProtection="1">
      <alignment vertical="center"/>
    </xf>
    <xf numFmtId="0" fontId="0" fillId="11" borderId="0" xfId="0" applyFill="1" applyAlignment="1" applyProtection="1">
      <alignment horizontal="left" vertical="center"/>
    </xf>
    <xf numFmtId="0" fontId="0" fillId="3" borderId="0" xfId="0" applyFill="1" applyAlignment="1" applyProtection="1"/>
    <xf numFmtId="0" fontId="0" fillId="6" borderId="0" xfId="0" applyFill="1" applyAlignment="1" applyProtection="1">
      <alignment horizontal="left"/>
    </xf>
    <xf numFmtId="0" fontId="0" fillId="3" borderId="0" xfId="0" applyFill="1" applyAlignment="1" applyProtection="1">
      <alignment horizontal="left" vertical="center"/>
    </xf>
    <xf numFmtId="0" fontId="20" fillId="3" borderId="0" xfId="0" applyFont="1" applyFill="1" applyAlignment="1" applyProtection="1">
      <alignment vertical="center"/>
    </xf>
    <xf numFmtId="0" fontId="0" fillId="4" borderId="0" xfId="0" applyFill="1" applyAlignment="1" applyProtection="1">
      <alignment horizontal="left" vertical="center"/>
    </xf>
    <xf numFmtId="0" fontId="0" fillId="6" borderId="0" xfId="0" applyFill="1" applyAlignment="1" applyProtection="1">
      <alignment horizontal="left" vertical="center"/>
    </xf>
    <xf numFmtId="0" fontId="0" fillId="13" borderId="0" xfId="0" applyFill="1" applyAlignment="1" applyProtection="1">
      <alignment horizontal="left" vertical="center"/>
    </xf>
    <xf numFmtId="0" fontId="0" fillId="20" borderId="0" xfId="0" applyFill="1" applyAlignment="1" applyProtection="1">
      <alignment horizontal="left"/>
    </xf>
    <xf numFmtId="0" fontId="0" fillId="12" borderId="0" xfId="0" applyFill="1" applyAlignment="1" applyProtection="1">
      <alignment horizontal="left" vertical="center"/>
    </xf>
    <xf numFmtId="0" fontId="3" fillId="4" borderId="0" xfId="0" applyFont="1" applyFill="1" applyAlignment="1" applyProtection="1">
      <alignment horizontal="left"/>
    </xf>
    <xf numFmtId="0" fontId="3" fillId="4" borderId="0" xfId="0" applyFont="1" applyFill="1" applyAlignment="1" applyProtection="1"/>
    <xf numFmtId="0" fontId="0" fillId="13" borderId="0" xfId="0" applyFill="1" applyAlignment="1" applyProtection="1"/>
    <xf numFmtId="0" fontId="0" fillId="11" borderId="0" xfId="0" applyFill="1" applyAlignment="1" applyProtection="1">
      <alignment horizontal="center"/>
    </xf>
    <xf numFmtId="0" fontId="0" fillId="6" borderId="0" xfId="0" applyFill="1" applyAlignment="1" applyProtection="1">
      <alignment horizontal="center"/>
    </xf>
    <xf numFmtId="0" fontId="0" fillId="3" borderId="0" xfId="0" applyFill="1" applyAlignment="1" applyProtection="1">
      <alignment horizontal="center" vertical="center"/>
    </xf>
    <xf numFmtId="0" fontId="0" fillId="13" borderId="0" xfId="0" applyFill="1" applyAlignment="1" applyProtection="1">
      <alignment horizontal="center"/>
    </xf>
    <xf numFmtId="0" fontId="0" fillId="19" borderId="0" xfId="0" applyFill="1" applyAlignment="1" applyProtection="1">
      <alignment horizontal="center"/>
    </xf>
    <xf numFmtId="0" fontId="0" fillId="4" borderId="0" xfId="0" applyFill="1" applyAlignment="1" applyProtection="1">
      <alignment horizontal="center"/>
    </xf>
    <xf numFmtId="0" fontId="0" fillId="20" borderId="0" xfId="0" applyFill="1" applyAlignment="1" applyProtection="1">
      <alignment horizontal="center"/>
    </xf>
    <xf numFmtId="0" fontId="3" fillId="4" borderId="0" xfId="0" applyFont="1" applyFill="1" applyAlignment="1" applyProtection="1">
      <alignment horizontal="center"/>
    </xf>
    <xf numFmtId="0" fontId="0" fillId="3" borderId="0" xfId="0" applyFill="1" applyAlignment="1" applyProtection="1">
      <alignment horizontal="right" vertical="center"/>
    </xf>
    <xf numFmtId="0" fontId="0" fillId="4" borderId="0" xfId="0" applyFill="1" applyAlignment="1" applyProtection="1">
      <alignment horizontal="right"/>
    </xf>
    <xf numFmtId="0" fontId="0" fillId="13" borderId="0" xfId="0" applyFill="1" applyAlignment="1" applyProtection="1">
      <alignment horizontal="right"/>
    </xf>
    <xf numFmtId="0" fontId="0" fillId="13" borderId="0" xfId="0" applyFill="1" applyAlignment="1" applyProtection="1">
      <alignment horizontal="right" vertical="center"/>
    </xf>
    <xf numFmtId="0" fontId="0" fillId="19" borderId="0" xfId="0" applyFill="1" applyAlignment="1" applyProtection="1">
      <alignment horizontal="right"/>
    </xf>
    <xf numFmtId="0" fontId="0" fillId="4" borderId="0" xfId="0" applyFill="1" applyAlignment="1" applyProtection="1">
      <alignment horizontal="right" vertical="center"/>
    </xf>
    <xf numFmtId="0" fontId="0" fillId="20" borderId="0" xfId="0" applyFill="1" applyAlignment="1" applyProtection="1">
      <alignment horizontal="right"/>
    </xf>
    <xf numFmtId="0" fontId="3" fillId="4" borderId="0" xfId="0" applyFont="1" applyFill="1" applyAlignment="1" applyProtection="1">
      <alignment horizontal="right"/>
    </xf>
    <xf numFmtId="0" fontId="3" fillId="4" borderId="0" xfId="0" applyFont="1" applyFill="1" applyAlignment="1" applyProtection="1">
      <alignment horizontal="right" vertical="center"/>
    </xf>
    <xf numFmtId="0" fontId="7" fillId="3" borderId="0" xfId="0" applyFont="1" applyFill="1" applyAlignment="1" applyProtection="1">
      <alignment vertical="center"/>
    </xf>
    <xf numFmtId="0" fontId="4" fillId="3" borderId="0" xfId="0" applyFont="1" applyFill="1" applyAlignment="1" applyProtection="1">
      <alignment vertical="center"/>
    </xf>
    <xf numFmtId="0" fontId="21" fillId="4" borderId="0" xfId="0" applyFont="1" applyFill="1" applyAlignment="1" applyProtection="1">
      <alignment vertical="center"/>
    </xf>
    <xf numFmtId="0" fontId="0" fillId="8" borderId="0" xfId="0" applyFill="1" applyAlignment="1" applyProtection="1">
      <alignment vertical="center"/>
    </xf>
    <xf numFmtId="0" fontId="0" fillId="2" borderId="0" xfId="0" applyFill="1" applyAlignment="1" applyProtection="1">
      <alignment horizontal="left" vertical="center"/>
    </xf>
    <xf numFmtId="0" fontId="0" fillId="2" borderId="0" xfId="0" applyFill="1" applyAlignment="1" applyProtection="1"/>
    <xf numFmtId="0" fontId="0" fillId="2" borderId="0" xfId="0" applyFill="1" applyAlignment="1" applyProtection="1">
      <alignment horizontal="left"/>
    </xf>
    <xf numFmtId="0" fontId="0" fillId="39" borderId="0" xfId="0" applyFill="1" applyAlignment="1" applyProtection="1">
      <alignment horizontal="right"/>
    </xf>
    <xf numFmtId="0" fontId="0" fillId="39" borderId="0" xfId="0" applyFill="1" applyAlignment="1" applyProtection="1">
      <alignment horizontal="left"/>
    </xf>
    <xf numFmtId="0" fontId="1" fillId="39" borderId="0" xfId="0" applyFont="1" applyFill="1" applyAlignment="1" applyProtection="1">
      <alignment vertical="center"/>
    </xf>
    <xf numFmtId="0" fontId="0" fillId="39" borderId="0" xfId="0" applyFill="1" applyAlignment="1" applyProtection="1">
      <alignment vertical="center"/>
    </xf>
    <xf numFmtId="0" fontId="0" fillId="40" borderId="0" xfId="0" applyFill="1" applyAlignment="1" applyProtection="1">
      <alignment horizontal="right"/>
    </xf>
    <xf numFmtId="0" fontId="0" fillId="40" borderId="0" xfId="0" applyFill="1" applyAlignment="1" applyProtection="1">
      <alignment horizontal="left"/>
    </xf>
    <xf numFmtId="0" fontId="1" fillId="40" borderId="0" xfId="0" applyFont="1" applyFill="1" applyAlignment="1" applyProtection="1">
      <alignment vertical="center"/>
    </xf>
    <xf numFmtId="0" fontId="0" fillId="40" borderId="0" xfId="0" applyFill="1" applyAlignment="1" applyProtection="1">
      <alignment vertical="center"/>
    </xf>
    <xf numFmtId="0" fontId="0" fillId="41" borderId="0" xfId="0" applyFill="1" applyAlignment="1" applyProtection="1">
      <alignment vertical="center"/>
    </xf>
    <xf numFmtId="0" fontId="22" fillId="41" borderId="0" xfId="0" applyFont="1" applyFill="1" applyAlignment="1" applyProtection="1">
      <alignment vertical="center"/>
    </xf>
    <xf numFmtId="0" fontId="0" fillId="41" borderId="0" xfId="0" applyFill="1" applyAlignment="1" applyProtection="1"/>
    <xf numFmtId="0" fontId="22" fillId="0" borderId="0" xfId="0" applyFont="1" applyAlignment="1" applyProtection="1">
      <alignment vertical="center"/>
    </xf>
    <xf numFmtId="0" fontId="22" fillId="7" borderId="0" xfId="0" applyFont="1" applyFill="1" applyAlignment="1" applyProtection="1">
      <alignment vertical="center"/>
    </xf>
    <xf numFmtId="0" fontId="0" fillId="7" borderId="0" xfId="0" applyFill="1" applyAlignment="1" applyProtection="1"/>
    <xf numFmtId="0" fontId="0" fillId="41" borderId="0" xfId="0" applyFill="1" applyAlignment="1" applyProtection="1">
      <alignment horizontal="right" vertical="center"/>
    </xf>
    <xf numFmtId="0" fontId="0" fillId="7" borderId="0" xfId="0" applyFill="1" applyAlignment="1" applyProtection="1">
      <alignment horizontal="right" vertical="center"/>
    </xf>
    <xf numFmtId="0" fontId="19" fillId="40" borderId="0" xfId="0" applyFont="1" applyFill="1" applyAlignment="1" applyProtection="1">
      <alignment vertical="center"/>
    </xf>
    <xf numFmtId="0" fontId="19" fillId="41" borderId="0" xfId="0" applyFont="1" applyFill="1" applyAlignment="1" applyProtection="1">
      <alignment vertical="center"/>
    </xf>
    <xf numFmtId="0" fontId="19" fillId="7" borderId="0" xfId="0" applyFont="1" applyFill="1" applyAlignment="1" applyProtection="1">
      <alignment vertical="center"/>
    </xf>
    <xf numFmtId="0" fontId="0" fillId="42" borderId="0" xfId="0" applyFill="1" applyAlignment="1" applyProtection="1">
      <alignment vertical="center"/>
    </xf>
    <xf numFmtId="0" fontId="2" fillId="3" borderId="0" xfId="0" applyFont="1" applyFill="1" applyAlignment="1" applyProtection="1">
      <alignment vertical="center"/>
    </xf>
    <xf numFmtId="0" fontId="0" fillId="21" borderId="0" xfId="0" applyFill="1" applyAlignment="1" applyProtection="1">
      <alignment horizontal="left"/>
    </xf>
    <xf numFmtId="0" fontId="0" fillId="21" borderId="0" xfId="0" applyFill="1" applyAlignment="1" applyProtection="1">
      <alignment horizontal="center"/>
    </xf>
    <xf numFmtId="0" fontId="0" fillId="4" borderId="0" xfId="0" applyFill="1" applyAlignment="1" applyProtection="1">
      <alignment horizontal="left"/>
    </xf>
    <xf numFmtId="0" fontId="1" fillId="10" borderId="0" xfId="0" applyFont="1" applyFill="1" applyAlignment="1" applyProtection="1">
      <alignment horizontal="left"/>
    </xf>
    <xf numFmtId="0" fontId="23" fillId="6" borderId="0" xfId="0" applyFont="1" applyFill="1" applyAlignment="1" applyProtection="1">
      <alignment vertical="center"/>
    </xf>
    <xf numFmtId="0" fontId="1" fillId="12" borderId="0" xfId="0" applyFont="1" applyFill="1" applyAlignment="1" applyProtection="1">
      <alignment horizontal="left"/>
    </xf>
    <xf numFmtId="0" fontId="24" fillId="4" borderId="0" xfId="0" applyFont="1" applyFill="1" applyAlignment="1" applyProtection="1">
      <alignment vertical="center"/>
    </xf>
    <xf numFmtId="0" fontId="0" fillId="37" borderId="0" xfId="0" applyFill="1" applyAlignment="1" applyProtection="1">
      <alignment vertical="center"/>
    </xf>
    <xf numFmtId="0" fontId="1" fillId="3" borderId="0" xfId="0" applyFont="1" applyFill="1" applyAlignment="1" applyProtection="1">
      <alignment horizontal="right" vertical="center"/>
    </xf>
    <xf numFmtId="0" fontId="0" fillId="21" borderId="0" xfId="0" applyFill="1" applyAlignment="1" applyProtection="1">
      <alignment horizontal="right"/>
    </xf>
    <xf numFmtId="0" fontId="1" fillId="10" borderId="0" xfId="0" applyFont="1" applyFill="1" applyAlignment="1" applyProtection="1">
      <alignment horizontal="right"/>
    </xf>
    <xf numFmtId="0" fontId="0" fillId="14" borderId="0" xfId="0" applyFill="1" applyAlignment="1" applyProtection="1">
      <alignment horizontal="right" vertical="center"/>
    </xf>
    <xf numFmtId="0" fontId="0" fillId="20" borderId="0" xfId="0" applyFill="1" applyAlignment="1" applyProtection="1">
      <alignment horizontal="right" vertical="center"/>
    </xf>
    <xf numFmtId="0" fontId="19" fillId="4" borderId="0" xfId="0" applyFont="1" applyFill="1" applyAlignment="1" applyProtection="1">
      <alignment vertical="center"/>
    </xf>
    <xf numFmtId="0" fontId="0" fillId="6" borderId="1" xfId="25" applyFont="1" applyFill="1" applyBorder="1" applyAlignment="1" applyProtection="1">
      <alignment horizontal="center" vertical="center"/>
    </xf>
    <xf numFmtId="0" fontId="0" fillId="43" borderId="0" xfId="0" applyFill="1" applyAlignment="1" applyProtection="1">
      <alignment vertical="center"/>
    </xf>
    <xf numFmtId="0" fontId="1" fillId="7" borderId="0" xfId="0" applyFont="1" applyFill="1" applyAlignment="1" applyProtection="1" quotePrefix="1">
      <alignment vertical="center"/>
    </xf>
    <xf numFmtId="0" fontId="1" fillId="0" borderId="0" xfId="0" applyFont="1" applyAlignment="1" applyProtection="1" quotePrefix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CCCCFF"/>
      <color rgb="009966FF"/>
      <color rgb="006A84B7"/>
      <color rgb="009083F1"/>
      <color rgb="00FF0000"/>
      <color rgb="00F400E6"/>
      <color rgb="00FFADFB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udding001_weapon02@story068_08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273"/>
  <sheetViews>
    <sheetView tabSelected="1" workbookViewId="0">
      <pane xSplit="3" ySplit="6" topLeftCell="D912" activePane="bottomRight" state="frozen"/>
      <selection/>
      <selection pane="topRight"/>
      <selection pane="bottomLeft"/>
      <selection pane="bottomRight" activeCell="C916" sqref="C916"/>
    </sheetView>
  </sheetViews>
  <sheetFormatPr defaultColWidth="9" defaultRowHeight="15"/>
  <cols>
    <col min="2" max="2" width="23.1333333333333" customWidth="1"/>
    <col min="3" max="3" width="46.5714285714286" customWidth="1"/>
    <col min="4" max="6" width="15.8857142857143" customWidth="1"/>
    <col min="7" max="9" width="14.8857142857143" customWidth="1"/>
    <col min="10" max="11" width="17.647619047619" customWidth="1"/>
    <col min="12" max="21" width="19.247619047619" customWidth="1"/>
    <col min="24" max="26" width="15.3809523809524" customWidth="1"/>
    <col min="27" max="30" width="15.5047619047619" customWidth="1"/>
    <col min="31" max="31" width="20" customWidth="1"/>
    <col min="32" max="32" width="15.5047619047619" customWidth="1"/>
    <col min="33" max="33" width="22" customWidth="1"/>
    <col min="34" max="34" width="51.1333333333333" customWidth="1"/>
    <col min="35" max="35" width="25.1333333333333" customWidth="1"/>
    <col min="36" max="36" width="18.752380952381" customWidth="1"/>
    <col min="37" max="37" width="21.5047619047619" customWidth="1"/>
    <col min="39" max="39" width="25.647619047619" customWidth="1"/>
    <col min="40" max="47" width="22.647619047619" customWidth="1"/>
    <col min="48" max="48" width="22.8857142857143" customWidth="1"/>
    <col min="49" max="49" width="24.5047619047619" customWidth="1"/>
    <col min="50" max="50" width="14.647619047619" customWidth="1"/>
    <col min="51" max="51" width="21.1333333333333" customWidth="1"/>
    <col min="52" max="52" width="25.1333333333333" customWidth="1"/>
  </cols>
  <sheetData>
    <row r="1" spans="1:4">
      <c r="A1" t="s">
        <v>0</v>
      </c>
      <c r="B1">
        <v>1</v>
      </c>
      <c r="C1">
        <v>9999</v>
      </c>
      <c r="D1">
        <v>52</v>
      </c>
    </row>
    <row r="2" ht="75" spans="1:5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s="6" t="s">
        <v>21</v>
      </c>
      <c r="V2" s="6" t="s">
        <v>22</v>
      </c>
      <c r="W2" s="6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s="53" t="s">
        <v>36</v>
      </c>
      <c r="AK2" s="53" t="s">
        <v>37</v>
      </c>
      <c r="AL2" s="53" t="s">
        <v>38</v>
      </c>
      <c r="AM2" t="s">
        <v>39</v>
      </c>
      <c r="AN2" t="s">
        <v>40</v>
      </c>
      <c r="AO2" t="s">
        <v>41</v>
      </c>
      <c r="AP2" t="s">
        <v>42</v>
      </c>
      <c r="AQ2" s="53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</row>
    <row r="3" spans="1:52">
      <c r="A3" t="s">
        <v>53</v>
      </c>
      <c r="B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s="6"/>
      <c r="V3" s="6"/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77</v>
      </c>
      <c r="AD3" t="s">
        <v>78</v>
      </c>
      <c r="AE3" t="s">
        <v>79</v>
      </c>
      <c r="AF3" t="s">
        <v>80</v>
      </c>
      <c r="AG3" t="s">
        <v>81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 t="s">
        <v>87</v>
      </c>
      <c r="AN3" t="s">
        <v>88</v>
      </c>
      <c r="AO3" t="s">
        <v>89</v>
      </c>
      <c r="AP3" t="s">
        <v>90</v>
      </c>
      <c r="AQ3" t="s">
        <v>91</v>
      </c>
      <c r="AR3" t="s">
        <v>92</v>
      </c>
      <c r="AS3" t="s">
        <v>93</v>
      </c>
      <c r="AT3" t="s">
        <v>94</v>
      </c>
      <c r="AU3" t="s">
        <v>95</v>
      </c>
      <c r="AV3" t="s">
        <v>96</v>
      </c>
      <c r="AW3" t="s">
        <v>97</v>
      </c>
      <c r="AX3" t="s">
        <v>98</v>
      </c>
      <c r="AY3" t="s">
        <v>99</v>
      </c>
      <c r="AZ3" t="s">
        <v>100</v>
      </c>
    </row>
    <row r="4" spans="1:52">
      <c r="A4" t="s">
        <v>101</v>
      </c>
      <c r="B4" t="s">
        <v>102</v>
      </c>
      <c r="D4" t="s">
        <v>101</v>
      </c>
      <c r="E4" t="s">
        <v>101</v>
      </c>
      <c r="F4" t="s">
        <v>103</v>
      </c>
      <c r="G4" t="s">
        <v>103</v>
      </c>
      <c r="H4" t="s">
        <v>103</v>
      </c>
      <c r="I4" t="s">
        <v>103</v>
      </c>
      <c r="J4" t="s">
        <v>104</v>
      </c>
      <c r="K4" t="s">
        <v>101</v>
      </c>
      <c r="L4" t="s">
        <v>103</v>
      </c>
      <c r="M4" t="s">
        <v>103</v>
      </c>
      <c r="N4" t="s">
        <v>101</v>
      </c>
      <c r="O4" t="s">
        <v>101</v>
      </c>
      <c r="P4" t="s">
        <v>103</v>
      </c>
      <c r="Q4" t="s">
        <v>103</v>
      </c>
      <c r="R4" t="s">
        <v>101</v>
      </c>
      <c r="S4" t="s">
        <v>101</v>
      </c>
      <c r="T4" t="s">
        <v>103</v>
      </c>
      <c r="U4" s="6"/>
      <c r="V4" s="6"/>
      <c r="W4" s="6"/>
      <c r="X4" s="6" t="s">
        <v>105</v>
      </c>
      <c r="Y4" s="6" t="s">
        <v>105</v>
      </c>
      <c r="Z4" s="6" t="s">
        <v>105</v>
      </c>
      <c r="AA4" s="6" t="s">
        <v>105</v>
      </c>
      <c r="AB4" t="s">
        <v>106</v>
      </c>
      <c r="AC4" t="s">
        <v>106</v>
      </c>
      <c r="AD4" t="s">
        <v>107</v>
      </c>
      <c r="AE4" t="s">
        <v>102</v>
      </c>
      <c r="AF4" t="s">
        <v>106</v>
      </c>
      <c r="AG4" t="s">
        <v>107</v>
      </c>
      <c r="AH4" t="s">
        <v>104</v>
      </c>
      <c r="AI4" t="s">
        <v>103</v>
      </c>
      <c r="AJ4" t="s">
        <v>107</v>
      </c>
      <c r="AK4" t="s">
        <v>101</v>
      </c>
      <c r="AL4" t="s">
        <v>102</v>
      </c>
      <c r="AM4" t="s">
        <v>101</v>
      </c>
      <c r="AN4" t="s">
        <v>105</v>
      </c>
      <c r="AO4" t="s">
        <v>105</v>
      </c>
      <c r="AP4" t="s">
        <v>101</v>
      </c>
      <c r="AQ4" t="s">
        <v>107</v>
      </c>
      <c r="AR4" t="s">
        <v>106</v>
      </c>
      <c r="AS4" t="s">
        <v>106</v>
      </c>
      <c r="AT4" t="s">
        <v>106</v>
      </c>
      <c r="AU4" t="s">
        <v>106</v>
      </c>
      <c r="AV4" t="s">
        <v>107</v>
      </c>
      <c r="AW4" t="s">
        <v>107</v>
      </c>
      <c r="AX4" t="s">
        <v>102</v>
      </c>
      <c r="AY4" t="s">
        <v>106</v>
      </c>
      <c r="AZ4" t="s">
        <v>107</v>
      </c>
    </row>
    <row r="5" spans="1:52">
      <c r="A5" t="s">
        <v>108</v>
      </c>
      <c r="B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109</v>
      </c>
      <c r="AG5" t="s">
        <v>109</v>
      </c>
      <c r="AH5" t="s">
        <v>109</v>
      </c>
      <c r="AI5" t="s">
        <v>109</v>
      </c>
      <c r="AJ5" t="s">
        <v>109</v>
      </c>
      <c r="AK5" t="s">
        <v>109</v>
      </c>
      <c r="AL5" t="s">
        <v>109</v>
      </c>
      <c r="AM5" t="s">
        <v>109</v>
      </c>
      <c r="AN5" t="s">
        <v>109</v>
      </c>
      <c r="AO5" t="s">
        <v>109</v>
      </c>
      <c r="AP5" t="s">
        <v>109</v>
      </c>
      <c r="AQ5" t="s">
        <v>109</v>
      </c>
      <c r="AR5" t="s">
        <v>109</v>
      </c>
      <c r="AS5" t="s">
        <v>109</v>
      </c>
      <c r="AT5" t="s">
        <v>109</v>
      </c>
      <c r="AU5" t="s">
        <v>109</v>
      </c>
      <c r="AV5" t="s">
        <v>109</v>
      </c>
      <c r="AW5" t="s">
        <v>109</v>
      </c>
      <c r="AX5" t="s">
        <v>109</v>
      </c>
      <c r="AY5" t="s">
        <v>109</v>
      </c>
      <c r="AZ5" t="s">
        <v>109</v>
      </c>
    </row>
    <row r="6" spans="1:22">
      <c r="A6" t="s">
        <v>110</v>
      </c>
      <c r="B6" t="s">
        <v>111</v>
      </c>
      <c r="U6" s="6"/>
      <c r="V6" s="6"/>
    </row>
    <row r="7" spans="1:49">
      <c r="A7" t="s">
        <v>112</v>
      </c>
      <c r="B7" t="s">
        <v>113</v>
      </c>
      <c r="C7" s="38" t="s">
        <v>114</v>
      </c>
      <c r="D7">
        <v>1</v>
      </c>
      <c r="E7">
        <v>1</v>
      </c>
      <c r="F7">
        <v>1</v>
      </c>
      <c r="G7">
        <v>1.52</v>
      </c>
      <c r="H7">
        <v>1.68</v>
      </c>
      <c r="I7">
        <v>0.43</v>
      </c>
      <c r="J7" t="s">
        <v>115</v>
      </c>
      <c r="L7">
        <v>0.166666666666667</v>
      </c>
      <c r="M7">
        <v>0.6</v>
      </c>
      <c r="P7">
        <v>0.166666666666667</v>
      </c>
      <c r="Q7">
        <v>0.7</v>
      </c>
      <c r="T7">
        <v>2.4</v>
      </c>
      <c r="U7" s="6">
        <v>0</v>
      </c>
      <c r="V7" s="6">
        <v>-5.16</v>
      </c>
      <c r="W7">
        <v>5</v>
      </c>
      <c r="X7">
        <v>-2.391</v>
      </c>
      <c r="Y7">
        <v>0.829</v>
      </c>
      <c r="Z7">
        <v>-2.639</v>
      </c>
      <c r="AA7">
        <v>1</v>
      </c>
      <c r="AB7">
        <v>0</v>
      </c>
      <c r="AF7">
        <v>801</v>
      </c>
      <c r="AG7" t="s">
        <v>116</v>
      </c>
      <c r="AH7" t="s">
        <v>117</v>
      </c>
      <c r="AK7">
        <v>0</v>
      </c>
      <c r="AV7" t="s">
        <v>118</v>
      </c>
      <c r="AW7" t="s">
        <v>118</v>
      </c>
    </row>
    <row r="8" spans="1:49">
      <c r="A8">
        <v>2</v>
      </c>
      <c r="B8" t="s">
        <v>119</v>
      </c>
      <c r="C8" s="38" t="s">
        <v>120</v>
      </c>
      <c r="D8">
        <v>1</v>
      </c>
      <c r="E8">
        <v>1</v>
      </c>
      <c r="F8">
        <v>1</v>
      </c>
      <c r="G8">
        <v>1.64</v>
      </c>
      <c r="H8">
        <v>1.8</v>
      </c>
      <c r="I8">
        <v>0.5</v>
      </c>
      <c r="J8" t="s">
        <v>115</v>
      </c>
      <c r="L8">
        <v>0.166666666666667</v>
      </c>
      <c r="M8">
        <v>0.4</v>
      </c>
      <c r="P8">
        <v>0.2</v>
      </c>
      <c r="Q8">
        <v>0.6</v>
      </c>
      <c r="T8">
        <v>2.4</v>
      </c>
      <c r="U8" s="6">
        <v>0</v>
      </c>
      <c r="V8" s="6">
        <v>-5.86</v>
      </c>
      <c r="W8">
        <v>5</v>
      </c>
      <c r="X8">
        <v>-2.454</v>
      </c>
      <c r="Y8">
        <v>0.983</v>
      </c>
      <c r="Z8">
        <v>-2.454</v>
      </c>
      <c r="AA8">
        <v>1</v>
      </c>
      <c r="AB8">
        <v>0</v>
      </c>
      <c r="AF8">
        <v>801</v>
      </c>
      <c r="AG8" t="s">
        <v>116</v>
      </c>
      <c r="AH8" t="s">
        <v>121</v>
      </c>
      <c r="AK8">
        <v>0</v>
      </c>
      <c r="AV8" t="s">
        <v>122</v>
      </c>
      <c r="AW8" t="s">
        <v>122</v>
      </c>
    </row>
    <row r="9" spans="1:37">
      <c r="A9">
        <v>3</v>
      </c>
      <c r="B9" t="s">
        <v>123</v>
      </c>
      <c r="C9" s="38" t="s">
        <v>124</v>
      </c>
      <c r="D9">
        <v>1</v>
      </c>
      <c r="E9">
        <v>1</v>
      </c>
      <c r="F9">
        <v>1</v>
      </c>
      <c r="G9">
        <v>1.68</v>
      </c>
      <c r="H9">
        <v>1.98</v>
      </c>
      <c r="I9">
        <v>0.33</v>
      </c>
      <c r="J9" t="s">
        <v>115</v>
      </c>
      <c r="L9">
        <v>0.1</v>
      </c>
      <c r="M9">
        <v>0.4</v>
      </c>
      <c r="P9">
        <v>0.2</v>
      </c>
      <c r="Q9">
        <v>0.733333333333333</v>
      </c>
      <c r="T9">
        <v>2.4</v>
      </c>
      <c r="U9" s="6">
        <v>0</v>
      </c>
      <c r="V9" s="6">
        <v>-6.91</v>
      </c>
      <c r="W9">
        <v>5</v>
      </c>
      <c r="X9">
        <v>-2.325</v>
      </c>
      <c r="Y9">
        <v>0.972</v>
      </c>
      <c r="Z9">
        <v>-2.778</v>
      </c>
      <c r="AA9">
        <v>1</v>
      </c>
      <c r="AB9">
        <v>0</v>
      </c>
      <c r="AF9">
        <v>801</v>
      </c>
      <c r="AG9" t="s">
        <v>116</v>
      </c>
      <c r="AH9" t="s">
        <v>121</v>
      </c>
      <c r="AK9">
        <v>0</v>
      </c>
    </row>
    <row r="10" spans="1:37">
      <c r="A10">
        <v>4</v>
      </c>
      <c r="B10" t="s">
        <v>125</v>
      </c>
      <c r="C10" s="38" t="s">
        <v>126</v>
      </c>
      <c r="D10">
        <v>1</v>
      </c>
      <c r="E10">
        <v>1</v>
      </c>
      <c r="F10">
        <v>1</v>
      </c>
      <c r="G10">
        <v>1.56</v>
      </c>
      <c r="H10">
        <v>1.76</v>
      </c>
      <c r="I10">
        <v>0.5</v>
      </c>
      <c r="J10" t="s">
        <v>115</v>
      </c>
      <c r="L10" s="44">
        <v>0.1</v>
      </c>
      <c r="M10" s="44">
        <v>0.5</v>
      </c>
      <c r="N10" s="44"/>
      <c r="O10" s="44"/>
      <c r="P10" s="44">
        <v>0.1</v>
      </c>
      <c r="Q10" s="44">
        <v>0.5</v>
      </c>
      <c r="R10" s="44"/>
      <c r="S10" s="44"/>
      <c r="T10">
        <v>2.4</v>
      </c>
      <c r="U10" s="6">
        <v>0</v>
      </c>
      <c r="V10" s="6">
        <v>-5</v>
      </c>
      <c r="W10">
        <v>5</v>
      </c>
      <c r="X10">
        <v>-2.354</v>
      </c>
      <c r="Y10">
        <v>0.852</v>
      </c>
      <c r="Z10">
        <v>-2.761</v>
      </c>
      <c r="AA10">
        <v>1</v>
      </c>
      <c r="AB10">
        <v>0</v>
      </c>
      <c r="AF10">
        <v>801</v>
      </c>
      <c r="AG10" t="s">
        <v>116</v>
      </c>
      <c r="AH10" t="s">
        <v>121</v>
      </c>
      <c r="AK10">
        <v>0</v>
      </c>
    </row>
    <row r="11" spans="1:37">
      <c r="A11">
        <v>5</v>
      </c>
      <c r="B11" t="s">
        <v>127</v>
      </c>
      <c r="C11" s="38" t="s">
        <v>128</v>
      </c>
      <c r="D11">
        <v>1</v>
      </c>
      <c r="E11">
        <v>1</v>
      </c>
      <c r="F11">
        <v>1</v>
      </c>
      <c r="G11">
        <v>1.55</v>
      </c>
      <c r="H11">
        <v>1.92</v>
      </c>
      <c r="I11">
        <v>0.37</v>
      </c>
      <c r="J11" t="s">
        <v>115</v>
      </c>
      <c r="L11">
        <v>0.266666666666667</v>
      </c>
      <c r="M11">
        <v>0.533333333333333</v>
      </c>
      <c r="P11">
        <v>0.133333333333333</v>
      </c>
      <c r="Q11">
        <v>0.5</v>
      </c>
      <c r="T11">
        <v>2.4</v>
      </c>
      <c r="U11" s="6">
        <v>0</v>
      </c>
      <c r="V11" s="6">
        <v>-6.4</v>
      </c>
      <c r="W11">
        <v>5</v>
      </c>
      <c r="X11">
        <v>-2.425</v>
      </c>
      <c r="Y11">
        <v>0.891</v>
      </c>
      <c r="Z11">
        <v>-2.562</v>
      </c>
      <c r="AA11">
        <v>1</v>
      </c>
      <c r="AB11">
        <v>0</v>
      </c>
      <c r="AF11">
        <v>801</v>
      </c>
      <c r="AG11" t="s">
        <v>116</v>
      </c>
      <c r="AH11" t="s">
        <v>121</v>
      </c>
      <c r="AK11">
        <v>0</v>
      </c>
    </row>
    <row r="12" spans="1:49">
      <c r="A12">
        <v>6</v>
      </c>
      <c r="B12" t="s">
        <v>129</v>
      </c>
      <c r="C12" t="s">
        <v>130</v>
      </c>
      <c r="D12">
        <v>1</v>
      </c>
      <c r="E12">
        <v>1</v>
      </c>
      <c r="F12">
        <v>1</v>
      </c>
      <c r="G12">
        <v>1.85</v>
      </c>
      <c r="H12">
        <v>1.9</v>
      </c>
      <c r="I12">
        <v>0.36</v>
      </c>
      <c r="J12" t="s">
        <v>115</v>
      </c>
      <c r="L12">
        <v>0.0333333333333333</v>
      </c>
      <c r="M12">
        <v>0.3</v>
      </c>
      <c r="P12">
        <v>0.0333333333333333</v>
      </c>
      <c r="Q12">
        <v>0.3</v>
      </c>
      <c r="T12">
        <v>2.4</v>
      </c>
      <c r="U12" s="6">
        <v>0</v>
      </c>
      <c r="V12" s="6">
        <v>-5.3</v>
      </c>
      <c r="W12">
        <v>4.5</v>
      </c>
      <c r="X12">
        <v>-2.14</v>
      </c>
      <c r="Y12">
        <v>1.14</v>
      </c>
      <c r="Z12">
        <v>-3</v>
      </c>
      <c r="AA12">
        <v>1</v>
      </c>
      <c r="AB12">
        <v>0</v>
      </c>
      <c r="AF12">
        <v>801</v>
      </c>
      <c r="AG12" t="s">
        <v>116</v>
      </c>
      <c r="AH12" t="s">
        <v>121</v>
      </c>
      <c r="AK12">
        <v>0</v>
      </c>
      <c r="AV12" t="s">
        <v>131</v>
      </c>
      <c r="AW12" t="s">
        <v>132</v>
      </c>
    </row>
    <row r="13" spans="1:37">
      <c r="A13">
        <v>7</v>
      </c>
      <c r="B13" t="s">
        <v>133</v>
      </c>
      <c r="C13" t="s">
        <v>134</v>
      </c>
      <c r="D13">
        <v>1</v>
      </c>
      <c r="E13">
        <v>1</v>
      </c>
      <c r="F13">
        <v>1</v>
      </c>
      <c r="G13">
        <v>0.7</v>
      </c>
      <c r="H13">
        <v>1.1</v>
      </c>
      <c r="I13">
        <v>0.35</v>
      </c>
      <c r="J13" t="s">
        <v>115</v>
      </c>
      <c r="L13">
        <v>0.166666666666667</v>
      </c>
      <c r="M13">
        <v>0.533333333333333</v>
      </c>
      <c r="P13">
        <v>0.133333333333333</v>
      </c>
      <c r="Q13">
        <v>0.533333333333333</v>
      </c>
      <c r="T13">
        <v>2.4</v>
      </c>
      <c r="U13" s="6">
        <v>0</v>
      </c>
      <c r="V13" s="6">
        <v>-3.4</v>
      </c>
      <c r="W13">
        <v>5</v>
      </c>
      <c r="X13">
        <v>-2.01</v>
      </c>
      <c r="Y13">
        <v>0.03</v>
      </c>
      <c r="Z13">
        <v>-3.37</v>
      </c>
      <c r="AA13">
        <v>1</v>
      </c>
      <c r="AB13">
        <v>0</v>
      </c>
      <c r="AF13">
        <v>801</v>
      </c>
      <c r="AG13" t="s">
        <v>116</v>
      </c>
      <c r="AH13" t="s">
        <v>117</v>
      </c>
      <c r="AK13">
        <v>0</v>
      </c>
    </row>
    <row r="14" spans="1:37">
      <c r="A14">
        <v>8</v>
      </c>
      <c r="B14" t="s">
        <v>135</v>
      </c>
      <c r="C14" s="38" t="s">
        <v>136</v>
      </c>
      <c r="D14">
        <v>1</v>
      </c>
      <c r="E14">
        <v>1</v>
      </c>
      <c r="F14">
        <v>1</v>
      </c>
      <c r="G14">
        <v>1.69</v>
      </c>
      <c r="H14">
        <v>1.91</v>
      </c>
      <c r="I14">
        <v>0.24</v>
      </c>
      <c r="J14" t="s">
        <v>115</v>
      </c>
      <c r="L14">
        <v>0.2</v>
      </c>
      <c r="M14">
        <v>0.6</v>
      </c>
      <c r="P14">
        <v>0.233333333333333</v>
      </c>
      <c r="Q14">
        <v>0.566666666666667</v>
      </c>
      <c r="T14">
        <v>2.4</v>
      </c>
      <c r="U14" s="6">
        <v>0</v>
      </c>
      <c r="V14" s="6">
        <v>-6.11</v>
      </c>
      <c r="W14">
        <v>5</v>
      </c>
      <c r="X14">
        <v>-2.373</v>
      </c>
      <c r="Y14">
        <v>0.992</v>
      </c>
      <c r="Z14">
        <v>-2.629</v>
      </c>
      <c r="AA14">
        <v>1</v>
      </c>
      <c r="AB14">
        <v>0</v>
      </c>
      <c r="AF14">
        <v>801</v>
      </c>
      <c r="AG14" t="s">
        <v>116</v>
      </c>
      <c r="AH14" t="s">
        <v>121</v>
      </c>
      <c r="AK14">
        <v>0</v>
      </c>
    </row>
    <row r="15" spans="1:37">
      <c r="A15">
        <v>9</v>
      </c>
      <c r="B15" t="s">
        <v>137</v>
      </c>
      <c r="C15" s="38" t="s">
        <v>138</v>
      </c>
      <c r="D15">
        <v>1</v>
      </c>
      <c r="E15">
        <v>1</v>
      </c>
      <c r="F15">
        <v>1</v>
      </c>
      <c r="G15">
        <v>1.5</v>
      </c>
      <c r="H15">
        <v>1.8</v>
      </c>
      <c r="I15">
        <v>0.48</v>
      </c>
      <c r="J15" t="s">
        <v>115</v>
      </c>
      <c r="L15" s="44">
        <v>0.1</v>
      </c>
      <c r="M15" s="44">
        <v>0.5</v>
      </c>
      <c r="N15" s="44"/>
      <c r="O15" s="44"/>
      <c r="P15" s="44">
        <v>0.167</v>
      </c>
      <c r="Q15" s="44">
        <v>0.6</v>
      </c>
      <c r="R15" s="44"/>
      <c r="S15" s="44"/>
      <c r="T15">
        <v>2.4</v>
      </c>
      <c r="U15" s="6">
        <v>0</v>
      </c>
      <c r="V15" s="6">
        <v>-5.02</v>
      </c>
      <c r="W15">
        <v>5</v>
      </c>
      <c r="X15">
        <v>-2.35</v>
      </c>
      <c r="Y15">
        <v>0.834</v>
      </c>
      <c r="Z15">
        <v>-2.61</v>
      </c>
      <c r="AA15">
        <v>1</v>
      </c>
      <c r="AB15">
        <v>0</v>
      </c>
      <c r="AF15">
        <v>801</v>
      </c>
      <c r="AG15" t="s">
        <v>116</v>
      </c>
      <c r="AH15" t="s">
        <v>117</v>
      </c>
      <c r="AK15">
        <v>0</v>
      </c>
    </row>
    <row r="16" spans="1:37">
      <c r="A16">
        <v>10</v>
      </c>
      <c r="B16" t="s">
        <v>139</v>
      </c>
      <c r="C16" t="s">
        <v>140</v>
      </c>
      <c r="D16">
        <v>1</v>
      </c>
      <c r="E16">
        <v>1</v>
      </c>
      <c r="F16">
        <v>0.9</v>
      </c>
      <c r="G16">
        <v>2.2</v>
      </c>
      <c r="H16">
        <v>2.4</v>
      </c>
      <c r="I16">
        <v>0.28</v>
      </c>
      <c r="J16" t="s">
        <v>115</v>
      </c>
      <c r="L16">
        <v>0</v>
      </c>
      <c r="M16">
        <f>10/30</f>
        <v>0.333333333333333</v>
      </c>
      <c r="P16">
        <v>0</v>
      </c>
      <c r="Q16">
        <v>0.466666666666667</v>
      </c>
      <c r="T16">
        <v>2.4</v>
      </c>
      <c r="U16" s="6">
        <v>0</v>
      </c>
      <c r="V16" s="6">
        <v>-6.69</v>
      </c>
      <c r="W16">
        <v>4.5</v>
      </c>
      <c r="X16">
        <v>-2.14</v>
      </c>
      <c r="Y16">
        <v>1.19</v>
      </c>
      <c r="Z16">
        <v>-3.06</v>
      </c>
      <c r="AA16">
        <v>0.9</v>
      </c>
      <c r="AB16">
        <v>0</v>
      </c>
      <c r="AF16">
        <v>801</v>
      </c>
      <c r="AG16" t="s">
        <v>116</v>
      </c>
      <c r="AH16" t="s">
        <v>117</v>
      </c>
      <c r="AK16">
        <v>0</v>
      </c>
    </row>
    <row r="17" spans="1:37">
      <c r="A17">
        <v>11</v>
      </c>
      <c r="B17" s="39" t="s">
        <v>141</v>
      </c>
      <c r="C17" s="38" t="s">
        <v>142</v>
      </c>
      <c r="D17">
        <v>1</v>
      </c>
      <c r="E17">
        <v>1</v>
      </c>
      <c r="F17">
        <v>1</v>
      </c>
      <c r="G17">
        <v>1.78</v>
      </c>
      <c r="H17" s="39">
        <v>2.06</v>
      </c>
      <c r="I17" s="39">
        <v>0.44</v>
      </c>
      <c r="J17" t="s">
        <v>115</v>
      </c>
      <c r="L17">
        <v>0.2</v>
      </c>
      <c r="M17">
        <v>0.566666666666667</v>
      </c>
      <c r="P17">
        <v>0.166666666666667</v>
      </c>
      <c r="Q17">
        <v>0.7</v>
      </c>
      <c r="T17">
        <v>2.4</v>
      </c>
      <c r="U17" s="6">
        <v>0</v>
      </c>
      <c r="V17" s="6">
        <v>-7.12</v>
      </c>
      <c r="W17">
        <v>5</v>
      </c>
      <c r="X17">
        <v>-2.191</v>
      </c>
      <c r="Y17">
        <v>1.087</v>
      </c>
      <c r="Z17">
        <v>-2.968</v>
      </c>
      <c r="AA17">
        <v>1</v>
      </c>
      <c r="AB17">
        <v>0</v>
      </c>
      <c r="AF17">
        <v>801</v>
      </c>
      <c r="AG17" t="s">
        <v>116</v>
      </c>
      <c r="AH17" t="s">
        <v>121</v>
      </c>
      <c r="AK17">
        <v>0</v>
      </c>
    </row>
    <row r="18" spans="1:37">
      <c r="A18">
        <v>12</v>
      </c>
      <c r="B18" t="s">
        <v>143</v>
      </c>
      <c r="C18" t="s">
        <v>144</v>
      </c>
      <c r="D18">
        <v>1</v>
      </c>
      <c r="E18">
        <v>1</v>
      </c>
      <c r="F18">
        <v>1</v>
      </c>
      <c r="G18">
        <v>1.98</v>
      </c>
      <c r="H18" s="39">
        <v>2.2</v>
      </c>
      <c r="I18" s="39">
        <v>0.55</v>
      </c>
      <c r="J18" t="s">
        <v>115</v>
      </c>
      <c r="L18">
        <v>0.2</v>
      </c>
      <c r="M18">
        <v>0.6</v>
      </c>
      <c r="P18">
        <v>0.166666666666667</v>
      </c>
      <c r="Q18">
        <v>0.733333333333333</v>
      </c>
      <c r="T18">
        <v>2.4</v>
      </c>
      <c r="U18" s="6">
        <v>0</v>
      </c>
      <c r="V18" s="6">
        <v>-7.08</v>
      </c>
      <c r="W18">
        <v>4.8</v>
      </c>
      <c r="X18">
        <v>-2.21</v>
      </c>
      <c r="Y18">
        <v>1.07</v>
      </c>
      <c r="Z18">
        <v>-2.92</v>
      </c>
      <c r="AA18">
        <v>0.92</v>
      </c>
      <c r="AB18">
        <v>0</v>
      </c>
      <c r="AF18">
        <v>801</v>
      </c>
      <c r="AG18" t="s">
        <v>116</v>
      </c>
      <c r="AH18" t="s">
        <v>121</v>
      </c>
      <c r="AK18">
        <v>0</v>
      </c>
    </row>
    <row r="19" spans="1:37">
      <c r="A19">
        <v>13</v>
      </c>
      <c r="B19" s="40" t="s">
        <v>145</v>
      </c>
      <c r="C19" s="41" t="s">
        <v>146</v>
      </c>
      <c r="D19">
        <v>1</v>
      </c>
      <c r="E19">
        <v>1</v>
      </c>
      <c r="F19">
        <v>1</v>
      </c>
      <c r="G19">
        <v>1.58</v>
      </c>
      <c r="H19" s="39">
        <v>1.75</v>
      </c>
      <c r="I19" s="39">
        <v>0.25</v>
      </c>
      <c r="J19" t="s">
        <v>115</v>
      </c>
      <c r="L19">
        <v>0.166666666666667</v>
      </c>
      <c r="M19">
        <v>0.666666666666667</v>
      </c>
      <c r="P19">
        <v>0.0333333333333333</v>
      </c>
      <c r="Q19">
        <v>0.433333333333333</v>
      </c>
      <c r="T19">
        <v>2.4</v>
      </c>
      <c r="U19" s="6">
        <v>0</v>
      </c>
      <c r="V19" s="6">
        <v>-6.53</v>
      </c>
      <c r="W19">
        <v>5</v>
      </c>
      <c r="X19">
        <v>-2.402</v>
      </c>
      <c r="Y19">
        <v>0.91</v>
      </c>
      <c r="Z19">
        <v>-2.586</v>
      </c>
      <c r="AA19">
        <v>1</v>
      </c>
      <c r="AB19">
        <v>0</v>
      </c>
      <c r="AF19">
        <v>801</v>
      </c>
      <c r="AG19" t="s">
        <v>116</v>
      </c>
      <c r="AH19" t="s">
        <v>121</v>
      </c>
      <c r="AK19">
        <v>0</v>
      </c>
    </row>
    <row r="20" spans="1:37">
      <c r="A20">
        <v>14</v>
      </c>
      <c r="B20" s="40" t="s">
        <v>147</v>
      </c>
      <c r="C20" t="s">
        <v>148</v>
      </c>
      <c r="D20">
        <v>1</v>
      </c>
      <c r="E20">
        <v>1</v>
      </c>
      <c r="F20">
        <v>1</v>
      </c>
      <c r="G20">
        <v>1.68</v>
      </c>
      <c r="H20" s="39">
        <v>1.72</v>
      </c>
      <c r="I20" s="39">
        <v>0.66</v>
      </c>
      <c r="J20" t="s">
        <v>115</v>
      </c>
      <c r="L20">
        <v>0.166666666666667</v>
      </c>
      <c r="M20">
        <v>0.6</v>
      </c>
      <c r="P20">
        <v>0.166666666666667</v>
      </c>
      <c r="Q20">
        <v>0.6</v>
      </c>
      <c r="T20">
        <v>2.4</v>
      </c>
      <c r="U20" s="6">
        <v>0</v>
      </c>
      <c r="V20" s="6">
        <v>-5.14</v>
      </c>
      <c r="W20">
        <v>5</v>
      </c>
      <c r="X20">
        <v>-2.465</v>
      </c>
      <c r="Y20">
        <v>0.98</v>
      </c>
      <c r="Z20">
        <v>-2.509</v>
      </c>
      <c r="AA20">
        <v>1</v>
      </c>
      <c r="AB20">
        <v>0</v>
      </c>
      <c r="AF20">
        <v>801</v>
      </c>
      <c r="AG20" t="s">
        <v>116</v>
      </c>
      <c r="AH20" t="s">
        <v>121</v>
      </c>
      <c r="AK20">
        <v>0</v>
      </c>
    </row>
    <row r="21" spans="1:37">
      <c r="A21">
        <v>15</v>
      </c>
      <c r="B21" s="40" t="s">
        <v>149</v>
      </c>
      <c r="C21" t="s">
        <v>150</v>
      </c>
      <c r="D21">
        <v>1</v>
      </c>
      <c r="E21">
        <v>1</v>
      </c>
      <c r="F21">
        <v>1</v>
      </c>
      <c r="G21">
        <v>1.71</v>
      </c>
      <c r="H21" s="39">
        <v>1.75</v>
      </c>
      <c r="I21" s="39">
        <v>0.5</v>
      </c>
      <c r="J21" t="s">
        <v>115</v>
      </c>
      <c r="L21">
        <v>0.133333333333333</v>
      </c>
      <c r="M21">
        <v>0.8</v>
      </c>
      <c r="P21">
        <v>0.133333333333333</v>
      </c>
      <c r="Q21">
        <v>0.666666666666667</v>
      </c>
      <c r="T21">
        <v>2.4</v>
      </c>
      <c r="U21" s="6">
        <v>0</v>
      </c>
      <c r="V21" s="6">
        <v>-5.43</v>
      </c>
      <c r="W21">
        <v>5</v>
      </c>
      <c r="X21">
        <v>-2.15</v>
      </c>
      <c r="Y21">
        <v>1.03</v>
      </c>
      <c r="Z21">
        <v>-3.07</v>
      </c>
      <c r="AA21">
        <v>1</v>
      </c>
      <c r="AB21">
        <v>0</v>
      </c>
      <c r="AF21">
        <v>801</v>
      </c>
      <c r="AG21" t="s">
        <v>116</v>
      </c>
      <c r="AH21" t="s">
        <v>121</v>
      </c>
      <c r="AK21">
        <v>0</v>
      </c>
    </row>
    <row r="22" spans="1:52">
      <c r="A22">
        <v>16</v>
      </c>
      <c r="B22" s="40" t="s">
        <v>151</v>
      </c>
      <c r="C22" s="40" t="s">
        <v>152</v>
      </c>
      <c r="D22">
        <v>1</v>
      </c>
      <c r="E22">
        <v>1</v>
      </c>
      <c r="F22">
        <v>0.85</v>
      </c>
      <c r="G22">
        <v>2.38</v>
      </c>
      <c r="H22" s="39">
        <v>2.72</v>
      </c>
      <c r="I22" s="39">
        <v>0.6</v>
      </c>
      <c r="J22" t="s">
        <v>115</v>
      </c>
      <c r="L22">
        <f>3/30</f>
        <v>0.1</v>
      </c>
      <c r="M22">
        <f>18/30</f>
        <v>0.6</v>
      </c>
      <c r="N22">
        <v>792</v>
      </c>
      <c r="O22">
        <v>794</v>
      </c>
      <c r="P22">
        <f>3/30</f>
        <v>0.1</v>
      </c>
      <c r="Q22">
        <f>19/30</f>
        <v>0.633333333333333</v>
      </c>
      <c r="R22">
        <v>793</v>
      </c>
      <c r="S22">
        <v>794</v>
      </c>
      <c r="T22">
        <v>2.4</v>
      </c>
      <c r="U22" s="6">
        <v>0</v>
      </c>
      <c r="V22" s="6">
        <v>-8.51</v>
      </c>
      <c r="W22">
        <v>4.7</v>
      </c>
      <c r="X22">
        <v>-2.19</v>
      </c>
      <c r="Y22">
        <v>1.02</v>
      </c>
      <c r="Z22">
        <v>-3.12</v>
      </c>
      <c r="AA22">
        <v>0.75</v>
      </c>
      <c r="AB22">
        <v>1</v>
      </c>
      <c r="AC22">
        <v>858</v>
      </c>
      <c r="AD22" s="52" t="s">
        <v>153</v>
      </c>
      <c r="AE22" s="52"/>
      <c r="AF22">
        <v>801</v>
      </c>
      <c r="AG22" t="s">
        <v>116</v>
      </c>
      <c r="AH22" t="s">
        <v>121</v>
      </c>
      <c r="AK22">
        <v>0</v>
      </c>
      <c r="AP22" s="52"/>
      <c r="AV22" t="s">
        <v>154</v>
      </c>
      <c r="AW22" t="s">
        <v>154</v>
      </c>
      <c r="AY22">
        <v>858</v>
      </c>
      <c r="AZ22" s="52" t="s">
        <v>153</v>
      </c>
    </row>
    <row r="23" spans="1:52">
      <c r="A23">
        <v>17</v>
      </c>
      <c r="B23" s="40" t="s">
        <v>155</v>
      </c>
      <c r="C23" s="40" t="s">
        <v>156</v>
      </c>
      <c r="D23">
        <v>1</v>
      </c>
      <c r="E23">
        <v>1</v>
      </c>
      <c r="F23">
        <v>1</v>
      </c>
      <c r="G23">
        <v>1.8</v>
      </c>
      <c r="H23" s="39">
        <v>2.2</v>
      </c>
      <c r="I23" s="39">
        <v>0.35</v>
      </c>
      <c r="J23" t="s">
        <v>115</v>
      </c>
      <c r="L23">
        <v>0.2</v>
      </c>
      <c r="M23">
        <v>0.633333333333333</v>
      </c>
      <c r="P23">
        <v>0.166666666666667</v>
      </c>
      <c r="Q23">
        <v>0.6</v>
      </c>
      <c r="T23">
        <v>2.4</v>
      </c>
      <c r="U23" s="6">
        <v>0</v>
      </c>
      <c r="V23" s="6">
        <v>-6.8</v>
      </c>
      <c r="W23">
        <v>5</v>
      </c>
      <c r="X23">
        <v>-2.189</v>
      </c>
      <c r="Y23">
        <v>1.078</v>
      </c>
      <c r="Z23">
        <v>-2.997</v>
      </c>
      <c r="AA23">
        <v>1</v>
      </c>
      <c r="AB23">
        <v>1</v>
      </c>
      <c r="AC23">
        <v>988</v>
      </c>
      <c r="AD23" s="52" t="s">
        <v>153</v>
      </c>
      <c r="AE23" s="52"/>
      <c r="AF23">
        <v>801</v>
      </c>
      <c r="AG23" t="s">
        <v>116</v>
      </c>
      <c r="AH23" t="s">
        <v>121</v>
      </c>
      <c r="AK23">
        <v>0</v>
      </c>
      <c r="AP23" s="52"/>
      <c r="AV23" t="s">
        <v>157</v>
      </c>
      <c r="AW23" t="s">
        <v>158</v>
      </c>
      <c r="AY23">
        <v>988</v>
      </c>
      <c r="AZ23" s="52" t="s">
        <v>153</v>
      </c>
    </row>
    <row r="24" spans="1:37">
      <c r="A24">
        <v>18</v>
      </c>
      <c r="B24" t="s">
        <v>159</v>
      </c>
      <c r="C24" s="38" t="s">
        <v>160</v>
      </c>
      <c r="D24">
        <v>1</v>
      </c>
      <c r="E24">
        <v>1</v>
      </c>
      <c r="F24">
        <v>1</v>
      </c>
      <c r="G24">
        <v>1.97</v>
      </c>
      <c r="H24" s="39">
        <v>2.1</v>
      </c>
      <c r="I24" s="39">
        <v>0.6</v>
      </c>
      <c r="J24" t="s">
        <v>115</v>
      </c>
      <c r="L24">
        <v>0.1</v>
      </c>
      <c r="M24">
        <v>0.6</v>
      </c>
      <c r="P24">
        <v>0.133333333333333</v>
      </c>
      <c r="Q24">
        <v>0.5</v>
      </c>
      <c r="T24">
        <v>2.4</v>
      </c>
      <c r="U24" s="6">
        <v>0</v>
      </c>
      <c r="V24" s="6">
        <v>-6.16</v>
      </c>
      <c r="W24">
        <v>4.5</v>
      </c>
      <c r="X24">
        <v>-1.993</v>
      </c>
      <c r="Y24">
        <v>1</v>
      </c>
      <c r="Z24">
        <v>-3.239</v>
      </c>
      <c r="AA24">
        <v>0.9</v>
      </c>
      <c r="AB24">
        <v>0</v>
      </c>
      <c r="AF24">
        <v>801</v>
      </c>
      <c r="AG24" t="s">
        <v>116</v>
      </c>
      <c r="AH24" t="s">
        <v>121</v>
      </c>
      <c r="AK24">
        <v>0</v>
      </c>
    </row>
    <row r="25" spans="1:37">
      <c r="A25">
        <v>19</v>
      </c>
      <c r="B25" t="s">
        <v>161</v>
      </c>
      <c r="C25" s="38" t="s">
        <v>162</v>
      </c>
      <c r="D25">
        <v>1</v>
      </c>
      <c r="E25">
        <v>1</v>
      </c>
      <c r="F25">
        <v>1</v>
      </c>
      <c r="G25">
        <v>1.74</v>
      </c>
      <c r="H25" s="39">
        <v>2.1</v>
      </c>
      <c r="I25" s="39">
        <v>0.4</v>
      </c>
      <c r="J25" t="s">
        <v>115</v>
      </c>
      <c r="L25">
        <v>0.133333333333333</v>
      </c>
      <c r="M25">
        <v>0.733333333333333</v>
      </c>
      <c r="P25">
        <v>0.166666666666667</v>
      </c>
      <c r="Q25">
        <v>0.733333333333333</v>
      </c>
      <c r="T25">
        <v>2.4</v>
      </c>
      <c r="U25" s="6">
        <v>0</v>
      </c>
      <c r="V25" s="6">
        <v>-7.24</v>
      </c>
      <c r="W25">
        <v>5</v>
      </c>
      <c r="X25">
        <v>-2.484</v>
      </c>
      <c r="Y25">
        <v>1.103</v>
      </c>
      <c r="Z25">
        <v>-2.501</v>
      </c>
      <c r="AA25">
        <v>1</v>
      </c>
      <c r="AB25">
        <v>0</v>
      </c>
      <c r="AF25">
        <v>801</v>
      </c>
      <c r="AG25" t="s">
        <v>116</v>
      </c>
      <c r="AH25" t="s">
        <v>121</v>
      </c>
      <c r="AK25">
        <v>0</v>
      </c>
    </row>
    <row r="26" spans="1:37">
      <c r="A26">
        <v>20</v>
      </c>
      <c r="B26" t="s">
        <v>163</v>
      </c>
      <c r="C26" s="38" t="s">
        <v>164</v>
      </c>
      <c r="D26">
        <v>1</v>
      </c>
      <c r="E26">
        <v>1</v>
      </c>
      <c r="F26">
        <v>1</v>
      </c>
      <c r="G26">
        <v>1.84</v>
      </c>
      <c r="H26" s="39">
        <v>2.1</v>
      </c>
      <c r="I26" s="39">
        <v>0.6</v>
      </c>
      <c r="J26" t="s">
        <v>115</v>
      </c>
      <c r="L26">
        <v>0.2</v>
      </c>
      <c r="M26">
        <v>0.666666666666667</v>
      </c>
      <c r="P26">
        <v>0.2</v>
      </c>
      <c r="Q26">
        <v>0.666666666666667</v>
      </c>
      <c r="T26">
        <v>2.4</v>
      </c>
      <c r="U26" s="6">
        <v>0</v>
      </c>
      <c r="V26" s="6">
        <v>-6.5</v>
      </c>
      <c r="W26">
        <v>4.8</v>
      </c>
      <c r="X26">
        <v>-2.26</v>
      </c>
      <c r="Y26">
        <v>1.08</v>
      </c>
      <c r="Z26">
        <v>-2.758</v>
      </c>
      <c r="AA26">
        <v>0.93</v>
      </c>
      <c r="AB26">
        <v>0</v>
      </c>
      <c r="AF26">
        <v>801</v>
      </c>
      <c r="AG26" t="s">
        <v>116</v>
      </c>
      <c r="AH26" t="s">
        <v>121</v>
      </c>
      <c r="AK26">
        <v>0</v>
      </c>
    </row>
    <row r="27" spans="1:37">
      <c r="A27">
        <v>21</v>
      </c>
      <c r="B27" t="s">
        <v>165</v>
      </c>
      <c r="C27" s="38" t="s">
        <v>166</v>
      </c>
      <c r="D27">
        <v>1</v>
      </c>
      <c r="E27">
        <v>1</v>
      </c>
      <c r="F27">
        <v>1</v>
      </c>
      <c r="G27">
        <v>1.95</v>
      </c>
      <c r="H27" s="39">
        <v>2.3</v>
      </c>
      <c r="I27" s="39">
        <v>0.47</v>
      </c>
      <c r="J27" t="s">
        <v>115</v>
      </c>
      <c r="L27">
        <v>0.1</v>
      </c>
      <c r="M27">
        <v>0.6</v>
      </c>
      <c r="P27">
        <v>0.133333333333333</v>
      </c>
      <c r="Q27">
        <v>0.6</v>
      </c>
      <c r="T27">
        <v>2.4</v>
      </c>
      <c r="U27" s="6">
        <v>0</v>
      </c>
      <c r="V27" s="6">
        <v>-5.88</v>
      </c>
      <c r="W27">
        <v>4.4</v>
      </c>
      <c r="X27">
        <v>-2.19</v>
      </c>
      <c r="Y27">
        <v>1.02</v>
      </c>
      <c r="Z27">
        <v>-2.98</v>
      </c>
      <c r="AA27">
        <v>0.9</v>
      </c>
      <c r="AB27">
        <v>0</v>
      </c>
      <c r="AF27">
        <v>801</v>
      </c>
      <c r="AG27" t="s">
        <v>116</v>
      </c>
      <c r="AH27" t="s">
        <v>121</v>
      </c>
      <c r="AK27">
        <v>0</v>
      </c>
    </row>
    <row r="28" spans="1:37">
      <c r="A28">
        <v>22</v>
      </c>
      <c r="B28" t="s">
        <v>167</v>
      </c>
      <c r="C28" s="38" t="s">
        <v>168</v>
      </c>
      <c r="D28">
        <v>1</v>
      </c>
      <c r="E28">
        <v>1</v>
      </c>
      <c r="F28">
        <v>1</v>
      </c>
      <c r="G28">
        <v>1.64</v>
      </c>
      <c r="H28" s="39">
        <v>2</v>
      </c>
      <c r="I28" s="39">
        <v>0.37</v>
      </c>
      <c r="J28" t="s">
        <v>115</v>
      </c>
      <c r="L28">
        <v>0.1</v>
      </c>
      <c r="M28">
        <v>0.433333333333333</v>
      </c>
      <c r="P28">
        <v>0.133333333333333</v>
      </c>
      <c r="Q28">
        <v>0.466666666666667</v>
      </c>
      <c r="T28">
        <v>2.4</v>
      </c>
      <c r="U28" s="6">
        <v>0</v>
      </c>
      <c r="V28" s="6">
        <v>-6.35</v>
      </c>
      <c r="W28">
        <v>5</v>
      </c>
      <c r="X28">
        <v>-2.421</v>
      </c>
      <c r="Y28">
        <v>0.955</v>
      </c>
      <c r="Z28">
        <v>-2.592</v>
      </c>
      <c r="AA28">
        <v>1</v>
      </c>
      <c r="AB28">
        <v>0</v>
      </c>
      <c r="AF28">
        <v>801</v>
      </c>
      <c r="AG28" t="s">
        <v>116</v>
      </c>
      <c r="AH28" t="s">
        <v>121</v>
      </c>
      <c r="AK28">
        <v>0</v>
      </c>
    </row>
    <row r="29" spans="1:37">
      <c r="A29">
        <v>23</v>
      </c>
      <c r="B29" t="s">
        <v>169</v>
      </c>
      <c r="C29" s="38" t="s">
        <v>170</v>
      </c>
      <c r="D29">
        <v>1</v>
      </c>
      <c r="E29">
        <v>1</v>
      </c>
      <c r="F29">
        <v>1</v>
      </c>
      <c r="G29">
        <v>1.02</v>
      </c>
      <c r="H29" s="39">
        <v>1.2</v>
      </c>
      <c r="I29" s="39">
        <v>0.44</v>
      </c>
      <c r="J29" t="s">
        <v>115</v>
      </c>
      <c r="L29">
        <v>0.133333333333333</v>
      </c>
      <c r="M29">
        <v>0.733333333333333</v>
      </c>
      <c r="P29">
        <v>0.133333333333333</v>
      </c>
      <c r="Q29">
        <v>0.733333333333333</v>
      </c>
      <c r="T29">
        <v>2.4</v>
      </c>
      <c r="U29" s="6">
        <v>0</v>
      </c>
      <c r="V29" s="6">
        <v>-3.44</v>
      </c>
      <c r="W29">
        <v>4</v>
      </c>
      <c r="X29">
        <v>-2.25</v>
      </c>
      <c r="Y29">
        <v>0.338</v>
      </c>
      <c r="Z29">
        <v>-2.888</v>
      </c>
      <c r="AA29">
        <v>1</v>
      </c>
      <c r="AB29">
        <v>0</v>
      </c>
      <c r="AF29">
        <v>801</v>
      </c>
      <c r="AG29" t="s">
        <v>116</v>
      </c>
      <c r="AH29" t="s">
        <v>121</v>
      </c>
      <c r="AK29">
        <v>0</v>
      </c>
    </row>
    <row r="30" spans="1:37">
      <c r="A30">
        <v>24</v>
      </c>
      <c r="B30" s="40" t="s">
        <v>171</v>
      </c>
      <c r="C30" s="38" t="s">
        <v>172</v>
      </c>
      <c r="D30">
        <v>1</v>
      </c>
      <c r="E30">
        <v>1</v>
      </c>
      <c r="F30">
        <v>1</v>
      </c>
      <c r="G30">
        <v>1.62</v>
      </c>
      <c r="H30" s="39">
        <v>2</v>
      </c>
      <c r="I30" s="39">
        <v>0.4</v>
      </c>
      <c r="J30" t="s">
        <v>115</v>
      </c>
      <c r="L30">
        <v>0.0333333333333333</v>
      </c>
      <c r="M30">
        <v>0.6</v>
      </c>
      <c r="P30">
        <v>0.1</v>
      </c>
      <c r="Q30">
        <v>0.533333333333333</v>
      </c>
      <c r="T30">
        <v>2.4</v>
      </c>
      <c r="U30" s="6">
        <v>0</v>
      </c>
      <c r="V30" s="6">
        <v>-6.51</v>
      </c>
      <c r="W30">
        <v>5</v>
      </c>
      <c r="X30">
        <v>-2.34</v>
      </c>
      <c r="Y30">
        <v>0.914</v>
      </c>
      <c r="Z30">
        <v>-2.756</v>
      </c>
      <c r="AA30">
        <v>1</v>
      </c>
      <c r="AB30">
        <v>0</v>
      </c>
      <c r="AF30">
        <v>801</v>
      </c>
      <c r="AG30" t="s">
        <v>116</v>
      </c>
      <c r="AH30" t="s">
        <v>121</v>
      </c>
      <c r="AK30">
        <v>0</v>
      </c>
    </row>
    <row r="31" spans="1:37">
      <c r="A31">
        <v>25</v>
      </c>
      <c r="B31" s="40" t="s">
        <v>173</v>
      </c>
      <c r="C31" t="s">
        <v>174</v>
      </c>
      <c r="D31">
        <v>1</v>
      </c>
      <c r="E31">
        <v>1</v>
      </c>
      <c r="F31">
        <v>1</v>
      </c>
      <c r="G31">
        <v>1.7</v>
      </c>
      <c r="H31" s="39">
        <v>2.1</v>
      </c>
      <c r="I31" s="39">
        <v>0.35</v>
      </c>
      <c r="J31" t="s">
        <v>115</v>
      </c>
      <c r="L31">
        <v>0.133333333333333</v>
      </c>
      <c r="M31">
        <v>0.6</v>
      </c>
      <c r="P31">
        <v>0.133333333333333</v>
      </c>
      <c r="Q31">
        <v>0.6</v>
      </c>
      <c r="T31">
        <v>2.4</v>
      </c>
      <c r="U31" s="6">
        <v>0</v>
      </c>
      <c r="V31" s="6">
        <v>-6.25</v>
      </c>
      <c r="W31">
        <v>5</v>
      </c>
      <c r="X31">
        <v>-2.047</v>
      </c>
      <c r="Y31">
        <v>0.907</v>
      </c>
      <c r="Z31">
        <v>-3.106</v>
      </c>
      <c r="AA31">
        <v>1</v>
      </c>
      <c r="AB31">
        <v>0</v>
      </c>
      <c r="AF31">
        <v>801</v>
      </c>
      <c r="AG31" t="s">
        <v>116</v>
      </c>
      <c r="AH31" t="s">
        <v>121</v>
      </c>
      <c r="AK31">
        <v>0</v>
      </c>
    </row>
    <row r="32" spans="1:52">
      <c r="A32">
        <v>26</v>
      </c>
      <c r="B32" s="10" t="s">
        <v>175</v>
      </c>
      <c r="C32" t="s">
        <v>176</v>
      </c>
      <c r="D32">
        <v>1</v>
      </c>
      <c r="E32">
        <v>1</v>
      </c>
      <c r="F32">
        <v>1</v>
      </c>
      <c r="G32">
        <v>1.85</v>
      </c>
      <c r="H32" s="39">
        <v>2.15</v>
      </c>
      <c r="I32" s="39">
        <v>0.35</v>
      </c>
      <c r="J32" t="s">
        <v>115</v>
      </c>
      <c r="L32">
        <v>0.133333333333333</v>
      </c>
      <c r="M32">
        <v>0.733333333333333</v>
      </c>
      <c r="P32">
        <v>0.166666666666667</v>
      </c>
      <c r="Q32">
        <v>0.633333333333333</v>
      </c>
      <c r="T32">
        <v>2.4</v>
      </c>
      <c r="U32" s="6">
        <v>0</v>
      </c>
      <c r="V32" s="9">
        <v>-6.73</v>
      </c>
      <c r="W32">
        <v>4.8</v>
      </c>
      <c r="X32">
        <v>-2.023</v>
      </c>
      <c r="Y32">
        <v>1.108</v>
      </c>
      <c r="Z32">
        <v>-3.325</v>
      </c>
      <c r="AA32">
        <v>1</v>
      </c>
      <c r="AB32">
        <v>0</v>
      </c>
      <c r="AC32">
        <v>1179</v>
      </c>
      <c r="AD32" s="52" t="s">
        <v>153</v>
      </c>
      <c r="AF32">
        <v>801</v>
      </c>
      <c r="AG32" t="s">
        <v>116</v>
      </c>
      <c r="AH32" t="s">
        <v>121</v>
      </c>
      <c r="AK32">
        <v>0</v>
      </c>
      <c r="AY32">
        <v>1179</v>
      </c>
      <c r="AZ32" s="52" t="s">
        <v>153</v>
      </c>
    </row>
    <row r="33" spans="1:37">
      <c r="A33">
        <v>27</v>
      </c>
      <c r="B33" s="10" t="s">
        <v>177</v>
      </c>
      <c r="C33" t="s">
        <v>178</v>
      </c>
      <c r="D33">
        <v>1</v>
      </c>
      <c r="E33">
        <v>1</v>
      </c>
      <c r="F33">
        <v>1</v>
      </c>
      <c r="G33">
        <v>1.85</v>
      </c>
      <c r="H33" s="39">
        <v>2.1</v>
      </c>
      <c r="I33" s="39">
        <v>0.39</v>
      </c>
      <c r="J33" t="s">
        <v>115</v>
      </c>
      <c r="L33">
        <v>0.133333333333333</v>
      </c>
      <c r="M33">
        <v>0.666666666666667</v>
      </c>
      <c r="P33">
        <v>0.133333333333333</v>
      </c>
      <c r="Q33">
        <v>0.666666666667</v>
      </c>
      <c r="T33">
        <v>2.4</v>
      </c>
      <c r="U33" s="6">
        <v>0</v>
      </c>
      <c r="V33" s="9">
        <v>-5.94</v>
      </c>
      <c r="W33">
        <v>4.8</v>
      </c>
      <c r="X33">
        <v>-2.201</v>
      </c>
      <c r="Y33">
        <v>1.087</v>
      </c>
      <c r="Z33">
        <v>-2.976</v>
      </c>
      <c r="AA33">
        <v>1</v>
      </c>
      <c r="AB33">
        <v>0</v>
      </c>
      <c r="AF33">
        <v>801</v>
      </c>
      <c r="AG33" t="s">
        <v>116</v>
      </c>
      <c r="AH33" t="s">
        <v>121</v>
      </c>
      <c r="AK33">
        <v>0</v>
      </c>
    </row>
    <row r="34" spans="1:37">
      <c r="A34">
        <v>28</v>
      </c>
      <c r="B34" s="10" t="s">
        <v>179</v>
      </c>
      <c r="C34" t="s">
        <v>180</v>
      </c>
      <c r="D34">
        <v>1</v>
      </c>
      <c r="E34">
        <v>1</v>
      </c>
      <c r="F34">
        <v>1</v>
      </c>
      <c r="G34">
        <v>1.88</v>
      </c>
      <c r="H34" s="39">
        <v>2</v>
      </c>
      <c r="I34" s="39">
        <v>0.43</v>
      </c>
      <c r="J34" t="s">
        <v>115</v>
      </c>
      <c r="L34">
        <v>0.0666666666666667</v>
      </c>
      <c r="M34">
        <v>0.366666666666667</v>
      </c>
      <c r="P34">
        <v>0.0666666666666667</v>
      </c>
      <c r="Q34">
        <v>0.4</v>
      </c>
      <c r="T34">
        <v>2.4</v>
      </c>
      <c r="U34" s="6">
        <v>0</v>
      </c>
      <c r="V34" s="9">
        <v>-6.4</v>
      </c>
      <c r="W34">
        <v>5</v>
      </c>
      <c r="X34">
        <v>-2.27</v>
      </c>
      <c r="Y34">
        <v>1.02</v>
      </c>
      <c r="Z34">
        <v>-2.77</v>
      </c>
      <c r="AA34">
        <v>0.9</v>
      </c>
      <c r="AB34">
        <v>0</v>
      </c>
      <c r="AF34">
        <v>801</v>
      </c>
      <c r="AG34" t="s">
        <v>116</v>
      </c>
      <c r="AH34" t="s">
        <v>121</v>
      </c>
      <c r="AK34">
        <v>0</v>
      </c>
    </row>
    <row r="35" spans="1:37">
      <c r="A35">
        <v>29</v>
      </c>
      <c r="B35" s="40" t="s">
        <v>181</v>
      </c>
      <c r="C35" s="38" t="s">
        <v>182</v>
      </c>
      <c r="D35">
        <v>1</v>
      </c>
      <c r="E35">
        <v>1</v>
      </c>
      <c r="F35">
        <v>1</v>
      </c>
      <c r="G35">
        <v>1.8</v>
      </c>
      <c r="H35" s="39">
        <v>1.9</v>
      </c>
      <c r="I35" s="39">
        <v>0.72</v>
      </c>
      <c r="J35" t="s">
        <v>115</v>
      </c>
      <c r="L35">
        <v>0.133333333333333</v>
      </c>
      <c r="M35">
        <v>0.6</v>
      </c>
      <c r="P35">
        <v>0.166666666666667</v>
      </c>
      <c r="Q35">
        <v>0.566666666666667</v>
      </c>
      <c r="T35">
        <v>2.4</v>
      </c>
      <c r="U35" s="6">
        <v>0</v>
      </c>
      <c r="V35" s="6">
        <v>-4.9</v>
      </c>
      <c r="W35">
        <v>4</v>
      </c>
      <c r="X35">
        <v>-1.767</v>
      </c>
      <c r="Y35">
        <v>1.018</v>
      </c>
      <c r="Z35">
        <v>-3.547</v>
      </c>
      <c r="AA35">
        <v>1</v>
      </c>
      <c r="AB35">
        <v>0</v>
      </c>
      <c r="AF35">
        <v>801</v>
      </c>
      <c r="AG35" t="s">
        <v>116</v>
      </c>
      <c r="AH35" t="s">
        <v>121</v>
      </c>
      <c r="AK35">
        <v>0</v>
      </c>
    </row>
    <row r="36" spans="1:37">
      <c r="A36">
        <v>30</v>
      </c>
      <c r="B36" t="s">
        <v>183</v>
      </c>
      <c r="C36" t="s">
        <v>184</v>
      </c>
      <c r="D36">
        <v>1</v>
      </c>
      <c r="E36">
        <v>1</v>
      </c>
      <c r="F36">
        <v>1</v>
      </c>
      <c r="G36">
        <v>1.75</v>
      </c>
      <c r="H36" s="39">
        <v>2.1</v>
      </c>
      <c r="I36" s="39">
        <v>0.68</v>
      </c>
      <c r="J36" t="s">
        <v>115</v>
      </c>
      <c r="L36">
        <v>0.2</v>
      </c>
      <c r="M36">
        <v>0.533333333333333</v>
      </c>
      <c r="P36">
        <v>0.166666666666667</v>
      </c>
      <c r="Q36">
        <v>0.5</v>
      </c>
      <c r="T36">
        <v>2.4</v>
      </c>
      <c r="U36" s="6">
        <v>0</v>
      </c>
      <c r="V36" s="6">
        <v>-6.71</v>
      </c>
      <c r="W36">
        <v>4.7</v>
      </c>
      <c r="X36">
        <v>-2.33</v>
      </c>
      <c r="Y36">
        <v>1.13</v>
      </c>
      <c r="Z36">
        <v>-2.72</v>
      </c>
      <c r="AA36">
        <v>1</v>
      </c>
      <c r="AB36">
        <v>0</v>
      </c>
      <c r="AF36">
        <v>801</v>
      </c>
      <c r="AG36" t="s">
        <v>116</v>
      </c>
      <c r="AH36" t="s">
        <v>121</v>
      </c>
      <c r="AK36">
        <v>0</v>
      </c>
    </row>
    <row r="37" spans="1:37">
      <c r="A37">
        <v>31</v>
      </c>
      <c r="B37" t="s">
        <v>185</v>
      </c>
      <c r="C37" t="s">
        <v>186</v>
      </c>
      <c r="D37">
        <v>1</v>
      </c>
      <c r="E37">
        <v>1</v>
      </c>
      <c r="F37">
        <v>1</v>
      </c>
      <c r="G37">
        <v>1.78</v>
      </c>
      <c r="H37" s="39">
        <v>2.1</v>
      </c>
      <c r="I37" s="39">
        <v>0.49</v>
      </c>
      <c r="J37" t="s">
        <v>115</v>
      </c>
      <c r="L37" s="35">
        <v>0.133333333333333</v>
      </c>
      <c r="M37" s="35">
        <v>0.533333333333333</v>
      </c>
      <c r="N37" s="35"/>
      <c r="O37" s="35"/>
      <c r="P37" s="35">
        <v>0.133333333333333</v>
      </c>
      <c r="Q37" s="35">
        <v>0.533333333333333</v>
      </c>
      <c r="R37" s="35"/>
      <c r="S37" s="35"/>
      <c r="T37">
        <v>2.4</v>
      </c>
      <c r="U37" s="6">
        <v>0</v>
      </c>
      <c r="V37" s="6">
        <v>-6.9</v>
      </c>
      <c r="W37">
        <v>5</v>
      </c>
      <c r="X37">
        <v>-2.3</v>
      </c>
      <c r="Y37">
        <v>1.09</v>
      </c>
      <c r="Z37">
        <v>-2.68</v>
      </c>
      <c r="AA37">
        <v>1</v>
      </c>
      <c r="AB37">
        <v>0</v>
      </c>
      <c r="AF37">
        <v>801</v>
      </c>
      <c r="AG37" t="s">
        <v>116</v>
      </c>
      <c r="AH37" t="s">
        <v>121</v>
      </c>
      <c r="AK37">
        <v>0</v>
      </c>
    </row>
    <row r="38" spans="1:37">
      <c r="A38">
        <v>32</v>
      </c>
      <c r="B38" t="s">
        <v>187</v>
      </c>
      <c r="C38" s="42" t="s">
        <v>188</v>
      </c>
      <c r="D38">
        <v>1</v>
      </c>
      <c r="E38">
        <v>1</v>
      </c>
      <c r="F38">
        <v>1</v>
      </c>
      <c r="G38">
        <v>1.8</v>
      </c>
      <c r="H38" s="39">
        <v>2</v>
      </c>
      <c r="I38" s="39">
        <v>0.8</v>
      </c>
      <c r="J38" t="s">
        <v>115</v>
      </c>
      <c r="L38">
        <v>0.2</v>
      </c>
      <c r="M38">
        <v>0.666666666666667</v>
      </c>
      <c r="P38">
        <v>0.2</v>
      </c>
      <c r="Q38">
        <v>0.666666666666667</v>
      </c>
      <c r="T38">
        <v>2.4</v>
      </c>
      <c r="U38" s="6">
        <v>0</v>
      </c>
      <c r="V38" s="6">
        <v>-4.47</v>
      </c>
      <c r="W38">
        <v>4</v>
      </c>
      <c r="X38">
        <v>-2.051</v>
      </c>
      <c r="Y38">
        <v>1.075</v>
      </c>
      <c r="Z38">
        <v>-3.106</v>
      </c>
      <c r="AA38">
        <v>1</v>
      </c>
      <c r="AB38">
        <v>0</v>
      </c>
      <c r="AF38">
        <v>801</v>
      </c>
      <c r="AG38" t="s">
        <v>116</v>
      </c>
      <c r="AH38" t="s">
        <v>121</v>
      </c>
      <c r="AK38">
        <v>0</v>
      </c>
    </row>
    <row r="39" spans="1:37">
      <c r="A39">
        <v>33</v>
      </c>
      <c r="B39" s="39" t="s">
        <v>189</v>
      </c>
      <c r="C39" t="s">
        <v>190</v>
      </c>
      <c r="D39">
        <v>1</v>
      </c>
      <c r="E39">
        <v>1</v>
      </c>
      <c r="F39">
        <v>1</v>
      </c>
      <c r="G39">
        <v>1.27</v>
      </c>
      <c r="H39" s="39">
        <v>1.6</v>
      </c>
      <c r="I39" s="39">
        <v>0.32</v>
      </c>
      <c r="J39" t="s">
        <v>115</v>
      </c>
      <c r="L39" s="35">
        <v>0.1</v>
      </c>
      <c r="M39" s="35">
        <v>0.7</v>
      </c>
      <c r="N39" s="35"/>
      <c r="O39" s="35"/>
      <c r="P39" s="35">
        <v>0.1</v>
      </c>
      <c r="Q39" s="35">
        <v>0.733333333333333</v>
      </c>
      <c r="R39" s="35"/>
      <c r="S39" s="35"/>
      <c r="T39">
        <v>2.4</v>
      </c>
      <c r="U39" s="6">
        <v>0</v>
      </c>
      <c r="V39" s="9">
        <v>-4.02</v>
      </c>
      <c r="W39">
        <v>3.5</v>
      </c>
      <c r="X39">
        <v>-2.36</v>
      </c>
      <c r="Y39">
        <v>0.52</v>
      </c>
      <c r="Z39">
        <v>-2.67</v>
      </c>
      <c r="AA39">
        <v>1</v>
      </c>
      <c r="AB39">
        <v>0</v>
      </c>
      <c r="AF39">
        <v>801</v>
      </c>
      <c r="AG39" t="s">
        <v>116</v>
      </c>
      <c r="AH39" t="s">
        <v>121</v>
      </c>
      <c r="AK39">
        <v>0</v>
      </c>
    </row>
    <row r="40" spans="1:52">
      <c r="A40">
        <v>34</v>
      </c>
      <c r="B40" s="39" t="s">
        <v>191</v>
      </c>
      <c r="C40" s="38" t="s">
        <v>192</v>
      </c>
      <c r="D40">
        <v>1</v>
      </c>
      <c r="E40">
        <v>1</v>
      </c>
      <c r="F40">
        <v>1</v>
      </c>
      <c r="G40">
        <v>1.81</v>
      </c>
      <c r="H40" s="39">
        <v>2.2</v>
      </c>
      <c r="I40" s="39">
        <v>0.45</v>
      </c>
      <c r="J40" t="s">
        <v>115</v>
      </c>
      <c r="L40" s="43">
        <v>0.166666666666667</v>
      </c>
      <c r="M40" s="43">
        <v>0.766666666666667</v>
      </c>
      <c r="N40" s="43"/>
      <c r="O40" s="43"/>
      <c r="P40" s="43">
        <v>0.166666666666667</v>
      </c>
      <c r="Q40" s="43">
        <v>0.566666666666667</v>
      </c>
      <c r="R40" s="43"/>
      <c r="S40" s="43"/>
      <c r="T40">
        <v>2.4</v>
      </c>
      <c r="U40" s="6">
        <v>0</v>
      </c>
      <c r="V40" s="9">
        <v>-6.96</v>
      </c>
      <c r="W40">
        <v>5</v>
      </c>
      <c r="X40">
        <v>-2.381</v>
      </c>
      <c r="Y40">
        <v>1.085</v>
      </c>
      <c r="Z40">
        <v>-2.609</v>
      </c>
      <c r="AA40">
        <v>1</v>
      </c>
      <c r="AB40" t="s">
        <v>193</v>
      </c>
      <c r="AC40" t="s">
        <v>194</v>
      </c>
      <c r="AD40" t="s">
        <v>195</v>
      </c>
      <c r="AF40">
        <v>801</v>
      </c>
      <c r="AG40" t="s">
        <v>116</v>
      </c>
      <c r="AH40" t="s">
        <v>121</v>
      </c>
      <c r="AK40">
        <v>0</v>
      </c>
      <c r="AV40" t="s">
        <v>196</v>
      </c>
      <c r="AW40" t="s">
        <v>197</v>
      </c>
      <c r="AY40" t="s">
        <v>194</v>
      </c>
      <c r="AZ40" t="s">
        <v>195</v>
      </c>
    </row>
    <row r="41" spans="1:52">
      <c r="A41">
        <v>35</v>
      </c>
      <c r="B41" s="10" t="s">
        <v>198</v>
      </c>
      <c r="C41" s="38" t="s">
        <v>199</v>
      </c>
      <c r="D41">
        <v>1</v>
      </c>
      <c r="E41">
        <v>1</v>
      </c>
      <c r="F41">
        <v>1</v>
      </c>
      <c r="G41">
        <v>2</v>
      </c>
      <c r="H41" s="39">
        <v>2.3</v>
      </c>
      <c r="I41" s="39">
        <v>0.45</v>
      </c>
      <c r="J41" t="s">
        <v>115</v>
      </c>
      <c r="L41" s="43">
        <v>0.166666666666667</v>
      </c>
      <c r="M41" s="43">
        <v>0.533333333333333</v>
      </c>
      <c r="O41" s="43"/>
      <c r="P41" s="43">
        <v>0.133333333333333</v>
      </c>
      <c r="Q41" s="43">
        <v>0.533333333333333</v>
      </c>
      <c r="S41" s="43"/>
      <c r="T41" s="9">
        <v>2.4</v>
      </c>
      <c r="U41" s="6">
        <v>0</v>
      </c>
      <c r="V41" s="9">
        <v>-7.65</v>
      </c>
      <c r="W41" s="9">
        <v>5</v>
      </c>
      <c r="X41">
        <v>-2.188</v>
      </c>
      <c r="Y41">
        <v>1.24</v>
      </c>
      <c r="Z41">
        <v>-2.778</v>
      </c>
      <c r="AA41">
        <v>1</v>
      </c>
      <c r="AB41">
        <v>1</v>
      </c>
      <c r="AC41">
        <v>798</v>
      </c>
      <c r="AD41" s="52" t="s">
        <v>153</v>
      </c>
      <c r="AE41" s="52"/>
      <c r="AF41">
        <v>801</v>
      </c>
      <c r="AG41" t="s">
        <v>116</v>
      </c>
      <c r="AH41" s="52" t="s">
        <v>200</v>
      </c>
      <c r="AK41">
        <v>0</v>
      </c>
      <c r="AP41" s="52"/>
      <c r="AV41" t="s">
        <v>122</v>
      </c>
      <c r="AW41" t="s">
        <v>122</v>
      </c>
      <c r="AY41">
        <v>798</v>
      </c>
      <c r="AZ41" s="52" t="s">
        <v>153</v>
      </c>
    </row>
    <row r="42" spans="1:52">
      <c r="A42">
        <v>36</v>
      </c>
      <c r="B42" s="10" t="s">
        <v>201</v>
      </c>
      <c r="C42" t="s">
        <v>202</v>
      </c>
      <c r="D42">
        <v>1</v>
      </c>
      <c r="E42">
        <v>1</v>
      </c>
      <c r="F42">
        <v>1</v>
      </c>
      <c r="G42">
        <v>2.25</v>
      </c>
      <c r="H42" s="39">
        <v>2.5</v>
      </c>
      <c r="I42" s="39">
        <v>0.5</v>
      </c>
      <c r="J42" t="s">
        <v>115</v>
      </c>
      <c r="K42" s="39">
        <v>1</v>
      </c>
      <c r="L42" s="43">
        <v>0.1</v>
      </c>
      <c r="M42" s="43">
        <v>0.9</v>
      </c>
      <c r="N42" s="43">
        <v>785</v>
      </c>
      <c r="O42" s="43">
        <v>784</v>
      </c>
      <c r="P42" s="43">
        <v>0.1</v>
      </c>
      <c r="Q42" s="43">
        <v>0.9</v>
      </c>
      <c r="R42" s="43">
        <v>785</v>
      </c>
      <c r="S42" s="43">
        <v>784</v>
      </c>
      <c r="T42" s="9">
        <v>2.4</v>
      </c>
      <c r="U42" s="6">
        <v>0</v>
      </c>
      <c r="V42" s="9">
        <v>-7.64</v>
      </c>
      <c r="W42">
        <v>5</v>
      </c>
      <c r="X42">
        <v>-2.06</v>
      </c>
      <c r="Y42">
        <v>1.12</v>
      </c>
      <c r="Z42">
        <v>-3.24</v>
      </c>
      <c r="AA42">
        <v>0.8</v>
      </c>
      <c r="AB42">
        <v>1</v>
      </c>
      <c r="AC42">
        <v>695</v>
      </c>
      <c r="AD42" s="52" t="s">
        <v>203</v>
      </c>
      <c r="AE42" s="52"/>
      <c r="AF42">
        <v>801</v>
      </c>
      <c r="AG42" t="s">
        <v>116</v>
      </c>
      <c r="AH42" t="s">
        <v>121</v>
      </c>
      <c r="AK42">
        <v>0</v>
      </c>
      <c r="AP42" s="52"/>
      <c r="AV42" t="s">
        <v>204</v>
      </c>
      <c r="AW42" t="s">
        <v>204</v>
      </c>
      <c r="AY42">
        <v>695</v>
      </c>
      <c r="AZ42" s="52" t="s">
        <v>203</v>
      </c>
    </row>
    <row r="43" spans="1:37">
      <c r="A43">
        <v>38</v>
      </c>
      <c r="B43" s="10" t="s">
        <v>205</v>
      </c>
      <c r="C43" t="s">
        <v>206</v>
      </c>
      <c r="D43">
        <v>1</v>
      </c>
      <c r="F43">
        <v>1</v>
      </c>
      <c r="G43">
        <v>2.38</v>
      </c>
      <c r="H43" s="43">
        <v>2.7</v>
      </c>
      <c r="I43" s="43">
        <v>0.6</v>
      </c>
      <c r="J43" t="s">
        <v>115</v>
      </c>
      <c r="L43" s="43">
        <v>0.166666666666667</v>
      </c>
      <c r="M43" s="43">
        <v>0.533333333333333</v>
      </c>
      <c r="N43" s="43"/>
      <c r="O43" s="43"/>
      <c r="P43" s="43">
        <v>0.133333333333333</v>
      </c>
      <c r="Q43" s="43">
        <v>0.533333333333333</v>
      </c>
      <c r="R43" s="43"/>
      <c r="S43" s="43"/>
      <c r="T43" s="9">
        <v>2.4</v>
      </c>
      <c r="U43" s="9">
        <v>0</v>
      </c>
      <c r="V43" s="9">
        <v>-6.3</v>
      </c>
      <c r="W43">
        <v>3.8</v>
      </c>
      <c r="X43">
        <v>-1.689</v>
      </c>
      <c r="Y43">
        <v>1.046</v>
      </c>
      <c r="Z43">
        <v>-3.85</v>
      </c>
      <c r="AA43">
        <v>0.9</v>
      </c>
      <c r="AB43">
        <v>0</v>
      </c>
      <c r="AF43">
        <v>801</v>
      </c>
      <c r="AG43" t="s">
        <v>116</v>
      </c>
      <c r="AH43" t="s">
        <v>121</v>
      </c>
      <c r="AK43">
        <v>0</v>
      </c>
    </row>
    <row r="44" spans="1:52">
      <c r="A44">
        <v>39</v>
      </c>
      <c r="B44" s="10" t="s">
        <v>207</v>
      </c>
      <c r="C44" t="s">
        <v>208</v>
      </c>
      <c r="D44">
        <v>1</v>
      </c>
      <c r="E44">
        <v>1</v>
      </c>
      <c r="F44">
        <v>1</v>
      </c>
      <c r="G44">
        <v>2.35</v>
      </c>
      <c r="H44" s="43">
        <v>2.7</v>
      </c>
      <c r="I44" s="43">
        <v>0.7</v>
      </c>
      <c r="J44" t="s">
        <v>115</v>
      </c>
      <c r="K44">
        <v>1</v>
      </c>
      <c r="L44" s="43">
        <v>0.2</v>
      </c>
      <c r="M44" s="43">
        <v>0.9</v>
      </c>
      <c r="N44" s="43">
        <v>778</v>
      </c>
      <c r="O44" s="43">
        <v>783</v>
      </c>
      <c r="P44" s="43">
        <v>0.2</v>
      </c>
      <c r="Q44" s="43">
        <v>0.9</v>
      </c>
      <c r="R44" s="43">
        <v>778</v>
      </c>
      <c r="S44" s="43">
        <v>783</v>
      </c>
      <c r="T44" s="9">
        <v>2.4</v>
      </c>
      <c r="U44" s="9">
        <v>0</v>
      </c>
      <c r="V44" s="9">
        <v>-6.44</v>
      </c>
      <c r="W44">
        <v>3.7</v>
      </c>
      <c r="X44">
        <v>-1.58</v>
      </c>
      <c r="Y44">
        <v>0.98</v>
      </c>
      <c r="Z44">
        <v>-3.88</v>
      </c>
      <c r="AA44">
        <v>0.8</v>
      </c>
      <c r="AB44">
        <v>1</v>
      </c>
      <c r="AC44">
        <v>856</v>
      </c>
      <c r="AD44" t="s">
        <v>153</v>
      </c>
      <c r="AF44">
        <v>801</v>
      </c>
      <c r="AG44" t="s">
        <v>116</v>
      </c>
      <c r="AH44" t="s">
        <v>121</v>
      </c>
      <c r="AI44">
        <v>3</v>
      </c>
      <c r="AK44">
        <v>0</v>
      </c>
      <c r="AV44" t="s">
        <v>209</v>
      </c>
      <c r="AW44" t="s">
        <v>209</v>
      </c>
      <c r="AY44">
        <v>856</v>
      </c>
      <c r="AZ44" t="s">
        <v>153</v>
      </c>
    </row>
    <row r="45" spans="1:52">
      <c r="A45">
        <v>40</v>
      </c>
      <c r="B45" s="10" t="s">
        <v>210</v>
      </c>
      <c r="C45" t="s">
        <v>211</v>
      </c>
      <c r="D45">
        <v>1</v>
      </c>
      <c r="E45">
        <v>1</v>
      </c>
      <c r="F45">
        <v>0.9</v>
      </c>
      <c r="G45">
        <v>2.13</v>
      </c>
      <c r="H45" s="39">
        <v>2.45</v>
      </c>
      <c r="I45" s="43">
        <v>0.36</v>
      </c>
      <c r="J45" t="s">
        <v>115</v>
      </c>
      <c r="L45" s="43">
        <v>0.2</v>
      </c>
      <c r="M45" s="43">
        <v>0.7</v>
      </c>
      <c r="N45" s="43">
        <v>828</v>
      </c>
      <c r="O45" s="43">
        <v>830</v>
      </c>
      <c r="P45" s="43">
        <v>0.1</v>
      </c>
      <c r="Q45" s="43">
        <v>0.733333333333333</v>
      </c>
      <c r="R45" s="43">
        <v>829</v>
      </c>
      <c r="S45" s="43">
        <v>830</v>
      </c>
      <c r="T45" s="9">
        <v>2.4</v>
      </c>
      <c r="U45" s="9">
        <v>0</v>
      </c>
      <c r="V45" s="9">
        <v>-8.44</v>
      </c>
      <c r="W45">
        <v>5</v>
      </c>
      <c r="X45">
        <v>-1.761</v>
      </c>
      <c r="Y45">
        <v>1.08</v>
      </c>
      <c r="Z45">
        <v>-3.71</v>
      </c>
      <c r="AA45">
        <v>0.9</v>
      </c>
      <c r="AB45">
        <v>1</v>
      </c>
      <c r="AC45">
        <v>859</v>
      </c>
      <c r="AD45" t="s">
        <v>153</v>
      </c>
      <c r="AF45">
        <v>801</v>
      </c>
      <c r="AG45" t="s">
        <v>116</v>
      </c>
      <c r="AH45" t="s">
        <v>121</v>
      </c>
      <c r="AK45">
        <v>0</v>
      </c>
      <c r="AV45" t="s">
        <v>122</v>
      </c>
      <c r="AW45" t="s">
        <v>122</v>
      </c>
      <c r="AY45">
        <v>859</v>
      </c>
      <c r="AZ45" t="s">
        <v>153</v>
      </c>
    </row>
    <row r="46" spans="1:37">
      <c r="A46">
        <v>41</v>
      </c>
      <c r="B46" s="10" t="s">
        <v>212</v>
      </c>
      <c r="C46" t="s">
        <v>213</v>
      </c>
      <c r="D46">
        <v>1</v>
      </c>
      <c r="E46">
        <v>1</v>
      </c>
      <c r="F46">
        <v>0.9</v>
      </c>
      <c r="G46">
        <v>1.78</v>
      </c>
      <c r="H46" s="43">
        <v>2.2</v>
      </c>
      <c r="I46" s="43">
        <v>0.4</v>
      </c>
      <c r="J46" t="s">
        <v>115</v>
      </c>
      <c r="L46" s="43">
        <v>0.1</v>
      </c>
      <c r="M46" s="43">
        <v>0.6</v>
      </c>
      <c r="N46" s="43"/>
      <c r="O46" s="43"/>
      <c r="P46" s="43">
        <v>0.1</v>
      </c>
      <c r="Q46" s="43">
        <v>0.6</v>
      </c>
      <c r="R46" s="43"/>
      <c r="S46" s="43"/>
      <c r="T46" s="9">
        <v>2.4</v>
      </c>
      <c r="U46" s="9">
        <v>0</v>
      </c>
      <c r="V46" s="9">
        <v>-7.18</v>
      </c>
      <c r="W46" s="9">
        <v>5</v>
      </c>
      <c r="X46">
        <v>-2.34</v>
      </c>
      <c r="Y46">
        <v>1.08</v>
      </c>
      <c r="Z46">
        <v>-2.678</v>
      </c>
      <c r="AA46">
        <v>1</v>
      </c>
      <c r="AB46">
        <v>0</v>
      </c>
      <c r="AF46">
        <v>801</v>
      </c>
      <c r="AG46" t="s">
        <v>116</v>
      </c>
      <c r="AH46" t="s">
        <v>121</v>
      </c>
      <c r="AK46">
        <v>0</v>
      </c>
    </row>
    <row r="47" spans="1:52">
      <c r="A47">
        <v>42</v>
      </c>
      <c r="B47" s="10" t="s">
        <v>214</v>
      </c>
      <c r="C47" t="s">
        <v>215</v>
      </c>
      <c r="D47">
        <v>1</v>
      </c>
      <c r="E47">
        <v>1</v>
      </c>
      <c r="F47">
        <v>0.95</v>
      </c>
      <c r="G47">
        <v>2.02</v>
      </c>
      <c r="H47" s="43">
        <v>2.3</v>
      </c>
      <c r="I47" s="43">
        <v>0.34</v>
      </c>
      <c r="J47" t="s">
        <v>115</v>
      </c>
      <c r="L47" s="43">
        <v>0.2</v>
      </c>
      <c r="M47" s="43">
        <v>0.666666666666667</v>
      </c>
      <c r="N47" s="43"/>
      <c r="O47" s="43"/>
      <c r="P47" s="43">
        <v>0.166666666666667</v>
      </c>
      <c r="Q47" s="43">
        <v>0.666666666666667</v>
      </c>
      <c r="R47" s="43"/>
      <c r="S47" s="43"/>
      <c r="T47" s="9">
        <v>2.4</v>
      </c>
      <c r="U47" s="9">
        <v>0</v>
      </c>
      <c r="V47" s="9">
        <v>-7.66</v>
      </c>
      <c r="W47" s="9">
        <v>5</v>
      </c>
      <c r="X47" s="9">
        <v>-2.264</v>
      </c>
      <c r="Y47">
        <v>1.074</v>
      </c>
      <c r="Z47">
        <v>-2.751</v>
      </c>
      <c r="AA47">
        <v>0.9</v>
      </c>
      <c r="AB47">
        <v>1</v>
      </c>
      <c r="AC47">
        <v>855</v>
      </c>
      <c r="AD47" t="s">
        <v>153</v>
      </c>
      <c r="AF47">
        <v>801</v>
      </c>
      <c r="AG47" t="s">
        <v>116</v>
      </c>
      <c r="AH47" t="s">
        <v>200</v>
      </c>
      <c r="AK47">
        <v>0</v>
      </c>
      <c r="AV47" t="s">
        <v>118</v>
      </c>
      <c r="AW47" t="s">
        <v>118</v>
      </c>
      <c r="AY47">
        <v>4958</v>
      </c>
      <c r="AZ47" t="s">
        <v>153</v>
      </c>
    </row>
    <row r="48" spans="1:37">
      <c r="A48">
        <v>43</v>
      </c>
      <c r="B48" s="10" t="s">
        <v>216</v>
      </c>
      <c r="C48" t="s">
        <v>217</v>
      </c>
      <c r="D48">
        <v>1</v>
      </c>
      <c r="E48">
        <v>1</v>
      </c>
      <c r="F48">
        <v>1</v>
      </c>
      <c r="G48">
        <v>1.5</v>
      </c>
      <c r="H48" s="43">
        <v>1.91</v>
      </c>
      <c r="I48" s="43">
        <v>0.41</v>
      </c>
      <c r="J48" t="s">
        <v>115</v>
      </c>
      <c r="L48" s="43">
        <v>0.233333333333333</v>
      </c>
      <c r="M48" s="43">
        <v>0.7</v>
      </c>
      <c r="N48" s="43"/>
      <c r="O48" s="43"/>
      <c r="P48" s="43">
        <v>0.133333333333333</v>
      </c>
      <c r="Q48" s="43">
        <v>0.6</v>
      </c>
      <c r="R48" s="43"/>
      <c r="S48" s="43"/>
      <c r="T48" s="9">
        <v>2.4</v>
      </c>
      <c r="U48" s="9">
        <v>0</v>
      </c>
      <c r="V48" s="9">
        <v>-5.43</v>
      </c>
      <c r="W48" s="9">
        <v>5</v>
      </c>
      <c r="X48" s="9">
        <v>-2.3</v>
      </c>
      <c r="Y48">
        <v>1.011</v>
      </c>
      <c r="Z48">
        <v>-2.775</v>
      </c>
      <c r="AA48">
        <v>1</v>
      </c>
      <c r="AB48">
        <v>0</v>
      </c>
      <c r="AF48">
        <v>801</v>
      </c>
      <c r="AG48" t="s">
        <v>116</v>
      </c>
      <c r="AH48" t="s">
        <v>121</v>
      </c>
      <c r="AK48">
        <v>0</v>
      </c>
    </row>
    <row r="49" spans="1:37">
      <c r="A49">
        <v>44</v>
      </c>
      <c r="B49" s="10" t="s">
        <v>218</v>
      </c>
      <c r="C49" s="44" t="s">
        <v>219</v>
      </c>
      <c r="D49">
        <v>1</v>
      </c>
      <c r="E49">
        <v>1</v>
      </c>
      <c r="F49">
        <v>1</v>
      </c>
      <c r="G49">
        <v>1.73</v>
      </c>
      <c r="H49" s="43">
        <v>2.05</v>
      </c>
      <c r="I49" s="43">
        <v>1.16</v>
      </c>
      <c r="J49" t="s">
        <v>115</v>
      </c>
      <c r="L49" s="43">
        <v>0.3</v>
      </c>
      <c r="M49" s="43">
        <v>0.633333333333333</v>
      </c>
      <c r="N49" s="43"/>
      <c r="O49" s="43"/>
      <c r="P49" s="43">
        <v>0.233333333333333</v>
      </c>
      <c r="Q49" s="43">
        <v>0.533333333333333</v>
      </c>
      <c r="R49" s="43"/>
      <c r="S49" s="43"/>
      <c r="T49" s="9">
        <v>2.4</v>
      </c>
      <c r="U49" s="9">
        <v>0</v>
      </c>
      <c r="V49" s="9">
        <v>-4.52</v>
      </c>
      <c r="W49" s="9">
        <v>4</v>
      </c>
      <c r="X49" s="9">
        <v>-1.748</v>
      </c>
      <c r="Y49">
        <v>1.05</v>
      </c>
      <c r="Z49">
        <v>-3.661</v>
      </c>
      <c r="AA49">
        <v>1</v>
      </c>
      <c r="AB49">
        <v>0</v>
      </c>
      <c r="AF49">
        <v>801</v>
      </c>
      <c r="AG49" t="s">
        <v>116</v>
      </c>
      <c r="AH49" t="s">
        <v>121</v>
      </c>
      <c r="AK49">
        <v>0</v>
      </c>
    </row>
    <row r="50" spans="1:37">
      <c r="A50">
        <v>45</v>
      </c>
      <c r="B50" s="10" t="s">
        <v>220</v>
      </c>
      <c r="C50" s="11" t="s">
        <v>221</v>
      </c>
      <c r="D50">
        <v>1</v>
      </c>
      <c r="E50">
        <v>1</v>
      </c>
      <c r="F50">
        <v>1</v>
      </c>
      <c r="G50">
        <v>1.78</v>
      </c>
      <c r="H50" s="43">
        <v>1.9</v>
      </c>
      <c r="I50" s="43">
        <v>0.42</v>
      </c>
      <c r="J50" t="s">
        <v>115</v>
      </c>
      <c r="L50" s="43">
        <v>0.0666666666666667</v>
      </c>
      <c r="M50" s="43">
        <v>0.566666666666667</v>
      </c>
      <c r="N50" s="43"/>
      <c r="O50" s="43"/>
      <c r="P50" s="43">
        <v>0.1</v>
      </c>
      <c r="Q50" s="43">
        <v>0.466666666666667</v>
      </c>
      <c r="R50" s="43"/>
      <c r="S50" s="43"/>
      <c r="T50" s="9">
        <v>2.4</v>
      </c>
      <c r="U50" s="9">
        <v>0</v>
      </c>
      <c r="V50" s="9">
        <v>-6</v>
      </c>
      <c r="W50" s="9">
        <v>5</v>
      </c>
      <c r="X50" s="9">
        <v>-2.38</v>
      </c>
      <c r="Y50" s="9">
        <v>1</v>
      </c>
      <c r="Z50" s="9">
        <v>-2.72</v>
      </c>
      <c r="AA50">
        <v>1</v>
      </c>
      <c r="AB50">
        <v>0</v>
      </c>
      <c r="AF50">
        <v>801</v>
      </c>
      <c r="AG50" t="s">
        <v>116</v>
      </c>
      <c r="AH50" t="s">
        <v>121</v>
      </c>
      <c r="AK50">
        <v>0</v>
      </c>
    </row>
    <row r="51" spans="1:37">
      <c r="A51" s="9">
        <v>46</v>
      </c>
      <c r="B51" s="10" t="s">
        <v>222</v>
      </c>
      <c r="C51" s="11" t="s">
        <v>223</v>
      </c>
      <c r="D51">
        <v>1</v>
      </c>
      <c r="E51">
        <v>1</v>
      </c>
      <c r="F51">
        <v>0.9</v>
      </c>
      <c r="G51">
        <v>1.67</v>
      </c>
      <c r="H51" s="43">
        <v>2.1</v>
      </c>
      <c r="I51" s="43">
        <v>0.37</v>
      </c>
      <c r="J51" t="s">
        <v>115</v>
      </c>
      <c r="L51" s="43">
        <v>0.133333333333333</v>
      </c>
      <c r="M51" s="43">
        <v>0.766666666666667</v>
      </c>
      <c r="N51" s="43"/>
      <c r="O51" s="43"/>
      <c r="P51" s="43">
        <v>0.166666666666667</v>
      </c>
      <c r="Q51" s="43">
        <v>0.733333333333333</v>
      </c>
      <c r="R51" s="43"/>
      <c r="S51" s="43"/>
      <c r="T51" s="9">
        <v>2.4</v>
      </c>
      <c r="U51" s="9">
        <v>0</v>
      </c>
      <c r="V51" s="9">
        <v>-6.62</v>
      </c>
      <c r="W51" s="9">
        <v>4.5</v>
      </c>
      <c r="X51" s="9">
        <v>-2.3</v>
      </c>
      <c r="Y51" s="9">
        <v>1.01</v>
      </c>
      <c r="Z51" s="9">
        <v>-2.83</v>
      </c>
      <c r="AA51">
        <v>1</v>
      </c>
      <c r="AB51">
        <v>0</v>
      </c>
      <c r="AF51">
        <v>801</v>
      </c>
      <c r="AG51" t="s">
        <v>116</v>
      </c>
      <c r="AH51" t="s">
        <v>121</v>
      </c>
      <c r="AK51">
        <v>0</v>
      </c>
    </row>
    <row r="52" spans="1:37">
      <c r="A52" s="9">
        <v>47</v>
      </c>
      <c r="B52" s="10" t="s">
        <v>224</v>
      </c>
      <c r="C52" s="11" t="s">
        <v>225</v>
      </c>
      <c r="D52">
        <v>1</v>
      </c>
      <c r="E52">
        <v>1</v>
      </c>
      <c r="F52">
        <v>1</v>
      </c>
      <c r="G52">
        <v>1.71</v>
      </c>
      <c r="H52" s="43">
        <v>2.1</v>
      </c>
      <c r="I52" s="43">
        <v>0.4</v>
      </c>
      <c r="J52" t="s">
        <v>115</v>
      </c>
      <c r="L52" s="43">
        <v>0.133333333333333</v>
      </c>
      <c r="M52" s="43">
        <v>0.766666666666667</v>
      </c>
      <c r="N52" s="43"/>
      <c r="O52" s="43"/>
      <c r="P52" s="43">
        <v>0.133333333333333</v>
      </c>
      <c r="Q52" s="43">
        <v>0.733333333333333</v>
      </c>
      <c r="R52" s="43"/>
      <c r="S52" s="43"/>
      <c r="T52" s="9">
        <v>2.4</v>
      </c>
      <c r="U52" s="9">
        <v>0</v>
      </c>
      <c r="V52" s="9">
        <v>-6.83</v>
      </c>
      <c r="W52" s="9">
        <v>5</v>
      </c>
      <c r="X52" s="9">
        <v>-2.133</v>
      </c>
      <c r="Y52" s="9">
        <v>1.02</v>
      </c>
      <c r="Z52" s="9">
        <v>-3.155</v>
      </c>
      <c r="AA52">
        <v>1</v>
      </c>
      <c r="AB52">
        <v>0</v>
      </c>
      <c r="AF52">
        <v>801</v>
      </c>
      <c r="AG52" t="s">
        <v>116</v>
      </c>
      <c r="AH52" t="s">
        <v>121</v>
      </c>
      <c r="AK52">
        <v>0</v>
      </c>
    </row>
    <row r="53" spans="1:52">
      <c r="A53" s="45">
        <v>48</v>
      </c>
      <c r="B53" s="46" t="s">
        <v>226</v>
      </c>
      <c r="C53" s="47" t="s">
        <v>227</v>
      </c>
      <c r="D53" s="48">
        <v>1</v>
      </c>
      <c r="E53" s="48"/>
      <c r="F53" s="48">
        <v>1</v>
      </c>
      <c r="G53">
        <v>1.9</v>
      </c>
      <c r="H53" s="49">
        <v>2.2</v>
      </c>
      <c r="I53" s="49">
        <v>0.6</v>
      </c>
      <c r="J53" s="48" t="s">
        <v>115</v>
      </c>
      <c r="K53" s="48"/>
      <c r="L53" s="51">
        <v>0.199999999</v>
      </c>
      <c r="M53" s="51">
        <v>0.7</v>
      </c>
      <c r="N53" s="51"/>
      <c r="O53" s="51"/>
      <c r="P53" s="51">
        <v>0.166666666666667</v>
      </c>
      <c r="Q53" s="51">
        <v>0.733333333333333</v>
      </c>
      <c r="R53" s="51"/>
      <c r="S53" s="51"/>
      <c r="T53" s="45">
        <v>2.4</v>
      </c>
      <c r="U53" s="45">
        <v>0</v>
      </c>
      <c r="V53" s="45">
        <v>-6.8</v>
      </c>
      <c r="W53" s="45">
        <v>5</v>
      </c>
      <c r="X53" s="45"/>
      <c r="Y53" s="45"/>
      <c r="Z53" s="45"/>
      <c r="AA53">
        <v>1</v>
      </c>
      <c r="AB53">
        <v>0</v>
      </c>
      <c r="AC53" s="48"/>
      <c r="AD53" s="48"/>
      <c r="AE53" s="48"/>
      <c r="AF53">
        <v>801</v>
      </c>
      <c r="AG53" t="s">
        <v>116</v>
      </c>
      <c r="AH53" t="s">
        <v>121</v>
      </c>
      <c r="AI53" s="48"/>
      <c r="AJ53" s="48"/>
      <c r="AK53" s="48">
        <v>0</v>
      </c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Y53" s="48"/>
      <c r="AZ53" s="48"/>
    </row>
    <row r="54" spans="1:37">
      <c r="A54" s="9">
        <v>49</v>
      </c>
      <c r="B54" s="10" t="s">
        <v>228</v>
      </c>
      <c r="C54" s="11" t="s">
        <v>229</v>
      </c>
      <c r="D54">
        <v>1</v>
      </c>
      <c r="F54">
        <v>0.8</v>
      </c>
      <c r="G54">
        <v>2.2</v>
      </c>
      <c r="H54" s="43">
        <v>2.7</v>
      </c>
      <c r="I54" s="43">
        <f>1.18*F54</f>
        <v>0.944</v>
      </c>
      <c r="J54" t="s">
        <v>115</v>
      </c>
      <c r="L54" s="43">
        <v>0.133333333333333</v>
      </c>
      <c r="M54" s="43">
        <v>0.5</v>
      </c>
      <c r="N54" s="43"/>
      <c r="O54" s="43"/>
      <c r="P54" s="43">
        <v>0.133333333333333</v>
      </c>
      <c r="Q54" s="43">
        <v>0.533333333333333</v>
      </c>
      <c r="R54" s="43"/>
      <c r="S54" s="43"/>
      <c r="T54" s="9">
        <v>2.4</v>
      </c>
      <c r="U54" s="9">
        <v>0</v>
      </c>
      <c r="V54" s="9">
        <v>-6.67</v>
      </c>
      <c r="W54" s="9">
        <v>3.8</v>
      </c>
      <c r="X54" s="9"/>
      <c r="Y54" s="9"/>
      <c r="Z54" s="9"/>
      <c r="AA54">
        <v>1</v>
      </c>
      <c r="AB54">
        <v>0</v>
      </c>
      <c r="AF54">
        <v>801</v>
      </c>
      <c r="AG54" t="s">
        <v>116</v>
      </c>
      <c r="AH54" t="s">
        <v>121</v>
      </c>
      <c r="AK54">
        <v>0</v>
      </c>
    </row>
    <row r="55" spans="1:52">
      <c r="A55" s="9">
        <v>50</v>
      </c>
      <c r="B55" s="10" t="s">
        <v>230</v>
      </c>
      <c r="C55" s="11" t="s">
        <v>231</v>
      </c>
      <c r="D55">
        <v>1</v>
      </c>
      <c r="E55">
        <v>1</v>
      </c>
      <c r="F55" s="48">
        <v>1</v>
      </c>
      <c r="G55">
        <v>1.6</v>
      </c>
      <c r="H55" s="49">
        <v>1.9</v>
      </c>
      <c r="I55" s="49">
        <v>0.43</v>
      </c>
      <c r="J55" s="48" t="s">
        <v>115</v>
      </c>
      <c r="K55" s="48"/>
      <c r="L55" s="43">
        <v>0.2</v>
      </c>
      <c r="M55" s="43">
        <v>0.666666666666667</v>
      </c>
      <c r="N55" s="43"/>
      <c r="O55" s="43"/>
      <c r="P55" s="43">
        <v>0.133333333333333</v>
      </c>
      <c r="Q55" s="43">
        <v>0.633333333333333</v>
      </c>
      <c r="R55" s="43"/>
      <c r="S55" s="43"/>
      <c r="T55" s="9">
        <v>2.4</v>
      </c>
      <c r="U55" s="9">
        <v>0</v>
      </c>
      <c r="V55" s="9">
        <v>-5.66</v>
      </c>
      <c r="W55" s="9">
        <v>5</v>
      </c>
      <c r="X55" s="9">
        <v>-2.43</v>
      </c>
      <c r="Y55" s="9">
        <v>0.97</v>
      </c>
      <c r="Z55" s="9">
        <v>-2.57</v>
      </c>
      <c r="AA55">
        <v>1</v>
      </c>
      <c r="AB55">
        <v>1</v>
      </c>
      <c r="AC55">
        <v>800</v>
      </c>
      <c r="AD55" t="s">
        <v>153</v>
      </c>
      <c r="AF55">
        <v>801</v>
      </c>
      <c r="AG55" t="s">
        <v>116</v>
      </c>
      <c r="AH55" t="s">
        <v>121</v>
      </c>
      <c r="AK55">
        <v>0</v>
      </c>
      <c r="AV55" t="s">
        <v>122</v>
      </c>
      <c r="AW55" t="s">
        <v>122</v>
      </c>
      <c r="AY55">
        <v>800</v>
      </c>
      <c r="AZ55" t="s">
        <v>153</v>
      </c>
    </row>
    <row r="56" spans="1:37">
      <c r="A56" s="9">
        <v>51</v>
      </c>
      <c r="B56" s="10" t="s">
        <v>232</v>
      </c>
      <c r="C56" s="11" t="s">
        <v>233</v>
      </c>
      <c r="D56">
        <v>1</v>
      </c>
      <c r="E56">
        <v>1</v>
      </c>
      <c r="F56" s="11">
        <v>1</v>
      </c>
      <c r="G56">
        <v>1.8</v>
      </c>
      <c r="H56" s="50">
        <v>2</v>
      </c>
      <c r="I56" s="50">
        <v>0.43</v>
      </c>
      <c r="J56" s="11" t="s">
        <v>115</v>
      </c>
      <c r="K56" s="11"/>
      <c r="L56" s="43">
        <v>0.0333333333333333</v>
      </c>
      <c r="M56" s="43">
        <v>0.5</v>
      </c>
      <c r="N56" s="43"/>
      <c r="O56" s="43"/>
      <c r="P56" s="43">
        <v>0.0333333333333333</v>
      </c>
      <c r="Q56" s="43">
        <v>0.566666666666667</v>
      </c>
      <c r="R56" s="43"/>
      <c r="S56" s="43"/>
      <c r="T56" s="9">
        <v>2.4</v>
      </c>
      <c r="U56" s="9">
        <v>0</v>
      </c>
      <c r="V56" s="9">
        <v>-6.07</v>
      </c>
      <c r="W56" s="9">
        <v>5</v>
      </c>
      <c r="X56" s="9">
        <v>-1.947</v>
      </c>
      <c r="Y56" s="9">
        <v>1.073</v>
      </c>
      <c r="Z56" s="9">
        <v>-3.489</v>
      </c>
      <c r="AA56">
        <v>1</v>
      </c>
      <c r="AB56">
        <v>0</v>
      </c>
      <c r="AF56">
        <v>801</v>
      </c>
      <c r="AG56" t="s">
        <v>116</v>
      </c>
      <c r="AH56" t="s">
        <v>121</v>
      </c>
      <c r="AK56">
        <v>0</v>
      </c>
    </row>
    <row r="57" spans="1:52">
      <c r="A57" s="9">
        <v>52</v>
      </c>
      <c r="B57" s="10" t="s">
        <v>234</v>
      </c>
      <c r="C57" s="11" t="s">
        <v>235</v>
      </c>
      <c r="D57">
        <v>1</v>
      </c>
      <c r="E57">
        <v>1</v>
      </c>
      <c r="F57">
        <v>0.9</v>
      </c>
      <c r="G57">
        <v>2.08</v>
      </c>
      <c r="H57" s="39">
        <v>2.4</v>
      </c>
      <c r="I57" s="39">
        <v>0.55</v>
      </c>
      <c r="J57" t="s">
        <v>115</v>
      </c>
      <c r="K57" s="39">
        <v>1</v>
      </c>
      <c r="L57">
        <v>0</v>
      </c>
      <c r="M57">
        <f>16/30</f>
        <v>0.533333333333333</v>
      </c>
      <c r="N57">
        <v>821</v>
      </c>
      <c r="O57">
        <v>821</v>
      </c>
      <c r="P57">
        <v>0</v>
      </c>
      <c r="Q57">
        <v>0.533333333333333</v>
      </c>
      <c r="R57">
        <v>821</v>
      </c>
      <c r="S57">
        <v>821</v>
      </c>
      <c r="T57">
        <v>2.4</v>
      </c>
      <c r="U57" s="9">
        <v>0</v>
      </c>
      <c r="V57" s="9">
        <v>-7.5</v>
      </c>
      <c r="W57" s="9">
        <v>4.5</v>
      </c>
      <c r="X57" s="9">
        <v>-1.98</v>
      </c>
      <c r="Y57" s="9">
        <v>0.88</v>
      </c>
      <c r="Z57" s="9">
        <v>-3.39</v>
      </c>
      <c r="AA57">
        <v>0.8</v>
      </c>
      <c r="AB57">
        <v>1</v>
      </c>
      <c r="AC57" s="9">
        <v>861</v>
      </c>
      <c r="AD57" t="s">
        <v>153</v>
      </c>
      <c r="AF57">
        <v>801</v>
      </c>
      <c r="AG57" t="s">
        <v>116</v>
      </c>
      <c r="AH57" t="s">
        <v>121</v>
      </c>
      <c r="AI57">
        <v>3</v>
      </c>
      <c r="AK57">
        <v>0</v>
      </c>
      <c r="AO57" s="9"/>
      <c r="AV57" t="s">
        <v>236</v>
      </c>
      <c r="AW57" t="s">
        <v>236</v>
      </c>
      <c r="AY57" s="9">
        <v>861</v>
      </c>
      <c r="AZ57" t="s">
        <v>153</v>
      </c>
    </row>
    <row r="58" spans="1:52">
      <c r="A58" s="9">
        <v>53</v>
      </c>
      <c r="B58" s="10" t="s">
        <v>237</v>
      </c>
      <c r="C58" s="11" t="s">
        <v>238</v>
      </c>
      <c r="D58">
        <v>1</v>
      </c>
      <c r="E58">
        <v>1</v>
      </c>
      <c r="F58">
        <v>1</v>
      </c>
      <c r="G58">
        <v>2.35</v>
      </c>
      <c r="H58" s="39">
        <v>2.55</v>
      </c>
      <c r="I58" s="39">
        <v>0.75</v>
      </c>
      <c r="J58" t="s">
        <v>115</v>
      </c>
      <c r="L58">
        <v>0.1</v>
      </c>
      <c r="M58">
        <v>0.566666666666667</v>
      </c>
      <c r="P58">
        <v>0.133333333333333</v>
      </c>
      <c r="Q58">
        <v>0.533333333333333</v>
      </c>
      <c r="T58" s="9">
        <v>2.4</v>
      </c>
      <c r="U58" s="9">
        <v>0</v>
      </c>
      <c r="V58" s="9">
        <v>-5.64</v>
      </c>
      <c r="W58" s="9">
        <v>3.5</v>
      </c>
      <c r="X58" s="9">
        <v>-1.15</v>
      </c>
      <c r="Y58" s="9">
        <v>0.99</v>
      </c>
      <c r="Z58" s="9">
        <v>-4.88</v>
      </c>
      <c r="AA58">
        <v>0.85</v>
      </c>
      <c r="AB58">
        <v>1</v>
      </c>
      <c r="AC58" s="9">
        <v>1016</v>
      </c>
      <c r="AD58" t="s">
        <v>153</v>
      </c>
      <c r="AF58">
        <v>801</v>
      </c>
      <c r="AG58" t="s">
        <v>116</v>
      </c>
      <c r="AH58" t="s">
        <v>121</v>
      </c>
      <c r="AK58">
        <v>0</v>
      </c>
      <c r="AY58" s="9">
        <v>1016</v>
      </c>
      <c r="AZ58" t="s">
        <v>153</v>
      </c>
    </row>
    <row r="59" spans="1:52">
      <c r="A59" s="9">
        <v>54</v>
      </c>
      <c r="B59" s="10" t="s">
        <v>239</v>
      </c>
      <c r="C59" s="11" t="s">
        <v>240</v>
      </c>
      <c r="D59">
        <v>1</v>
      </c>
      <c r="E59">
        <v>1</v>
      </c>
      <c r="F59">
        <v>0.7</v>
      </c>
      <c r="G59">
        <v>2.45</v>
      </c>
      <c r="H59">
        <v>2.95</v>
      </c>
      <c r="I59" s="39">
        <v>0.55</v>
      </c>
      <c r="J59" t="s">
        <v>115</v>
      </c>
      <c r="L59">
        <v>0.133333333333333</v>
      </c>
      <c r="M59">
        <v>0.666666666666667</v>
      </c>
      <c r="P59">
        <v>0.133333333333333</v>
      </c>
      <c r="Q59">
        <v>0.6</v>
      </c>
      <c r="T59" s="9">
        <v>2.4</v>
      </c>
      <c r="U59" s="9">
        <v>0</v>
      </c>
      <c r="V59" s="9">
        <v>-5.37</v>
      </c>
      <c r="W59" s="9">
        <v>3</v>
      </c>
      <c r="X59" s="9">
        <v>-1.207</v>
      </c>
      <c r="Y59" s="9">
        <v>1.212</v>
      </c>
      <c r="Z59" s="9">
        <v>-4.616</v>
      </c>
      <c r="AA59">
        <v>0.8</v>
      </c>
      <c r="AB59">
        <v>1</v>
      </c>
      <c r="AC59">
        <v>1031</v>
      </c>
      <c r="AD59" t="s">
        <v>153</v>
      </c>
      <c r="AE59" t="s">
        <v>241</v>
      </c>
      <c r="AF59">
        <v>801</v>
      </c>
      <c r="AG59" t="s">
        <v>116</v>
      </c>
      <c r="AH59" t="s">
        <v>121</v>
      </c>
      <c r="AK59">
        <v>0</v>
      </c>
      <c r="AV59" t="s">
        <v>118</v>
      </c>
      <c r="AW59" t="s">
        <v>118</v>
      </c>
      <c r="AY59">
        <v>1031</v>
      </c>
      <c r="AZ59" t="s">
        <v>153</v>
      </c>
    </row>
    <row r="60" spans="1:52">
      <c r="A60" s="9">
        <v>55</v>
      </c>
      <c r="B60" s="10" t="s">
        <v>242</v>
      </c>
      <c r="C60" s="11"/>
      <c r="D60">
        <v>1</v>
      </c>
      <c r="E60">
        <v>1</v>
      </c>
      <c r="F60">
        <v>1</v>
      </c>
      <c r="G60">
        <v>2</v>
      </c>
      <c r="H60">
        <v>2.22</v>
      </c>
      <c r="I60" s="39">
        <v>0.35</v>
      </c>
      <c r="J60" t="s">
        <v>115</v>
      </c>
      <c r="L60">
        <v>0.0666666666666667</v>
      </c>
      <c r="M60">
        <v>0.666666666666667</v>
      </c>
      <c r="P60">
        <v>0.0666666666666667</v>
      </c>
      <c r="Q60">
        <v>0.666666666666667</v>
      </c>
      <c r="T60" s="9">
        <v>2.4</v>
      </c>
      <c r="U60" s="9">
        <v>0</v>
      </c>
      <c r="V60" s="9">
        <v>-6.38</v>
      </c>
      <c r="W60" s="9">
        <v>4.5</v>
      </c>
      <c r="X60">
        <v>-2.381</v>
      </c>
      <c r="Y60">
        <v>1.1</v>
      </c>
      <c r="Z60">
        <v>-2.609</v>
      </c>
      <c r="AA60">
        <v>1</v>
      </c>
      <c r="AB60">
        <v>1</v>
      </c>
      <c r="AC60">
        <v>1138</v>
      </c>
      <c r="AD60" t="s">
        <v>153</v>
      </c>
      <c r="AF60">
        <v>801</v>
      </c>
      <c r="AG60" t="s">
        <v>116</v>
      </c>
      <c r="AH60" t="s">
        <v>121</v>
      </c>
      <c r="AK60">
        <v>0</v>
      </c>
      <c r="AY60">
        <v>1138</v>
      </c>
      <c r="AZ60" t="s">
        <v>153</v>
      </c>
    </row>
    <row r="61" spans="1:52">
      <c r="A61" s="9">
        <v>56</v>
      </c>
      <c r="B61" s="10" t="s">
        <v>243</v>
      </c>
      <c r="C61" s="11"/>
      <c r="D61">
        <v>1</v>
      </c>
      <c r="E61">
        <v>1</v>
      </c>
      <c r="F61">
        <v>1</v>
      </c>
      <c r="G61">
        <v>2</v>
      </c>
      <c r="H61">
        <v>2.2</v>
      </c>
      <c r="I61" s="39">
        <v>0.6</v>
      </c>
      <c r="J61" t="s">
        <v>115</v>
      </c>
      <c r="L61">
        <v>0.133333333333333</v>
      </c>
      <c r="M61">
        <v>0.633333333333333</v>
      </c>
      <c r="P61">
        <v>0.133333333333333</v>
      </c>
      <c r="Q61">
        <v>0.7</v>
      </c>
      <c r="T61" s="9">
        <v>2.4</v>
      </c>
      <c r="U61" s="9">
        <v>0</v>
      </c>
      <c r="V61" s="9">
        <v>-6.38</v>
      </c>
      <c r="W61" s="9">
        <v>4.5</v>
      </c>
      <c r="X61" s="9">
        <v>-2.3</v>
      </c>
      <c r="Y61" s="9">
        <v>1.01</v>
      </c>
      <c r="Z61" s="9">
        <v>-2.83</v>
      </c>
      <c r="AA61">
        <v>1</v>
      </c>
      <c r="AB61">
        <v>1</v>
      </c>
      <c r="AC61">
        <v>1137</v>
      </c>
      <c r="AD61" t="s">
        <v>153</v>
      </c>
      <c r="AF61">
        <v>801</v>
      </c>
      <c r="AG61" t="s">
        <v>116</v>
      </c>
      <c r="AH61" t="s">
        <v>121</v>
      </c>
      <c r="AK61">
        <v>0</v>
      </c>
      <c r="AY61">
        <v>1137</v>
      </c>
      <c r="AZ61" t="s">
        <v>153</v>
      </c>
    </row>
    <row r="62" spans="1:52">
      <c r="A62" s="9">
        <v>57</v>
      </c>
      <c r="B62" s="10" t="s">
        <v>244</v>
      </c>
      <c r="C62" s="11"/>
      <c r="D62">
        <v>1</v>
      </c>
      <c r="E62">
        <v>1</v>
      </c>
      <c r="F62">
        <v>1</v>
      </c>
      <c r="G62">
        <v>2</v>
      </c>
      <c r="H62">
        <v>2.3</v>
      </c>
      <c r="I62">
        <v>0.35</v>
      </c>
      <c r="J62" t="s">
        <v>115</v>
      </c>
      <c r="L62">
        <v>0.1</v>
      </c>
      <c r="M62">
        <v>0.666666666666667</v>
      </c>
      <c r="P62">
        <v>0.1</v>
      </c>
      <c r="Q62">
        <v>0.666666666666667</v>
      </c>
      <c r="T62" s="9">
        <v>2.4</v>
      </c>
      <c r="U62" s="9">
        <v>0</v>
      </c>
      <c r="V62" s="9"/>
      <c r="W62" s="9"/>
      <c r="X62">
        <v>-1.58</v>
      </c>
      <c r="Y62">
        <v>0.98</v>
      </c>
      <c r="Z62">
        <v>-3.88</v>
      </c>
      <c r="AA62">
        <v>0.93</v>
      </c>
      <c r="AB62">
        <v>1</v>
      </c>
      <c r="AC62">
        <v>1132</v>
      </c>
      <c r="AD62" t="s">
        <v>153</v>
      </c>
      <c r="AF62">
        <v>801</v>
      </c>
      <c r="AG62" t="s">
        <v>116</v>
      </c>
      <c r="AH62" t="s">
        <v>121</v>
      </c>
      <c r="AK62">
        <v>0</v>
      </c>
      <c r="AY62">
        <v>1132</v>
      </c>
      <c r="AZ62" t="s">
        <v>153</v>
      </c>
    </row>
    <row r="63" spans="1:37">
      <c r="A63" s="9">
        <v>58</v>
      </c>
      <c r="B63" s="10" t="s">
        <v>245</v>
      </c>
      <c r="C63" s="11" t="s">
        <v>246</v>
      </c>
      <c r="D63">
        <v>1</v>
      </c>
      <c r="E63">
        <v>1</v>
      </c>
      <c r="F63">
        <v>1</v>
      </c>
      <c r="G63">
        <v>2.1</v>
      </c>
      <c r="H63">
        <v>2.48</v>
      </c>
      <c r="I63">
        <v>0.4</v>
      </c>
      <c r="J63" t="s">
        <v>115</v>
      </c>
      <c r="L63">
        <v>0.133333333333333</v>
      </c>
      <c r="M63">
        <v>0.566666667</v>
      </c>
      <c r="P63">
        <v>0.1</v>
      </c>
      <c r="Q63">
        <v>0.5</v>
      </c>
      <c r="T63" s="9">
        <v>2.4</v>
      </c>
      <c r="U63" s="9">
        <v>0</v>
      </c>
      <c r="V63" s="9"/>
      <c r="W63" s="9"/>
      <c r="X63">
        <v>-1.6</v>
      </c>
      <c r="Y63">
        <v>1.05</v>
      </c>
      <c r="Z63">
        <v>-3.86</v>
      </c>
      <c r="AA63">
        <v>0.85</v>
      </c>
      <c r="AB63">
        <v>0</v>
      </c>
      <c r="AF63">
        <v>801</v>
      </c>
      <c r="AG63" t="s">
        <v>116</v>
      </c>
      <c r="AH63" t="s">
        <v>200</v>
      </c>
      <c r="AK63">
        <v>0</v>
      </c>
    </row>
    <row r="64" spans="1:52">
      <c r="A64" s="9">
        <v>59</v>
      </c>
      <c r="B64" s="10" t="s">
        <v>247</v>
      </c>
      <c r="C64" s="11" t="s">
        <v>248</v>
      </c>
      <c r="D64">
        <v>1</v>
      </c>
      <c r="E64">
        <v>1</v>
      </c>
      <c r="F64">
        <v>0.85</v>
      </c>
      <c r="G64">
        <v>2.31</v>
      </c>
      <c r="H64">
        <v>2.7</v>
      </c>
      <c r="I64">
        <v>0.6</v>
      </c>
      <c r="J64" t="s">
        <v>115</v>
      </c>
      <c r="L64">
        <f>5/30</f>
        <v>0.166666666666667</v>
      </c>
      <c r="M64">
        <f>21/30</f>
        <v>0.7</v>
      </c>
      <c r="P64">
        <f>5/30</f>
        <v>0.166666666666667</v>
      </c>
      <c r="Q64">
        <f>22/30</f>
        <v>0.733333333333333</v>
      </c>
      <c r="T64" s="9">
        <v>2.4</v>
      </c>
      <c r="U64" s="9">
        <v>0</v>
      </c>
      <c r="V64" s="9"/>
      <c r="W64" s="9"/>
      <c r="X64">
        <v>-1.6</v>
      </c>
      <c r="Y64">
        <v>0.89</v>
      </c>
      <c r="Z64">
        <v>-3.84</v>
      </c>
      <c r="AA64">
        <v>0.75</v>
      </c>
      <c r="AB64">
        <v>1</v>
      </c>
      <c r="AC64">
        <v>1349</v>
      </c>
      <c r="AD64" t="s">
        <v>153</v>
      </c>
      <c r="AF64">
        <v>801</v>
      </c>
      <c r="AG64" t="s">
        <v>116</v>
      </c>
      <c r="AH64" t="s">
        <v>121</v>
      </c>
      <c r="AK64">
        <v>0</v>
      </c>
      <c r="AY64">
        <v>1349</v>
      </c>
      <c r="AZ64" t="s">
        <v>153</v>
      </c>
    </row>
    <row r="65" spans="1:52">
      <c r="A65" s="9">
        <v>60</v>
      </c>
      <c r="B65" s="10" t="s">
        <v>249</v>
      </c>
      <c r="C65" s="11" t="s">
        <v>250</v>
      </c>
      <c r="D65">
        <v>1</v>
      </c>
      <c r="E65">
        <v>1</v>
      </c>
      <c r="F65">
        <v>1</v>
      </c>
      <c r="G65">
        <v>2.1</v>
      </c>
      <c r="H65">
        <v>2.4</v>
      </c>
      <c r="I65">
        <v>0.4</v>
      </c>
      <c r="J65" t="s">
        <v>115</v>
      </c>
      <c r="K65">
        <v>1</v>
      </c>
      <c r="L65">
        <v>0.0666666666666667</v>
      </c>
      <c r="M65">
        <v>0.5</v>
      </c>
      <c r="N65">
        <v>1302</v>
      </c>
      <c r="O65">
        <v>1302</v>
      </c>
      <c r="P65">
        <v>0.0666666666666667</v>
      </c>
      <c r="Q65">
        <v>0.566666666666667</v>
      </c>
      <c r="R65">
        <v>1303</v>
      </c>
      <c r="S65">
        <v>1302</v>
      </c>
      <c r="T65" s="9">
        <v>2.4</v>
      </c>
      <c r="U65" s="9">
        <v>0</v>
      </c>
      <c r="V65" s="9"/>
      <c r="W65" s="9"/>
      <c r="X65" s="9">
        <v>-1.98</v>
      </c>
      <c r="Y65" s="9">
        <v>0.88</v>
      </c>
      <c r="Z65" s="9">
        <v>-3.39</v>
      </c>
      <c r="AA65">
        <v>0.85</v>
      </c>
      <c r="AB65">
        <v>1</v>
      </c>
      <c r="AC65">
        <v>1299</v>
      </c>
      <c r="AD65" t="s">
        <v>153</v>
      </c>
      <c r="AF65">
        <v>801</v>
      </c>
      <c r="AG65" t="s">
        <v>116</v>
      </c>
      <c r="AH65" t="s">
        <v>121</v>
      </c>
      <c r="AK65">
        <v>0</v>
      </c>
      <c r="AY65">
        <v>1299</v>
      </c>
      <c r="AZ65" t="s">
        <v>153</v>
      </c>
    </row>
    <row r="66" spans="1:52">
      <c r="A66" s="9">
        <v>61</v>
      </c>
      <c r="B66" s="10" t="s">
        <v>251</v>
      </c>
      <c r="C66" s="11" t="s">
        <v>252</v>
      </c>
      <c r="D66">
        <v>1</v>
      </c>
      <c r="E66">
        <v>1</v>
      </c>
      <c r="F66">
        <v>1</v>
      </c>
      <c r="G66">
        <v>2.1</v>
      </c>
      <c r="H66">
        <v>2.4</v>
      </c>
      <c r="I66">
        <v>0.4</v>
      </c>
      <c r="J66" t="s">
        <v>253</v>
      </c>
      <c r="L66">
        <v>0.0666666666666667</v>
      </c>
      <c r="M66">
        <v>0.466666666666667</v>
      </c>
      <c r="P66">
        <v>0.1</v>
      </c>
      <c r="Q66">
        <v>0.433333333333333</v>
      </c>
      <c r="T66" s="9">
        <v>2.4</v>
      </c>
      <c r="U66" s="9">
        <v>0</v>
      </c>
      <c r="V66" s="9"/>
      <c r="W66" s="9"/>
      <c r="X66">
        <v>-1.875</v>
      </c>
      <c r="Y66">
        <v>0.983</v>
      </c>
      <c r="Z66">
        <v>-3.378</v>
      </c>
      <c r="AA66">
        <v>0.85</v>
      </c>
      <c r="AB66">
        <v>1</v>
      </c>
      <c r="AC66">
        <v>1298</v>
      </c>
      <c r="AD66" t="s">
        <v>153</v>
      </c>
      <c r="AF66">
        <v>801</v>
      </c>
      <c r="AG66" t="s">
        <v>116</v>
      </c>
      <c r="AH66" t="s">
        <v>121</v>
      </c>
      <c r="AK66">
        <v>0</v>
      </c>
      <c r="AY66">
        <v>1298</v>
      </c>
      <c r="AZ66" t="s">
        <v>153</v>
      </c>
    </row>
    <row r="67" spans="1:52">
      <c r="A67" s="9">
        <v>62</v>
      </c>
      <c r="B67" s="10" t="s">
        <v>254</v>
      </c>
      <c r="C67" s="11" t="s">
        <v>255</v>
      </c>
      <c r="D67">
        <v>1</v>
      </c>
      <c r="E67">
        <v>1</v>
      </c>
      <c r="F67">
        <v>1</v>
      </c>
      <c r="G67">
        <v>2.6</v>
      </c>
      <c r="H67">
        <v>2.8</v>
      </c>
      <c r="I67">
        <v>0.4</v>
      </c>
      <c r="J67" t="s">
        <v>256</v>
      </c>
      <c r="L67">
        <v>0.133333333333333</v>
      </c>
      <c r="M67">
        <v>0.633333333333333</v>
      </c>
      <c r="P67">
        <v>0.1</v>
      </c>
      <c r="Q67">
        <v>0.566666666666667</v>
      </c>
      <c r="T67" s="9">
        <v>2.4</v>
      </c>
      <c r="U67" s="9">
        <v>0</v>
      </c>
      <c r="V67" s="9"/>
      <c r="W67" s="9"/>
      <c r="X67">
        <v>-1.713</v>
      </c>
      <c r="Y67">
        <v>1.028</v>
      </c>
      <c r="Z67">
        <v>-3.796</v>
      </c>
      <c r="AA67">
        <v>0.8</v>
      </c>
      <c r="AB67" s="52" t="s">
        <v>257</v>
      </c>
      <c r="AC67" t="s">
        <v>258</v>
      </c>
      <c r="AD67" t="s">
        <v>259</v>
      </c>
      <c r="AF67">
        <v>801</v>
      </c>
      <c r="AG67" t="s">
        <v>116</v>
      </c>
      <c r="AH67" t="s">
        <v>121</v>
      </c>
      <c r="AK67">
        <v>0</v>
      </c>
      <c r="AY67" t="s">
        <v>258</v>
      </c>
      <c r="AZ67" t="s">
        <v>259</v>
      </c>
    </row>
    <row r="68" spans="1:52">
      <c r="A68" s="9">
        <v>63</v>
      </c>
      <c r="B68" s="10" t="s">
        <v>260</v>
      </c>
      <c r="C68" s="11" t="s">
        <v>261</v>
      </c>
      <c r="D68">
        <v>1</v>
      </c>
      <c r="E68">
        <v>1</v>
      </c>
      <c r="F68">
        <v>1</v>
      </c>
      <c r="G68">
        <v>2.4</v>
      </c>
      <c r="H68">
        <v>2.8</v>
      </c>
      <c r="I68">
        <v>0.4</v>
      </c>
      <c r="J68" t="s">
        <v>253</v>
      </c>
      <c r="L68">
        <v>0.1</v>
      </c>
      <c r="M68">
        <v>0.666666666666667</v>
      </c>
      <c r="P68">
        <v>0.233333333333333</v>
      </c>
      <c r="Q68">
        <v>0.7</v>
      </c>
      <c r="T68" s="9">
        <v>2.4</v>
      </c>
      <c r="U68" s="9">
        <v>0</v>
      </c>
      <c r="V68" s="9"/>
      <c r="W68" s="9"/>
      <c r="X68">
        <v>-1.389</v>
      </c>
      <c r="Y68">
        <v>0.879</v>
      </c>
      <c r="Z68">
        <v>-4.463</v>
      </c>
      <c r="AA68">
        <v>0.78</v>
      </c>
      <c r="AB68" s="52">
        <v>1</v>
      </c>
      <c r="AC68">
        <v>1427</v>
      </c>
      <c r="AD68" t="s">
        <v>153</v>
      </c>
      <c r="AF68">
        <v>801</v>
      </c>
      <c r="AG68" t="s">
        <v>116</v>
      </c>
      <c r="AH68" t="s">
        <v>121</v>
      </c>
      <c r="AK68">
        <v>0</v>
      </c>
      <c r="AY68">
        <v>1427</v>
      </c>
      <c r="AZ68" t="s">
        <v>153</v>
      </c>
    </row>
    <row r="69" spans="1:52">
      <c r="A69" s="9">
        <v>64</v>
      </c>
      <c r="B69" s="10" t="s">
        <v>262</v>
      </c>
      <c r="C69" s="11" t="s">
        <v>263</v>
      </c>
      <c r="D69">
        <v>1</v>
      </c>
      <c r="E69">
        <v>1</v>
      </c>
      <c r="F69">
        <v>1</v>
      </c>
      <c r="G69">
        <v>2.4</v>
      </c>
      <c r="H69">
        <v>2.65</v>
      </c>
      <c r="I69">
        <v>0.45</v>
      </c>
      <c r="J69" t="s">
        <v>253</v>
      </c>
      <c r="L69">
        <f>4/30</f>
        <v>0.133333333333333</v>
      </c>
      <c r="M69">
        <f>22/30</f>
        <v>0.733333333333333</v>
      </c>
      <c r="P69">
        <f>3/30</f>
        <v>0.1</v>
      </c>
      <c r="Q69">
        <f>16/30</f>
        <v>0.533333333333333</v>
      </c>
      <c r="T69" s="9">
        <v>2.4</v>
      </c>
      <c r="U69" s="9">
        <v>0</v>
      </c>
      <c r="V69" s="9"/>
      <c r="W69" s="9"/>
      <c r="X69">
        <v>-1.258</v>
      </c>
      <c r="Y69">
        <v>0.829</v>
      </c>
      <c r="Z69">
        <v>-4.527</v>
      </c>
      <c r="AA69">
        <v>0.73</v>
      </c>
      <c r="AB69">
        <v>1</v>
      </c>
      <c r="AC69">
        <v>1510</v>
      </c>
      <c r="AD69" t="s">
        <v>153</v>
      </c>
      <c r="AF69">
        <v>801</v>
      </c>
      <c r="AG69" t="s">
        <v>116</v>
      </c>
      <c r="AH69" t="s">
        <v>121</v>
      </c>
      <c r="AK69">
        <v>0</v>
      </c>
      <c r="AV69" t="s">
        <v>264</v>
      </c>
      <c r="AW69" t="s">
        <v>265</v>
      </c>
      <c r="AY69">
        <v>1510</v>
      </c>
      <c r="AZ69" t="s">
        <v>153</v>
      </c>
    </row>
    <row r="70" spans="1:52">
      <c r="A70" s="9">
        <v>65</v>
      </c>
      <c r="B70" s="10" t="s">
        <v>266</v>
      </c>
      <c r="C70" s="11" t="s">
        <v>267</v>
      </c>
      <c r="D70">
        <v>1</v>
      </c>
      <c r="E70">
        <v>1</v>
      </c>
      <c r="F70">
        <v>1</v>
      </c>
      <c r="G70">
        <v>2.6</v>
      </c>
      <c r="H70">
        <v>2.8</v>
      </c>
      <c r="I70">
        <v>0.45</v>
      </c>
      <c r="J70" t="s">
        <v>115</v>
      </c>
      <c r="L70">
        <v>0.0666666666666667</v>
      </c>
      <c r="M70">
        <v>0.533333333333333</v>
      </c>
      <c r="N70">
        <v>1599</v>
      </c>
      <c r="O70">
        <v>1601</v>
      </c>
      <c r="P70">
        <v>0.0666666666666667</v>
      </c>
      <c r="Q70">
        <v>0.533333333333333</v>
      </c>
      <c r="R70">
        <v>1600</v>
      </c>
      <c r="S70">
        <v>1601</v>
      </c>
      <c r="T70" s="9">
        <v>2.4</v>
      </c>
      <c r="U70" s="9">
        <v>0</v>
      </c>
      <c r="V70" s="9"/>
      <c r="W70" s="9"/>
      <c r="X70">
        <v>-1.964</v>
      </c>
      <c r="Y70">
        <v>1.075</v>
      </c>
      <c r="Z70">
        <v>-3.274</v>
      </c>
      <c r="AA70">
        <v>0.8</v>
      </c>
      <c r="AB70">
        <v>1</v>
      </c>
      <c r="AC70">
        <v>1577</v>
      </c>
      <c r="AD70" t="s">
        <v>153</v>
      </c>
      <c r="AF70">
        <v>801</v>
      </c>
      <c r="AG70" t="s">
        <v>116</v>
      </c>
      <c r="AH70" t="s">
        <v>121</v>
      </c>
      <c r="AK70">
        <v>0</v>
      </c>
      <c r="AY70">
        <v>1577</v>
      </c>
      <c r="AZ70" t="s">
        <v>153</v>
      </c>
    </row>
    <row r="71" spans="1:52">
      <c r="A71" s="9">
        <v>66</v>
      </c>
      <c r="B71" s="10" t="s">
        <v>268</v>
      </c>
      <c r="C71" s="11" t="s">
        <v>269</v>
      </c>
      <c r="D71">
        <v>1</v>
      </c>
      <c r="E71">
        <v>1</v>
      </c>
      <c r="F71">
        <v>1</v>
      </c>
      <c r="G71">
        <v>1.8</v>
      </c>
      <c r="H71">
        <v>2.16</v>
      </c>
      <c r="I71">
        <v>0.4</v>
      </c>
      <c r="J71" t="s">
        <v>253</v>
      </c>
      <c r="L71">
        <f>5/30</f>
        <v>0.166666666666667</v>
      </c>
      <c r="M71">
        <f t="shared" ref="M71:M73" si="0">20/30</f>
        <v>0.666666666666667</v>
      </c>
      <c r="P71">
        <f>5/30</f>
        <v>0.166666666666667</v>
      </c>
      <c r="Q71">
        <f>19/30</f>
        <v>0.633333333333333</v>
      </c>
      <c r="T71" s="9">
        <v>2.4</v>
      </c>
      <c r="U71" s="9">
        <v>0</v>
      </c>
      <c r="V71" s="9"/>
      <c r="W71" s="9"/>
      <c r="X71">
        <v>-2.25</v>
      </c>
      <c r="Y71">
        <v>1.08</v>
      </c>
      <c r="Z71">
        <v>-2.87</v>
      </c>
      <c r="AA71">
        <v>1</v>
      </c>
      <c r="AB71" t="s">
        <v>270</v>
      </c>
      <c r="AC71" t="s">
        <v>271</v>
      </c>
      <c r="AD71" t="s">
        <v>272</v>
      </c>
      <c r="AF71">
        <v>801</v>
      </c>
      <c r="AG71" t="s">
        <v>116</v>
      </c>
      <c r="AH71" t="s">
        <v>121</v>
      </c>
      <c r="AI71">
        <v>5</v>
      </c>
      <c r="AJ71">
        <v>8</v>
      </c>
      <c r="AK71">
        <v>0</v>
      </c>
      <c r="AY71" t="s">
        <v>271</v>
      </c>
      <c r="AZ71" t="s">
        <v>272</v>
      </c>
    </row>
    <row r="72" spans="1:52">
      <c r="A72" s="9">
        <v>67</v>
      </c>
      <c r="B72" s="10" t="s">
        <v>273</v>
      </c>
      <c r="C72" s="11" t="s">
        <v>274</v>
      </c>
      <c r="D72">
        <v>1</v>
      </c>
      <c r="E72">
        <v>1</v>
      </c>
      <c r="F72">
        <v>1</v>
      </c>
      <c r="G72">
        <v>2.35</v>
      </c>
      <c r="H72">
        <v>2.66</v>
      </c>
      <c r="I72">
        <v>0.45</v>
      </c>
      <c r="J72" t="s">
        <v>115</v>
      </c>
      <c r="L72">
        <f t="shared" ref="L72:L76" si="1">2/30</f>
        <v>0.0666666666666667</v>
      </c>
      <c r="M72">
        <f t="shared" si="0"/>
        <v>0.666666666666667</v>
      </c>
      <c r="P72">
        <f t="shared" ref="P72:P76" si="2">2/30</f>
        <v>0.0666666666666667</v>
      </c>
      <c r="Q72">
        <f t="shared" ref="Q72:Q75" si="3">18/30</f>
        <v>0.6</v>
      </c>
      <c r="T72" s="9">
        <v>2.4</v>
      </c>
      <c r="U72" s="9">
        <v>0</v>
      </c>
      <c r="V72" s="9"/>
      <c r="W72" s="9"/>
      <c r="X72">
        <v>-1.87</v>
      </c>
      <c r="Y72">
        <v>1.06</v>
      </c>
      <c r="Z72">
        <v>-3.43</v>
      </c>
      <c r="AA72">
        <v>0.85</v>
      </c>
      <c r="AB72">
        <v>1</v>
      </c>
      <c r="AC72">
        <v>1592</v>
      </c>
      <c r="AD72" t="s">
        <v>275</v>
      </c>
      <c r="AF72">
        <v>801</v>
      </c>
      <c r="AG72" t="s">
        <v>116</v>
      </c>
      <c r="AH72" t="s">
        <v>121</v>
      </c>
      <c r="AK72">
        <v>0</v>
      </c>
      <c r="AY72">
        <v>1592</v>
      </c>
      <c r="AZ72" t="s">
        <v>275</v>
      </c>
    </row>
    <row r="73" spans="1:52">
      <c r="A73" s="9">
        <v>68</v>
      </c>
      <c r="B73" s="10" t="s">
        <v>276</v>
      </c>
      <c r="C73" s="11" t="s">
        <v>277</v>
      </c>
      <c r="D73">
        <v>1</v>
      </c>
      <c r="E73">
        <v>1</v>
      </c>
      <c r="F73">
        <v>1</v>
      </c>
      <c r="G73">
        <v>2.03</v>
      </c>
      <c r="H73">
        <v>2.5</v>
      </c>
      <c r="I73">
        <v>0.45</v>
      </c>
      <c r="J73" t="s">
        <v>115</v>
      </c>
      <c r="K73">
        <v>1</v>
      </c>
      <c r="L73">
        <f t="shared" si="1"/>
        <v>0.0666666666666667</v>
      </c>
      <c r="M73">
        <f t="shared" si="0"/>
        <v>0.666666666666667</v>
      </c>
      <c r="N73">
        <v>1687</v>
      </c>
      <c r="O73">
        <v>1687</v>
      </c>
      <c r="P73">
        <f t="shared" si="2"/>
        <v>0.0666666666666667</v>
      </c>
      <c r="Q73">
        <f t="shared" si="3"/>
        <v>0.6</v>
      </c>
      <c r="R73">
        <v>1688</v>
      </c>
      <c r="S73">
        <v>1688</v>
      </c>
      <c r="T73" s="9">
        <v>2.4</v>
      </c>
      <c r="U73" s="9">
        <v>0</v>
      </c>
      <c r="V73" s="9"/>
      <c r="W73" s="9"/>
      <c r="X73">
        <v>-2.091</v>
      </c>
      <c r="Y73">
        <v>1.028</v>
      </c>
      <c r="Z73">
        <v>-3.311</v>
      </c>
      <c r="AA73">
        <v>0.9</v>
      </c>
      <c r="AB73">
        <v>1</v>
      </c>
      <c r="AC73">
        <v>1706</v>
      </c>
      <c r="AD73" t="s">
        <v>275</v>
      </c>
      <c r="AF73">
        <v>801</v>
      </c>
      <c r="AG73" t="s">
        <v>116</v>
      </c>
      <c r="AH73" t="s">
        <v>200</v>
      </c>
      <c r="AK73">
        <v>0</v>
      </c>
      <c r="AY73">
        <v>1706</v>
      </c>
      <c r="AZ73" t="s">
        <v>275</v>
      </c>
    </row>
    <row r="74" spans="1:52">
      <c r="A74" s="9">
        <v>69</v>
      </c>
      <c r="B74" s="10" t="s">
        <v>278</v>
      </c>
      <c r="C74" s="11" t="s">
        <v>279</v>
      </c>
      <c r="D74">
        <v>1</v>
      </c>
      <c r="E74">
        <v>1</v>
      </c>
      <c r="F74">
        <v>1</v>
      </c>
      <c r="G74">
        <v>1.65</v>
      </c>
      <c r="H74">
        <v>2</v>
      </c>
      <c r="I74">
        <v>0.4</v>
      </c>
      <c r="J74" t="s">
        <v>115</v>
      </c>
      <c r="L74">
        <f t="shared" si="1"/>
        <v>0.0666666666666667</v>
      </c>
      <c r="M74">
        <f t="shared" ref="M74:M77" si="4">17/30</f>
        <v>0.566666666666667</v>
      </c>
      <c r="P74">
        <f t="shared" si="2"/>
        <v>0.0666666666666667</v>
      </c>
      <c r="Q74">
        <f t="shared" ref="Q74:Q79" si="5">17/30</f>
        <v>0.566666666666667</v>
      </c>
      <c r="T74" s="9">
        <v>2.4</v>
      </c>
      <c r="U74" s="9">
        <v>0</v>
      </c>
      <c r="V74" s="9"/>
      <c r="W74" s="9"/>
      <c r="X74">
        <v>-2.05</v>
      </c>
      <c r="Y74">
        <v>0.88</v>
      </c>
      <c r="Z74">
        <v>-3.27</v>
      </c>
      <c r="AA74">
        <v>1</v>
      </c>
      <c r="AB74">
        <v>1</v>
      </c>
      <c r="AC74">
        <v>1752</v>
      </c>
      <c r="AD74" t="s">
        <v>275</v>
      </c>
      <c r="AF74">
        <v>801</v>
      </c>
      <c r="AG74" t="s">
        <v>116</v>
      </c>
      <c r="AH74" t="s">
        <v>200</v>
      </c>
      <c r="AK74">
        <v>0</v>
      </c>
      <c r="AY74">
        <v>1752</v>
      </c>
      <c r="AZ74" t="s">
        <v>275</v>
      </c>
    </row>
    <row r="75" spans="1:52">
      <c r="A75" s="9">
        <v>70</v>
      </c>
      <c r="B75" s="10" t="s">
        <v>280</v>
      </c>
      <c r="C75" s="11" t="s">
        <v>281</v>
      </c>
      <c r="D75">
        <v>1</v>
      </c>
      <c r="E75">
        <v>1</v>
      </c>
      <c r="F75">
        <v>1.1</v>
      </c>
      <c r="G75">
        <v>1.63</v>
      </c>
      <c r="H75">
        <v>2.1</v>
      </c>
      <c r="I75">
        <v>0.4</v>
      </c>
      <c r="J75" t="s">
        <v>115</v>
      </c>
      <c r="L75">
        <f t="shared" si="1"/>
        <v>0.0666666666666667</v>
      </c>
      <c r="M75">
        <f>19/30</f>
        <v>0.633333333333333</v>
      </c>
      <c r="P75">
        <f t="shared" si="2"/>
        <v>0.0666666666666667</v>
      </c>
      <c r="Q75">
        <f t="shared" si="3"/>
        <v>0.6</v>
      </c>
      <c r="T75" s="9">
        <v>2.4</v>
      </c>
      <c r="U75" s="9">
        <v>0</v>
      </c>
      <c r="V75" s="9"/>
      <c r="W75" s="9"/>
      <c r="X75">
        <v>-1.898</v>
      </c>
      <c r="Y75">
        <v>0.864</v>
      </c>
      <c r="Z75">
        <v>-3.463</v>
      </c>
      <c r="AA75">
        <v>1</v>
      </c>
      <c r="AB75">
        <v>1</v>
      </c>
      <c r="AC75">
        <v>1708</v>
      </c>
      <c r="AD75" t="s">
        <v>275</v>
      </c>
      <c r="AF75">
        <v>801</v>
      </c>
      <c r="AG75" t="s">
        <v>116</v>
      </c>
      <c r="AH75" t="s">
        <v>200</v>
      </c>
      <c r="AK75">
        <v>0</v>
      </c>
      <c r="AV75" t="s">
        <v>122</v>
      </c>
      <c r="AW75" t="s">
        <v>122</v>
      </c>
      <c r="AY75">
        <v>1708</v>
      </c>
      <c r="AZ75" t="s">
        <v>275</v>
      </c>
    </row>
    <row r="76" spans="1:52">
      <c r="A76" s="9">
        <v>71</v>
      </c>
      <c r="B76" s="10" t="s">
        <v>282</v>
      </c>
      <c r="C76" s="11" t="s">
        <v>283</v>
      </c>
      <c r="D76">
        <v>1</v>
      </c>
      <c r="E76">
        <v>1</v>
      </c>
      <c r="F76">
        <v>1.1</v>
      </c>
      <c r="G76">
        <v>1.52</v>
      </c>
      <c r="H76">
        <v>2</v>
      </c>
      <c r="I76">
        <v>0.43</v>
      </c>
      <c r="J76" t="s">
        <v>115</v>
      </c>
      <c r="L76">
        <f t="shared" si="1"/>
        <v>0.0666666666666667</v>
      </c>
      <c r="M76">
        <f>17/30</f>
        <v>0.566666666666667</v>
      </c>
      <c r="P76">
        <f t="shared" si="2"/>
        <v>0.0666666666666667</v>
      </c>
      <c r="Q76">
        <f t="shared" si="5"/>
        <v>0.566666666666667</v>
      </c>
      <c r="T76" s="9">
        <v>2.4</v>
      </c>
      <c r="U76" s="9">
        <v>0</v>
      </c>
      <c r="V76" s="9"/>
      <c r="W76" s="9"/>
      <c r="X76">
        <v>-2.075</v>
      </c>
      <c r="Y76">
        <v>0.811</v>
      </c>
      <c r="Z76">
        <v>-3.266</v>
      </c>
      <c r="AA76">
        <v>1</v>
      </c>
      <c r="AB76">
        <v>1</v>
      </c>
      <c r="AC76">
        <v>2039</v>
      </c>
      <c r="AD76" t="s">
        <v>153</v>
      </c>
      <c r="AF76">
        <v>801</v>
      </c>
      <c r="AG76" t="s">
        <v>116</v>
      </c>
      <c r="AH76" t="s">
        <v>200</v>
      </c>
      <c r="AI76">
        <v>3</v>
      </c>
      <c r="AJ76">
        <v>8</v>
      </c>
      <c r="AK76">
        <v>0</v>
      </c>
      <c r="AV76" t="s">
        <v>118</v>
      </c>
      <c r="AW76" t="s">
        <v>118</v>
      </c>
      <c r="AY76">
        <v>2039</v>
      </c>
      <c r="AZ76" t="s">
        <v>153</v>
      </c>
    </row>
    <row r="77" spans="1:52">
      <c r="A77" s="9">
        <v>72</v>
      </c>
      <c r="B77" s="10" t="s">
        <v>284</v>
      </c>
      <c r="C77" s="11" t="s">
        <v>285</v>
      </c>
      <c r="D77">
        <v>1</v>
      </c>
      <c r="E77">
        <v>1</v>
      </c>
      <c r="F77">
        <v>1</v>
      </c>
      <c r="G77">
        <v>1.63</v>
      </c>
      <c r="H77">
        <v>2.1</v>
      </c>
      <c r="I77">
        <v>0.37</v>
      </c>
      <c r="J77" t="s">
        <v>115</v>
      </c>
      <c r="L77">
        <f>3/30</f>
        <v>0.1</v>
      </c>
      <c r="M77">
        <f t="shared" si="4"/>
        <v>0.566666666666667</v>
      </c>
      <c r="P77">
        <f>5/30</f>
        <v>0.166666666666667</v>
      </c>
      <c r="Q77">
        <f>16/30</f>
        <v>0.533333333333333</v>
      </c>
      <c r="T77" s="9">
        <v>2.4</v>
      </c>
      <c r="U77" s="9">
        <v>0</v>
      </c>
      <c r="V77" s="9"/>
      <c r="W77" s="9"/>
      <c r="X77">
        <v>-2.077</v>
      </c>
      <c r="Y77">
        <v>0.897</v>
      </c>
      <c r="Z77">
        <v>-3.08</v>
      </c>
      <c r="AA77">
        <v>1</v>
      </c>
      <c r="AB77">
        <v>1</v>
      </c>
      <c r="AC77">
        <v>1818</v>
      </c>
      <c r="AD77" t="s">
        <v>275</v>
      </c>
      <c r="AF77">
        <v>801</v>
      </c>
      <c r="AG77" t="s">
        <v>116</v>
      </c>
      <c r="AH77" t="s">
        <v>200</v>
      </c>
      <c r="AK77">
        <v>0</v>
      </c>
      <c r="AV77" t="s">
        <v>286</v>
      </c>
      <c r="AW77" t="s">
        <v>286</v>
      </c>
      <c r="AY77">
        <v>1818</v>
      </c>
      <c r="AZ77" t="s">
        <v>275</v>
      </c>
    </row>
    <row r="78" spans="1:52">
      <c r="A78" s="9">
        <v>73</v>
      </c>
      <c r="B78" s="10" t="s">
        <v>287</v>
      </c>
      <c r="C78" s="11" t="s">
        <v>288</v>
      </c>
      <c r="D78">
        <v>1</v>
      </c>
      <c r="E78">
        <v>1</v>
      </c>
      <c r="F78">
        <v>1</v>
      </c>
      <c r="G78">
        <v>1.68</v>
      </c>
      <c r="H78">
        <v>2.13</v>
      </c>
      <c r="I78">
        <v>0.33</v>
      </c>
      <c r="J78" t="s">
        <v>115</v>
      </c>
      <c r="L78">
        <f>5/30</f>
        <v>0.166666666666667</v>
      </c>
      <c r="M78">
        <f>20/30</f>
        <v>0.666666666666667</v>
      </c>
      <c r="P78">
        <f>5/30</f>
        <v>0.166666666666667</v>
      </c>
      <c r="Q78">
        <f>20/30</f>
        <v>0.666666666666667</v>
      </c>
      <c r="T78" s="9">
        <v>2.4</v>
      </c>
      <c r="U78" s="9">
        <v>0</v>
      </c>
      <c r="V78" s="9"/>
      <c r="W78" s="9"/>
      <c r="X78">
        <v>-2.158</v>
      </c>
      <c r="Y78">
        <v>0.948</v>
      </c>
      <c r="Z78">
        <v>-3.005</v>
      </c>
      <c r="AA78">
        <v>1</v>
      </c>
      <c r="AB78">
        <v>1</v>
      </c>
      <c r="AC78">
        <v>2127</v>
      </c>
      <c r="AD78" t="s">
        <v>275</v>
      </c>
      <c r="AF78">
        <v>801</v>
      </c>
      <c r="AG78" t="s">
        <v>116</v>
      </c>
      <c r="AH78" t="s">
        <v>200</v>
      </c>
      <c r="AK78">
        <v>0</v>
      </c>
      <c r="AV78" t="s">
        <v>289</v>
      </c>
      <c r="AW78" t="s">
        <v>290</v>
      </c>
      <c r="AY78">
        <v>2127</v>
      </c>
      <c r="AZ78" t="s">
        <v>275</v>
      </c>
    </row>
    <row r="79" spans="1:52">
      <c r="A79" s="9">
        <v>74</v>
      </c>
      <c r="B79" s="10" t="s">
        <v>291</v>
      </c>
      <c r="C79" s="11" t="s">
        <v>292</v>
      </c>
      <c r="D79">
        <v>1</v>
      </c>
      <c r="E79">
        <v>1</v>
      </c>
      <c r="F79">
        <v>1</v>
      </c>
      <c r="G79">
        <v>0.85</v>
      </c>
      <c r="H79">
        <v>1.2</v>
      </c>
      <c r="I79">
        <v>0.35</v>
      </c>
      <c r="J79" t="s">
        <v>115</v>
      </c>
      <c r="L79">
        <f t="shared" ref="L79:L86" si="6">2/30</f>
        <v>0.0666666666666667</v>
      </c>
      <c r="M79">
        <f>17/30</f>
        <v>0.566666666666667</v>
      </c>
      <c r="P79">
        <f>2/30</f>
        <v>0.0666666666666667</v>
      </c>
      <c r="Q79">
        <f t="shared" si="5"/>
        <v>0.566666666666667</v>
      </c>
      <c r="T79" s="9">
        <v>2.4</v>
      </c>
      <c r="U79" s="9">
        <v>0</v>
      </c>
      <c r="V79" s="9"/>
      <c r="W79" s="9"/>
      <c r="X79">
        <v>-2.238</v>
      </c>
      <c r="Y79">
        <v>-0.076</v>
      </c>
      <c r="Z79">
        <v>-2.994</v>
      </c>
      <c r="AA79">
        <v>1</v>
      </c>
      <c r="AB79">
        <v>1</v>
      </c>
      <c r="AC79">
        <v>2161</v>
      </c>
      <c r="AD79" t="s">
        <v>275</v>
      </c>
      <c r="AF79">
        <v>801</v>
      </c>
      <c r="AG79" t="s">
        <v>116</v>
      </c>
      <c r="AH79" t="s">
        <v>200</v>
      </c>
      <c r="AK79">
        <v>0</v>
      </c>
      <c r="AV79" t="s">
        <v>293</v>
      </c>
      <c r="AW79" t="s">
        <v>294</v>
      </c>
      <c r="AY79">
        <v>2161</v>
      </c>
      <c r="AZ79" t="s">
        <v>275</v>
      </c>
    </row>
    <row r="80" spans="1:52">
      <c r="A80" s="9">
        <v>75</v>
      </c>
      <c r="B80" s="10" t="s">
        <v>295</v>
      </c>
      <c r="C80" s="11" t="s">
        <v>296</v>
      </c>
      <c r="D80">
        <v>1</v>
      </c>
      <c r="E80">
        <v>1</v>
      </c>
      <c r="F80">
        <v>1</v>
      </c>
      <c r="G80">
        <v>1.71</v>
      </c>
      <c r="H80">
        <v>2.15</v>
      </c>
      <c r="I80">
        <v>0.4</v>
      </c>
      <c r="J80" t="s">
        <v>115</v>
      </c>
      <c r="K80">
        <v>1</v>
      </c>
      <c r="L80">
        <f t="shared" si="6"/>
        <v>0.0666666666666667</v>
      </c>
      <c r="M80">
        <f>14/30</f>
        <v>0.466666666666667</v>
      </c>
      <c r="N80">
        <v>1989</v>
      </c>
      <c r="O80">
        <v>1990</v>
      </c>
      <c r="P80">
        <f>2/30</f>
        <v>0.0666666666666667</v>
      </c>
      <c r="Q80">
        <f>15/30</f>
        <v>0.5</v>
      </c>
      <c r="R80">
        <v>1989</v>
      </c>
      <c r="S80">
        <v>1990</v>
      </c>
      <c r="T80" s="9">
        <v>2.4</v>
      </c>
      <c r="U80" s="9">
        <v>0</v>
      </c>
      <c r="V80" s="9"/>
      <c r="W80" s="9"/>
      <c r="X80">
        <v>-2.147</v>
      </c>
      <c r="Y80">
        <v>1.04</v>
      </c>
      <c r="Z80">
        <v>-3.011</v>
      </c>
      <c r="AA80">
        <v>1</v>
      </c>
      <c r="AB80">
        <v>1</v>
      </c>
      <c r="AC80">
        <v>1964</v>
      </c>
      <c r="AD80" t="s">
        <v>275</v>
      </c>
      <c r="AF80">
        <v>801</v>
      </c>
      <c r="AG80" t="s">
        <v>116</v>
      </c>
      <c r="AH80" t="s">
        <v>200</v>
      </c>
      <c r="AK80">
        <v>0</v>
      </c>
      <c r="AV80" t="s">
        <v>297</v>
      </c>
      <c r="AW80" t="s">
        <v>297</v>
      </c>
      <c r="AY80">
        <v>1964</v>
      </c>
      <c r="AZ80" t="s">
        <v>275</v>
      </c>
    </row>
    <row r="81" spans="1:52">
      <c r="A81" s="9">
        <v>76</v>
      </c>
      <c r="B81" s="10" t="s">
        <v>298</v>
      </c>
      <c r="C81" s="11" t="s">
        <v>299</v>
      </c>
      <c r="D81">
        <v>1</v>
      </c>
      <c r="E81">
        <v>1</v>
      </c>
      <c r="F81">
        <v>1</v>
      </c>
      <c r="G81">
        <v>2.15</v>
      </c>
      <c r="H81">
        <v>2.55</v>
      </c>
      <c r="I81">
        <v>0.45</v>
      </c>
      <c r="J81" t="s">
        <v>115</v>
      </c>
      <c r="L81">
        <f>3/30</f>
        <v>0.1</v>
      </c>
      <c r="M81">
        <f>17/30</f>
        <v>0.566666666666667</v>
      </c>
      <c r="P81">
        <v>0.1</v>
      </c>
      <c r="Q81">
        <f>17/30</f>
        <v>0.566666666666667</v>
      </c>
      <c r="T81" s="9">
        <v>2.4</v>
      </c>
      <c r="U81" s="9">
        <v>0</v>
      </c>
      <c r="V81" s="9"/>
      <c r="W81" s="9"/>
      <c r="X81">
        <v>-1.639</v>
      </c>
      <c r="Y81">
        <v>1.001</v>
      </c>
      <c r="Z81">
        <v>-3.576</v>
      </c>
      <c r="AA81">
        <v>0.85</v>
      </c>
      <c r="AB81">
        <v>1</v>
      </c>
      <c r="AC81">
        <v>2180</v>
      </c>
      <c r="AD81" t="s">
        <v>275</v>
      </c>
      <c r="AF81">
        <v>801</v>
      </c>
      <c r="AG81" t="s">
        <v>116</v>
      </c>
      <c r="AH81" t="s">
        <v>300</v>
      </c>
      <c r="AK81">
        <v>0</v>
      </c>
      <c r="AY81">
        <v>2180</v>
      </c>
      <c r="AZ81" t="s">
        <v>275</v>
      </c>
    </row>
    <row r="82" spans="1:37">
      <c r="A82" s="9">
        <v>77</v>
      </c>
      <c r="B82" s="10" t="s">
        <v>301</v>
      </c>
      <c r="C82" s="11" t="s">
        <v>302</v>
      </c>
      <c r="D82">
        <v>1</v>
      </c>
      <c r="E82">
        <v>1</v>
      </c>
      <c r="F82">
        <v>0.9</v>
      </c>
      <c r="G82">
        <v>2.4</v>
      </c>
      <c r="H82">
        <v>2.8</v>
      </c>
      <c r="I82">
        <v>0.32</v>
      </c>
      <c r="J82" t="s">
        <v>115</v>
      </c>
      <c r="L82">
        <v>0.2</v>
      </c>
      <c r="M82">
        <v>0.7</v>
      </c>
      <c r="P82">
        <v>0.233333333333333</v>
      </c>
      <c r="Q82">
        <v>0.7</v>
      </c>
      <c r="T82" s="9">
        <v>2.4</v>
      </c>
      <c r="U82" s="9">
        <v>0</v>
      </c>
      <c r="V82" s="9"/>
      <c r="W82" s="9"/>
      <c r="X82">
        <v>-1.835</v>
      </c>
      <c r="Y82">
        <v>1.124</v>
      </c>
      <c r="Z82">
        <v>-3.612</v>
      </c>
      <c r="AA82">
        <v>0.9</v>
      </c>
      <c r="AF82">
        <v>801</v>
      </c>
      <c r="AG82" t="s">
        <v>116</v>
      </c>
      <c r="AH82" t="s">
        <v>200</v>
      </c>
      <c r="AI82">
        <v>3</v>
      </c>
      <c r="AJ82">
        <v>8</v>
      </c>
      <c r="AK82">
        <v>0</v>
      </c>
    </row>
    <row r="83" spans="1:52">
      <c r="A83" s="9">
        <v>78</v>
      </c>
      <c r="B83" s="10" t="s">
        <v>303</v>
      </c>
      <c r="C83" s="11" t="s">
        <v>304</v>
      </c>
      <c r="D83">
        <v>1</v>
      </c>
      <c r="E83">
        <v>1</v>
      </c>
      <c r="F83">
        <v>1</v>
      </c>
      <c r="G83">
        <v>2.35</v>
      </c>
      <c r="H83">
        <v>2.66</v>
      </c>
      <c r="I83">
        <v>0.45</v>
      </c>
      <c r="J83" t="s">
        <v>115</v>
      </c>
      <c r="L83">
        <v>0.0666666666666667</v>
      </c>
      <c r="M83">
        <f t="shared" ref="M83:M86" si="7">16/30</f>
        <v>0.533333333333333</v>
      </c>
      <c r="N83">
        <v>1844</v>
      </c>
      <c r="O83">
        <v>1845</v>
      </c>
      <c r="P83">
        <v>0.133333333333333</v>
      </c>
      <c r="Q83">
        <v>0.5</v>
      </c>
      <c r="R83">
        <v>1847</v>
      </c>
      <c r="S83">
        <v>1845</v>
      </c>
      <c r="T83" s="9">
        <v>2.4</v>
      </c>
      <c r="U83" s="9">
        <v>0</v>
      </c>
      <c r="V83" s="9"/>
      <c r="W83" s="9"/>
      <c r="X83">
        <v>-1.644</v>
      </c>
      <c r="Y83">
        <v>1.2</v>
      </c>
      <c r="Z83">
        <v>-3.685</v>
      </c>
      <c r="AA83">
        <v>0.9</v>
      </c>
      <c r="AB83" t="s">
        <v>305</v>
      </c>
      <c r="AC83" t="s">
        <v>306</v>
      </c>
      <c r="AD83" t="s">
        <v>307</v>
      </c>
      <c r="AF83">
        <v>801</v>
      </c>
      <c r="AG83" t="s">
        <v>116</v>
      </c>
      <c r="AH83" t="s">
        <v>200</v>
      </c>
      <c r="AK83">
        <v>0</v>
      </c>
      <c r="AQ83">
        <v>8</v>
      </c>
      <c r="AR83">
        <v>1064</v>
      </c>
      <c r="AS83">
        <v>1063</v>
      </c>
      <c r="AT83">
        <v>1070</v>
      </c>
      <c r="AU83">
        <v>1069</v>
      </c>
      <c r="AY83" t="s">
        <v>306</v>
      </c>
      <c r="AZ83" t="s">
        <v>307</v>
      </c>
    </row>
    <row r="84" spans="1:52">
      <c r="A84" s="9">
        <v>79</v>
      </c>
      <c r="B84" s="10" t="s">
        <v>308</v>
      </c>
      <c r="C84" s="11" t="s">
        <v>309</v>
      </c>
      <c r="D84">
        <v>1</v>
      </c>
      <c r="E84">
        <v>1</v>
      </c>
      <c r="F84">
        <v>1.06</v>
      </c>
      <c r="G84">
        <v>1.7</v>
      </c>
      <c r="H84">
        <v>2.16</v>
      </c>
      <c r="I84">
        <v>0.4</v>
      </c>
      <c r="J84" t="s">
        <v>115</v>
      </c>
      <c r="L84">
        <f t="shared" si="6"/>
        <v>0.0666666666666667</v>
      </c>
      <c r="M84">
        <f t="shared" si="7"/>
        <v>0.533333333333333</v>
      </c>
      <c r="P84">
        <f t="shared" ref="P84:P86" si="8">3/30</f>
        <v>0.1</v>
      </c>
      <c r="Q84">
        <f>13/30</f>
        <v>0.433333333333333</v>
      </c>
      <c r="T84" s="9">
        <v>2.4</v>
      </c>
      <c r="U84" s="9">
        <v>0</v>
      </c>
      <c r="V84" s="9"/>
      <c r="W84" s="9"/>
      <c r="X84">
        <v>-2.149</v>
      </c>
      <c r="Y84">
        <v>0.982</v>
      </c>
      <c r="Z84">
        <v>-3.029</v>
      </c>
      <c r="AA84">
        <v>1</v>
      </c>
      <c r="AB84">
        <v>1</v>
      </c>
      <c r="AC84">
        <v>2100</v>
      </c>
      <c r="AD84" t="s">
        <v>153</v>
      </c>
      <c r="AF84">
        <v>801</v>
      </c>
      <c r="AG84" t="s">
        <v>116</v>
      </c>
      <c r="AH84" t="s">
        <v>200</v>
      </c>
      <c r="AI84">
        <v>3</v>
      </c>
      <c r="AJ84">
        <v>8</v>
      </c>
      <c r="AK84">
        <v>0</v>
      </c>
      <c r="AV84" t="s">
        <v>122</v>
      </c>
      <c r="AW84" t="s">
        <v>122</v>
      </c>
      <c r="AY84">
        <v>2100</v>
      </c>
      <c r="AZ84" t="s">
        <v>153</v>
      </c>
    </row>
    <row r="85" spans="1:52">
      <c r="A85" s="9">
        <v>80</v>
      </c>
      <c r="B85" s="10" t="s">
        <v>310</v>
      </c>
      <c r="C85" s="11" t="s">
        <v>311</v>
      </c>
      <c r="D85">
        <v>1</v>
      </c>
      <c r="E85">
        <v>1</v>
      </c>
      <c r="F85">
        <v>1</v>
      </c>
      <c r="G85">
        <v>1.7</v>
      </c>
      <c r="H85">
        <v>2.16</v>
      </c>
      <c r="I85">
        <v>0.3</v>
      </c>
      <c r="J85" t="s">
        <v>115</v>
      </c>
      <c r="L85">
        <f t="shared" si="6"/>
        <v>0.0666666666666667</v>
      </c>
      <c r="M85">
        <f>14/30</f>
        <v>0.466666666666667</v>
      </c>
      <c r="P85">
        <f t="shared" si="8"/>
        <v>0.1</v>
      </c>
      <c r="Q85">
        <f>15/30</f>
        <v>0.5</v>
      </c>
      <c r="T85" s="9">
        <v>2.4</v>
      </c>
      <c r="U85" s="9">
        <v>0</v>
      </c>
      <c r="V85" s="9"/>
      <c r="W85" s="9"/>
      <c r="X85">
        <v>-2.148</v>
      </c>
      <c r="Y85">
        <v>0.919</v>
      </c>
      <c r="Z85">
        <v>-3.053</v>
      </c>
      <c r="AA85">
        <v>1</v>
      </c>
      <c r="AB85">
        <v>1</v>
      </c>
      <c r="AC85">
        <v>2101</v>
      </c>
      <c r="AD85" t="s">
        <v>153</v>
      </c>
      <c r="AF85">
        <v>801</v>
      </c>
      <c r="AG85" t="s">
        <v>116</v>
      </c>
      <c r="AH85" t="s">
        <v>200</v>
      </c>
      <c r="AK85">
        <v>0</v>
      </c>
      <c r="AY85">
        <v>2101</v>
      </c>
      <c r="AZ85" t="s">
        <v>153</v>
      </c>
    </row>
    <row r="86" spans="1:52">
      <c r="A86" s="9">
        <v>81</v>
      </c>
      <c r="B86" s="10" t="s">
        <v>312</v>
      </c>
      <c r="C86" s="11" t="s">
        <v>313</v>
      </c>
      <c r="D86">
        <v>1</v>
      </c>
      <c r="E86">
        <v>1</v>
      </c>
      <c r="F86">
        <v>1</v>
      </c>
      <c r="G86">
        <v>1.9</v>
      </c>
      <c r="H86">
        <v>2.45</v>
      </c>
      <c r="I86">
        <v>0.3</v>
      </c>
      <c r="J86" t="s">
        <v>115</v>
      </c>
      <c r="L86">
        <f t="shared" si="6"/>
        <v>0.0666666666666667</v>
      </c>
      <c r="M86">
        <f t="shared" si="7"/>
        <v>0.533333333333333</v>
      </c>
      <c r="P86">
        <f t="shared" si="8"/>
        <v>0.1</v>
      </c>
      <c r="Q86">
        <f>14/30</f>
        <v>0.466666666666667</v>
      </c>
      <c r="T86" s="9">
        <v>2.4</v>
      </c>
      <c r="U86" s="9">
        <v>0</v>
      </c>
      <c r="V86" s="9"/>
      <c r="W86" s="9"/>
      <c r="X86">
        <v>-1.83</v>
      </c>
      <c r="Y86">
        <v>0.91</v>
      </c>
      <c r="Z86">
        <v>-3.51</v>
      </c>
      <c r="AA86">
        <v>0.9</v>
      </c>
      <c r="AB86">
        <v>1</v>
      </c>
      <c r="AC86">
        <v>2463</v>
      </c>
      <c r="AD86" t="s">
        <v>153</v>
      </c>
      <c r="AF86">
        <v>801</v>
      </c>
      <c r="AG86" t="s">
        <v>116</v>
      </c>
      <c r="AH86" t="s">
        <v>200</v>
      </c>
      <c r="AK86">
        <v>0</v>
      </c>
      <c r="AV86" t="s">
        <v>314</v>
      </c>
      <c r="AW86" t="s">
        <v>315</v>
      </c>
      <c r="AY86">
        <v>5104</v>
      </c>
      <c r="AZ86" t="s">
        <v>153</v>
      </c>
    </row>
    <row r="87" ht="15.75" spans="1:52">
      <c r="A87" s="9">
        <v>82</v>
      </c>
      <c r="B87" s="10" t="s">
        <v>316</v>
      </c>
      <c r="C87" s="11" t="s">
        <v>317</v>
      </c>
      <c r="D87">
        <v>1</v>
      </c>
      <c r="E87">
        <v>1</v>
      </c>
      <c r="F87">
        <v>1</v>
      </c>
      <c r="G87">
        <v>2</v>
      </c>
      <c r="H87">
        <v>2.35</v>
      </c>
      <c r="I87">
        <v>0.35</v>
      </c>
      <c r="J87" t="s">
        <v>115</v>
      </c>
      <c r="L87">
        <f>4/30</f>
        <v>0.133333333333333</v>
      </c>
      <c r="M87">
        <f>18/30</f>
        <v>0.6</v>
      </c>
      <c r="P87">
        <f>4/30</f>
        <v>0.133333333333333</v>
      </c>
      <c r="Q87">
        <f>18/30</f>
        <v>0.6</v>
      </c>
      <c r="T87" s="9">
        <v>2.4</v>
      </c>
      <c r="U87" s="9">
        <v>0</v>
      </c>
      <c r="V87" s="9"/>
      <c r="W87" s="9"/>
      <c r="X87">
        <v>-2.142</v>
      </c>
      <c r="Y87">
        <v>1.098</v>
      </c>
      <c r="Z87">
        <v>-3.135</v>
      </c>
      <c r="AA87">
        <v>1</v>
      </c>
      <c r="AB87">
        <v>1</v>
      </c>
      <c r="AC87">
        <v>2206</v>
      </c>
      <c r="AD87" t="s">
        <v>153</v>
      </c>
      <c r="AF87">
        <v>801</v>
      </c>
      <c r="AG87" t="s">
        <v>116</v>
      </c>
      <c r="AH87" t="s">
        <v>200</v>
      </c>
      <c r="AK87">
        <v>0</v>
      </c>
      <c r="AV87" s="72" t="s">
        <v>289</v>
      </c>
      <c r="AW87" s="72" t="s">
        <v>290</v>
      </c>
      <c r="AY87">
        <v>2206</v>
      </c>
      <c r="AZ87" t="s">
        <v>153</v>
      </c>
    </row>
    <row r="88" spans="1:52">
      <c r="A88" s="9">
        <v>83</v>
      </c>
      <c r="B88" s="10" t="s">
        <v>318</v>
      </c>
      <c r="C88" s="11" t="s">
        <v>319</v>
      </c>
      <c r="D88">
        <v>1</v>
      </c>
      <c r="E88">
        <v>1</v>
      </c>
      <c r="F88">
        <v>0.84</v>
      </c>
      <c r="G88">
        <v>2.8</v>
      </c>
      <c r="H88">
        <v>3.3</v>
      </c>
      <c r="I88">
        <v>0.4</v>
      </c>
      <c r="J88" t="s">
        <v>115</v>
      </c>
      <c r="L88">
        <f>3/30</f>
        <v>0.1</v>
      </c>
      <c r="M88">
        <f>12/30</f>
        <v>0.4</v>
      </c>
      <c r="P88">
        <f>4/30</f>
        <v>0.133333333333333</v>
      </c>
      <c r="Q88">
        <f>16/30</f>
        <v>0.533333333333333</v>
      </c>
      <c r="T88" s="9">
        <v>2.4</v>
      </c>
      <c r="U88" s="9">
        <v>0</v>
      </c>
      <c r="V88" s="9"/>
      <c r="W88" s="9"/>
      <c r="X88">
        <v>-1.91</v>
      </c>
      <c r="Y88">
        <v>1.14</v>
      </c>
      <c r="Z88">
        <v>-3.55</v>
      </c>
      <c r="AA88">
        <v>0.7</v>
      </c>
      <c r="AB88">
        <v>1</v>
      </c>
      <c r="AC88">
        <v>2391</v>
      </c>
      <c r="AD88" t="s">
        <v>153</v>
      </c>
      <c r="AF88">
        <v>801</v>
      </c>
      <c r="AG88" t="s">
        <v>116</v>
      </c>
      <c r="AH88" t="s">
        <v>200</v>
      </c>
      <c r="AK88">
        <v>0</v>
      </c>
      <c r="AV88" t="s">
        <v>320</v>
      </c>
      <c r="AW88" t="s">
        <v>321</v>
      </c>
      <c r="AY88">
        <v>2391</v>
      </c>
      <c r="AZ88" t="s">
        <v>153</v>
      </c>
    </row>
    <row r="89" spans="1:52">
      <c r="A89" s="9">
        <v>84</v>
      </c>
      <c r="B89" s="10" t="s">
        <v>322</v>
      </c>
      <c r="C89" s="11" t="s">
        <v>323</v>
      </c>
      <c r="D89">
        <v>1</v>
      </c>
      <c r="E89">
        <v>1</v>
      </c>
      <c r="F89">
        <v>1.04</v>
      </c>
      <c r="G89">
        <v>1.75</v>
      </c>
      <c r="H89">
        <v>2.2</v>
      </c>
      <c r="I89">
        <v>0.35</v>
      </c>
      <c r="J89" t="s">
        <v>115</v>
      </c>
      <c r="L89">
        <f t="shared" ref="L89:L94" si="9">5/30</f>
        <v>0.166666666666667</v>
      </c>
      <c r="M89">
        <v>0.566666666666667</v>
      </c>
      <c r="P89">
        <v>0.133333333333333</v>
      </c>
      <c r="Q89">
        <v>0.566666666666667</v>
      </c>
      <c r="T89" s="9">
        <v>2.4</v>
      </c>
      <c r="U89" s="9">
        <v>0</v>
      </c>
      <c r="V89" s="9"/>
      <c r="W89" s="9"/>
      <c r="X89">
        <v>-2.24</v>
      </c>
      <c r="Y89">
        <v>1.02</v>
      </c>
      <c r="Z89">
        <v>-2.87</v>
      </c>
      <c r="AA89">
        <v>1</v>
      </c>
      <c r="AB89">
        <v>1</v>
      </c>
      <c r="AC89">
        <v>2495</v>
      </c>
      <c r="AD89" t="s">
        <v>153</v>
      </c>
      <c r="AF89">
        <v>801</v>
      </c>
      <c r="AG89" t="s">
        <v>116</v>
      </c>
      <c r="AH89" t="s">
        <v>324</v>
      </c>
      <c r="AK89">
        <v>0</v>
      </c>
      <c r="AV89" t="s">
        <v>289</v>
      </c>
      <c r="AW89" t="s">
        <v>290</v>
      </c>
      <c r="AY89">
        <v>2495</v>
      </c>
      <c r="AZ89" t="s">
        <v>153</v>
      </c>
    </row>
    <row r="90" spans="1:52">
      <c r="A90" s="9">
        <v>85</v>
      </c>
      <c r="B90" s="10" t="s">
        <v>325</v>
      </c>
      <c r="C90" s="11" t="s">
        <v>326</v>
      </c>
      <c r="D90">
        <v>1</v>
      </c>
      <c r="E90">
        <v>1</v>
      </c>
      <c r="F90">
        <v>1</v>
      </c>
      <c r="G90">
        <v>1.9</v>
      </c>
      <c r="H90">
        <v>2.3</v>
      </c>
      <c r="I90">
        <v>0.53</v>
      </c>
      <c r="J90" t="s">
        <v>115</v>
      </c>
      <c r="L90">
        <f>2/30</f>
        <v>0.0666666666666667</v>
      </c>
      <c r="M90">
        <f>16/30</f>
        <v>0.533333333333333</v>
      </c>
      <c r="P90">
        <f>2/30</f>
        <v>0.0666666666666667</v>
      </c>
      <c r="Q90">
        <f>15/30</f>
        <v>0.5</v>
      </c>
      <c r="T90" s="9">
        <v>2.4</v>
      </c>
      <c r="U90" s="9">
        <v>0</v>
      </c>
      <c r="V90" s="9"/>
      <c r="W90" s="9"/>
      <c r="X90">
        <v>-1.59</v>
      </c>
      <c r="Y90">
        <v>1.02</v>
      </c>
      <c r="Z90">
        <v>-3.57</v>
      </c>
      <c r="AA90">
        <v>0.9</v>
      </c>
      <c r="AB90">
        <v>1</v>
      </c>
      <c r="AC90">
        <v>2417</v>
      </c>
      <c r="AD90" t="s">
        <v>153</v>
      </c>
      <c r="AF90">
        <v>801</v>
      </c>
      <c r="AG90" t="s">
        <v>116</v>
      </c>
      <c r="AH90" t="s">
        <v>200</v>
      </c>
      <c r="AK90">
        <v>0</v>
      </c>
      <c r="AV90" t="s">
        <v>327</v>
      </c>
      <c r="AW90" t="s">
        <v>327</v>
      </c>
      <c r="AY90">
        <v>2417</v>
      </c>
      <c r="AZ90" t="s">
        <v>153</v>
      </c>
    </row>
    <row r="91" spans="1:49">
      <c r="A91" s="9">
        <v>86</v>
      </c>
      <c r="B91" s="10" t="s">
        <v>328</v>
      </c>
      <c r="C91" s="11" t="s">
        <v>329</v>
      </c>
      <c r="D91">
        <v>1</v>
      </c>
      <c r="E91">
        <v>1</v>
      </c>
      <c r="F91">
        <v>1.02</v>
      </c>
      <c r="G91">
        <v>1.63</v>
      </c>
      <c r="H91">
        <v>2.1</v>
      </c>
      <c r="I91">
        <v>0.37</v>
      </c>
      <c r="J91" t="s">
        <v>115</v>
      </c>
      <c r="L91">
        <f>2/30</f>
        <v>0.0666666666666667</v>
      </c>
      <c r="M91">
        <f>13/30</f>
        <v>0.433333333333333</v>
      </c>
      <c r="P91">
        <f>3/30</f>
        <v>0.1</v>
      </c>
      <c r="Q91">
        <f>13/30</f>
        <v>0.433333333333333</v>
      </c>
      <c r="T91" s="9">
        <v>2.4</v>
      </c>
      <c r="U91" s="9">
        <v>0</v>
      </c>
      <c r="V91" s="9"/>
      <c r="W91" s="9"/>
      <c r="AA91">
        <v>1</v>
      </c>
      <c r="AB91">
        <v>0</v>
      </c>
      <c r="AF91">
        <v>801</v>
      </c>
      <c r="AG91" t="s">
        <v>116</v>
      </c>
      <c r="AH91" t="s">
        <v>121</v>
      </c>
      <c r="AK91">
        <v>0</v>
      </c>
      <c r="AV91" t="s">
        <v>286</v>
      </c>
      <c r="AW91" t="s">
        <v>286</v>
      </c>
    </row>
    <row r="92" spans="1:52">
      <c r="A92" s="9">
        <v>87</v>
      </c>
      <c r="B92" s="10" t="s">
        <v>330</v>
      </c>
      <c r="C92" s="11" t="s">
        <v>331</v>
      </c>
      <c r="D92">
        <v>1</v>
      </c>
      <c r="E92">
        <v>1</v>
      </c>
      <c r="F92" s="12">
        <v>1</v>
      </c>
      <c r="G92">
        <v>4.4</v>
      </c>
      <c r="H92">
        <v>4.12</v>
      </c>
      <c r="I92">
        <v>1.2</v>
      </c>
      <c r="J92" t="s">
        <v>115</v>
      </c>
      <c r="L92">
        <f t="shared" si="9"/>
        <v>0.166666666666667</v>
      </c>
      <c r="M92">
        <f t="shared" ref="M92:M94" si="10">19/30</f>
        <v>0.633333333333333</v>
      </c>
      <c r="P92">
        <f>5/30</f>
        <v>0.166666666666667</v>
      </c>
      <c r="Q92">
        <f>17/30</f>
        <v>0.566666666666667</v>
      </c>
      <c r="T92" s="9">
        <v>2.4</v>
      </c>
      <c r="U92" s="9">
        <v>0</v>
      </c>
      <c r="V92" s="9"/>
      <c r="W92" s="9"/>
      <c r="X92">
        <v>-0.84</v>
      </c>
      <c r="Y92">
        <v>1.01</v>
      </c>
      <c r="Z92">
        <v>-5.03</v>
      </c>
      <c r="AA92">
        <v>0.6</v>
      </c>
      <c r="AB92" t="s">
        <v>193</v>
      </c>
      <c r="AC92" t="s">
        <v>332</v>
      </c>
      <c r="AD92" t="s">
        <v>333</v>
      </c>
      <c r="AF92">
        <v>801</v>
      </c>
      <c r="AG92" t="s">
        <v>116</v>
      </c>
      <c r="AH92" t="s">
        <v>200</v>
      </c>
      <c r="AK92">
        <v>0</v>
      </c>
      <c r="AV92" t="s">
        <v>334</v>
      </c>
      <c r="AW92" t="s">
        <v>334</v>
      </c>
      <c r="AY92" t="s">
        <v>332</v>
      </c>
      <c r="AZ92" t="s">
        <v>333</v>
      </c>
    </row>
    <row r="93" spans="1:52">
      <c r="A93" s="9">
        <v>88</v>
      </c>
      <c r="B93" s="10" t="s">
        <v>335</v>
      </c>
      <c r="C93" s="11" t="s">
        <v>336</v>
      </c>
      <c r="D93">
        <v>1</v>
      </c>
      <c r="E93">
        <v>1</v>
      </c>
      <c r="F93">
        <v>0.96</v>
      </c>
      <c r="G93">
        <v>2.15</v>
      </c>
      <c r="H93">
        <v>2.8</v>
      </c>
      <c r="I93">
        <v>0.45</v>
      </c>
      <c r="J93" t="s">
        <v>115</v>
      </c>
      <c r="L93">
        <f t="shared" ref="L93:L98" si="11">4/30</f>
        <v>0.133333333333333</v>
      </c>
      <c r="M93">
        <f t="shared" si="10"/>
        <v>0.633333333333333</v>
      </c>
      <c r="P93">
        <f>4/30</f>
        <v>0.133333333333333</v>
      </c>
      <c r="Q93">
        <f>19/30</f>
        <v>0.633333333333333</v>
      </c>
      <c r="T93" s="9">
        <v>2.4</v>
      </c>
      <c r="U93" s="9">
        <v>0</v>
      </c>
      <c r="V93" s="9"/>
      <c r="W93" s="9"/>
      <c r="X93">
        <v>-2.38</v>
      </c>
      <c r="Y93">
        <v>0.93</v>
      </c>
      <c r="Z93">
        <v>-2.64</v>
      </c>
      <c r="AA93">
        <v>0.8</v>
      </c>
      <c r="AB93" t="s">
        <v>270</v>
      </c>
      <c r="AC93" t="s">
        <v>337</v>
      </c>
      <c r="AD93" t="s">
        <v>338</v>
      </c>
      <c r="AF93">
        <v>801</v>
      </c>
      <c r="AG93" t="s">
        <v>116</v>
      </c>
      <c r="AH93" t="s">
        <v>200</v>
      </c>
      <c r="AK93">
        <v>0</v>
      </c>
      <c r="AY93" t="s">
        <v>339</v>
      </c>
      <c r="AZ93" t="s">
        <v>340</v>
      </c>
    </row>
    <row r="94" spans="1:52">
      <c r="A94" s="9">
        <v>89</v>
      </c>
      <c r="B94" s="10" t="s">
        <v>341</v>
      </c>
      <c r="C94" s="11" t="s">
        <v>342</v>
      </c>
      <c r="D94">
        <v>1</v>
      </c>
      <c r="E94">
        <v>1</v>
      </c>
      <c r="F94">
        <v>0.82</v>
      </c>
      <c r="G94">
        <v>2.65</v>
      </c>
      <c r="H94">
        <v>3.25</v>
      </c>
      <c r="I94">
        <v>0.45</v>
      </c>
      <c r="J94" t="s">
        <v>115</v>
      </c>
      <c r="L94">
        <f t="shared" si="9"/>
        <v>0.166666666666667</v>
      </c>
      <c r="M94">
        <f t="shared" si="10"/>
        <v>0.633333333333333</v>
      </c>
      <c r="P94">
        <f>5/30</f>
        <v>0.166666666666667</v>
      </c>
      <c r="Q94">
        <f>18/30</f>
        <v>0.6</v>
      </c>
      <c r="T94" s="9">
        <v>2.4</v>
      </c>
      <c r="U94" s="9">
        <v>0</v>
      </c>
      <c r="V94" s="9"/>
      <c r="W94" s="9"/>
      <c r="X94">
        <v>-2.24</v>
      </c>
      <c r="Y94">
        <v>1.1</v>
      </c>
      <c r="Z94">
        <v>-2.86</v>
      </c>
      <c r="AA94">
        <v>0.7</v>
      </c>
      <c r="AB94">
        <v>1</v>
      </c>
      <c r="AC94" s="23">
        <v>2776</v>
      </c>
      <c r="AD94" t="s">
        <v>153</v>
      </c>
      <c r="AF94">
        <v>801</v>
      </c>
      <c r="AG94" t="s">
        <v>116</v>
      </c>
      <c r="AH94" t="s">
        <v>200</v>
      </c>
      <c r="AK94">
        <v>0</v>
      </c>
      <c r="AV94" t="s">
        <v>343</v>
      </c>
      <c r="AW94" t="s">
        <v>344</v>
      </c>
      <c r="AY94" s="23">
        <v>4297</v>
      </c>
      <c r="AZ94" t="s">
        <v>153</v>
      </c>
    </row>
    <row r="95" spans="1:52">
      <c r="A95" s="11">
        <v>90</v>
      </c>
      <c r="B95" s="11" t="s">
        <v>345</v>
      </c>
      <c r="C95" s="11" t="s">
        <v>346</v>
      </c>
      <c r="D95" s="39">
        <v>1</v>
      </c>
      <c r="E95">
        <v>1</v>
      </c>
      <c r="F95">
        <v>1.12</v>
      </c>
      <c r="G95" s="39">
        <v>1.87</v>
      </c>
      <c r="H95" s="39">
        <v>2.36</v>
      </c>
      <c r="I95" s="39">
        <v>0.45</v>
      </c>
      <c r="J95" s="39" t="s">
        <v>115</v>
      </c>
      <c r="K95" s="39"/>
      <c r="L95" s="39">
        <f>1/6</f>
        <v>0.166666666666667</v>
      </c>
      <c r="M95" s="39">
        <v>0.6</v>
      </c>
      <c r="P95" s="39">
        <f>1/6</f>
        <v>0.166666666666667</v>
      </c>
      <c r="Q95" s="39">
        <f>2/3</f>
        <v>0.666666666666667</v>
      </c>
      <c r="T95">
        <v>2.4</v>
      </c>
      <c r="U95" s="6"/>
      <c r="V95" s="6"/>
      <c r="AB95">
        <v>1</v>
      </c>
      <c r="AC95">
        <v>2622</v>
      </c>
      <c r="AD95" s="52" t="s">
        <v>153</v>
      </c>
      <c r="AE95" s="52"/>
      <c r="AF95">
        <v>801</v>
      </c>
      <c r="AG95" t="s">
        <v>116</v>
      </c>
      <c r="AH95" t="s">
        <v>121</v>
      </c>
      <c r="AK95" s="9">
        <v>0</v>
      </c>
      <c r="AY95">
        <v>2622</v>
      </c>
      <c r="AZ95" s="52" t="s">
        <v>153</v>
      </c>
    </row>
    <row r="96" ht="15.75" spans="1:52">
      <c r="A96" s="11">
        <v>91</v>
      </c>
      <c r="B96" s="54" t="s">
        <v>347</v>
      </c>
      <c r="C96" s="11" t="s">
        <v>348</v>
      </c>
      <c r="D96" s="39">
        <v>1</v>
      </c>
      <c r="E96">
        <v>1</v>
      </c>
      <c r="F96">
        <v>1</v>
      </c>
      <c r="G96" s="39">
        <v>1.5</v>
      </c>
      <c r="H96" s="39">
        <v>2.05</v>
      </c>
      <c r="I96" s="39">
        <v>0.37</v>
      </c>
      <c r="J96" s="39" t="s">
        <v>115</v>
      </c>
      <c r="K96" s="39"/>
      <c r="L96" s="39">
        <f>1/6</f>
        <v>0.166666666666667</v>
      </c>
      <c r="M96" s="39">
        <v>0.6</v>
      </c>
      <c r="P96" s="39">
        <f>1/6</f>
        <v>0.166666666666667</v>
      </c>
      <c r="Q96" s="39">
        <f>2/3</f>
        <v>0.666666666666667</v>
      </c>
      <c r="T96">
        <v>2.4</v>
      </c>
      <c r="U96" s="6">
        <v>0</v>
      </c>
      <c r="V96" s="6"/>
      <c r="AD96" s="52"/>
      <c r="AE96" s="52"/>
      <c r="AF96">
        <v>801</v>
      </c>
      <c r="AG96" t="s">
        <v>116</v>
      </c>
      <c r="AH96" t="s">
        <v>121</v>
      </c>
      <c r="AK96" s="9">
        <v>0</v>
      </c>
      <c r="AZ96" s="52"/>
    </row>
    <row r="97" ht="15.75" spans="1:52">
      <c r="A97" s="11">
        <v>92</v>
      </c>
      <c r="B97" s="54" t="s">
        <v>349</v>
      </c>
      <c r="C97" s="11" t="s">
        <v>350</v>
      </c>
      <c r="D97" s="39">
        <v>1</v>
      </c>
      <c r="E97">
        <v>1</v>
      </c>
      <c r="F97">
        <v>1.05</v>
      </c>
      <c r="G97" s="39">
        <v>1.8</v>
      </c>
      <c r="H97" s="39">
        <v>2.25</v>
      </c>
      <c r="I97" s="39">
        <v>0.35</v>
      </c>
      <c r="J97" s="39" t="s">
        <v>115</v>
      </c>
      <c r="K97" s="39"/>
      <c r="L97" s="39">
        <f t="shared" si="11"/>
        <v>0.133333333333333</v>
      </c>
      <c r="M97" s="39">
        <f>17/30</f>
        <v>0.566666666666667</v>
      </c>
      <c r="P97" s="39">
        <f>4/30</f>
        <v>0.133333333333333</v>
      </c>
      <c r="Q97" s="39">
        <f t="shared" ref="Q97:Q101" si="12">16/30</f>
        <v>0.533333333333333</v>
      </c>
      <c r="T97">
        <v>2.4</v>
      </c>
      <c r="U97" s="6">
        <v>0</v>
      </c>
      <c r="V97" s="6"/>
      <c r="AD97" s="52"/>
      <c r="AE97" s="52"/>
      <c r="AF97">
        <v>801</v>
      </c>
      <c r="AG97" t="s">
        <v>116</v>
      </c>
      <c r="AH97" t="s">
        <v>121</v>
      </c>
      <c r="AK97" s="9">
        <v>0</v>
      </c>
      <c r="AZ97" s="52"/>
    </row>
    <row r="98" ht="16.5" spans="1:52">
      <c r="A98" s="11">
        <v>93</v>
      </c>
      <c r="B98" s="54" t="s">
        <v>351</v>
      </c>
      <c r="C98" s="11" t="s">
        <v>352</v>
      </c>
      <c r="D98" s="39">
        <v>1</v>
      </c>
      <c r="E98">
        <v>1</v>
      </c>
      <c r="F98">
        <v>0.72</v>
      </c>
      <c r="G98" s="39">
        <v>4.9</v>
      </c>
      <c r="H98" s="39">
        <v>5.5</v>
      </c>
      <c r="I98" s="39">
        <v>0.68</v>
      </c>
      <c r="J98" s="39" t="s">
        <v>115</v>
      </c>
      <c r="K98" s="39"/>
      <c r="L98" s="39">
        <f t="shared" si="11"/>
        <v>0.133333333333333</v>
      </c>
      <c r="M98" s="39">
        <f>19/30</f>
        <v>0.633333333333333</v>
      </c>
      <c r="P98" s="39">
        <f t="shared" ref="P98:P101" si="13">3/30</f>
        <v>0.1</v>
      </c>
      <c r="Q98" s="39">
        <f>18/30</f>
        <v>0.6</v>
      </c>
      <c r="T98">
        <v>2.4</v>
      </c>
      <c r="U98" s="6">
        <v>0</v>
      </c>
      <c r="V98" s="6"/>
      <c r="X98">
        <v>-1.63</v>
      </c>
      <c r="Y98">
        <v>1.05</v>
      </c>
      <c r="Z98">
        <v>-3.88</v>
      </c>
      <c r="AA98">
        <v>0.4</v>
      </c>
      <c r="AB98">
        <v>1</v>
      </c>
      <c r="AC98" s="62">
        <v>2676</v>
      </c>
      <c r="AD98" s="52" t="s">
        <v>153</v>
      </c>
      <c r="AE98" s="52"/>
      <c r="AF98">
        <v>801</v>
      </c>
      <c r="AG98" t="s">
        <v>116</v>
      </c>
      <c r="AH98" t="s">
        <v>200</v>
      </c>
      <c r="AK98" s="9">
        <v>0</v>
      </c>
      <c r="AV98" t="s">
        <v>353</v>
      </c>
      <c r="AW98" t="s">
        <v>354</v>
      </c>
      <c r="AY98" s="62">
        <v>2676</v>
      </c>
      <c r="AZ98" s="52" t="s">
        <v>153</v>
      </c>
    </row>
    <row r="99" s="11" customFormat="1" ht="16.5" spans="1:52">
      <c r="A99" s="11">
        <v>94</v>
      </c>
      <c r="B99" s="55" t="s">
        <v>355</v>
      </c>
      <c r="C99" s="11" t="s">
        <v>356</v>
      </c>
      <c r="D99" s="56">
        <v>1</v>
      </c>
      <c r="E99" s="11">
        <v>1</v>
      </c>
      <c r="F99" s="11">
        <v>1</v>
      </c>
      <c r="G99" s="11">
        <v>2.16</v>
      </c>
      <c r="H99" s="56">
        <v>2.58</v>
      </c>
      <c r="I99" s="56">
        <v>0.55</v>
      </c>
      <c r="J99" s="11" t="s">
        <v>115</v>
      </c>
      <c r="K99" s="56"/>
      <c r="L99" s="56">
        <f>3/30</f>
        <v>0.1</v>
      </c>
      <c r="M99" s="56">
        <f>16/30</f>
        <v>0.533333333333333</v>
      </c>
      <c r="P99" s="56">
        <f t="shared" si="13"/>
        <v>0.1</v>
      </c>
      <c r="Q99" s="56">
        <f t="shared" si="12"/>
        <v>0.533333333333333</v>
      </c>
      <c r="T99" s="11">
        <v>2.4</v>
      </c>
      <c r="U99" s="65">
        <v>0</v>
      </c>
      <c r="V99" s="65"/>
      <c r="X99" s="11">
        <v>-2.35</v>
      </c>
      <c r="Y99" s="11">
        <v>1.1</v>
      </c>
      <c r="Z99" s="11">
        <v>-2.71</v>
      </c>
      <c r="AA99" s="11">
        <v>0.85</v>
      </c>
      <c r="AB99" s="11" t="s">
        <v>270</v>
      </c>
      <c r="AC99" s="62" t="s">
        <v>357</v>
      </c>
      <c r="AD99" s="23" t="s">
        <v>358</v>
      </c>
      <c r="AE99" s="69"/>
      <c r="AF99" s="11">
        <v>801</v>
      </c>
      <c r="AG99" s="11" t="s">
        <v>116</v>
      </c>
      <c r="AH99" s="11" t="s">
        <v>324</v>
      </c>
      <c r="AK99" s="71">
        <v>0</v>
      </c>
      <c r="AV99" s="11" t="s">
        <v>122</v>
      </c>
      <c r="AW99" s="11" t="s">
        <v>122</v>
      </c>
      <c r="AY99" s="62">
        <v>4826</v>
      </c>
      <c r="AZ99" s="23" t="s">
        <v>153</v>
      </c>
    </row>
    <row r="100" s="11" customFormat="1" ht="16.5" spans="1:52">
      <c r="A100" s="11">
        <v>95</v>
      </c>
      <c r="B100" s="55" t="s">
        <v>359</v>
      </c>
      <c r="C100" s="11" t="s">
        <v>360</v>
      </c>
      <c r="D100" s="56">
        <v>1</v>
      </c>
      <c r="E100" s="11">
        <v>1</v>
      </c>
      <c r="F100" s="11">
        <v>1</v>
      </c>
      <c r="G100" s="11">
        <v>2.13</v>
      </c>
      <c r="H100" s="56">
        <v>2.45</v>
      </c>
      <c r="I100" s="56">
        <v>0.36</v>
      </c>
      <c r="J100" s="11" t="s">
        <v>115</v>
      </c>
      <c r="K100" s="56"/>
      <c r="L100" s="56">
        <f>5/30</f>
        <v>0.166666666666667</v>
      </c>
      <c r="M100" s="56">
        <f>16/30</f>
        <v>0.533333333333333</v>
      </c>
      <c r="P100" s="56">
        <f>4/30</f>
        <v>0.133333333333333</v>
      </c>
      <c r="Q100" s="56">
        <f>17/30</f>
        <v>0.566666666666667</v>
      </c>
      <c r="T100" s="11">
        <v>2.4</v>
      </c>
      <c r="U100" s="65">
        <v>0</v>
      </c>
      <c r="V100" s="65"/>
      <c r="X100" s="11">
        <v>-2.3</v>
      </c>
      <c r="Y100" s="11">
        <v>1.08</v>
      </c>
      <c r="Z100" s="11">
        <v>-2.81</v>
      </c>
      <c r="AA100" s="11">
        <v>0.85</v>
      </c>
      <c r="AB100" s="11" t="s">
        <v>257</v>
      </c>
      <c r="AC100" s="62" t="s">
        <v>361</v>
      </c>
      <c r="AD100" s="69" t="s">
        <v>362</v>
      </c>
      <c r="AE100" s="69"/>
      <c r="AF100" s="11">
        <v>801</v>
      </c>
      <c r="AG100" s="11" t="s">
        <v>116</v>
      </c>
      <c r="AH100" s="11" t="s">
        <v>200</v>
      </c>
      <c r="AK100" s="71">
        <v>0</v>
      </c>
      <c r="AV100" s="11" t="s">
        <v>122</v>
      </c>
      <c r="AW100" s="11" t="s">
        <v>122</v>
      </c>
      <c r="AY100" s="62" t="s">
        <v>361</v>
      </c>
      <c r="AZ100" s="69" t="s">
        <v>362</v>
      </c>
    </row>
    <row r="101" s="11" customFormat="1" ht="16.5" spans="1:52">
      <c r="A101" s="11">
        <v>96</v>
      </c>
      <c r="B101" s="55" t="s">
        <v>363</v>
      </c>
      <c r="C101" s="11" t="s">
        <v>364</v>
      </c>
      <c r="D101" s="56">
        <v>1</v>
      </c>
      <c r="E101" s="11">
        <v>1</v>
      </c>
      <c r="F101" s="11">
        <v>1</v>
      </c>
      <c r="G101" s="56">
        <v>1.72</v>
      </c>
      <c r="H101" s="56">
        <v>2.17</v>
      </c>
      <c r="I101" s="61">
        <v>0.4</v>
      </c>
      <c r="J101" s="56" t="s">
        <v>115</v>
      </c>
      <c r="K101" s="56"/>
      <c r="L101" s="56">
        <f>2/30</f>
        <v>0.0666666666666667</v>
      </c>
      <c r="M101" s="56">
        <f>13/30</f>
        <v>0.433333333333333</v>
      </c>
      <c r="P101" s="56">
        <f t="shared" si="13"/>
        <v>0.1</v>
      </c>
      <c r="Q101" s="56">
        <f t="shared" si="12"/>
        <v>0.533333333333333</v>
      </c>
      <c r="T101" s="11">
        <v>2.4</v>
      </c>
      <c r="U101" s="65">
        <v>0</v>
      </c>
      <c r="V101" s="65"/>
      <c r="X101" s="11">
        <v>-2.24</v>
      </c>
      <c r="Y101" s="11">
        <v>1.06</v>
      </c>
      <c r="Z101" s="11">
        <v>-2.94</v>
      </c>
      <c r="AA101" s="11">
        <v>1</v>
      </c>
      <c r="AB101" s="11">
        <v>1</v>
      </c>
      <c r="AC101" s="62">
        <v>2915</v>
      </c>
      <c r="AD101" s="11" t="s">
        <v>153</v>
      </c>
      <c r="AE101" s="69"/>
      <c r="AF101" s="11">
        <v>801</v>
      </c>
      <c r="AG101" s="11" t="s">
        <v>116</v>
      </c>
      <c r="AH101" s="11" t="s">
        <v>200</v>
      </c>
      <c r="AK101" s="71">
        <v>0</v>
      </c>
      <c r="AV101" s="73" t="s">
        <v>365</v>
      </c>
      <c r="AW101" s="73" t="s">
        <v>366</v>
      </c>
      <c r="AY101" s="62">
        <v>2915</v>
      </c>
      <c r="AZ101" s="11" t="s">
        <v>153</v>
      </c>
    </row>
    <row r="102" s="11" customFormat="1" ht="16.5" spans="1:52">
      <c r="A102" s="11">
        <v>97</v>
      </c>
      <c r="B102" s="55" t="s">
        <v>367</v>
      </c>
      <c r="C102" s="11" t="s">
        <v>368</v>
      </c>
      <c r="D102" s="56">
        <v>1</v>
      </c>
      <c r="E102" s="11">
        <v>1</v>
      </c>
      <c r="F102" s="11">
        <v>1</v>
      </c>
      <c r="G102" s="56">
        <v>1.86</v>
      </c>
      <c r="H102" s="56">
        <v>2.25</v>
      </c>
      <c r="I102" s="11">
        <v>0.4</v>
      </c>
      <c r="J102" s="56" t="s">
        <v>115</v>
      </c>
      <c r="K102" s="56"/>
      <c r="L102" s="56">
        <f>5/30</f>
        <v>0.166666666666667</v>
      </c>
      <c r="M102" s="56">
        <f>17/30</f>
        <v>0.566666666666667</v>
      </c>
      <c r="P102" s="56">
        <f>6/30</f>
        <v>0.2</v>
      </c>
      <c r="Q102" s="56">
        <f>17/30</f>
        <v>0.566666666666667</v>
      </c>
      <c r="T102" s="11">
        <v>2.4</v>
      </c>
      <c r="U102" s="65">
        <v>0</v>
      </c>
      <c r="V102" s="65"/>
      <c r="X102" s="11">
        <v>-2.3</v>
      </c>
      <c r="Y102" s="11">
        <v>1.08</v>
      </c>
      <c r="Z102" s="11">
        <v>-2.81</v>
      </c>
      <c r="AA102" s="11">
        <v>0.85</v>
      </c>
      <c r="AB102" s="11">
        <v>1</v>
      </c>
      <c r="AC102" s="62">
        <v>2949</v>
      </c>
      <c r="AD102" s="11" t="s">
        <v>153</v>
      </c>
      <c r="AE102" s="69"/>
      <c r="AF102" s="11">
        <v>801</v>
      </c>
      <c r="AG102" s="11" t="s">
        <v>116</v>
      </c>
      <c r="AH102" s="11" t="s">
        <v>121</v>
      </c>
      <c r="AK102" s="71">
        <v>0</v>
      </c>
      <c r="AV102" s="11" t="s">
        <v>122</v>
      </c>
      <c r="AW102" s="11" t="s">
        <v>122</v>
      </c>
      <c r="AY102" s="62">
        <v>2949</v>
      </c>
      <c r="AZ102" s="11" t="s">
        <v>153</v>
      </c>
    </row>
    <row r="103" s="11" customFormat="1" ht="16.5" spans="1:52">
      <c r="A103" s="11">
        <v>98</v>
      </c>
      <c r="B103" s="55" t="s">
        <v>369</v>
      </c>
      <c r="C103" s="11" t="s">
        <v>370</v>
      </c>
      <c r="D103" s="56">
        <v>1</v>
      </c>
      <c r="E103" s="11">
        <v>1</v>
      </c>
      <c r="F103" s="11">
        <v>1</v>
      </c>
      <c r="G103" s="56">
        <v>1.81</v>
      </c>
      <c r="H103" s="56">
        <v>2.2</v>
      </c>
      <c r="I103" s="11">
        <v>0.3</v>
      </c>
      <c r="J103" s="56" t="s">
        <v>115</v>
      </c>
      <c r="K103" s="56"/>
      <c r="L103" s="11">
        <f>4/30</f>
        <v>0.133333333333333</v>
      </c>
      <c r="M103" s="56">
        <f>14/30</f>
        <v>0.466666666666667</v>
      </c>
      <c r="P103" s="56">
        <f>3/30</f>
        <v>0.1</v>
      </c>
      <c r="Q103" s="56">
        <f>14/30</f>
        <v>0.466666666666667</v>
      </c>
      <c r="T103" s="11">
        <v>2.4</v>
      </c>
      <c r="U103" s="65">
        <v>0</v>
      </c>
      <c r="V103" s="65"/>
      <c r="X103" s="11">
        <v>-2.3</v>
      </c>
      <c r="Y103" s="11">
        <v>0.8</v>
      </c>
      <c r="Z103" s="11">
        <v>-2.81</v>
      </c>
      <c r="AA103" s="11">
        <v>0.85</v>
      </c>
      <c r="AB103" s="11">
        <v>1</v>
      </c>
      <c r="AC103" s="62">
        <v>2988</v>
      </c>
      <c r="AD103" s="11" t="s">
        <v>153</v>
      </c>
      <c r="AE103" s="69"/>
      <c r="AF103" s="11">
        <v>801</v>
      </c>
      <c r="AG103" s="11" t="s">
        <v>116</v>
      </c>
      <c r="AH103" s="11" t="s">
        <v>200</v>
      </c>
      <c r="AK103" s="71">
        <v>0</v>
      </c>
      <c r="AV103" s="11" t="s">
        <v>286</v>
      </c>
      <c r="AW103" s="11" t="s">
        <v>286</v>
      </c>
      <c r="AY103" s="62">
        <v>2988</v>
      </c>
      <c r="AZ103" s="11" t="s">
        <v>153</v>
      </c>
    </row>
    <row r="104" s="11" customFormat="1" ht="16.5" spans="1:52">
      <c r="A104" s="11">
        <v>99</v>
      </c>
      <c r="B104" s="55" t="s">
        <v>371</v>
      </c>
      <c r="C104" s="11" t="s">
        <v>372</v>
      </c>
      <c r="D104" s="56">
        <v>1</v>
      </c>
      <c r="E104" s="11">
        <v>1</v>
      </c>
      <c r="F104" s="11">
        <v>1</v>
      </c>
      <c r="G104" s="56">
        <v>1.9</v>
      </c>
      <c r="H104" s="56">
        <v>2.26</v>
      </c>
      <c r="I104" s="11">
        <v>0.4</v>
      </c>
      <c r="J104" s="56" t="s">
        <v>115</v>
      </c>
      <c r="K104" s="56"/>
      <c r="L104" s="11">
        <f>7/30</f>
        <v>0.233333333333333</v>
      </c>
      <c r="M104" s="56">
        <f>17/30</f>
        <v>0.566666666666667</v>
      </c>
      <c r="P104" s="56">
        <f>6/30</f>
        <v>0.2</v>
      </c>
      <c r="Q104" s="56">
        <f>14/30</f>
        <v>0.466666666666667</v>
      </c>
      <c r="T104" s="11">
        <v>2.4</v>
      </c>
      <c r="U104" s="65">
        <v>0</v>
      </c>
      <c r="V104" s="65"/>
      <c r="X104" s="11">
        <v>-1.95</v>
      </c>
      <c r="Y104" s="11">
        <v>0.83</v>
      </c>
      <c r="Z104" s="11">
        <v>-3.3</v>
      </c>
      <c r="AA104" s="11">
        <v>0.9</v>
      </c>
      <c r="AB104" s="11" t="s">
        <v>193</v>
      </c>
      <c r="AC104" s="62" t="s">
        <v>373</v>
      </c>
      <c r="AD104" s="11" t="s">
        <v>374</v>
      </c>
      <c r="AE104" s="69"/>
      <c r="AF104" s="11">
        <v>801</v>
      </c>
      <c r="AG104" s="11" t="s">
        <v>116</v>
      </c>
      <c r="AH104" s="11" t="s">
        <v>200</v>
      </c>
      <c r="AK104" s="71">
        <v>0</v>
      </c>
      <c r="AV104" s="11" t="s">
        <v>118</v>
      </c>
      <c r="AW104" s="11" t="s">
        <v>118</v>
      </c>
      <c r="AY104" s="62" t="s">
        <v>373</v>
      </c>
      <c r="AZ104" s="11" t="s">
        <v>374</v>
      </c>
    </row>
    <row r="105" s="11" customFormat="1" ht="16.5" spans="1:52">
      <c r="A105" s="11">
        <v>100</v>
      </c>
      <c r="B105" s="55" t="s">
        <v>375</v>
      </c>
      <c r="C105" s="11" t="s">
        <v>376</v>
      </c>
      <c r="D105" s="56">
        <v>1</v>
      </c>
      <c r="E105" s="11">
        <v>1</v>
      </c>
      <c r="F105" s="11">
        <v>1</v>
      </c>
      <c r="G105" s="56">
        <v>1.81</v>
      </c>
      <c r="H105" s="56">
        <v>2.2</v>
      </c>
      <c r="I105" s="11">
        <v>0.45</v>
      </c>
      <c r="J105" s="56" t="s">
        <v>115</v>
      </c>
      <c r="K105" s="56">
        <v>1</v>
      </c>
      <c r="L105" s="11">
        <f>3/30</f>
        <v>0.1</v>
      </c>
      <c r="M105" s="56">
        <f>20/30</f>
        <v>0.666666666666667</v>
      </c>
      <c r="N105" s="62">
        <v>3075</v>
      </c>
      <c r="O105" s="11">
        <v>3075</v>
      </c>
      <c r="P105" s="56">
        <f>3/30</f>
        <v>0.1</v>
      </c>
      <c r="Q105" s="56">
        <f>16/30</f>
        <v>0.533333333333333</v>
      </c>
      <c r="R105" s="62">
        <v>3081</v>
      </c>
      <c r="S105" s="62">
        <v>3081</v>
      </c>
      <c r="T105" s="11">
        <v>2.4</v>
      </c>
      <c r="U105" s="65">
        <v>0</v>
      </c>
      <c r="V105" s="65"/>
      <c r="X105" s="11">
        <v>-1.95</v>
      </c>
      <c r="Y105" s="11">
        <v>0.83</v>
      </c>
      <c r="Z105" s="11">
        <v>-3.3</v>
      </c>
      <c r="AA105" s="11">
        <v>0.9</v>
      </c>
      <c r="AB105" s="11" t="s">
        <v>193</v>
      </c>
      <c r="AC105" s="62" t="s">
        <v>377</v>
      </c>
      <c r="AD105" s="70" t="s">
        <v>378</v>
      </c>
      <c r="AE105" s="69"/>
      <c r="AF105" s="11">
        <v>801</v>
      </c>
      <c r="AG105" s="11" t="s">
        <v>116</v>
      </c>
      <c r="AH105" s="11" t="s">
        <v>324</v>
      </c>
      <c r="AK105" s="71">
        <v>0</v>
      </c>
      <c r="AQ105" s="11">
        <v>8</v>
      </c>
      <c r="AR105" s="11">
        <v>1731</v>
      </c>
      <c r="AS105" s="11">
        <v>0</v>
      </c>
      <c r="AT105" s="11">
        <v>1732</v>
      </c>
      <c r="AU105" s="11">
        <v>0</v>
      </c>
      <c r="AV105" s="11" t="s">
        <v>379</v>
      </c>
      <c r="AW105" s="11" t="s">
        <v>379</v>
      </c>
      <c r="AY105" s="62" t="s">
        <v>377</v>
      </c>
      <c r="AZ105" s="70" t="s">
        <v>378</v>
      </c>
    </row>
    <row r="106" s="11" customFormat="1" ht="16.5" spans="1:52">
      <c r="A106" s="11">
        <v>101</v>
      </c>
      <c r="B106" s="55" t="s">
        <v>380</v>
      </c>
      <c r="C106" s="11" t="s">
        <v>381</v>
      </c>
      <c r="D106" s="56">
        <v>1</v>
      </c>
      <c r="E106" s="11">
        <v>1</v>
      </c>
      <c r="F106" s="11">
        <v>1</v>
      </c>
      <c r="G106" s="56">
        <v>1.05</v>
      </c>
      <c r="H106" s="56">
        <v>1.5</v>
      </c>
      <c r="I106" s="56">
        <v>0.3</v>
      </c>
      <c r="J106" s="56" t="s">
        <v>115</v>
      </c>
      <c r="K106" s="56"/>
      <c r="L106" s="11">
        <f>4/30</f>
        <v>0.133333333333333</v>
      </c>
      <c r="M106" s="56">
        <f>20/30</f>
        <v>0.666666666666667</v>
      </c>
      <c r="P106" s="56">
        <f>5/30</f>
        <v>0.166666666666667</v>
      </c>
      <c r="Q106" s="56">
        <f>18/30</f>
        <v>0.6</v>
      </c>
      <c r="T106" s="11">
        <v>2.4</v>
      </c>
      <c r="U106" s="65">
        <v>0</v>
      </c>
      <c r="V106" s="65"/>
      <c r="X106" s="11">
        <v>-1.9</v>
      </c>
      <c r="Y106" s="11">
        <v>0.1</v>
      </c>
      <c r="Z106" s="11">
        <v>-3.51</v>
      </c>
      <c r="AA106" s="11">
        <v>0.9</v>
      </c>
      <c r="AB106" s="11">
        <v>1</v>
      </c>
      <c r="AC106" s="62">
        <v>3122</v>
      </c>
      <c r="AD106" s="11" t="s">
        <v>153</v>
      </c>
      <c r="AE106" s="69"/>
      <c r="AF106" s="11">
        <v>801</v>
      </c>
      <c r="AG106" s="11" t="s">
        <v>116</v>
      </c>
      <c r="AH106" s="11" t="s">
        <v>200</v>
      </c>
      <c r="AK106" s="71">
        <v>0</v>
      </c>
      <c r="AV106" s="11" t="s">
        <v>382</v>
      </c>
      <c r="AW106" s="11" t="s">
        <v>382</v>
      </c>
      <c r="AY106" s="62">
        <v>3122</v>
      </c>
      <c r="AZ106" s="11" t="s">
        <v>153</v>
      </c>
    </row>
    <row r="107" s="11" customFormat="1" ht="16.5" spans="1:52">
      <c r="A107" s="11">
        <v>102</v>
      </c>
      <c r="B107" s="55" t="s">
        <v>383</v>
      </c>
      <c r="C107" s="11" t="s">
        <v>384</v>
      </c>
      <c r="D107" s="56">
        <v>1</v>
      </c>
      <c r="E107" s="11">
        <v>1</v>
      </c>
      <c r="F107" s="11">
        <v>1.05</v>
      </c>
      <c r="G107" s="56">
        <v>1.8</v>
      </c>
      <c r="H107" s="56">
        <v>2.25</v>
      </c>
      <c r="I107" s="56">
        <v>0.35</v>
      </c>
      <c r="J107" s="56" t="s">
        <v>115</v>
      </c>
      <c r="K107" s="56"/>
      <c r="L107" s="11">
        <v>0.166666666666667</v>
      </c>
      <c r="M107" s="56">
        <v>0.566666666666667</v>
      </c>
      <c r="P107" s="56">
        <v>0.133333333333333</v>
      </c>
      <c r="Q107" s="56">
        <v>0.533333333333333</v>
      </c>
      <c r="T107" s="11">
        <v>2.4</v>
      </c>
      <c r="U107" s="65">
        <v>0</v>
      </c>
      <c r="V107" s="65"/>
      <c r="X107" s="11">
        <v>-1.9</v>
      </c>
      <c r="Y107" s="11">
        <v>1.05</v>
      </c>
      <c r="Z107" s="11">
        <v>-3.51</v>
      </c>
      <c r="AA107" s="11">
        <v>1</v>
      </c>
      <c r="AB107" s="11">
        <v>1</v>
      </c>
      <c r="AC107" s="62">
        <v>3103</v>
      </c>
      <c r="AD107" s="11" t="s">
        <v>153</v>
      </c>
      <c r="AE107" s="69"/>
      <c r="AF107" s="11">
        <v>801</v>
      </c>
      <c r="AG107" s="11" t="s">
        <v>116</v>
      </c>
      <c r="AH107" s="11" t="s">
        <v>200</v>
      </c>
      <c r="AK107" s="71">
        <v>0</v>
      </c>
      <c r="AV107" s="11" t="s">
        <v>122</v>
      </c>
      <c r="AW107" s="11" t="s">
        <v>122</v>
      </c>
      <c r="AY107" s="62">
        <v>3103</v>
      </c>
      <c r="AZ107" s="11" t="s">
        <v>153</v>
      </c>
    </row>
    <row r="108" s="11" customFormat="1" ht="16.5" spans="1:52">
      <c r="A108" s="11">
        <v>103</v>
      </c>
      <c r="B108" s="55" t="s">
        <v>385</v>
      </c>
      <c r="C108" s="11" t="s">
        <v>386</v>
      </c>
      <c r="D108" s="56">
        <v>1</v>
      </c>
      <c r="E108" s="11">
        <v>1</v>
      </c>
      <c r="F108" s="11">
        <v>1</v>
      </c>
      <c r="G108" s="56">
        <v>2.1</v>
      </c>
      <c r="H108" s="56">
        <v>2.45</v>
      </c>
      <c r="I108" s="56">
        <v>0.35</v>
      </c>
      <c r="J108" s="56" t="s">
        <v>115</v>
      </c>
      <c r="K108" s="56"/>
      <c r="L108" s="11">
        <v>0.133333333333333</v>
      </c>
      <c r="M108" s="56">
        <v>0.5</v>
      </c>
      <c r="P108" s="56">
        <v>0.0666666666666667</v>
      </c>
      <c r="Q108" s="56">
        <v>0.466666666666667</v>
      </c>
      <c r="T108" s="11">
        <v>2.4</v>
      </c>
      <c r="U108" s="65">
        <v>0</v>
      </c>
      <c r="V108" s="65"/>
      <c r="X108" s="11">
        <v>-1.75</v>
      </c>
      <c r="Y108" s="11">
        <v>1.23</v>
      </c>
      <c r="Z108" s="11">
        <v>-3.5</v>
      </c>
      <c r="AA108" s="11">
        <v>1</v>
      </c>
      <c r="AB108" s="11" t="s">
        <v>387</v>
      </c>
      <c r="AC108" s="62" t="s">
        <v>388</v>
      </c>
      <c r="AD108" s="11" t="s">
        <v>389</v>
      </c>
      <c r="AE108" s="69"/>
      <c r="AF108" s="11">
        <v>801</v>
      </c>
      <c r="AG108" s="11" t="s">
        <v>116</v>
      </c>
      <c r="AH108" s="11" t="s">
        <v>324</v>
      </c>
      <c r="AK108" s="71">
        <v>0</v>
      </c>
      <c r="AV108" s="11" t="s">
        <v>390</v>
      </c>
      <c r="AW108" s="11" t="s">
        <v>390</v>
      </c>
      <c r="AY108" s="62">
        <v>4886</v>
      </c>
      <c r="AZ108" s="11" t="s">
        <v>153</v>
      </c>
    </row>
    <row r="109" s="11" customFormat="1" ht="16.5" spans="1:52">
      <c r="A109" s="11">
        <v>104</v>
      </c>
      <c r="B109" s="55" t="s">
        <v>391</v>
      </c>
      <c r="C109" s="11" t="s">
        <v>392</v>
      </c>
      <c r="D109" s="56">
        <v>1</v>
      </c>
      <c r="E109" s="11">
        <v>1</v>
      </c>
      <c r="F109" s="11">
        <v>1</v>
      </c>
      <c r="G109" s="56">
        <v>1.95</v>
      </c>
      <c r="H109" s="56">
        <v>2.25</v>
      </c>
      <c r="I109" s="56">
        <v>0.35</v>
      </c>
      <c r="J109" s="56" t="s">
        <v>115</v>
      </c>
      <c r="K109" s="56">
        <v>1</v>
      </c>
      <c r="L109" s="11">
        <f>5/30</f>
        <v>0.166666666666667</v>
      </c>
      <c r="M109" s="56">
        <f>16/30</f>
        <v>0.533333333333333</v>
      </c>
      <c r="N109" s="11">
        <v>3220</v>
      </c>
      <c r="O109" s="11">
        <v>3221</v>
      </c>
      <c r="P109" s="56">
        <f>2/30</f>
        <v>0.0666666666666667</v>
      </c>
      <c r="Q109" s="56">
        <f>14/30</f>
        <v>0.466666666666667</v>
      </c>
      <c r="R109" s="11">
        <v>3219</v>
      </c>
      <c r="S109" s="11">
        <v>3221</v>
      </c>
      <c r="T109" s="11">
        <v>2.4</v>
      </c>
      <c r="U109" s="65">
        <v>0</v>
      </c>
      <c r="V109" s="65"/>
      <c r="X109" s="11">
        <v>-2.097</v>
      </c>
      <c r="Y109" s="11">
        <v>1.206</v>
      </c>
      <c r="Z109" s="11">
        <v>-3.196</v>
      </c>
      <c r="AA109" s="11">
        <v>1</v>
      </c>
      <c r="AB109" s="11">
        <v>1</v>
      </c>
      <c r="AC109" s="62">
        <v>3210</v>
      </c>
      <c r="AD109" s="11" t="s">
        <v>153</v>
      </c>
      <c r="AE109" s="69"/>
      <c r="AF109" s="11">
        <v>801</v>
      </c>
      <c r="AG109" s="11" t="s">
        <v>116</v>
      </c>
      <c r="AH109" s="11" t="s">
        <v>200</v>
      </c>
      <c r="AK109" s="71">
        <v>0</v>
      </c>
      <c r="AV109" s="11" t="s">
        <v>379</v>
      </c>
      <c r="AW109" s="11" t="s">
        <v>379</v>
      </c>
      <c r="AY109" s="62">
        <v>4698</v>
      </c>
      <c r="AZ109" s="11" t="s">
        <v>153</v>
      </c>
    </row>
    <row r="110" s="11" customFormat="1" ht="16.5" spans="1:52">
      <c r="A110" s="11">
        <v>105</v>
      </c>
      <c r="B110" s="55" t="s">
        <v>393</v>
      </c>
      <c r="C110" s="11" t="s">
        <v>394</v>
      </c>
      <c r="D110" s="56">
        <v>1</v>
      </c>
      <c r="E110" s="11">
        <v>1</v>
      </c>
      <c r="F110" s="11">
        <v>1</v>
      </c>
      <c r="G110" s="56">
        <v>1.75</v>
      </c>
      <c r="H110" s="56">
        <v>1.95</v>
      </c>
      <c r="I110" s="56">
        <v>0.3</v>
      </c>
      <c r="J110" s="56" t="s">
        <v>115</v>
      </c>
      <c r="K110" s="56"/>
      <c r="L110" s="11">
        <v>0.1</v>
      </c>
      <c r="M110" s="56">
        <v>0.533333333333333</v>
      </c>
      <c r="P110" s="56">
        <v>0.0666666666666667</v>
      </c>
      <c r="Q110" s="56">
        <v>0.5</v>
      </c>
      <c r="T110" s="11">
        <v>2.4</v>
      </c>
      <c r="U110" s="65">
        <v>0</v>
      </c>
      <c r="V110" s="65"/>
      <c r="X110" s="11">
        <v>-1.95</v>
      </c>
      <c r="Y110" s="11">
        <v>0.75</v>
      </c>
      <c r="Z110" s="11">
        <v>-3.5</v>
      </c>
      <c r="AA110" s="11">
        <v>0.9</v>
      </c>
      <c r="AB110" s="11" t="s">
        <v>395</v>
      </c>
      <c r="AC110" s="62" t="s">
        <v>396</v>
      </c>
      <c r="AD110" s="11" t="s">
        <v>397</v>
      </c>
      <c r="AE110" s="69"/>
      <c r="AF110" s="11">
        <v>801</v>
      </c>
      <c r="AG110" s="11" t="s">
        <v>116</v>
      </c>
      <c r="AH110" s="11" t="s">
        <v>121</v>
      </c>
      <c r="AI110" s="11">
        <v>5</v>
      </c>
      <c r="AJ110" s="11">
        <v>8</v>
      </c>
      <c r="AK110" s="71">
        <v>0</v>
      </c>
      <c r="AV110" s="11" t="s">
        <v>286</v>
      </c>
      <c r="AW110" s="11" t="s">
        <v>286</v>
      </c>
      <c r="AY110" s="62" t="s">
        <v>396</v>
      </c>
      <c r="AZ110" s="11" t="s">
        <v>397</v>
      </c>
    </row>
    <row r="111" s="11" customFormat="1" ht="16.5" spans="1:52">
      <c r="A111" s="11">
        <v>106</v>
      </c>
      <c r="B111" s="55" t="s">
        <v>398</v>
      </c>
      <c r="C111" s="11" t="s">
        <v>399</v>
      </c>
      <c r="D111" s="56">
        <v>1</v>
      </c>
      <c r="E111" s="11">
        <v>1</v>
      </c>
      <c r="F111" s="11">
        <v>0.9</v>
      </c>
      <c r="G111" s="56">
        <v>2.25</v>
      </c>
      <c r="H111" s="56">
        <v>2.65</v>
      </c>
      <c r="I111" s="56">
        <v>0.35</v>
      </c>
      <c r="J111" s="56" t="s">
        <v>115</v>
      </c>
      <c r="K111" s="56"/>
      <c r="L111" s="11">
        <v>0.166666666666667</v>
      </c>
      <c r="M111" s="56">
        <v>0.566666666666667</v>
      </c>
      <c r="P111" s="56">
        <v>0.1</v>
      </c>
      <c r="Q111" s="56">
        <v>0.5</v>
      </c>
      <c r="T111" s="11">
        <v>2.4</v>
      </c>
      <c r="U111" s="65">
        <v>0</v>
      </c>
      <c r="V111" s="65"/>
      <c r="X111" s="11">
        <v>-2.14</v>
      </c>
      <c r="Y111" s="11">
        <v>1.23</v>
      </c>
      <c r="Z111" s="11">
        <v>-3.1</v>
      </c>
      <c r="AA111" s="11">
        <v>0.9</v>
      </c>
      <c r="AB111" s="11">
        <v>1</v>
      </c>
      <c r="AC111" s="62">
        <v>3297</v>
      </c>
      <c r="AD111" s="11" t="s">
        <v>153</v>
      </c>
      <c r="AE111" s="69"/>
      <c r="AF111" s="11">
        <v>801</v>
      </c>
      <c r="AG111" s="11" t="s">
        <v>116</v>
      </c>
      <c r="AH111" s="11" t="s">
        <v>200</v>
      </c>
      <c r="AK111" s="71">
        <v>0</v>
      </c>
      <c r="AQ111" s="11" t="s">
        <v>400</v>
      </c>
      <c r="AR111" s="11">
        <v>1786</v>
      </c>
      <c r="AS111" s="11">
        <v>1785</v>
      </c>
      <c r="AT111" s="11">
        <v>1786</v>
      </c>
      <c r="AU111" s="11">
        <v>1785</v>
      </c>
      <c r="AV111" s="11" t="s">
        <v>286</v>
      </c>
      <c r="AW111" s="11" t="s">
        <v>286</v>
      </c>
      <c r="AY111" s="62">
        <v>5043</v>
      </c>
      <c r="AZ111" s="11" t="s">
        <v>153</v>
      </c>
    </row>
    <row r="112" s="11" customFormat="1" ht="16.5" spans="1:52">
      <c r="A112" s="11">
        <v>107</v>
      </c>
      <c r="B112" s="55" t="s">
        <v>328</v>
      </c>
      <c r="C112" s="11" t="s">
        <v>329</v>
      </c>
      <c r="D112" s="56">
        <v>1</v>
      </c>
      <c r="E112" s="11">
        <v>1</v>
      </c>
      <c r="F112" s="11">
        <v>1</v>
      </c>
      <c r="G112" s="56">
        <v>1.8</v>
      </c>
      <c r="H112" s="56">
        <v>2</v>
      </c>
      <c r="I112" s="56">
        <v>0.35</v>
      </c>
      <c r="J112" s="56" t="s">
        <v>115</v>
      </c>
      <c r="K112" s="56"/>
      <c r="L112" s="11">
        <v>0.1</v>
      </c>
      <c r="M112" s="56">
        <v>0.466666666666667</v>
      </c>
      <c r="P112" s="56">
        <v>0.1</v>
      </c>
      <c r="Q112" s="56">
        <v>0.5</v>
      </c>
      <c r="T112" s="11">
        <v>2.4</v>
      </c>
      <c r="U112" s="65">
        <v>0</v>
      </c>
      <c r="V112" s="65"/>
      <c r="AB112" s="11" t="s">
        <v>193</v>
      </c>
      <c r="AC112" s="62" t="s">
        <v>401</v>
      </c>
      <c r="AD112" s="11" t="s">
        <v>402</v>
      </c>
      <c r="AE112" s="69"/>
      <c r="AF112" s="11">
        <v>801</v>
      </c>
      <c r="AG112" s="11" t="s">
        <v>116</v>
      </c>
      <c r="AH112" s="11" t="s">
        <v>200</v>
      </c>
      <c r="AK112" s="71">
        <v>0</v>
      </c>
      <c r="AQ112" s="13"/>
      <c r="AR112" s="13"/>
      <c r="AS112" s="13"/>
      <c r="AY112" s="62" t="s">
        <v>401</v>
      </c>
      <c r="AZ112" s="11" t="s">
        <v>402</v>
      </c>
    </row>
    <row r="113" s="11" customFormat="1" ht="16.5" spans="1:52">
      <c r="A113" s="11">
        <v>108</v>
      </c>
      <c r="B113" s="55" t="s">
        <v>403</v>
      </c>
      <c r="C113" s="11" t="s">
        <v>404</v>
      </c>
      <c r="D113" s="56">
        <v>1</v>
      </c>
      <c r="E113" s="11">
        <v>1</v>
      </c>
      <c r="F113" s="11">
        <v>1</v>
      </c>
      <c r="G113" s="56">
        <v>2.5</v>
      </c>
      <c r="H113" s="56">
        <v>2.95</v>
      </c>
      <c r="I113" s="56">
        <v>0.45</v>
      </c>
      <c r="J113" s="56" t="s">
        <v>115</v>
      </c>
      <c r="K113" s="56"/>
      <c r="L113" s="11">
        <v>0.133333333333333</v>
      </c>
      <c r="M113" s="56">
        <v>0.433333333333333</v>
      </c>
      <c r="P113" s="56">
        <v>0.0666666666666667</v>
      </c>
      <c r="Q113" s="56">
        <v>0.433333333333333</v>
      </c>
      <c r="T113" s="11">
        <v>2.4</v>
      </c>
      <c r="U113" s="65">
        <v>0</v>
      </c>
      <c r="V113" s="65"/>
      <c r="X113" s="11">
        <v>-1.964</v>
      </c>
      <c r="Y113" s="11">
        <v>1.19</v>
      </c>
      <c r="Z113" s="11">
        <v>-3.274</v>
      </c>
      <c r="AA113" s="11">
        <v>0.8</v>
      </c>
      <c r="AB113" s="11">
        <v>1</v>
      </c>
      <c r="AC113" s="62">
        <v>3321</v>
      </c>
      <c r="AD113" s="11" t="s">
        <v>153</v>
      </c>
      <c r="AE113" s="69"/>
      <c r="AF113" s="11">
        <v>801</v>
      </c>
      <c r="AG113" s="11" t="s">
        <v>116</v>
      </c>
      <c r="AH113" s="11" t="s">
        <v>200</v>
      </c>
      <c r="AK113" s="71">
        <v>0</v>
      </c>
      <c r="AQ113" s="13"/>
      <c r="AR113" s="13"/>
      <c r="AS113" s="13"/>
      <c r="AV113" s="14" t="s">
        <v>405</v>
      </c>
      <c r="AW113" s="14" t="s">
        <v>405</v>
      </c>
      <c r="AY113" s="62">
        <v>3321</v>
      </c>
      <c r="AZ113" s="11" t="s">
        <v>153</v>
      </c>
    </row>
    <row r="114" s="11" customFormat="1" ht="16.5" spans="1:52">
      <c r="A114" s="11">
        <v>109</v>
      </c>
      <c r="B114" s="55" t="s">
        <v>406</v>
      </c>
      <c r="C114" s="11" t="s">
        <v>407</v>
      </c>
      <c r="D114" s="56">
        <v>1</v>
      </c>
      <c r="E114" s="11">
        <v>1</v>
      </c>
      <c r="F114" s="11">
        <v>1</v>
      </c>
      <c r="G114" s="56">
        <v>1.83</v>
      </c>
      <c r="H114" s="56">
        <v>2.2</v>
      </c>
      <c r="I114" s="56">
        <v>0.3</v>
      </c>
      <c r="J114" s="56" t="s">
        <v>115</v>
      </c>
      <c r="K114" s="56"/>
      <c r="L114" s="11">
        <v>0.0333333333333333</v>
      </c>
      <c r="M114" s="56">
        <v>0.766666666666667</v>
      </c>
      <c r="P114" s="56">
        <v>0.0333333333333333</v>
      </c>
      <c r="Q114" s="56">
        <v>0.766666666666667</v>
      </c>
      <c r="T114" s="11">
        <v>2.4</v>
      </c>
      <c r="U114" s="65">
        <v>0</v>
      </c>
      <c r="V114" s="65"/>
      <c r="X114" s="11">
        <v>-1.82</v>
      </c>
      <c r="Y114" s="11">
        <v>1.12</v>
      </c>
      <c r="Z114" s="11">
        <v>-3.5</v>
      </c>
      <c r="AA114" s="11">
        <v>1</v>
      </c>
      <c r="AB114" s="11">
        <v>1</v>
      </c>
      <c r="AC114" s="62">
        <v>3348</v>
      </c>
      <c r="AD114" s="11" t="s">
        <v>153</v>
      </c>
      <c r="AE114" s="69"/>
      <c r="AF114" s="11">
        <v>801</v>
      </c>
      <c r="AG114" s="11" t="s">
        <v>116</v>
      </c>
      <c r="AH114" s="11" t="s">
        <v>200</v>
      </c>
      <c r="AK114" s="71">
        <v>0</v>
      </c>
      <c r="AQ114" s="13"/>
      <c r="AR114" s="13"/>
      <c r="AS114" s="13"/>
      <c r="AV114" s="11" t="s">
        <v>408</v>
      </c>
      <c r="AW114" s="11" t="s">
        <v>408</v>
      </c>
      <c r="AY114" s="62">
        <v>3348</v>
      </c>
      <c r="AZ114" s="11" t="s">
        <v>153</v>
      </c>
    </row>
    <row r="115" s="13" customFormat="1" spans="1:52">
      <c r="A115" s="13">
        <v>110</v>
      </c>
      <c r="B115" s="57" t="s">
        <v>409</v>
      </c>
      <c r="C115" s="13" t="s">
        <v>410</v>
      </c>
      <c r="D115" s="13">
        <v>1</v>
      </c>
      <c r="E115" s="13">
        <v>1</v>
      </c>
      <c r="F115" s="13">
        <v>0.95</v>
      </c>
      <c r="G115" s="13">
        <v>1.98</v>
      </c>
      <c r="H115" s="58">
        <v>2.34</v>
      </c>
      <c r="I115" s="58">
        <v>0.4</v>
      </c>
      <c r="J115" s="13" t="s">
        <v>115</v>
      </c>
      <c r="L115" s="58">
        <v>0.285</v>
      </c>
      <c r="M115" s="58">
        <v>0.566666666666667</v>
      </c>
      <c r="N115" s="58"/>
      <c r="O115" s="58"/>
      <c r="P115" s="58">
        <v>0.166666666666667</v>
      </c>
      <c r="Q115" s="58">
        <v>0.566666666666667</v>
      </c>
      <c r="R115" s="58"/>
      <c r="S115" s="58"/>
      <c r="T115" s="66">
        <v>2.4</v>
      </c>
      <c r="U115" s="66">
        <v>0</v>
      </c>
      <c r="V115" s="66"/>
      <c r="W115" s="66"/>
      <c r="X115" s="66">
        <v>-2.264</v>
      </c>
      <c r="Y115" s="13">
        <v>1.074</v>
      </c>
      <c r="Z115" s="13">
        <v>-2.751</v>
      </c>
      <c r="AA115" s="13">
        <v>0.9</v>
      </c>
      <c r="AB115" s="13">
        <v>1</v>
      </c>
      <c r="AC115" s="13">
        <v>3375</v>
      </c>
      <c r="AD115" s="13" t="s">
        <v>153</v>
      </c>
      <c r="AF115" s="13">
        <v>801</v>
      </c>
      <c r="AG115" s="13" t="s">
        <v>116</v>
      </c>
      <c r="AH115" s="13" t="s">
        <v>200</v>
      </c>
      <c r="AK115" s="13">
        <v>0</v>
      </c>
      <c r="AV115" s="13" t="s">
        <v>122</v>
      </c>
      <c r="AW115" s="13" t="s">
        <v>122</v>
      </c>
      <c r="AY115" s="13">
        <v>3375</v>
      </c>
      <c r="AZ115" s="13" t="s">
        <v>153</v>
      </c>
    </row>
    <row r="116" s="14" customFormat="1" spans="1:52">
      <c r="A116" s="14">
        <v>111</v>
      </c>
      <c r="B116" s="59" t="s">
        <v>411</v>
      </c>
      <c r="C116" s="14" t="s">
        <v>412</v>
      </c>
      <c r="D116" s="14">
        <v>1</v>
      </c>
      <c r="E116" s="14">
        <v>1</v>
      </c>
      <c r="F116" s="14">
        <v>1</v>
      </c>
      <c r="G116" s="14">
        <v>2.5</v>
      </c>
      <c r="H116" s="14">
        <v>2.8</v>
      </c>
      <c r="I116" s="14">
        <v>0.45</v>
      </c>
      <c r="J116" s="14" t="s">
        <v>115</v>
      </c>
      <c r="L116" s="63">
        <f>2/30</f>
        <v>0.0666666666666667</v>
      </c>
      <c r="M116" s="63">
        <f>15/30</f>
        <v>0.5</v>
      </c>
      <c r="N116" s="63"/>
      <c r="O116" s="63"/>
      <c r="P116" s="63">
        <f>4/30</f>
        <v>0.133333333333333</v>
      </c>
      <c r="Q116" s="63">
        <f>15/30</f>
        <v>0.5</v>
      </c>
      <c r="R116" s="63"/>
      <c r="S116" s="63"/>
      <c r="T116" s="67">
        <v>2.4</v>
      </c>
      <c r="U116" s="67">
        <v>0</v>
      </c>
      <c r="V116" s="67"/>
      <c r="W116" s="67"/>
      <c r="X116" s="66">
        <v>-1.75</v>
      </c>
      <c r="Y116" s="13">
        <v>1.07</v>
      </c>
      <c r="Z116" s="13">
        <v>-3.46</v>
      </c>
      <c r="AA116" s="13">
        <v>0.8</v>
      </c>
      <c r="AB116" s="14" t="s">
        <v>257</v>
      </c>
      <c r="AC116" s="14" t="s">
        <v>413</v>
      </c>
      <c r="AD116" s="14" t="s">
        <v>414</v>
      </c>
      <c r="AF116" s="14">
        <v>801</v>
      </c>
      <c r="AG116" s="13" t="s">
        <v>116</v>
      </c>
      <c r="AH116" s="13" t="s">
        <v>200</v>
      </c>
      <c r="AK116" s="14">
        <v>0</v>
      </c>
      <c r="AV116" s="14" t="s">
        <v>405</v>
      </c>
      <c r="AW116" s="14" t="s">
        <v>405</v>
      </c>
      <c r="AY116" s="14" t="s">
        <v>413</v>
      </c>
      <c r="AZ116" s="14" t="s">
        <v>414</v>
      </c>
    </row>
    <row r="117" s="14" customFormat="1" spans="1:52">
      <c r="A117" s="14">
        <v>112</v>
      </c>
      <c r="B117" s="59" t="s">
        <v>415</v>
      </c>
      <c r="C117" s="14" t="s">
        <v>416</v>
      </c>
      <c r="D117" s="14">
        <v>1</v>
      </c>
      <c r="E117" s="14">
        <v>1</v>
      </c>
      <c r="F117" s="14">
        <v>1</v>
      </c>
      <c r="G117" s="14">
        <v>2</v>
      </c>
      <c r="H117" s="14">
        <v>2.32</v>
      </c>
      <c r="I117" s="14">
        <v>0.4</v>
      </c>
      <c r="J117" s="14" t="s">
        <v>115</v>
      </c>
      <c r="L117" s="63">
        <f>2/30</f>
        <v>0.0666666666666667</v>
      </c>
      <c r="M117" s="63">
        <f>17/30</f>
        <v>0.566666666666667</v>
      </c>
      <c r="N117" s="63"/>
      <c r="O117" s="63"/>
      <c r="P117" s="63">
        <f>3/30</f>
        <v>0.1</v>
      </c>
      <c r="Q117" s="63">
        <f>16/30</f>
        <v>0.533333333333333</v>
      </c>
      <c r="R117" s="63"/>
      <c r="S117" s="63"/>
      <c r="T117" s="67">
        <v>2.4</v>
      </c>
      <c r="U117" s="67">
        <v>0</v>
      </c>
      <c r="V117" s="67"/>
      <c r="W117" s="67"/>
      <c r="X117" s="66">
        <v>-2.03</v>
      </c>
      <c r="Y117" s="13">
        <v>0.87</v>
      </c>
      <c r="Z117" s="13">
        <v>-3.16</v>
      </c>
      <c r="AA117" s="13">
        <v>0.8</v>
      </c>
      <c r="AB117" s="14">
        <v>1</v>
      </c>
      <c r="AC117" s="14">
        <v>3511</v>
      </c>
      <c r="AD117" s="13" t="s">
        <v>153</v>
      </c>
      <c r="AF117" s="14">
        <v>801</v>
      </c>
      <c r="AG117" s="13" t="s">
        <v>116</v>
      </c>
      <c r="AH117" s="13" t="s">
        <v>200</v>
      </c>
      <c r="AK117" s="14">
        <v>0</v>
      </c>
      <c r="AV117" s="14" t="s">
        <v>122</v>
      </c>
      <c r="AW117" s="14" t="s">
        <v>122</v>
      </c>
      <c r="AY117" s="14">
        <v>3511</v>
      </c>
      <c r="AZ117" s="13" t="s">
        <v>153</v>
      </c>
    </row>
    <row r="118" s="14" customFormat="1" spans="1:52">
      <c r="A118" s="14">
        <v>113</v>
      </c>
      <c r="B118" s="59" t="s">
        <v>417</v>
      </c>
      <c r="C118" s="14" t="s">
        <v>418</v>
      </c>
      <c r="D118" s="14">
        <v>1</v>
      </c>
      <c r="E118" s="14">
        <v>1</v>
      </c>
      <c r="F118" s="14">
        <v>1</v>
      </c>
      <c r="G118" s="14">
        <v>2.2</v>
      </c>
      <c r="H118" s="14">
        <v>2.44</v>
      </c>
      <c r="I118" s="14">
        <v>0.45</v>
      </c>
      <c r="J118" s="14" t="s">
        <v>115</v>
      </c>
      <c r="L118" s="63">
        <f>3/30</f>
        <v>0.1</v>
      </c>
      <c r="M118" s="63">
        <f>15/30</f>
        <v>0.5</v>
      </c>
      <c r="N118" s="63"/>
      <c r="O118" s="63"/>
      <c r="P118" s="63">
        <f>4/30</f>
        <v>0.133333333333333</v>
      </c>
      <c r="Q118" s="63">
        <f>16/30</f>
        <v>0.533333333333333</v>
      </c>
      <c r="R118" s="63"/>
      <c r="S118" s="63"/>
      <c r="T118" s="67">
        <v>2.4</v>
      </c>
      <c r="U118" s="67">
        <v>0</v>
      </c>
      <c r="V118" s="67"/>
      <c r="W118" s="67"/>
      <c r="X118" s="66">
        <v>-1.35</v>
      </c>
      <c r="Y118" s="13">
        <v>0.87</v>
      </c>
      <c r="Z118" s="13">
        <v>-4</v>
      </c>
      <c r="AA118" s="13">
        <v>0.8</v>
      </c>
      <c r="AB118" s="14">
        <v>1</v>
      </c>
      <c r="AC118" s="14">
        <v>3522</v>
      </c>
      <c r="AD118" s="13" t="s">
        <v>153</v>
      </c>
      <c r="AF118" s="14">
        <v>801</v>
      </c>
      <c r="AG118" s="13" t="s">
        <v>116</v>
      </c>
      <c r="AH118" s="13" t="s">
        <v>200</v>
      </c>
      <c r="AK118" s="14">
        <v>0</v>
      </c>
      <c r="AV118" s="14" t="s">
        <v>419</v>
      </c>
      <c r="AW118" s="14" t="s">
        <v>419</v>
      </c>
      <c r="AY118" s="14">
        <v>3522</v>
      </c>
      <c r="AZ118" s="13" t="s">
        <v>153</v>
      </c>
    </row>
    <row r="119" s="14" customFormat="1" spans="1:52">
      <c r="A119" s="14">
        <v>114</v>
      </c>
      <c r="B119" s="59" t="s">
        <v>420</v>
      </c>
      <c r="C119" s="14" t="s">
        <v>421</v>
      </c>
      <c r="D119" s="14">
        <v>1</v>
      </c>
      <c r="E119" s="14">
        <v>1</v>
      </c>
      <c r="F119" s="14">
        <v>1</v>
      </c>
      <c r="G119" s="14">
        <v>1.7</v>
      </c>
      <c r="H119" s="14">
        <v>1.84</v>
      </c>
      <c r="I119" s="14">
        <v>0.35</v>
      </c>
      <c r="J119" s="14" t="s">
        <v>115</v>
      </c>
      <c r="L119" s="63">
        <f>2/30</f>
        <v>0.0666666666666667</v>
      </c>
      <c r="M119" s="63">
        <f>17/30</f>
        <v>0.566666666666667</v>
      </c>
      <c r="N119" s="63"/>
      <c r="O119" s="63"/>
      <c r="P119" s="63">
        <f>3/30</f>
        <v>0.1</v>
      </c>
      <c r="Q119" s="63">
        <f>16/30</f>
        <v>0.533333333333333</v>
      </c>
      <c r="R119" s="63"/>
      <c r="S119" s="63"/>
      <c r="T119" s="67">
        <v>2.4</v>
      </c>
      <c r="U119" s="67">
        <v>0</v>
      </c>
      <c r="V119" s="67"/>
      <c r="W119" s="67"/>
      <c r="X119" s="66">
        <v>-2.28</v>
      </c>
      <c r="Y119" s="13">
        <v>0.46</v>
      </c>
      <c r="Z119" s="13">
        <v>-2.64</v>
      </c>
      <c r="AA119" s="13">
        <v>0.8</v>
      </c>
      <c r="AB119" s="14">
        <v>1</v>
      </c>
      <c r="AC119" s="14">
        <v>3569</v>
      </c>
      <c r="AD119" s="13" t="s">
        <v>153</v>
      </c>
      <c r="AF119" s="14">
        <v>801</v>
      </c>
      <c r="AG119" s="13" t="s">
        <v>116</v>
      </c>
      <c r="AH119" s="13" t="s">
        <v>324</v>
      </c>
      <c r="AK119" s="14">
        <v>0</v>
      </c>
      <c r="AV119" s="14" t="s">
        <v>286</v>
      </c>
      <c r="AW119" s="14" t="s">
        <v>286</v>
      </c>
      <c r="AY119" s="14">
        <v>4398</v>
      </c>
      <c r="AZ119" s="13" t="s">
        <v>153</v>
      </c>
    </row>
    <row r="120" s="14" customFormat="1" spans="1:52">
      <c r="A120" s="14">
        <v>115</v>
      </c>
      <c r="B120" s="59" t="s">
        <v>422</v>
      </c>
      <c r="C120" s="14" t="s">
        <v>423</v>
      </c>
      <c r="D120" s="14">
        <v>1</v>
      </c>
      <c r="E120" s="14">
        <v>1</v>
      </c>
      <c r="F120" s="14">
        <v>1</v>
      </c>
      <c r="G120" s="14">
        <v>1.9</v>
      </c>
      <c r="H120" s="14">
        <v>2.5</v>
      </c>
      <c r="I120" s="14">
        <v>0.4</v>
      </c>
      <c r="J120" s="14" t="s">
        <v>115</v>
      </c>
      <c r="L120" s="63">
        <f>2/30</f>
        <v>0.0666666666666667</v>
      </c>
      <c r="M120" s="63">
        <f>14/30</f>
        <v>0.466666666666667</v>
      </c>
      <c r="N120" s="63"/>
      <c r="O120" s="63"/>
      <c r="P120" s="63">
        <f>3/30</f>
        <v>0.1</v>
      </c>
      <c r="Q120" s="63">
        <f>15/30</f>
        <v>0.5</v>
      </c>
      <c r="R120" s="63"/>
      <c r="S120" s="63"/>
      <c r="T120" s="67">
        <v>2.4</v>
      </c>
      <c r="U120" s="67">
        <v>0</v>
      </c>
      <c r="V120" s="67"/>
      <c r="W120" s="67"/>
      <c r="X120" s="13">
        <v>-2.14</v>
      </c>
      <c r="Y120" s="13">
        <v>0.89</v>
      </c>
      <c r="Z120" s="13">
        <v>-2.92</v>
      </c>
      <c r="AA120" s="13">
        <v>0.8</v>
      </c>
      <c r="AB120" s="14">
        <v>1</v>
      </c>
      <c r="AC120" s="14">
        <v>3650</v>
      </c>
      <c r="AD120" s="13" t="s">
        <v>153</v>
      </c>
      <c r="AF120" s="14">
        <v>801</v>
      </c>
      <c r="AG120" s="13" t="s">
        <v>116</v>
      </c>
      <c r="AH120" s="13" t="s">
        <v>200</v>
      </c>
      <c r="AK120" s="14">
        <v>0</v>
      </c>
      <c r="AV120" s="14" t="s">
        <v>122</v>
      </c>
      <c r="AW120" s="14" t="s">
        <v>122</v>
      </c>
      <c r="AY120" s="14">
        <v>3650</v>
      </c>
      <c r="AZ120" s="13" t="s">
        <v>153</v>
      </c>
    </row>
    <row r="121" s="14" customFormat="1" spans="1:52">
      <c r="A121" s="14">
        <v>116</v>
      </c>
      <c r="B121" s="59" t="s">
        <v>424</v>
      </c>
      <c r="C121" s="14" t="s">
        <v>425</v>
      </c>
      <c r="D121" s="14">
        <v>1</v>
      </c>
      <c r="E121" s="14">
        <v>1</v>
      </c>
      <c r="F121" s="14">
        <v>1</v>
      </c>
      <c r="G121" s="14">
        <v>2.2</v>
      </c>
      <c r="H121" s="14">
        <v>2.5</v>
      </c>
      <c r="I121" s="14">
        <v>0.45</v>
      </c>
      <c r="J121" s="14" t="s">
        <v>115</v>
      </c>
      <c r="L121" s="63">
        <f>6/30</f>
        <v>0.2</v>
      </c>
      <c r="M121" s="63">
        <f>17/30</f>
        <v>0.566666666666667</v>
      </c>
      <c r="N121" s="63"/>
      <c r="O121" s="63"/>
      <c r="P121" s="63">
        <f>4/30</f>
        <v>0.133333333333333</v>
      </c>
      <c r="Q121" s="63">
        <f>16/30</f>
        <v>0.533333333333333</v>
      </c>
      <c r="R121" s="63"/>
      <c r="S121" s="63"/>
      <c r="T121" s="67">
        <v>2.4</v>
      </c>
      <c r="U121" s="67">
        <v>0</v>
      </c>
      <c r="V121" s="67"/>
      <c r="W121" s="67"/>
      <c r="X121" s="13">
        <v>-2.04</v>
      </c>
      <c r="Y121" s="13">
        <v>0.98</v>
      </c>
      <c r="Z121" s="13">
        <v>-2.92</v>
      </c>
      <c r="AA121" s="13">
        <v>0.8</v>
      </c>
      <c r="AB121" s="14">
        <v>1</v>
      </c>
      <c r="AC121" s="14">
        <v>3699</v>
      </c>
      <c r="AD121" s="13" t="s">
        <v>153</v>
      </c>
      <c r="AF121" s="14">
        <v>801</v>
      </c>
      <c r="AG121" s="13" t="s">
        <v>116</v>
      </c>
      <c r="AH121" s="13" t="s">
        <v>200</v>
      </c>
      <c r="AK121" s="14">
        <v>0</v>
      </c>
      <c r="AY121" s="14">
        <v>3699</v>
      </c>
      <c r="AZ121" s="13" t="s">
        <v>153</v>
      </c>
    </row>
    <row r="122" s="14" customFormat="1" spans="1:52">
      <c r="A122" s="14">
        <v>117</v>
      </c>
      <c r="B122" s="59" t="s">
        <v>426</v>
      </c>
      <c r="C122" s="14" t="s">
        <v>427</v>
      </c>
      <c r="D122" s="14">
        <v>1</v>
      </c>
      <c r="E122" s="14">
        <v>1</v>
      </c>
      <c r="F122" s="14">
        <v>1</v>
      </c>
      <c r="G122" s="14">
        <v>2.4</v>
      </c>
      <c r="H122" s="14">
        <v>2.7</v>
      </c>
      <c r="I122" s="14">
        <v>0.4</v>
      </c>
      <c r="J122" s="14" t="s">
        <v>115</v>
      </c>
      <c r="L122" s="63">
        <f>4/30</f>
        <v>0.133333333333333</v>
      </c>
      <c r="M122" s="63">
        <f>14/30</f>
        <v>0.466666666666667</v>
      </c>
      <c r="N122" s="63"/>
      <c r="O122" s="63"/>
      <c r="P122" s="63">
        <f>2/30</f>
        <v>0.0666666666666667</v>
      </c>
      <c r="Q122" s="63">
        <f>13/30</f>
        <v>0.433333333333333</v>
      </c>
      <c r="R122" s="63"/>
      <c r="S122" s="63"/>
      <c r="T122" s="67">
        <v>2.4</v>
      </c>
      <c r="U122" s="67">
        <v>0</v>
      </c>
      <c r="V122" s="67"/>
      <c r="W122" s="67"/>
      <c r="X122" s="13"/>
      <c r="Y122" s="13"/>
      <c r="Z122" s="13"/>
      <c r="AA122" s="13"/>
      <c r="AB122" s="14">
        <v>1</v>
      </c>
      <c r="AC122" s="14">
        <v>3724</v>
      </c>
      <c r="AD122" s="13" t="s">
        <v>153</v>
      </c>
      <c r="AF122" s="14">
        <v>801</v>
      </c>
      <c r="AG122" s="13" t="s">
        <v>116</v>
      </c>
      <c r="AH122" s="13" t="s">
        <v>200</v>
      </c>
      <c r="AK122" s="14">
        <v>0</v>
      </c>
      <c r="AV122" s="14" t="s">
        <v>320</v>
      </c>
      <c r="AW122" s="14" t="s">
        <v>321</v>
      </c>
      <c r="AY122" s="14">
        <v>3724</v>
      </c>
      <c r="AZ122" s="13" t="s">
        <v>153</v>
      </c>
    </row>
    <row r="123" s="15" customFormat="1" spans="1:50">
      <c r="A123" s="15">
        <v>118</v>
      </c>
      <c r="B123" s="60" t="s">
        <v>428</v>
      </c>
      <c r="C123" s="15" t="s">
        <v>429</v>
      </c>
      <c r="D123" s="15">
        <v>1</v>
      </c>
      <c r="E123" s="15">
        <v>1</v>
      </c>
      <c r="F123" s="15">
        <v>1</v>
      </c>
      <c r="G123" s="15">
        <v>2.4</v>
      </c>
      <c r="H123" s="15">
        <v>3.5</v>
      </c>
      <c r="I123" s="15">
        <v>1</v>
      </c>
      <c r="J123" s="15" t="s">
        <v>115</v>
      </c>
      <c r="L123" s="64">
        <v>0.1</v>
      </c>
      <c r="M123" s="64">
        <v>0.5</v>
      </c>
      <c r="N123" s="64"/>
      <c r="O123" s="64"/>
      <c r="P123" s="64">
        <v>0.1</v>
      </c>
      <c r="Q123" s="64">
        <v>0.5</v>
      </c>
      <c r="R123" s="64"/>
      <c r="S123" s="64"/>
      <c r="T123" s="68">
        <v>2.4</v>
      </c>
      <c r="U123" s="68">
        <v>0</v>
      </c>
      <c r="V123" s="68"/>
      <c r="W123" s="68"/>
      <c r="AK123" s="15">
        <v>0</v>
      </c>
      <c r="AX123" s="289" t="s">
        <v>430</v>
      </c>
    </row>
    <row r="124" s="14" customFormat="1" spans="1:52">
      <c r="A124" s="14">
        <v>119</v>
      </c>
      <c r="B124" s="59" t="s">
        <v>431</v>
      </c>
      <c r="C124" s="14" t="s">
        <v>432</v>
      </c>
      <c r="D124" s="14">
        <v>1</v>
      </c>
      <c r="E124" s="14">
        <v>1</v>
      </c>
      <c r="F124" s="14">
        <v>0.96</v>
      </c>
      <c r="G124" s="14">
        <v>4.1</v>
      </c>
      <c r="H124" s="14">
        <v>5</v>
      </c>
      <c r="I124" s="14">
        <v>0.7</v>
      </c>
      <c r="J124" s="14" t="s">
        <v>115</v>
      </c>
      <c r="L124" s="63">
        <f>4/30</f>
        <v>0.133333333333333</v>
      </c>
      <c r="M124" s="63">
        <f>15/30</f>
        <v>0.5</v>
      </c>
      <c r="N124" s="63"/>
      <c r="O124" s="63"/>
      <c r="P124" s="63">
        <f>4/30</f>
        <v>0.133333333333333</v>
      </c>
      <c r="Q124" s="63">
        <f>13/30</f>
        <v>0.433333333333333</v>
      </c>
      <c r="R124" s="63"/>
      <c r="S124" s="63"/>
      <c r="T124" s="67">
        <v>2.4</v>
      </c>
      <c r="U124" s="67">
        <v>0</v>
      </c>
      <c r="V124" s="67"/>
      <c r="W124" s="67"/>
      <c r="X124" s="13"/>
      <c r="Y124" s="13"/>
      <c r="Z124" s="13"/>
      <c r="AA124" s="13"/>
      <c r="AB124" s="14">
        <v>1</v>
      </c>
      <c r="AC124" s="14">
        <v>3854</v>
      </c>
      <c r="AD124" s="13" t="s">
        <v>153</v>
      </c>
      <c r="AF124" s="14">
        <v>801</v>
      </c>
      <c r="AG124" s="13" t="s">
        <v>116</v>
      </c>
      <c r="AH124" s="13" t="s">
        <v>200</v>
      </c>
      <c r="AK124" s="14">
        <v>0</v>
      </c>
      <c r="AV124" s="14" t="s">
        <v>433</v>
      </c>
      <c r="AW124" s="14" t="s">
        <v>434</v>
      </c>
      <c r="AY124" s="14">
        <v>3854</v>
      </c>
      <c r="AZ124" s="13" t="s">
        <v>153</v>
      </c>
    </row>
    <row r="125" s="14" customFormat="1" spans="1:52">
      <c r="A125" s="14">
        <v>120</v>
      </c>
      <c r="B125" s="59" t="s">
        <v>435</v>
      </c>
      <c r="C125" s="14" t="s">
        <v>436</v>
      </c>
      <c r="D125" s="14">
        <v>1</v>
      </c>
      <c r="E125" s="14">
        <v>1</v>
      </c>
      <c r="F125" s="14">
        <v>1</v>
      </c>
      <c r="G125" s="14">
        <v>2.2</v>
      </c>
      <c r="H125" s="14">
        <v>2.5</v>
      </c>
      <c r="I125" s="14">
        <v>0.7</v>
      </c>
      <c r="J125" s="14" t="s">
        <v>115</v>
      </c>
      <c r="L125" s="63">
        <v>0.0666666666666667</v>
      </c>
      <c r="M125" s="63">
        <v>0.533333333333333</v>
      </c>
      <c r="N125" s="63"/>
      <c r="O125" s="63"/>
      <c r="P125" s="63">
        <v>0.1</v>
      </c>
      <c r="Q125" s="63">
        <v>0.466666666666667</v>
      </c>
      <c r="R125" s="63"/>
      <c r="S125" s="63"/>
      <c r="T125" s="67">
        <v>2.4</v>
      </c>
      <c r="U125" s="67">
        <v>0</v>
      </c>
      <c r="V125" s="67"/>
      <c r="W125" s="67"/>
      <c r="X125" s="13">
        <v>-2.13</v>
      </c>
      <c r="Y125" s="13">
        <v>0.9</v>
      </c>
      <c r="Z125" s="13">
        <v>-2.9</v>
      </c>
      <c r="AA125" s="13">
        <v>0.8</v>
      </c>
      <c r="AB125" s="14">
        <v>1</v>
      </c>
      <c r="AC125" s="14">
        <v>3774</v>
      </c>
      <c r="AD125" s="13" t="s">
        <v>153</v>
      </c>
      <c r="AF125" s="14">
        <v>801</v>
      </c>
      <c r="AG125" s="13" t="s">
        <v>116</v>
      </c>
      <c r="AH125" s="13" t="s">
        <v>200</v>
      </c>
      <c r="AK125" s="14">
        <v>0</v>
      </c>
      <c r="AV125" s="14" t="s">
        <v>289</v>
      </c>
      <c r="AW125" s="14" t="s">
        <v>290</v>
      </c>
      <c r="AY125" s="14">
        <v>3774</v>
      </c>
      <c r="AZ125" s="13" t="s">
        <v>153</v>
      </c>
    </row>
    <row r="126" s="14" customFormat="1" spans="1:52">
      <c r="A126" s="14">
        <v>121</v>
      </c>
      <c r="B126" s="59" t="s">
        <v>437</v>
      </c>
      <c r="C126" s="14" t="s">
        <v>438</v>
      </c>
      <c r="D126" s="14">
        <v>1</v>
      </c>
      <c r="E126" s="14">
        <v>1</v>
      </c>
      <c r="F126" s="14">
        <v>1</v>
      </c>
      <c r="G126" s="14">
        <v>3.2</v>
      </c>
      <c r="H126" s="14">
        <v>4</v>
      </c>
      <c r="I126" s="14">
        <v>0.7</v>
      </c>
      <c r="J126" s="14" t="s">
        <v>115</v>
      </c>
      <c r="L126" s="63">
        <f>3/30</f>
        <v>0.1</v>
      </c>
      <c r="M126" s="63">
        <f>12/30</f>
        <v>0.4</v>
      </c>
      <c r="N126" s="63"/>
      <c r="O126" s="63"/>
      <c r="P126" s="63">
        <f t="shared" ref="P126:P131" si="14">4/30</f>
        <v>0.133333333333333</v>
      </c>
      <c r="Q126" s="63">
        <f>15/30</f>
        <v>0.5</v>
      </c>
      <c r="R126" s="63"/>
      <c r="S126" s="63"/>
      <c r="T126" s="67">
        <v>2.4</v>
      </c>
      <c r="U126" s="67">
        <v>0</v>
      </c>
      <c r="V126" s="67"/>
      <c r="W126" s="67"/>
      <c r="X126" s="14">
        <v>-1.68</v>
      </c>
      <c r="Y126" s="14">
        <v>0.72</v>
      </c>
      <c r="Z126" s="14">
        <v>-3.42</v>
      </c>
      <c r="AA126" s="14">
        <v>0.5</v>
      </c>
      <c r="AB126" s="14">
        <v>1</v>
      </c>
      <c r="AC126" s="14">
        <v>3923</v>
      </c>
      <c r="AD126" s="13" t="s">
        <v>153</v>
      </c>
      <c r="AF126" s="14">
        <v>801</v>
      </c>
      <c r="AG126" s="13" t="s">
        <v>116</v>
      </c>
      <c r="AH126" s="13" t="s">
        <v>324</v>
      </c>
      <c r="AK126" s="14">
        <v>0</v>
      </c>
      <c r="AV126" s="14" t="s">
        <v>439</v>
      </c>
      <c r="AW126" s="14" t="s">
        <v>440</v>
      </c>
      <c r="AY126" s="14">
        <v>3923</v>
      </c>
      <c r="AZ126" s="13" t="s">
        <v>153</v>
      </c>
    </row>
    <row r="127" s="14" customFormat="1" spans="1:52">
      <c r="A127" s="14">
        <v>122</v>
      </c>
      <c r="B127" s="59" t="s">
        <v>441</v>
      </c>
      <c r="C127" s="14" t="s">
        <v>442</v>
      </c>
      <c r="D127" s="14">
        <v>1</v>
      </c>
      <c r="E127" s="14">
        <v>1</v>
      </c>
      <c r="F127" s="14">
        <v>1</v>
      </c>
      <c r="G127" s="14">
        <v>3.2</v>
      </c>
      <c r="H127" s="14">
        <v>3</v>
      </c>
      <c r="I127" s="14">
        <v>0.7</v>
      </c>
      <c r="J127" s="14" t="s">
        <v>115</v>
      </c>
      <c r="L127" s="63">
        <f>3/30</f>
        <v>0.1</v>
      </c>
      <c r="M127" s="63">
        <f>13/30</f>
        <v>0.433333333333333</v>
      </c>
      <c r="N127" s="63"/>
      <c r="O127" s="63"/>
      <c r="P127" s="63">
        <f t="shared" si="14"/>
        <v>0.133333333333333</v>
      </c>
      <c r="Q127" s="63">
        <f>14/30</f>
        <v>0.466666666666667</v>
      </c>
      <c r="R127" s="63"/>
      <c r="S127" s="63"/>
      <c r="T127" s="67">
        <v>2.4</v>
      </c>
      <c r="U127" s="67">
        <v>0</v>
      </c>
      <c r="V127" s="67"/>
      <c r="W127" s="67"/>
      <c r="X127" s="14">
        <v>-1.59</v>
      </c>
      <c r="Y127" s="14">
        <v>0.6</v>
      </c>
      <c r="Z127" s="14">
        <v>-3.67</v>
      </c>
      <c r="AA127" s="14">
        <v>0.5</v>
      </c>
      <c r="AB127" s="14">
        <v>1</v>
      </c>
      <c r="AC127" s="14">
        <v>3971</v>
      </c>
      <c r="AD127" s="13" t="s">
        <v>153</v>
      </c>
      <c r="AF127" s="14">
        <v>801</v>
      </c>
      <c r="AG127" s="13" t="s">
        <v>116</v>
      </c>
      <c r="AH127" s="13" t="s">
        <v>324</v>
      </c>
      <c r="AK127" s="14">
        <v>0</v>
      </c>
      <c r="AV127" s="74" t="s">
        <v>443</v>
      </c>
      <c r="AW127" s="14" t="s">
        <v>444</v>
      </c>
      <c r="AY127" s="14">
        <v>4793</v>
      </c>
      <c r="AZ127" s="13" t="s">
        <v>153</v>
      </c>
    </row>
    <row r="128" s="14" customFormat="1" spans="1:52">
      <c r="A128" s="14">
        <v>123</v>
      </c>
      <c r="B128" s="59" t="s">
        <v>445</v>
      </c>
      <c r="C128" s="14" t="s">
        <v>446</v>
      </c>
      <c r="D128" s="14">
        <v>1</v>
      </c>
      <c r="E128" s="14">
        <v>1</v>
      </c>
      <c r="F128" s="14">
        <v>1</v>
      </c>
      <c r="G128" s="14">
        <v>2.6</v>
      </c>
      <c r="H128" s="14">
        <v>3.3</v>
      </c>
      <c r="I128" s="14">
        <v>0.4</v>
      </c>
      <c r="J128" s="14" t="s">
        <v>115</v>
      </c>
      <c r="L128" s="63">
        <f>4/30</f>
        <v>0.133333333333333</v>
      </c>
      <c r="M128" s="63">
        <f>13/30</f>
        <v>0.433333333333333</v>
      </c>
      <c r="N128" s="63"/>
      <c r="O128" s="63"/>
      <c r="P128" s="63">
        <f t="shared" si="14"/>
        <v>0.133333333333333</v>
      </c>
      <c r="Q128" s="63">
        <f>16/30</f>
        <v>0.533333333333333</v>
      </c>
      <c r="R128" s="63"/>
      <c r="S128" s="63"/>
      <c r="T128" s="67">
        <v>2.4</v>
      </c>
      <c r="U128" s="67">
        <v>0</v>
      </c>
      <c r="V128" s="67"/>
      <c r="W128" s="67"/>
      <c r="X128" s="14">
        <v>-1.31</v>
      </c>
      <c r="Y128" s="14">
        <v>0.77</v>
      </c>
      <c r="Z128" s="14">
        <v>-3.86</v>
      </c>
      <c r="AA128" s="14">
        <v>0.6</v>
      </c>
      <c r="AB128" s="14">
        <v>1</v>
      </c>
      <c r="AC128" s="14">
        <v>4003</v>
      </c>
      <c r="AD128" s="13" t="s">
        <v>153</v>
      </c>
      <c r="AF128" s="14">
        <v>801</v>
      </c>
      <c r="AG128" s="13" t="s">
        <v>116</v>
      </c>
      <c r="AH128" s="13" t="s">
        <v>200</v>
      </c>
      <c r="AK128" s="14">
        <v>0</v>
      </c>
      <c r="AV128" s="74" t="s">
        <v>447</v>
      </c>
      <c r="AW128" s="14" t="s">
        <v>448</v>
      </c>
      <c r="AY128" s="14">
        <v>4003</v>
      </c>
      <c r="AZ128" s="13" t="s">
        <v>153</v>
      </c>
    </row>
    <row r="129" s="14" customFormat="1" spans="1:52">
      <c r="A129" s="14">
        <v>124</v>
      </c>
      <c r="B129" s="59" t="s">
        <v>449</v>
      </c>
      <c r="C129" s="14" t="s">
        <v>450</v>
      </c>
      <c r="D129" s="14">
        <v>1</v>
      </c>
      <c r="E129" s="14">
        <v>1</v>
      </c>
      <c r="F129" s="14">
        <v>1</v>
      </c>
      <c r="G129" s="14">
        <v>1.8</v>
      </c>
      <c r="H129" s="14">
        <v>2.5</v>
      </c>
      <c r="I129" s="14">
        <v>0.4</v>
      </c>
      <c r="J129" s="14" t="s">
        <v>115</v>
      </c>
      <c r="L129" s="63">
        <f>3/30</f>
        <v>0.1</v>
      </c>
      <c r="M129" s="63">
        <f>15/30</f>
        <v>0.5</v>
      </c>
      <c r="N129" s="63"/>
      <c r="O129" s="63"/>
      <c r="P129" s="63">
        <f t="shared" si="14"/>
        <v>0.133333333333333</v>
      </c>
      <c r="Q129" s="63">
        <f>17/30</f>
        <v>0.566666666666667</v>
      </c>
      <c r="R129" s="63"/>
      <c r="S129" s="63"/>
      <c r="T129" s="67">
        <v>2.4</v>
      </c>
      <c r="U129" s="67">
        <v>0</v>
      </c>
      <c r="V129" s="67"/>
      <c r="W129" s="67"/>
      <c r="X129" s="14">
        <v>-1.44</v>
      </c>
      <c r="Y129" s="14">
        <v>0.7</v>
      </c>
      <c r="Z129" s="14">
        <v>-4.07</v>
      </c>
      <c r="AA129" s="14">
        <v>0.8</v>
      </c>
      <c r="AB129" s="14">
        <v>1</v>
      </c>
      <c r="AC129" s="14">
        <v>4033</v>
      </c>
      <c r="AD129" s="13" t="s">
        <v>153</v>
      </c>
      <c r="AF129" s="14">
        <v>801</v>
      </c>
      <c r="AG129" s="13" t="s">
        <v>116</v>
      </c>
      <c r="AH129" s="13" t="s">
        <v>200</v>
      </c>
      <c r="AK129" s="14">
        <v>0</v>
      </c>
      <c r="AQ129" s="14">
        <v>8</v>
      </c>
      <c r="AR129" s="14">
        <v>2157</v>
      </c>
      <c r="AS129" s="14">
        <v>0</v>
      </c>
      <c r="AT129" s="14">
        <v>2161</v>
      </c>
      <c r="AU129" s="14">
        <v>0</v>
      </c>
      <c r="AV129" s="14" t="s">
        <v>451</v>
      </c>
      <c r="AW129" s="14" t="s">
        <v>452</v>
      </c>
      <c r="AY129" s="14">
        <v>4033</v>
      </c>
      <c r="AZ129" s="13" t="s">
        <v>153</v>
      </c>
    </row>
    <row r="130" s="14" customFormat="1" spans="1:52">
      <c r="A130" s="14">
        <v>125</v>
      </c>
      <c r="B130" s="59" t="s">
        <v>453</v>
      </c>
      <c r="C130" s="14" t="s">
        <v>454</v>
      </c>
      <c r="D130" s="14">
        <v>1</v>
      </c>
      <c r="E130" s="14">
        <v>1</v>
      </c>
      <c r="F130" s="14">
        <v>1</v>
      </c>
      <c r="G130" s="14">
        <v>1.8</v>
      </c>
      <c r="H130" s="14">
        <v>2.3</v>
      </c>
      <c r="I130" s="14">
        <v>0.4</v>
      </c>
      <c r="J130" s="14" t="s">
        <v>115</v>
      </c>
      <c r="L130" s="63">
        <f>3/30</f>
        <v>0.1</v>
      </c>
      <c r="M130" s="63">
        <f>16/30</f>
        <v>0.533333333333333</v>
      </c>
      <c r="N130" s="63"/>
      <c r="O130" s="63"/>
      <c r="P130" s="63">
        <f>5/30</f>
        <v>0.166666666666667</v>
      </c>
      <c r="Q130" s="63">
        <f>16/30</f>
        <v>0.533333333333333</v>
      </c>
      <c r="R130" s="63"/>
      <c r="S130" s="63"/>
      <c r="T130" s="67">
        <v>2.4</v>
      </c>
      <c r="U130" s="67">
        <v>0</v>
      </c>
      <c r="V130" s="67"/>
      <c r="W130" s="67"/>
      <c r="X130" s="14">
        <v>-1.442</v>
      </c>
      <c r="Y130" s="14">
        <v>0.893</v>
      </c>
      <c r="Z130" s="14">
        <v>-4.062</v>
      </c>
      <c r="AA130" s="14">
        <v>1</v>
      </c>
      <c r="AB130" s="14">
        <v>1</v>
      </c>
      <c r="AC130" s="14">
        <v>4066</v>
      </c>
      <c r="AD130" s="13" t="s">
        <v>153</v>
      </c>
      <c r="AF130" s="14">
        <v>801</v>
      </c>
      <c r="AG130" s="13" t="s">
        <v>116</v>
      </c>
      <c r="AH130" s="13" t="s">
        <v>200</v>
      </c>
      <c r="AK130" s="14">
        <v>0</v>
      </c>
      <c r="AV130" s="14" t="s">
        <v>455</v>
      </c>
      <c r="AW130" s="14" t="s">
        <v>456</v>
      </c>
      <c r="AY130" s="14">
        <v>4066</v>
      </c>
      <c r="AZ130" s="13" t="s">
        <v>153</v>
      </c>
    </row>
    <row r="131" s="14" customFormat="1" spans="1:52">
      <c r="A131" s="14">
        <v>126</v>
      </c>
      <c r="B131" s="59" t="s">
        <v>457</v>
      </c>
      <c r="C131" s="14" t="s">
        <v>458</v>
      </c>
      <c r="D131" s="14">
        <v>1</v>
      </c>
      <c r="E131" s="14">
        <v>1</v>
      </c>
      <c r="F131" s="14">
        <v>1</v>
      </c>
      <c r="G131" s="14">
        <v>3.5</v>
      </c>
      <c r="H131" s="14">
        <v>4.5</v>
      </c>
      <c r="I131" s="14">
        <v>0.5</v>
      </c>
      <c r="J131" s="14" t="s">
        <v>115</v>
      </c>
      <c r="L131" s="63">
        <f>4/30</f>
        <v>0.133333333333333</v>
      </c>
      <c r="M131" s="63">
        <f>14/30</f>
        <v>0.466666666666667</v>
      </c>
      <c r="N131" s="63"/>
      <c r="O131" s="63"/>
      <c r="P131" s="63">
        <f t="shared" si="14"/>
        <v>0.133333333333333</v>
      </c>
      <c r="Q131" s="63">
        <f>14/30</f>
        <v>0.466666666666667</v>
      </c>
      <c r="R131" s="63"/>
      <c r="S131" s="63"/>
      <c r="T131" s="67">
        <v>2.4</v>
      </c>
      <c r="U131" s="67">
        <v>0</v>
      </c>
      <c r="V131" s="67"/>
      <c r="W131" s="67"/>
      <c r="X131" s="14">
        <v>-1.587</v>
      </c>
      <c r="Y131" s="14">
        <v>1.395</v>
      </c>
      <c r="Z131" s="14">
        <v>-3.71</v>
      </c>
      <c r="AA131" s="14">
        <v>0.6</v>
      </c>
      <c r="AB131" s="14">
        <v>1</v>
      </c>
      <c r="AC131" s="14">
        <v>4083</v>
      </c>
      <c r="AD131" s="14" t="s">
        <v>153</v>
      </c>
      <c r="AF131" s="14">
        <v>801</v>
      </c>
      <c r="AG131" s="14" t="s">
        <v>116</v>
      </c>
      <c r="AH131" s="14" t="s">
        <v>324</v>
      </c>
      <c r="AK131" s="14">
        <v>0</v>
      </c>
      <c r="AV131" s="14" t="s">
        <v>459</v>
      </c>
      <c r="AW131" s="14" t="s">
        <v>460</v>
      </c>
      <c r="AY131" s="14">
        <v>4656</v>
      </c>
      <c r="AZ131" s="14" t="s">
        <v>153</v>
      </c>
    </row>
    <row r="132" s="14" customFormat="1" spans="1:52">
      <c r="A132" s="14">
        <v>127</v>
      </c>
      <c r="B132" s="59" t="s">
        <v>461</v>
      </c>
      <c r="C132" s="14" t="s">
        <v>462</v>
      </c>
      <c r="D132" s="14">
        <v>1</v>
      </c>
      <c r="E132" s="14">
        <v>1</v>
      </c>
      <c r="F132" s="14">
        <v>1</v>
      </c>
      <c r="G132" s="14">
        <v>1.8</v>
      </c>
      <c r="H132" s="14">
        <v>2.1</v>
      </c>
      <c r="I132" s="14">
        <v>0.4</v>
      </c>
      <c r="J132" s="14" t="s">
        <v>115</v>
      </c>
      <c r="L132" s="63">
        <f>3/30</f>
        <v>0.1</v>
      </c>
      <c r="M132" s="63">
        <f>16/30</f>
        <v>0.533333333333333</v>
      </c>
      <c r="N132" s="63"/>
      <c r="O132" s="63"/>
      <c r="P132" s="63">
        <v>0.1</v>
      </c>
      <c r="Q132" s="63">
        <v>0.5</v>
      </c>
      <c r="R132" s="63"/>
      <c r="S132" s="63"/>
      <c r="T132" s="67">
        <v>2.4</v>
      </c>
      <c r="U132" s="67">
        <v>0</v>
      </c>
      <c r="V132" s="67"/>
      <c r="W132" s="67"/>
      <c r="X132" s="14">
        <v>-2.09</v>
      </c>
      <c r="Y132" s="14">
        <v>0.87</v>
      </c>
      <c r="Z132" s="14">
        <v>-3.137</v>
      </c>
      <c r="AA132" s="14">
        <v>1</v>
      </c>
      <c r="AB132" s="14">
        <v>1</v>
      </c>
      <c r="AC132" s="14">
        <v>4100</v>
      </c>
      <c r="AD132" s="14" t="s">
        <v>153</v>
      </c>
      <c r="AF132" s="14">
        <v>801</v>
      </c>
      <c r="AG132" s="14" t="s">
        <v>116</v>
      </c>
      <c r="AH132" s="14" t="s">
        <v>200</v>
      </c>
      <c r="AK132" s="14">
        <v>0</v>
      </c>
      <c r="AV132" s="14" t="s">
        <v>463</v>
      </c>
      <c r="AW132" s="14" t="s">
        <v>464</v>
      </c>
      <c r="AY132" s="14">
        <v>4100</v>
      </c>
      <c r="AZ132" s="14" t="s">
        <v>153</v>
      </c>
    </row>
    <row r="133" s="14" customFormat="1" spans="1:52">
      <c r="A133" s="14">
        <v>128</v>
      </c>
      <c r="B133" s="14" t="s">
        <v>465</v>
      </c>
      <c r="C133" s="14" t="s">
        <v>466</v>
      </c>
      <c r="D133" s="14">
        <v>1</v>
      </c>
      <c r="E133" s="14">
        <v>1</v>
      </c>
      <c r="F133" s="14">
        <v>0.9</v>
      </c>
      <c r="G133" s="14">
        <v>2.4</v>
      </c>
      <c r="H133" s="14">
        <v>2.8</v>
      </c>
      <c r="I133" s="14">
        <v>0.7</v>
      </c>
      <c r="J133" s="14" t="s">
        <v>115</v>
      </c>
      <c r="L133" s="63">
        <f>4/30</f>
        <v>0.133333333333333</v>
      </c>
      <c r="M133" s="63">
        <f>15/30</f>
        <v>0.5</v>
      </c>
      <c r="N133" s="63"/>
      <c r="O133" s="63"/>
      <c r="P133" s="63">
        <f>6/30</f>
        <v>0.2</v>
      </c>
      <c r="Q133" s="63">
        <f>16/30</f>
        <v>0.533333333333333</v>
      </c>
      <c r="R133" s="63"/>
      <c r="S133" s="63"/>
      <c r="T133" s="14">
        <v>2.4</v>
      </c>
      <c r="U133" s="67">
        <v>0</v>
      </c>
      <c r="V133" s="67"/>
      <c r="W133" s="67"/>
      <c r="X133" s="67">
        <v>-2.075</v>
      </c>
      <c r="Y133" s="67">
        <v>0.918</v>
      </c>
      <c r="Z133" s="67">
        <v>-3.213</v>
      </c>
      <c r="AA133" s="67">
        <v>0.75</v>
      </c>
      <c r="AB133" s="67">
        <v>1</v>
      </c>
      <c r="AC133" s="14">
        <v>4130</v>
      </c>
      <c r="AD133" s="14" t="s">
        <v>153</v>
      </c>
      <c r="AF133" s="14">
        <v>801</v>
      </c>
      <c r="AG133" s="14" t="s">
        <v>116</v>
      </c>
      <c r="AH133" s="14" t="s">
        <v>200</v>
      </c>
      <c r="AK133" s="14">
        <v>0</v>
      </c>
      <c r="AV133" s="14" t="s">
        <v>467</v>
      </c>
      <c r="AW133" s="14" t="s">
        <v>468</v>
      </c>
      <c r="AY133" s="14">
        <v>4130</v>
      </c>
      <c r="AZ133" s="14" t="s">
        <v>153</v>
      </c>
    </row>
    <row r="134" s="14" customFormat="1" spans="1:52">
      <c r="A134" s="14">
        <v>129</v>
      </c>
      <c r="B134" s="14" t="s">
        <v>469</v>
      </c>
      <c r="C134" s="14" t="s">
        <v>470</v>
      </c>
      <c r="D134" s="14">
        <v>1</v>
      </c>
      <c r="E134" s="14">
        <v>1</v>
      </c>
      <c r="F134" s="14">
        <v>1</v>
      </c>
      <c r="G134" s="14">
        <v>2</v>
      </c>
      <c r="H134" s="14">
        <v>2.4</v>
      </c>
      <c r="I134" s="14">
        <v>0.7</v>
      </c>
      <c r="J134" s="14" t="s">
        <v>115</v>
      </c>
      <c r="L134" s="63">
        <f>6/30</f>
        <v>0.2</v>
      </c>
      <c r="M134" s="63">
        <f>16/30</f>
        <v>0.533333333333333</v>
      </c>
      <c r="N134" s="63"/>
      <c r="O134" s="63"/>
      <c r="P134" s="63">
        <f>4/30</f>
        <v>0.133333333333333</v>
      </c>
      <c r="Q134" s="63">
        <f t="shared" ref="Q134:Q137" si="15">15/30</f>
        <v>0.5</v>
      </c>
      <c r="R134" s="63"/>
      <c r="S134" s="63"/>
      <c r="T134" s="14">
        <v>2.4</v>
      </c>
      <c r="U134" s="67">
        <v>0</v>
      </c>
      <c r="V134" s="67"/>
      <c r="W134" s="67"/>
      <c r="X134" s="67">
        <v>-1.741</v>
      </c>
      <c r="Y134" s="67">
        <v>0.996</v>
      </c>
      <c r="Z134" s="67">
        <v>-3.48</v>
      </c>
      <c r="AA134" s="67">
        <v>0.9</v>
      </c>
      <c r="AB134" s="67" t="s">
        <v>193</v>
      </c>
      <c r="AC134" s="14" t="s">
        <v>471</v>
      </c>
      <c r="AD134" s="14" t="s">
        <v>472</v>
      </c>
      <c r="AF134" s="14">
        <v>801</v>
      </c>
      <c r="AG134" s="14" t="s">
        <v>116</v>
      </c>
      <c r="AH134" s="14" t="s">
        <v>200</v>
      </c>
      <c r="AK134" s="14">
        <v>0</v>
      </c>
      <c r="AV134" s="14" t="s">
        <v>473</v>
      </c>
      <c r="AW134" s="14" t="s">
        <v>474</v>
      </c>
      <c r="AY134" s="14" t="s">
        <v>471</v>
      </c>
      <c r="AZ134" s="14" t="s">
        <v>472</v>
      </c>
    </row>
    <row r="135" s="16" customFormat="1" spans="1:52">
      <c r="A135" s="16">
        <v>130</v>
      </c>
      <c r="B135" s="16" t="s">
        <v>475</v>
      </c>
      <c r="C135" s="16" t="s">
        <v>476</v>
      </c>
      <c r="D135" s="16">
        <v>1</v>
      </c>
      <c r="E135" s="16">
        <v>1</v>
      </c>
      <c r="F135" s="16">
        <v>1</v>
      </c>
      <c r="G135" s="16">
        <v>2</v>
      </c>
      <c r="H135" s="16">
        <v>2.4</v>
      </c>
      <c r="I135" s="16">
        <v>0.7</v>
      </c>
      <c r="J135" s="16" t="s">
        <v>115</v>
      </c>
      <c r="L135" s="87">
        <f>5/30</f>
        <v>0.166666666666667</v>
      </c>
      <c r="M135" s="87">
        <f>16/30</f>
        <v>0.533333333333333</v>
      </c>
      <c r="N135" s="87"/>
      <c r="O135" s="87"/>
      <c r="P135" s="87">
        <f>5/30</f>
        <v>0.166666666666667</v>
      </c>
      <c r="Q135" s="87">
        <f t="shared" si="15"/>
        <v>0.5</v>
      </c>
      <c r="R135" s="87"/>
      <c r="S135" s="87"/>
      <c r="T135" s="16">
        <v>2.4</v>
      </c>
      <c r="U135" s="75">
        <v>0</v>
      </c>
      <c r="V135" s="75"/>
      <c r="W135" s="75"/>
      <c r="X135" s="75">
        <v>-1.824</v>
      </c>
      <c r="Y135" s="75">
        <v>0.896</v>
      </c>
      <c r="Z135" s="75">
        <v>-3.542</v>
      </c>
      <c r="AA135" s="75">
        <v>0.9</v>
      </c>
      <c r="AB135" s="75">
        <v>1</v>
      </c>
      <c r="AC135" s="16">
        <v>4173</v>
      </c>
      <c r="AD135" s="16" t="s">
        <v>153</v>
      </c>
      <c r="AF135" s="16">
        <v>801</v>
      </c>
      <c r="AG135" s="16" t="s">
        <v>116</v>
      </c>
      <c r="AH135" s="16" t="s">
        <v>200</v>
      </c>
      <c r="AK135" s="16">
        <v>0</v>
      </c>
      <c r="AV135" s="16" t="s">
        <v>477</v>
      </c>
      <c r="AW135" s="16" t="s">
        <v>478</v>
      </c>
      <c r="AY135" s="16">
        <v>4173</v>
      </c>
      <c r="AZ135" s="16" t="s">
        <v>153</v>
      </c>
    </row>
    <row r="136" s="16" customFormat="1" spans="1:52">
      <c r="A136" s="16">
        <v>131</v>
      </c>
      <c r="B136" s="16" t="s">
        <v>479</v>
      </c>
      <c r="C136" s="16" t="s">
        <v>480</v>
      </c>
      <c r="D136" s="16">
        <v>1</v>
      </c>
      <c r="E136" s="16">
        <v>1</v>
      </c>
      <c r="F136" s="16">
        <v>1</v>
      </c>
      <c r="G136" s="16">
        <v>3.8</v>
      </c>
      <c r="H136" s="16">
        <v>4.12</v>
      </c>
      <c r="I136" s="16">
        <v>1.2</v>
      </c>
      <c r="J136" s="16" t="s">
        <v>115</v>
      </c>
      <c r="L136" s="87">
        <f>4/30</f>
        <v>0.133333333333333</v>
      </c>
      <c r="M136" s="87">
        <f>17/30</f>
        <v>0.566666666666667</v>
      </c>
      <c r="N136" s="87"/>
      <c r="O136" s="87"/>
      <c r="P136" s="87">
        <f>7/30</f>
        <v>0.233333333333333</v>
      </c>
      <c r="Q136" s="87">
        <f>19/30</f>
        <v>0.633333333333333</v>
      </c>
      <c r="R136" s="87"/>
      <c r="S136" s="87"/>
      <c r="T136" s="75">
        <v>2.4</v>
      </c>
      <c r="U136" s="75">
        <v>0</v>
      </c>
      <c r="V136" s="75"/>
      <c r="W136" s="75"/>
      <c r="X136" s="75"/>
      <c r="Y136" s="75"/>
      <c r="Z136" s="75"/>
      <c r="AA136" s="75"/>
      <c r="AB136" s="75" t="s">
        <v>193</v>
      </c>
      <c r="AC136" s="16" t="s">
        <v>481</v>
      </c>
      <c r="AD136" s="16" t="s">
        <v>482</v>
      </c>
      <c r="AF136" s="16">
        <v>801</v>
      </c>
      <c r="AG136" s="16" t="s">
        <v>116</v>
      </c>
      <c r="AH136" s="16" t="s">
        <v>324</v>
      </c>
      <c r="AK136" s="16">
        <v>0</v>
      </c>
      <c r="AV136" s="16" t="s">
        <v>483</v>
      </c>
      <c r="AW136" s="16" t="s">
        <v>484</v>
      </c>
      <c r="AY136" s="16" t="s">
        <v>481</v>
      </c>
      <c r="AZ136" s="16" t="s">
        <v>482</v>
      </c>
    </row>
    <row r="137" s="16" customFormat="1" spans="1:52">
      <c r="A137" s="75">
        <v>132</v>
      </c>
      <c r="B137" s="76" t="s">
        <v>485</v>
      </c>
      <c r="C137" s="16" t="s">
        <v>486</v>
      </c>
      <c r="D137" s="16">
        <v>1</v>
      </c>
      <c r="E137" s="16">
        <v>1</v>
      </c>
      <c r="F137" s="16">
        <v>1</v>
      </c>
      <c r="G137" s="16">
        <v>1.52</v>
      </c>
      <c r="H137" s="16">
        <v>2</v>
      </c>
      <c r="I137" s="16">
        <v>0.43</v>
      </c>
      <c r="J137" s="16" t="s">
        <v>115</v>
      </c>
      <c r="L137" s="16">
        <f>2/30</f>
        <v>0.0666666666666667</v>
      </c>
      <c r="M137" s="16">
        <f>15/30</f>
        <v>0.5</v>
      </c>
      <c r="P137" s="16">
        <f>2/30</f>
        <v>0.0666666666666667</v>
      </c>
      <c r="Q137" s="16">
        <f>16/30</f>
        <v>0.533333333333333</v>
      </c>
      <c r="T137" s="75">
        <v>2.4</v>
      </c>
      <c r="U137" s="75">
        <v>0</v>
      </c>
      <c r="V137" s="75"/>
      <c r="W137" s="75"/>
      <c r="X137" s="16">
        <v>-2.06</v>
      </c>
      <c r="Y137" s="16">
        <v>0.82</v>
      </c>
      <c r="Z137" s="16">
        <v>-3.29</v>
      </c>
      <c r="AA137" s="16">
        <v>1</v>
      </c>
      <c r="AB137" s="16">
        <v>1</v>
      </c>
      <c r="AC137" s="16">
        <v>4231</v>
      </c>
      <c r="AD137" s="16" t="s">
        <v>153</v>
      </c>
      <c r="AF137" s="16">
        <v>801</v>
      </c>
      <c r="AG137" s="16" t="s">
        <v>116</v>
      </c>
      <c r="AH137" s="16" t="s">
        <v>200</v>
      </c>
      <c r="AK137" s="16">
        <v>0</v>
      </c>
      <c r="AV137" s="16" t="s">
        <v>118</v>
      </c>
      <c r="AW137" s="16" t="s">
        <v>118</v>
      </c>
      <c r="AY137" s="16">
        <v>4231</v>
      </c>
      <c r="AZ137" s="16" t="s">
        <v>153</v>
      </c>
    </row>
    <row r="138" s="16" customFormat="1" spans="1:52">
      <c r="A138" s="75">
        <v>133</v>
      </c>
      <c r="B138" s="16" t="s">
        <v>487</v>
      </c>
      <c r="C138" s="16" t="s">
        <v>488</v>
      </c>
      <c r="D138" s="16">
        <v>1</v>
      </c>
      <c r="E138" s="16">
        <v>1</v>
      </c>
      <c r="F138" s="16">
        <v>1</v>
      </c>
      <c r="G138" s="16">
        <v>1.71</v>
      </c>
      <c r="H138" s="16">
        <v>2.15</v>
      </c>
      <c r="I138" s="16">
        <v>0.4</v>
      </c>
      <c r="J138" s="16" t="s">
        <v>115</v>
      </c>
      <c r="L138" s="16">
        <f t="shared" ref="L138:L143" si="16">3/30</f>
        <v>0.1</v>
      </c>
      <c r="M138" s="16">
        <f>14/30</f>
        <v>0.466666666666667</v>
      </c>
      <c r="N138" s="87"/>
      <c r="O138" s="87"/>
      <c r="P138" s="16">
        <f>4/30</f>
        <v>0.133333333333333</v>
      </c>
      <c r="Q138" s="16">
        <f>14/30</f>
        <v>0.466666666666667</v>
      </c>
      <c r="R138" s="87"/>
      <c r="S138" s="87"/>
      <c r="T138" s="75">
        <v>2.4</v>
      </c>
      <c r="U138" s="75">
        <v>0</v>
      </c>
      <c r="V138" s="75"/>
      <c r="W138" s="75"/>
      <c r="X138" s="16">
        <v>-1.81</v>
      </c>
      <c r="Y138" s="16">
        <v>0.98</v>
      </c>
      <c r="Z138" s="16">
        <v>-3.78</v>
      </c>
      <c r="AA138" s="16">
        <v>1</v>
      </c>
      <c r="AB138" s="16">
        <v>1</v>
      </c>
      <c r="AC138" s="16">
        <v>4253</v>
      </c>
      <c r="AD138" s="16" t="s">
        <v>153</v>
      </c>
      <c r="AF138" s="16">
        <v>801</v>
      </c>
      <c r="AG138" s="16" t="s">
        <v>116</v>
      </c>
      <c r="AH138" s="16" t="s">
        <v>200</v>
      </c>
      <c r="AK138" s="16">
        <v>0</v>
      </c>
      <c r="AV138" s="16" t="s">
        <v>122</v>
      </c>
      <c r="AW138" s="16" t="s">
        <v>122</v>
      </c>
      <c r="AY138" s="16">
        <v>4253</v>
      </c>
      <c r="AZ138" s="16" t="s">
        <v>153</v>
      </c>
    </row>
    <row r="139" s="16" customFormat="1" spans="1:52">
      <c r="A139" s="75">
        <v>134</v>
      </c>
      <c r="B139" s="76" t="s">
        <v>489</v>
      </c>
      <c r="C139" s="16" t="s">
        <v>490</v>
      </c>
      <c r="D139" s="16">
        <v>1</v>
      </c>
      <c r="E139" s="16">
        <v>1</v>
      </c>
      <c r="F139" s="16">
        <v>1</v>
      </c>
      <c r="G139" s="16">
        <v>1.68</v>
      </c>
      <c r="H139" s="16">
        <v>2.13</v>
      </c>
      <c r="I139" s="16">
        <v>0.33</v>
      </c>
      <c r="J139" s="16" t="s">
        <v>115</v>
      </c>
      <c r="L139" s="16">
        <f>5/30</f>
        <v>0.166666666666667</v>
      </c>
      <c r="M139" s="16">
        <f>16/30</f>
        <v>0.533333333333333</v>
      </c>
      <c r="P139" s="16">
        <f t="shared" ref="P139:P144" si="17">3/30</f>
        <v>0.1</v>
      </c>
      <c r="Q139" s="16">
        <f>14/30</f>
        <v>0.466666666666667</v>
      </c>
      <c r="T139" s="75">
        <v>2.4</v>
      </c>
      <c r="U139" s="75">
        <v>0</v>
      </c>
      <c r="V139" s="75"/>
      <c r="W139" s="75"/>
      <c r="X139" s="16">
        <v>-2.158</v>
      </c>
      <c r="Y139" s="16">
        <v>0.948</v>
      </c>
      <c r="Z139" s="16">
        <v>-3.005</v>
      </c>
      <c r="AA139" s="16">
        <v>1</v>
      </c>
      <c r="AB139" s="16" t="s">
        <v>193</v>
      </c>
      <c r="AC139" s="16" t="s">
        <v>491</v>
      </c>
      <c r="AD139" s="16" t="s">
        <v>492</v>
      </c>
      <c r="AF139" s="16">
        <v>801</v>
      </c>
      <c r="AG139" s="16" t="s">
        <v>116</v>
      </c>
      <c r="AH139" s="16" t="s">
        <v>200</v>
      </c>
      <c r="AK139" s="16">
        <v>0</v>
      </c>
      <c r="AQ139" s="16">
        <v>8</v>
      </c>
      <c r="AR139" s="16">
        <v>2234</v>
      </c>
      <c r="AS139" s="16">
        <v>0</v>
      </c>
      <c r="AT139" s="16">
        <v>2234</v>
      </c>
      <c r="AU139" s="16">
        <v>0</v>
      </c>
      <c r="AV139" s="16" t="s">
        <v>289</v>
      </c>
      <c r="AW139" s="16" t="s">
        <v>290</v>
      </c>
      <c r="AY139" s="16" t="s">
        <v>491</v>
      </c>
      <c r="AZ139" s="16" t="s">
        <v>492</v>
      </c>
    </row>
    <row r="140" s="16" customFormat="1" spans="1:52">
      <c r="A140" s="75">
        <v>135</v>
      </c>
      <c r="B140" s="16" t="s">
        <v>493</v>
      </c>
      <c r="C140" s="16" t="s">
        <v>494</v>
      </c>
      <c r="D140" s="16">
        <v>1</v>
      </c>
      <c r="E140" s="16">
        <v>1</v>
      </c>
      <c r="F140" s="16">
        <v>1</v>
      </c>
      <c r="G140" s="16">
        <v>1.63</v>
      </c>
      <c r="H140" s="16">
        <v>2.1</v>
      </c>
      <c r="I140" s="16">
        <v>0.4</v>
      </c>
      <c r="J140" s="16" t="s">
        <v>115</v>
      </c>
      <c r="L140" s="16">
        <f t="shared" si="16"/>
        <v>0.1</v>
      </c>
      <c r="M140" s="16">
        <f>16/30</f>
        <v>0.533333333333333</v>
      </c>
      <c r="N140" s="87"/>
      <c r="O140" s="87"/>
      <c r="P140" s="16">
        <f>4/30</f>
        <v>0.133333333333333</v>
      </c>
      <c r="Q140" s="16">
        <f>14/30</f>
        <v>0.466666666666667</v>
      </c>
      <c r="R140" s="87"/>
      <c r="S140" s="87"/>
      <c r="T140" s="75">
        <v>2.4</v>
      </c>
      <c r="U140" s="75">
        <v>0</v>
      </c>
      <c r="V140" s="75"/>
      <c r="W140" s="75"/>
      <c r="X140" s="16">
        <v>-1.898</v>
      </c>
      <c r="Y140" s="16">
        <v>0.864</v>
      </c>
      <c r="Z140" s="16">
        <v>-3.463</v>
      </c>
      <c r="AA140" s="16">
        <v>1</v>
      </c>
      <c r="AB140" s="16">
        <v>1</v>
      </c>
      <c r="AC140" s="16">
        <v>4315</v>
      </c>
      <c r="AD140" s="16" t="s">
        <v>153</v>
      </c>
      <c r="AF140" s="16">
        <v>801</v>
      </c>
      <c r="AG140" s="16" t="s">
        <v>116</v>
      </c>
      <c r="AH140" s="16" t="s">
        <v>200</v>
      </c>
      <c r="AK140" s="16">
        <v>0</v>
      </c>
      <c r="AV140" s="16" t="s">
        <v>122</v>
      </c>
      <c r="AW140" s="16" t="s">
        <v>122</v>
      </c>
      <c r="AY140" s="16">
        <v>4315</v>
      </c>
      <c r="AZ140" s="16" t="s">
        <v>153</v>
      </c>
    </row>
    <row r="141" s="16" customFormat="1" spans="1:52">
      <c r="A141" s="75">
        <v>136</v>
      </c>
      <c r="B141" s="16" t="s">
        <v>495</v>
      </c>
      <c r="C141" s="16" t="s">
        <v>496</v>
      </c>
      <c r="D141" s="16">
        <v>1</v>
      </c>
      <c r="E141" s="16">
        <v>1</v>
      </c>
      <c r="F141" s="16">
        <v>1</v>
      </c>
      <c r="G141" s="16">
        <v>0.85</v>
      </c>
      <c r="H141" s="16">
        <v>1.2</v>
      </c>
      <c r="I141" s="16">
        <v>0.35</v>
      </c>
      <c r="J141" s="16" t="s">
        <v>115</v>
      </c>
      <c r="L141" s="16">
        <v>0.166666666666667</v>
      </c>
      <c r="M141" s="16">
        <v>0.566666666666667</v>
      </c>
      <c r="N141" s="87"/>
      <c r="O141" s="87"/>
      <c r="P141" s="16">
        <v>0.166666666666667</v>
      </c>
      <c r="Q141" s="16">
        <v>0.466666666666667</v>
      </c>
      <c r="R141" s="87"/>
      <c r="S141" s="87"/>
      <c r="T141" s="75">
        <v>2.4</v>
      </c>
      <c r="U141" s="75">
        <v>0</v>
      </c>
      <c r="V141" s="75"/>
      <c r="W141" s="75"/>
      <c r="X141" s="16">
        <v>-2.238</v>
      </c>
      <c r="Y141" s="16">
        <v>-0.076</v>
      </c>
      <c r="Z141" s="16">
        <v>-2.994</v>
      </c>
      <c r="AA141" s="16">
        <v>1</v>
      </c>
      <c r="AB141" s="16">
        <v>1</v>
      </c>
      <c r="AC141" s="16">
        <v>4339</v>
      </c>
      <c r="AD141" s="16" t="s">
        <v>153</v>
      </c>
      <c r="AF141" s="16">
        <v>801</v>
      </c>
      <c r="AG141" s="16" t="s">
        <v>116</v>
      </c>
      <c r="AH141" s="16" t="s">
        <v>200</v>
      </c>
      <c r="AK141" s="16">
        <v>0</v>
      </c>
      <c r="AV141" s="16" t="s">
        <v>293</v>
      </c>
      <c r="AW141" s="16" t="s">
        <v>294</v>
      </c>
      <c r="AY141" s="16">
        <v>4339</v>
      </c>
      <c r="AZ141" s="16" t="s">
        <v>153</v>
      </c>
    </row>
    <row r="142" s="16" customFormat="1" spans="1:52">
      <c r="A142" s="75">
        <v>137</v>
      </c>
      <c r="B142" s="16" t="s">
        <v>497</v>
      </c>
      <c r="C142" s="16" t="s">
        <v>498</v>
      </c>
      <c r="D142" s="16">
        <v>1</v>
      </c>
      <c r="E142" s="16">
        <v>1</v>
      </c>
      <c r="F142" s="16">
        <v>1</v>
      </c>
      <c r="G142" s="16">
        <v>1.65</v>
      </c>
      <c r="H142" s="16">
        <v>2</v>
      </c>
      <c r="I142" s="16">
        <v>0.4</v>
      </c>
      <c r="J142" s="16" t="s">
        <v>115</v>
      </c>
      <c r="L142" s="16">
        <f t="shared" si="16"/>
        <v>0.1</v>
      </c>
      <c r="M142" s="16">
        <f>16/30</f>
        <v>0.533333333333333</v>
      </c>
      <c r="N142" s="87"/>
      <c r="O142" s="87"/>
      <c r="P142" s="16">
        <f t="shared" si="17"/>
        <v>0.1</v>
      </c>
      <c r="Q142" s="16">
        <f>15/30</f>
        <v>0.5</v>
      </c>
      <c r="R142" s="87"/>
      <c r="S142" s="87"/>
      <c r="T142" s="75">
        <v>2.4</v>
      </c>
      <c r="U142" s="75">
        <v>0</v>
      </c>
      <c r="V142" s="75"/>
      <c r="W142" s="75"/>
      <c r="X142" s="16">
        <v>-2.05</v>
      </c>
      <c r="Y142" s="16">
        <v>0.88</v>
      </c>
      <c r="Z142" s="16">
        <v>-3.27</v>
      </c>
      <c r="AA142" s="16">
        <v>1</v>
      </c>
      <c r="AB142" s="16">
        <v>1</v>
      </c>
      <c r="AC142" s="16">
        <v>4367</v>
      </c>
      <c r="AD142" s="16" t="s">
        <v>153</v>
      </c>
      <c r="AF142" s="16">
        <v>801</v>
      </c>
      <c r="AG142" s="16" t="s">
        <v>116</v>
      </c>
      <c r="AH142" s="16" t="s">
        <v>200</v>
      </c>
      <c r="AK142" s="16">
        <v>0</v>
      </c>
      <c r="AY142" s="16">
        <v>4367</v>
      </c>
      <c r="AZ142" s="16" t="s">
        <v>153</v>
      </c>
    </row>
    <row r="143" s="16" customFormat="1" spans="1:52">
      <c r="A143" s="75">
        <v>138</v>
      </c>
      <c r="B143" s="76" t="s">
        <v>499</v>
      </c>
      <c r="C143" s="16" t="s">
        <v>500</v>
      </c>
      <c r="D143" s="16">
        <v>1</v>
      </c>
      <c r="E143" s="16">
        <v>1</v>
      </c>
      <c r="F143" s="16">
        <v>1</v>
      </c>
      <c r="G143" s="16">
        <v>1.63</v>
      </c>
      <c r="H143" s="16">
        <v>2.1</v>
      </c>
      <c r="I143" s="16">
        <v>0.37</v>
      </c>
      <c r="J143" s="16" t="s">
        <v>115</v>
      </c>
      <c r="L143" s="16">
        <f>4/30</f>
        <v>0.133333333333333</v>
      </c>
      <c r="M143" s="16">
        <f>16/30</f>
        <v>0.533333333333333</v>
      </c>
      <c r="P143" s="16">
        <f t="shared" ref="P143:P147" si="18">6/30</f>
        <v>0.2</v>
      </c>
      <c r="Q143" s="16">
        <f>15/30</f>
        <v>0.5</v>
      </c>
      <c r="T143" s="75">
        <v>2.4</v>
      </c>
      <c r="U143" s="75">
        <v>0</v>
      </c>
      <c r="V143" s="75"/>
      <c r="W143" s="75"/>
      <c r="X143" s="16">
        <v>-2.077</v>
      </c>
      <c r="Y143" s="16">
        <v>0.897</v>
      </c>
      <c r="Z143" s="16">
        <v>-3.08</v>
      </c>
      <c r="AA143" s="16">
        <v>1</v>
      </c>
      <c r="AB143" s="16">
        <v>1</v>
      </c>
      <c r="AC143" s="16">
        <v>4391</v>
      </c>
      <c r="AD143" s="16" t="s">
        <v>153</v>
      </c>
      <c r="AF143" s="16">
        <v>801</v>
      </c>
      <c r="AG143" s="16" t="s">
        <v>116</v>
      </c>
      <c r="AH143" s="16" t="s">
        <v>200</v>
      </c>
      <c r="AK143" s="16">
        <v>0</v>
      </c>
      <c r="AV143" s="16" t="s">
        <v>286</v>
      </c>
      <c r="AW143" s="16" t="s">
        <v>286</v>
      </c>
      <c r="AY143" s="16">
        <v>4391</v>
      </c>
      <c r="AZ143" s="16" t="s">
        <v>153</v>
      </c>
    </row>
    <row r="144" s="16" customFormat="1" spans="1:52">
      <c r="A144" s="16">
        <v>139</v>
      </c>
      <c r="B144" s="16" t="s">
        <v>501</v>
      </c>
      <c r="C144" s="16" t="s">
        <v>502</v>
      </c>
      <c r="D144" s="16">
        <v>1</v>
      </c>
      <c r="E144" s="16">
        <v>1</v>
      </c>
      <c r="F144" s="16">
        <v>1</v>
      </c>
      <c r="G144" s="16">
        <v>2.15</v>
      </c>
      <c r="H144" s="16">
        <v>2.55</v>
      </c>
      <c r="I144" s="16">
        <v>0.45</v>
      </c>
      <c r="J144" s="16" t="s">
        <v>115</v>
      </c>
      <c r="L144" s="87">
        <f>3/30</f>
        <v>0.1</v>
      </c>
      <c r="M144" s="87">
        <f>16/30</f>
        <v>0.533333333333333</v>
      </c>
      <c r="N144" s="87"/>
      <c r="O144" s="87"/>
      <c r="P144" s="87">
        <f t="shared" si="17"/>
        <v>0.1</v>
      </c>
      <c r="Q144" s="87">
        <f>16/30</f>
        <v>0.533333333333333</v>
      </c>
      <c r="R144" s="87"/>
      <c r="S144" s="87"/>
      <c r="T144" s="75">
        <v>2.4</v>
      </c>
      <c r="U144" s="75">
        <v>0</v>
      </c>
      <c r="V144" s="75"/>
      <c r="W144" s="75"/>
      <c r="X144" s="16">
        <v>-1.639</v>
      </c>
      <c r="Y144" s="16">
        <v>1.001</v>
      </c>
      <c r="Z144" s="16">
        <v>-3.576</v>
      </c>
      <c r="AA144" s="16">
        <v>0.85</v>
      </c>
      <c r="AB144" s="16">
        <v>1</v>
      </c>
      <c r="AC144" s="16">
        <v>4416</v>
      </c>
      <c r="AD144" s="16" t="s">
        <v>153</v>
      </c>
      <c r="AF144" s="16">
        <v>801</v>
      </c>
      <c r="AG144" s="16" t="s">
        <v>116</v>
      </c>
      <c r="AH144" s="16" t="s">
        <v>200</v>
      </c>
      <c r="AK144" s="16">
        <v>0</v>
      </c>
      <c r="AY144" s="16">
        <v>4416</v>
      </c>
      <c r="AZ144" s="16" t="s">
        <v>153</v>
      </c>
    </row>
    <row r="145" s="16" customFormat="1" spans="1:52">
      <c r="A145" s="16">
        <v>140</v>
      </c>
      <c r="B145" s="16" t="s">
        <v>503</v>
      </c>
      <c r="C145" s="16" t="s">
        <v>504</v>
      </c>
      <c r="D145" s="16">
        <v>1</v>
      </c>
      <c r="E145" s="16">
        <v>1</v>
      </c>
      <c r="F145" s="16">
        <v>1</v>
      </c>
      <c r="G145" s="16">
        <v>2.4</v>
      </c>
      <c r="H145" s="16">
        <v>2.8</v>
      </c>
      <c r="I145" s="16">
        <v>0.32</v>
      </c>
      <c r="J145" s="16" t="s">
        <v>115</v>
      </c>
      <c r="L145" s="16">
        <f>6/30</f>
        <v>0.2</v>
      </c>
      <c r="M145" s="16">
        <f>19/30</f>
        <v>0.633333333333333</v>
      </c>
      <c r="N145" s="87"/>
      <c r="O145" s="87"/>
      <c r="P145" s="16">
        <f t="shared" si="18"/>
        <v>0.2</v>
      </c>
      <c r="Q145" s="16">
        <f>19/30</f>
        <v>0.633333333333333</v>
      </c>
      <c r="R145" s="87"/>
      <c r="S145" s="87"/>
      <c r="T145" s="75">
        <v>2.4</v>
      </c>
      <c r="U145" s="75">
        <v>0</v>
      </c>
      <c r="V145" s="75"/>
      <c r="W145" s="75"/>
      <c r="X145" s="16">
        <v>-1.835</v>
      </c>
      <c r="Y145" s="16">
        <v>1.124</v>
      </c>
      <c r="Z145" s="16">
        <v>-3.612</v>
      </c>
      <c r="AA145" s="16">
        <v>0.9</v>
      </c>
      <c r="AB145" s="75">
        <v>1</v>
      </c>
      <c r="AC145" s="16">
        <v>4561</v>
      </c>
      <c r="AD145" s="16" t="s">
        <v>153</v>
      </c>
      <c r="AF145" s="16">
        <v>801</v>
      </c>
      <c r="AG145" s="16" t="s">
        <v>116</v>
      </c>
      <c r="AH145" s="16" t="s">
        <v>200</v>
      </c>
      <c r="AK145" s="16">
        <v>0</v>
      </c>
      <c r="AV145" s="16" t="s">
        <v>122</v>
      </c>
      <c r="AW145" s="16" t="s">
        <v>118</v>
      </c>
      <c r="AY145" s="16">
        <v>4561</v>
      </c>
      <c r="AZ145" s="16" t="s">
        <v>153</v>
      </c>
    </row>
    <row r="146" s="16" customFormat="1" spans="1:52">
      <c r="A146" s="16">
        <v>141</v>
      </c>
      <c r="B146" s="16" t="s">
        <v>505</v>
      </c>
      <c r="C146" s="16" t="s">
        <v>506</v>
      </c>
      <c r="D146" s="16">
        <v>1</v>
      </c>
      <c r="E146" s="16">
        <v>1</v>
      </c>
      <c r="F146" s="16">
        <v>0.68</v>
      </c>
      <c r="G146" s="16">
        <v>2.75</v>
      </c>
      <c r="H146" s="16">
        <v>2.95</v>
      </c>
      <c r="I146" s="16">
        <v>0.55</v>
      </c>
      <c r="J146" s="16" t="s">
        <v>115</v>
      </c>
      <c r="L146" s="87">
        <f>5/30</f>
        <v>0.166666666666667</v>
      </c>
      <c r="M146" s="87">
        <f>18/30</f>
        <v>0.6</v>
      </c>
      <c r="N146" s="87"/>
      <c r="O146" s="87"/>
      <c r="P146" s="87">
        <f t="shared" ref="P146:P154" si="19">4/30</f>
        <v>0.133333333333333</v>
      </c>
      <c r="Q146" s="87">
        <f>18/30</f>
        <v>0.6</v>
      </c>
      <c r="R146" s="87"/>
      <c r="S146" s="87"/>
      <c r="T146" s="16">
        <v>2.4</v>
      </c>
      <c r="U146" s="75">
        <v>0</v>
      </c>
      <c r="V146" s="75">
        <v>-5.37</v>
      </c>
      <c r="W146" s="75">
        <v>3</v>
      </c>
      <c r="X146" s="75">
        <v>-1.207</v>
      </c>
      <c r="Y146" s="75">
        <v>1.212</v>
      </c>
      <c r="Z146" s="75">
        <v>-4.616</v>
      </c>
      <c r="AA146" s="75">
        <v>0.8</v>
      </c>
      <c r="AB146" s="75">
        <v>1</v>
      </c>
      <c r="AC146" s="16">
        <v>4584</v>
      </c>
      <c r="AD146" s="16" t="s">
        <v>153</v>
      </c>
      <c r="AF146" s="16">
        <v>801</v>
      </c>
      <c r="AG146" s="16" t="s">
        <v>116</v>
      </c>
      <c r="AH146" s="16" t="s">
        <v>200</v>
      </c>
      <c r="AK146" s="16">
        <v>0</v>
      </c>
      <c r="AV146" s="16" t="s">
        <v>118</v>
      </c>
      <c r="AW146" s="16" t="s">
        <v>118</v>
      </c>
      <c r="AY146" s="16">
        <v>4584</v>
      </c>
      <c r="AZ146" s="16" t="s">
        <v>153</v>
      </c>
    </row>
    <row r="147" s="16" customFormat="1" spans="1:52">
      <c r="A147" s="16">
        <v>142</v>
      </c>
      <c r="B147" s="16" t="s">
        <v>507</v>
      </c>
      <c r="C147" s="16" t="s">
        <v>508</v>
      </c>
      <c r="D147" s="16">
        <v>1</v>
      </c>
      <c r="E147" s="16">
        <v>1</v>
      </c>
      <c r="F147" s="16">
        <v>0.6</v>
      </c>
      <c r="G147" s="16">
        <v>4</v>
      </c>
      <c r="H147" s="16">
        <v>3.5</v>
      </c>
      <c r="I147" s="16">
        <v>1.2</v>
      </c>
      <c r="J147" s="16" t="s">
        <v>115</v>
      </c>
      <c r="L147" s="87">
        <v>0</v>
      </c>
      <c r="M147" s="87">
        <f>1/30</f>
        <v>0.0333333333333333</v>
      </c>
      <c r="N147" s="87"/>
      <c r="O147" s="87"/>
      <c r="P147" s="87">
        <v>0</v>
      </c>
      <c r="Q147" s="87">
        <f>1/30</f>
        <v>0.0333333333333333</v>
      </c>
      <c r="R147" s="87"/>
      <c r="S147" s="87"/>
      <c r="T147" s="16">
        <v>2.4</v>
      </c>
      <c r="U147" s="75">
        <v>0</v>
      </c>
      <c r="V147" s="75"/>
      <c r="W147" s="75"/>
      <c r="X147" s="75">
        <v>-1.824</v>
      </c>
      <c r="Y147" s="75">
        <v>0.896</v>
      </c>
      <c r="Z147" s="75">
        <v>-3.542</v>
      </c>
      <c r="AA147" s="75">
        <v>0.4</v>
      </c>
      <c r="AB147" s="75">
        <v>1</v>
      </c>
      <c r="AC147" s="16">
        <v>4604</v>
      </c>
      <c r="AD147" s="16" t="s">
        <v>153</v>
      </c>
      <c r="AF147" s="16">
        <v>801</v>
      </c>
      <c r="AG147" s="16" t="s">
        <v>116</v>
      </c>
      <c r="AH147" s="16" t="s">
        <v>200</v>
      </c>
      <c r="AK147" s="16">
        <v>0</v>
      </c>
      <c r="AV147" s="16" t="s">
        <v>509</v>
      </c>
      <c r="AW147" s="16" t="s">
        <v>510</v>
      </c>
      <c r="AY147" s="16">
        <v>4604</v>
      </c>
      <c r="AZ147" s="16" t="s">
        <v>153</v>
      </c>
    </row>
    <row r="148" s="16" customFormat="1" spans="1:52">
      <c r="A148" s="16">
        <v>143</v>
      </c>
      <c r="B148" s="16" t="s">
        <v>511</v>
      </c>
      <c r="C148" s="16" t="s">
        <v>512</v>
      </c>
      <c r="D148" s="16">
        <v>1</v>
      </c>
      <c r="E148" s="16">
        <v>1</v>
      </c>
      <c r="F148" s="16">
        <v>1</v>
      </c>
      <c r="G148" s="16">
        <v>2.5</v>
      </c>
      <c r="H148" s="16">
        <v>2.8</v>
      </c>
      <c r="I148" s="16">
        <v>0.4</v>
      </c>
      <c r="J148" s="16" t="s">
        <v>115</v>
      </c>
      <c r="L148" s="87">
        <v>0.133333333333333</v>
      </c>
      <c r="M148" s="87">
        <v>0.533333333333333</v>
      </c>
      <c r="N148" s="87"/>
      <c r="O148" s="87"/>
      <c r="P148" s="87">
        <v>0.133333333333333</v>
      </c>
      <c r="Q148" s="87">
        <v>0.5</v>
      </c>
      <c r="R148" s="87"/>
      <c r="S148" s="87"/>
      <c r="T148" s="16">
        <v>2.4</v>
      </c>
      <c r="U148" s="75">
        <v>0</v>
      </c>
      <c r="V148" s="75"/>
      <c r="W148" s="75"/>
      <c r="X148" s="75">
        <v>-1.824</v>
      </c>
      <c r="Y148" s="75">
        <v>0.896</v>
      </c>
      <c r="Z148" s="75">
        <v>-3.542</v>
      </c>
      <c r="AA148" s="75">
        <v>0.9</v>
      </c>
      <c r="AB148" s="75">
        <v>1</v>
      </c>
      <c r="AC148" s="16">
        <v>4623</v>
      </c>
      <c r="AD148" s="16" t="s">
        <v>153</v>
      </c>
      <c r="AF148" s="16">
        <v>801</v>
      </c>
      <c r="AG148" s="16" t="s">
        <v>116</v>
      </c>
      <c r="AH148" s="16" t="s">
        <v>513</v>
      </c>
      <c r="AK148" s="16">
        <v>0</v>
      </c>
      <c r="AV148" s="16" t="s">
        <v>118</v>
      </c>
      <c r="AW148" s="16" t="s">
        <v>118</v>
      </c>
      <c r="AY148" s="16">
        <v>4623</v>
      </c>
      <c r="AZ148" s="16" t="s">
        <v>153</v>
      </c>
    </row>
    <row r="149" s="16" customFormat="1" spans="1:52">
      <c r="A149" s="16">
        <v>144</v>
      </c>
      <c r="B149" s="16" t="s">
        <v>514</v>
      </c>
      <c r="C149" s="16" t="s">
        <v>515</v>
      </c>
      <c r="D149" s="16">
        <v>1</v>
      </c>
      <c r="E149" s="16">
        <v>1</v>
      </c>
      <c r="F149" s="16">
        <v>1</v>
      </c>
      <c r="G149" s="16">
        <v>3.1</v>
      </c>
      <c r="H149" s="16">
        <v>3.15</v>
      </c>
      <c r="I149" s="16">
        <v>0.4</v>
      </c>
      <c r="J149" s="16" t="s">
        <v>115</v>
      </c>
      <c r="L149" s="87">
        <v>0.133333333333333</v>
      </c>
      <c r="M149" s="87">
        <v>0.533333333333333</v>
      </c>
      <c r="N149" s="87"/>
      <c r="O149" s="87"/>
      <c r="P149" s="87">
        <f t="shared" si="19"/>
        <v>0.133333333333333</v>
      </c>
      <c r="Q149" s="87">
        <f>21/30</f>
        <v>0.7</v>
      </c>
      <c r="R149" s="87"/>
      <c r="S149" s="87"/>
      <c r="T149" s="16">
        <v>2.4</v>
      </c>
      <c r="U149" s="75">
        <v>0</v>
      </c>
      <c r="V149" s="75"/>
      <c r="W149" s="75"/>
      <c r="X149" s="75">
        <v>-1.824</v>
      </c>
      <c r="Y149" s="75">
        <v>0.896</v>
      </c>
      <c r="Z149" s="75">
        <v>-3.542</v>
      </c>
      <c r="AA149" s="75">
        <v>0.6</v>
      </c>
      <c r="AB149" s="75">
        <v>1</v>
      </c>
      <c r="AC149" s="16">
        <v>4631</v>
      </c>
      <c r="AD149" s="16" t="s">
        <v>153</v>
      </c>
      <c r="AF149" s="16">
        <v>801</v>
      </c>
      <c r="AG149" s="16" t="s">
        <v>116</v>
      </c>
      <c r="AH149" s="16" t="s">
        <v>516</v>
      </c>
      <c r="AK149" s="16">
        <v>0</v>
      </c>
      <c r="AV149" s="16" t="s">
        <v>118</v>
      </c>
      <c r="AW149" s="16" t="s">
        <v>118</v>
      </c>
      <c r="AY149" s="16">
        <v>4631</v>
      </c>
      <c r="AZ149" s="16" t="s">
        <v>153</v>
      </c>
    </row>
    <row r="150" s="16" customFormat="1" spans="1:52">
      <c r="A150" s="16">
        <v>145</v>
      </c>
      <c r="B150" s="76" t="s">
        <v>517</v>
      </c>
      <c r="C150" s="16" t="s">
        <v>518</v>
      </c>
      <c r="D150" s="16">
        <v>1</v>
      </c>
      <c r="E150" s="16">
        <v>1</v>
      </c>
      <c r="F150" s="16">
        <v>1</v>
      </c>
      <c r="G150" s="16">
        <v>1.76</v>
      </c>
      <c r="H150" s="16">
        <v>2.13</v>
      </c>
      <c r="I150" s="16">
        <v>0.33</v>
      </c>
      <c r="J150" s="16" t="s">
        <v>115</v>
      </c>
      <c r="L150" s="16">
        <f>5/30</f>
        <v>0.166666666666667</v>
      </c>
      <c r="M150" s="16">
        <f>19/30</f>
        <v>0.633333333333333</v>
      </c>
      <c r="P150" s="16">
        <f t="shared" si="19"/>
        <v>0.133333333333333</v>
      </c>
      <c r="Q150" s="16">
        <f>18/30</f>
        <v>0.6</v>
      </c>
      <c r="T150" s="75">
        <v>2.4</v>
      </c>
      <c r="U150" s="75">
        <v>0</v>
      </c>
      <c r="V150" s="75"/>
      <c r="W150" s="75"/>
      <c r="X150" s="16">
        <v>-2.158</v>
      </c>
      <c r="Y150" s="16">
        <v>0.948</v>
      </c>
      <c r="Z150" s="16">
        <v>-3.005</v>
      </c>
      <c r="AA150" s="16">
        <v>1</v>
      </c>
      <c r="AB150" s="16">
        <v>1</v>
      </c>
      <c r="AC150" s="16">
        <v>4681</v>
      </c>
      <c r="AD150" s="16" t="s">
        <v>153</v>
      </c>
      <c r="AF150" s="16">
        <v>801</v>
      </c>
      <c r="AG150" s="16" t="s">
        <v>116</v>
      </c>
      <c r="AH150" s="16" t="s">
        <v>519</v>
      </c>
      <c r="AK150" s="16">
        <v>0</v>
      </c>
      <c r="AV150" s="16" t="s">
        <v>118</v>
      </c>
      <c r="AW150" s="16" t="s">
        <v>118</v>
      </c>
      <c r="AY150" s="16">
        <v>4681</v>
      </c>
      <c r="AZ150" s="16" t="s">
        <v>153</v>
      </c>
    </row>
    <row r="151" s="17" customFormat="1" spans="1:52">
      <c r="A151" s="17">
        <v>146</v>
      </c>
      <c r="B151" s="17" t="s">
        <v>520</v>
      </c>
      <c r="C151" s="17" t="s">
        <v>521</v>
      </c>
      <c r="D151" s="17">
        <v>1</v>
      </c>
      <c r="E151" s="17">
        <v>1</v>
      </c>
      <c r="F151" s="17">
        <v>1</v>
      </c>
      <c r="G151" s="17">
        <v>2.2</v>
      </c>
      <c r="H151" s="77">
        <v>2.6</v>
      </c>
      <c r="I151" s="77">
        <v>0.55</v>
      </c>
      <c r="J151" s="17" t="s">
        <v>115</v>
      </c>
      <c r="L151" s="88">
        <f>3/30</f>
        <v>0.1</v>
      </c>
      <c r="M151" s="88">
        <f>16/30</f>
        <v>0.533333333333333</v>
      </c>
      <c r="N151" s="88"/>
      <c r="O151" s="88"/>
      <c r="P151" s="88">
        <f t="shared" si="19"/>
        <v>0.133333333333333</v>
      </c>
      <c r="Q151" s="88">
        <f t="shared" ref="Q151:Q155" si="20">16/30</f>
        <v>0.533333333333333</v>
      </c>
      <c r="R151" s="88"/>
      <c r="S151" s="88"/>
      <c r="T151" s="17">
        <v>2.4</v>
      </c>
      <c r="U151" s="90">
        <v>0</v>
      </c>
      <c r="V151" s="90"/>
      <c r="W151" s="90"/>
      <c r="X151" s="90">
        <v>-1.98</v>
      </c>
      <c r="Y151" s="90">
        <v>0.88</v>
      </c>
      <c r="Z151" s="90">
        <v>-3.39</v>
      </c>
      <c r="AA151" s="17">
        <v>0.8</v>
      </c>
      <c r="AB151" s="90">
        <v>1</v>
      </c>
      <c r="AC151" s="17">
        <v>4715</v>
      </c>
      <c r="AD151" s="17" t="s">
        <v>153</v>
      </c>
      <c r="AF151" s="17">
        <v>801</v>
      </c>
      <c r="AG151" s="17" t="s">
        <v>116</v>
      </c>
      <c r="AH151" s="17" t="s">
        <v>200</v>
      </c>
      <c r="AK151" s="17">
        <v>0</v>
      </c>
      <c r="AV151" s="17" t="s">
        <v>118</v>
      </c>
      <c r="AW151" s="17" t="s">
        <v>118</v>
      </c>
      <c r="AY151" s="17">
        <v>4715</v>
      </c>
      <c r="AZ151" s="17" t="s">
        <v>153</v>
      </c>
    </row>
    <row r="152" s="17" customFormat="1" spans="1:52">
      <c r="A152" s="17">
        <v>147</v>
      </c>
      <c r="B152" s="78" t="s">
        <v>522</v>
      </c>
      <c r="C152" s="17" t="s">
        <v>523</v>
      </c>
      <c r="D152" s="17">
        <v>1</v>
      </c>
      <c r="E152" s="17">
        <v>1</v>
      </c>
      <c r="F152" s="17">
        <v>1</v>
      </c>
      <c r="G152" s="17">
        <v>3.2</v>
      </c>
      <c r="H152" s="17">
        <v>3.3</v>
      </c>
      <c r="I152" s="17">
        <v>0.4</v>
      </c>
      <c r="J152" s="17" t="s">
        <v>115</v>
      </c>
      <c r="L152" s="88">
        <f t="shared" ref="L152:L156" si="21">4/30</f>
        <v>0.133333333333333</v>
      </c>
      <c r="M152" s="88">
        <f>17/30</f>
        <v>0.566666666666667</v>
      </c>
      <c r="N152" s="88"/>
      <c r="O152" s="88"/>
      <c r="P152" s="88">
        <f t="shared" si="19"/>
        <v>0.133333333333333</v>
      </c>
      <c r="Q152" s="88">
        <f>13/30</f>
        <v>0.433333333333333</v>
      </c>
      <c r="R152" s="88"/>
      <c r="S152" s="88"/>
      <c r="T152" s="90">
        <v>2.4</v>
      </c>
      <c r="U152" s="90">
        <v>0</v>
      </c>
      <c r="V152" s="90"/>
      <c r="W152" s="90"/>
      <c r="X152" s="17">
        <v>-1.31</v>
      </c>
      <c r="Y152" s="17">
        <v>0.77</v>
      </c>
      <c r="Z152" s="17">
        <v>-3.86</v>
      </c>
      <c r="AA152" s="17">
        <v>0.6</v>
      </c>
      <c r="AB152" s="17">
        <v>1</v>
      </c>
      <c r="AC152" s="17">
        <v>4737</v>
      </c>
      <c r="AD152" s="17" t="s">
        <v>153</v>
      </c>
      <c r="AF152" s="17">
        <v>801</v>
      </c>
      <c r="AG152" s="17" t="s">
        <v>116</v>
      </c>
      <c r="AH152" s="17" t="s">
        <v>200</v>
      </c>
      <c r="AK152" s="17">
        <v>0</v>
      </c>
      <c r="AV152" s="17" t="s">
        <v>118</v>
      </c>
      <c r="AW152" s="17" t="s">
        <v>118</v>
      </c>
      <c r="AY152" s="17">
        <v>4737</v>
      </c>
      <c r="AZ152" s="17" t="s">
        <v>153</v>
      </c>
    </row>
    <row r="153" s="17" customFormat="1" spans="1:52">
      <c r="A153" s="17">
        <v>148</v>
      </c>
      <c r="B153" s="17" t="s">
        <v>524</v>
      </c>
      <c r="C153" s="17" t="s">
        <v>525</v>
      </c>
      <c r="D153" s="17">
        <v>1</v>
      </c>
      <c r="E153" s="17">
        <v>1</v>
      </c>
      <c r="F153" s="17">
        <v>1</v>
      </c>
      <c r="G153" s="17">
        <v>2</v>
      </c>
      <c r="H153" s="17">
        <v>2.4</v>
      </c>
      <c r="I153" s="17">
        <v>0.7</v>
      </c>
      <c r="J153" s="17" t="s">
        <v>115</v>
      </c>
      <c r="L153" s="88">
        <f t="shared" si="21"/>
        <v>0.133333333333333</v>
      </c>
      <c r="M153" s="88">
        <f>17/30</f>
        <v>0.566666666666667</v>
      </c>
      <c r="N153" s="88"/>
      <c r="O153" s="88"/>
      <c r="P153" s="88">
        <f t="shared" si="19"/>
        <v>0.133333333333333</v>
      </c>
      <c r="Q153" s="88">
        <f t="shared" si="20"/>
        <v>0.533333333333333</v>
      </c>
      <c r="R153" s="88"/>
      <c r="S153" s="88"/>
      <c r="T153" s="17">
        <v>2.4</v>
      </c>
      <c r="U153" s="90">
        <v>0</v>
      </c>
      <c r="V153" s="90"/>
      <c r="W153" s="90"/>
      <c r="X153" s="90">
        <v>-1.741</v>
      </c>
      <c r="Y153" s="90">
        <v>0.996</v>
      </c>
      <c r="Z153" s="90">
        <v>-3.48</v>
      </c>
      <c r="AA153" s="90">
        <v>0.9</v>
      </c>
      <c r="AB153" s="90">
        <v>1</v>
      </c>
      <c r="AC153" s="17">
        <v>4754</v>
      </c>
      <c r="AD153" s="17" t="s">
        <v>153</v>
      </c>
      <c r="AF153" s="17">
        <v>801</v>
      </c>
      <c r="AG153" s="17" t="s">
        <v>116</v>
      </c>
      <c r="AH153" s="17" t="s">
        <v>200</v>
      </c>
      <c r="AK153" s="17">
        <v>0</v>
      </c>
      <c r="AV153" s="17" t="s">
        <v>118</v>
      </c>
      <c r="AW153" s="17" t="s">
        <v>118</v>
      </c>
      <c r="AY153" s="17">
        <v>4754</v>
      </c>
      <c r="AZ153" s="17" t="s">
        <v>153</v>
      </c>
    </row>
    <row r="154" s="16" customFormat="1" spans="1:52">
      <c r="A154" s="16">
        <v>149</v>
      </c>
      <c r="B154" s="16" t="s">
        <v>526</v>
      </c>
      <c r="C154" s="16" t="s">
        <v>527</v>
      </c>
      <c r="D154" s="16">
        <v>1</v>
      </c>
      <c r="E154" s="16">
        <v>1</v>
      </c>
      <c r="F154" s="16">
        <v>1</v>
      </c>
      <c r="G154" s="16">
        <v>1.55</v>
      </c>
      <c r="H154" s="16">
        <v>1.92</v>
      </c>
      <c r="I154" s="16">
        <v>0.37</v>
      </c>
      <c r="J154" s="16" t="s">
        <v>115</v>
      </c>
      <c r="L154" s="16">
        <f t="shared" si="21"/>
        <v>0.133333333333333</v>
      </c>
      <c r="M154" s="16">
        <f>16/30</f>
        <v>0.533333333333333</v>
      </c>
      <c r="P154" s="16">
        <f t="shared" si="19"/>
        <v>0.133333333333333</v>
      </c>
      <c r="Q154" s="16">
        <f t="shared" si="20"/>
        <v>0.533333333333333</v>
      </c>
      <c r="T154" s="16">
        <v>2.4</v>
      </c>
      <c r="U154" s="91">
        <v>0</v>
      </c>
      <c r="V154" s="91">
        <v>-6.4</v>
      </c>
      <c r="W154" s="16">
        <v>5</v>
      </c>
      <c r="X154" s="16">
        <v>-2.425</v>
      </c>
      <c r="Y154" s="16">
        <v>0.891</v>
      </c>
      <c r="Z154" s="16">
        <v>-2.562</v>
      </c>
      <c r="AA154" s="16">
        <v>1</v>
      </c>
      <c r="AB154" s="16">
        <v>1</v>
      </c>
      <c r="AC154" s="16">
        <v>4817</v>
      </c>
      <c r="AD154" s="16" t="s">
        <v>153</v>
      </c>
      <c r="AF154" s="16">
        <v>801</v>
      </c>
      <c r="AG154" s="16" t="s">
        <v>116</v>
      </c>
      <c r="AH154" s="16" t="s">
        <v>200</v>
      </c>
      <c r="AK154" s="16">
        <v>0</v>
      </c>
      <c r="AV154" s="16" t="s">
        <v>118</v>
      </c>
      <c r="AW154" s="16" t="s">
        <v>118</v>
      </c>
      <c r="AY154" s="16">
        <v>4817</v>
      </c>
      <c r="AZ154" s="16" t="s">
        <v>153</v>
      </c>
    </row>
    <row r="155" s="13" customFormat="1" spans="1:52">
      <c r="A155" s="66">
        <v>150</v>
      </c>
      <c r="B155" s="57" t="s">
        <v>528</v>
      </c>
      <c r="C155" s="13" t="s">
        <v>529</v>
      </c>
      <c r="D155" s="13">
        <v>1</v>
      </c>
      <c r="E155" s="13">
        <v>1</v>
      </c>
      <c r="F155" s="13">
        <v>1</v>
      </c>
      <c r="G155" s="13">
        <v>1.52</v>
      </c>
      <c r="H155" s="13">
        <v>2</v>
      </c>
      <c r="I155" s="13">
        <v>0.43</v>
      </c>
      <c r="J155" s="13" t="s">
        <v>115</v>
      </c>
      <c r="L155" s="13">
        <f t="shared" si="21"/>
        <v>0.133333333333333</v>
      </c>
      <c r="M155" s="13">
        <f>15/30</f>
        <v>0.5</v>
      </c>
      <c r="P155" s="13">
        <f>2/30</f>
        <v>0.0666666666666667</v>
      </c>
      <c r="Q155" s="13">
        <f>15/30</f>
        <v>0.5</v>
      </c>
      <c r="T155" s="66">
        <v>2.4</v>
      </c>
      <c r="U155" s="66">
        <v>0</v>
      </c>
      <c r="V155" s="66"/>
      <c r="W155" s="66"/>
      <c r="X155" s="13">
        <v>-2.06</v>
      </c>
      <c r="Y155" s="13">
        <v>0.82</v>
      </c>
      <c r="Z155" s="13">
        <v>-3.29</v>
      </c>
      <c r="AA155" s="13">
        <v>1</v>
      </c>
      <c r="AB155" s="13">
        <v>1</v>
      </c>
      <c r="AC155" s="13">
        <v>4873</v>
      </c>
      <c r="AD155" s="13" t="s">
        <v>153</v>
      </c>
      <c r="AF155" s="13">
        <v>801</v>
      </c>
      <c r="AG155" s="13" t="s">
        <v>116</v>
      </c>
      <c r="AH155" s="28" t="s">
        <v>324</v>
      </c>
      <c r="AK155" s="13">
        <v>0</v>
      </c>
      <c r="AV155" s="13" t="s">
        <v>118</v>
      </c>
      <c r="AW155" s="13" t="s">
        <v>118</v>
      </c>
      <c r="AY155" s="13">
        <v>4873</v>
      </c>
      <c r="AZ155" s="13" t="s">
        <v>153</v>
      </c>
    </row>
    <row r="156" s="18" customFormat="1" spans="1:52">
      <c r="A156" s="79">
        <v>151</v>
      </c>
      <c r="B156" s="80" t="s">
        <v>530</v>
      </c>
      <c r="C156" s="18" t="s">
        <v>531</v>
      </c>
      <c r="D156" s="18">
        <v>1</v>
      </c>
      <c r="E156" s="18">
        <v>1</v>
      </c>
      <c r="F156" s="18">
        <v>1</v>
      </c>
      <c r="G156" s="18">
        <v>1.52</v>
      </c>
      <c r="H156" s="18">
        <v>2</v>
      </c>
      <c r="I156" s="18">
        <v>0.43</v>
      </c>
      <c r="J156" s="18" t="s">
        <v>115</v>
      </c>
      <c r="L156" s="18">
        <f t="shared" si="21"/>
        <v>0.133333333333333</v>
      </c>
      <c r="M156" s="18">
        <f>18/30</f>
        <v>0.6</v>
      </c>
      <c r="P156" s="18">
        <f>4/30</f>
        <v>0.133333333333333</v>
      </c>
      <c r="Q156" s="18">
        <f>18/30</f>
        <v>0.6</v>
      </c>
      <c r="T156" s="79">
        <v>2.4</v>
      </c>
      <c r="U156" s="79">
        <v>0</v>
      </c>
      <c r="V156" s="79"/>
      <c r="W156" s="79"/>
      <c r="X156" s="18">
        <v>-2.06</v>
      </c>
      <c r="Y156" s="18">
        <v>0.82</v>
      </c>
      <c r="Z156" s="18">
        <v>-3.29</v>
      </c>
      <c r="AA156" s="18">
        <v>1</v>
      </c>
      <c r="AB156" s="18">
        <v>1</v>
      </c>
      <c r="AC156" s="18">
        <v>4924</v>
      </c>
      <c r="AD156" s="18" t="s">
        <v>153</v>
      </c>
      <c r="AF156" s="18">
        <v>801</v>
      </c>
      <c r="AG156" s="18" t="s">
        <v>116</v>
      </c>
      <c r="AH156" s="95" t="s">
        <v>324</v>
      </c>
      <c r="AK156" s="18">
        <v>0</v>
      </c>
      <c r="AV156" s="18" t="s">
        <v>118</v>
      </c>
      <c r="AW156" s="18" t="s">
        <v>118</v>
      </c>
      <c r="AY156" s="18">
        <v>4924</v>
      </c>
      <c r="AZ156" s="18" t="s">
        <v>153</v>
      </c>
    </row>
    <row r="157" s="19" customFormat="1" spans="1:52">
      <c r="A157" s="81">
        <v>152</v>
      </c>
      <c r="B157" s="81" t="s">
        <v>532</v>
      </c>
      <c r="C157" s="81" t="s">
        <v>533</v>
      </c>
      <c r="D157" s="81">
        <v>1</v>
      </c>
      <c r="E157" s="81">
        <v>1</v>
      </c>
      <c r="F157" s="81">
        <v>1</v>
      </c>
      <c r="G157" s="81">
        <v>1.52</v>
      </c>
      <c r="H157" s="81">
        <v>2</v>
      </c>
      <c r="I157" s="81">
        <v>0.43</v>
      </c>
      <c r="J157" s="81" t="s">
        <v>115</v>
      </c>
      <c r="K157" s="81"/>
      <c r="L157" s="81">
        <v>0.166666666666667</v>
      </c>
      <c r="M157" s="81">
        <v>0.6</v>
      </c>
      <c r="N157" s="81"/>
      <c r="O157" s="81"/>
      <c r="P157" s="81">
        <v>0.166666666666667</v>
      </c>
      <c r="Q157" s="81">
        <v>0.7</v>
      </c>
      <c r="R157" s="81"/>
      <c r="S157" s="81"/>
      <c r="T157" s="81">
        <v>2.4</v>
      </c>
      <c r="U157" s="81">
        <v>0</v>
      </c>
      <c r="V157" s="81"/>
      <c r="W157" s="81"/>
      <c r="X157" s="81">
        <v>-2.06</v>
      </c>
      <c r="Y157" s="81">
        <v>0.82</v>
      </c>
      <c r="Z157" s="81">
        <v>-3.29</v>
      </c>
      <c r="AA157" s="81">
        <v>1</v>
      </c>
      <c r="AB157" s="81">
        <v>1</v>
      </c>
      <c r="AC157" s="81">
        <v>4977</v>
      </c>
      <c r="AD157" s="81" t="s">
        <v>153</v>
      </c>
      <c r="AE157" s="81"/>
      <c r="AF157" s="81">
        <v>801</v>
      </c>
      <c r="AG157" s="81" t="s">
        <v>116</v>
      </c>
      <c r="AH157" s="81" t="s">
        <v>200</v>
      </c>
      <c r="AI157" s="81"/>
      <c r="AJ157" s="81"/>
      <c r="AK157" s="81">
        <v>0</v>
      </c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19" t="s">
        <v>118</v>
      </c>
      <c r="AW157" s="19" t="s">
        <v>118</v>
      </c>
      <c r="AX157" s="81"/>
      <c r="AY157" s="81">
        <v>4977</v>
      </c>
      <c r="AZ157" s="81" t="s">
        <v>153</v>
      </c>
    </row>
    <row r="158" s="20" customFormat="1" spans="1:53">
      <c r="A158" s="29">
        <v>153</v>
      </c>
      <c r="B158" s="29" t="s">
        <v>534</v>
      </c>
      <c r="C158" s="29" t="s">
        <v>535</v>
      </c>
      <c r="D158" s="29">
        <v>1</v>
      </c>
      <c r="E158" s="29">
        <v>1</v>
      </c>
      <c r="F158" s="29">
        <v>1</v>
      </c>
      <c r="G158" s="29">
        <v>2.4</v>
      </c>
      <c r="H158" s="29">
        <v>2.8</v>
      </c>
      <c r="I158" s="29">
        <v>0.32</v>
      </c>
      <c r="J158" s="29" t="s">
        <v>115</v>
      </c>
      <c r="K158" s="29"/>
      <c r="L158" s="29">
        <v>0.0333333333333333</v>
      </c>
      <c r="M158" s="29">
        <v>0.7</v>
      </c>
      <c r="N158" s="29"/>
      <c r="O158" s="29"/>
      <c r="P158" s="29">
        <v>0.2</v>
      </c>
      <c r="Q158" s="29">
        <f>17/30</f>
        <v>0.566666666666667</v>
      </c>
      <c r="R158" s="29"/>
      <c r="S158" s="29"/>
      <c r="T158" s="29">
        <v>2.4</v>
      </c>
      <c r="U158" s="29">
        <v>0</v>
      </c>
      <c r="V158" s="29"/>
      <c r="W158" s="29"/>
      <c r="X158" s="29">
        <v>-1.824</v>
      </c>
      <c r="Y158" s="29">
        <v>0.896</v>
      </c>
      <c r="Z158" s="29">
        <v>-3.542</v>
      </c>
      <c r="AA158" s="29">
        <v>0.9</v>
      </c>
      <c r="AB158" s="29" t="s">
        <v>193</v>
      </c>
      <c r="AC158" s="29" t="s">
        <v>536</v>
      </c>
      <c r="AD158" s="29" t="s">
        <v>537</v>
      </c>
      <c r="AE158" s="29"/>
      <c r="AF158" s="29">
        <v>801</v>
      </c>
      <c r="AG158" s="29" t="s">
        <v>116</v>
      </c>
      <c r="AH158" s="29" t="s">
        <v>200</v>
      </c>
      <c r="AI158" s="29"/>
      <c r="AJ158" s="29"/>
      <c r="AK158" s="29">
        <v>0</v>
      </c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0" t="s">
        <v>118</v>
      </c>
      <c r="AW158" s="20" t="s">
        <v>118</v>
      </c>
      <c r="AX158" s="29"/>
      <c r="AY158" s="29" t="s">
        <v>536</v>
      </c>
      <c r="AZ158" s="29" t="s">
        <v>537</v>
      </c>
      <c r="BA158" s="29"/>
    </row>
    <row r="159" s="16" customFormat="1" spans="1:52">
      <c r="A159" s="16">
        <v>154</v>
      </c>
      <c r="B159" s="16" t="s">
        <v>538</v>
      </c>
      <c r="C159" s="16" t="s">
        <v>539</v>
      </c>
      <c r="D159" s="16">
        <v>1</v>
      </c>
      <c r="E159" s="16">
        <v>1</v>
      </c>
      <c r="F159" s="16">
        <v>1</v>
      </c>
      <c r="G159" s="16">
        <v>2.4</v>
      </c>
      <c r="H159" s="16">
        <v>2.8</v>
      </c>
      <c r="I159" s="16">
        <v>0.32</v>
      </c>
      <c r="J159" s="16" t="s">
        <v>115</v>
      </c>
      <c r="L159" s="16">
        <v>0.0333333333333333</v>
      </c>
      <c r="M159" s="16">
        <v>0.7</v>
      </c>
      <c r="P159" s="16">
        <v>0.2</v>
      </c>
      <c r="Q159" s="16">
        <v>0.566666666666667</v>
      </c>
      <c r="T159" s="16">
        <v>2.4</v>
      </c>
      <c r="U159" s="91">
        <v>0</v>
      </c>
      <c r="V159" s="91"/>
      <c r="X159" s="16">
        <v>-1.824</v>
      </c>
      <c r="Y159" s="16">
        <v>0.896</v>
      </c>
      <c r="Z159" s="16">
        <v>-3.542</v>
      </c>
      <c r="AA159" s="16">
        <v>0.9</v>
      </c>
      <c r="AB159" s="16">
        <v>1</v>
      </c>
      <c r="AC159" s="16">
        <v>5067</v>
      </c>
      <c r="AD159" s="16" t="s">
        <v>153</v>
      </c>
      <c r="AF159" s="16">
        <v>801</v>
      </c>
      <c r="AG159" s="16" t="s">
        <v>116</v>
      </c>
      <c r="AH159" s="16" t="s">
        <v>200</v>
      </c>
      <c r="AK159" s="16">
        <v>0</v>
      </c>
      <c r="AV159" s="16" t="s">
        <v>118</v>
      </c>
      <c r="AW159" s="16" t="s">
        <v>118</v>
      </c>
      <c r="AY159" s="16">
        <v>5067</v>
      </c>
      <c r="AZ159" s="16" t="s">
        <v>153</v>
      </c>
    </row>
    <row r="160" s="21" customFormat="1" spans="1:52">
      <c r="A160" s="21">
        <v>155</v>
      </c>
      <c r="B160" s="21" t="s">
        <v>540</v>
      </c>
      <c r="C160" s="21" t="s">
        <v>541</v>
      </c>
      <c r="D160" s="21">
        <v>1</v>
      </c>
      <c r="E160" s="21">
        <v>1</v>
      </c>
      <c r="F160" s="21">
        <v>1</v>
      </c>
      <c r="G160" s="21">
        <v>1.55</v>
      </c>
      <c r="H160" s="21">
        <v>1.92</v>
      </c>
      <c r="I160" s="21">
        <v>0.37</v>
      </c>
      <c r="J160" s="21" t="s">
        <v>115</v>
      </c>
      <c r="L160" s="21">
        <f>4/30</f>
        <v>0.133333333333333</v>
      </c>
      <c r="M160" s="21">
        <f>16/30</f>
        <v>0.533333333333333</v>
      </c>
      <c r="P160" s="21">
        <v>0.133333333333333</v>
      </c>
      <c r="Q160" s="21">
        <v>0.533333333333333</v>
      </c>
      <c r="T160" s="21">
        <v>2.4</v>
      </c>
      <c r="U160" s="92">
        <v>0</v>
      </c>
      <c r="V160" s="92"/>
      <c r="X160" s="21">
        <v>-2.425</v>
      </c>
      <c r="Y160" s="21">
        <v>0.891</v>
      </c>
      <c r="Z160" s="21">
        <v>-2.562</v>
      </c>
      <c r="AA160" s="21">
        <v>1</v>
      </c>
      <c r="AB160" s="21">
        <v>1</v>
      </c>
      <c r="AC160" s="21">
        <v>5090</v>
      </c>
      <c r="AD160" s="21" t="s">
        <v>153</v>
      </c>
      <c r="AF160" s="21">
        <v>801</v>
      </c>
      <c r="AG160" s="21" t="s">
        <v>116</v>
      </c>
      <c r="AH160" s="21" t="s">
        <v>200</v>
      </c>
      <c r="AK160" s="21">
        <v>0</v>
      </c>
      <c r="AV160" s="21" t="s">
        <v>118</v>
      </c>
      <c r="AW160" s="21" t="s">
        <v>118</v>
      </c>
      <c r="AY160" s="21">
        <v>5090</v>
      </c>
      <c r="AZ160" s="21" t="s">
        <v>153</v>
      </c>
    </row>
    <row r="161" s="22" customFormat="1" spans="1:52">
      <c r="A161" s="22">
        <v>156</v>
      </c>
      <c r="B161" s="22" t="s">
        <v>542</v>
      </c>
      <c r="C161" s="22" t="s">
        <v>543</v>
      </c>
      <c r="D161" s="22">
        <v>1</v>
      </c>
      <c r="E161" s="22">
        <v>1</v>
      </c>
      <c r="F161" s="22">
        <v>1</v>
      </c>
      <c r="G161" s="22">
        <v>3.1</v>
      </c>
      <c r="H161" s="22">
        <v>3.15</v>
      </c>
      <c r="I161" s="22">
        <v>0.4</v>
      </c>
      <c r="J161" s="22" t="s">
        <v>115</v>
      </c>
      <c r="L161" s="22">
        <v>0.133333333333333</v>
      </c>
      <c r="M161" s="22">
        <v>0.533333333333333</v>
      </c>
      <c r="P161" s="22">
        <v>0.133333333333333</v>
      </c>
      <c r="Q161" s="22">
        <v>0.533333333333333</v>
      </c>
      <c r="T161" s="22">
        <v>2.4</v>
      </c>
      <c r="U161" s="93">
        <v>0</v>
      </c>
      <c r="V161" s="93"/>
      <c r="X161" s="22">
        <v>-1.98</v>
      </c>
      <c r="Y161" s="22">
        <v>0.88</v>
      </c>
      <c r="Z161" s="22">
        <v>-3.39</v>
      </c>
      <c r="AA161" s="22">
        <v>0.6</v>
      </c>
      <c r="AB161" s="22">
        <v>1</v>
      </c>
      <c r="AC161" s="22">
        <v>5130</v>
      </c>
      <c r="AD161" s="22" t="s">
        <v>153</v>
      </c>
      <c r="AF161" s="22">
        <v>801</v>
      </c>
      <c r="AG161" s="22" t="s">
        <v>116</v>
      </c>
      <c r="AH161" s="22" t="s">
        <v>200</v>
      </c>
      <c r="AK161" s="22">
        <v>0</v>
      </c>
      <c r="AV161" s="22" t="s">
        <v>118</v>
      </c>
      <c r="AW161" s="22" t="s">
        <v>118</v>
      </c>
      <c r="AY161" s="22">
        <v>5130</v>
      </c>
      <c r="AZ161" s="22" t="s">
        <v>153</v>
      </c>
    </row>
    <row r="162" s="23" customFormat="1" spans="1:52">
      <c r="A162" s="29">
        <v>157</v>
      </c>
      <c r="B162" s="82" t="s">
        <v>544</v>
      </c>
      <c r="C162" s="23" t="s">
        <v>545</v>
      </c>
      <c r="D162" s="23">
        <v>1</v>
      </c>
      <c r="E162" s="23">
        <v>1</v>
      </c>
      <c r="F162" s="23">
        <v>1</v>
      </c>
      <c r="G162" s="23">
        <v>2.5</v>
      </c>
      <c r="H162" s="23">
        <v>2.8</v>
      </c>
      <c r="I162" s="23">
        <v>0.45</v>
      </c>
      <c r="J162" s="23" t="s">
        <v>115</v>
      </c>
      <c r="L162" s="89">
        <f>2/30</f>
        <v>0.0666666666666667</v>
      </c>
      <c r="M162" s="89">
        <f>15/30</f>
        <v>0.5</v>
      </c>
      <c r="N162" s="89"/>
      <c r="O162" s="89"/>
      <c r="P162" s="89">
        <f>4/30</f>
        <v>0.133333333333333</v>
      </c>
      <c r="Q162" s="89">
        <f>15/30</f>
        <v>0.5</v>
      </c>
      <c r="R162" s="89"/>
      <c r="S162" s="89"/>
      <c r="T162" s="94">
        <v>2.4</v>
      </c>
      <c r="U162" s="94">
        <v>0</v>
      </c>
      <c r="V162" s="94"/>
      <c r="W162" s="94"/>
      <c r="X162" s="94">
        <v>-1.75</v>
      </c>
      <c r="Y162" s="23">
        <v>1.07</v>
      </c>
      <c r="Z162" s="23">
        <v>-3.46</v>
      </c>
      <c r="AA162" s="23">
        <v>0.8</v>
      </c>
      <c r="AB162" s="23">
        <v>1</v>
      </c>
      <c r="AC162" s="23">
        <v>5158</v>
      </c>
      <c r="AD162" s="23" t="s">
        <v>153</v>
      </c>
      <c r="AF162" s="23">
        <v>801</v>
      </c>
      <c r="AG162" s="23" t="s">
        <v>116</v>
      </c>
      <c r="AH162" s="23" t="s">
        <v>200</v>
      </c>
      <c r="AK162" s="23">
        <v>0</v>
      </c>
      <c r="AV162" s="23" t="s">
        <v>118</v>
      </c>
      <c r="AW162" s="23" t="s">
        <v>118</v>
      </c>
      <c r="AY162" s="23">
        <v>5158</v>
      </c>
      <c r="AZ162" s="23" t="s">
        <v>153</v>
      </c>
    </row>
    <row r="163" s="11" customFormat="1" spans="1:45">
      <c r="A163" s="11">
        <v>1001</v>
      </c>
      <c r="B163" s="11" t="s">
        <v>546</v>
      </c>
      <c r="C163" s="11" t="s">
        <v>547</v>
      </c>
      <c r="D163" s="11">
        <v>1</v>
      </c>
      <c r="F163" s="11">
        <v>1</v>
      </c>
      <c r="G163" s="11">
        <v>1.68</v>
      </c>
      <c r="H163" s="11">
        <v>1.68</v>
      </c>
      <c r="I163" s="11">
        <v>0.55</v>
      </c>
      <c r="J163" s="11" t="s">
        <v>115</v>
      </c>
      <c r="L163" s="50">
        <v>0.133333333333333</v>
      </c>
      <c r="M163" s="50">
        <v>0.766666666666667</v>
      </c>
      <c r="N163" s="50"/>
      <c r="O163" s="50"/>
      <c r="P163" s="50">
        <v>0.2</v>
      </c>
      <c r="Q163" s="50">
        <v>0.766666666666667</v>
      </c>
      <c r="R163" s="50"/>
      <c r="S163" s="50"/>
      <c r="T163" s="11">
        <v>2.4</v>
      </c>
      <c r="U163" s="71"/>
      <c r="V163" s="71"/>
      <c r="W163" s="71"/>
      <c r="X163" s="71"/>
      <c r="Y163" s="71"/>
      <c r="Z163" s="71"/>
      <c r="AA163" s="71"/>
      <c r="AB163" s="71"/>
      <c r="AF163" s="11">
        <v>801</v>
      </c>
      <c r="AG163" s="11" t="s">
        <v>116</v>
      </c>
      <c r="AK163" s="11">
        <v>0</v>
      </c>
      <c r="AS163" s="11" t="s">
        <v>548</v>
      </c>
    </row>
    <row r="164" s="11" customFormat="1" spans="1:37">
      <c r="A164" s="11">
        <v>1002</v>
      </c>
      <c r="B164" s="11" t="s">
        <v>549</v>
      </c>
      <c r="C164" s="11" t="s">
        <v>550</v>
      </c>
      <c r="D164" s="11">
        <v>1</v>
      </c>
      <c r="F164" s="11">
        <v>1</v>
      </c>
      <c r="G164" s="11">
        <v>1.27</v>
      </c>
      <c r="H164" s="11">
        <v>1.27</v>
      </c>
      <c r="I164" s="11">
        <v>0.44</v>
      </c>
      <c r="J164" s="11" t="s">
        <v>115</v>
      </c>
      <c r="L164" s="50">
        <v>0.166666666666667</v>
      </c>
      <c r="M164" s="50">
        <v>0.6</v>
      </c>
      <c r="N164" s="50"/>
      <c r="O164" s="50"/>
      <c r="P164" s="50">
        <v>0.166666666666667</v>
      </c>
      <c r="Q164" s="50">
        <v>0.533333333333333</v>
      </c>
      <c r="R164" s="50"/>
      <c r="S164" s="50"/>
      <c r="T164" s="11">
        <v>2.4</v>
      </c>
      <c r="U164" s="71"/>
      <c r="V164" s="71"/>
      <c r="W164" s="71"/>
      <c r="X164" s="71"/>
      <c r="Y164" s="71"/>
      <c r="AF164" s="11">
        <v>801</v>
      </c>
      <c r="AG164" s="11" t="s">
        <v>116</v>
      </c>
      <c r="AK164" s="11">
        <v>0</v>
      </c>
    </row>
    <row r="165" s="11" customFormat="1" spans="1:37">
      <c r="A165" s="11">
        <v>1003</v>
      </c>
      <c r="B165" s="11" t="s">
        <v>551</v>
      </c>
      <c r="C165" s="11" t="s">
        <v>552</v>
      </c>
      <c r="D165" s="11">
        <v>1</v>
      </c>
      <c r="F165" s="11">
        <v>1</v>
      </c>
      <c r="G165" s="11">
        <v>1.59</v>
      </c>
      <c r="H165" s="11">
        <v>1.76</v>
      </c>
      <c r="I165" s="11">
        <v>0.5</v>
      </c>
      <c r="J165" s="11" t="s">
        <v>115</v>
      </c>
      <c r="L165" s="50">
        <v>0.1</v>
      </c>
      <c r="M165" s="50">
        <v>0.466666666666667</v>
      </c>
      <c r="N165" s="50"/>
      <c r="O165" s="50"/>
      <c r="P165" s="50">
        <v>0.1</v>
      </c>
      <c r="Q165" s="50">
        <v>0.466666666666667</v>
      </c>
      <c r="R165" s="50"/>
      <c r="S165" s="50"/>
      <c r="T165" s="11">
        <v>2.4</v>
      </c>
      <c r="U165" s="71"/>
      <c r="V165" s="71"/>
      <c r="W165" s="71"/>
      <c r="X165" s="71"/>
      <c r="Y165" s="71"/>
      <c r="Z165" s="71"/>
      <c r="AA165" s="71"/>
      <c r="AB165" s="71"/>
      <c r="AF165" s="11">
        <v>801</v>
      </c>
      <c r="AG165" s="11" t="s">
        <v>116</v>
      </c>
      <c r="AK165" s="11">
        <v>0</v>
      </c>
    </row>
    <row r="166" s="11" customFormat="1" spans="1:37">
      <c r="A166" s="11">
        <v>1004</v>
      </c>
      <c r="B166" s="11" t="s">
        <v>553</v>
      </c>
      <c r="C166" s="11" t="s">
        <v>554</v>
      </c>
      <c r="D166" s="11">
        <v>1</v>
      </c>
      <c r="F166" s="11">
        <v>1</v>
      </c>
      <c r="G166" s="11">
        <v>1.23</v>
      </c>
      <c r="H166" s="11">
        <v>1.23</v>
      </c>
      <c r="I166" s="11">
        <v>0.4</v>
      </c>
      <c r="J166" s="11" t="s">
        <v>115</v>
      </c>
      <c r="L166" s="50">
        <v>0.133333333333333</v>
      </c>
      <c r="M166" s="50">
        <v>0.566666666666667</v>
      </c>
      <c r="N166" s="50"/>
      <c r="O166" s="50"/>
      <c r="P166" s="50">
        <v>0.1</v>
      </c>
      <c r="Q166" s="50">
        <v>0.666666666666667</v>
      </c>
      <c r="R166" s="50"/>
      <c r="S166" s="50"/>
      <c r="T166" s="11">
        <v>2.4</v>
      </c>
      <c r="U166" s="71"/>
      <c r="V166" s="71"/>
      <c r="W166" s="71"/>
      <c r="X166" s="71"/>
      <c r="Y166" s="71"/>
      <c r="Z166" s="71"/>
      <c r="AA166" s="71"/>
      <c r="AB166" s="71"/>
      <c r="AF166" s="11">
        <v>801</v>
      </c>
      <c r="AG166" s="11" t="s">
        <v>116</v>
      </c>
      <c r="AK166" s="11">
        <v>0</v>
      </c>
    </row>
    <row r="167" s="11" customFormat="1" spans="1:51">
      <c r="A167" s="83">
        <v>1005</v>
      </c>
      <c r="B167" s="83" t="s">
        <v>555</v>
      </c>
      <c r="C167" s="83" t="s">
        <v>556</v>
      </c>
      <c r="D167" s="83">
        <v>1</v>
      </c>
      <c r="E167" s="83"/>
      <c r="F167" s="83">
        <v>1</v>
      </c>
      <c r="G167" s="84">
        <v>1.71</v>
      </c>
      <c r="H167" s="84">
        <v>1.71</v>
      </c>
      <c r="I167" s="84">
        <v>0.65</v>
      </c>
      <c r="J167" s="83" t="s">
        <v>115</v>
      </c>
      <c r="K167" s="83"/>
      <c r="L167" s="50">
        <v>0.166666666666667</v>
      </c>
      <c r="M167" s="50">
        <v>0.633333333333333</v>
      </c>
      <c r="N167" s="50"/>
      <c r="O167" s="50"/>
      <c r="P167" s="50">
        <v>0.133333333333333</v>
      </c>
      <c r="Q167" s="50">
        <v>0.633333333333333</v>
      </c>
      <c r="R167" s="50"/>
      <c r="S167" s="50"/>
      <c r="T167" s="83">
        <v>2.4</v>
      </c>
      <c r="U167" s="83"/>
      <c r="V167" s="83"/>
      <c r="W167" s="83"/>
      <c r="X167" s="83"/>
      <c r="Y167" s="83"/>
      <c r="Z167" s="83"/>
      <c r="AA167" s="83"/>
      <c r="AB167" s="83"/>
      <c r="AC167" s="83"/>
      <c r="AF167" s="11">
        <v>801</v>
      </c>
      <c r="AG167" s="11" t="s">
        <v>116</v>
      </c>
      <c r="AK167" s="11">
        <v>0</v>
      </c>
      <c r="AY167" s="83"/>
    </row>
    <row r="168" s="11" customFormat="1" spans="1:51">
      <c r="A168" s="15">
        <v>1006</v>
      </c>
      <c r="B168" s="83" t="s">
        <v>557</v>
      </c>
      <c r="C168" s="83" t="s">
        <v>558</v>
      </c>
      <c r="D168" s="83">
        <v>1</v>
      </c>
      <c r="E168" s="83"/>
      <c r="F168" s="83">
        <v>1</v>
      </c>
      <c r="G168" s="84">
        <v>1.85</v>
      </c>
      <c r="H168" s="84">
        <v>1.85</v>
      </c>
      <c r="I168" s="84">
        <v>0.47</v>
      </c>
      <c r="J168" s="83" t="s">
        <v>115</v>
      </c>
      <c r="K168" s="83"/>
      <c r="L168" s="50">
        <v>0.133333333333333</v>
      </c>
      <c r="M168" s="50">
        <v>0.433333333333333</v>
      </c>
      <c r="N168" s="50"/>
      <c r="O168" s="50"/>
      <c r="P168" s="50">
        <v>0.1</v>
      </c>
      <c r="Q168" s="50">
        <v>0.466666666666667</v>
      </c>
      <c r="R168" s="50"/>
      <c r="S168" s="50"/>
      <c r="T168" s="83">
        <v>2.4</v>
      </c>
      <c r="U168" s="83"/>
      <c r="V168" s="83"/>
      <c r="W168" s="83"/>
      <c r="X168" s="83"/>
      <c r="Y168" s="83"/>
      <c r="Z168" s="83"/>
      <c r="AA168" s="83"/>
      <c r="AB168" s="83"/>
      <c r="AC168" s="83"/>
      <c r="AF168" s="11">
        <v>801</v>
      </c>
      <c r="AG168" s="11" t="s">
        <v>116</v>
      </c>
      <c r="AK168" s="11">
        <v>0</v>
      </c>
      <c r="AY168" s="83"/>
    </row>
    <row r="169" s="11" customFormat="1" spans="1:52">
      <c r="A169" s="83">
        <v>1007</v>
      </c>
      <c r="B169" s="83" t="s">
        <v>559</v>
      </c>
      <c r="C169" s="83" t="s">
        <v>560</v>
      </c>
      <c r="D169" s="83">
        <v>1</v>
      </c>
      <c r="E169" s="83"/>
      <c r="F169" s="83">
        <v>1</v>
      </c>
      <c r="G169" s="84">
        <v>1.83</v>
      </c>
      <c r="H169" s="84">
        <v>1.83</v>
      </c>
      <c r="I169" s="84">
        <v>0.75</v>
      </c>
      <c r="J169" s="83" t="s">
        <v>115</v>
      </c>
      <c r="K169" s="83"/>
      <c r="L169" s="11">
        <v>0.133333333333333</v>
      </c>
      <c r="M169" s="11">
        <v>0.466666666666667</v>
      </c>
      <c r="P169" s="11">
        <v>0.2</v>
      </c>
      <c r="Q169" s="11">
        <v>0.433333333333333</v>
      </c>
      <c r="T169" s="83">
        <v>2.4</v>
      </c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11">
        <v>801</v>
      </c>
      <c r="AG169" s="11" t="s">
        <v>116</v>
      </c>
      <c r="AH169" s="83"/>
      <c r="AI169" s="83"/>
      <c r="AJ169" s="83"/>
      <c r="AK169" s="83">
        <v>0</v>
      </c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Y169" s="83"/>
      <c r="AZ169" s="83"/>
    </row>
    <row r="170" s="11" customFormat="1" spans="1:37">
      <c r="A170" s="11">
        <v>1008</v>
      </c>
      <c r="B170" s="11" t="s">
        <v>561</v>
      </c>
      <c r="C170" s="11" t="s">
        <v>562</v>
      </c>
      <c r="D170" s="11">
        <v>1</v>
      </c>
      <c r="F170" s="11">
        <v>1</v>
      </c>
      <c r="G170" s="56">
        <v>1.78</v>
      </c>
      <c r="H170" s="56">
        <v>1.88</v>
      </c>
      <c r="I170" s="56">
        <v>0.45</v>
      </c>
      <c r="J170" s="11" t="s">
        <v>115</v>
      </c>
      <c r="L170" s="11">
        <v>0.133333333333333</v>
      </c>
      <c r="M170" s="11">
        <v>0.533333333333333</v>
      </c>
      <c r="P170" s="11">
        <v>0.133333333333333</v>
      </c>
      <c r="Q170" s="11">
        <v>0.533333333333333</v>
      </c>
      <c r="T170" s="11">
        <v>2.4</v>
      </c>
      <c r="U170" s="71"/>
      <c r="V170" s="71"/>
      <c r="W170" s="71"/>
      <c r="X170" s="71"/>
      <c r="AF170" s="11">
        <v>801</v>
      </c>
      <c r="AG170" s="11" t="s">
        <v>116</v>
      </c>
      <c r="AK170" s="11">
        <v>0</v>
      </c>
    </row>
    <row r="171" s="11" customFormat="1" spans="1:37">
      <c r="A171" s="11">
        <v>1009</v>
      </c>
      <c r="B171" s="11" t="s">
        <v>563</v>
      </c>
      <c r="C171" s="11" t="s">
        <v>564</v>
      </c>
      <c r="D171" s="11">
        <v>1</v>
      </c>
      <c r="F171" s="11">
        <v>1</v>
      </c>
      <c r="G171" s="56">
        <v>1.8</v>
      </c>
      <c r="H171" s="56">
        <v>1.95</v>
      </c>
      <c r="I171" s="56">
        <v>0.45</v>
      </c>
      <c r="J171" s="11" t="s">
        <v>115</v>
      </c>
      <c r="L171" s="11">
        <v>0.1</v>
      </c>
      <c r="M171" s="11">
        <v>0.6</v>
      </c>
      <c r="P171" s="11">
        <v>0.133333333333333</v>
      </c>
      <c r="Q171" s="11">
        <v>0.6</v>
      </c>
      <c r="T171" s="11">
        <v>2.4</v>
      </c>
      <c r="U171" s="71"/>
      <c r="V171" s="71"/>
      <c r="W171" s="71"/>
      <c r="X171" s="71"/>
      <c r="AF171" s="11">
        <v>801</v>
      </c>
      <c r="AG171" s="11" t="s">
        <v>116</v>
      </c>
      <c r="AK171" s="11">
        <v>0</v>
      </c>
    </row>
    <row r="172" s="11" customFormat="1" spans="1:37">
      <c r="A172" s="11">
        <v>1010</v>
      </c>
      <c r="B172" s="11" t="s">
        <v>565</v>
      </c>
      <c r="C172" s="11" t="s">
        <v>566</v>
      </c>
      <c r="D172" s="11">
        <v>1</v>
      </c>
      <c r="F172" s="11">
        <v>1</v>
      </c>
      <c r="G172" s="56">
        <v>1.6</v>
      </c>
      <c r="H172" s="56">
        <v>1.6</v>
      </c>
      <c r="I172" s="56">
        <v>0.43</v>
      </c>
      <c r="J172" s="11" t="s">
        <v>115</v>
      </c>
      <c r="L172" s="11">
        <v>0.2</v>
      </c>
      <c r="M172" s="11">
        <v>0.666666666666667</v>
      </c>
      <c r="P172" s="11">
        <v>0.166666666666667</v>
      </c>
      <c r="Q172" s="11">
        <v>0.666666666666667</v>
      </c>
      <c r="T172" s="11">
        <v>2.4</v>
      </c>
      <c r="U172" s="71"/>
      <c r="V172" s="71"/>
      <c r="W172" s="71"/>
      <c r="X172" s="71"/>
      <c r="AF172" s="11">
        <v>801</v>
      </c>
      <c r="AG172" s="11" t="s">
        <v>116</v>
      </c>
      <c r="AK172" s="11">
        <v>0</v>
      </c>
    </row>
    <row r="173" s="11" customFormat="1" spans="1:51">
      <c r="A173" s="11">
        <v>1011</v>
      </c>
      <c r="B173" s="11" t="s">
        <v>567</v>
      </c>
      <c r="C173" s="11" t="s">
        <v>568</v>
      </c>
      <c r="D173" s="11">
        <v>1</v>
      </c>
      <c r="F173" s="11">
        <v>1</v>
      </c>
      <c r="G173" s="56">
        <v>1.27</v>
      </c>
      <c r="H173" s="56">
        <v>1.27</v>
      </c>
      <c r="I173" s="56">
        <v>0.44</v>
      </c>
      <c r="J173" s="11" t="s">
        <v>115</v>
      </c>
      <c r="L173" s="11">
        <v>0.1</v>
      </c>
      <c r="M173" s="11">
        <v>0.566666666666667</v>
      </c>
      <c r="P173" s="11">
        <v>0.133333333333333</v>
      </c>
      <c r="Q173" s="11">
        <v>0.566666666666667</v>
      </c>
      <c r="T173" s="11">
        <v>2.4</v>
      </c>
      <c r="U173" s="71"/>
      <c r="V173" s="71"/>
      <c r="W173" s="71"/>
      <c r="X173" s="71"/>
      <c r="Y173" s="56"/>
      <c r="Z173" s="56"/>
      <c r="AA173" s="56"/>
      <c r="AB173" s="56"/>
      <c r="AC173" s="56"/>
      <c r="AF173" s="11">
        <v>801</v>
      </c>
      <c r="AG173" s="11" t="s">
        <v>116</v>
      </c>
      <c r="AK173" s="11">
        <v>0</v>
      </c>
      <c r="AY173" s="56"/>
    </row>
    <row r="174" s="11" customFormat="1" spans="1:51">
      <c r="A174" s="11">
        <v>1012</v>
      </c>
      <c r="B174" s="56" t="s">
        <v>569</v>
      </c>
      <c r="C174" s="11" t="s">
        <v>570</v>
      </c>
      <c r="D174" s="11">
        <v>1</v>
      </c>
      <c r="F174" s="11">
        <v>1</v>
      </c>
      <c r="G174" s="85">
        <v>1.8</v>
      </c>
      <c r="H174" s="85">
        <v>1.8</v>
      </c>
      <c r="I174" s="85">
        <v>0.45</v>
      </c>
      <c r="J174" s="15" t="s">
        <v>115</v>
      </c>
      <c r="K174" s="15"/>
      <c r="T174" s="15">
        <v>2.4</v>
      </c>
      <c r="U174" s="85"/>
      <c r="V174" s="85"/>
      <c r="W174" s="85"/>
      <c r="X174" s="85"/>
      <c r="Y174" s="85"/>
      <c r="Z174" s="85"/>
      <c r="AA174" s="85"/>
      <c r="AB174" s="85"/>
      <c r="AC174" s="85"/>
      <c r="AF174" s="11">
        <v>801</v>
      </c>
      <c r="AG174" s="11" t="s">
        <v>116</v>
      </c>
      <c r="AK174" s="11">
        <v>0</v>
      </c>
      <c r="AY174" s="85"/>
    </row>
    <row r="175" s="11" customFormat="1" spans="1:51">
      <c r="A175" s="11">
        <v>1013</v>
      </c>
      <c r="B175" s="56" t="s">
        <v>571</v>
      </c>
      <c r="C175" s="11" t="s">
        <v>572</v>
      </c>
      <c r="D175" s="11">
        <v>1</v>
      </c>
      <c r="F175" s="11">
        <v>1</v>
      </c>
      <c r="G175" s="56">
        <v>1.53</v>
      </c>
      <c r="H175" s="56">
        <v>1.73</v>
      </c>
      <c r="I175" s="56">
        <v>0.5</v>
      </c>
      <c r="J175" s="11" t="s">
        <v>115</v>
      </c>
      <c r="L175" s="11">
        <v>0.133333333333333</v>
      </c>
      <c r="M175" s="11">
        <v>0.566666666666667</v>
      </c>
      <c r="P175" s="11">
        <v>0.133333333333333</v>
      </c>
      <c r="Q175" s="11">
        <v>0.566666666666667</v>
      </c>
      <c r="T175" s="11">
        <v>2.4</v>
      </c>
      <c r="U175" s="71"/>
      <c r="V175" s="71"/>
      <c r="W175" s="71"/>
      <c r="X175" s="71"/>
      <c r="Y175" s="56"/>
      <c r="Z175" s="56"/>
      <c r="AA175" s="56"/>
      <c r="AB175" s="56"/>
      <c r="AC175" s="56"/>
      <c r="AF175" s="11">
        <v>801</v>
      </c>
      <c r="AG175" s="11" t="s">
        <v>116</v>
      </c>
      <c r="AK175" s="11">
        <v>0</v>
      </c>
      <c r="AY175" s="56"/>
    </row>
    <row r="176" s="11" customFormat="1" spans="1:51">
      <c r="A176" s="11">
        <v>1014</v>
      </c>
      <c r="B176" s="56" t="s">
        <v>573</v>
      </c>
      <c r="C176" s="11" t="s">
        <v>574</v>
      </c>
      <c r="D176" s="11">
        <v>1</v>
      </c>
      <c r="F176" s="11">
        <v>1</v>
      </c>
      <c r="G176" s="56">
        <v>1.6</v>
      </c>
      <c r="H176" s="56">
        <v>1.7</v>
      </c>
      <c r="I176" s="56">
        <v>0.45</v>
      </c>
      <c r="J176" s="11" t="s">
        <v>115</v>
      </c>
      <c r="L176" s="11">
        <v>0.2</v>
      </c>
      <c r="M176" s="11">
        <v>0.633333333333333</v>
      </c>
      <c r="P176" s="11">
        <v>0.166666666666667</v>
      </c>
      <c r="Q176" s="11">
        <v>0.633333333333333</v>
      </c>
      <c r="T176" s="11">
        <v>2.4</v>
      </c>
      <c r="U176" s="71"/>
      <c r="V176" s="71"/>
      <c r="W176" s="71"/>
      <c r="X176" s="71"/>
      <c r="Y176" s="56"/>
      <c r="Z176" s="56"/>
      <c r="AA176" s="56"/>
      <c r="AB176" s="56"/>
      <c r="AC176" s="56"/>
      <c r="AF176" s="11">
        <v>801</v>
      </c>
      <c r="AG176" s="11" t="s">
        <v>116</v>
      </c>
      <c r="AK176" s="11">
        <v>0</v>
      </c>
      <c r="AY176" s="56"/>
    </row>
    <row r="177" s="11" customFormat="1" spans="1:51">
      <c r="A177" s="11">
        <v>1015</v>
      </c>
      <c r="B177" s="56" t="s">
        <v>575</v>
      </c>
      <c r="C177" s="11" t="s">
        <v>576</v>
      </c>
      <c r="D177" s="11">
        <v>1</v>
      </c>
      <c r="F177" s="11">
        <v>1</v>
      </c>
      <c r="G177" s="56">
        <v>1.83</v>
      </c>
      <c r="H177" s="56">
        <v>1.95</v>
      </c>
      <c r="I177" s="56">
        <v>0.55</v>
      </c>
      <c r="J177" s="11" t="s">
        <v>115</v>
      </c>
      <c r="L177" s="11">
        <v>0.166666666666667</v>
      </c>
      <c r="M177" s="11">
        <v>0.666666666666667</v>
      </c>
      <c r="P177" s="11">
        <v>0.166666666666667</v>
      </c>
      <c r="Q177" s="11">
        <v>0.633333333333333</v>
      </c>
      <c r="T177" s="11">
        <v>2.4</v>
      </c>
      <c r="U177" s="71"/>
      <c r="V177" s="71"/>
      <c r="W177" s="71"/>
      <c r="X177" s="71"/>
      <c r="Y177" s="56"/>
      <c r="Z177" s="56"/>
      <c r="AA177" s="56"/>
      <c r="AB177" s="56"/>
      <c r="AC177" s="56"/>
      <c r="AF177" s="11">
        <v>801</v>
      </c>
      <c r="AG177" s="11" t="s">
        <v>116</v>
      </c>
      <c r="AK177" s="11">
        <v>0</v>
      </c>
      <c r="AY177" s="56"/>
    </row>
    <row r="178" s="11" customFormat="1" spans="1:37">
      <c r="A178" s="11">
        <v>1016</v>
      </c>
      <c r="B178" s="56" t="s">
        <v>577</v>
      </c>
      <c r="C178" s="11" t="s">
        <v>578</v>
      </c>
      <c r="D178" s="11">
        <v>1</v>
      </c>
      <c r="F178" s="11">
        <v>1</v>
      </c>
      <c r="G178" s="50">
        <v>2.06</v>
      </c>
      <c r="H178" s="50">
        <v>2.26</v>
      </c>
      <c r="I178" s="50">
        <v>0.5</v>
      </c>
      <c r="J178" s="11" t="s">
        <v>115</v>
      </c>
      <c r="L178" s="11">
        <f>1/30</f>
        <v>0.0333333333333333</v>
      </c>
      <c r="M178" s="11">
        <v>0.5</v>
      </c>
      <c r="P178" s="11">
        <v>0.0666666666666667</v>
      </c>
      <c r="Q178" s="11">
        <v>0.733333333333333</v>
      </c>
      <c r="T178" s="11">
        <v>2.4</v>
      </c>
      <c r="U178" s="71"/>
      <c r="V178" s="71"/>
      <c r="W178" s="71"/>
      <c r="X178" s="71"/>
      <c r="AF178" s="11">
        <v>801</v>
      </c>
      <c r="AG178" s="11" t="s">
        <v>116</v>
      </c>
      <c r="AK178" s="11">
        <v>0</v>
      </c>
    </row>
    <row r="179" s="11" customFormat="1" spans="1:51">
      <c r="A179" s="11">
        <v>1017</v>
      </c>
      <c r="B179" s="56" t="s">
        <v>579</v>
      </c>
      <c r="C179" s="11" t="s">
        <v>580</v>
      </c>
      <c r="D179" s="11">
        <v>1</v>
      </c>
      <c r="F179" s="11">
        <v>1</v>
      </c>
      <c r="G179" s="56">
        <v>1.92</v>
      </c>
      <c r="H179" s="56">
        <v>2.26</v>
      </c>
      <c r="I179" s="56">
        <v>1.6</v>
      </c>
      <c r="J179" s="11" t="s">
        <v>115</v>
      </c>
      <c r="L179" s="11">
        <v>0.0666666666666667</v>
      </c>
      <c r="M179" s="11">
        <v>0.533333333333333</v>
      </c>
      <c r="P179" s="11">
        <v>0.0666666666666667</v>
      </c>
      <c r="Q179" s="11">
        <v>0.5</v>
      </c>
      <c r="T179" s="11">
        <v>2.4</v>
      </c>
      <c r="U179" s="71"/>
      <c r="V179" s="71"/>
      <c r="W179" s="71"/>
      <c r="X179" s="71"/>
      <c r="Y179" s="56"/>
      <c r="Z179" s="56"/>
      <c r="AA179" s="56"/>
      <c r="AB179" s="56"/>
      <c r="AC179" s="56"/>
      <c r="AF179" s="11">
        <v>801</v>
      </c>
      <c r="AG179" s="11" t="s">
        <v>116</v>
      </c>
      <c r="AK179" s="11">
        <v>0</v>
      </c>
      <c r="AY179" s="56"/>
    </row>
    <row r="180" s="11" customFormat="1" spans="1:51">
      <c r="A180" s="11">
        <v>1018</v>
      </c>
      <c r="B180" s="11" t="s">
        <v>581</v>
      </c>
      <c r="C180" s="11" t="s">
        <v>582</v>
      </c>
      <c r="D180" s="56">
        <v>1</v>
      </c>
      <c r="E180" s="56"/>
      <c r="F180" s="56">
        <v>1</v>
      </c>
      <c r="G180" s="56">
        <v>1.83</v>
      </c>
      <c r="H180" s="56">
        <v>1.83</v>
      </c>
      <c r="I180" s="56">
        <v>0.44</v>
      </c>
      <c r="J180" s="56" t="s">
        <v>115</v>
      </c>
      <c r="K180" s="56"/>
      <c r="L180" s="11">
        <f>1/30</f>
        <v>0.0333333333333333</v>
      </c>
      <c r="M180" s="11">
        <v>0.533333333333333</v>
      </c>
      <c r="P180" s="11">
        <v>0</v>
      </c>
      <c r="Q180" s="11">
        <v>0.666666666666667</v>
      </c>
      <c r="T180" s="56">
        <v>2.4</v>
      </c>
      <c r="U180" s="71"/>
      <c r="V180" s="71"/>
      <c r="W180" s="71"/>
      <c r="X180" s="71"/>
      <c r="Y180" s="56"/>
      <c r="Z180" s="56"/>
      <c r="AA180" s="56"/>
      <c r="AB180" s="56"/>
      <c r="AC180" s="56"/>
      <c r="AF180" s="11">
        <v>801</v>
      </c>
      <c r="AG180" s="11" t="s">
        <v>116</v>
      </c>
      <c r="AK180" s="11">
        <v>0</v>
      </c>
      <c r="AY180" s="56"/>
    </row>
    <row r="181" s="11" customFormat="1" spans="1:37">
      <c r="A181" s="11">
        <v>1019</v>
      </c>
      <c r="B181" s="11" t="s">
        <v>583</v>
      </c>
      <c r="C181" s="11" t="s">
        <v>584</v>
      </c>
      <c r="D181" s="56">
        <v>1</v>
      </c>
      <c r="E181" s="56"/>
      <c r="F181" s="56">
        <v>1</v>
      </c>
      <c r="G181" s="56">
        <v>1.6</v>
      </c>
      <c r="H181" s="56">
        <v>1.6</v>
      </c>
      <c r="I181" s="56">
        <v>0.5</v>
      </c>
      <c r="J181" s="56" t="s">
        <v>115</v>
      </c>
      <c r="K181" s="56"/>
      <c r="L181" s="11">
        <v>0.0666666666666667</v>
      </c>
      <c r="M181" s="11">
        <v>0.766666666666667</v>
      </c>
      <c r="P181" s="11">
        <v>0.0666666666666667</v>
      </c>
      <c r="Q181" s="11">
        <v>0.633333333333333</v>
      </c>
      <c r="T181" s="11">
        <v>2.4</v>
      </c>
      <c r="U181" s="71"/>
      <c r="V181" s="71"/>
      <c r="W181" s="71"/>
      <c r="X181" s="71"/>
      <c r="Y181" s="71"/>
      <c r="Z181" s="71"/>
      <c r="AA181" s="71"/>
      <c r="AB181" s="71"/>
      <c r="AF181" s="11">
        <v>801</v>
      </c>
      <c r="AG181" s="11" t="s">
        <v>116</v>
      </c>
      <c r="AK181" s="11">
        <v>0</v>
      </c>
    </row>
    <row r="182" s="11" customFormat="1" spans="1:37">
      <c r="A182" s="11">
        <v>1020</v>
      </c>
      <c r="B182" s="11" t="s">
        <v>585</v>
      </c>
      <c r="C182" s="11" t="s">
        <v>586</v>
      </c>
      <c r="D182" s="56">
        <v>1</v>
      </c>
      <c r="E182" s="56"/>
      <c r="F182" s="56">
        <v>1</v>
      </c>
      <c r="G182" s="56">
        <v>1.71</v>
      </c>
      <c r="H182" s="56">
        <v>1.71</v>
      </c>
      <c r="I182" s="56">
        <v>0.35</v>
      </c>
      <c r="J182" s="56" t="s">
        <v>115</v>
      </c>
      <c r="K182" s="56"/>
      <c r="L182" s="11">
        <v>0.133333333333333</v>
      </c>
      <c r="M182" s="11">
        <v>0.466666666666667</v>
      </c>
      <c r="P182" s="11">
        <v>0.133333333333333</v>
      </c>
      <c r="Q182" s="11">
        <v>0.466666666666667</v>
      </c>
      <c r="T182" s="11">
        <v>2.4</v>
      </c>
      <c r="U182" s="71"/>
      <c r="V182" s="71"/>
      <c r="W182" s="71"/>
      <c r="X182" s="71"/>
      <c r="AF182" s="11">
        <v>801</v>
      </c>
      <c r="AG182" s="11" t="s">
        <v>116</v>
      </c>
      <c r="AK182" s="11">
        <v>0</v>
      </c>
    </row>
    <row r="183" s="11" customFormat="1" spans="1:37">
      <c r="A183" s="11">
        <v>1021</v>
      </c>
      <c r="B183" s="11" t="s">
        <v>587</v>
      </c>
      <c r="C183" s="11" t="s">
        <v>588</v>
      </c>
      <c r="D183" s="56">
        <v>1</v>
      </c>
      <c r="E183" s="56"/>
      <c r="F183" s="56">
        <v>1</v>
      </c>
      <c r="G183" s="56">
        <v>1.6</v>
      </c>
      <c r="H183" s="56">
        <v>1.84</v>
      </c>
      <c r="I183" s="56">
        <v>0.45</v>
      </c>
      <c r="J183" s="56" t="s">
        <v>115</v>
      </c>
      <c r="K183" s="56"/>
      <c r="L183" s="11">
        <v>0.133333333333333</v>
      </c>
      <c r="M183" s="11">
        <v>0.566666666666667</v>
      </c>
      <c r="P183" s="11">
        <v>0.133333333333333</v>
      </c>
      <c r="Q183" s="11">
        <v>0.6</v>
      </c>
      <c r="T183" s="11">
        <v>2.4</v>
      </c>
      <c r="U183" s="71"/>
      <c r="V183" s="71"/>
      <c r="W183" s="71"/>
      <c r="X183" s="71"/>
      <c r="AF183" s="11">
        <v>801</v>
      </c>
      <c r="AG183" s="11" t="s">
        <v>116</v>
      </c>
      <c r="AK183" s="11">
        <v>0</v>
      </c>
    </row>
    <row r="184" s="11" customFormat="1" spans="1:37">
      <c r="A184" s="11">
        <v>1022</v>
      </c>
      <c r="B184" s="11" t="s">
        <v>589</v>
      </c>
      <c r="C184" s="11" t="s">
        <v>590</v>
      </c>
      <c r="D184" s="56">
        <v>1</v>
      </c>
      <c r="E184" s="56"/>
      <c r="F184" s="56">
        <v>1</v>
      </c>
      <c r="G184" s="56">
        <v>1.75</v>
      </c>
      <c r="H184" s="56">
        <v>1.75</v>
      </c>
      <c r="I184" s="56">
        <v>0.45</v>
      </c>
      <c r="J184" s="56" t="s">
        <v>115</v>
      </c>
      <c r="K184" s="56"/>
      <c r="L184" s="11">
        <v>0.133333333333333</v>
      </c>
      <c r="M184" s="11">
        <v>0.6</v>
      </c>
      <c r="P184" s="11">
        <v>0.133333333333333</v>
      </c>
      <c r="Q184" s="11">
        <v>0.6</v>
      </c>
      <c r="T184" s="11">
        <v>2.4</v>
      </c>
      <c r="U184" s="71"/>
      <c r="V184" s="71"/>
      <c r="W184" s="71"/>
      <c r="X184" s="71"/>
      <c r="AF184" s="11">
        <v>801</v>
      </c>
      <c r="AG184" s="11" t="s">
        <v>116</v>
      </c>
      <c r="AK184" s="11">
        <v>0</v>
      </c>
    </row>
    <row r="185" s="11" customFormat="1" spans="1:37">
      <c r="A185" s="11">
        <v>1023</v>
      </c>
      <c r="B185" s="11" t="s">
        <v>591</v>
      </c>
      <c r="C185" s="11" t="s">
        <v>592</v>
      </c>
      <c r="D185" s="56">
        <v>1</v>
      </c>
      <c r="E185" s="56"/>
      <c r="F185" s="56">
        <v>1</v>
      </c>
      <c r="G185" s="56">
        <v>1.53</v>
      </c>
      <c r="H185" s="56">
        <v>1.53</v>
      </c>
      <c r="I185" s="56">
        <v>0.45</v>
      </c>
      <c r="J185" s="56" t="s">
        <v>115</v>
      </c>
      <c r="K185" s="56"/>
      <c r="L185" s="11">
        <v>0.0666666666666667</v>
      </c>
      <c r="M185" s="11">
        <v>0.6</v>
      </c>
      <c r="P185" s="11">
        <v>0.0666666666666667</v>
      </c>
      <c r="Q185" s="11">
        <v>0.6</v>
      </c>
      <c r="T185" s="11">
        <v>2.4</v>
      </c>
      <c r="U185" s="71"/>
      <c r="V185" s="71"/>
      <c r="W185" s="71"/>
      <c r="X185" s="71"/>
      <c r="AF185" s="11">
        <v>801</v>
      </c>
      <c r="AG185" s="11" t="s">
        <v>116</v>
      </c>
      <c r="AK185" s="11">
        <v>0</v>
      </c>
    </row>
    <row r="186" s="11" customFormat="1" spans="1:37">
      <c r="A186" s="11">
        <v>1024</v>
      </c>
      <c r="B186" s="11" t="s">
        <v>593</v>
      </c>
      <c r="C186" s="11" t="s">
        <v>594</v>
      </c>
      <c r="D186" s="56">
        <v>1</v>
      </c>
      <c r="E186" s="56"/>
      <c r="F186" s="56">
        <v>1</v>
      </c>
      <c r="G186" s="56">
        <v>1.75</v>
      </c>
      <c r="H186" s="56">
        <v>1.75</v>
      </c>
      <c r="I186" s="56">
        <v>0.45</v>
      </c>
      <c r="J186" s="56" t="s">
        <v>115</v>
      </c>
      <c r="K186" s="56"/>
      <c r="L186" s="11">
        <v>0.0666666666666667</v>
      </c>
      <c r="M186" s="11">
        <v>0.6</v>
      </c>
      <c r="P186" s="11">
        <v>0.0666666666666667</v>
      </c>
      <c r="Q186" s="11">
        <v>0.6</v>
      </c>
      <c r="T186" s="11">
        <v>2.4</v>
      </c>
      <c r="U186" s="71"/>
      <c r="V186" s="71"/>
      <c r="W186" s="71"/>
      <c r="X186" s="71"/>
      <c r="AF186" s="11">
        <v>801</v>
      </c>
      <c r="AG186" s="11" t="s">
        <v>116</v>
      </c>
      <c r="AK186" s="11">
        <v>0</v>
      </c>
    </row>
    <row r="187" s="11" customFormat="1" spans="1:37">
      <c r="A187" s="11">
        <v>1025</v>
      </c>
      <c r="B187" s="11" t="s">
        <v>595</v>
      </c>
      <c r="C187" s="11" t="s">
        <v>596</v>
      </c>
      <c r="D187" s="56">
        <v>1</v>
      </c>
      <c r="E187" s="56"/>
      <c r="F187" s="56">
        <v>1</v>
      </c>
      <c r="G187" s="56">
        <v>1.8</v>
      </c>
      <c r="H187" s="56">
        <v>1.8</v>
      </c>
      <c r="I187" s="56">
        <v>0.45</v>
      </c>
      <c r="J187" s="56" t="s">
        <v>115</v>
      </c>
      <c r="K187" s="56"/>
      <c r="L187" s="11">
        <v>0</v>
      </c>
      <c r="M187" s="11">
        <v>0.6</v>
      </c>
      <c r="P187" s="11">
        <v>0</v>
      </c>
      <c r="Q187" s="11">
        <v>0.533333333333333</v>
      </c>
      <c r="T187" s="11">
        <v>2.4</v>
      </c>
      <c r="U187" s="71"/>
      <c r="V187" s="71"/>
      <c r="W187" s="71"/>
      <c r="X187" s="71"/>
      <c r="AF187" s="11">
        <v>801</v>
      </c>
      <c r="AG187" s="11" t="s">
        <v>116</v>
      </c>
      <c r="AK187" s="11">
        <v>0</v>
      </c>
    </row>
    <row r="188" s="11" customFormat="1" spans="1:37">
      <c r="A188" s="11">
        <v>1026</v>
      </c>
      <c r="B188" s="11" t="s">
        <v>597</v>
      </c>
      <c r="C188" s="11" t="s">
        <v>598</v>
      </c>
      <c r="D188" s="56">
        <v>1</v>
      </c>
      <c r="E188" s="56"/>
      <c r="F188" s="56">
        <v>1</v>
      </c>
      <c r="G188" s="56">
        <v>1.82</v>
      </c>
      <c r="H188" s="56">
        <v>1.82</v>
      </c>
      <c r="I188" s="56">
        <v>0.45</v>
      </c>
      <c r="J188" s="56" t="s">
        <v>115</v>
      </c>
      <c r="K188" s="56"/>
      <c r="L188" s="11">
        <v>0.0666666666666667</v>
      </c>
      <c r="M188" s="11">
        <v>0.6</v>
      </c>
      <c r="P188" s="11">
        <v>0.0666666666666667</v>
      </c>
      <c r="Q188" s="11">
        <v>0.6</v>
      </c>
      <c r="T188" s="11">
        <v>2.4</v>
      </c>
      <c r="U188" s="71"/>
      <c r="V188" s="71"/>
      <c r="W188" s="71"/>
      <c r="X188" s="71"/>
      <c r="AF188" s="11">
        <v>801</v>
      </c>
      <c r="AG188" s="11" t="s">
        <v>116</v>
      </c>
      <c r="AK188" s="11">
        <v>0</v>
      </c>
    </row>
    <row r="189" s="11" customFormat="1" spans="1:37">
      <c r="A189" s="11">
        <v>1027</v>
      </c>
      <c r="B189" s="11" t="s">
        <v>599</v>
      </c>
      <c r="C189" s="11" t="s">
        <v>600</v>
      </c>
      <c r="D189" s="56">
        <v>1</v>
      </c>
      <c r="E189" s="56"/>
      <c r="F189" s="56">
        <v>1</v>
      </c>
      <c r="G189" s="56">
        <v>1.93</v>
      </c>
      <c r="H189" s="56">
        <v>1.55</v>
      </c>
      <c r="I189" s="56">
        <v>0.68</v>
      </c>
      <c r="J189" s="56" t="s">
        <v>115</v>
      </c>
      <c r="K189" s="56"/>
      <c r="L189" s="11">
        <v>0</v>
      </c>
      <c r="M189" s="11">
        <v>0.5</v>
      </c>
      <c r="P189" s="11">
        <v>0</v>
      </c>
      <c r="Q189" s="11">
        <v>0.5</v>
      </c>
      <c r="T189" s="11">
        <v>2.4</v>
      </c>
      <c r="U189" s="71"/>
      <c r="V189" s="71"/>
      <c r="W189" s="71"/>
      <c r="X189" s="71"/>
      <c r="Y189" s="71"/>
      <c r="AF189" s="11">
        <v>801</v>
      </c>
      <c r="AG189" s="11" t="s">
        <v>116</v>
      </c>
      <c r="AK189" s="11">
        <v>0</v>
      </c>
    </row>
    <row r="190" s="11" customFormat="1" spans="1:37">
      <c r="A190" s="11">
        <v>1029</v>
      </c>
      <c r="B190" s="11" t="s">
        <v>601</v>
      </c>
      <c r="C190" s="11" t="s">
        <v>602</v>
      </c>
      <c r="D190" s="56">
        <v>1</v>
      </c>
      <c r="E190" s="56"/>
      <c r="F190" s="56">
        <v>1</v>
      </c>
      <c r="G190" s="56">
        <v>1.78</v>
      </c>
      <c r="H190" s="56">
        <v>1.89</v>
      </c>
      <c r="I190" s="56">
        <v>0.7</v>
      </c>
      <c r="J190" s="56" t="s">
        <v>115</v>
      </c>
      <c r="K190" s="56"/>
      <c r="L190" s="11">
        <v>0.0666666666666667</v>
      </c>
      <c r="M190" s="11">
        <v>0.6</v>
      </c>
      <c r="P190" s="11">
        <v>0.0666666666666667</v>
      </c>
      <c r="Q190" s="11">
        <v>0.6</v>
      </c>
      <c r="T190" s="11">
        <v>2.4</v>
      </c>
      <c r="U190" s="71"/>
      <c r="V190" s="71"/>
      <c r="W190" s="71"/>
      <c r="X190" s="71"/>
      <c r="AF190" s="11">
        <v>801</v>
      </c>
      <c r="AG190" s="11" t="s">
        <v>116</v>
      </c>
      <c r="AK190" s="11">
        <v>0</v>
      </c>
    </row>
    <row r="191" s="11" customFormat="1" spans="1:37">
      <c r="A191" s="11">
        <v>1030</v>
      </c>
      <c r="B191" s="11" t="s">
        <v>603</v>
      </c>
      <c r="C191" s="11" t="s">
        <v>604</v>
      </c>
      <c r="D191" s="56">
        <v>1</v>
      </c>
      <c r="E191" s="56"/>
      <c r="F191" s="56">
        <v>1</v>
      </c>
      <c r="G191" s="56">
        <v>1.76</v>
      </c>
      <c r="H191" s="56">
        <v>1.92</v>
      </c>
      <c r="I191" s="56">
        <v>0.7</v>
      </c>
      <c r="J191" s="56" t="s">
        <v>115</v>
      </c>
      <c r="K191" s="56"/>
      <c r="L191" s="11">
        <v>0.0666666666666667</v>
      </c>
      <c r="M191" s="11">
        <v>0.6</v>
      </c>
      <c r="P191" s="11">
        <v>0.0666666666666667</v>
      </c>
      <c r="Q191" s="11">
        <v>0.6</v>
      </c>
      <c r="T191" s="11">
        <v>2.4</v>
      </c>
      <c r="U191" s="71"/>
      <c r="V191" s="71"/>
      <c r="W191" s="71"/>
      <c r="X191" s="71"/>
      <c r="AF191" s="11">
        <v>801</v>
      </c>
      <c r="AG191" s="11" t="s">
        <v>116</v>
      </c>
      <c r="AK191" s="11">
        <v>0</v>
      </c>
    </row>
    <row r="192" s="11" customFormat="1" spans="1:37">
      <c r="A192" s="11">
        <v>1031</v>
      </c>
      <c r="B192" s="11" t="s">
        <v>605</v>
      </c>
      <c r="C192" s="86" t="s">
        <v>606</v>
      </c>
      <c r="D192" s="56">
        <v>1</v>
      </c>
      <c r="E192" s="56"/>
      <c r="F192" s="56">
        <v>1</v>
      </c>
      <c r="G192" s="56">
        <v>1.99</v>
      </c>
      <c r="H192" s="56">
        <v>1.65</v>
      </c>
      <c r="I192" s="56">
        <v>0.45</v>
      </c>
      <c r="J192" s="56" t="s">
        <v>115</v>
      </c>
      <c r="K192" s="56"/>
      <c r="L192" s="11">
        <v>0.133333333333333</v>
      </c>
      <c r="M192" s="11">
        <v>0.566666666666667</v>
      </c>
      <c r="P192" s="11">
        <v>0.0666666666666667</v>
      </c>
      <c r="Q192" s="11">
        <v>0.5</v>
      </c>
      <c r="T192" s="11">
        <v>2.4</v>
      </c>
      <c r="U192" s="71"/>
      <c r="V192" s="71"/>
      <c r="W192" s="71"/>
      <c r="X192" s="71"/>
      <c r="AF192" s="11">
        <v>801</v>
      </c>
      <c r="AG192" s="11" t="s">
        <v>116</v>
      </c>
      <c r="AK192" s="11">
        <v>0</v>
      </c>
    </row>
    <row r="193" s="11" customFormat="1" spans="1:37">
      <c r="A193" s="11">
        <v>1032</v>
      </c>
      <c r="B193" s="11" t="s">
        <v>607</v>
      </c>
      <c r="C193" s="86" t="s">
        <v>608</v>
      </c>
      <c r="D193" s="56">
        <v>1</v>
      </c>
      <c r="E193" s="56"/>
      <c r="F193" s="56">
        <v>1</v>
      </c>
      <c r="G193" s="56">
        <v>1.9</v>
      </c>
      <c r="H193" s="56">
        <v>1.5</v>
      </c>
      <c r="I193" s="56">
        <v>0.45</v>
      </c>
      <c r="J193" s="56" t="s">
        <v>115</v>
      </c>
      <c r="K193" s="56"/>
      <c r="L193" s="11">
        <f>5/30</f>
        <v>0.166666666666667</v>
      </c>
      <c r="M193" s="11">
        <v>0.6</v>
      </c>
      <c r="P193" s="11">
        <v>0.133333333333333</v>
      </c>
      <c r="Q193" s="11">
        <v>0.466666666666667</v>
      </c>
      <c r="T193" s="11">
        <v>2.4</v>
      </c>
      <c r="U193" s="71"/>
      <c r="V193" s="71"/>
      <c r="W193" s="71"/>
      <c r="X193" s="71"/>
      <c r="AF193" s="11">
        <v>801</v>
      </c>
      <c r="AG193" s="11" t="s">
        <v>116</v>
      </c>
      <c r="AK193" s="11">
        <v>0</v>
      </c>
    </row>
    <row r="194" s="11" customFormat="1" spans="1:37">
      <c r="A194" s="11">
        <v>1033</v>
      </c>
      <c r="B194" s="11" t="s">
        <v>609</v>
      </c>
      <c r="C194" s="86" t="s">
        <v>610</v>
      </c>
      <c r="D194" s="56">
        <v>1</v>
      </c>
      <c r="E194" s="56"/>
      <c r="F194" s="56">
        <v>1</v>
      </c>
      <c r="G194" s="56">
        <v>2</v>
      </c>
      <c r="H194" s="56">
        <v>1.87</v>
      </c>
      <c r="I194" s="56">
        <v>0.45</v>
      </c>
      <c r="J194" s="56" t="s">
        <v>115</v>
      </c>
      <c r="K194" s="56"/>
      <c r="L194" s="11">
        <v>0.0333333333333333</v>
      </c>
      <c r="M194" s="11">
        <v>0.4</v>
      </c>
      <c r="P194" s="11">
        <v>0.0333333333333333</v>
      </c>
      <c r="Q194" s="11">
        <v>0.5</v>
      </c>
      <c r="T194" s="11">
        <v>2.4</v>
      </c>
      <c r="U194" s="71"/>
      <c r="V194" s="71"/>
      <c r="W194" s="71"/>
      <c r="X194" s="71"/>
      <c r="Y194" s="71"/>
      <c r="AF194" s="11">
        <v>801</v>
      </c>
      <c r="AG194" s="11" t="s">
        <v>116</v>
      </c>
      <c r="AK194" s="11">
        <v>0</v>
      </c>
    </row>
    <row r="195" s="11" customFormat="1" spans="1:37">
      <c r="A195" s="11">
        <v>1034</v>
      </c>
      <c r="B195" s="11" t="s">
        <v>611</v>
      </c>
      <c r="C195" s="11" t="s">
        <v>612</v>
      </c>
      <c r="D195" s="56">
        <v>1</v>
      </c>
      <c r="E195" s="56"/>
      <c r="F195" s="56">
        <v>1</v>
      </c>
      <c r="G195" s="56">
        <v>1.8</v>
      </c>
      <c r="H195" s="56">
        <v>1.8</v>
      </c>
      <c r="I195" s="56">
        <v>0.5</v>
      </c>
      <c r="J195" s="56" t="s">
        <v>115</v>
      </c>
      <c r="K195" s="56"/>
      <c r="L195" s="11">
        <v>0.0666666666666667</v>
      </c>
      <c r="M195" s="11">
        <v>0.6</v>
      </c>
      <c r="P195" s="11">
        <v>0.0666666666666667</v>
      </c>
      <c r="Q195" s="11">
        <v>0.6</v>
      </c>
      <c r="T195" s="11">
        <v>2.4</v>
      </c>
      <c r="U195" s="71"/>
      <c r="V195" s="71"/>
      <c r="W195" s="71"/>
      <c r="X195" s="71"/>
      <c r="Y195" s="71"/>
      <c r="AF195" s="11">
        <v>801</v>
      </c>
      <c r="AG195" s="11" t="s">
        <v>116</v>
      </c>
      <c r="AK195" s="11">
        <v>0</v>
      </c>
    </row>
    <row r="196" s="11" customFormat="1" spans="1:37">
      <c r="A196" s="15">
        <v>1035</v>
      </c>
      <c r="B196" s="11" t="s">
        <v>613</v>
      </c>
      <c r="C196" s="11" t="s">
        <v>614</v>
      </c>
      <c r="D196" s="56">
        <v>1</v>
      </c>
      <c r="E196" s="56"/>
      <c r="F196" s="56">
        <v>1</v>
      </c>
      <c r="G196" s="56">
        <v>2</v>
      </c>
      <c r="H196" s="56">
        <v>2</v>
      </c>
      <c r="I196" s="56">
        <v>0.4</v>
      </c>
      <c r="J196" s="56" t="s">
        <v>115</v>
      </c>
      <c r="K196" s="56"/>
      <c r="L196" s="11">
        <v>0.133333333333333</v>
      </c>
      <c r="M196" s="11">
        <v>0.633333333333333</v>
      </c>
      <c r="P196" s="11">
        <v>0.133333333333333</v>
      </c>
      <c r="Q196" s="11">
        <v>0.7</v>
      </c>
      <c r="T196" s="11">
        <v>2.4</v>
      </c>
      <c r="U196" s="71"/>
      <c r="V196" s="71"/>
      <c r="W196" s="71"/>
      <c r="X196" s="71"/>
      <c r="Y196" s="71"/>
      <c r="AF196" s="11">
        <v>801</v>
      </c>
      <c r="AG196" s="11" t="s">
        <v>116</v>
      </c>
      <c r="AK196" s="11">
        <v>0</v>
      </c>
    </row>
    <row r="197" s="11" customFormat="1" spans="1:37">
      <c r="A197" s="15">
        <v>1036</v>
      </c>
      <c r="B197" s="11" t="s">
        <v>615</v>
      </c>
      <c r="C197" s="11" t="s">
        <v>616</v>
      </c>
      <c r="D197" s="56">
        <v>1</v>
      </c>
      <c r="E197" s="56"/>
      <c r="F197" s="56">
        <v>1</v>
      </c>
      <c r="G197" s="56">
        <v>1.85</v>
      </c>
      <c r="H197" s="56">
        <v>1.85</v>
      </c>
      <c r="I197" s="56">
        <v>0.43</v>
      </c>
      <c r="J197" s="56" t="s">
        <v>115</v>
      </c>
      <c r="K197" s="56"/>
      <c r="L197" s="11">
        <v>0.2</v>
      </c>
      <c r="M197" s="11">
        <v>0.533333333333333</v>
      </c>
      <c r="P197" s="11">
        <v>0.166666666666667</v>
      </c>
      <c r="Q197" s="11">
        <v>0.566666666666667</v>
      </c>
      <c r="T197" s="11">
        <v>2.4</v>
      </c>
      <c r="U197" s="71"/>
      <c r="V197" s="71"/>
      <c r="W197" s="71"/>
      <c r="X197" s="71"/>
      <c r="Y197" s="71"/>
      <c r="AF197" s="11">
        <v>801</v>
      </c>
      <c r="AG197" s="11" t="s">
        <v>116</v>
      </c>
      <c r="AK197" s="11">
        <v>0</v>
      </c>
    </row>
    <row r="198" s="11" customFormat="1" spans="1:37">
      <c r="A198" s="15">
        <v>1037</v>
      </c>
      <c r="B198" s="11" t="s">
        <v>617</v>
      </c>
      <c r="C198" s="11" t="s">
        <v>618</v>
      </c>
      <c r="D198" s="56">
        <v>1</v>
      </c>
      <c r="E198" s="56"/>
      <c r="F198" s="56">
        <v>1</v>
      </c>
      <c r="G198" s="56">
        <v>1.9</v>
      </c>
      <c r="H198" s="56">
        <v>1.97</v>
      </c>
      <c r="I198" s="56">
        <v>0.4</v>
      </c>
      <c r="J198" s="56" t="s">
        <v>115</v>
      </c>
      <c r="K198" s="56"/>
      <c r="L198" s="11">
        <v>0.166666666666667</v>
      </c>
      <c r="M198" s="11">
        <v>0.633333333333333</v>
      </c>
      <c r="P198" s="11">
        <v>0.133333333333333</v>
      </c>
      <c r="Q198" s="11">
        <v>0.633333333333333</v>
      </c>
      <c r="T198" s="11">
        <v>2.4</v>
      </c>
      <c r="U198" s="71"/>
      <c r="V198" s="71"/>
      <c r="W198" s="71"/>
      <c r="X198" s="71"/>
      <c r="Y198" s="71"/>
      <c r="AF198" s="11">
        <v>801</v>
      </c>
      <c r="AG198" s="11" t="s">
        <v>116</v>
      </c>
      <c r="AK198" s="11">
        <v>0</v>
      </c>
    </row>
    <row r="199" s="11" customFormat="1" spans="1:37">
      <c r="A199" s="96">
        <v>1038</v>
      </c>
      <c r="B199" s="11" t="s">
        <v>619</v>
      </c>
      <c r="C199" s="11" t="s">
        <v>620</v>
      </c>
      <c r="D199" s="56">
        <v>1</v>
      </c>
      <c r="E199" s="56"/>
      <c r="F199" s="56">
        <v>1</v>
      </c>
      <c r="G199" s="56">
        <v>1.91</v>
      </c>
      <c r="H199" s="56">
        <v>2.07</v>
      </c>
      <c r="I199" s="56">
        <v>0.5</v>
      </c>
      <c r="J199" s="56" t="s">
        <v>115</v>
      </c>
      <c r="K199" s="56"/>
      <c r="L199" s="11">
        <v>0.133333333333333</v>
      </c>
      <c r="M199" s="11">
        <v>0.466666666666667</v>
      </c>
      <c r="P199" s="11">
        <v>0.166666666666667</v>
      </c>
      <c r="Q199" s="11">
        <v>0.5</v>
      </c>
      <c r="T199" s="11">
        <v>2.4</v>
      </c>
      <c r="U199" s="71"/>
      <c r="V199" s="71"/>
      <c r="W199" s="71"/>
      <c r="X199" s="71"/>
      <c r="Y199" s="71"/>
      <c r="AF199" s="11">
        <v>801</v>
      </c>
      <c r="AG199" s="11" t="s">
        <v>116</v>
      </c>
      <c r="AK199" s="11">
        <v>0</v>
      </c>
    </row>
    <row r="200" s="11" customFormat="1" spans="1:37">
      <c r="A200" s="15">
        <v>1039</v>
      </c>
      <c r="B200" s="11" t="s">
        <v>621</v>
      </c>
      <c r="C200" s="11" t="s">
        <v>622</v>
      </c>
      <c r="D200" s="56">
        <v>1</v>
      </c>
      <c r="E200" s="56"/>
      <c r="F200" s="56">
        <v>1</v>
      </c>
      <c r="G200" s="56">
        <v>0.94</v>
      </c>
      <c r="H200" s="56">
        <v>0.94</v>
      </c>
      <c r="I200" s="56">
        <v>0.51</v>
      </c>
      <c r="J200" s="56" t="s">
        <v>115</v>
      </c>
      <c r="K200" s="56"/>
      <c r="L200" s="11">
        <v>0.1</v>
      </c>
      <c r="M200" s="11">
        <v>0.6</v>
      </c>
      <c r="P200" s="11">
        <v>0.1</v>
      </c>
      <c r="Q200" s="11">
        <v>0.533333333333333</v>
      </c>
      <c r="T200" s="11">
        <v>2.4</v>
      </c>
      <c r="U200" s="71"/>
      <c r="V200" s="71"/>
      <c r="W200" s="71"/>
      <c r="X200" s="71"/>
      <c r="Y200" s="71"/>
      <c r="AF200" s="11">
        <v>801</v>
      </c>
      <c r="AG200" s="11" t="s">
        <v>116</v>
      </c>
      <c r="AK200" s="11">
        <v>0</v>
      </c>
    </row>
    <row r="201" s="11" customFormat="1" spans="1:37">
      <c r="A201" s="96">
        <v>1040</v>
      </c>
      <c r="B201" s="11" t="s">
        <v>623</v>
      </c>
      <c r="C201" s="11" t="s">
        <v>624</v>
      </c>
      <c r="D201" s="56">
        <v>1</v>
      </c>
      <c r="E201" s="56"/>
      <c r="F201" s="56">
        <v>1</v>
      </c>
      <c r="G201" s="56">
        <v>1.71</v>
      </c>
      <c r="H201" s="56">
        <v>1.71</v>
      </c>
      <c r="I201" s="56">
        <v>0.35</v>
      </c>
      <c r="J201" s="56" t="s">
        <v>115</v>
      </c>
      <c r="K201" s="56"/>
      <c r="L201" s="11">
        <v>0.0666666666666667</v>
      </c>
      <c r="M201" s="11">
        <v>0.566666666666667</v>
      </c>
      <c r="P201" s="11">
        <v>0.0666666666666667</v>
      </c>
      <c r="Q201" s="11">
        <v>0.433333333333333</v>
      </c>
      <c r="T201" s="11">
        <v>2.4</v>
      </c>
      <c r="U201" s="71"/>
      <c r="V201" s="71"/>
      <c r="W201" s="71"/>
      <c r="X201" s="71"/>
      <c r="Y201" s="71"/>
      <c r="AF201" s="11">
        <v>801</v>
      </c>
      <c r="AG201" s="11" t="s">
        <v>116</v>
      </c>
      <c r="AK201" s="11">
        <v>0</v>
      </c>
    </row>
    <row r="202" s="11" customFormat="1" spans="1:37">
      <c r="A202" s="15">
        <v>1041</v>
      </c>
      <c r="B202" s="11" t="s">
        <v>625</v>
      </c>
      <c r="C202" s="11" t="s">
        <v>626</v>
      </c>
      <c r="D202" s="56">
        <v>1</v>
      </c>
      <c r="E202" s="56"/>
      <c r="F202" s="56">
        <v>1</v>
      </c>
      <c r="G202" s="56">
        <v>1.87</v>
      </c>
      <c r="H202" s="56">
        <v>1.87</v>
      </c>
      <c r="I202" s="56">
        <v>0.52</v>
      </c>
      <c r="J202" s="56" t="s">
        <v>115</v>
      </c>
      <c r="K202" s="56"/>
      <c r="L202" s="11">
        <v>0.0333333333333333</v>
      </c>
      <c r="M202" s="11">
        <v>0.4</v>
      </c>
      <c r="P202" s="11">
        <v>0.0333333333333333</v>
      </c>
      <c r="Q202" s="11">
        <v>0.5</v>
      </c>
      <c r="T202" s="11">
        <v>2.4</v>
      </c>
      <c r="U202" s="71"/>
      <c r="V202" s="71"/>
      <c r="W202" s="71"/>
      <c r="X202" s="71"/>
      <c r="Y202" s="71"/>
      <c r="AF202" s="11">
        <v>801</v>
      </c>
      <c r="AG202" s="11" t="s">
        <v>116</v>
      </c>
      <c r="AK202" s="11">
        <v>0</v>
      </c>
    </row>
    <row r="203" s="11" customFormat="1" spans="1:37">
      <c r="A203" s="15">
        <v>1042</v>
      </c>
      <c r="B203" s="11" t="s">
        <v>627</v>
      </c>
      <c r="C203" s="11" t="s">
        <v>628</v>
      </c>
      <c r="D203" s="56">
        <v>1</v>
      </c>
      <c r="E203" s="56"/>
      <c r="F203" s="56">
        <v>1</v>
      </c>
      <c r="G203" s="56">
        <v>2.5</v>
      </c>
      <c r="H203" s="56">
        <v>2.5</v>
      </c>
      <c r="I203" s="56">
        <v>0.6</v>
      </c>
      <c r="J203" s="56" t="s">
        <v>115</v>
      </c>
      <c r="K203" s="56"/>
      <c r="L203" s="11">
        <v>0.166666666666667</v>
      </c>
      <c r="M203" s="11">
        <v>0.733333333333333</v>
      </c>
      <c r="P203" s="11">
        <v>0.1</v>
      </c>
      <c r="Q203" s="11">
        <v>0.633333333333333</v>
      </c>
      <c r="T203" s="11">
        <v>2.4</v>
      </c>
      <c r="U203" s="71"/>
      <c r="V203" s="71"/>
      <c r="W203" s="71"/>
      <c r="X203" s="71"/>
      <c r="Y203" s="71"/>
      <c r="AF203" s="11">
        <v>801</v>
      </c>
      <c r="AG203" s="11" t="s">
        <v>116</v>
      </c>
      <c r="AK203" s="11">
        <v>0</v>
      </c>
    </row>
    <row r="204" s="11" customFormat="1" spans="1:52">
      <c r="A204" s="11">
        <v>1043</v>
      </c>
      <c r="B204" s="97" t="s">
        <v>629</v>
      </c>
      <c r="C204" s="97" t="s">
        <v>630</v>
      </c>
      <c r="D204" s="56">
        <v>1</v>
      </c>
      <c r="E204" s="56"/>
      <c r="F204" s="56">
        <v>1</v>
      </c>
      <c r="G204" s="71">
        <v>1.96</v>
      </c>
      <c r="H204" s="71">
        <v>1.96</v>
      </c>
      <c r="I204" s="56">
        <v>0.35</v>
      </c>
      <c r="J204" s="56" t="s">
        <v>115</v>
      </c>
      <c r="K204" s="56"/>
      <c r="L204" s="11">
        <v>0.0333333333333333</v>
      </c>
      <c r="M204" s="11">
        <v>0.4</v>
      </c>
      <c r="P204" s="11">
        <v>0.0333333333333333</v>
      </c>
      <c r="Q204" s="11">
        <v>0.5</v>
      </c>
      <c r="T204" s="11">
        <v>2.4</v>
      </c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11">
        <v>801</v>
      </c>
      <c r="AG204" s="11" t="s">
        <v>116</v>
      </c>
      <c r="AH204" s="97"/>
      <c r="AI204" s="97"/>
      <c r="AJ204" s="97"/>
      <c r="AK204" s="97">
        <v>0</v>
      </c>
      <c r="AL204" s="97"/>
      <c r="AM204" s="97"/>
      <c r="AN204" s="97"/>
      <c r="AO204" s="97"/>
      <c r="AP204" s="97"/>
      <c r="AQ204" s="97"/>
      <c r="AR204" s="97"/>
      <c r="AS204" s="97"/>
      <c r="AT204" s="97"/>
      <c r="AU204" s="97"/>
      <c r="AY204" s="97"/>
      <c r="AZ204" s="97"/>
    </row>
    <row r="205" s="11" customFormat="1" spans="1:52">
      <c r="A205" s="11">
        <v>1044</v>
      </c>
      <c r="B205" s="97" t="s">
        <v>631</v>
      </c>
      <c r="C205" s="97" t="s">
        <v>632</v>
      </c>
      <c r="D205" s="56">
        <v>1</v>
      </c>
      <c r="E205" s="56"/>
      <c r="F205" s="56">
        <v>1</v>
      </c>
      <c r="G205" s="56">
        <v>1.77</v>
      </c>
      <c r="H205" s="56">
        <v>1.97</v>
      </c>
      <c r="I205" s="56">
        <v>0.58</v>
      </c>
      <c r="J205" s="56" t="s">
        <v>115</v>
      </c>
      <c r="K205" s="56"/>
      <c r="L205" s="11">
        <v>0.1</v>
      </c>
      <c r="M205" s="11">
        <v>0.433333333333333</v>
      </c>
      <c r="P205" s="11">
        <v>0.1</v>
      </c>
      <c r="Q205" s="11">
        <v>0.433333333333333</v>
      </c>
      <c r="T205" s="11">
        <v>2.4</v>
      </c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11">
        <v>801</v>
      </c>
      <c r="AG205" s="11" t="s">
        <v>116</v>
      </c>
      <c r="AH205" s="97"/>
      <c r="AI205" s="97"/>
      <c r="AJ205" s="97"/>
      <c r="AK205" s="97">
        <v>0</v>
      </c>
      <c r="AL205" s="97"/>
      <c r="AM205" s="97"/>
      <c r="AN205" s="97"/>
      <c r="AO205" s="97"/>
      <c r="AP205" s="97"/>
      <c r="AQ205" s="97"/>
      <c r="AR205" s="97"/>
      <c r="AS205" s="97"/>
      <c r="AT205" s="97"/>
      <c r="AU205" s="97"/>
      <c r="AY205" s="97"/>
      <c r="AZ205" s="97"/>
    </row>
    <row r="206" s="11" customFormat="1" spans="1:52">
      <c r="A206" s="11">
        <v>1045</v>
      </c>
      <c r="B206" s="97" t="s">
        <v>633</v>
      </c>
      <c r="C206" s="97" t="s">
        <v>634</v>
      </c>
      <c r="D206" s="56">
        <v>1</v>
      </c>
      <c r="E206" s="56"/>
      <c r="F206" s="56">
        <v>1</v>
      </c>
      <c r="G206" s="56">
        <v>1.8</v>
      </c>
      <c r="H206" s="56">
        <v>1.95</v>
      </c>
      <c r="I206" s="56">
        <v>0.6</v>
      </c>
      <c r="J206" s="56" t="s">
        <v>115</v>
      </c>
      <c r="K206" s="56"/>
      <c r="L206" s="11">
        <v>0.166666666666667</v>
      </c>
      <c r="M206" s="11">
        <v>0.5</v>
      </c>
      <c r="P206" s="11">
        <v>0.166666666666667</v>
      </c>
      <c r="Q206" s="11">
        <v>0.466666666666667</v>
      </c>
      <c r="T206" s="11">
        <v>2.4</v>
      </c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11">
        <v>801</v>
      </c>
      <c r="AG206" s="11" t="s">
        <v>116</v>
      </c>
      <c r="AH206" s="97"/>
      <c r="AI206" s="97"/>
      <c r="AJ206" s="97"/>
      <c r="AK206" s="97">
        <v>0</v>
      </c>
      <c r="AL206" s="97"/>
      <c r="AM206" s="97"/>
      <c r="AN206" s="97"/>
      <c r="AO206" s="97"/>
      <c r="AP206" s="97"/>
      <c r="AQ206" s="97"/>
      <c r="AR206" s="97"/>
      <c r="AS206" s="97"/>
      <c r="AT206" s="97"/>
      <c r="AU206" s="97"/>
      <c r="AY206" s="97"/>
      <c r="AZ206" s="97"/>
    </row>
    <row r="207" s="11" customFormat="1" spans="1:52">
      <c r="A207" s="11">
        <v>1046</v>
      </c>
      <c r="B207" s="97" t="s">
        <v>635</v>
      </c>
      <c r="C207" s="11" t="s">
        <v>636</v>
      </c>
      <c r="D207" s="56">
        <v>1</v>
      </c>
      <c r="E207" s="56"/>
      <c r="F207" s="56">
        <v>1</v>
      </c>
      <c r="G207" s="56">
        <v>1.71</v>
      </c>
      <c r="H207" s="56">
        <v>1.91</v>
      </c>
      <c r="I207" s="56">
        <v>0.4</v>
      </c>
      <c r="J207" s="56" t="s">
        <v>115</v>
      </c>
      <c r="K207" s="56"/>
      <c r="L207" s="11">
        <v>0.0333333333333333</v>
      </c>
      <c r="M207" s="11">
        <v>0.4</v>
      </c>
      <c r="P207" s="11">
        <v>0.0333333333333333</v>
      </c>
      <c r="Q207" s="11">
        <v>0.5</v>
      </c>
      <c r="T207" s="11">
        <v>2.4</v>
      </c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11">
        <v>801</v>
      </c>
      <c r="AG207" s="11" t="s">
        <v>116</v>
      </c>
      <c r="AH207" s="97"/>
      <c r="AI207" s="97"/>
      <c r="AJ207" s="97"/>
      <c r="AK207" s="97">
        <v>0</v>
      </c>
      <c r="AL207" s="97"/>
      <c r="AM207" s="97"/>
      <c r="AN207" s="97"/>
      <c r="AO207" s="97"/>
      <c r="AP207" s="97"/>
      <c r="AQ207" s="97"/>
      <c r="AR207" s="97"/>
      <c r="AS207" s="97"/>
      <c r="AT207" s="97"/>
      <c r="AU207" s="97"/>
      <c r="AY207" s="97"/>
      <c r="AZ207" s="97"/>
    </row>
    <row r="208" s="11" customFormat="1" spans="1:52">
      <c r="A208" s="11">
        <v>1047</v>
      </c>
      <c r="B208" s="97" t="s">
        <v>637</v>
      </c>
      <c r="C208" s="11" t="s">
        <v>638</v>
      </c>
      <c r="D208" s="56">
        <v>1</v>
      </c>
      <c r="E208" s="56"/>
      <c r="F208" s="56">
        <v>1</v>
      </c>
      <c r="G208" s="56">
        <v>1.49</v>
      </c>
      <c r="H208" s="56">
        <v>1.76</v>
      </c>
      <c r="I208" s="56">
        <v>0.52</v>
      </c>
      <c r="J208" s="56" t="s">
        <v>115</v>
      </c>
      <c r="K208" s="56"/>
      <c r="L208" s="11">
        <v>0.1</v>
      </c>
      <c r="M208" s="11">
        <v>0.433333333333333</v>
      </c>
      <c r="P208" s="11">
        <v>0.133333333333333</v>
      </c>
      <c r="Q208" s="11">
        <v>0.366666666666667</v>
      </c>
      <c r="T208" s="11">
        <v>2.4</v>
      </c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11">
        <v>801</v>
      </c>
      <c r="AG208" s="11" t="s">
        <v>116</v>
      </c>
      <c r="AH208" s="97"/>
      <c r="AI208" s="97"/>
      <c r="AJ208" s="97"/>
      <c r="AK208" s="97">
        <v>0</v>
      </c>
      <c r="AL208" s="97"/>
      <c r="AM208" s="97"/>
      <c r="AN208" s="97"/>
      <c r="AO208" s="97"/>
      <c r="AP208" s="97"/>
      <c r="AQ208" s="97"/>
      <c r="AR208" s="97"/>
      <c r="AS208" s="97"/>
      <c r="AT208" s="97"/>
      <c r="AU208" s="97"/>
      <c r="AY208" s="97"/>
      <c r="AZ208" s="97"/>
    </row>
    <row r="209" s="11" customFormat="1" spans="1:52">
      <c r="A209" s="11">
        <v>1048</v>
      </c>
      <c r="B209" s="97" t="s">
        <v>639</v>
      </c>
      <c r="C209" s="11" t="s">
        <v>640</v>
      </c>
      <c r="D209" s="56">
        <v>1</v>
      </c>
      <c r="E209" s="56"/>
      <c r="F209" s="56">
        <v>1</v>
      </c>
      <c r="G209" s="56">
        <v>1.71</v>
      </c>
      <c r="H209" s="56">
        <v>1.91</v>
      </c>
      <c r="I209" s="56">
        <v>0.4</v>
      </c>
      <c r="J209" s="56" t="s">
        <v>115</v>
      </c>
      <c r="K209" s="56"/>
      <c r="L209" s="11">
        <v>0.1</v>
      </c>
      <c r="M209" s="11">
        <v>0.466666666666667</v>
      </c>
      <c r="P209" s="11">
        <v>0.1</v>
      </c>
      <c r="Q209" s="11">
        <v>0.433333333333333</v>
      </c>
      <c r="T209" s="11">
        <v>2.4</v>
      </c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11">
        <v>801</v>
      </c>
      <c r="AG209" s="11" t="s">
        <v>116</v>
      </c>
      <c r="AH209" s="97"/>
      <c r="AI209" s="97"/>
      <c r="AJ209" s="97"/>
      <c r="AK209" s="97">
        <v>0</v>
      </c>
      <c r="AL209" s="97"/>
      <c r="AM209" s="97"/>
      <c r="AN209" s="97"/>
      <c r="AO209" s="97"/>
      <c r="AP209" s="97"/>
      <c r="AQ209" s="97"/>
      <c r="AR209" s="97"/>
      <c r="AS209" s="97"/>
      <c r="AT209" s="97"/>
      <c r="AU209" s="97"/>
      <c r="AY209" s="97"/>
      <c r="AZ209" s="97"/>
    </row>
    <row r="210" s="11" customFormat="1" spans="1:52">
      <c r="A210" s="11">
        <v>1049</v>
      </c>
      <c r="B210" s="11" t="s">
        <v>641</v>
      </c>
      <c r="C210" s="11" t="s">
        <v>642</v>
      </c>
      <c r="D210" s="56">
        <v>1</v>
      </c>
      <c r="E210" s="56"/>
      <c r="F210" s="56">
        <v>1</v>
      </c>
      <c r="G210" s="56">
        <v>1.91</v>
      </c>
      <c r="H210" s="56">
        <v>1.94</v>
      </c>
      <c r="I210" s="56">
        <v>0.37</v>
      </c>
      <c r="J210" s="56" t="s">
        <v>115</v>
      </c>
      <c r="K210" s="56"/>
      <c r="L210" s="11">
        <v>0.233333333333333</v>
      </c>
      <c r="M210" s="11">
        <v>0.633333333333333</v>
      </c>
      <c r="P210" s="11">
        <v>0.133333333333333</v>
      </c>
      <c r="Q210" s="11">
        <v>0.566666666666667</v>
      </c>
      <c r="T210" s="11">
        <v>2.4</v>
      </c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11">
        <v>801</v>
      </c>
      <c r="AG210" s="11" t="s">
        <v>116</v>
      </c>
      <c r="AH210" s="97"/>
      <c r="AI210" s="97"/>
      <c r="AJ210" s="97"/>
      <c r="AK210" s="97">
        <v>0</v>
      </c>
      <c r="AL210" s="97"/>
      <c r="AM210" s="97"/>
      <c r="AN210" s="97"/>
      <c r="AO210" s="97"/>
      <c r="AP210" s="97"/>
      <c r="AQ210" s="97"/>
      <c r="AR210" s="97"/>
      <c r="AS210" s="97"/>
      <c r="AT210" s="97"/>
      <c r="AU210" s="97"/>
      <c r="AY210" s="97"/>
      <c r="AZ210" s="97"/>
    </row>
    <row r="211" s="11" customFormat="1" spans="1:52">
      <c r="A211" s="11">
        <v>1050</v>
      </c>
      <c r="B211" s="11" t="s">
        <v>643</v>
      </c>
      <c r="C211" s="70" t="s">
        <v>644</v>
      </c>
      <c r="D211" s="56">
        <v>1</v>
      </c>
      <c r="E211" s="56"/>
      <c r="F211" s="56">
        <v>1</v>
      </c>
      <c r="G211" s="56">
        <v>1.88</v>
      </c>
      <c r="H211" s="56">
        <v>1.94</v>
      </c>
      <c r="I211" s="56">
        <v>0.37</v>
      </c>
      <c r="J211" s="56" t="s">
        <v>115</v>
      </c>
      <c r="K211" s="56"/>
      <c r="L211" s="11">
        <v>0.233333333333333</v>
      </c>
      <c r="M211" s="11">
        <v>0.8</v>
      </c>
      <c r="P211" s="11">
        <v>0.2</v>
      </c>
      <c r="Q211" s="11">
        <v>0.466666666666667</v>
      </c>
      <c r="T211" s="11">
        <v>2.4</v>
      </c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11">
        <v>801</v>
      </c>
      <c r="AG211" s="11" t="s">
        <v>116</v>
      </c>
      <c r="AH211" s="97"/>
      <c r="AI211" s="97"/>
      <c r="AJ211" s="97"/>
      <c r="AK211" s="97">
        <v>0</v>
      </c>
      <c r="AL211" s="97"/>
      <c r="AM211" s="97"/>
      <c r="AN211" s="97"/>
      <c r="AO211" s="97"/>
      <c r="AP211" s="97"/>
      <c r="AQ211" s="97"/>
      <c r="AR211" s="97"/>
      <c r="AS211" s="97"/>
      <c r="AT211" s="97"/>
      <c r="AU211" s="97"/>
      <c r="AY211" s="97"/>
      <c r="AZ211" s="97"/>
    </row>
    <row r="212" s="11" customFormat="1" spans="1:52">
      <c r="A212" s="11">
        <v>1051</v>
      </c>
      <c r="B212" s="69" t="s">
        <v>645</v>
      </c>
      <c r="C212" s="50" t="s">
        <v>646</v>
      </c>
      <c r="D212" s="56">
        <v>1</v>
      </c>
      <c r="E212" s="56"/>
      <c r="F212" s="56">
        <v>1</v>
      </c>
      <c r="G212" s="56">
        <v>1.75</v>
      </c>
      <c r="H212" s="56">
        <v>1.93</v>
      </c>
      <c r="I212" s="56">
        <v>0.37</v>
      </c>
      <c r="J212" s="56" t="s">
        <v>115</v>
      </c>
      <c r="K212" s="56"/>
      <c r="L212" s="11">
        <v>0.166666666666667</v>
      </c>
      <c r="M212" s="11">
        <v>0.633333333333333</v>
      </c>
      <c r="N212" s="97"/>
      <c r="O212" s="97"/>
      <c r="P212" s="11">
        <v>0.166666666666667</v>
      </c>
      <c r="Q212" s="11">
        <v>0.5</v>
      </c>
      <c r="R212" s="97"/>
      <c r="S212" s="97"/>
      <c r="T212" s="11">
        <v>2.4</v>
      </c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11">
        <v>801</v>
      </c>
      <c r="AG212" s="11" t="s">
        <v>116</v>
      </c>
      <c r="AH212" s="97"/>
      <c r="AI212" s="97"/>
      <c r="AJ212" s="97"/>
      <c r="AK212" s="97">
        <v>0</v>
      </c>
      <c r="AL212" s="97"/>
      <c r="AM212" s="97"/>
      <c r="AN212" s="97"/>
      <c r="AO212" s="97"/>
      <c r="AP212" s="97"/>
      <c r="AQ212" s="97"/>
      <c r="AR212" s="97"/>
      <c r="AS212" s="97"/>
      <c r="AT212" s="97"/>
      <c r="AU212" s="97"/>
      <c r="AY212" s="97"/>
      <c r="AZ212" s="97"/>
    </row>
    <row r="213" s="11" customFormat="1" spans="1:52">
      <c r="A213" s="11">
        <v>1052</v>
      </c>
      <c r="B213" s="98" t="s">
        <v>647</v>
      </c>
      <c r="C213" s="50" t="s">
        <v>648</v>
      </c>
      <c r="D213" s="56">
        <v>1</v>
      </c>
      <c r="E213" s="56"/>
      <c r="F213" s="56">
        <v>1</v>
      </c>
      <c r="G213" s="56">
        <v>1.65</v>
      </c>
      <c r="H213" s="56">
        <v>1.93</v>
      </c>
      <c r="I213" s="56">
        <v>0.37</v>
      </c>
      <c r="J213" s="56" t="s">
        <v>115</v>
      </c>
      <c r="K213" s="56"/>
      <c r="L213" s="11">
        <v>0.233333333333333</v>
      </c>
      <c r="M213" s="11">
        <v>0.8</v>
      </c>
      <c r="P213" s="11">
        <v>0.2</v>
      </c>
      <c r="Q213" s="11">
        <v>0.466666666666667</v>
      </c>
      <c r="T213" s="11">
        <v>2.4</v>
      </c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11">
        <v>801</v>
      </c>
      <c r="AG213" s="11" t="s">
        <v>116</v>
      </c>
      <c r="AH213" s="97"/>
      <c r="AI213" s="97"/>
      <c r="AJ213" s="97"/>
      <c r="AK213" s="97">
        <v>0</v>
      </c>
      <c r="AL213" s="97"/>
      <c r="AM213" s="97"/>
      <c r="AN213" s="97"/>
      <c r="AO213" s="97"/>
      <c r="AP213" s="97"/>
      <c r="AQ213" s="97"/>
      <c r="AR213" s="97"/>
      <c r="AS213" s="97"/>
      <c r="AT213" s="97"/>
      <c r="AU213" s="97"/>
      <c r="AY213" s="97"/>
      <c r="AZ213" s="97"/>
    </row>
    <row r="214" s="11" customFormat="1" spans="1:52">
      <c r="A214" s="11">
        <v>1053</v>
      </c>
      <c r="B214" s="97" t="s">
        <v>649</v>
      </c>
      <c r="C214" s="50" t="s">
        <v>650</v>
      </c>
      <c r="D214" s="56">
        <v>1</v>
      </c>
      <c r="E214" s="56"/>
      <c r="F214" s="56">
        <v>1</v>
      </c>
      <c r="G214" s="56">
        <v>1.89</v>
      </c>
      <c r="H214" s="56">
        <v>1.99</v>
      </c>
      <c r="I214" s="56">
        <v>0.37</v>
      </c>
      <c r="J214" s="56" t="s">
        <v>115</v>
      </c>
      <c r="K214" s="56"/>
      <c r="L214" s="11">
        <v>0.133333333333333</v>
      </c>
      <c r="M214" s="11">
        <v>0.466666666666667</v>
      </c>
      <c r="P214" s="11">
        <v>0.1</v>
      </c>
      <c r="Q214" s="11">
        <v>0.466666666666667</v>
      </c>
      <c r="T214" s="11">
        <v>2.4</v>
      </c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11">
        <v>801</v>
      </c>
      <c r="AG214" s="11" t="s">
        <v>116</v>
      </c>
      <c r="AH214" s="97"/>
      <c r="AI214" s="97"/>
      <c r="AJ214" s="97"/>
      <c r="AK214" s="97">
        <v>0</v>
      </c>
      <c r="AL214" s="97"/>
      <c r="AM214" s="97"/>
      <c r="AN214" s="97"/>
      <c r="AO214" s="97"/>
      <c r="AP214" s="97"/>
      <c r="AQ214" s="97"/>
      <c r="AR214" s="97"/>
      <c r="AS214" s="97"/>
      <c r="AT214" s="97"/>
      <c r="AU214" s="97"/>
      <c r="AY214" s="97"/>
      <c r="AZ214" s="97"/>
    </row>
    <row r="215" s="11" customFormat="1" spans="1:52">
      <c r="A215" s="11">
        <v>1054</v>
      </c>
      <c r="B215" s="97" t="s">
        <v>651</v>
      </c>
      <c r="C215" s="50" t="s">
        <v>652</v>
      </c>
      <c r="D215" s="56">
        <v>1</v>
      </c>
      <c r="E215" s="56"/>
      <c r="F215" s="56">
        <v>1</v>
      </c>
      <c r="G215" s="56">
        <v>1.9</v>
      </c>
      <c r="H215" s="56">
        <v>2.11</v>
      </c>
      <c r="I215" s="56">
        <v>0.37</v>
      </c>
      <c r="J215" s="56" t="s">
        <v>115</v>
      </c>
      <c r="K215" s="56"/>
      <c r="L215" s="11">
        <v>0.133333333333333</v>
      </c>
      <c r="M215" s="11">
        <v>0.466666666666667</v>
      </c>
      <c r="P215" s="11">
        <v>0.133333333333333</v>
      </c>
      <c r="Q215" s="11">
        <v>0.466666666666667</v>
      </c>
      <c r="T215" s="11">
        <v>2.4</v>
      </c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11">
        <v>801</v>
      </c>
      <c r="AG215" s="11" t="s">
        <v>116</v>
      </c>
      <c r="AH215" s="97"/>
      <c r="AI215" s="97"/>
      <c r="AJ215" s="97"/>
      <c r="AK215" s="97">
        <v>0</v>
      </c>
      <c r="AL215" s="97"/>
      <c r="AM215" s="97"/>
      <c r="AN215" s="97"/>
      <c r="AO215" s="97"/>
      <c r="AP215" s="97"/>
      <c r="AQ215" s="97"/>
      <c r="AR215" s="97"/>
      <c r="AS215" s="97"/>
      <c r="AT215" s="97"/>
      <c r="AU215" s="97"/>
      <c r="AY215" s="97"/>
      <c r="AZ215" s="97"/>
    </row>
    <row r="216" s="11" customFormat="1" spans="1:52">
      <c r="A216" s="11">
        <v>1055</v>
      </c>
      <c r="B216" s="97" t="s">
        <v>653</v>
      </c>
      <c r="C216" s="50" t="s">
        <v>654</v>
      </c>
      <c r="D216" s="56">
        <v>1</v>
      </c>
      <c r="E216" s="56"/>
      <c r="F216" s="56">
        <v>1</v>
      </c>
      <c r="G216" s="56">
        <v>2.07</v>
      </c>
      <c r="H216" s="56">
        <v>2.15</v>
      </c>
      <c r="I216" s="56">
        <v>0.37</v>
      </c>
      <c r="J216" s="56" t="s">
        <v>115</v>
      </c>
      <c r="K216" s="56"/>
      <c r="L216" s="11">
        <v>0.0666666666666667</v>
      </c>
      <c r="M216" s="11">
        <v>0.466666666666667</v>
      </c>
      <c r="P216" s="11">
        <v>0.0666666666666667</v>
      </c>
      <c r="Q216" s="11">
        <v>0.4</v>
      </c>
      <c r="T216" s="11">
        <v>2.4</v>
      </c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11">
        <v>801</v>
      </c>
      <c r="AG216" s="11" t="s">
        <v>116</v>
      </c>
      <c r="AH216" s="97"/>
      <c r="AI216" s="97"/>
      <c r="AJ216" s="97"/>
      <c r="AK216" s="97">
        <v>0</v>
      </c>
      <c r="AL216" s="97"/>
      <c r="AM216" s="97"/>
      <c r="AN216" s="97"/>
      <c r="AO216" s="97"/>
      <c r="AP216" s="97"/>
      <c r="AQ216" s="97"/>
      <c r="AR216" s="97"/>
      <c r="AS216" s="97"/>
      <c r="AT216" s="97"/>
      <c r="AU216" s="97"/>
      <c r="AY216" s="97"/>
      <c r="AZ216" s="97"/>
    </row>
    <row r="217" s="11" customFormat="1" spans="1:52">
      <c r="A217" s="11">
        <v>1056</v>
      </c>
      <c r="B217" s="97" t="s">
        <v>655</v>
      </c>
      <c r="C217" s="11" t="s">
        <v>656</v>
      </c>
      <c r="D217" s="56">
        <v>1</v>
      </c>
      <c r="E217" s="56"/>
      <c r="F217" s="56">
        <v>1</v>
      </c>
      <c r="G217" s="56">
        <v>2</v>
      </c>
      <c r="H217" s="56">
        <v>2.3</v>
      </c>
      <c r="I217" s="56">
        <v>0.81</v>
      </c>
      <c r="J217" s="56" t="s">
        <v>115</v>
      </c>
      <c r="K217" s="56"/>
      <c r="L217" s="56">
        <v>0.133333333333333</v>
      </c>
      <c r="M217" s="11">
        <v>0.533333333333333</v>
      </c>
      <c r="P217" s="11">
        <v>0.166666666666667</v>
      </c>
      <c r="Q217" s="11">
        <v>0.5</v>
      </c>
      <c r="T217" s="11">
        <v>2.4</v>
      </c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11">
        <v>801</v>
      </c>
      <c r="AG217" s="11" t="s">
        <v>116</v>
      </c>
      <c r="AH217" s="97"/>
      <c r="AI217" s="97"/>
      <c r="AJ217" s="97"/>
      <c r="AK217" s="97">
        <v>0</v>
      </c>
      <c r="AL217" s="97"/>
      <c r="AM217" s="97"/>
      <c r="AN217" s="97"/>
      <c r="AO217" s="97"/>
      <c r="AP217" s="97"/>
      <c r="AQ217" s="97"/>
      <c r="AR217" s="97"/>
      <c r="AS217" s="97"/>
      <c r="AT217" s="97"/>
      <c r="AU217" s="97"/>
      <c r="AY217" s="97"/>
      <c r="AZ217" s="97"/>
    </row>
    <row r="218" s="11" customFormat="1" spans="1:52">
      <c r="A218" s="11">
        <v>1057</v>
      </c>
      <c r="B218" s="97" t="s">
        <v>657</v>
      </c>
      <c r="C218" s="11" t="s">
        <v>658</v>
      </c>
      <c r="D218" s="56">
        <v>1</v>
      </c>
      <c r="E218" s="56"/>
      <c r="F218" s="56">
        <v>1</v>
      </c>
      <c r="G218" s="56">
        <v>2</v>
      </c>
      <c r="H218" s="56">
        <v>2.3</v>
      </c>
      <c r="I218" s="56">
        <v>0.75</v>
      </c>
      <c r="J218" s="56" t="s">
        <v>115</v>
      </c>
      <c r="K218" s="56"/>
      <c r="L218" s="56">
        <v>0.133333333333333</v>
      </c>
      <c r="M218" s="11">
        <v>0.533333333333333</v>
      </c>
      <c r="P218" s="11">
        <v>0.166666666666667</v>
      </c>
      <c r="Q218" s="11">
        <v>0.5</v>
      </c>
      <c r="T218" s="11">
        <v>2.4</v>
      </c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11">
        <v>801</v>
      </c>
      <c r="AG218" s="11" t="s">
        <v>116</v>
      </c>
      <c r="AH218" s="97"/>
      <c r="AI218" s="97"/>
      <c r="AJ218" s="97"/>
      <c r="AK218" s="97">
        <v>0</v>
      </c>
      <c r="AL218" s="97"/>
      <c r="AM218" s="97"/>
      <c r="AN218" s="97"/>
      <c r="AO218" s="97"/>
      <c r="AP218" s="97"/>
      <c r="AQ218" s="97"/>
      <c r="AR218" s="97"/>
      <c r="AS218" s="97"/>
      <c r="AT218" s="97"/>
      <c r="AU218" s="97"/>
      <c r="AY218" s="97"/>
      <c r="AZ218" s="97"/>
    </row>
    <row r="219" s="11" customFormat="1" spans="1:52">
      <c r="A219" s="11">
        <v>1058</v>
      </c>
      <c r="B219" s="97" t="s">
        <v>659</v>
      </c>
      <c r="C219" s="11" t="s">
        <v>660</v>
      </c>
      <c r="D219" s="56">
        <v>1</v>
      </c>
      <c r="E219" s="56"/>
      <c r="F219" s="56">
        <v>1</v>
      </c>
      <c r="G219" s="56">
        <v>1.8</v>
      </c>
      <c r="H219" s="56">
        <v>1.8</v>
      </c>
      <c r="I219" s="56">
        <v>0.36</v>
      </c>
      <c r="J219" s="56" t="s">
        <v>115</v>
      </c>
      <c r="K219" s="56"/>
      <c r="L219" s="56">
        <v>0.0333333333333333</v>
      </c>
      <c r="M219" s="11">
        <v>0.433333333333333</v>
      </c>
      <c r="P219" s="56">
        <v>0.0333333333333333</v>
      </c>
      <c r="Q219" s="11">
        <v>0.433333333333333</v>
      </c>
      <c r="T219" s="11">
        <v>2.4</v>
      </c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11">
        <v>801</v>
      </c>
      <c r="AG219" s="11" t="s">
        <v>116</v>
      </c>
      <c r="AH219" s="97"/>
      <c r="AI219" s="97"/>
      <c r="AJ219" s="97"/>
      <c r="AK219" s="97">
        <v>0</v>
      </c>
      <c r="AL219" s="97"/>
      <c r="AM219" s="97"/>
      <c r="AN219" s="97"/>
      <c r="AO219" s="97"/>
      <c r="AP219" s="97"/>
      <c r="AQ219" s="97"/>
      <c r="AR219" s="97"/>
      <c r="AS219" s="97"/>
      <c r="AT219" s="97"/>
      <c r="AU219" s="97"/>
      <c r="AY219" s="97"/>
      <c r="AZ219" s="97"/>
    </row>
    <row r="220" s="11" customFormat="1" spans="1:52">
      <c r="A220" s="11">
        <v>1059</v>
      </c>
      <c r="B220" s="97" t="s">
        <v>661</v>
      </c>
      <c r="C220" s="11" t="s">
        <v>662</v>
      </c>
      <c r="D220" s="56">
        <v>1</v>
      </c>
      <c r="E220" s="56"/>
      <c r="F220" s="56">
        <v>1</v>
      </c>
      <c r="G220" s="56">
        <v>1.8</v>
      </c>
      <c r="H220" s="56">
        <v>1.8</v>
      </c>
      <c r="I220" s="56">
        <v>0.36</v>
      </c>
      <c r="J220" s="56" t="s">
        <v>115</v>
      </c>
      <c r="K220" s="56"/>
      <c r="L220" s="56">
        <v>0.0333333333333333</v>
      </c>
      <c r="M220" s="11">
        <v>0.466666666666667</v>
      </c>
      <c r="P220" s="56">
        <v>0.0333333333333333</v>
      </c>
      <c r="Q220" s="11">
        <v>0.466666666666667</v>
      </c>
      <c r="T220" s="11">
        <v>2.4</v>
      </c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11">
        <v>801</v>
      </c>
      <c r="AG220" s="11" t="s">
        <v>116</v>
      </c>
      <c r="AH220" s="97"/>
      <c r="AI220" s="97"/>
      <c r="AJ220" s="97"/>
      <c r="AK220" s="97">
        <v>0</v>
      </c>
      <c r="AL220" s="97"/>
      <c r="AM220" s="97"/>
      <c r="AN220" s="97"/>
      <c r="AO220" s="97"/>
      <c r="AP220" s="97"/>
      <c r="AQ220" s="97"/>
      <c r="AR220" s="97"/>
      <c r="AS220" s="97"/>
      <c r="AT220" s="97"/>
      <c r="AU220" s="97"/>
      <c r="AY220" s="97"/>
      <c r="AZ220" s="97"/>
    </row>
    <row r="221" s="11" customFormat="1" spans="1:52">
      <c r="A221" s="11">
        <v>1060</v>
      </c>
      <c r="B221" s="97" t="s">
        <v>663</v>
      </c>
      <c r="C221" s="11" t="s">
        <v>664</v>
      </c>
      <c r="D221" s="56">
        <v>1</v>
      </c>
      <c r="E221" s="56"/>
      <c r="F221" s="56">
        <v>1</v>
      </c>
      <c r="G221" s="56">
        <v>1.79</v>
      </c>
      <c r="H221" s="56">
        <v>1.87</v>
      </c>
      <c r="I221" s="56">
        <v>0.41</v>
      </c>
      <c r="J221" s="56" t="s">
        <v>115</v>
      </c>
      <c r="K221" s="56"/>
      <c r="L221" s="56">
        <v>0.133333333333333</v>
      </c>
      <c r="M221" s="11">
        <v>0.466666666666667</v>
      </c>
      <c r="P221" s="56">
        <v>0.133333333333333</v>
      </c>
      <c r="Q221" s="11">
        <v>0.466666666666667</v>
      </c>
      <c r="T221" s="11">
        <v>2.4</v>
      </c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11">
        <v>801</v>
      </c>
      <c r="AG221" s="11" t="s">
        <v>116</v>
      </c>
      <c r="AH221" s="97"/>
      <c r="AI221" s="97"/>
      <c r="AJ221" s="97"/>
      <c r="AK221" s="97">
        <v>0</v>
      </c>
      <c r="AL221" s="97"/>
      <c r="AM221" s="97"/>
      <c r="AN221" s="97"/>
      <c r="AO221" s="97"/>
      <c r="AP221" s="97"/>
      <c r="AQ221" s="97"/>
      <c r="AR221" s="97"/>
      <c r="AS221" s="97"/>
      <c r="AT221" s="97"/>
      <c r="AU221" s="97"/>
      <c r="AY221" s="97"/>
      <c r="AZ221" s="97"/>
    </row>
    <row r="222" s="11" customFormat="1" spans="1:52">
      <c r="A222" s="11">
        <v>1061</v>
      </c>
      <c r="B222" s="97" t="s">
        <v>665</v>
      </c>
      <c r="C222" s="11" t="s">
        <v>666</v>
      </c>
      <c r="D222" s="56">
        <v>1</v>
      </c>
      <c r="E222" s="56"/>
      <c r="F222" s="56">
        <v>1</v>
      </c>
      <c r="G222" s="56">
        <v>1.62</v>
      </c>
      <c r="H222" s="56">
        <v>1.95</v>
      </c>
      <c r="I222" s="56">
        <v>0.43</v>
      </c>
      <c r="J222" s="56" t="s">
        <v>115</v>
      </c>
      <c r="K222" s="56"/>
      <c r="L222" s="56">
        <v>0.133333333333333</v>
      </c>
      <c r="M222" s="11">
        <v>0.466666666666667</v>
      </c>
      <c r="P222" s="56">
        <v>0.133333333333333</v>
      </c>
      <c r="Q222" s="11">
        <v>0.466666666666667</v>
      </c>
      <c r="T222" s="11">
        <v>2.4</v>
      </c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11">
        <v>801</v>
      </c>
      <c r="AG222" s="11" t="s">
        <v>116</v>
      </c>
      <c r="AH222" s="97"/>
      <c r="AI222" s="97"/>
      <c r="AJ222" s="97"/>
      <c r="AK222" s="97">
        <v>0</v>
      </c>
      <c r="AL222" s="97"/>
      <c r="AM222" s="97"/>
      <c r="AN222" s="97"/>
      <c r="AO222" s="97"/>
      <c r="AP222" s="97"/>
      <c r="AQ222" s="97"/>
      <c r="AR222" s="97"/>
      <c r="AS222" s="97"/>
      <c r="AT222" s="97"/>
      <c r="AU222" s="97"/>
      <c r="AY222" s="97"/>
      <c r="AZ222" s="97"/>
    </row>
    <row r="223" s="11" customFormat="1" spans="1:52">
      <c r="A223" s="11">
        <v>1062</v>
      </c>
      <c r="B223" s="97" t="s">
        <v>667</v>
      </c>
      <c r="C223" s="11" t="s">
        <v>668</v>
      </c>
      <c r="D223" s="56">
        <v>1</v>
      </c>
      <c r="E223" s="56"/>
      <c r="F223" s="56">
        <v>1</v>
      </c>
      <c r="G223" s="56">
        <v>1.83</v>
      </c>
      <c r="H223" s="56">
        <v>1.95</v>
      </c>
      <c r="I223" s="56">
        <v>0.65</v>
      </c>
      <c r="J223" s="56" t="s">
        <v>115</v>
      </c>
      <c r="K223" s="56"/>
      <c r="L223" s="56">
        <v>0.1</v>
      </c>
      <c r="M223" s="11">
        <v>0.4</v>
      </c>
      <c r="P223" s="56">
        <v>0.1</v>
      </c>
      <c r="Q223" s="11">
        <v>0.4</v>
      </c>
      <c r="T223" s="11">
        <v>2.4</v>
      </c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11">
        <v>801</v>
      </c>
      <c r="AG223" s="11" t="s">
        <v>116</v>
      </c>
      <c r="AH223" s="97"/>
      <c r="AI223" s="97"/>
      <c r="AJ223" s="97"/>
      <c r="AK223" s="97">
        <v>0</v>
      </c>
      <c r="AL223" s="97"/>
      <c r="AM223" s="97"/>
      <c r="AN223" s="97"/>
      <c r="AO223" s="97"/>
      <c r="AP223" s="97"/>
      <c r="AQ223" s="97"/>
      <c r="AR223" s="97"/>
      <c r="AS223" s="97"/>
      <c r="AT223" s="97"/>
      <c r="AU223" s="97"/>
      <c r="AY223" s="97"/>
      <c r="AZ223" s="97"/>
    </row>
    <row r="224" s="11" customFormat="1" spans="1:52">
      <c r="A224" s="11">
        <v>1063</v>
      </c>
      <c r="B224" s="97" t="s">
        <v>669</v>
      </c>
      <c r="C224" s="11" t="s">
        <v>670</v>
      </c>
      <c r="D224" s="56">
        <v>1</v>
      </c>
      <c r="E224" s="56"/>
      <c r="F224" s="56">
        <v>1</v>
      </c>
      <c r="G224" s="56">
        <v>1.66</v>
      </c>
      <c r="H224" s="56">
        <v>2.03</v>
      </c>
      <c r="I224" s="56">
        <v>0.62</v>
      </c>
      <c r="J224" s="56" t="s">
        <v>115</v>
      </c>
      <c r="K224" s="56"/>
      <c r="L224" s="56">
        <v>0.0666666666666667</v>
      </c>
      <c r="M224" s="11">
        <v>0.533333333333333</v>
      </c>
      <c r="P224" s="56">
        <v>0.0666666666666667</v>
      </c>
      <c r="Q224" s="11">
        <v>0.433333333333333</v>
      </c>
      <c r="T224" s="11">
        <v>2.4</v>
      </c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11">
        <v>801</v>
      </c>
      <c r="AG224" s="11" t="s">
        <v>116</v>
      </c>
      <c r="AH224" s="97"/>
      <c r="AI224" s="97"/>
      <c r="AJ224" s="97"/>
      <c r="AK224" s="97">
        <v>0</v>
      </c>
      <c r="AL224" s="97"/>
      <c r="AM224" s="97"/>
      <c r="AN224" s="97"/>
      <c r="AO224" s="97"/>
      <c r="AP224" s="97"/>
      <c r="AQ224" s="97"/>
      <c r="AR224" s="97"/>
      <c r="AS224" s="97"/>
      <c r="AT224" s="97"/>
      <c r="AU224" s="97"/>
      <c r="AY224" s="97"/>
      <c r="AZ224" s="97"/>
    </row>
    <row r="225" s="11" customFormat="1" spans="1:52">
      <c r="A225" s="11">
        <v>1064</v>
      </c>
      <c r="B225" s="97" t="s">
        <v>671</v>
      </c>
      <c r="C225" s="11" t="s">
        <v>672</v>
      </c>
      <c r="D225" s="56">
        <v>1</v>
      </c>
      <c r="E225" s="56"/>
      <c r="F225" s="56">
        <v>1</v>
      </c>
      <c r="G225" s="56">
        <v>1.88</v>
      </c>
      <c r="H225" s="56">
        <v>2.1</v>
      </c>
      <c r="I225" s="56">
        <v>0.28</v>
      </c>
      <c r="J225" s="56" t="s">
        <v>115</v>
      </c>
      <c r="K225" s="56"/>
      <c r="L225" s="56">
        <v>0.1</v>
      </c>
      <c r="M225" s="11">
        <v>0.5</v>
      </c>
      <c r="P225" s="56">
        <v>0.1</v>
      </c>
      <c r="Q225" s="11">
        <v>0.433333333333333</v>
      </c>
      <c r="T225" s="11">
        <v>2.4</v>
      </c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11">
        <v>801</v>
      </c>
      <c r="AG225" s="11" t="s">
        <v>116</v>
      </c>
      <c r="AH225" s="97"/>
      <c r="AI225" s="97"/>
      <c r="AJ225" s="97"/>
      <c r="AK225" s="97">
        <v>0</v>
      </c>
      <c r="AL225" s="97"/>
      <c r="AM225" s="97"/>
      <c r="AN225" s="97"/>
      <c r="AO225" s="97"/>
      <c r="AP225" s="97"/>
      <c r="AQ225" s="97"/>
      <c r="AR225" s="97"/>
      <c r="AS225" s="97"/>
      <c r="AT225" s="97"/>
      <c r="AU225" s="97"/>
      <c r="AY225" s="97"/>
      <c r="AZ225" s="97"/>
    </row>
    <row r="226" s="11" customFormat="1" spans="1:52">
      <c r="A226" s="11">
        <v>1065</v>
      </c>
      <c r="B226" s="97" t="s">
        <v>673</v>
      </c>
      <c r="C226" s="11" t="s">
        <v>674</v>
      </c>
      <c r="D226" s="56">
        <v>1</v>
      </c>
      <c r="E226" s="56"/>
      <c r="F226" s="56">
        <v>1</v>
      </c>
      <c r="G226" s="56">
        <v>1.9</v>
      </c>
      <c r="H226" s="56">
        <v>2.05</v>
      </c>
      <c r="I226" s="56">
        <v>0.42</v>
      </c>
      <c r="J226" s="56" t="s">
        <v>115</v>
      </c>
      <c r="K226" s="56"/>
      <c r="L226" s="56">
        <v>0.1</v>
      </c>
      <c r="M226" s="11">
        <v>0.533333333333333</v>
      </c>
      <c r="P226" s="56">
        <v>0.1</v>
      </c>
      <c r="Q226" s="11">
        <v>0.433333333333333</v>
      </c>
      <c r="T226" s="11">
        <v>2.4</v>
      </c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11">
        <v>801</v>
      </c>
      <c r="AG226" s="11" t="s">
        <v>116</v>
      </c>
      <c r="AH226" s="97"/>
      <c r="AI226" s="97"/>
      <c r="AJ226" s="97"/>
      <c r="AK226" s="97">
        <v>0</v>
      </c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  <c r="AY226" s="97"/>
      <c r="AZ226" s="97"/>
    </row>
    <row r="227" s="11" customFormat="1" spans="1:52">
      <c r="A227" s="11">
        <v>1066</v>
      </c>
      <c r="B227" s="97" t="s">
        <v>675</v>
      </c>
      <c r="C227" s="11" t="s">
        <v>676</v>
      </c>
      <c r="D227" s="56">
        <v>1</v>
      </c>
      <c r="E227" s="56"/>
      <c r="F227" s="56">
        <v>1</v>
      </c>
      <c r="G227" s="56">
        <v>1.91</v>
      </c>
      <c r="H227" s="56">
        <v>2.06</v>
      </c>
      <c r="I227" s="56">
        <v>0.6</v>
      </c>
      <c r="J227" s="56" t="s">
        <v>115</v>
      </c>
      <c r="K227" s="56"/>
      <c r="L227" s="56">
        <v>0.1</v>
      </c>
      <c r="M227" s="56">
        <v>0.366666666666667</v>
      </c>
      <c r="N227" s="56"/>
      <c r="O227" s="56"/>
      <c r="P227" s="56">
        <v>0.1</v>
      </c>
      <c r="Q227" s="56">
        <v>0.466666666666667</v>
      </c>
      <c r="R227" s="56"/>
      <c r="S227" s="56"/>
      <c r="T227" s="11">
        <v>2.4</v>
      </c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11">
        <v>801</v>
      </c>
      <c r="AG227" s="11" t="s">
        <v>116</v>
      </c>
      <c r="AH227" s="97"/>
      <c r="AI227" s="97"/>
      <c r="AJ227" s="97"/>
      <c r="AK227" s="97">
        <v>0</v>
      </c>
      <c r="AL227" s="97"/>
      <c r="AM227" s="97"/>
      <c r="AN227" s="97"/>
      <c r="AO227" s="97"/>
      <c r="AP227" s="97"/>
      <c r="AQ227" s="97"/>
      <c r="AR227" s="97"/>
      <c r="AS227" s="97"/>
      <c r="AT227" s="97"/>
      <c r="AU227" s="97"/>
      <c r="AY227" s="97"/>
      <c r="AZ227" s="97"/>
    </row>
    <row r="228" s="11" customFormat="1" spans="1:52">
      <c r="A228" s="11">
        <v>1067</v>
      </c>
      <c r="B228" s="97" t="s">
        <v>677</v>
      </c>
      <c r="C228" s="11" t="s">
        <v>678</v>
      </c>
      <c r="D228" s="56">
        <v>1</v>
      </c>
      <c r="E228" s="56"/>
      <c r="F228" s="56">
        <v>1</v>
      </c>
      <c r="G228" s="56">
        <v>2.5</v>
      </c>
      <c r="H228" s="56">
        <v>2.5</v>
      </c>
      <c r="I228" s="56">
        <v>0.6</v>
      </c>
      <c r="J228" s="56" t="s">
        <v>115</v>
      </c>
      <c r="K228" s="56"/>
      <c r="L228" s="56">
        <v>0.133333333333333</v>
      </c>
      <c r="M228" s="56">
        <v>0.7</v>
      </c>
      <c r="N228" s="56"/>
      <c r="O228" s="56"/>
      <c r="P228" s="56">
        <v>0.0666666666666667</v>
      </c>
      <c r="Q228" s="56">
        <v>0.566666666666667</v>
      </c>
      <c r="R228" s="56"/>
      <c r="S228" s="56"/>
      <c r="T228" s="11">
        <v>2.4</v>
      </c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11">
        <v>801</v>
      </c>
      <c r="AG228" s="11" t="s">
        <v>116</v>
      </c>
      <c r="AH228" s="97"/>
      <c r="AI228" s="97"/>
      <c r="AJ228" s="97"/>
      <c r="AK228" s="97">
        <v>0</v>
      </c>
      <c r="AL228" s="97"/>
      <c r="AM228" s="97"/>
      <c r="AN228" s="97"/>
      <c r="AO228" s="97"/>
      <c r="AP228" s="97"/>
      <c r="AQ228" s="97"/>
      <c r="AR228" s="97"/>
      <c r="AS228" s="97"/>
      <c r="AT228" s="97"/>
      <c r="AU228" s="97"/>
      <c r="AY228" s="97"/>
      <c r="AZ228" s="97"/>
    </row>
    <row r="229" s="11" customFormat="1" spans="1:52">
      <c r="A229" s="11">
        <v>1068</v>
      </c>
      <c r="B229" s="97" t="s">
        <v>679</v>
      </c>
      <c r="C229" s="11" t="s">
        <v>680</v>
      </c>
      <c r="D229" s="56">
        <v>1</v>
      </c>
      <c r="E229" s="56"/>
      <c r="F229" s="56">
        <v>1</v>
      </c>
      <c r="G229" s="56">
        <v>1.71</v>
      </c>
      <c r="H229" s="56">
        <v>1.71</v>
      </c>
      <c r="I229" s="56">
        <v>0.35</v>
      </c>
      <c r="J229" s="56" t="s">
        <v>115</v>
      </c>
      <c r="K229" s="56"/>
      <c r="L229" s="56">
        <v>0.0666666666666667</v>
      </c>
      <c r="M229" s="11">
        <v>0.433333333333333</v>
      </c>
      <c r="P229" s="56">
        <v>0.1</v>
      </c>
      <c r="Q229" s="11">
        <v>0.466666666666667</v>
      </c>
      <c r="T229" s="11">
        <v>2.4</v>
      </c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11">
        <v>801</v>
      </c>
      <c r="AG229" s="11" t="s">
        <v>116</v>
      </c>
      <c r="AH229" s="97"/>
      <c r="AI229" s="97"/>
      <c r="AJ229" s="97"/>
      <c r="AK229" s="97">
        <v>0</v>
      </c>
      <c r="AL229" s="97"/>
      <c r="AM229" s="97"/>
      <c r="AN229" s="97"/>
      <c r="AO229" s="97"/>
      <c r="AP229" s="97"/>
      <c r="AQ229" s="97"/>
      <c r="AR229" s="97"/>
      <c r="AS229" s="97"/>
      <c r="AT229" s="97"/>
      <c r="AU229" s="97"/>
      <c r="AY229" s="97"/>
      <c r="AZ229" s="97"/>
    </row>
    <row r="230" s="11" customFormat="1" spans="1:52">
      <c r="A230" s="11">
        <v>1069</v>
      </c>
      <c r="B230" s="97" t="s">
        <v>681</v>
      </c>
      <c r="C230" s="11" t="s">
        <v>682</v>
      </c>
      <c r="D230" s="56">
        <v>1</v>
      </c>
      <c r="E230" s="56"/>
      <c r="F230" s="56">
        <v>1</v>
      </c>
      <c r="G230" s="56">
        <v>1.71</v>
      </c>
      <c r="H230" s="56">
        <v>1.71</v>
      </c>
      <c r="I230" s="56">
        <v>0.35</v>
      </c>
      <c r="J230" s="56" t="s">
        <v>115</v>
      </c>
      <c r="K230" s="56"/>
      <c r="L230" s="56">
        <v>0.1</v>
      </c>
      <c r="M230" s="11">
        <v>0.433333333333333</v>
      </c>
      <c r="P230" s="56">
        <v>0.0666666666666667</v>
      </c>
      <c r="Q230" s="11">
        <v>0.466666666666667</v>
      </c>
      <c r="T230" s="11">
        <v>2.4</v>
      </c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11">
        <v>801</v>
      </c>
      <c r="AG230" s="11" t="s">
        <v>116</v>
      </c>
      <c r="AH230" s="97"/>
      <c r="AI230" s="97"/>
      <c r="AJ230" s="97"/>
      <c r="AK230" s="97">
        <v>0</v>
      </c>
      <c r="AL230" s="97"/>
      <c r="AM230" s="97"/>
      <c r="AN230" s="97"/>
      <c r="AO230" s="97"/>
      <c r="AP230" s="97"/>
      <c r="AQ230" s="97"/>
      <c r="AR230" s="97"/>
      <c r="AS230" s="97"/>
      <c r="AT230" s="97"/>
      <c r="AU230" s="97"/>
      <c r="AY230" s="97"/>
      <c r="AZ230" s="97"/>
    </row>
    <row r="231" s="11" customFormat="1" spans="1:52">
      <c r="A231" s="11">
        <v>1070</v>
      </c>
      <c r="B231" s="97" t="s">
        <v>683</v>
      </c>
      <c r="C231" s="11" t="s">
        <v>684</v>
      </c>
      <c r="D231" s="56">
        <v>1</v>
      </c>
      <c r="E231" s="56"/>
      <c r="F231" s="56">
        <v>1</v>
      </c>
      <c r="G231" s="56">
        <v>1.71</v>
      </c>
      <c r="H231" s="56">
        <v>1.71</v>
      </c>
      <c r="I231" s="56">
        <v>0.35</v>
      </c>
      <c r="J231" s="56" t="s">
        <v>115</v>
      </c>
      <c r="K231" s="56"/>
      <c r="L231" s="56">
        <v>0.0666666666666667</v>
      </c>
      <c r="M231" s="11">
        <v>0.466666666666667</v>
      </c>
      <c r="P231" s="56">
        <v>0.0666666666666667</v>
      </c>
      <c r="Q231" s="11">
        <v>0.466666666666667</v>
      </c>
      <c r="T231" s="11">
        <v>2.4</v>
      </c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11">
        <v>801</v>
      </c>
      <c r="AG231" s="11" t="s">
        <v>116</v>
      </c>
      <c r="AH231" s="97"/>
      <c r="AI231" s="97"/>
      <c r="AJ231" s="97"/>
      <c r="AK231" s="97">
        <v>0</v>
      </c>
      <c r="AL231" s="97"/>
      <c r="AM231" s="97"/>
      <c r="AN231" s="97"/>
      <c r="AO231" s="97"/>
      <c r="AP231" s="97"/>
      <c r="AQ231" s="97"/>
      <c r="AR231" s="97"/>
      <c r="AS231" s="97"/>
      <c r="AT231" s="97"/>
      <c r="AU231" s="97"/>
      <c r="AY231" s="97"/>
      <c r="AZ231" s="97"/>
    </row>
    <row r="232" s="11" customFormat="1" spans="1:52">
      <c r="A232" s="11">
        <v>1071</v>
      </c>
      <c r="B232" s="97" t="s">
        <v>685</v>
      </c>
      <c r="C232" s="11" t="s">
        <v>686</v>
      </c>
      <c r="D232" s="56">
        <v>1</v>
      </c>
      <c r="E232" s="56"/>
      <c r="F232" s="56">
        <v>1</v>
      </c>
      <c r="G232" s="56">
        <v>1.71</v>
      </c>
      <c r="H232" s="56">
        <v>1.71</v>
      </c>
      <c r="I232" s="56">
        <v>0.35</v>
      </c>
      <c r="J232" s="56" t="s">
        <v>115</v>
      </c>
      <c r="K232" s="56"/>
      <c r="L232" s="56">
        <v>0.0666666666666667</v>
      </c>
      <c r="M232" s="11">
        <v>0.433333333333333</v>
      </c>
      <c r="P232" s="56">
        <v>0.0666666666666667</v>
      </c>
      <c r="Q232" s="11">
        <v>0.433333333333333</v>
      </c>
      <c r="T232" s="11">
        <v>2.4</v>
      </c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11">
        <v>801</v>
      </c>
      <c r="AG232" s="11" t="s">
        <v>116</v>
      </c>
      <c r="AH232" s="97"/>
      <c r="AI232" s="97"/>
      <c r="AJ232" s="97"/>
      <c r="AK232" s="97">
        <v>0</v>
      </c>
      <c r="AL232" s="97"/>
      <c r="AM232" s="97"/>
      <c r="AN232" s="97"/>
      <c r="AO232" s="97"/>
      <c r="AP232" s="97"/>
      <c r="AQ232" s="97"/>
      <c r="AR232" s="97"/>
      <c r="AS232" s="97"/>
      <c r="AT232" s="97"/>
      <c r="AU232" s="97"/>
      <c r="AY232" s="97"/>
      <c r="AZ232" s="97"/>
    </row>
    <row r="233" s="11" customFormat="1" spans="1:52">
      <c r="A233" s="11">
        <v>1072</v>
      </c>
      <c r="B233" s="97" t="s">
        <v>687</v>
      </c>
      <c r="C233" s="11" t="s">
        <v>688</v>
      </c>
      <c r="D233" s="56">
        <v>1</v>
      </c>
      <c r="E233" s="56"/>
      <c r="F233" s="56">
        <v>1</v>
      </c>
      <c r="G233" s="56">
        <v>1.71</v>
      </c>
      <c r="H233" s="56">
        <v>1.71</v>
      </c>
      <c r="I233" s="56">
        <v>0.35</v>
      </c>
      <c r="J233" s="56" t="s">
        <v>115</v>
      </c>
      <c r="K233" s="56"/>
      <c r="L233" s="56">
        <v>0.1</v>
      </c>
      <c r="M233" s="11">
        <v>0.466666666666667</v>
      </c>
      <c r="P233" s="56">
        <v>0.1</v>
      </c>
      <c r="Q233" s="11">
        <v>0.466666666666667</v>
      </c>
      <c r="T233" s="11">
        <v>2.4</v>
      </c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11">
        <v>801</v>
      </c>
      <c r="AG233" s="11" t="s">
        <v>116</v>
      </c>
      <c r="AH233" s="97"/>
      <c r="AI233" s="97"/>
      <c r="AJ233" s="97"/>
      <c r="AK233" s="97">
        <v>0</v>
      </c>
      <c r="AL233" s="97"/>
      <c r="AM233" s="97"/>
      <c r="AN233" s="97"/>
      <c r="AO233" s="97"/>
      <c r="AP233" s="97"/>
      <c r="AQ233" s="97"/>
      <c r="AR233" s="97"/>
      <c r="AS233" s="97"/>
      <c r="AT233" s="97"/>
      <c r="AU233" s="97"/>
      <c r="AY233" s="97"/>
      <c r="AZ233" s="97"/>
    </row>
    <row r="234" s="11" customFormat="1" spans="1:52">
      <c r="A234" s="11">
        <v>1073</v>
      </c>
      <c r="B234" s="97" t="s">
        <v>689</v>
      </c>
      <c r="C234" s="11" t="s">
        <v>690</v>
      </c>
      <c r="D234" s="56">
        <v>1</v>
      </c>
      <c r="E234" s="56"/>
      <c r="F234" s="56">
        <v>1</v>
      </c>
      <c r="G234" s="56">
        <v>1.71</v>
      </c>
      <c r="H234" s="56">
        <v>1.71</v>
      </c>
      <c r="I234" s="56">
        <v>0.35</v>
      </c>
      <c r="J234" s="56" t="s">
        <v>115</v>
      </c>
      <c r="K234" s="56"/>
      <c r="L234" s="56">
        <v>0.1</v>
      </c>
      <c r="M234" s="11">
        <v>0.466666666666667</v>
      </c>
      <c r="P234" s="56">
        <v>0.0666666666666667</v>
      </c>
      <c r="Q234" s="11">
        <v>0.466666666666667</v>
      </c>
      <c r="T234" s="11">
        <v>2.4</v>
      </c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11">
        <v>801</v>
      </c>
      <c r="AG234" s="11" t="s">
        <v>116</v>
      </c>
      <c r="AH234" s="97"/>
      <c r="AI234" s="97"/>
      <c r="AJ234" s="97"/>
      <c r="AK234" s="97">
        <v>0</v>
      </c>
      <c r="AL234" s="97"/>
      <c r="AM234" s="97"/>
      <c r="AN234" s="97"/>
      <c r="AO234" s="97"/>
      <c r="AP234" s="97"/>
      <c r="AQ234" s="97"/>
      <c r="AR234" s="97"/>
      <c r="AS234" s="97"/>
      <c r="AT234" s="97"/>
      <c r="AU234" s="97"/>
      <c r="AY234" s="97"/>
      <c r="AZ234" s="97"/>
    </row>
    <row r="235" s="11" customFormat="1" spans="1:52">
      <c r="A235" s="11">
        <v>1074</v>
      </c>
      <c r="B235" s="99" t="s">
        <v>691</v>
      </c>
      <c r="C235" s="11" t="s">
        <v>692</v>
      </c>
      <c r="D235" s="56">
        <v>1</v>
      </c>
      <c r="E235" s="56"/>
      <c r="F235" s="56">
        <v>1</v>
      </c>
      <c r="G235" s="56">
        <v>1.71</v>
      </c>
      <c r="H235" s="56">
        <v>1.71</v>
      </c>
      <c r="I235" s="56">
        <v>0.35</v>
      </c>
      <c r="J235" s="56" t="s">
        <v>115</v>
      </c>
      <c r="K235" s="56"/>
      <c r="L235" s="56">
        <v>0.1</v>
      </c>
      <c r="M235" s="11">
        <v>0.466666666666667</v>
      </c>
      <c r="P235" s="56">
        <v>0.0666666666666667</v>
      </c>
      <c r="Q235" s="11">
        <v>0.466666666666667</v>
      </c>
      <c r="T235" s="11">
        <v>2.4</v>
      </c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11">
        <v>801</v>
      </c>
      <c r="AG235" s="11" t="s">
        <v>116</v>
      </c>
      <c r="AH235" s="97"/>
      <c r="AI235" s="97"/>
      <c r="AJ235" s="97"/>
      <c r="AK235" s="97">
        <v>0</v>
      </c>
      <c r="AL235" s="97"/>
      <c r="AM235" s="97"/>
      <c r="AN235" s="97"/>
      <c r="AO235" s="97"/>
      <c r="AP235" s="97"/>
      <c r="AQ235" s="97"/>
      <c r="AR235" s="97"/>
      <c r="AS235" s="97"/>
      <c r="AT235" s="97"/>
      <c r="AU235" s="97"/>
      <c r="AY235" s="97"/>
      <c r="AZ235" s="97"/>
    </row>
    <row r="236" s="11" customFormat="1" spans="1:52">
      <c r="A236" s="11">
        <v>1075</v>
      </c>
      <c r="B236" s="99" t="s">
        <v>693</v>
      </c>
      <c r="C236" s="11" t="s">
        <v>694</v>
      </c>
      <c r="D236" s="56">
        <v>1</v>
      </c>
      <c r="E236" s="56"/>
      <c r="F236" s="56">
        <v>1</v>
      </c>
      <c r="G236" s="56">
        <v>1.9</v>
      </c>
      <c r="H236" s="56">
        <v>1.9</v>
      </c>
      <c r="I236" s="56">
        <v>0.35</v>
      </c>
      <c r="J236" s="56" t="s">
        <v>115</v>
      </c>
      <c r="K236" s="56"/>
      <c r="L236" s="56">
        <v>0.1</v>
      </c>
      <c r="M236" s="11">
        <v>0.466666666666667</v>
      </c>
      <c r="P236" s="56">
        <v>0.0666666666666667</v>
      </c>
      <c r="Q236" s="11">
        <v>0.466666666666667</v>
      </c>
      <c r="T236" s="11">
        <v>2.4</v>
      </c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11">
        <v>801</v>
      </c>
      <c r="AG236" s="11" t="s">
        <v>116</v>
      </c>
      <c r="AH236" s="97"/>
      <c r="AI236" s="97"/>
      <c r="AJ236" s="97"/>
      <c r="AK236" s="97">
        <v>0</v>
      </c>
      <c r="AL236" s="97"/>
      <c r="AM236" s="97"/>
      <c r="AN236" s="97"/>
      <c r="AO236" s="97"/>
      <c r="AP236" s="97"/>
      <c r="AQ236" s="97"/>
      <c r="AR236" s="97"/>
      <c r="AS236" s="97"/>
      <c r="AT236" s="97"/>
      <c r="AU236" s="97"/>
      <c r="AY236" s="97"/>
      <c r="AZ236" s="97"/>
    </row>
    <row r="237" s="11" customFormat="1" spans="1:52">
      <c r="A237" s="11">
        <v>1076</v>
      </c>
      <c r="B237" s="99" t="s">
        <v>695</v>
      </c>
      <c r="C237" s="11" t="s">
        <v>696</v>
      </c>
      <c r="D237" s="56">
        <v>1</v>
      </c>
      <c r="E237" s="56"/>
      <c r="F237" s="56">
        <v>1</v>
      </c>
      <c r="G237" s="56">
        <v>1.71</v>
      </c>
      <c r="H237" s="56">
        <v>2</v>
      </c>
      <c r="I237" s="56">
        <v>0.35</v>
      </c>
      <c r="J237" s="56" t="s">
        <v>115</v>
      </c>
      <c r="K237" s="56"/>
      <c r="L237" s="56">
        <v>0.1</v>
      </c>
      <c r="M237" s="11">
        <v>0.466666666666667</v>
      </c>
      <c r="P237" s="56">
        <v>0.0666666666666667</v>
      </c>
      <c r="Q237" s="11">
        <v>0.466666666666667</v>
      </c>
      <c r="T237" s="11">
        <v>2.4</v>
      </c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11">
        <v>801</v>
      </c>
      <c r="AG237" s="11" t="s">
        <v>116</v>
      </c>
      <c r="AH237" s="97"/>
      <c r="AI237" s="97"/>
      <c r="AJ237" s="97"/>
      <c r="AK237" s="97">
        <v>0</v>
      </c>
      <c r="AL237" s="97"/>
      <c r="AM237" s="97"/>
      <c r="AN237" s="97"/>
      <c r="AO237" s="97"/>
      <c r="AP237" s="97"/>
      <c r="AQ237" s="97"/>
      <c r="AR237" s="97"/>
      <c r="AS237" s="97"/>
      <c r="AT237" s="97"/>
      <c r="AU237" s="97"/>
      <c r="AY237" s="97"/>
      <c r="AZ237" s="97"/>
    </row>
    <row r="238" s="11" customFormat="1" spans="1:52">
      <c r="A238" s="11">
        <v>1077</v>
      </c>
      <c r="B238" s="99" t="s">
        <v>697</v>
      </c>
      <c r="C238" s="11" t="s">
        <v>698</v>
      </c>
      <c r="D238" s="56">
        <v>1</v>
      </c>
      <c r="E238" s="56"/>
      <c r="F238" s="56">
        <v>1</v>
      </c>
      <c r="G238" s="56">
        <v>1.85</v>
      </c>
      <c r="H238" s="56">
        <v>2.2</v>
      </c>
      <c r="I238" s="56">
        <v>0.35</v>
      </c>
      <c r="J238" s="56" t="s">
        <v>115</v>
      </c>
      <c r="K238" s="56"/>
      <c r="L238" s="56">
        <v>0.1</v>
      </c>
      <c r="M238" s="11">
        <v>0.466666666666667</v>
      </c>
      <c r="P238" s="56">
        <v>0.0666666666666667</v>
      </c>
      <c r="Q238" s="11">
        <v>0.466666666666667</v>
      </c>
      <c r="T238" s="11">
        <v>2.4</v>
      </c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11">
        <v>801</v>
      </c>
      <c r="AG238" s="11" t="s">
        <v>116</v>
      </c>
      <c r="AH238" s="97"/>
      <c r="AI238" s="97"/>
      <c r="AJ238" s="97"/>
      <c r="AK238" s="97">
        <v>0</v>
      </c>
      <c r="AL238" s="97"/>
      <c r="AM238" s="97"/>
      <c r="AN238" s="97"/>
      <c r="AO238" s="97"/>
      <c r="AP238" s="97"/>
      <c r="AQ238" s="97"/>
      <c r="AR238" s="97"/>
      <c r="AS238" s="97"/>
      <c r="AT238" s="97"/>
      <c r="AU238" s="97"/>
      <c r="AY238" s="97"/>
      <c r="AZ238" s="97"/>
    </row>
    <row r="239" s="11" customFormat="1" spans="1:52">
      <c r="A239" s="11">
        <v>1078</v>
      </c>
      <c r="B239" s="99" t="s">
        <v>699</v>
      </c>
      <c r="C239" s="11" t="s">
        <v>700</v>
      </c>
      <c r="D239" s="56">
        <v>1</v>
      </c>
      <c r="E239" s="56"/>
      <c r="F239" s="56">
        <v>1</v>
      </c>
      <c r="G239" s="56">
        <v>1.71</v>
      </c>
      <c r="H239" s="56">
        <v>1.71</v>
      </c>
      <c r="I239" s="56">
        <v>0.35</v>
      </c>
      <c r="J239" s="56" t="s">
        <v>115</v>
      </c>
      <c r="K239" s="56"/>
      <c r="L239" s="56">
        <v>0.1</v>
      </c>
      <c r="M239" s="11">
        <v>0.466666666666667</v>
      </c>
      <c r="P239" s="56">
        <v>0.0666666666666667</v>
      </c>
      <c r="Q239" s="11">
        <v>0.466666666666667</v>
      </c>
      <c r="T239" s="11">
        <v>2.4</v>
      </c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11">
        <v>801</v>
      </c>
      <c r="AG239" s="11" t="s">
        <v>116</v>
      </c>
      <c r="AH239" s="97"/>
      <c r="AI239" s="97"/>
      <c r="AJ239" s="97"/>
      <c r="AK239" s="97">
        <v>0</v>
      </c>
      <c r="AL239" s="97"/>
      <c r="AM239" s="97"/>
      <c r="AN239" s="97"/>
      <c r="AO239" s="97"/>
      <c r="AP239" s="97"/>
      <c r="AQ239" s="97"/>
      <c r="AR239" s="97"/>
      <c r="AS239" s="97"/>
      <c r="AT239" s="97"/>
      <c r="AU239" s="97"/>
      <c r="AY239" s="97"/>
      <c r="AZ239" s="97"/>
    </row>
    <row r="240" s="11" customFormat="1" spans="1:52">
      <c r="A240" s="11">
        <v>1079</v>
      </c>
      <c r="B240" s="99" t="s">
        <v>701</v>
      </c>
      <c r="C240" s="11" t="s">
        <v>702</v>
      </c>
      <c r="D240" s="56">
        <v>1</v>
      </c>
      <c r="E240" s="56"/>
      <c r="F240" s="56">
        <v>1</v>
      </c>
      <c r="G240" s="56">
        <v>1.71</v>
      </c>
      <c r="H240" s="56">
        <v>1.71</v>
      </c>
      <c r="I240" s="56">
        <v>0.35</v>
      </c>
      <c r="J240" s="56" t="s">
        <v>115</v>
      </c>
      <c r="K240" s="56"/>
      <c r="L240" s="56">
        <v>0.1</v>
      </c>
      <c r="M240" s="11">
        <v>0.466666666666667</v>
      </c>
      <c r="P240" s="56">
        <v>0.0666666666666667</v>
      </c>
      <c r="Q240" s="11">
        <v>0.466666666666667</v>
      </c>
      <c r="T240" s="11">
        <v>2.4</v>
      </c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11">
        <v>801</v>
      </c>
      <c r="AG240" s="11" t="s">
        <v>116</v>
      </c>
      <c r="AH240" s="97"/>
      <c r="AI240" s="97"/>
      <c r="AJ240" s="97"/>
      <c r="AK240" s="97">
        <v>0</v>
      </c>
      <c r="AL240" s="97"/>
      <c r="AM240" s="97"/>
      <c r="AN240" s="97"/>
      <c r="AO240" s="97"/>
      <c r="AP240" s="97"/>
      <c r="AQ240" s="97"/>
      <c r="AR240" s="97"/>
      <c r="AS240" s="97"/>
      <c r="AT240" s="97"/>
      <c r="AU240" s="97"/>
      <c r="AY240" s="97"/>
      <c r="AZ240" s="97"/>
    </row>
    <row r="241" s="11" customFormat="1" spans="1:52">
      <c r="A241" s="11">
        <v>1080</v>
      </c>
      <c r="B241" s="99" t="s">
        <v>703</v>
      </c>
      <c r="C241" s="11" t="s">
        <v>704</v>
      </c>
      <c r="D241" s="56">
        <v>1</v>
      </c>
      <c r="E241" s="56"/>
      <c r="F241" s="56">
        <v>1</v>
      </c>
      <c r="G241" s="56">
        <v>1.71</v>
      </c>
      <c r="H241" s="56">
        <v>1.9</v>
      </c>
      <c r="I241" s="56">
        <v>0.35</v>
      </c>
      <c r="J241" s="56" t="s">
        <v>115</v>
      </c>
      <c r="K241" s="56"/>
      <c r="L241" s="56">
        <v>0.1</v>
      </c>
      <c r="M241" s="11">
        <v>0.466666666666667</v>
      </c>
      <c r="P241" s="56">
        <v>0.0666666666666667</v>
      </c>
      <c r="Q241" s="11">
        <v>0.466666666666667</v>
      </c>
      <c r="T241" s="11">
        <v>2.4</v>
      </c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11">
        <v>801</v>
      </c>
      <c r="AG241" s="11" t="s">
        <v>116</v>
      </c>
      <c r="AH241" s="97"/>
      <c r="AI241" s="97"/>
      <c r="AJ241" s="97"/>
      <c r="AK241" s="97">
        <v>0</v>
      </c>
      <c r="AL241" s="97"/>
      <c r="AM241" s="97"/>
      <c r="AN241" s="97"/>
      <c r="AO241" s="97"/>
      <c r="AP241" s="97"/>
      <c r="AQ241" s="97"/>
      <c r="AR241" s="97"/>
      <c r="AS241" s="97"/>
      <c r="AT241" s="97"/>
      <c r="AU241" s="97"/>
      <c r="AY241" s="97"/>
      <c r="AZ241" s="97"/>
    </row>
    <row r="242" s="11" customFormat="1" spans="1:52">
      <c r="A242" s="11">
        <v>1081</v>
      </c>
      <c r="B242" s="99" t="s">
        <v>705</v>
      </c>
      <c r="C242" s="11" t="s">
        <v>706</v>
      </c>
      <c r="D242" s="56">
        <v>1</v>
      </c>
      <c r="E242" s="56"/>
      <c r="F242" s="56">
        <v>1</v>
      </c>
      <c r="G242" s="56">
        <v>1.71</v>
      </c>
      <c r="H242" s="56">
        <v>2</v>
      </c>
      <c r="I242" s="56">
        <v>0.35</v>
      </c>
      <c r="J242" s="56" t="s">
        <v>115</v>
      </c>
      <c r="K242" s="56"/>
      <c r="L242" s="56">
        <v>0.1</v>
      </c>
      <c r="M242" s="11">
        <v>0.466666666666667</v>
      </c>
      <c r="P242" s="56">
        <v>0.0666666666666667</v>
      </c>
      <c r="Q242" s="11">
        <v>0.466666666666667</v>
      </c>
      <c r="T242" s="11">
        <v>2.4</v>
      </c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11">
        <v>801</v>
      </c>
      <c r="AG242" s="11" t="s">
        <v>116</v>
      </c>
      <c r="AH242" s="97"/>
      <c r="AI242" s="97"/>
      <c r="AJ242" s="97"/>
      <c r="AK242" s="97">
        <v>0</v>
      </c>
      <c r="AL242" s="97"/>
      <c r="AM242" s="97"/>
      <c r="AN242" s="97"/>
      <c r="AO242" s="97"/>
      <c r="AP242" s="97"/>
      <c r="AQ242" s="97"/>
      <c r="AR242" s="97"/>
      <c r="AS242" s="97"/>
      <c r="AT242" s="97"/>
      <c r="AU242" s="97"/>
      <c r="AY242" s="97"/>
      <c r="AZ242" s="97"/>
    </row>
    <row r="243" s="11" customFormat="1" spans="1:52">
      <c r="A243" s="11">
        <v>1082</v>
      </c>
      <c r="B243" s="99" t="s">
        <v>707</v>
      </c>
      <c r="C243" s="11" t="s">
        <v>708</v>
      </c>
      <c r="D243" s="56">
        <v>1</v>
      </c>
      <c r="E243" s="56"/>
      <c r="F243" s="56">
        <v>1</v>
      </c>
      <c r="G243" s="56">
        <v>1.71</v>
      </c>
      <c r="H243" s="56">
        <v>2.1</v>
      </c>
      <c r="I243" s="56">
        <v>0.35</v>
      </c>
      <c r="J243" s="56" t="s">
        <v>115</v>
      </c>
      <c r="K243" s="56"/>
      <c r="L243" s="56">
        <v>0.1</v>
      </c>
      <c r="M243" s="11">
        <v>0.466666666666667</v>
      </c>
      <c r="P243" s="56">
        <v>0.0666666666666667</v>
      </c>
      <c r="Q243" s="11">
        <v>0.466666666666667</v>
      </c>
      <c r="T243" s="11">
        <v>2.4</v>
      </c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11">
        <v>801</v>
      </c>
      <c r="AG243" s="11" t="s">
        <v>116</v>
      </c>
      <c r="AH243" s="97"/>
      <c r="AI243" s="97"/>
      <c r="AJ243" s="97"/>
      <c r="AK243" s="97">
        <v>0</v>
      </c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Y243" s="97"/>
      <c r="AZ243" s="97"/>
    </row>
    <row r="244" s="11" customFormat="1" spans="1:52">
      <c r="A244" s="11">
        <v>1083</v>
      </c>
      <c r="B244" s="99" t="s">
        <v>709</v>
      </c>
      <c r="C244" s="11" t="s">
        <v>710</v>
      </c>
      <c r="D244" s="56">
        <v>1</v>
      </c>
      <c r="E244" s="56"/>
      <c r="F244" s="56">
        <v>1</v>
      </c>
      <c r="G244" s="56">
        <v>1.71</v>
      </c>
      <c r="H244" s="56">
        <v>1.9</v>
      </c>
      <c r="I244" s="56">
        <v>0.35</v>
      </c>
      <c r="J244" s="56" t="s">
        <v>115</v>
      </c>
      <c r="K244" s="56"/>
      <c r="L244" s="56">
        <v>0.1</v>
      </c>
      <c r="M244" s="11">
        <v>0.466666666666667</v>
      </c>
      <c r="P244" s="56">
        <v>0.0666666666666667</v>
      </c>
      <c r="Q244" s="11">
        <v>0.466666666666667</v>
      </c>
      <c r="T244" s="11">
        <v>2.4</v>
      </c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11">
        <v>801</v>
      </c>
      <c r="AG244" s="11" t="s">
        <v>116</v>
      </c>
      <c r="AH244" s="97"/>
      <c r="AI244" s="97"/>
      <c r="AJ244" s="97"/>
      <c r="AK244" s="97">
        <v>0</v>
      </c>
      <c r="AL244" s="97"/>
      <c r="AM244" s="97"/>
      <c r="AN244" s="97"/>
      <c r="AO244" s="97"/>
      <c r="AP244" s="97"/>
      <c r="AQ244" s="97"/>
      <c r="AR244" s="97"/>
      <c r="AS244" s="97"/>
      <c r="AT244" s="97"/>
      <c r="AU244" s="97"/>
      <c r="AY244" s="97"/>
      <c r="AZ244" s="97"/>
    </row>
    <row r="245" s="11" customFormat="1" spans="1:52">
      <c r="A245" s="11">
        <v>1084</v>
      </c>
      <c r="B245" s="99" t="s">
        <v>711</v>
      </c>
      <c r="C245" s="11" t="s">
        <v>170</v>
      </c>
      <c r="D245" s="56">
        <v>1</v>
      </c>
      <c r="E245" s="56"/>
      <c r="F245" s="56">
        <v>1</v>
      </c>
      <c r="G245" s="56">
        <v>1.71</v>
      </c>
      <c r="H245" s="56">
        <v>1.9</v>
      </c>
      <c r="I245" s="56">
        <v>0.35</v>
      </c>
      <c r="J245" s="56" t="s">
        <v>115</v>
      </c>
      <c r="K245" s="56"/>
      <c r="L245" s="56">
        <v>0.1</v>
      </c>
      <c r="M245" s="11">
        <v>0.466666666666667</v>
      </c>
      <c r="P245" s="56">
        <v>0.0666666666666667</v>
      </c>
      <c r="Q245" s="11">
        <v>0.466666666666667</v>
      </c>
      <c r="T245" s="11">
        <v>2.4</v>
      </c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11">
        <v>801</v>
      </c>
      <c r="AG245" s="11" t="s">
        <v>116</v>
      </c>
      <c r="AH245" s="97"/>
      <c r="AI245" s="97"/>
      <c r="AJ245" s="97"/>
      <c r="AK245" s="97">
        <v>0</v>
      </c>
      <c r="AL245" s="97"/>
      <c r="AM245" s="97"/>
      <c r="AN245" s="97"/>
      <c r="AO245" s="97"/>
      <c r="AP245" s="97"/>
      <c r="AQ245" s="97"/>
      <c r="AR245" s="97"/>
      <c r="AS245" s="97"/>
      <c r="AT245" s="97"/>
      <c r="AU245" s="97"/>
      <c r="AY245" s="97"/>
      <c r="AZ245" s="97"/>
    </row>
    <row r="246" s="11" customFormat="1" spans="1:52">
      <c r="A246" s="11">
        <v>1085</v>
      </c>
      <c r="B246" s="99" t="s">
        <v>712</v>
      </c>
      <c r="C246" s="11" t="s">
        <v>566</v>
      </c>
      <c r="D246" s="56">
        <v>1</v>
      </c>
      <c r="E246" s="56"/>
      <c r="F246" s="56">
        <v>1</v>
      </c>
      <c r="G246" s="56">
        <v>1.71</v>
      </c>
      <c r="H246" s="56">
        <v>1.9</v>
      </c>
      <c r="I246" s="56">
        <v>0.35</v>
      </c>
      <c r="J246" s="56" t="s">
        <v>115</v>
      </c>
      <c r="K246" s="56"/>
      <c r="L246" s="56">
        <v>0.1</v>
      </c>
      <c r="M246" s="11">
        <v>0.466666666666667</v>
      </c>
      <c r="P246" s="56">
        <v>0.0666666666666667</v>
      </c>
      <c r="Q246" s="11">
        <v>0.466666666666667</v>
      </c>
      <c r="T246" s="11">
        <v>2.4</v>
      </c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11">
        <v>801</v>
      </c>
      <c r="AG246" s="11" t="s">
        <v>116</v>
      </c>
      <c r="AH246" s="97"/>
      <c r="AI246" s="97"/>
      <c r="AJ246" s="97"/>
      <c r="AK246" s="97">
        <v>0</v>
      </c>
      <c r="AL246" s="97"/>
      <c r="AM246" s="97"/>
      <c r="AN246" s="97"/>
      <c r="AO246" s="97"/>
      <c r="AP246" s="97"/>
      <c r="AQ246" s="97"/>
      <c r="AR246" s="97"/>
      <c r="AS246" s="97"/>
      <c r="AT246" s="97"/>
      <c r="AU246" s="97"/>
      <c r="AY246" s="97"/>
      <c r="AZ246" s="97"/>
    </row>
    <row r="247" s="11" customFormat="1" spans="1:52">
      <c r="A247" s="11">
        <v>1086</v>
      </c>
      <c r="B247" s="99" t="s">
        <v>713</v>
      </c>
      <c r="C247" s="11" t="s">
        <v>714</v>
      </c>
      <c r="D247" s="56">
        <v>1</v>
      </c>
      <c r="E247" s="56"/>
      <c r="F247" s="56">
        <v>1</v>
      </c>
      <c r="G247" s="56">
        <v>1.75</v>
      </c>
      <c r="H247" s="56">
        <v>2</v>
      </c>
      <c r="I247" s="56">
        <v>0.35</v>
      </c>
      <c r="J247" s="56" t="s">
        <v>115</v>
      </c>
      <c r="K247" s="56"/>
      <c r="L247" s="56">
        <v>0.0666666666666667</v>
      </c>
      <c r="M247" s="11">
        <v>0.6</v>
      </c>
      <c r="P247" s="56">
        <v>0.0666666666666667</v>
      </c>
      <c r="Q247" s="11">
        <v>0.6</v>
      </c>
      <c r="T247" s="11">
        <v>2.4</v>
      </c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11">
        <v>801</v>
      </c>
      <c r="AG247" s="11" t="s">
        <v>116</v>
      </c>
      <c r="AH247" s="97"/>
      <c r="AI247" s="97"/>
      <c r="AJ247" s="97"/>
      <c r="AK247" s="97">
        <v>0</v>
      </c>
      <c r="AL247" s="97"/>
      <c r="AM247" s="97"/>
      <c r="AN247" s="97"/>
      <c r="AO247" s="97"/>
      <c r="AP247" s="97"/>
      <c r="AQ247" s="97"/>
      <c r="AR247" s="97"/>
      <c r="AS247" s="97"/>
      <c r="AT247" s="97"/>
      <c r="AU247" s="97"/>
      <c r="AY247" s="97"/>
      <c r="AZ247" s="97"/>
    </row>
    <row r="248" s="11" customFormat="1" spans="1:52">
      <c r="A248" s="11">
        <v>1087</v>
      </c>
      <c r="B248" s="99" t="s">
        <v>715</v>
      </c>
      <c r="C248" s="11" t="s">
        <v>716</v>
      </c>
      <c r="D248" s="56">
        <v>1</v>
      </c>
      <c r="E248" s="56"/>
      <c r="F248" s="56">
        <v>1</v>
      </c>
      <c r="G248" s="56">
        <v>1.71</v>
      </c>
      <c r="H248" s="56">
        <v>1.9</v>
      </c>
      <c r="I248" s="56">
        <v>0.35</v>
      </c>
      <c r="J248" s="56" t="s">
        <v>115</v>
      </c>
      <c r="K248" s="56"/>
      <c r="L248" s="56">
        <v>0.1</v>
      </c>
      <c r="M248" s="11">
        <v>0.466666666666667</v>
      </c>
      <c r="P248" s="56">
        <v>0.0666666666666667</v>
      </c>
      <c r="Q248" s="11">
        <v>0.466666666666667</v>
      </c>
      <c r="T248" s="11">
        <v>2.4</v>
      </c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11">
        <v>801</v>
      </c>
      <c r="AG248" s="11" t="s">
        <v>116</v>
      </c>
      <c r="AH248" s="97"/>
      <c r="AI248" s="97"/>
      <c r="AJ248" s="97"/>
      <c r="AK248" s="97">
        <v>0</v>
      </c>
      <c r="AL248" s="97"/>
      <c r="AM248" s="97"/>
      <c r="AN248" s="97"/>
      <c r="AO248" s="97"/>
      <c r="AP248" s="97"/>
      <c r="AQ248" s="97"/>
      <c r="AR248" s="97"/>
      <c r="AS248" s="97"/>
      <c r="AT248" s="97"/>
      <c r="AU248" s="97"/>
      <c r="AY248" s="97"/>
      <c r="AZ248" s="97"/>
    </row>
    <row r="249" s="11" customFormat="1" spans="1:52">
      <c r="A249" s="11">
        <v>1088</v>
      </c>
      <c r="B249" s="99" t="s">
        <v>717</v>
      </c>
      <c r="C249" s="97" t="s">
        <v>718</v>
      </c>
      <c r="D249" s="56">
        <v>1</v>
      </c>
      <c r="E249" s="56"/>
      <c r="F249" s="56">
        <v>1</v>
      </c>
      <c r="G249" s="56">
        <v>1.71</v>
      </c>
      <c r="H249" s="56">
        <v>1.9</v>
      </c>
      <c r="I249" s="56">
        <v>0.35</v>
      </c>
      <c r="J249" s="56" t="s">
        <v>115</v>
      </c>
      <c r="K249" s="56"/>
      <c r="L249" s="56">
        <v>0.1</v>
      </c>
      <c r="M249" s="11">
        <v>0.466666666666667</v>
      </c>
      <c r="P249" s="56">
        <v>0.0666666666666667</v>
      </c>
      <c r="Q249" s="11">
        <v>0.466666666666667</v>
      </c>
      <c r="T249" s="11">
        <v>2.4</v>
      </c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11">
        <v>801</v>
      </c>
      <c r="AG249" s="11" t="s">
        <v>116</v>
      </c>
      <c r="AH249" s="97"/>
      <c r="AI249" s="97"/>
      <c r="AJ249" s="97"/>
      <c r="AK249" s="97">
        <v>0</v>
      </c>
      <c r="AL249" s="97"/>
      <c r="AM249" s="97"/>
      <c r="AN249" s="97"/>
      <c r="AO249" s="97"/>
      <c r="AP249" s="97"/>
      <c r="AQ249" s="97"/>
      <c r="AR249" s="97"/>
      <c r="AS249" s="97"/>
      <c r="AT249" s="97"/>
      <c r="AU249" s="97"/>
      <c r="AY249" s="97"/>
      <c r="AZ249" s="97"/>
    </row>
    <row r="250" s="11" customFormat="1" spans="1:52">
      <c r="A250" s="11">
        <v>1089</v>
      </c>
      <c r="B250" s="99" t="s">
        <v>719</v>
      </c>
      <c r="C250" s="11" t="s">
        <v>720</v>
      </c>
      <c r="D250" s="56">
        <v>1</v>
      </c>
      <c r="E250" s="56"/>
      <c r="F250" s="56">
        <v>1</v>
      </c>
      <c r="G250" s="56">
        <v>2.45</v>
      </c>
      <c r="H250" s="56">
        <v>2.6</v>
      </c>
      <c r="I250" s="56">
        <v>0.35</v>
      </c>
      <c r="J250" s="56" t="s">
        <v>115</v>
      </c>
      <c r="K250" s="56"/>
      <c r="L250" s="56">
        <v>0.1</v>
      </c>
      <c r="M250" s="11">
        <v>0.466666666666667</v>
      </c>
      <c r="P250" s="56">
        <v>0.0666666666666667</v>
      </c>
      <c r="Q250" s="11">
        <v>0.466666666666667</v>
      </c>
      <c r="T250" s="11">
        <v>2.4</v>
      </c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11">
        <v>801</v>
      </c>
      <c r="AG250" s="11" t="s">
        <v>116</v>
      </c>
      <c r="AH250" s="97"/>
      <c r="AI250" s="97"/>
      <c r="AJ250" s="97"/>
      <c r="AK250" s="97">
        <v>0</v>
      </c>
      <c r="AL250" s="97"/>
      <c r="AM250" s="97"/>
      <c r="AN250" s="97"/>
      <c r="AO250" s="97"/>
      <c r="AP250" s="97"/>
      <c r="AQ250" s="97"/>
      <c r="AR250" s="97"/>
      <c r="AS250" s="97"/>
      <c r="AT250" s="97"/>
      <c r="AU250" s="97"/>
      <c r="AY250" s="97"/>
      <c r="AZ250" s="97"/>
    </row>
    <row r="251" s="11" customFormat="1" spans="1:52">
      <c r="A251" s="11">
        <v>1090</v>
      </c>
      <c r="B251" s="99" t="s">
        <v>721</v>
      </c>
      <c r="C251" s="100" t="s">
        <v>722</v>
      </c>
      <c r="D251" s="56">
        <v>1</v>
      </c>
      <c r="E251" s="56"/>
      <c r="F251" s="56">
        <v>1</v>
      </c>
      <c r="G251" s="56">
        <v>1.71</v>
      </c>
      <c r="H251" s="56">
        <v>1.9</v>
      </c>
      <c r="I251" s="56">
        <v>0.35</v>
      </c>
      <c r="J251" s="56" t="s">
        <v>115</v>
      </c>
      <c r="K251" s="56"/>
      <c r="L251" s="56">
        <v>0.1</v>
      </c>
      <c r="M251" s="11">
        <v>0.466666666666667</v>
      </c>
      <c r="P251" s="56">
        <v>0.0666666666666667</v>
      </c>
      <c r="Q251" s="11">
        <v>0.466666666666667</v>
      </c>
      <c r="T251" s="11">
        <v>2.4</v>
      </c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11">
        <v>801</v>
      </c>
      <c r="AG251" s="11" t="s">
        <v>116</v>
      </c>
      <c r="AH251" s="97"/>
      <c r="AI251" s="97"/>
      <c r="AJ251" s="97"/>
      <c r="AK251" s="97">
        <v>0</v>
      </c>
      <c r="AL251" s="97"/>
      <c r="AM251" s="97"/>
      <c r="AN251" s="97"/>
      <c r="AO251" s="97"/>
      <c r="AP251" s="97"/>
      <c r="AQ251" s="97"/>
      <c r="AR251" s="97"/>
      <c r="AS251" s="97"/>
      <c r="AT251" s="97"/>
      <c r="AU251" s="97"/>
      <c r="AY251" s="97"/>
      <c r="AZ251" s="97"/>
    </row>
    <row r="252" s="11" customFormat="1" spans="1:52">
      <c r="A252" s="11">
        <v>1091</v>
      </c>
      <c r="B252" s="99" t="s">
        <v>723</v>
      </c>
      <c r="C252" s="100" t="s">
        <v>724</v>
      </c>
      <c r="D252" s="56">
        <v>1</v>
      </c>
      <c r="E252" s="56"/>
      <c r="F252" s="56">
        <v>1</v>
      </c>
      <c r="G252" s="56">
        <v>1.71</v>
      </c>
      <c r="H252" s="56">
        <v>1.9</v>
      </c>
      <c r="I252" s="56">
        <v>0.35</v>
      </c>
      <c r="J252" s="56" t="s">
        <v>115</v>
      </c>
      <c r="K252" s="56"/>
      <c r="L252" s="56">
        <v>0.1</v>
      </c>
      <c r="M252" s="11">
        <v>0.466666666666667</v>
      </c>
      <c r="P252" s="56">
        <v>0.0666666666666667</v>
      </c>
      <c r="Q252" s="11">
        <v>0.466666666666667</v>
      </c>
      <c r="T252" s="11">
        <v>2.4</v>
      </c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11">
        <v>801</v>
      </c>
      <c r="AG252" s="11" t="s">
        <v>116</v>
      </c>
      <c r="AH252" s="97"/>
      <c r="AI252" s="97"/>
      <c r="AJ252" s="97"/>
      <c r="AK252" s="97">
        <v>0</v>
      </c>
      <c r="AL252" s="97"/>
      <c r="AM252" s="97"/>
      <c r="AN252" s="97"/>
      <c r="AO252" s="97"/>
      <c r="AP252" s="97"/>
      <c r="AQ252" s="97"/>
      <c r="AR252" s="97"/>
      <c r="AS252" s="97"/>
      <c r="AT252" s="97"/>
      <c r="AU252" s="97"/>
      <c r="AY252" s="97"/>
      <c r="AZ252" s="97"/>
    </row>
    <row r="253" s="11" customFormat="1" spans="1:52">
      <c r="A253" s="11">
        <v>1092</v>
      </c>
      <c r="B253" s="99" t="s">
        <v>725</v>
      </c>
      <c r="C253" s="101" t="s">
        <v>726</v>
      </c>
      <c r="D253" s="56">
        <v>1</v>
      </c>
      <c r="E253" s="56"/>
      <c r="F253" s="56">
        <v>1</v>
      </c>
      <c r="G253" s="56">
        <v>2.2</v>
      </c>
      <c r="H253" s="56">
        <v>2.2</v>
      </c>
      <c r="I253" s="56">
        <v>0.35</v>
      </c>
      <c r="J253" s="56" t="s">
        <v>115</v>
      </c>
      <c r="K253" s="56"/>
      <c r="L253" s="56">
        <v>0.1</v>
      </c>
      <c r="M253" s="11">
        <v>0.466666666666667</v>
      </c>
      <c r="P253" s="56">
        <v>0.0666666666666667</v>
      </c>
      <c r="Q253" s="11">
        <v>0.466666666666667</v>
      </c>
      <c r="T253" s="11">
        <v>2.4</v>
      </c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11">
        <v>801</v>
      </c>
      <c r="AG253" s="11" t="s">
        <v>116</v>
      </c>
      <c r="AH253" s="97"/>
      <c r="AI253" s="97"/>
      <c r="AJ253" s="97"/>
      <c r="AK253" s="97">
        <v>0</v>
      </c>
      <c r="AL253" s="97"/>
      <c r="AM253" s="97"/>
      <c r="AN253" s="97"/>
      <c r="AO253" s="97"/>
      <c r="AP253" s="97"/>
      <c r="AQ253" s="97"/>
      <c r="AR253" s="97"/>
      <c r="AS253" s="97"/>
      <c r="AT253" s="97"/>
      <c r="AU253" s="97"/>
      <c r="AY253" s="97"/>
      <c r="AZ253" s="97"/>
    </row>
    <row r="254" s="11" customFormat="1" spans="1:52">
      <c r="A254" s="11">
        <v>1093</v>
      </c>
      <c r="B254" s="99" t="s">
        <v>727</v>
      </c>
      <c r="C254" s="101" t="s">
        <v>728</v>
      </c>
      <c r="D254" s="56">
        <v>1</v>
      </c>
      <c r="E254" s="56"/>
      <c r="F254" s="56">
        <v>1</v>
      </c>
      <c r="G254" s="56">
        <v>2.4</v>
      </c>
      <c r="H254" s="56">
        <v>2.4</v>
      </c>
      <c r="I254" s="56">
        <v>0.35</v>
      </c>
      <c r="J254" s="56" t="s">
        <v>115</v>
      </c>
      <c r="K254" s="56"/>
      <c r="L254" s="56">
        <v>0.1</v>
      </c>
      <c r="M254" s="11">
        <v>0.466666666666667</v>
      </c>
      <c r="P254" s="56">
        <v>0.0666666666666667</v>
      </c>
      <c r="Q254" s="11">
        <v>0.466666666666667</v>
      </c>
      <c r="T254" s="11">
        <v>2.4</v>
      </c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11">
        <v>801</v>
      </c>
      <c r="AG254" s="11" t="s">
        <v>116</v>
      </c>
      <c r="AH254" s="97"/>
      <c r="AI254" s="97"/>
      <c r="AJ254" s="97"/>
      <c r="AK254" s="97">
        <v>0</v>
      </c>
      <c r="AL254" s="97"/>
      <c r="AM254" s="97"/>
      <c r="AN254" s="97"/>
      <c r="AO254" s="97"/>
      <c r="AP254" s="97"/>
      <c r="AQ254" s="97"/>
      <c r="AR254" s="97"/>
      <c r="AS254" s="97"/>
      <c r="AT254" s="97"/>
      <c r="AU254" s="97"/>
      <c r="AY254" s="97"/>
      <c r="AZ254" s="97"/>
    </row>
    <row r="255" s="11" customFormat="1" spans="1:52">
      <c r="A255" s="11">
        <v>1094</v>
      </c>
      <c r="B255" s="99" t="s">
        <v>729</v>
      </c>
      <c r="C255" s="101" t="s">
        <v>730</v>
      </c>
      <c r="D255" s="56">
        <v>1</v>
      </c>
      <c r="E255" s="56"/>
      <c r="F255" s="56">
        <v>1</v>
      </c>
      <c r="G255" s="56">
        <v>1.71</v>
      </c>
      <c r="H255" s="56">
        <v>1.9</v>
      </c>
      <c r="I255" s="56">
        <v>0.35</v>
      </c>
      <c r="J255" s="56" t="s">
        <v>115</v>
      </c>
      <c r="K255" s="56"/>
      <c r="L255" s="56">
        <v>0.1</v>
      </c>
      <c r="M255" s="11">
        <v>0.466666666666667</v>
      </c>
      <c r="P255" s="56">
        <v>0.0666666666666667</v>
      </c>
      <c r="Q255" s="11">
        <v>0.466666666666667</v>
      </c>
      <c r="T255" s="11">
        <v>2.4</v>
      </c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11">
        <v>801</v>
      </c>
      <c r="AG255" s="11" t="s">
        <v>116</v>
      </c>
      <c r="AH255" s="97"/>
      <c r="AI255" s="97"/>
      <c r="AJ255" s="97"/>
      <c r="AK255" s="97">
        <v>0</v>
      </c>
      <c r="AL255" s="97"/>
      <c r="AM255" s="97"/>
      <c r="AN255" s="97"/>
      <c r="AO255" s="97"/>
      <c r="AP255" s="97"/>
      <c r="AQ255" s="97"/>
      <c r="AR255" s="97"/>
      <c r="AS255" s="97"/>
      <c r="AT255" s="97"/>
      <c r="AU255" s="97"/>
      <c r="AY255" s="97"/>
      <c r="AZ255" s="97"/>
    </row>
    <row r="256" s="11" customFormat="1" spans="1:52">
      <c r="A256" s="11">
        <v>1095</v>
      </c>
      <c r="B256" s="99" t="s">
        <v>731</v>
      </c>
      <c r="C256" s="101" t="s">
        <v>732</v>
      </c>
      <c r="D256" s="56">
        <v>1</v>
      </c>
      <c r="E256" s="56"/>
      <c r="F256" s="56">
        <v>1</v>
      </c>
      <c r="G256" s="56">
        <v>1.71</v>
      </c>
      <c r="H256" s="56">
        <v>2</v>
      </c>
      <c r="I256" s="56">
        <v>0.35</v>
      </c>
      <c r="J256" s="56" t="s">
        <v>115</v>
      </c>
      <c r="K256" s="56"/>
      <c r="L256" s="56">
        <v>0.1</v>
      </c>
      <c r="M256" s="11">
        <v>0.466666666666667</v>
      </c>
      <c r="P256" s="56">
        <v>0.0666666666666667</v>
      </c>
      <c r="Q256" s="11">
        <v>0.466666666666667</v>
      </c>
      <c r="T256" s="11">
        <v>2.4</v>
      </c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11">
        <v>801</v>
      </c>
      <c r="AG256" s="11" t="s">
        <v>116</v>
      </c>
      <c r="AH256" s="97"/>
      <c r="AI256" s="97"/>
      <c r="AJ256" s="97"/>
      <c r="AK256" s="97">
        <v>0</v>
      </c>
      <c r="AL256" s="97"/>
      <c r="AM256" s="97"/>
      <c r="AN256" s="97"/>
      <c r="AO256" s="97"/>
      <c r="AP256" s="97"/>
      <c r="AQ256" s="97"/>
      <c r="AR256" s="97"/>
      <c r="AS256" s="97"/>
      <c r="AT256" s="97"/>
      <c r="AU256" s="97"/>
      <c r="AY256" s="97"/>
      <c r="AZ256" s="97"/>
    </row>
    <row r="257" s="11" customFormat="1" spans="1:52">
      <c r="A257" s="11">
        <v>1096</v>
      </c>
      <c r="B257" s="99" t="s">
        <v>733</v>
      </c>
      <c r="C257" s="101" t="s">
        <v>734</v>
      </c>
      <c r="D257" s="56">
        <v>1</v>
      </c>
      <c r="E257" s="56"/>
      <c r="F257" s="56">
        <v>1</v>
      </c>
      <c r="G257" s="56">
        <v>1.71</v>
      </c>
      <c r="H257" s="56">
        <v>2</v>
      </c>
      <c r="I257" s="56">
        <v>0.35</v>
      </c>
      <c r="J257" s="56" t="s">
        <v>115</v>
      </c>
      <c r="K257" s="56"/>
      <c r="L257" s="56">
        <v>0.1</v>
      </c>
      <c r="M257" s="11">
        <v>0.466666666666667</v>
      </c>
      <c r="P257" s="56">
        <v>0.0666666666666667</v>
      </c>
      <c r="Q257" s="11">
        <v>0.466666666666667</v>
      </c>
      <c r="T257" s="11">
        <v>2.4</v>
      </c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11">
        <v>801</v>
      </c>
      <c r="AG257" s="11" t="s">
        <v>116</v>
      </c>
      <c r="AH257" s="97"/>
      <c r="AI257" s="97"/>
      <c r="AJ257" s="97"/>
      <c r="AK257" s="97">
        <v>0</v>
      </c>
      <c r="AL257" s="97"/>
      <c r="AM257" s="97"/>
      <c r="AN257" s="97"/>
      <c r="AO257" s="97"/>
      <c r="AP257" s="97"/>
      <c r="AQ257" s="97"/>
      <c r="AR257" s="97"/>
      <c r="AS257" s="97"/>
      <c r="AT257" s="97"/>
      <c r="AU257" s="97"/>
      <c r="AY257" s="97"/>
      <c r="AZ257" s="97"/>
    </row>
    <row r="258" s="11" customFormat="1" spans="1:52">
      <c r="A258" s="11">
        <v>1097</v>
      </c>
      <c r="B258" s="99" t="s">
        <v>735</v>
      </c>
      <c r="C258" s="101" t="s">
        <v>736</v>
      </c>
      <c r="D258" s="56">
        <v>1</v>
      </c>
      <c r="E258" s="56"/>
      <c r="F258" s="56">
        <v>1</v>
      </c>
      <c r="G258" s="56">
        <v>1.71</v>
      </c>
      <c r="H258" s="56">
        <v>1.9</v>
      </c>
      <c r="I258" s="56">
        <v>0.35</v>
      </c>
      <c r="J258" s="56" t="s">
        <v>115</v>
      </c>
      <c r="K258" s="56"/>
      <c r="L258" s="56">
        <v>0.1</v>
      </c>
      <c r="M258" s="11">
        <v>0.466666666666667</v>
      </c>
      <c r="P258" s="56">
        <v>0.0666666666666667</v>
      </c>
      <c r="Q258" s="11">
        <v>0.466666666666667</v>
      </c>
      <c r="T258" s="11">
        <v>2.4</v>
      </c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11">
        <v>801</v>
      </c>
      <c r="AG258" s="11" t="s">
        <v>116</v>
      </c>
      <c r="AH258" s="97"/>
      <c r="AI258" s="97"/>
      <c r="AJ258" s="97"/>
      <c r="AK258" s="97">
        <v>0</v>
      </c>
      <c r="AL258" s="97"/>
      <c r="AM258" s="97"/>
      <c r="AN258" s="97"/>
      <c r="AO258" s="97"/>
      <c r="AP258" s="97"/>
      <c r="AQ258" s="97"/>
      <c r="AR258" s="97"/>
      <c r="AS258" s="97"/>
      <c r="AT258" s="97"/>
      <c r="AU258" s="97"/>
      <c r="AY258" s="97"/>
      <c r="AZ258" s="97"/>
    </row>
    <row r="259" s="11" customFormat="1" spans="1:52">
      <c r="A259" s="11">
        <v>1098</v>
      </c>
      <c r="B259" s="99" t="s">
        <v>737</v>
      </c>
      <c r="C259" s="101" t="s">
        <v>738</v>
      </c>
      <c r="D259" s="56">
        <v>1</v>
      </c>
      <c r="E259" s="56"/>
      <c r="F259" s="56">
        <v>1</v>
      </c>
      <c r="G259" s="56">
        <v>1.71</v>
      </c>
      <c r="H259" s="56">
        <v>2</v>
      </c>
      <c r="I259" s="56">
        <v>0.35</v>
      </c>
      <c r="J259" s="56" t="s">
        <v>115</v>
      </c>
      <c r="K259" s="56"/>
      <c r="L259" s="56">
        <v>0.1</v>
      </c>
      <c r="M259" s="11">
        <v>0.466666666666667</v>
      </c>
      <c r="P259" s="56">
        <v>0.0666666666666667</v>
      </c>
      <c r="Q259" s="11">
        <v>0.466666666666667</v>
      </c>
      <c r="T259" s="11">
        <v>2.4</v>
      </c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11">
        <v>801</v>
      </c>
      <c r="AG259" s="11" t="s">
        <v>116</v>
      </c>
      <c r="AH259" s="97"/>
      <c r="AI259" s="97"/>
      <c r="AJ259" s="97"/>
      <c r="AK259" s="97">
        <v>0</v>
      </c>
      <c r="AL259" s="97"/>
      <c r="AM259" s="97"/>
      <c r="AN259" s="97"/>
      <c r="AO259" s="97"/>
      <c r="AP259" s="97"/>
      <c r="AQ259" s="97"/>
      <c r="AR259" s="97"/>
      <c r="AS259" s="97"/>
      <c r="AT259" s="97"/>
      <c r="AU259" s="97"/>
      <c r="AY259" s="97"/>
      <c r="AZ259" s="97"/>
    </row>
    <row r="260" s="11" customFormat="1" spans="1:52">
      <c r="A260" s="11">
        <v>1099</v>
      </c>
      <c r="B260" s="99" t="s">
        <v>739</v>
      </c>
      <c r="C260" s="101" t="s">
        <v>740</v>
      </c>
      <c r="D260" s="56">
        <v>1</v>
      </c>
      <c r="E260" s="56"/>
      <c r="F260" s="56">
        <v>1</v>
      </c>
      <c r="G260" s="56">
        <v>1.71</v>
      </c>
      <c r="H260" s="56">
        <v>2.3</v>
      </c>
      <c r="I260" s="56">
        <v>0.35</v>
      </c>
      <c r="J260" s="56" t="s">
        <v>115</v>
      </c>
      <c r="K260" s="56"/>
      <c r="L260" s="56">
        <v>0.1</v>
      </c>
      <c r="M260" s="11">
        <v>0.466666666666667</v>
      </c>
      <c r="P260" s="56">
        <v>0.0666666666666667</v>
      </c>
      <c r="Q260" s="11">
        <v>0.466666666666667</v>
      </c>
      <c r="T260" s="11">
        <v>2.4</v>
      </c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11">
        <v>801</v>
      </c>
      <c r="AG260" s="11" t="s">
        <v>116</v>
      </c>
      <c r="AH260" s="97"/>
      <c r="AI260" s="97"/>
      <c r="AJ260" s="97"/>
      <c r="AK260" s="97">
        <v>0</v>
      </c>
      <c r="AL260" s="97"/>
      <c r="AM260" s="97"/>
      <c r="AN260" s="97"/>
      <c r="AO260" s="97"/>
      <c r="AP260" s="97"/>
      <c r="AQ260" s="97"/>
      <c r="AR260" s="97"/>
      <c r="AS260" s="97"/>
      <c r="AT260" s="97"/>
      <c r="AU260" s="97"/>
      <c r="AY260" s="97"/>
      <c r="AZ260" s="97"/>
    </row>
    <row r="261" s="11" customFormat="1" spans="1:52">
      <c r="A261" s="11">
        <v>1100</v>
      </c>
      <c r="B261" s="99" t="s">
        <v>741</v>
      </c>
      <c r="C261" s="102" t="s">
        <v>742</v>
      </c>
      <c r="D261" s="56">
        <v>1</v>
      </c>
      <c r="E261" s="56"/>
      <c r="F261" s="56">
        <v>1</v>
      </c>
      <c r="G261" s="56">
        <v>1.71</v>
      </c>
      <c r="H261" s="56">
        <v>1.9</v>
      </c>
      <c r="I261" s="56">
        <v>0.35</v>
      </c>
      <c r="J261" s="56" t="s">
        <v>115</v>
      </c>
      <c r="K261" s="56"/>
      <c r="L261" s="56">
        <v>0.1</v>
      </c>
      <c r="M261" s="11">
        <v>0.466666666666667</v>
      </c>
      <c r="P261" s="56">
        <v>0.0666666666666667</v>
      </c>
      <c r="Q261" s="11">
        <v>0.466666666666667</v>
      </c>
      <c r="T261" s="11">
        <v>2.4</v>
      </c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  <c r="AF261" s="11">
        <v>801</v>
      </c>
      <c r="AG261" s="11" t="s">
        <v>116</v>
      </c>
      <c r="AH261" s="97"/>
      <c r="AI261" s="97"/>
      <c r="AJ261" s="97"/>
      <c r="AK261" s="97">
        <v>0</v>
      </c>
      <c r="AL261" s="97"/>
      <c r="AM261" s="97"/>
      <c r="AN261" s="97"/>
      <c r="AO261" s="97"/>
      <c r="AP261" s="97"/>
      <c r="AQ261" s="97"/>
      <c r="AR261" s="97"/>
      <c r="AS261" s="97"/>
      <c r="AT261" s="97"/>
      <c r="AU261" s="97"/>
      <c r="AY261" s="97"/>
      <c r="AZ261" s="97"/>
    </row>
    <row r="262" s="11" customFormat="1" spans="1:52">
      <c r="A262" s="11">
        <v>1101</v>
      </c>
      <c r="B262" s="99" t="s">
        <v>743</v>
      </c>
      <c r="C262" s="102" t="s">
        <v>744</v>
      </c>
      <c r="D262" s="56">
        <v>1</v>
      </c>
      <c r="E262" s="56"/>
      <c r="F262" s="56">
        <v>1</v>
      </c>
      <c r="G262" s="56">
        <v>1.71</v>
      </c>
      <c r="H262" s="56">
        <v>1.9</v>
      </c>
      <c r="I262" s="56">
        <v>0.35</v>
      </c>
      <c r="J262" s="56" t="s">
        <v>115</v>
      </c>
      <c r="K262" s="56"/>
      <c r="L262" s="56">
        <v>0.1</v>
      </c>
      <c r="M262" s="11">
        <v>0.466666666666667</v>
      </c>
      <c r="P262" s="56">
        <v>0.0666666666666667</v>
      </c>
      <c r="Q262" s="11">
        <v>0.466666666666667</v>
      </c>
      <c r="T262" s="11">
        <v>2.4</v>
      </c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11">
        <v>801</v>
      </c>
      <c r="AG262" s="11" t="s">
        <v>116</v>
      </c>
      <c r="AH262" s="97"/>
      <c r="AI262" s="97"/>
      <c r="AJ262" s="97"/>
      <c r="AK262" s="97">
        <v>0</v>
      </c>
      <c r="AL262" s="97"/>
      <c r="AM262" s="97"/>
      <c r="AN262" s="97"/>
      <c r="AO262" s="97"/>
      <c r="AP262" s="97"/>
      <c r="AQ262" s="97"/>
      <c r="AR262" s="97"/>
      <c r="AS262" s="97"/>
      <c r="AT262" s="97"/>
      <c r="AU262" s="97"/>
      <c r="AY262" s="97"/>
      <c r="AZ262" s="97"/>
    </row>
    <row r="263" s="11" customFormat="1" spans="1:52">
      <c r="A263" s="11">
        <v>1102</v>
      </c>
      <c r="B263" s="99" t="s">
        <v>745</v>
      </c>
      <c r="C263" s="101" t="s">
        <v>746</v>
      </c>
      <c r="D263" s="56">
        <v>1</v>
      </c>
      <c r="E263" s="56"/>
      <c r="F263" s="56">
        <v>1</v>
      </c>
      <c r="G263" s="56">
        <v>1.71</v>
      </c>
      <c r="H263" s="56">
        <v>2</v>
      </c>
      <c r="I263" s="56">
        <v>0.35</v>
      </c>
      <c r="J263" s="56" t="s">
        <v>115</v>
      </c>
      <c r="K263" s="56"/>
      <c r="L263" s="56">
        <v>0.1</v>
      </c>
      <c r="M263" s="11">
        <v>0.466666666666667</v>
      </c>
      <c r="P263" s="56">
        <v>0.0666666666666667</v>
      </c>
      <c r="Q263" s="11">
        <v>0.466666666666667</v>
      </c>
      <c r="T263" s="11">
        <v>2.4</v>
      </c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11">
        <v>801</v>
      </c>
      <c r="AG263" s="11" t="s">
        <v>116</v>
      </c>
      <c r="AH263" s="97"/>
      <c r="AI263" s="97"/>
      <c r="AJ263" s="97"/>
      <c r="AK263" s="97">
        <v>0</v>
      </c>
      <c r="AL263" s="97"/>
      <c r="AM263" s="97"/>
      <c r="AN263" s="97"/>
      <c r="AO263" s="97"/>
      <c r="AP263" s="97"/>
      <c r="AQ263" s="97"/>
      <c r="AR263" s="97"/>
      <c r="AS263" s="97"/>
      <c r="AT263" s="97"/>
      <c r="AU263" s="97"/>
      <c r="AY263" s="97"/>
      <c r="AZ263" s="97"/>
    </row>
    <row r="264" s="11" customFormat="1" spans="1:52">
      <c r="A264" s="11">
        <v>1103</v>
      </c>
      <c r="B264" s="99" t="s">
        <v>747</v>
      </c>
      <c r="C264" s="101" t="s">
        <v>748</v>
      </c>
      <c r="D264" s="56">
        <v>1</v>
      </c>
      <c r="E264" s="56"/>
      <c r="F264" s="56">
        <v>1</v>
      </c>
      <c r="G264" s="56">
        <v>1.71</v>
      </c>
      <c r="H264" s="56">
        <v>2</v>
      </c>
      <c r="I264" s="56">
        <v>0.35</v>
      </c>
      <c r="J264" s="56" t="s">
        <v>115</v>
      </c>
      <c r="K264" s="56"/>
      <c r="L264" s="56">
        <v>0.1</v>
      </c>
      <c r="M264" s="11">
        <v>0.466666666666667</v>
      </c>
      <c r="P264" s="56">
        <v>0.0666666666666667</v>
      </c>
      <c r="Q264" s="11">
        <v>0.466666666666667</v>
      </c>
      <c r="T264" s="11">
        <v>2.4</v>
      </c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11">
        <v>801</v>
      </c>
      <c r="AG264" s="11" t="s">
        <v>116</v>
      </c>
      <c r="AH264" s="97"/>
      <c r="AI264" s="97"/>
      <c r="AJ264" s="97"/>
      <c r="AK264" s="97">
        <v>0</v>
      </c>
      <c r="AL264" s="97"/>
      <c r="AM264" s="97"/>
      <c r="AN264" s="97"/>
      <c r="AO264" s="97"/>
      <c r="AP264" s="97"/>
      <c r="AQ264" s="97"/>
      <c r="AR264" s="97"/>
      <c r="AS264" s="97"/>
      <c r="AT264" s="97"/>
      <c r="AU264" s="97"/>
      <c r="AY264" s="97"/>
      <c r="AZ264" s="97"/>
    </row>
    <row r="265" s="11" customFormat="1" spans="1:52">
      <c r="A265" s="11">
        <v>1105</v>
      </c>
      <c r="B265" s="99" t="s">
        <v>749</v>
      </c>
      <c r="C265" s="101" t="s">
        <v>750</v>
      </c>
      <c r="D265" s="56">
        <v>1</v>
      </c>
      <c r="E265" s="56"/>
      <c r="F265" s="56">
        <v>1</v>
      </c>
      <c r="G265" s="56">
        <v>1.71</v>
      </c>
      <c r="H265" s="56">
        <v>2</v>
      </c>
      <c r="I265" s="56">
        <v>0.35</v>
      </c>
      <c r="J265" s="56" t="s">
        <v>115</v>
      </c>
      <c r="K265" s="56"/>
      <c r="L265" s="56">
        <v>0.0666666666666667</v>
      </c>
      <c r="M265" s="11">
        <v>0.433333333333333</v>
      </c>
      <c r="P265" s="56">
        <v>0.0666666666666667</v>
      </c>
      <c r="Q265" s="11">
        <v>0.6</v>
      </c>
      <c r="T265" s="11">
        <v>2.4</v>
      </c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11">
        <v>801</v>
      </c>
      <c r="AG265" s="11" t="s">
        <v>116</v>
      </c>
      <c r="AH265" s="97"/>
      <c r="AI265" s="97"/>
      <c r="AJ265" s="97"/>
      <c r="AK265" s="97">
        <v>0</v>
      </c>
      <c r="AL265" s="97"/>
      <c r="AM265" s="97"/>
      <c r="AN265" s="97"/>
      <c r="AO265" s="97"/>
      <c r="AP265" s="97"/>
      <c r="AQ265" s="97"/>
      <c r="AR265" s="97"/>
      <c r="AS265" s="97"/>
      <c r="AT265" s="97"/>
      <c r="AU265" s="97"/>
      <c r="AY265" s="97"/>
      <c r="AZ265" s="97"/>
    </row>
    <row r="266" s="11" customFormat="1" spans="1:52">
      <c r="A266" s="11">
        <v>1106</v>
      </c>
      <c r="B266" s="99" t="s">
        <v>751</v>
      </c>
      <c r="C266" s="101" t="s">
        <v>752</v>
      </c>
      <c r="D266" s="56">
        <v>1</v>
      </c>
      <c r="E266" s="56"/>
      <c r="F266" s="56">
        <v>1</v>
      </c>
      <c r="G266" s="56">
        <v>1.71</v>
      </c>
      <c r="H266" s="56">
        <v>1.8</v>
      </c>
      <c r="I266" s="56">
        <v>0.35</v>
      </c>
      <c r="J266" s="56" t="s">
        <v>115</v>
      </c>
      <c r="K266" s="56"/>
      <c r="L266" s="56">
        <v>0.0333333333333333</v>
      </c>
      <c r="M266" s="11">
        <v>0.4</v>
      </c>
      <c r="P266" s="56">
        <v>0.0666666666666667</v>
      </c>
      <c r="Q266" s="11">
        <v>0.4</v>
      </c>
      <c r="T266" s="11">
        <v>2.4</v>
      </c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11">
        <v>801</v>
      </c>
      <c r="AG266" s="11" t="s">
        <v>116</v>
      </c>
      <c r="AH266" s="97"/>
      <c r="AI266" s="97"/>
      <c r="AJ266" s="97"/>
      <c r="AK266" s="97">
        <v>0</v>
      </c>
      <c r="AL266" s="97"/>
      <c r="AM266" s="97"/>
      <c r="AN266" s="97"/>
      <c r="AO266" s="97"/>
      <c r="AP266" s="97"/>
      <c r="AQ266" s="97"/>
      <c r="AR266" s="97"/>
      <c r="AS266" s="97"/>
      <c r="AT266" s="97"/>
      <c r="AU266" s="97"/>
      <c r="AY266" s="97"/>
      <c r="AZ266" s="97"/>
    </row>
    <row r="267" s="11" customFormat="1" spans="1:52">
      <c r="A267" s="11">
        <v>1107</v>
      </c>
      <c r="B267" s="99" t="s">
        <v>753</v>
      </c>
      <c r="C267" s="101" t="s">
        <v>754</v>
      </c>
      <c r="D267" s="56">
        <v>1</v>
      </c>
      <c r="E267" s="56"/>
      <c r="F267" s="56">
        <v>1</v>
      </c>
      <c r="G267" s="56">
        <v>1.71</v>
      </c>
      <c r="H267" s="56">
        <v>1.85</v>
      </c>
      <c r="I267" s="56">
        <v>0.35</v>
      </c>
      <c r="J267" s="56" t="s">
        <v>115</v>
      </c>
      <c r="K267" s="56"/>
      <c r="L267" s="56">
        <v>0.133333333333333</v>
      </c>
      <c r="M267" s="11">
        <v>0.666666666666667</v>
      </c>
      <c r="P267" s="56">
        <v>0.166666666666667</v>
      </c>
      <c r="Q267" s="11">
        <v>0.633333333333333</v>
      </c>
      <c r="T267" s="11">
        <v>2.4</v>
      </c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  <c r="AF267" s="11">
        <v>801</v>
      </c>
      <c r="AG267" s="11" t="s">
        <v>116</v>
      </c>
      <c r="AH267" s="97"/>
      <c r="AI267" s="97"/>
      <c r="AJ267" s="97"/>
      <c r="AK267" s="97">
        <v>0</v>
      </c>
      <c r="AL267" s="97"/>
      <c r="AM267" s="97"/>
      <c r="AN267" s="97"/>
      <c r="AO267" s="97"/>
      <c r="AP267" s="97"/>
      <c r="AQ267" s="97"/>
      <c r="AR267" s="97"/>
      <c r="AS267" s="97"/>
      <c r="AT267" s="97"/>
      <c r="AU267" s="97"/>
      <c r="AY267" s="97"/>
      <c r="AZ267" s="97"/>
    </row>
    <row r="268" s="11" customFormat="1" spans="1:52">
      <c r="A268" s="11">
        <v>1108</v>
      </c>
      <c r="B268" s="99" t="s">
        <v>755</v>
      </c>
      <c r="C268" s="101" t="s">
        <v>756</v>
      </c>
      <c r="D268" s="56">
        <v>1</v>
      </c>
      <c r="E268" s="56"/>
      <c r="F268" s="56">
        <v>1</v>
      </c>
      <c r="G268" s="56">
        <v>1.71</v>
      </c>
      <c r="H268" s="56">
        <v>2</v>
      </c>
      <c r="I268" s="56">
        <v>0.35</v>
      </c>
      <c r="J268" s="56" t="s">
        <v>115</v>
      </c>
      <c r="K268" s="56"/>
      <c r="L268" s="56">
        <v>0.0333333333333333</v>
      </c>
      <c r="M268" s="11">
        <v>0.533333333333333</v>
      </c>
      <c r="P268" s="56">
        <v>0.0333333333333333</v>
      </c>
      <c r="Q268" s="11">
        <v>0.566666666666667</v>
      </c>
      <c r="T268" s="11">
        <v>2.4</v>
      </c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11">
        <v>801</v>
      </c>
      <c r="AG268" s="11" t="s">
        <v>116</v>
      </c>
      <c r="AH268" s="97"/>
      <c r="AI268" s="97"/>
      <c r="AJ268" s="97"/>
      <c r="AK268" s="97">
        <v>0</v>
      </c>
      <c r="AL268" s="97"/>
      <c r="AM268" s="97"/>
      <c r="AN268" s="97"/>
      <c r="AO268" s="97"/>
      <c r="AP268" s="97"/>
      <c r="AQ268" s="97"/>
      <c r="AR268" s="97"/>
      <c r="AS268" s="97"/>
      <c r="AT268" s="97"/>
      <c r="AU268" s="97"/>
      <c r="AY268" s="97"/>
      <c r="AZ268" s="97"/>
    </row>
    <row r="269" s="11" customFormat="1" spans="1:52">
      <c r="A269" s="11">
        <v>1110</v>
      </c>
      <c r="B269" s="99" t="s">
        <v>757</v>
      </c>
      <c r="C269" s="101" t="s">
        <v>758</v>
      </c>
      <c r="D269" s="56">
        <v>1</v>
      </c>
      <c r="E269" s="56"/>
      <c r="F269" s="56">
        <v>1</v>
      </c>
      <c r="G269" s="56">
        <v>1.71</v>
      </c>
      <c r="H269" s="56">
        <v>1.6</v>
      </c>
      <c r="I269" s="56">
        <v>0.35</v>
      </c>
      <c r="J269" s="56" t="s">
        <v>115</v>
      </c>
      <c r="K269" s="56"/>
      <c r="L269" s="56">
        <v>0.133333333333333</v>
      </c>
      <c r="M269" s="11">
        <v>0.633333333333333</v>
      </c>
      <c r="N269" s="97"/>
      <c r="O269" s="97"/>
      <c r="P269" s="56">
        <v>0.133333333333333</v>
      </c>
      <c r="Q269" s="11">
        <v>0.566666666666667</v>
      </c>
      <c r="T269" s="11">
        <v>2.4</v>
      </c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11">
        <v>801</v>
      </c>
      <c r="AG269" s="11" t="s">
        <v>116</v>
      </c>
      <c r="AH269" s="97"/>
      <c r="AI269" s="97"/>
      <c r="AJ269" s="97"/>
      <c r="AK269" s="97">
        <v>0</v>
      </c>
      <c r="AL269" s="97"/>
      <c r="AM269" s="97"/>
      <c r="AN269" s="97"/>
      <c r="AO269" s="97"/>
      <c r="AP269" s="97"/>
      <c r="AQ269" s="97"/>
      <c r="AR269" s="97"/>
      <c r="AS269" s="97"/>
      <c r="AT269" s="97"/>
      <c r="AU269" s="97"/>
      <c r="AY269" s="97"/>
      <c r="AZ269" s="97"/>
    </row>
    <row r="270" s="11" customFormat="1" spans="1:52">
      <c r="A270" s="11">
        <v>1111</v>
      </c>
      <c r="B270" s="99" t="s">
        <v>759</v>
      </c>
      <c r="C270" s="101" t="s">
        <v>760</v>
      </c>
      <c r="D270" s="56">
        <v>1</v>
      </c>
      <c r="E270" s="56"/>
      <c r="F270" s="56">
        <v>1</v>
      </c>
      <c r="G270" s="56">
        <v>1.71</v>
      </c>
      <c r="H270" s="56">
        <v>1.85</v>
      </c>
      <c r="I270" s="56">
        <v>0.35</v>
      </c>
      <c r="J270" s="56" t="s">
        <v>115</v>
      </c>
      <c r="K270" s="56"/>
      <c r="L270" s="56">
        <v>0.0666666666666667</v>
      </c>
      <c r="M270" s="11">
        <v>0.533333333333333</v>
      </c>
      <c r="P270" s="56">
        <v>0.0666666666666667</v>
      </c>
      <c r="Q270" s="11">
        <v>0.6</v>
      </c>
      <c r="T270" s="11">
        <v>2.4</v>
      </c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  <c r="AF270" s="11">
        <v>801</v>
      </c>
      <c r="AG270" s="11" t="s">
        <v>116</v>
      </c>
      <c r="AH270" s="97"/>
      <c r="AI270" s="97"/>
      <c r="AJ270" s="97"/>
      <c r="AK270" s="97">
        <v>0</v>
      </c>
      <c r="AL270" s="97"/>
      <c r="AM270" s="97"/>
      <c r="AN270" s="97"/>
      <c r="AO270" s="97"/>
      <c r="AP270" s="97"/>
      <c r="AQ270" s="97"/>
      <c r="AR270" s="97"/>
      <c r="AS270" s="97"/>
      <c r="AT270" s="97"/>
      <c r="AU270" s="97"/>
      <c r="AY270" s="97"/>
      <c r="AZ270" s="97"/>
    </row>
    <row r="271" s="11" customFormat="1" spans="1:52">
      <c r="A271" s="11">
        <v>1112</v>
      </c>
      <c r="B271" s="99" t="s">
        <v>761</v>
      </c>
      <c r="C271" s="101" t="s">
        <v>762</v>
      </c>
      <c r="D271" s="56">
        <v>1</v>
      </c>
      <c r="E271" s="56"/>
      <c r="F271" s="56">
        <v>1</v>
      </c>
      <c r="G271" s="56">
        <v>1.71</v>
      </c>
      <c r="H271" s="56">
        <v>1.6</v>
      </c>
      <c r="I271" s="56">
        <v>0.35</v>
      </c>
      <c r="J271" s="56" t="s">
        <v>115</v>
      </c>
      <c r="K271" s="56"/>
      <c r="L271" s="56">
        <v>0.0666666666666667</v>
      </c>
      <c r="M271" s="11">
        <v>0.6</v>
      </c>
      <c r="P271" s="56">
        <v>0.0666666666666667</v>
      </c>
      <c r="Q271" s="11">
        <v>0.5</v>
      </c>
      <c r="T271" s="11">
        <v>2.4</v>
      </c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  <c r="AF271" s="11">
        <v>801</v>
      </c>
      <c r="AG271" s="11" t="s">
        <v>116</v>
      </c>
      <c r="AH271" s="97"/>
      <c r="AI271" s="97"/>
      <c r="AJ271" s="97"/>
      <c r="AK271" s="97">
        <v>0</v>
      </c>
      <c r="AL271" s="97"/>
      <c r="AM271" s="97"/>
      <c r="AN271" s="97"/>
      <c r="AO271" s="97"/>
      <c r="AP271" s="97"/>
      <c r="AQ271" s="97"/>
      <c r="AR271" s="97"/>
      <c r="AS271" s="97"/>
      <c r="AT271" s="97"/>
      <c r="AU271" s="97"/>
      <c r="AY271" s="97"/>
      <c r="AZ271" s="97"/>
    </row>
    <row r="272" s="11" customFormat="1" spans="1:52">
      <c r="A272" s="11">
        <v>1113</v>
      </c>
      <c r="B272" s="99" t="s">
        <v>763</v>
      </c>
      <c r="C272" s="101" t="s">
        <v>764</v>
      </c>
      <c r="D272" s="56">
        <v>1</v>
      </c>
      <c r="E272" s="56"/>
      <c r="F272" s="56">
        <v>1</v>
      </c>
      <c r="G272" s="56">
        <v>3.6</v>
      </c>
      <c r="H272" s="56">
        <v>1.8</v>
      </c>
      <c r="I272" s="56">
        <v>0.35</v>
      </c>
      <c r="J272" s="56" t="s">
        <v>115</v>
      </c>
      <c r="K272" s="56"/>
      <c r="L272" s="11">
        <v>0.133333333333333</v>
      </c>
      <c r="M272" s="11">
        <v>0.5</v>
      </c>
      <c r="P272" s="11">
        <v>0.133333333333333</v>
      </c>
      <c r="Q272" s="11">
        <v>0.5</v>
      </c>
      <c r="T272" s="11">
        <v>2.4</v>
      </c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11">
        <v>801</v>
      </c>
      <c r="AG272" s="11" t="s">
        <v>116</v>
      </c>
      <c r="AH272" s="97"/>
      <c r="AI272" s="97"/>
      <c r="AJ272" s="97"/>
      <c r="AK272" s="97">
        <v>0</v>
      </c>
      <c r="AL272" s="97"/>
      <c r="AM272" s="97"/>
      <c r="AN272" s="97"/>
      <c r="AO272" s="97"/>
      <c r="AP272" s="97"/>
      <c r="AQ272" s="97"/>
      <c r="AR272" s="97"/>
      <c r="AS272" s="97"/>
      <c r="AT272" s="97"/>
      <c r="AU272" s="97"/>
      <c r="AY272" s="97"/>
      <c r="AZ272" s="97"/>
    </row>
    <row r="273" s="11" customFormat="1" spans="1:52">
      <c r="A273" s="11">
        <v>1114</v>
      </c>
      <c r="B273" s="99" t="s">
        <v>765</v>
      </c>
      <c r="C273" s="101" t="s">
        <v>766</v>
      </c>
      <c r="D273" s="56">
        <v>1</v>
      </c>
      <c r="E273" s="56"/>
      <c r="F273" s="56">
        <v>1</v>
      </c>
      <c r="G273" s="56">
        <v>1.71</v>
      </c>
      <c r="H273" s="56">
        <v>2.3</v>
      </c>
      <c r="I273" s="56">
        <v>0.4</v>
      </c>
      <c r="J273" s="56" t="s">
        <v>115</v>
      </c>
      <c r="K273" s="56"/>
      <c r="L273" s="56">
        <v>0.0666666666666667</v>
      </c>
      <c r="M273" s="11">
        <v>0.633333333333333</v>
      </c>
      <c r="P273" s="56">
        <v>0.1</v>
      </c>
      <c r="Q273" s="11">
        <v>0.666666666666667</v>
      </c>
      <c r="T273" s="11">
        <v>2.4</v>
      </c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11">
        <v>801</v>
      </c>
      <c r="AG273" s="11" t="s">
        <v>116</v>
      </c>
      <c r="AH273" s="97"/>
      <c r="AI273" s="97"/>
      <c r="AJ273" s="97"/>
      <c r="AK273" s="97">
        <v>0</v>
      </c>
      <c r="AL273" s="97"/>
      <c r="AM273" s="97"/>
      <c r="AN273" s="97"/>
      <c r="AO273" s="97"/>
      <c r="AP273" s="97"/>
      <c r="AQ273" s="97"/>
      <c r="AR273" s="97"/>
      <c r="AS273" s="97"/>
      <c r="AT273" s="97"/>
      <c r="AU273" s="97"/>
      <c r="AY273" s="97"/>
      <c r="AZ273" s="97"/>
    </row>
    <row r="274" s="11" customFormat="1" spans="1:52">
      <c r="A274" s="11">
        <v>1115</v>
      </c>
      <c r="B274" s="99" t="s">
        <v>767</v>
      </c>
      <c r="C274" s="101" t="s">
        <v>768</v>
      </c>
      <c r="D274" s="56">
        <v>1</v>
      </c>
      <c r="E274" s="56"/>
      <c r="F274" s="56">
        <v>1</v>
      </c>
      <c r="G274" s="56">
        <v>1.71</v>
      </c>
      <c r="H274" s="56">
        <v>2.6</v>
      </c>
      <c r="I274" s="56">
        <v>0.35</v>
      </c>
      <c r="J274" s="56" t="s">
        <v>115</v>
      </c>
      <c r="K274" s="56"/>
      <c r="L274" s="56">
        <v>0.0666666666666667</v>
      </c>
      <c r="M274" s="11">
        <v>0.7</v>
      </c>
      <c r="P274" s="56">
        <v>0.0333333333333333</v>
      </c>
      <c r="Q274" s="11">
        <v>0.633333333333333</v>
      </c>
      <c r="T274" s="11">
        <v>2.4</v>
      </c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11">
        <v>801</v>
      </c>
      <c r="AG274" s="11" t="s">
        <v>116</v>
      </c>
      <c r="AH274" s="97"/>
      <c r="AI274" s="97"/>
      <c r="AJ274" s="97"/>
      <c r="AK274" s="97">
        <v>0</v>
      </c>
      <c r="AL274" s="97"/>
      <c r="AM274" s="97"/>
      <c r="AN274" s="97"/>
      <c r="AO274" s="97"/>
      <c r="AP274" s="97"/>
      <c r="AQ274" s="97"/>
      <c r="AR274" s="97"/>
      <c r="AS274" s="97"/>
      <c r="AT274" s="97"/>
      <c r="AU274" s="97"/>
      <c r="AY274" s="97"/>
      <c r="AZ274" s="97"/>
    </row>
    <row r="275" s="11" customFormat="1" spans="1:52">
      <c r="A275" s="11">
        <v>1116</v>
      </c>
      <c r="B275" s="99" t="s">
        <v>769</v>
      </c>
      <c r="C275" s="101" t="s">
        <v>770</v>
      </c>
      <c r="D275" s="56">
        <v>1</v>
      </c>
      <c r="E275" s="56"/>
      <c r="F275" s="56">
        <v>1</v>
      </c>
      <c r="G275" s="56">
        <v>1.71</v>
      </c>
      <c r="H275" s="56">
        <v>2.3</v>
      </c>
      <c r="I275" s="56">
        <v>0.6</v>
      </c>
      <c r="J275" s="56" t="s">
        <v>115</v>
      </c>
      <c r="K275" s="56"/>
      <c r="L275" s="56">
        <v>0.1</v>
      </c>
      <c r="M275" s="11">
        <v>0.6</v>
      </c>
      <c r="P275" s="56">
        <v>0.1</v>
      </c>
      <c r="Q275" s="11">
        <v>0.6</v>
      </c>
      <c r="T275" s="11">
        <v>2.4</v>
      </c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11">
        <v>801</v>
      </c>
      <c r="AG275" s="11" t="s">
        <v>116</v>
      </c>
      <c r="AH275" s="97"/>
      <c r="AI275" s="97"/>
      <c r="AJ275" s="97"/>
      <c r="AK275" s="97">
        <v>0</v>
      </c>
      <c r="AL275" s="97"/>
      <c r="AM275" s="97"/>
      <c r="AN275" s="97"/>
      <c r="AO275" s="97"/>
      <c r="AP275" s="97"/>
      <c r="AQ275" s="97"/>
      <c r="AR275" s="97"/>
      <c r="AS275" s="97"/>
      <c r="AT275" s="97"/>
      <c r="AU275" s="97"/>
      <c r="AY275" s="97"/>
      <c r="AZ275" s="97"/>
    </row>
    <row r="276" s="11" customFormat="1" spans="1:52">
      <c r="A276" s="11">
        <v>1117</v>
      </c>
      <c r="B276" s="99" t="s">
        <v>771</v>
      </c>
      <c r="C276" s="101" t="s">
        <v>772</v>
      </c>
      <c r="D276" s="56">
        <v>1</v>
      </c>
      <c r="E276" s="56"/>
      <c r="F276" s="56">
        <v>1</v>
      </c>
      <c r="G276" s="56">
        <v>1.71</v>
      </c>
      <c r="H276" s="56">
        <v>2.4</v>
      </c>
      <c r="I276" s="56">
        <v>0.6</v>
      </c>
      <c r="J276" s="56" t="s">
        <v>115</v>
      </c>
      <c r="K276" s="56"/>
      <c r="L276" s="56">
        <v>0.1</v>
      </c>
      <c r="M276" s="11">
        <v>0.633333333333333</v>
      </c>
      <c r="P276" s="56">
        <v>0.1</v>
      </c>
      <c r="Q276" s="11">
        <v>0.6</v>
      </c>
      <c r="T276" s="11">
        <v>2.4</v>
      </c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11">
        <v>801</v>
      </c>
      <c r="AG276" s="11" t="s">
        <v>116</v>
      </c>
      <c r="AH276" s="97"/>
      <c r="AI276" s="97"/>
      <c r="AJ276" s="97"/>
      <c r="AK276" s="97">
        <v>0</v>
      </c>
      <c r="AL276" s="97"/>
      <c r="AM276" s="97"/>
      <c r="AN276" s="97"/>
      <c r="AO276" s="97"/>
      <c r="AP276" s="97"/>
      <c r="AQ276" s="97"/>
      <c r="AR276" s="97"/>
      <c r="AS276" s="97"/>
      <c r="AT276" s="97"/>
      <c r="AU276" s="97"/>
      <c r="AY276" s="97"/>
      <c r="AZ276" s="97"/>
    </row>
    <row r="277" s="11" customFormat="1" spans="1:52">
      <c r="A277" s="11">
        <v>1118</v>
      </c>
      <c r="B277" s="99" t="s">
        <v>773</v>
      </c>
      <c r="C277" s="101" t="s">
        <v>774</v>
      </c>
      <c r="D277" s="56">
        <v>1</v>
      </c>
      <c r="E277" s="56"/>
      <c r="F277" s="56">
        <v>1</v>
      </c>
      <c r="G277" s="56">
        <v>1.9</v>
      </c>
      <c r="H277" s="56">
        <v>1.9</v>
      </c>
      <c r="I277" s="56">
        <v>0.4</v>
      </c>
      <c r="J277" s="56" t="s">
        <v>115</v>
      </c>
      <c r="K277" s="56"/>
      <c r="L277" s="56">
        <v>0.0333333333333333</v>
      </c>
      <c r="M277" s="11">
        <v>0.566666666666667</v>
      </c>
      <c r="P277" s="56">
        <v>0.0333333333333333</v>
      </c>
      <c r="Q277" s="11">
        <v>0.533333333333333</v>
      </c>
      <c r="T277" s="11">
        <v>2.4</v>
      </c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  <c r="AE277" s="97"/>
      <c r="AF277" s="11">
        <v>801</v>
      </c>
      <c r="AG277" s="11" t="s">
        <v>116</v>
      </c>
      <c r="AH277" s="97"/>
      <c r="AI277" s="97"/>
      <c r="AJ277" s="97"/>
      <c r="AK277" s="97">
        <v>0</v>
      </c>
      <c r="AL277" s="97"/>
      <c r="AM277" s="97"/>
      <c r="AN277" s="97"/>
      <c r="AO277" s="97"/>
      <c r="AP277" s="97"/>
      <c r="AQ277" s="97"/>
      <c r="AR277" s="97"/>
      <c r="AS277" s="97"/>
      <c r="AT277" s="97"/>
      <c r="AU277" s="97"/>
      <c r="AY277" s="97"/>
      <c r="AZ277" s="97"/>
    </row>
    <row r="278" s="11" customFormat="1" spans="1:52">
      <c r="A278" s="11">
        <v>1119</v>
      </c>
      <c r="B278" s="99" t="s">
        <v>775</v>
      </c>
      <c r="C278" s="101" t="s">
        <v>776</v>
      </c>
      <c r="D278" s="56">
        <v>1</v>
      </c>
      <c r="E278" s="56"/>
      <c r="F278" s="56">
        <v>1</v>
      </c>
      <c r="G278" s="56">
        <v>1.71</v>
      </c>
      <c r="H278" s="56">
        <v>2.75</v>
      </c>
      <c r="I278" s="56">
        <v>0.35</v>
      </c>
      <c r="J278" s="56" t="s">
        <v>115</v>
      </c>
      <c r="K278" s="56"/>
      <c r="L278" s="11">
        <v>0.1</v>
      </c>
      <c r="M278" s="11">
        <v>0.633333333333333</v>
      </c>
      <c r="P278" s="56">
        <v>0.133333333333333</v>
      </c>
      <c r="Q278" s="11">
        <v>0.533333333333333</v>
      </c>
      <c r="T278" s="11">
        <v>2.4</v>
      </c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11">
        <v>801</v>
      </c>
      <c r="AG278" s="11" t="s">
        <v>116</v>
      </c>
      <c r="AH278" s="97"/>
      <c r="AI278" s="97"/>
      <c r="AJ278" s="97"/>
      <c r="AK278" s="97">
        <v>0</v>
      </c>
      <c r="AL278" s="97"/>
      <c r="AM278" s="97"/>
      <c r="AN278" s="97"/>
      <c r="AO278" s="97"/>
      <c r="AP278" s="97"/>
      <c r="AQ278" s="97"/>
      <c r="AR278" s="97"/>
      <c r="AS278" s="97"/>
      <c r="AT278" s="97"/>
      <c r="AU278" s="97"/>
      <c r="AY278" s="97"/>
      <c r="AZ278" s="97"/>
    </row>
    <row r="279" s="11" customFormat="1" spans="1:52">
      <c r="A279" s="11">
        <v>1120</v>
      </c>
      <c r="B279" s="103" t="s">
        <v>777</v>
      </c>
      <c r="C279" s="104" t="s">
        <v>778</v>
      </c>
      <c r="D279" s="56">
        <v>1</v>
      </c>
      <c r="E279" s="56"/>
      <c r="F279" s="56">
        <v>1</v>
      </c>
      <c r="G279" s="56">
        <v>1.71</v>
      </c>
      <c r="H279" s="56">
        <v>1.71</v>
      </c>
      <c r="I279" s="56">
        <v>0.35</v>
      </c>
      <c r="J279" s="56" t="s">
        <v>115</v>
      </c>
      <c r="K279" s="56"/>
      <c r="L279" s="56">
        <v>0.1</v>
      </c>
      <c r="M279" s="11">
        <v>0.466666666666667</v>
      </c>
      <c r="P279" s="56">
        <v>0.0666666666666667</v>
      </c>
      <c r="Q279" s="11">
        <v>0.466666666666667</v>
      </c>
      <c r="T279" s="11">
        <v>2.4</v>
      </c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  <c r="AH279" s="97"/>
      <c r="AI279" s="97"/>
      <c r="AJ279" s="97"/>
      <c r="AK279" s="107">
        <v>1</v>
      </c>
      <c r="AL279" s="107">
        <v>300019</v>
      </c>
      <c r="AM279" s="97"/>
      <c r="AN279" s="97"/>
      <c r="AO279" s="97"/>
      <c r="AP279" s="97"/>
      <c r="AQ279" s="97"/>
      <c r="AR279" s="97"/>
      <c r="AS279" s="97"/>
      <c r="AT279" s="97"/>
      <c r="AU279" s="97"/>
      <c r="AY279" s="97"/>
      <c r="AZ279" s="97"/>
    </row>
    <row r="280" s="11" customFormat="1" spans="1:52">
      <c r="A280" s="11">
        <v>1121</v>
      </c>
      <c r="B280" s="103" t="s">
        <v>779</v>
      </c>
      <c r="C280" s="50" t="s">
        <v>780</v>
      </c>
      <c r="D280" s="56">
        <v>1</v>
      </c>
      <c r="E280" s="56"/>
      <c r="F280" s="56">
        <v>1</v>
      </c>
      <c r="G280" s="56">
        <v>1.71</v>
      </c>
      <c r="H280" s="56">
        <v>1.71</v>
      </c>
      <c r="I280" s="56">
        <v>0.35</v>
      </c>
      <c r="J280" s="56" t="s">
        <v>115</v>
      </c>
      <c r="K280" s="56"/>
      <c r="L280" s="11">
        <v>0.2</v>
      </c>
      <c r="M280" s="11">
        <v>0.733333333333333</v>
      </c>
      <c r="P280" s="11">
        <v>0.166666666666667</v>
      </c>
      <c r="Q280" s="11">
        <v>0.7</v>
      </c>
      <c r="T280" s="11">
        <v>2.4</v>
      </c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H280" s="97"/>
      <c r="AI280" s="97"/>
      <c r="AJ280" s="97"/>
      <c r="AK280" s="97">
        <v>0</v>
      </c>
      <c r="AL280" s="97"/>
      <c r="AM280" s="97"/>
      <c r="AN280" s="97"/>
      <c r="AO280" s="97"/>
      <c r="AP280" s="97"/>
      <c r="AQ280" s="97"/>
      <c r="AR280" s="97"/>
      <c r="AS280" s="97"/>
      <c r="AT280" s="97"/>
      <c r="AU280" s="97"/>
      <c r="AY280" s="97"/>
      <c r="AZ280" s="97"/>
    </row>
    <row r="281" s="11" customFormat="1" spans="1:52">
      <c r="A281" s="11">
        <v>1122</v>
      </c>
      <c r="B281" s="99" t="s">
        <v>781</v>
      </c>
      <c r="C281" s="101" t="s">
        <v>782</v>
      </c>
      <c r="D281" s="56">
        <v>1</v>
      </c>
      <c r="E281" s="56"/>
      <c r="F281" s="56">
        <v>1</v>
      </c>
      <c r="G281" s="56">
        <v>1.71</v>
      </c>
      <c r="H281" s="56">
        <v>1.71</v>
      </c>
      <c r="I281" s="56">
        <v>0.35</v>
      </c>
      <c r="J281" s="56" t="s">
        <v>115</v>
      </c>
      <c r="K281" s="56"/>
      <c r="L281" s="56">
        <v>0.1</v>
      </c>
      <c r="M281" s="11">
        <v>0.466666666666667</v>
      </c>
      <c r="P281" s="56">
        <v>0.0666666666666667</v>
      </c>
      <c r="Q281" s="11">
        <v>0.466666666666667</v>
      </c>
      <c r="T281" s="11">
        <v>2.4</v>
      </c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  <c r="AF281" s="11">
        <v>801</v>
      </c>
      <c r="AG281" s="11" t="s">
        <v>116</v>
      </c>
      <c r="AH281" s="97"/>
      <c r="AI281" s="97"/>
      <c r="AJ281" s="97"/>
      <c r="AK281" s="97">
        <v>0</v>
      </c>
      <c r="AL281" s="97"/>
      <c r="AM281" s="97"/>
      <c r="AN281" s="97"/>
      <c r="AO281" s="97"/>
      <c r="AP281" s="97"/>
      <c r="AQ281" s="97"/>
      <c r="AR281" s="97"/>
      <c r="AS281" s="97"/>
      <c r="AT281" s="97"/>
      <c r="AU281" s="97"/>
      <c r="AY281" s="97"/>
      <c r="AZ281" s="97"/>
    </row>
    <row r="282" s="11" customFormat="1" spans="1:52">
      <c r="A282" s="11">
        <v>1123</v>
      </c>
      <c r="B282" s="99" t="s">
        <v>783</v>
      </c>
      <c r="C282" s="101" t="s">
        <v>784</v>
      </c>
      <c r="D282" s="56">
        <v>1</v>
      </c>
      <c r="E282" s="56"/>
      <c r="F282" s="56">
        <v>1</v>
      </c>
      <c r="G282" s="56">
        <v>1.71</v>
      </c>
      <c r="H282" s="56">
        <v>1.71</v>
      </c>
      <c r="I282" s="56">
        <v>0.35</v>
      </c>
      <c r="J282" s="56" t="s">
        <v>115</v>
      </c>
      <c r="K282" s="56"/>
      <c r="L282" s="56">
        <v>0.1</v>
      </c>
      <c r="M282" s="11">
        <v>0.466666666666667</v>
      </c>
      <c r="P282" s="56">
        <v>0.0666666666666667</v>
      </c>
      <c r="Q282" s="11">
        <v>0.466666666666667</v>
      </c>
      <c r="T282" s="11">
        <v>2.4</v>
      </c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  <c r="AE282" s="97"/>
      <c r="AF282" s="11">
        <v>801</v>
      </c>
      <c r="AG282" s="11" t="s">
        <v>116</v>
      </c>
      <c r="AH282" s="97"/>
      <c r="AI282" s="97"/>
      <c r="AJ282" s="97"/>
      <c r="AK282" s="97">
        <v>0</v>
      </c>
      <c r="AL282" s="97"/>
      <c r="AM282" s="97"/>
      <c r="AN282" s="97"/>
      <c r="AO282" s="97"/>
      <c r="AP282" s="97"/>
      <c r="AQ282" s="97"/>
      <c r="AR282" s="97"/>
      <c r="AS282" s="97"/>
      <c r="AT282" s="97"/>
      <c r="AU282" s="97"/>
      <c r="AY282" s="97"/>
      <c r="AZ282" s="97"/>
    </row>
    <row r="283" s="11" customFormat="1" spans="1:37">
      <c r="A283" s="11">
        <v>1124</v>
      </c>
      <c r="B283" s="70" t="s">
        <v>785</v>
      </c>
      <c r="C283" s="70" t="s">
        <v>786</v>
      </c>
      <c r="D283" s="11">
        <v>1</v>
      </c>
      <c r="F283" s="11">
        <v>1</v>
      </c>
      <c r="G283" s="11">
        <v>1.56</v>
      </c>
      <c r="H283" s="11">
        <v>1.76</v>
      </c>
      <c r="I283" s="11">
        <v>0.5</v>
      </c>
      <c r="J283" s="11" t="s">
        <v>115</v>
      </c>
      <c r="L283" s="11">
        <v>0.1</v>
      </c>
      <c r="M283" s="11">
        <v>0.5</v>
      </c>
      <c r="P283" s="11">
        <v>0.1</v>
      </c>
      <c r="Q283" s="11">
        <v>0.5</v>
      </c>
      <c r="T283" s="11">
        <v>2.4</v>
      </c>
      <c r="U283" s="65"/>
      <c r="V283" s="65"/>
      <c r="AF283" s="11">
        <v>801</v>
      </c>
      <c r="AG283" s="11" t="s">
        <v>116</v>
      </c>
      <c r="AK283" s="97">
        <v>0</v>
      </c>
    </row>
    <row r="284" s="11" customFormat="1" spans="1:52">
      <c r="A284" s="11">
        <v>1125</v>
      </c>
      <c r="B284" s="99" t="s">
        <v>749</v>
      </c>
      <c r="C284" s="101" t="s">
        <v>787</v>
      </c>
      <c r="D284" s="56">
        <v>1</v>
      </c>
      <c r="E284" s="56"/>
      <c r="F284" s="56">
        <v>1</v>
      </c>
      <c r="G284" s="56">
        <v>1.71</v>
      </c>
      <c r="H284" s="56">
        <v>2</v>
      </c>
      <c r="I284" s="56">
        <v>0.35</v>
      </c>
      <c r="J284" s="56" t="s">
        <v>115</v>
      </c>
      <c r="K284" s="56"/>
      <c r="L284" s="56">
        <v>0.0666666666666667</v>
      </c>
      <c r="M284" s="11">
        <v>0.433333333333333</v>
      </c>
      <c r="P284" s="56">
        <v>0.0666666666666667</v>
      </c>
      <c r="Q284" s="11">
        <v>0.6</v>
      </c>
      <c r="T284" s="11">
        <v>2.4</v>
      </c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  <c r="AF284" s="11">
        <v>801</v>
      </c>
      <c r="AG284" s="11" t="s">
        <v>116</v>
      </c>
      <c r="AH284" s="97"/>
      <c r="AI284" s="97"/>
      <c r="AJ284" s="97"/>
      <c r="AK284" s="97">
        <v>1</v>
      </c>
      <c r="AL284" s="11">
        <v>100010</v>
      </c>
      <c r="AM284" s="97"/>
      <c r="AN284" s="97"/>
      <c r="AO284" s="97"/>
      <c r="AP284" s="97"/>
      <c r="AQ284" s="97"/>
      <c r="AR284" s="97"/>
      <c r="AS284" s="97"/>
      <c r="AT284" s="97"/>
      <c r="AU284" s="97"/>
      <c r="AY284" s="97"/>
      <c r="AZ284" s="97"/>
    </row>
    <row r="285" s="11" customFormat="1" spans="1:52">
      <c r="A285" s="11">
        <v>1126</v>
      </c>
      <c r="B285" s="103" t="s">
        <v>788</v>
      </c>
      <c r="C285" s="50" t="s">
        <v>789</v>
      </c>
      <c r="D285" s="11">
        <v>1</v>
      </c>
      <c r="E285" s="56"/>
      <c r="F285" s="11">
        <v>1</v>
      </c>
      <c r="G285" s="56">
        <v>2.5</v>
      </c>
      <c r="H285" s="56">
        <v>2.5</v>
      </c>
      <c r="I285" s="56">
        <v>1.3</v>
      </c>
      <c r="J285" s="11" t="s">
        <v>115</v>
      </c>
      <c r="K285" s="56"/>
      <c r="L285" s="97">
        <v>0.133333333333333</v>
      </c>
      <c r="M285" s="97">
        <v>0.533333333333333</v>
      </c>
      <c r="P285" s="56">
        <v>0.166666666666667</v>
      </c>
      <c r="Q285" s="11">
        <v>0.633333333333333</v>
      </c>
      <c r="T285" s="11">
        <v>2.4</v>
      </c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  <c r="AE285" s="97"/>
      <c r="AF285" s="11">
        <v>801</v>
      </c>
      <c r="AG285" s="11" t="s">
        <v>116</v>
      </c>
      <c r="AH285" s="97"/>
      <c r="AI285" s="97"/>
      <c r="AJ285" s="97"/>
      <c r="AK285" s="97">
        <v>0</v>
      </c>
      <c r="AM285" s="97"/>
      <c r="AN285" s="97"/>
      <c r="AO285" s="97"/>
      <c r="AP285" s="97"/>
      <c r="AQ285" s="97"/>
      <c r="AR285" s="97"/>
      <c r="AS285" s="97"/>
      <c r="AT285" s="97"/>
      <c r="AU285" s="97"/>
      <c r="AY285" s="97"/>
      <c r="AZ285" s="97"/>
    </row>
    <row r="286" s="11" customFormat="1" spans="1:52">
      <c r="A286" s="11">
        <v>1127</v>
      </c>
      <c r="B286" s="103" t="s">
        <v>790</v>
      </c>
      <c r="C286" s="50" t="s">
        <v>791</v>
      </c>
      <c r="D286" s="56">
        <v>1</v>
      </c>
      <c r="E286" s="56"/>
      <c r="F286" s="56">
        <v>0.85</v>
      </c>
      <c r="G286" s="56">
        <v>3.08</v>
      </c>
      <c r="H286" s="56">
        <v>3.08</v>
      </c>
      <c r="I286" s="56">
        <v>0.5</v>
      </c>
      <c r="J286" s="56" t="s">
        <v>115</v>
      </c>
      <c r="K286" s="56"/>
      <c r="L286" s="56">
        <v>0.15</v>
      </c>
      <c r="M286" s="11">
        <v>0.666666666666667</v>
      </c>
      <c r="P286" s="56">
        <v>0.2</v>
      </c>
      <c r="Q286" s="11">
        <v>0.566666666666667</v>
      </c>
      <c r="T286" s="11">
        <v>2.4</v>
      </c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11">
        <v>801</v>
      </c>
      <c r="AG286" s="11" t="s">
        <v>116</v>
      </c>
      <c r="AH286" s="97"/>
      <c r="AI286" s="97"/>
      <c r="AJ286" s="97"/>
      <c r="AK286" s="97">
        <v>0</v>
      </c>
      <c r="AM286" s="97"/>
      <c r="AN286" s="97"/>
      <c r="AO286" s="97"/>
      <c r="AP286" s="97"/>
      <c r="AQ286" s="97"/>
      <c r="AR286" s="97"/>
      <c r="AS286" s="97"/>
      <c r="AT286" s="97"/>
      <c r="AU286" s="97"/>
      <c r="AY286" s="97"/>
      <c r="AZ286" s="97"/>
    </row>
    <row r="287" s="11" customFormat="1" spans="1:52">
      <c r="A287" s="11">
        <v>1128</v>
      </c>
      <c r="B287" s="103" t="s">
        <v>792</v>
      </c>
      <c r="C287" s="50" t="s">
        <v>793</v>
      </c>
      <c r="D287" s="11">
        <v>1</v>
      </c>
      <c r="E287" s="56"/>
      <c r="F287" s="11">
        <v>1</v>
      </c>
      <c r="G287" s="56">
        <v>2.3</v>
      </c>
      <c r="H287" s="56">
        <v>2.3</v>
      </c>
      <c r="I287" s="56">
        <v>0.35</v>
      </c>
      <c r="J287" s="11" t="s">
        <v>115</v>
      </c>
      <c r="K287" s="56"/>
      <c r="L287" s="56">
        <v>0.1</v>
      </c>
      <c r="M287" s="11">
        <v>0.4</v>
      </c>
      <c r="P287" s="56">
        <v>0.15</v>
      </c>
      <c r="Q287" s="11">
        <v>0.6</v>
      </c>
      <c r="T287" s="11">
        <v>2.4</v>
      </c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  <c r="AE287" s="97"/>
      <c r="AF287" s="11">
        <v>801</v>
      </c>
      <c r="AG287" s="11" t="s">
        <v>116</v>
      </c>
      <c r="AH287" s="97"/>
      <c r="AI287" s="97"/>
      <c r="AJ287" s="97"/>
      <c r="AK287" s="97">
        <v>0</v>
      </c>
      <c r="AM287" s="97"/>
      <c r="AN287" s="97"/>
      <c r="AO287" s="97"/>
      <c r="AP287" s="97"/>
      <c r="AQ287" s="97"/>
      <c r="AR287" s="97"/>
      <c r="AS287" s="97"/>
      <c r="AT287" s="97"/>
      <c r="AU287" s="97"/>
      <c r="AY287" s="97"/>
      <c r="AZ287" s="97"/>
    </row>
    <row r="288" s="11" customFormat="1" spans="1:52">
      <c r="A288" s="11">
        <v>1129</v>
      </c>
      <c r="B288" s="103" t="s">
        <v>794</v>
      </c>
      <c r="C288" s="50" t="s">
        <v>795</v>
      </c>
      <c r="D288" s="56">
        <v>1</v>
      </c>
      <c r="E288" s="56"/>
      <c r="F288" s="56">
        <v>1</v>
      </c>
      <c r="G288" s="56">
        <v>1.5</v>
      </c>
      <c r="H288" s="56">
        <v>1.5</v>
      </c>
      <c r="I288" s="56">
        <v>0.35</v>
      </c>
      <c r="J288" s="56" t="s">
        <v>115</v>
      </c>
      <c r="K288" s="56"/>
      <c r="L288" s="56">
        <v>0.15</v>
      </c>
      <c r="M288" s="11">
        <v>0.666666666666667</v>
      </c>
      <c r="P288" s="56">
        <v>0.15</v>
      </c>
      <c r="Q288" s="11">
        <v>0.666666666666667</v>
      </c>
      <c r="T288" s="11">
        <v>2.4</v>
      </c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  <c r="AF288" s="11">
        <v>801</v>
      </c>
      <c r="AG288" s="11" t="s">
        <v>116</v>
      </c>
      <c r="AH288" s="97"/>
      <c r="AI288" s="97"/>
      <c r="AJ288" s="97"/>
      <c r="AK288" s="97">
        <v>0</v>
      </c>
      <c r="AM288" s="97"/>
      <c r="AN288" s="97"/>
      <c r="AO288" s="97"/>
      <c r="AP288" s="97"/>
      <c r="AQ288" s="97"/>
      <c r="AR288" s="97"/>
      <c r="AS288" s="97"/>
      <c r="AT288" s="97"/>
      <c r="AU288" s="97"/>
      <c r="AY288" s="97"/>
      <c r="AZ288" s="97"/>
    </row>
    <row r="289" s="11" customFormat="1" spans="1:52">
      <c r="A289" s="11">
        <v>1130</v>
      </c>
      <c r="B289" s="103" t="s">
        <v>796</v>
      </c>
      <c r="C289" s="50" t="s">
        <v>797</v>
      </c>
      <c r="D289" s="56">
        <v>1</v>
      </c>
      <c r="E289" s="56"/>
      <c r="F289" s="56">
        <v>2</v>
      </c>
      <c r="G289" s="56">
        <v>21</v>
      </c>
      <c r="H289" s="56">
        <v>21</v>
      </c>
      <c r="I289" s="56">
        <v>12.85</v>
      </c>
      <c r="J289" s="11" t="s">
        <v>115</v>
      </c>
      <c r="K289" s="56"/>
      <c r="L289" s="56">
        <v>0.15</v>
      </c>
      <c r="M289" s="11">
        <v>0.666666666666667</v>
      </c>
      <c r="P289" s="56">
        <v>0.15</v>
      </c>
      <c r="Q289" s="11">
        <v>0.666666666666667</v>
      </c>
      <c r="T289" s="11">
        <v>2.4</v>
      </c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  <c r="AF289" s="11">
        <v>801</v>
      </c>
      <c r="AG289" s="11" t="s">
        <v>116</v>
      </c>
      <c r="AH289" s="97"/>
      <c r="AI289" s="97"/>
      <c r="AJ289" s="97"/>
      <c r="AK289" s="97">
        <v>2</v>
      </c>
      <c r="AL289" s="290" t="s">
        <v>798</v>
      </c>
      <c r="AM289" s="97">
        <v>1</v>
      </c>
      <c r="AN289" s="97">
        <v>0.08</v>
      </c>
      <c r="AO289" s="97">
        <v>2100</v>
      </c>
      <c r="AP289" s="97"/>
      <c r="AQ289" s="97"/>
      <c r="AR289" s="97"/>
      <c r="AS289" s="97"/>
      <c r="AT289" s="97"/>
      <c r="AU289" s="97"/>
      <c r="AY289" s="97"/>
      <c r="AZ289" s="97"/>
    </row>
    <row r="290" s="11" customFormat="1" spans="1:52">
      <c r="A290" s="11">
        <v>1131</v>
      </c>
      <c r="B290" s="103" t="s">
        <v>799</v>
      </c>
      <c r="C290" s="50" t="s">
        <v>800</v>
      </c>
      <c r="D290" s="11">
        <v>1</v>
      </c>
      <c r="E290" s="56"/>
      <c r="F290" s="56">
        <v>0.7</v>
      </c>
      <c r="G290" s="56">
        <v>1.71</v>
      </c>
      <c r="H290" s="56">
        <v>5</v>
      </c>
      <c r="I290" s="56">
        <v>0.5</v>
      </c>
      <c r="J290" s="56" t="s">
        <v>115</v>
      </c>
      <c r="K290" s="56"/>
      <c r="L290" s="71">
        <v>0.2</v>
      </c>
      <c r="M290" s="71">
        <v>0.766666666666667</v>
      </c>
      <c r="P290" s="71">
        <v>0.2</v>
      </c>
      <c r="Q290" s="11">
        <v>0.666666666666667</v>
      </c>
      <c r="T290" s="11">
        <v>2.4</v>
      </c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  <c r="AF290" s="11">
        <v>801</v>
      </c>
      <c r="AG290" s="11" t="s">
        <v>116</v>
      </c>
      <c r="AH290" s="97"/>
      <c r="AI290" s="97"/>
      <c r="AJ290" s="97"/>
      <c r="AK290" s="97">
        <v>0</v>
      </c>
      <c r="AM290" s="97"/>
      <c r="AN290" s="97"/>
      <c r="AO290" s="97"/>
      <c r="AP290" s="97"/>
      <c r="AQ290" s="97"/>
      <c r="AR290" s="97"/>
      <c r="AS290" s="97"/>
      <c r="AT290" s="97"/>
      <c r="AU290" s="97"/>
      <c r="AY290" s="97"/>
      <c r="AZ290" s="97"/>
    </row>
    <row r="291" s="11" customFormat="1" spans="1:52">
      <c r="A291" s="11">
        <v>1132</v>
      </c>
      <c r="B291" s="103" t="s">
        <v>801</v>
      </c>
      <c r="C291" s="50" t="s">
        <v>802</v>
      </c>
      <c r="D291" s="56">
        <v>1</v>
      </c>
      <c r="E291" s="56"/>
      <c r="F291" s="56">
        <v>0.7</v>
      </c>
      <c r="G291" s="56">
        <v>1.71</v>
      </c>
      <c r="H291" s="56">
        <v>6</v>
      </c>
      <c r="I291" s="56">
        <v>0.5</v>
      </c>
      <c r="J291" s="56" t="s">
        <v>115</v>
      </c>
      <c r="K291" s="56"/>
      <c r="L291" s="56">
        <v>0.2</v>
      </c>
      <c r="M291" s="11">
        <v>0.733333333333333</v>
      </c>
      <c r="P291" s="56">
        <v>0.2</v>
      </c>
      <c r="Q291" s="11">
        <v>0.633333333333333</v>
      </c>
      <c r="T291" s="11">
        <v>2.4</v>
      </c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  <c r="AE291" s="97"/>
      <c r="AF291" s="11">
        <v>801</v>
      </c>
      <c r="AG291" s="11" t="s">
        <v>116</v>
      </c>
      <c r="AH291" s="97"/>
      <c r="AI291" s="97"/>
      <c r="AJ291" s="97"/>
      <c r="AK291" s="97">
        <v>0</v>
      </c>
      <c r="AM291" s="97"/>
      <c r="AN291" s="97"/>
      <c r="AO291" s="97"/>
      <c r="AP291" s="97"/>
      <c r="AQ291" s="97"/>
      <c r="AR291" s="97"/>
      <c r="AS291" s="97"/>
      <c r="AT291" s="97"/>
      <c r="AU291" s="97"/>
      <c r="AY291" s="97"/>
      <c r="AZ291" s="97"/>
    </row>
    <row r="292" s="11" customFormat="1" spans="1:52">
      <c r="A292" s="11">
        <v>1133</v>
      </c>
      <c r="B292" s="103" t="s">
        <v>803</v>
      </c>
      <c r="C292" s="50" t="s">
        <v>804</v>
      </c>
      <c r="D292" s="56">
        <v>1</v>
      </c>
      <c r="E292" s="56"/>
      <c r="F292" s="56">
        <v>0.8</v>
      </c>
      <c r="G292" s="56">
        <v>2.3</v>
      </c>
      <c r="H292" s="56">
        <v>2.55</v>
      </c>
      <c r="I292" s="56">
        <v>0.35</v>
      </c>
      <c r="J292" s="56" t="s">
        <v>115</v>
      </c>
      <c r="K292" s="56"/>
      <c r="L292" s="56">
        <v>0.0666666666666667</v>
      </c>
      <c r="M292" s="11">
        <v>0.366666666666667</v>
      </c>
      <c r="P292" s="56">
        <v>0.0666666666666667</v>
      </c>
      <c r="Q292" s="11">
        <v>0.5</v>
      </c>
      <c r="T292" s="11">
        <v>2.4</v>
      </c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  <c r="AE292" s="97"/>
      <c r="AF292" s="11">
        <v>801</v>
      </c>
      <c r="AG292" s="11" t="s">
        <v>116</v>
      </c>
      <c r="AH292" s="97"/>
      <c r="AI292" s="97"/>
      <c r="AJ292" s="97"/>
      <c r="AK292" s="97">
        <v>0</v>
      </c>
      <c r="AM292" s="97"/>
      <c r="AN292" s="97"/>
      <c r="AO292" s="97"/>
      <c r="AP292" s="97"/>
      <c r="AQ292" s="97"/>
      <c r="AR292" s="97"/>
      <c r="AS292" s="97"/>
      <c r="AT292" s="97"/>
      <c r="AU292" s="97"/>
      <c r="AY292" s="97"/>
      <c r="AZ292" s="97"/>
    </row>
    <row r="293" s="11" customFormat="1" spans="1:52">
      <c r="A293" s="11">
        <v>1134</v>
      </c>
      <c r="B293" s="103" t="s">
        <v>805</v>
      </c>
      <c r="C293" s="50" t="s">
        <v>806</v>
      </c>
      <c r="D293" s="11">
        <v>1</v>
      </c>
      <c r="E293" s="56"/>
      <c r="F293" s="56">
        <v>1</v>
      </c>
      <c r="G293" s="56">
        <v>1.87</v>
      </c>
      <c r="H293" s="56">
        <v>2.2</v>
      </c>
      <c r="I293" s="56">
        <v>0.35</v>
      </c>
      <c r="J293" s="56" t="s">
        <v>115</v>
      </c>
      <c r="K293" s="56"/>
      <c r="L293" s="56">
        <v>0.1</v>
      </c>
      <c r="M293" s="11">
        <v>0.533333333333333</v>
      </c>
      <c r="P293" s="56">
        <v>0.166666667</v>
      </c>
      <c r="Q293" s="11">
        <v>0.4</v>
      </c>
      <c r="T293" s="11">
        <v>2.4</v>
      </c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  <c r="AE293" s="97"/>
      <c r="AF293" s="11">
        <v>801</v>
      </c>
      <c r="AG293" s="11" t="s">
        <v>116</v>
      </c>
      <c r="AH293" s="97"/>
      <c r="AI293" s="97"/>
      <c r="AJ293" s="97"/>
      <c r="AK293" s="97">
        <v>0</v>
      </c>
      <c r="AM293" s="97"/>
      <c r="AN293" s="97"/>
      <c r="AO293" s="97"/>
      <c r="AP293" s="97"/>
      <c r="AQ293" s="97"/>
      <c r="AR293" s="97"/>
      <c r="AS293" s="97"/>
      <c r="AT293" s="97"/>
      <c r="AU293" s="97"/>
      <c r="AY293" s="97"/>
      <c r="AZ293" s="97"/>
    </row>
    <row r="294" s="11" customFormat="1" spans="1:52">
      <c r="A294" s="11">
        <v>1135</v>
      </c>
      <c r="B294" s="103" t="s">
        <v>807</v>
      </c>
      <c r="C294" s="50" t="s">
        <v>808</v>
      </c>
      <c r="D294" s="56">
        <v>1</v>
      </c>
      <c r="E294" s="56"/>
      <c r="F294" s="56">
        <v>0.9</v>
      </c>
      <c r="G294" s="56">
        <v>2</v>
      </c>
      <c r="H294" s="56">
        <v>2.25</v>
      </c>
      <c r="I294" s="56">
        <v>0.35</v>
      </c>
      <c r="J294" s="56" t="s">
        <v>115</v>
      </c>
      <c r="K294" s="56"/>
      <c r="L294" s="56">
        <v>0.06666666666667</v>
      </c>
      <c r="M294" s="11">
        <v>0.433333333333333</v>
      </c>
      <c r="P294" s="56">
        <v>0.1</v>
      </c>
      <c r="Q294" s="11">
        <v>0.43333333333</v>
      </c>
      <c r="T294" s="11">
        <v>2.4</v>
      </c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  <c r="AE294" s="97"/>
      <c r="AF294" s="11">
        <v>801</v>
      </c>
      <c r="AG294" s="11" t="s">
        <v>116</v>
      </c>
      <c r="AH294" s="97"/>
      <c r="AI294" s="97"/>
      <c r="AJ294" s="97"/>
      <c r="AK294" s="97">
        <v>0</v>
      </c>
      <c r="AM294" s="97"/>
      <c r="AN294" s="97"/>
      <c r="AO294" s="97"/>
      <c r="AP294" s="97"/>
      <c r="AQ294" s="97"/>
      <c r="AR294" s="97"/>
      <c r="AS294" s="97"/>
      <c r="AT294" s="97"/>
      <c r="AU294" s="97"/>
      <c r="AY294" s="97"/>
      <c r="AZ294" s="97"/>
    </row>
    <row r="295" s="11" customFormat="1" spans="1:52">
      <c r="A295" s="11">
        <v>1136</v>
      </c>
      <c r="B295" s="103" t="s">
        <v>809</v>
      </c>
      <c r="C295" s="50" t="s">
        <v>810</v>
      </c>
      <c r="D295" s="56">
        <v>1</v>
      </c>
      <c r="E295" s="56"/>
      <c r="F295" s="56">
        <v>0.9</v>
      </c>
      <c r="G295" s="56">
        <v>2</v>
      </c>
      <c r="H295" s="56">
        <v>2.35</v>
      </c>
      <c r="I295" s="56">
        <v>0.35</v>
      </c>
      <c r="J295" s="56" t="s">
        <v>115</v>
      </c>
      <c r="K295" s="56"/>
      <c r="L295" s="56">
        <v>0.1</v>
      </c>
      <c r="M295" s="11">
        <v>0.466666666666667</v>
      </c>
      <c r="P295" s="56">
        <v>0.133333333</v>
      </c>
      <c r="Q295" s="11">
        <v>0.433333333333333</v>
      </c>
      <c r="T295" s="11">
        <v>2.4</v>
      </c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  <c r="AE295" s="97"/>
      <c r="AF295" s="11">
        <v>801</v>
      </c>
      <c r="AG295" s="11" t="s">
        <v>116</v>
      </c>
      <c r="AH295" s="97"/>
      <c r="AI295" s="97"/>
      <c r="AJ295" s="97"/>
      <c r="AK295" s="97">
        <v>0</v>
      </c>
      <c r="AM295" s="97"/>
      <c r="AN295" s="97"/>
      <c r="AO295" s="97"/>
      <c r="AP295" s="97"/>
      <c r="AQ295" s="97"/>
      <c r="AR295" s="97"/>
      <c r="AS295" s="97"/>
      <c r="AT295" s="97"/>
      <c r="AU295" s="97"/>
      <c r="AY295" s="97"/>
      <c r="AZ295" s="97"/>
    </row>
    <row r="296" s="11" customFormat="1" spans="1:52">
      <c r="A296" s="11">
        <v>1137</v>
      </c>
      <c r="B296" s="103" t="s">
        <v>811</v>
      </c>
      <c r="C296" s="50" t="s">
        <v>812</v>
      </c>
      <c r="D296" s="56">
        <v>1</v>
      </c>
      <c r="E296" s="56"/>
      <c r="F296" s="56">
        <v>0.75</v>
      </c>
      <c r="G296" s="56">
        <v>2.7</v>
      </c>
      <c r="H296" s="56">
        <v>3.3</v>
      </c>
      <c r="I296" s="56">
        <v>0.4</v>
      </c>
      <c r="J296" s="56" t="s">
        <v>115</v>
      </c>
      <c r="K296" s="56"/>
      <c r="L296" s="56">
        <v>0.1</v>
      </c>
      <c r="M296" s="11">
        <f>15/30</f>
        <v>0.5</v>
      </c>
      <c r="P296" s="56">
        <v>0.1</v>
      </c>
      <c r="Q296" s="11">
        <v>0.466666666666667</v>
      </c>
      <c r="T296" s="11">
        <v>2.4</v>
      </c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  <c r="AE296" s="97"/>
      <c r="AF296" s="11">
        <v>801</v>
      </c>
      <c r="AG296" s="11" t="s">
        <v>116</v>
      </c>
      <c r="AH296" s="97"/>
      <c r="AI296" s="97"/>
      <c r="AJ296" s="97"/>
      <c r="AK296" s="97">
        <v>0</v>
      </c>
      <c r="AM296" s="97"/>
      <c r="AN296" s="97"/>
      <c r="AO296" s="97"/>
      <c r="AP296" s="97"/>
      <c r="AQ296" s="97"/>
      <c r="AR296" s="97"/>
      <c r="AS296" s="97"/>
      <c r="AT296" s="97"/>
      <c r="AU296" s="97"/>
      <c r="AY296" s="97"/>
      <c r="AZ296" s="97"/>
    </row>
    <row r="297" s="11" customFormat="1" spans="1:52">
      <c r="A297" s="11">
        <v>1138</v>
      </c>
      <c r="B297" s="103" t="s">
        <v>813</v>
      </c>
      <c r="C297" s="50" t="s">
        <v>814</v>
      </c>
      <c r="D297" s="56">
        <v>1</v>
      </c>
      <c r="E297" s="56"/>
      <c r="F297" s="56">
        <v>0.8</v>
      </c>
      <c r="G297" s="56">
        <v>2.1</v>
      </c>
      <c r="H297" s="56">
        <v>2.55</v>
      </c>
      <c r="I297" s="56">
        <v>0.35</v>
      </c>
      <c r="J297" s="56" t="s">
        <v>115</v>
      </c>
      <c r="K297" s="56"/>
      <c r="L297" s="56">
        <v>0.1</v>
      </c>
      <c r="M297" s="11">
        <v>0.5</v>
      </c>
      <c r="P297" s="56">
        <v>0.1</v>
      </c>
      <c r="Q297" s="11">
        <v>0.433333333333333</v>
      </c>
      <c r="T297" s="11">
        <v>2.4</v>
      </c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  <c r="AE297" s="97"/>
      <c r="AF297" s="11">
        <v>801</v>
      </c>
      <c r="AG297" s="11" t="s">
        <v>116</v>
      </c>
      <c r="AH297" s="97"/>
      <c r="AI297" s="97"/>
      <c r="AJ297" s="97"/>
      <c r="AK297" s="97">
        <v>0</v>
      </c>
      <c r="AM297" s="97"/>
      <c r="AN297" s="97"/>
      <c r="AO297" s="97"/>
      <c r="AP297" s="97"/>
      <c r="AQ297" s="97"/>
      <c r="AR297" s="97"/>
      <c r="AS297" s="97"/>
      <c r="AT297" s="97"/>
      <c r="AU297" s="97"/>
      <c r="AY297" s="97"/>
      <c r="AZ297" s="97"/>
    </row>
    <row r="298" s="11" customFormat="1" spans="1:52">
      <c r="A298" s="11">
        <v>1139</v>
      </c>
      <c r="B298" s="103" t="s">
        <v>815</v>
      </c>
      <c r="C298" s="50" t="s">
        <v>816</v>
      </c>
      <c r="D298" s="56">
        <v>1</v>
      </c>
      <c r="E298" s="56"/>
      <c r="F298" s="56">
        <v>1</v>
      </c>
      <c r="G298" s="56">
        <v>1.87</v>
      </c>
      <c r="H298" s="56">
        <v>2.2</v>
      </c>
      <c r="I298" s="56">
        <v>0.35</v>
      </c>
      <c r="J298" s="56" t="s">
        <v>115</v>
      </c>
      <c r="K298" s="56"/>
      <c r="L298" s="56">
        <v>0.1</v>
      </c>
      <c r="M298" s="11">
        <v>0.466666666666667</v>
      </c>
      <c r="P298" s="56">
        <v>0.1</v>
      </c>
      <c r="Q298" s="11">
        <v>0.466666666666667</v>
      </c>
      <c r="T298" s="11">
        <v>2.4</v>
      </c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  <c r="AE298" s="97"/>
      <c r="AF298" s="11">
        <v>801</v>
      </c>
      <c r="AG298" s="11" t="s">
        <v>116</v>
      </c>
      <c r="AH298" s="97"/>
      <c r="AI298" s="97"/>
      <c r="AJ298" s="97"/>
      <c r="AK298" s="97">
        <v>0</v>
      </c>
      <c r="AM298" s="97"/>
      <c r="AN298" s="97"/>
      <c r="AO298" s="97"/>
      <c r="AP298" s="97"/>
      <c r="AQ298" s="97"/>
      <c r="AR298" s="97"/>
      <c r="AS298" s="97"/>
      <c r="AT298" s="97"/>
      <c r="AU298" s="97"/>
      <c r="AY298" s="97"/>
      <c r="AZ298" s="97"/>
    </row>
    <row r="299" s="11" customFormat="1" spans="1:52">
      <c r="A299" s="11">
        <v>1140</v>
      </c>
      <c r="B299" s="103" t="s">
        <v>817</v>
      </c>
      <c r="C299" s="50" t="s">
        <v>818</v>
      </c>
      <c r="D299" s="56">
        <v>1</v>
      </c>
      <c r="E299" s="56"/>
      <c r="F299" s="56">
        <v>0.9</v>
      </c>
      <c r="G299" s="56">
        <v>2</v>
      </c>
      <c r="H299" s="56">
        <v>2.25</v>
      </c>
      <c r="I299" s="56">
        <v>0.35</v>
      </c>
      <c r="J299" s="56" t="s">
        <v>115</v>
      </c>
      <c r="K299" s="56"/>
      <c r="L299" s="56">
        <v>0.1</v>
      </c>
      <c r="M299" s="11">
        <v>0.5</v>
      </c>
      <c r="P299" s="56">
        <v>0.1</v>
      </c>
      <c r="Q299" s="11">
        <v>0.433333333333333</v>
      </c>
      <c r="T299" s="11">
        <v>2.4</v>
      </c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  <c r="AE299" s="97"/>
      <c r="AF299" s="11">
        <v>801</v>
      </c>
      <c r="AG299" s="11" t="s">
        <v>116</v>
      </c>
      <c r="AH299" s="97"/>
      <c r="AI299" s="97"/>
      <c r="AJ299" s="97"/>
      <c r="AK299" s="97">
        <v>0</v>
      </c>
      <c r="AM299" s="97"/>
      <c r="AN299" s="97"/>
      <c r="AO299" s="97"/>
      <c r="AP299" s="97"/>
      <c r="AQ299" s="97"/>
      <c r="AR299" s="97"/>
      <c r="AS299" s="97"/>
      <c r="AT299" s="97"/>
      <c r="AU299" s="97"/>
      <c r="AY299" s="97"/>
      <c r="AZ299" s="97"/>
    </row>
    <row r="300" s="11" customFormat="1" spans="1:52">
      <c r="A300" s="11">
        <v>1141</v>
      </c>
      <c r="B300" s="103" t="s">
        <v>819</v>
      </c>
      <c r="C300" s="50" t="s">
        <v>820</v>
      </c>
      <c r="D300" s="56">
        <v>1</v>
      </c>
      <c r="E300" s="56"/>
      <c r="F300" s="56">
        <v>0.9</v>
      </c>
      <c r="G300" s="56">
        <v>2</v>
      </c>
      <c r="H300" s="56">
        <v>2.35</v>
      </c>
      <c r="I300" s="56">
        <v>0.35</v>
      </c>
      <c r="J300" s="56" t="s">
        <v>115</v>
      </c>
      <c r="K300" s="56"/>
      <c r="L300" s="56">
        <v>0.1</v>
      </c>
      <c r="M300" s="11">
        <v>0.433333333333333</v>
      </c>
      <c r="P300" s="56">
        <v>0.1</v>
      </c>
      <c r="Q300" s="11">
        <v>0.433333333333333</v>
      </c>
      <c r="T300" s="11">
        <v>2.4</v>
      </c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  <c r="AE300" s="97"/>
      <c r="AF300" s="11">
        <v>801</v>
      </c>
      <c r="AG300" s="11" t="s">
        <v>116</v>
      </c>
      <c r="AH300" s="97"/>
      <c r="AI300" s="97"/>
      <c r="AJ300" s="97"/>
      <c r="AK300" s="97">
        <v>0</v>
      </c>
      <c r="AM300" s="97"/>
      <c r="AN300" s="97"/>
      <c r="AO300" s="97"/>
      <c r="AP300" s="97"/>
      <c r="AQ300" s="97"/>
      <c r="AR300" s="97"/>
      <c r="AS300" s="97"/>
      <c r="AT300" s="97"/>
      <c r="AU300" s="97"/>
      <c r="AY300" s="97"/>
      <c r="AZ300" s="97"/>
    </row>
    <row r="301" s="11" customFormat="1" spans="1:52">
      <c r="A301" s="11">
        <v>1142</v>
      </c>
      <c r="B301" s="103" t="s">
        <v>821</v>
      </c>
      <c r="C301" s="50" t="s">
        <v>822</v>
      </c>
      <c r="D301" s="56">
        <v>1</v>
      </c>
      <c r="E301" s="56"/>
      <c r="F301" s="56">
        <v>0.9</v>
      </c>
      <c r="G301" s="56">
        <v>1.72</v>
      </c>
      <c r="H301" s="56">
        <v>2.38</v>
      </c>
      <c r="I301" s="56">
        <v>0.35</v>
      </c>
      <c r="J301" s="56" t="s">
        <v>115</v>
      </c>
      <c r="K301" s="56"/>
      <c r="L301" s="56">
        <v>0.1</v>
      </c>
      <c r="M301" s="11">
        <v>0.5</v>
      </c>
      <c r="P301" s="56">
        <v>0.133333333</v>
      </c>
      <c r="Q301" s="11">
        <v>0.5</v>
      </c>
      <c r="T301" s="11">
        <v>2.4</v>
      </c>
      <c r="U301" s="97"/>
      <c r="V301" s="97"/>
      <c r="W301" s="97"/>
      <c r="X301" s="97"/>
      <c r="Y301" s="97"/>
      <c r="Z301" s="97"/>
      <c r="AA301" s="97"/>
      <c r="AB301" s="97"/>
      <c r="AC301" s="97"/>
      <c r="AD301" s="97"/>
      <c r="AE301" s="97"/>
      <c r="AF301" s="11">
        <v>801</v>
      </c>
      <c r="AG301" s="11" t="s">
        <v>116</v>
      </c>
      <c r="AH301" s="97"/>
      <c r="AI301" s="97"/>
      <c r="AJ301" s="97"/>
      <c r="AK301" s="97">
        <v>0</v>
      </c>
      <c r="AM301" s="97"/>
      <c r="AN301" s="97"/>
      <c r="AO301" s="97"/>
      <c r="AP301" s="97"/>
      <c r="AQ301" s="97"/>
      <c r="AR301" s="97"/>
      <c r="AS301" s="97"/>
      <c r="AT301" s="97"/>
      <c r="AU301" s="97"/>
      <c r="AY301" s="97"/>
      <c r="AZ301" s="97"/>
    </row>
    <row r="302" s="11" customFormat="1" spans="1:52">
      <c r="A302" s="11">
        <v>1143</v>
      </c>
      <c r="B302" s="103" t="s">
        <v>823</v>
      </c>
      <c r="C302" s="50" t="s">
        <v>824</v>
      </c>
      <c r="D302" s="56">
        <v>1</v>
      </c>
      <c r="E302" s="56"/>
      <c r="F302" s="56">
        <v>1</v>
      </c>
      <c r="G302" s="56">
        <v>1.55</v>
      </c>
      <c r="H302" s="56">
        <v>1.9</v>
      </c>
      <c r="I302" s="56">
        <v>0.35</v>
      </c>
      <c r="J302" s="56" t="s">
        <v>115</v>
      </c>
      <c r="K302" s="56"/>
      <c r="L302" s="97">
        <f>3/30</f>
        <v>0.1</v>
      </c>
      <c r="M302" s="11">
        <f t="shared" ref="M302:M307" si="22">16/30</f>
        <v>0.533333333333333</v>
      </c>
      <c r="P302" s="56">
        <f t="shared" ref="P302:P307" si="23">4/30</f>
        <v>0.133333333333333</v>
      </c>
      <c r="Q302" s="11">
        <f>14/30</f>
        <v>0.466666666666667</v>
      </c>
      <c r="T302" s="11">
        <v>2.4</v>
      </c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  <c r="AF302" s="11">
        <v>801</v>
      </c>
      <c r="AG302" s="11" t="s">
        <v>116</v>
      </c>
      <c r="AH302" s="97"/>
      <c r="AI302" s="97"/>
      <c r="AJ302" s="97"/>
      <c r="AK302" s="97">
        <v>0</v>
      </c>
      <c r="AM302" s="97"/>
      <c r="AN302" s="97"/>
      <c r="AO302" s="97"/>
      <c r="AP302" s="97"/>
      <c r="AQ302" s="97"/>
      <c r="AR302" s="97"/>
      <c r="AS302" s="97"/>
      <c r="AT302" s="97"/>
      <c r="AU302" s="97"/>
      <c r="AY302" s="97"/>
      <c r="AZ302" s="97"/>
    </row>
    <row r="303" s="11" customFormat="1" spans="1:52">
      <c r="A303" s="11">
        <v>1144</v>
      </c>
      <c r="B303" s="103" t="s">
        <v>825</v>
      </c>
      <c r="C303" s="50" t="s">
        <v>826</v>
      </c>
      <c r="D303" s="56">
        <v>1</v>
      </c>
      <c r="E303" s="56"/>
      <c r="F303" s="56">
        <v>0.85</v>
      </c>
      <c r="G303" s="56">
        <v>3.08</v>
      </c>
      <c r="H303" s="56">
        <v>3.8</v>
      </c>
      <c r="I303" s="56">
        <v>0.5</v>
      </c>
      <c r="J303" s="56" t="s">
        <v>115</v>
      </c>
      <c r="K303" s="56"/>
      <c r="L303" s="56">
        <f>2/30</f>
        <v>0.0666666666666667</v>
      </c>
      <c r="M303" s="11">
        <f>20/30</f>
        <v>0.666666666666667</v>
      </c>
      <c r="P303" s="56">
        <f>3/30</f>
        <v>0.1</v>
      </c>
      <c r="Q303" s="11">
        <f>23/30</f>
        <v>0.766666666666667</v>
      </c>
      <c r="T303" s="11">
        <v>2.4</v>
      </c>
      <c r="U303" s="97"/>
      <c r="V303" s="97"/>
      <c r="W303" s="97"/>
      <c r="X303" s="97"/>
      <c r="Y303" s="97"/>
      <c r="Z303" s="97"/>
      <c r="AA303" s="97"/>
      <c r="AB303" s="97"/>
      <c r="AC303" s="97"/>
      <c r="AD303" s="97"/>
      <c r="AE303" s="97"/>
      <c r="AF303" s="11">
        <v>801</v>
      </c>
      <c r="AG303" s="11" t="s">
        <v>116</v>
      </c>
      <c r="AH303" s="97"/>
      <c r="AI303" s="97"/>
      <c r="AJ303" s="97"/>
      <c r="AK303" s="97">
        <v>0</v>
      </c>
      <c r="AM303" s="97"/>
      <c r="AN303" s="97"/>
      <c r="AO303" s="97"/>
      <c r="AP303" s="97"/>
      <c r="AQ303" s="97"/>
      <c r="AR303" s="97"/>
      <c r="AS303" s="97"/>
      <c r="AT303" s="97"/>
      <c r="AU303" s="97"/>
      <c r="AY303" s="97"/>
      <c r="AZ303" s="97"/>
    </row>
    <row r="304" s="11" customFormat="1" spans="1:52">
      <c r="A304" s="11">
        <v>1145</v>
      </c>
      <c r="B304" s="103" t="s">
        <v>827</v>
      </c>
      <c r="C304" s="50" t="s">
        <v>828</v>
      </c>
      <c r="D304" s="56">
        <v>1</v>
      </c>
      <c r="E304" s="56"/>
      <c r="F304" s="56">
        <v>0.85</v>
      </c>
      <c r="G304" s="56">
        <v>3.08</v>
      </c>
      <c r="H304" s="56">
        <v>3.8</v>
      </c>
      <c r="I304" s="56">
        <v>0.5</v>
      </c>
      <c r="J304" s="56" t="s">
        <v>115</v>
      </c>
      <c r="K304" s="56"/>
      <c r="L304" s="56">
        <f>2/30</f>
        <v>0.0666666666666667</v>
      </c>
      <c r="M304" s="11">
        <f>20/30</f>
        <v>0.666666666666667</v>
      </c>
      <c r="P304" s="56">
        <f>10/30</f>
        <v>0.333333333333333</v>
      </c>
      <c r="Q304" s="11">
        <f>21/30</f>
        <v>0.7</v>
      </c>
      <c r="T304" s="11">
        <v>2.4</v>
      </c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  <c r="AE304" s="97"/>
      <c r="AF304" s="11">
        <v>801</v>
      </c>
      <c r="AG304" s="11" t="s">
        <v>116</v>
      </c>
      <c r="AH304" s="97"/>
      <c r="AI304" s="97"/>
      <c r="AJ304" s="97"/>
      <c r="AK304" s="97">
        <v>0</v>
      </c>
      <c r="AM304" s="97"/>
      <c r="AN304" s="97"/>
      <c r="AO304" s="97"/>
      <c r="AP304" s="97"/>
      <c r="AQ304" s="97"/>
      <c r="AR304" s="97"/>
      <c r="AS304" s="97"/>
      <c r="AT304" s="97"/>
      <c r="AU304" s="97"/>
      <c r="AY304" s="97"/>
      <c r="AZ304" s="97"/>
    </row>
    <row r="305" s="11" customFormat="1" spans="1:52">
      <c r="A305" s="11">
        <v>1146</v>
      </c>
      <c r="B305" s="103" t="s">
        <v>829</v>
      </c>
      <c r="C305" s="50" t="s">
        <v>830</v>
      </c>
      <c r="D305" s="56">
        <v>1</v>
      </c>
      <c r="E305" s="56"/>
      <c r="F305" s="56">
        <v>1</v>
      </c>
      <c r="G305" s="56">
        <v>2.35</v>
      </c>
      <c r="H305" s="56">
        <v>2.7</v>
      </c>
      <c r="I305" s="56">
        <v>0.4</v>
      </c>
      <c r="J305" s="56" t="s">
        <v>115</v>
      </c>
      <c r="K305" s="56"/>
      <c r="L305" s="56">
        <f t="shared" ref="L305:L311" si="24">4/30</f>
        <v>0.133333333333333</v>
      </c>
      <c r="M305" s="11">
        <f>19/30</f>
        <v>0.633333333333333</v>
      </c>
      <c r="P305" s="56">
        <f t="shared" si="23"/>
        <v>0.133333333333333</v>
      </c>
      <c r="Q305" s="11">
        <f>19/30</f>
        <v>0.633333333333333</v>
      </c>
      <c r="T305" s="11">
        <v>2.4</v>
      </c>
      <c r="U305" s="97"/>
      <c r="V305" s="97"/>
      <c r="W305" s="97"/>
      <c r="X305" s="97"/>
      <c r="Y305" s="97"/>
      <c r="Z305" s="97"/>
      <c r="AA305" s="97"/>
      <c r="AB305" s="97"/>
      <c r="AC305" s="97"/>
      <c r="AD305" s="97"/>
      <c r="AE305" s="97"/>
      <c r="AF305" s="11">
        <v>801</v>
      </c>
      <c r="AG305" s="11" t="s">
        <v>116</v>
      </c>
      <c r="AH305" s="97"/>
      <c r="AI305" s="97"/>
      <c r="AJ305" s="97"/>
      <c r="AK305" s="97">
        <v>0</v>
      </c>
      <c r="AM305" s="97"/>
      <c r="AN305" s="97"/>
      <c r="AO305" s="97"/>
      <c r="AP305" s="97"/>
      <c r="AQ305" s="97"/>
      <c r="AR305" s="97"/>
      <c r="AS305" s="97"/>
      <c r="AT305" s="97"/>
      <c r="AU305" s="97"/>
      <c r="AY305" s="97"/>
      <c r="AZ305" s="97"/>
    </row>
    <row r="306" s="11" customFormat="1" spans="1:52">
      <c r="A306" s="11">
        <v>1147</v>
      </c>
      <c r="B306" s="103" t="s">
        <v>831</v>
      </c>
      <c r="C306" s="50" t="s">
        <v>832</v>
      </c>
      <c r="D306" s="56">
        <v>1</v>
      </c>
      <c r="E306" s="56"/>
      <c r="F306" s="56">
        <v>1.1</v>
      </c>
      <c r="G306" s="56">
        <v>1.9</v>
      </c>
      <c r="H306" s="56">
        <v>2.2</v>
      </c>
      <c r="I306" s="56">
        <v>0.35</v>
      </c>
      <c r="J306" s="56" t="s">
        <v>115</v>
      </c>
      <c r="K306" s="56"/>
      <c r="L306" s="56">
        <f>5/30</f>
        <v>0.166666666666667</v>
      </c>
      <c r="M306" s="11">
        <f t="shared" si="22"/>
        <v>0.533333333333333</v>
      </c>
      <c r="P306" s="56">
        <f>5/30</f>
        <v>0.166666666666667</v>
      </c>
      <c r="Q306" s="11">
        <f>16/30</f>
        <v>0.533333333333333</v>
      </c>
      <c r="T306" s="11">
        <v>2.4</v>
      </c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  <c r="AE306" s="97"/>
      <c r="AF306" s="11">
        <v>801</v>
      </c>
      <c r="AG306" s="11" t="s">
        <v>116</v>
      </c>
      <c r="AH306" s="97"/>
      <c r="AI306" s="97"/>
      <c r="AJ306" s="97"/>
      <c r="AK306" s="97">
        <v>0</v>
      </c>
      <c r="AM306" s="97"/>
      <c r="AN306" s="97"/>
      <c r="AO306" s="97"/>
      <c r="AP306" s="97"/>
      <c r="AQ306" s="97"/>
      <c r="AR306" s="97"/>
      <c r="AS306" s="97"/>
      <c r="AT306" s="97"/>
      <c r="AU306" s="97"/>
      <c r="AY306" s="97"/>
      <c r="AZ306" s="97"/>
    </row>
    <row r="307" s="11" customFormat="1" spans="1:52">
      <c r="A307" s="11">
        <v>1148</v>
      </c>
      <c r="B307" s="103" t="s">
        <v>833</v>
      </c>
      <c r="C307" s="50" t="s">
        <v>834</v>
      </c>
      <c r="D307" s="56">
        <v>1</v>
      </c>
      <c r="E307" s="56"/>
      <c r="F307" s="56">
        <v>1.1</v>
      </c>
      <c r="G307" s="56">
        <v>1.9</v>
      </c>
      <c r="H307" s="56">
        <v>2.35</v>
      </c>
      <c r="I307" s="56">
        <v>0.4</v>
      </c>
      <c r="J307" s="56" t="s">
        <v>115</v>
      </c>
      <c r="K307" s="56"/>
      <c r="L307" s="56">
        <f t="shared" ref="L307:L314" si="25">3/30</f>
        <v>0.1</v>
      </c>
      <c r="M307" s="11">
        <f t="shared" si="22"/>
        <v>0.533333333333333</v>
      </c>
      <c r="P307" s="56">
        <f t="shared" si="23"/>
        <v>0.133333333333333</v>
      </c>
      <c r="Q307" s="11">
        <f>13/30</f>
        <v>0.433333333333333</v>
      </c>
      <c r="T307" s="11">
        <v>2.4</v>
      </c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11">
        <v>801</v>
      </c>
      <c r="AG307" s="11" t="s">
        <v>116</v>
      </c>
      <c r="AH307" s="97"/>
      <c r="AI307" s="97"/>
      <c r="AJ307" s="97"/>
      <c r="AK307" s="97">
        <v>0</v>
      </c>
      <c r="AM307" s="97"/>
      <c r="AN307" s="97"/>
      <c r="AO307" s="97"/>
      <c r="AP307" s="97"/>
      <c r="AQ307" s="97"/>
      <c r="AR307" s="97"/>
      <c r="AS307" s="97"/>
      <c r="AT307" s="97"/>
      <c r="AU307" s="97"/>
      <c r="AY307" s="97"/>
      <c r="AZ307" s="97"/>
    </row>
    <row r="308" s="11" customFormat="1" spans="1:52">
      <c r="A308" s="11">
        <v>1149</v>
      </c>
      <c r="B308" s="103" t="s">
        <v>835</v>
      </c>
      <c r="C308" s="50" t="s">
        <v>836</v>
      </c>
      <c r="D308" s="56">
        <v>1</v>
      </c>
      <c r="E308" s="56"/>
      <c r="F308" s="56">
        <v>1</v>
      </c>
      <c r="G308" s="56">
        <v>1.7</v>
      </c>
      <c r="H308" s="56">
        <v>1.97</v>
      </c>
      <c r="I308" s="56">
        <v>0.35</v>
      </c>
      <c r="J308" s="56" t="s">
        <v>115</v>
      </c>
      <c r="K308" s="56"/>
      <c r="L308" s="56">
        <f t="shared" si="24"/>
        <v>0.133333333333333</v>
      </c>
      <c r="M308" s="11">
        <f>18/30</f>
        <v>0.6</v>
      </c>
      <c r="P308" s="56">
        <f>5/30</f>
        <v>0.166666666666667</v>
      </c>
      <c r="Q308" s="11">
        <f t="shared" ref="Q308:Q310" si="26">17/30</f>
        <v>0.566666666666667</v>
      </c>
      <c r="T308" s="11">
        <v>2.4</v>
      </c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11">
        <v>801</v>
      </c>
      <c r="AG308" s="11" t="s">
        <v>116</v>
      </c>
      <c r="AH308" s="97"/>
      <c r="AI308" s="97"/>
      <c r="AJ308" s="97"/>
      <c r="AK308" s="97">
        <v>0</v>
      </c>
      <c r="AM308" s="97"/>
      <c r="AN308" s="97"/>
      <c r="AO308" s="97"/>
      <c r="AP308" s="97"/>
      <c r="AQ308" s="97"/>
      <c r="AR308" s="97"/>
      <c r="AS308" s="97"/>
      <c r="AT308" s="97"/>
      <c r="AU308" s="97"/>
      <c r="AY308" s="97"/>
      <c r="AZ308" s="97"/>
    </row>
    <row r="309" s="11" customFormat="1" spans="1:52">
      <c r="A309" s="11">
        <v>1150</v>
      </c>
      <c r="B309" s="103" t="s">
        <v>837</v>
      </c>
      <c r="C309" s="50" t="s">
        <v>838</v>
      </c>
      <c r="D309" s="56">
        <v>1</v>
      </c>
      <c r="E309" s="56"/>
      <c r="F309" s="56">
        <v>1</v>
      </c>
      <c r="G309" s="56">
        <v>1.64</v>
      </c>
      <c r="H309" s="56">
        <v>2</v>
      </c>
      <c r="I309" s="56">
        <v>0.35</v>
      </c>
      <c r="J309" s="56" t="s">
        <v>115</v>
      </c>
      <c r="K309" s="56"/>
      <c r="L309" s="56">
        <f t="shared" si="25"/>
        <v>0.1</v>
      </c>
      <c r="M309" s="11">
        <f>18/30</f>
        <v>0.6</v>
      </c>
      <c r="P309" s="56">
        <f t="shared" ref="P309:P312" si="27">3/30</f>
        <v>0.1</v>
      </c>
      <c r="Q309" s="11">
        <f t="shared" si="26"/>
        <v>0.566666666666667</v>
      </c>
      <c r="T309" s="11">
        <v>2.4</v>
      </c>
      <c r="U309" s="97"/>
      <c r="V309" s="97"/>
      <c r="W309" s="97"/>
      <c r="X309" s="97"/>
      <c r="Y309" s="97"/>
      <c r="Z309" s="97"/>
      <c r="AA309" s="97"/>
      <c r="AB309" s="97"/>
      <c r="AC309" s="97"/>
      <c r="AD309" s="97"/>
      <c r="AE309" s="97"/>
      <c r="AF309" s="11">
        <v>801</v>
      </c>
      <c r="AG309" s="11" t="s">
        <v>116</v>
      </c>
      <c r="AH309" s="97"/>
      <c r="AI309" s="97"/>
      <c r="AJ309" s="97"/>
      <c r="AK309" s="97">
        <v>0</v>
      </c>
      <c r="AM309" s="97"/>
      <c r="AN309" s="97"/>
      <c r="AO309" s="97"/>
      <c r="AP309" s="97"/>
      <c r="AQ309" s="97"/>
      <c r="AR309" s="97"/>
      <c r="AS309" s="97"/>
      <c r="AT309" s="97"/>
      <c r="AU309" s="97"/>
      <c r="AY309" s="97"/>
      <c r="AZ309" s="97"/>
    </row>
    <row r="310" s="11" customFormat="1" spans="1:52">
      <c r="A310" s="11">
        <v>1151</v>
      </c>
      <c r="B310" s="103" t="s">
        <v>839</v>
      </c>
      <c r="C310" s="50" t="s">
        <v>840</v>
      </c>
      <c r="D310" s="56">
        <v>1</v>
      </c>
      <c r="E310" s="56"/>
      <c r="F310" s="56">
        <v>1</v>
      </c>
      <c r="G310" s="56">
        <v>1.64</v>
      </c>
      <c r="H310" s="56">
        <v>2</v>
      </c>
      <c r="I310" s="56">
        <v>0.35</v>
      </c>
      <c r="J310" s="56" t="s">
        <v>115</v>
      </c>
      <c r="K310" s="56"/>
      <c r="L310" s="56">
        <f t="shared" si="24"/>
        <v>0.133333333333333</v>
      </c>
      <c r="M310" s="11">
        <f>17/30</f>
        <v>0.566666666666667</v>
      </c>
      <c r="P310" s="56">
        <f t="shared" si="27"/>
        <v>0.1</v>
      </c>
      <c r="Q310" s="11">
        <f t="shared" si="26"/>
        <v>0.566666666666667</v>
      </c>
      <c r="T310" s="11">
        <v>2.4</v>
      </c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  <c r="AF310" s="11">
        <v>801</v>
      </c>
      <c r="AG310" s="11" t="s">
        <v>116</v>
      </c>
      <c r="AH310" s="97"/>
      <c r="AI310" s="97"/>
      <c r="AJ310" s="97"/>
      <c r="AK310" s="97">
        <v>0</v>
      </c>
      <c r="AM310" s="97"/>
      <c r="AN310" s="97"/>
      <c r="AO310" s="97"/>
      <c r="AP310" s="97"/>
      <c r="AQ310" s="97"/>
      <c r="AR310" s="97"/>
      <c r="AS310" s="97"/>
      <c r="AT310" s="97"/>
      <c r="AU310" s="97"/>
      <c r="AY310" s="97"/>
      <c r="AZ310" s="97"/>
    </row>
    <row r="311" s="11" customFormat="1" spans="1:52">
      <c r="A311" s="11">
        <v>1152</v>
      </c>
      <c r="B311" s="103" t="s">
        <v>841</v>
      </c>
      <c r="C311" s="50" t="s">
        <v>842</v>
      </c>
      <c r="D311" s="56">
        <v>1</v>
      </c>
      <c r="E311" s="56"/>
      <c r="F311" s="56">
        <v>1</v>
      </c>
      <c r="G311" s="56">
        <v>1.83</v>
      </c>
      <c r="H311" s="56">
        <v>2.4</v>
      </c>
      <c r="I311" s="56">
        <v>0.45</v>
      </c>
      <c r="J311" s="56" t="s">
        <v>115</v>
      </c>
      <c r="K311" s="56"/>
      <c r="L311" s="56">
        <f t="shared" si="24"/>
        <v>0.133333333333333</v>
      </c>
      <c r="M311" s="11">
        <f>14/30</f>
        <v>0.466666666666667</v>
      </c>
      <c r="P311" s="56">
        <f t="shared" si="27"/>
        <v>0.1</v>
      </c>
      <c r="Q311" s="11">
        <f>13/30</f>
        <v>0.433333333333333</v>
      </c>
      <c r="T311" s="11">
        <v>2.4</v>
      </c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  <c r="AE311" s="97"/>
      <c r="AF311" s="11">
        <v>801</v>
      </c>
      <c r="AG311" s="11" t="s">
        <v>116</v>
      </c>
      <c r="AH311" s="97"/>
      <c r="AI311" s="97"/>
      <c r="AJ311" s="97"/>
      <c r="AK311" s="97">
        <v>0</v>
      </c>
      <c r="AM311" s="97"/>
      <c r="AN311" s="97"/>
      <c r="AO311" s="97"/>
      <c r="AP311" s="97"/>
      <c r="AQ311" s="97"/>
      <c r="AR311" s="97"/>
      <c r="AS311" s="97"/>
      <c r="AT311" s="97"/>
      <c r="AU311" s="97"/>
      <c r="AY311" s="97"/>
      <c r="AZ311" s="97"/>
    </row>
    <row r="312" s="11" customFormat="1" spans="1:52">
      <c r="A312" s="11">
        <v>1153</v>
      </c>
      <c r="B312" s="103" t="s">
        <v>843</v>
      </c>
      <c r="C312" s="50" t="s">
        <v>844</v>
      </c>
      <c r="D312" s="56">
        <v>1</v>
      </c>
      <c r="E312" s="56"/>
      <c r="F312" s="56">
        <v>1</v>
      </c>
      <c r="G312" s="56">
        <v>1.76</v>
      </c>
      <c r="H312" s="56">
        <v>2.3</v>
      </c>
      <c r="I312" s="56">
        <v>0.4</v>
      </c>
      <c r="J312" s="56" t="s">
        <v>115</v>
      </c>
      <c r="K312" s="56"/>
      <c r="L312" s="56">
        <f t="shared" si="25"/>
        <v>0.1</v>
      </c>
      <c r="M312" s="11">
        <f>16/30</f>
        <v>0.533333333333333</v>
      </c>
      <c r="P312" s="56">
        <f t="shared" si="27"/>
        <v>0.1</v>
      </c>
      <c r="Q312" s="11">
        <f t="shared" ref="Q312:Q319" si="28">17/30</f>
        <v>0.566666666666667</v>
      </c>
      <c r="T312" s="11">
        <v>2.4</v>
      </c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  <c r="AE312" s="97"/>
      <c r="AF312" s="11">
        <v>801</v>
      </c>
      <c r="AG312" s="11" t="s">
        <v>116</v>
      </c>
      <c r="AH312" s="97"/>
      <c r="AI312" s="97"/>
      <c r="AJ312" s="97"/>
      <c r="AK312" s="97">
        <v>0</v>
      </c>
      <c r="AM312" s="97"/>
      <c r="AN312" s="97"/>
      <c r="AO312" s="97"/>
      <c r="AP312" s="97"/>
      <c r="AQ312" s="97"/>
      <c r="AR312" s="97"/>
      <c r="AS312" s="97"/>
      <c r="AT312" s="97"/>
      <c r="AU312" s="97"/>
      <c r="AY312" s="97"/>
      <c r="AZ312" s="97"/>
    </row>
    <row r="313" s="11" customFormat="1" spans="1:52">
      <c r="A313" s="11">
        <v>1154</v>
      </c>
      <c r="B313" s="103" t="s">
        <v>845</v>
      </c>
      <c r="C313" s="50" t="s">
        <v>846</v>
      </c>
      <c r="D313" s="56">
        <v>1</v>
      </c>
      <c r="E313" s="56"/>
      <c r="F313" s="56">
        <v>1</v>
      </c>
      <c r="G313" s="56">
        <v>1.7</v>
      </c>
      <c r="H313" s="56">
        <v>2.2</v>
      </c>
      <c r="I313" s="56">
        <v>0.4</v>
      </c>
      <c r="J313" s="56" t="s">
        <v>115</v>
      </c>
      <c r="K313" s="56"/>
      <c r="L313" s="56">
        <f t="shared" si="25"/>
        <v>0.1</v>
      </c>
      <c r="M313" s="11">
        <f>13/30</f>
        <v>0.433333333333333</v>
      </c>
      <c r="P313" s="56">
        <f>4/30</f>
        <v>0.133333333333333</v>
      </c>
      <c r="Q313" s="11">
        <f>14/30</f>
        <v>0.466666666666667</v>
      </c>
      <c r="T313" s="11">
        <v>2.4</v>
      </c>
      <c r="U313" s="97"/>
      <c r="V313" s="97"/>
      <c r="W313" s="97"/>
      <c r="X313" s="97"/>
      <c r="Y313" s="97"/>
      <c r="Z313" s="97"/>
      <c r="AA313" s="97"/>
      <c r="AB313" s="97"/>
      <c r="AC313" s="97"/>
      <c r="AD313" s="97"/>
      <c r="AE313" s="97"/>
      <c r="AF313" s="11">
        <v>801</v>
      </c>
      <c r="AG313" s="11" t="s">
        <v>116</v>
      </c>
      <c r="AH313" s="97"/>
      <c r="AI313" s="97"/>
      <c r="AJ313" s="97"/>
      <c r="AK313" s="97">
        <v>0</v>
      </c>
      <c r="AM313" s="97"/>
      <c r="AN313" s="97"/>
      <c r="AO313" s="97"/>
      <c r="AP313" s="97"/>
      <c r="AQ313" s="97"/>
      <c r="AR313" s="97"/>
      <c r="AS313" s="97"/>
      <c r="AT313" s="97"/>
      <c r="AU313" s="97"/>
      <c r="AY313" s="97"/>
      <c r="AZ313" s="97"/>
    </row>
    <row r="314" s="11" customFormat="1" spans="1:52">
      <c r="A314" s="11">
        <v>1155</v>
      </c>
      <c r="B314" s="103" t="s">
        <v>847</v>
      </c>
      <c r="C314" s="50" t="s">
        <v>848</v>
      </c>
      <c r="D314" s="56">
        <v>1</v>
      </c>
      <c r="E314" s="56"/>
      <c r="F314" s="56">
        <v>1</v>
      </c>
      <c r="G314" s="56">
        <v>1.72</v>
      </c>
      <c r="H314" s="56">
        <v>2.18</v>
      </c>
      <c r="I314" s="56">
        <v>0.35</v>
      </c>
      <c r="J314" s="56" t="s">
        <v>115</v>
      </c>
      <c r="K314" s="56"/>
      <c r="L314" s="56">
        <f t="shared" si="25"/>
        <v>0.1</v>
      </c>
      <c r="M314" s="11">
        <f>13/30</f>
        <v>0.433333333333333</v>
      </c>
      <c r="P314" s="56">
        <f t="shared" ref="P314:P319" si="29">3/30</f>
        <v>0.1</v>
      </c>
      <c r="Q314" s="11">
        <f>13/30</f>
        <v>0.433333333333333</v>
      </c>
      <c r="T314" s="11">
        <v>2.4</v>
      </c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  <c r="AE314" s="97"/>
      <c r="AF314" s="11">
        <v>801</v>
      </c>
      <c r="AG314" s="11" t="s">
        <v>116</v>
      </c>
      <c r="AH314" s="97"/>
      <c r="AI314" s="97"/>
      <c r="AJ314" s="97"/>
      <c r="AK314" s="97">
        <v>0</v>
      </c>
      <c r="AM314" s="97"/>
      <c r="AN314" s="97"/>
      <c r="AO314" s="97"/>
      <c r="AP314" s="97"/>
      <c r="AQ314" s="97"/>
      <c r="AR314" s="97"/>
      <c r="AS314" s="97"/>
      <c r="AT314" s="97"/>
      <c r="AU314" s="97"/>
      <c r="AY314" s="97"/>
      <c r="AZ314" s="97"/>
    </row>
    <row r="315" s="11" customFormat="1" spans="1:52">
      <c r="A315" s="11">
        <v>1156</v>
      </c>
      <c r="B315" s="103" t="s">
        <v>849</v>
      </c>
      <c r="C315" s="50" t="s">
        <v>850</v>
      </c>
      <c r="D315" s="56">
        <v>1</v>
      </c>
      <c r="E315" s="56"/>
      <c r="F315" s="56">
        <v>1.1</v>
      </c>
      <c r="G315" s="56">
        <v>1.7</v>
      </c>
      <c r="H315" s="56">
        <v>2.02</v>
      </c>
      <c r="I315" s="56">
        <v>0.35</v>
      </c>
      <c r="J315" s="56" t="s">
        <v>115</v>
      </c>
      <c r="K315" s="56"/>
      <c r="L315" s="56">
        <f>5/30</f>
        <v>0.166666666666667</v>
      </c>
      <c r="M315" s="11">
        <f t="shared" ref="M315:M319" si="30">17/30</f>
        <v>0.566666666666667</v>
      </c>
      <c r="P315" s="56">
        <f>5/30</f>
        <v>0.166666666666667</v>
      </c>
      <c r="Q315" s="11">
        <f>16/30</f>
        <v>0.533333333333333</v>
      </c>
      <c r="T315" s="11">
        <v>2.4</v>
      </c>
      <c r="U315" s="97"/>
      <c r="V315" s="97"/>
      <c r="W315" s="97"/>
      <c r="X315" s="97"/>
      <c r="Y315" s="97"/>
      <c r="Z315" s="97"/>
      <c r="AA315" s="97"/>
      <c r="AB315" s="97"/>
      <c r="AC315" s="97"/>
      <c r="AD315" s="97"/>
      <c r="AE315" s="97"/>
      <c r="AF315" s="11">
        <v>801</v>
      </c>
      <c r="AG315" s="11" t="s">
        <v>116</v>
      </c>
      <c r="AH315" s="97"/>
      <c r="AI315" s="97"/>
      <c r="AJ315" s="97"/>
      <c r="AK315" s="97">
        <v>0</v>
      </c>
      <c r="AM315" s="97"/>
      <c r="AN315" s="97"/>
      <c r="AO315" s="97"/>
      <c r="AP315" s="97"/>
      <c r="AQ315" s="97"/>
      <c r="AR315" s="97"/>
      <c r="AS315" s="97"/>
      <c r="AT315" s="97"/>
      <c r="AU315" s="97"/>
      <c r="AY315" s="97"/>
      <c r="AZ315" s="97"/>
    </row>
    <row r="316" s="11" customFormat="1" spans="1:52">
      <c r="A316" s="11">
        <v>1157</v>
      </c>
      <c r="B316" s="70" t="s">
        <v>851</v>
      </c>
      <c r="C316" s="50" t="s">
        <v>838</v>
      </c>
      <c r="D316" s="56">
        <v>1</v>
      </c>
      <c r="E316" s="56"/>
      <c r="F316" s="56">
        <v>1</v>
      </c>
      <c r="G316" s="56">
        <v>1.64</v>
      </c>
      <c r="H316" s="56">
        <v>2</v>
      </c>
      <c r="I316" s="56">
        <v>0.35</v>
      </c>
      <c r="J316" s="56" t="s">
        <v>115</v>
      </c>
      <c r="K316" s="56"/>
      <c r="L316" s="56">
        <f>3/30</f>
        <v>0.1</v>
      </c>
      <c r="M316" s="11">
        <f>18/30</f>
        <v>0.6</v>
      </c>
      <c r="P316" s="56">
        <f t="shared" si="29"/>
        <v>0.1</v>
      </c>
      <c r="Q316" s="11">
        <f t="shared" si="28"/>
        <v>0.566666666666667</v>
      </c>
      <c r="T316" s="11">
        <v>2.4</v>
      </c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  <c r="AE316" s="97"/>
      <c r="AF316" s="11">
        <v>801</v>
      </c>
      <c r="AG316" s="11" t="s">
        <v>116</v>
      </c>
      <c r="AH316" s="97"/>
      <c r="AI316" s="97"/>
      <c r="AJ316" s="97"/>
      <c r="AK316" s="97">
        <v>0</v>
      </c>
      <c r="AM316" s="97"/>
      <c r="AN316" s="97"/>
      <c r="AO316" s="97"/>
      <c r="AP316" s="97"/>
      <c r="AQ316" s="97"/>
      <c r="AR316" s="97"/>
      <c r="AS316" s="97"/>
      <c r="AT316" s="97"/>
      <c r="AU316" s="97"/>
      <c r="AY316" s="97"/>
      <c r="AZ316" s="97"/>
    </row>
    <row r="317" s="11" customFormat="1" spans="1:52">
      <c r="A317" s="11">
        <v>1158</v>
      </c>
      <c r="B317" s="70" t="s">
        <v>852</v>
      </c>
      <c r="C317" s="50" t="s">
        <v>840</v>
      </c>
      <c r="D317" s="56">
        <v>1</v>
      </c>
      <c r="E317" s="56"/>
      <c r="F317" s="56">
        <v>1</v>
      </c>
      <c r="G317" s="56">
        <v>1.64</v>
      </c>
      <c r="H317" s="56">
        <v>2</v>
      </c>
      <c r="I317" s="56">
        <v>0.35</v>
      </c>
      <c r="J317" s="56" t="s">
        <v>115</v>
      </c>
      <c r="K317" s="56"/>
      <c r="L317" s="56">
        <f>4/30</f>
        <v>0.133333333333333</v>
      </c>
      <c r="M317" s="11">
        <f t="shared" si="30"/>
        <v>0.566666666666667</v>
      </c>
      <c r="P317" s="56">
        <f t="shared" si="29"/>
        <v>0.1</v>
      </c>
      <c r="Q317" s="11">
        <f t="shared" si="28"/>
        <v>0.566666666666667</v>
      </c>
      <c r="T317" s="11">
        <v>2.4</v>
      </c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  <c r="AE317" s="97"/>
      <c r="AF317" s="11">
        <v>801</v>
      </c>
      <c r="AG317" s="11" t="s">
        <v>116</v>
      </c>
      <c r="AH317" s="97"/>
      <c r="AI317" s="97"/>
      <c r="AJ317" s="97"/>
      <c r="AK317" s="97">
        <v>0</v>
      </c>
      <c r="AM317" s="97"/>
      <c r="AN317" s="97"/>
      <c r="AO317" s="97"/>
      <c r="AP317" s="97"/>
      <c r="AQ317" s="97"/>
      <c r="AR317" s="97"/>
      <c r="AS317" s="97"/>
      <c r="AT317" s="97"/>
      <c r="AU317" s="97"/>
      <c r="AY317" s="97"/>
      <c r="AZ317" s="97"/>
    </row>
    <row r="318" s="11" customFormat="1" spans="1:52">
      <c r="A318" s="11">
        <v>1159</v>
      </c>
      <c r="B318" s="70" t="s">
        <v>853</v>
      </c>
      <c r="C318" s="50" t="s">
        <v>838</v>
      </c>
      <c r="D318" s="56">
        <v>1</v>
      </c>
      <c r="E318" s="56"/>
      <c r="F318" s="56">
        <v>1</v>
      </c>
      <c r="G318" s="56">
        <v>1.64</v>
      </c>
      <c r="H318" s="56">
        <v>2</v>
      </c>
      <c r="I318" s="56">
        <v>0.35</v>
      </c>
      <c r="J318" s="56" t="s">
        <v>115</v>
      </c>
      <c r="K318" s="56"/>
      <c r="L318" s="56">
        <f>3/30</f>
        <v>0.1</v>
      </c>
      <c r="M318" s="11">
        <f>18/30</f>
        <v>0.6</v>
      </c>
      <c r="P318" s="56">
        <f t="shared" si="29"/>
        <v>0.1</v>
      </c>
      <c r="Q318" s="11">
        <f t="shared" si="28"/>
        <v>0.566666666666667</v>
      </c>
      <c r="T318" s="11">
        <v>2.4</v>
      </c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11">
        <v>801</v>
      </c>
      <c r="AG318" s="11" t="s">
        <v>116</v>
      </c>
      <c r="AH318" s="97"/>
      <c r="AI318" s="97"/>
      <c r="AJ318" s="97"/>
      <c r="AK318" s="97">
        <v>0</v>
      </c>
      <c r="AM318" s="97"/>
      <c r="AN318" s="97"/>
      <c r="AO318" s="97"/>
      <c r="AP318" s="97"/>
      <c r="AQ318" s="97"/>
      <c r="AR318" s="97"/>
      <c r="AS318" s="97"/>
      <c r="AT318" s="97"/>
      <c r="AU318" s="97"/>
      <c r="AY318" s="97"/>
      <c r="AZ318" s="97"/>
    </row>
    <row r="319" s="11" customFormat="1" spans="1:52">
      <c r="A319" s="11">
        <v>1160</v>
      </c>
      <c r="B319" s="70" t="s">
        <v>854</v>
      </c>
      <c r="C319" s="50" t="s">
        <v>840</v>
      </c>
      <c r="D319" s="56">
        <v>1</v>
      </c>
      <c r="E319" s="56"/>
      <c r="F319" s="56">
        <v>1</v>
      </c>
      <c r="G319" s="56">
        <v>1.64</v>
      </c>
      <c r="H319" s="56">
        <v>2</v>
      </c>
      <c r="I319" s="56">
        <v>0.35</v>
      </c>
      <c r="J319" s="56" t="s">
        <v>115</v>
      </c>
      <c r="K319" s="56"/>
      <c r="L319" s="56">
        <f>4/30</f>
        <v>0.133333333333333</v>
      </c>
      <c r="M319" s="11">
        <f t="shared" si="30"/>
        <v>0.566666666666667</v>
      </c>
      <c r="P319" s="56">
        <f t="shared" si="29"/>
        <v>0.1</v>
      </c>
      <c r="Q319" s="11">
        <f t="shared" si="28"/>
        <v>0.566666666666667</v>
      </c>
      <c r="T319" s="11">
        <v>2.4</v>
      </c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  <c r="AE319" s="97"/>
      <c r="AF319" s="11">
        <v>801</v>
      </c>
      <c r="AG319" s="11" t="s">
        <v>116</v>
      </c>
      <c r="AH319" s="97"/>
      <c r="AI319" s="97"/>
      <c r="AJ319" s="97"/>
      <c r="AK319" s="97">
        <v>0</v>
      </c>
      <c r="AM319" s="97"/>
      <c r="AN319" s="97"/>
      <c r="AO319" s="97"/>
      <c r="AP319" s="97"/>
      <c r="AQ319" s="97"/>
      <c r="AR319" s="97"/>
      <c r="AS319" s="97"/>
      <c r="AT319" s="97"/>
      <c r="AU319" s="97"/>
      <c r="AY319" s="97"/>
      <c r="AZ319" s="97"/>
    </row>
    <row r="320" s="11" customFormat="1" spans="1:52">
      <c r="A320" s="105">
        <v>1161</v>
      </c>
      <c r="B320" s="106" t="s">
        <v>855</v>
      </c>
      <c r="C320" s="50" t="s">
        <v>856</v>
      </c>
      <c r="D320" s="56">
        <v>1</v>
      </c>
      <c r="E320" s="56"/>
      <c r="F320" s="56">
        <v>1</v>
      </c>
      <c r="G320" s="56">
        <v>2</v>
      </c>
      <c r="H320" s="56">
        <v>2.5</v>
      </c>
      <c r="I320" s="56">
        <v>1</v>
      </c>
      <c r="J320" s="56" t="s">
        <v>115</v>
      </c>
      <c r="K320" s="56"/>
      <c r="L320" s="56">
        <v>0.1</v>
      </c>
      <c r="M320" s="56">
        <v>0.533333333333333</v>
      </c>
      <c r="P320" s="56">
        <v>0.133333333333333</v>
      </c>
      <c r="Q320" s="56">
        <v>0.6</v>
      </c>
      <c r="T320" s="11">
        <v>2.4</v>
      </c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  <c r="AE320" s="97"/>
      <c r="AH320" s="97"/>
      <c r="AI320" s="97"/>
      <c r="AJ320" s="97"/>
      <c r="AK320" s="97">
        <v>0</v>
      </c>
      <c r="AM320" s="97"/>
      <c r="AN320" s="97"/>
      <c r="AO320" s="97"/>
      <c r="AP320" s="97"/>
      <c r="AQ320" s="97"/>
      <c r="AR320" s="97"/>
      <c r="AS320" s="97"/>
      <c r="AT320" s="97"/>
      <c r="AU320" s="97"/>
      <c r="AY320" s="97"/>
      <c r="AZ320" s="97"/>
    </row>
    <row r="321" s="11" customFormat="1" spans="1:52">
      <c r="A321" s="105">
        <v>1162</v>
      </c>
      <c r="B321" s="106" t="s">
        <v>857</v>
      </c>
      <c r="C321" s="50" t="s">
        <v>858</v>
      </c>
      <c r="D321" s="56">
        <v>1</v>
      </c>
      <c r="E321" s="56"/>
      <c r="F321" s="56">
        <v>1</v>
      </c>
      <c r="G321" s="56">
        <v>1.85</v>
      </c>
      <c r="H321" s="56">
        <v>2.35</v>
      </c>
      <c r="I321" s="56">
        <v>0.48</v>
      </c>
      <c r="J321" s="56" t="s">
        <v>115</v>
      </c>
      <c r="K321" s="56"/>
      <c r="L321" s="56">
        <v>0.0666666666666667</v>
      </c>
      <c r="M321" s="56">
        <v>0.4</v>
      </c>
      <c r="P321" s="56">
        <v>0.0666666666666667</v>
      </c>
      <c r="Q321" s="56">
        <v>0.433333333333333</v>
      </c>
      <c r="T321" s="11">
        <v>2.4</v>
      </c>
      <c r="U321" s="97"/>
      <c r="V321" s="97"/>
      <c r="W321" s="97"/>
      <c r="X321" s="97"/>
      <c r="Y321" s="97"/>
      <c r="Z321" s="97"/>
      <c r="AA321" s="97"/>
      <c r="AB321" s="97"/>
      <c r="AC321" s="97"/>
      <c r="AD321" s="97"/>
      <c r="AE321" s="97"/>
      <c r="AH321" s="97"/>
      <c r="AI321" s="97"/>
      <c r="AJ321" s="97"/>
      <c r="AK321" s="97">
        <v>0</v>
      </c>
      <c r="AM321" s="97"/>
      <c r="AN321" s="97"/>
      <c r="AO321" s="97"/>
      <c r="AP321" s="97"/>
      <c r="AQ321" s="97"/>
      <c r="AR321" s="97"/>
      <c r="AS321" s="97"/>
      <c r="AT321" s="97"/>
      <c r="AU321" s="97"/>
      <c r="AY321" s="97"/>
      <c r="AZ321" s="97"/>
    </row>
    <row r="322" s="11" customFormat="1" spans="1:52">
      <c r="A322" s="105">
        <v>1163</v>
      </c>
      <c r="B322" s="106" t="s">
        <v>859</v>
      </c>
      <c r="C322" s="50" t="s">
        <v>860</v>
      </c>
      <c r="D322" s="56">
        <v>1</v>
      </c>
      <c r="E322" s="56"/>
      <c r="F322" s="56">
        <v>1.3</v>
      </c>
      <c r="G322" s="56">
        <v>1.7</v>
      </c>
      <c r="H322" s="56">
        <v>2.1</v>
      </c>
      <c r="I322" s="56">
        <v>0.35</v>
      </c>
      <c r="J322" s="56" t="s">
        <v>115</v>
      </c>
      <c r="K322" s="56"/>
      <c r="L322" s="56">
        <v>0.1</v>
      </c>
      <c r="M322" s="56">
        <v>0.6</v>
      </c>
      <c r="P322" s="56">
        <v>0.0666666666666667</v>
      </c>
      <c r="Q322" s="56">
        <v>0.4</v>
      </c>
      <c r="T322" s="11">
        <v>2.4</v>
      </c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  <c r="AE322" s="97"/>
      <c r="AH322" s="97"/>
      <c r="AI322" s="97"/>
      <c r="AJ322" s="97"/>
      <c r="AK322" s="97">
        <v>0</v>
      </c>
      <c r="AM322" s="97"/>
      <c r="AN322" s="97"/>
      <c r="AO322" s="97"/>
      <c r="AP322" s="97"/>
      <c r="AQ322" s="97"/>
      <c r="AR322" s="97"/>
      <c r="AS322" s="97"/>
      <c r="AT322" s="97"/>
      <c r="AU322" s="97"/>
      <c r="AY322" s="97"/>
      <c r="AZ322" s="97"/>
    </row>
    <row r="323" s="11" customFormat="1" spans="1:52">
      <c r="A323" s="105">
        <v>1164</v>
      </c>
      <c r="B323" s="106" t="s">
        <v>861</v>
      </c>
      <c r="C323" s="50" t="s">
        <v>862</v>
      </c>
      <c r="D323" s="56">
        <v>1</v>
      </c>
      <c r="E323" s="56"/>
      <c r="F323" s="56">
        <v>1</v>
      </c>
      <c r="G323" s="56">
        <v>1</v>
      </c>
      <c r="H323" s="56">
        <v>1.3</v>
      </c>
      <c r="I323" s="56">
        <v>0.3</v>
      </c>
      <c r="J323" s="56" t="s">
        <v>115</v>
      </c>
      <c r="K323" s="56"/>
      <c r="L323" s="56">
        <v>0.1</v>
      </c>
      <c r="M323" s="56">
        <v>0.6</v>
      </c>
      <c r="P323" s="56">
        <v>0.1</v>
      </c>
      <c r="Q323" s="56">
        <v>0.566666666666667</v>
      </c>
      <c r="T323" s="11">
        <v>2.4</v>
      </c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H323" s="97"/>
      <c r="AI323" s="97"/>
      <c r="AJ323" s="97"/>
      <c r="AK323" s="97">
        <v>0</v>
      </c>
      <c r="AM323" s="97"/>
      <c r="AN323" s="97"/>
      <c r="AO323" s="97"/>
      <c r="AP323" s="97"/>
      <c r="AQ323" s="97"/>
      <c r="AR323" s="97"/>
      <c r="AS323" s="97"/>
      <c r="AT323" s="97"/>
      <c r="AU323" s="97"/>
      <c r="AY323" s="97"/>
      <c r="AZ323" s="97"/>
    </row>
    <row r="324" s="11" customFormat="1" spans="1:52">
      <c r="A324" s="105">
        <v>1165</v>
      </c>
      <c r="B324" s="106" t="s">
        <v>863</v>
      </c>
      <c r="C324" s="50" t="s">
        <v>864</v>
      </c>
      <c r="D324" s="56">
        <v>1</v>
      </c>
      <c r="E324" s="56"/>
      <c r="F324" s="56">
        <v>1</v>
      </c>
      <c r="G324" s="56">
        <v>1.8</v>
      </c>
      <c r="H324" s="56">
        <v>2.5</v>
      </c>
      <c r="I324" s="56">
        <v>0.46</v>
      </c>
      <c r="J324" s="56" t="s">
        <v>865</v>
      </c>
      <c r="K324" s="56"/>
      <c r="L324" s="56">
        <v>0.1</v>
      </c>
      <c r="M324" s="56">
        <v>0.566666666666667</v>
      </c>
      <c r="P324" s="56">
        <v>0.133333333333333</v>
      </c>
      <c r="Q324" s="56">
        <v>0.466666666666667</v>
      </c>
      <c r="T324" s="11">
        <v>2.4</v>
      </c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  <c r="AE324" s="97"/>
      <c r="AH324" s="97"/>
      <c r="AI324" s="97"/>
      <c r="AJ324" s="97"/>
      <c r="AK324" s="97">
        <v>0</v>
      </c>
      <c r="AM324" s="97"/>
      <c r="AN324" s="97"/>
      <c r="AO324" s="97"/>
      <c r="AP324" s="97"/>
      <c r="AQ324" s="97"/>
      <c r="AR324" s="97"/>
      <c r="AS324" s="97"/>
      <c r="AT324" s="97"/>
      <c r="AU324" s="97"/>
      <c r="AY324" s="97"/>
      <c r="AZ324" s="97"/>
    </row>
    <row r="325" s="11" customFormat="1" spans="1:52">
      <c r="A325" s="105">
        <v>1166</v>
      </c>
      <c r="B325" s="106" t="s">
        <v>866</v>
      </c>
      <c r="C325" s="50" t="s">
        <v>867</v>
      </c>
      <c r="D325" s="56">
        <v>1</v>
      </c>
      <c r="E325" s="56"/>
      <c r="F325" s="56">
        <v>1.03</v>
      </c>
      <c r="G325" s="56">
        <v>1.8</v>
      </c>
      <c r="H325" s="56">
        <v>2.35</v>
      </c>
      <c r="I325" s="56">
        <v>0.35</v>
      </c>
      <c r="J325" s="56" t="s">
        <v>115</v>
      </c>
      <c r="K325" s="56"/>
      <c r="L325" s="56">
        <v>0.0666666666666667</v>
      </c>
      <c r="M325" s="56">
        <v>0.566666666666667</v>
      </c>
      <c r="P325" s="56">
        <v>0.1</v>
      </c>
      <c r="Q325" s="56">
        <v>0.533333333333333</v>
      </c>
      <c r="T325" s="11">
        <v>2.4</v>
      </c>
      <c r="U325" s="97"/>
      <c r="V325" s="97"/>
      <c r="W325" s="97"/>
      <c r="X325" s="97"/>
      <c r="Y325" s="97"/>
      <c r="Z325" s="97"/>
      <c r="AA325" s="97"/>
      <c r="AB325" s="97"/>
      <c r="AC325" s="97"/>
      <c r="AD325" s="97"/>
      <c r="AE325" s="97"/>
      <c r="AH325" s="97"/>
      <c r="AI325" s="97"/>
      <c r="AJ325" s="97"/>
      <c r="AK325" s="97">
        <v>0</v>
      </c>
      <c r="AM325" s="97"/>
      <c r="AN325" s="97"/>
      <c r="AO325" s="97"/>
      <c r="AP325" s="97"/>
      <c r="AQ325" s="97"/>
      <c r="AR325" s="97"/>
      <c r="AS325" s="97"/>
      <c r="AT325" s="97"/>
      <c r="AU325" s="97"/>
      <c r="AY325" s="97"/>
      <c r="AZ325" s="97"/>
    </row>
    <row r="326" s="11" customFormat="1" spans="1:52">
      <c r="A326" s="105">
        <v>1167</v>
      </c>
      <c r="B326" s="106" t="s">
        <v>868</v>
      </c>
      <c r="C326" s="50" t="s">
        <v>869</v>
      </c>
      <c r="D326" s="56">
        <v>1</v>
      </c>
      <c r="E326" s="56"/>
      <c r="F326" s="56">
        <v>1</v>
      </c>
      <c r="G326" s="56">
        <v>2.5</v>
      </c>
      <c r="H326" s="56">
        <v>2.8</v>
      </c>
      <c r="I326" s="56">
        <v>0.5</v>
      </c>
      <c r="J326" s="56" t="s">
        <v>865</v>
      </c>
      <c r="K326" s="56"/>
      <c r="L326" s="56">
        <f>1/30</f>
        <v>0.0333333333333333</v>
      </c>
      <c r="M326" s="56">
        <f>17/30</f>
        <v>0.566666666666667</v>
      </c>
      <c r="P326" s="56">
        <v>0.1</v>
      </c>
      <c r="Q326" s="56">
        <v>0.5</v>
      </c>
      <c r="T326" s="11">
        <v>2.4</v>
      </c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  <c r="AH326" s="97"/>
      <c r="AI326" s="97"/>
      <c r="AJ326" s="97"/>
      <c r="AK326" s="97">
        <v>0</v>
      </c>
      <c r="AM326" s="97"/>
      <c r="AN326" s="97"/>
      <c r="AO326" s="97"/>
      <c r="AP326" s="97"/>
      <c r="AQ326" s="97"/>
      <c r="AR326" s="97"/>
      <c r="AS326" s="97"/>
      <c r="AT326" s="97"/>
      <c r="AU326" s="97"/>
      <c r="AY326" s="97"/>
      <c r="AZ326" s="97"/>
    </row>
    <row r="327" s="11" customFormat="1" spans="1:52">
      <c r="A327" s="105">
        <v>1168</v>
      </c>
      <c r="B327" s="106" t="s">
        <v>870</v>
      </c>
      <c r="C327" s="50" t="s">
        <v>871</v>
      </c>
      <c r="D327" s="56">
        <v>1</v>
      </c>
      <c r="E327" s="56"/>
      <c r="F327" s="56">
        <v>2</v>
      </c>
      <c r="G327" s="56">
        <v>0.9</v>
      </c>
      <c r="H327" s="56">
        <v>0.7</v>
      </c>
      <c r="I327" s="56">
        <v>0.4</v>
      </c>
      <c r="J327" s="56" t="s">
        <v>865</v>
      </c>
      <c r="K327" s="56"/>
      <c r="L327" s="56">
        <f>5/30</f>
        <v>0.166666666666667</v>
      </c>
      <c r="M327" s="56">
        <f>18/30</f>
        <v>0.6</v>
      </c>
      <c r="P327" s="56">
        <f>5/30</f>
        <v>0.166666666666667</v>
      </c>
      <c r="Q327" s="56">
        <f>16/30</f>
        <v>0.533333333333333</v>
      </c>
      <c r="T327" s="11">
        <v>2.4</v>
      </c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  <c r="AE327" s="97"/>
      <c r="AH327" s="97"/>
      <c r="AI327" s="97"/>
      <c r="AJ327" s="97"/>
      <c r="AK327" s="97">
        <v>0</v>
      </c>
      <c r="AM327" s="97"/>
      <c r="AN327" s="97"/>
      <c r="AO327" s="97"/>
      <c r="AP327" s="97"/>
      <c r="AQ327" s="97"/>
      <c r="AR327" s="97"/>
      <c r="AS327" s="97"/>
      <c r="AT327" s="97"/>
      <c r="AU327" s="97"/>
      <c r="AY327" s="97"/>
      <c r="AZ327" s="97"/>
    </row>
    <row r="328" s="11" customFormat="1" spans="1:52">
      <c r="A328" s="105">
        <v>1169</v>
      </c>
      <c r="B328" s="106" t="s">
        <v>872</v>
      </c>
      <c r="C328" s="50" t="s">
        <v>873</v>
      </c>
      <c r="D328" s="56">
        <v>1</v>
      </c>
      <c r="E328" s="56"/>
      <c r="F328" s="56">
        <v>1</v>
      </c>
      <c r="G328" s="56">
        <v>2.4</v>
      </c>
      <c r="H328" s="56">
        <v>2.85</v>
      </c>
      <c r="I328" s="56">
        <v>0.45</v>
      </c>
      <c r="J328" s="56" t="s">
        <v>115</v>
      </c>
      <c r="K328" s="56"/>
      <c r="L328" s="56">
        <f>2/30</f>
        <v>0.0666666666666667</v>
      </c>
      <c r="M328" s="56">
        <f>23/30</f>
        <v>0.766666666666667</v>
      </c>
      <c r="P328" s="56">
        <f>4/30</f>
        <v>0.133333333333333</v>
      </c>
      <c r="Q328" s="56">
        <f>16/30</f>
        <v>0.533333333333333</v>
      </c>
      <c r="T328" s="11">
        <v>2.4</v>
      </c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  <c r="AE328" s="97"/>
      <c r="AH328" s="97"/>
      <c r="AI328" s="97"/>
      <c r="AJ328" s="97"/>
      <c r="AK328" s="97">
        <v>0</v>
      </c>
      <c r="AM328" s="97"/>
      <c r="AN328" s="97"/>
      <c r="AO328" s="97"/>
      <c r="AP328" s="97"/>
      <c r="AQ328" s="97"/>
      <c r="AR328" s="97"/>
      <c r="AS328" s="97"/>
      <c r="AT328" s="97"/>
      <c r="AU328" s="97"/>
      <c r="AY328" s="97"/>
      <c r="AZ328" s="97"/>
    </row>
    <row r="329" s="11" customFormat="1" spans="1:52">
      <c r="A329" s="105">
        <v>1170</v>
      </c>
      <c r="B329" s="106" t="s">
        <v>874</v>
      </c>
      <c r="C329" s="50" t="s">
        <v>875</v>
      </c>
      <c r="D329" s="56">
        <v>1</v>
      </c>
      <c r="E329" s="56"/>
      <c r="F329" s="56">
        <v>1.1</v>
      </c>
      <c r="G329" s="56">
        <v>1.64</v>
      </c>
      <c r="H329" s="56">
        <v>2</v>
      </c>
      <c r="I329" s="56">
        <v>0.35</v>
      </c>
      <c r="J329" s="56" t="s">
        <v>115</v>
      </c>
      <c r="K329" s="56"/>
      <c r="L329" s="56">
        <f>2/30</f>
        <v>0.0666666666666667</v>
      </c>
      <c r="M329" s="97">
        <f>14/30</f>
        <v>0.466666666666667</v>
      </c>
      <c r="P329" s="56">
        <f>2/30</f>
        <v>0.0666666666666667</v>
      </c>
      <c r="Q329" s="97">
        <f>14/30</f>
        <v>0.466666666666667</v>
      </c>
      <c r="T329" s="11">
        <v>2.4</v>
      </c>
      <c r="U329" s="97"/>
      <c r="V329" s="97"/>
      <c r="W329" s="97"/>
      <c r="X329" s="97"/>
      <c r="Y329" s="97"/>
      <c r="Z329" s="97"/>
      <c r="AA329" s="97"/>
      <c r="AB329" s="97"/>
      <c r="AC329" s="97"/>
      <c r="AD329" s="97"/>
      <c r="AE329" s="97"/>
      <c r="AH329" s="97"/>
      <c r="AI329" s="97"/>
      <c r="AJ329" s="97"/>
      <c r="AK329" s="97">
        <v>0</v>
      </c>
      <c r="AM329" s="97"/>
      <c r="AN329" s="97"/>
      <c r="AO329" s="97"/>
      <c r="AP329" s="97"/>
      <c r="AQ329" s="97"/>
      <c r="AR329" s="97"/>
      <c r="AS329" s="97"/>
      <c r="AT329" s="97"/>
      <c r="AU329" s="97"/>
      <c r="AY329" s="97"/>
      <c r="AZ329" s="97"/>
    </row>
    <row r="330" s="11" customFormat="1" spans="1:52">
      <c r="A330" s="105">
        <v>1171</v>
      </c>
      <c r="B330" s="106" t="s">
        <v>876</v>
      </c>
      <c r="C330" s="50" t="s">
        <v>877</v>
      </c>
      <c r="D330" s="56">
        <v>1</v>
      </c>
      <c r="E330" s="56"/>
      <c r="F330" s="56">
        <v>1</v>
      </c>
      <c r="G330" s="56">
        <v>2.6</v>
      </c>
      <c r="H330" s="56">
        <v>3</v>
      </c>
      <c r="I330" s="56">
        <v>0.45</v>
      </c>
      <c r="J330" s="56" t="s">
        <v>115</v>
      </c>
      <c r="K330" s="56"/>
      <c r="L330" s="56">
        <v>0.1</v>
      </c>
      <c r="M330" s="56">
        <f>19/30</f>
        <v>0.633333333333333</v>
      </c>
      <c r="P330" s="56">
        <f t="shared" ref="P330:P335" si="31">4/30</f>
        <v>0.133333333333333</v>
      </c>
      <c r="Q330" s="56">
        <v>0.5</v>
      </c>
      <c r="T330" s="11">
        <v>2.4</v>
      </c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  <c r="AE330" s="97"/>
      <c r="AH330" s="97"/>
      <c r="AI330" s="97"/>
      <c r="AJ330" s="97"/>
      <c r="AK330" s="97">
        <v>0</v>
      </c>
      <c r="AM330" s="97"/>
      <c r="AN330" s="97"/>
      <c r="AO330" s="97"/>
      <c r="AP330" s="97"/>
      <c r="AQ330" s="97"/>
      <c r="AR330" s="97"/>
      <c r="AS330" s="97"/>
      <c r="AT330" s="97"/>
      <c r="AU330" s="97"/>
      <c r="AY330" s="97"/>
      <c r="AZ330" s="97"/>
    </row>
    <row r="331" s="11" customFormat="1" spans="1:52">
      <c r="A331" s="105">
        <v>1172</v>
      </c>
      <c r="B331" s="106" t="s">
        <v>878</v>
      </c>
      <c r="C331" s="50" t="s">
        <v>879</v>
      </c>
      <c r="D331" s="56">
        <v>1</v>
      </c>
      <c r="E331" s="56"/>
      <c r="F331" s="56">
        <v>1.2</v>
      </c>
      <c r="G331" s="56">
        <v>1.64</v>
      </c>
      <c r="H331" s="56">
        <v>1.8</v>
      </c>
      <c r="I331" s="56">
        <v>0.35</v>
      </c>
      <c r="J331" s="56" t="s">
        <v>115</v>
      </c>
      <c r="K331" s="56"/>
      <c r="L331" s="56">
        <f>3/30</f>
        <v>0.1</v>
      </c>
      <c r="M331" s="97">
        <f>17/30</f>
        <v>0.566666666666667</v>
      </c>
      <c r="P331" s="56">
        <f>2/30</f>
        <v>0.0666666666666667</v>
      </c>
      <c r="Q331" s="56">
        <f>17/30</f>
        <v>0.566666666666667</v>
      </c>
      <c r="T331" s="11">
        <v>2.4</v>
      </c>
      <c r="U331" s="97"/>
      <c r="V331" s="97"/>
      <c r="W331" s="97"/>
      <c r="X331" s="97"/>
      <c r="Y331" s="97"/>
      <c r="Z331" s="97"/>
      <c r="AA331" s="97"/>
      <c r="AB331" s="97"/>
      <c r="AC331" s="97"/>
      <c r="AD331" s="97"/>
      <c r="AE331" s="97"/>
      <c r="AH331" s="97"/>
      <c r="AI331" s="97"/>
      <c r="AJ331" s="97"/>
      <c r="AK331" s="97">
        <v>0</v>
      </c>
      <c r="AM331" s="97"/>
      <c r="AN331" s="97"/>
      <c r="AO331" s="97"/>
      <c r="AP331" s="97"/>
      <c r="AQ331" s="97"/>
      <c r="AR331" s="97"/>
      <c r="AS331" s="97"/>
      <c r="AT331" s="97"/>
      <c r="AU331" s="97"/>
      <c r="AY331" s="97"/>
      <c r="AZ331" s="97"/>
    </row>
    <row r="332" s="11" customFormat="1" spans="1:52">
      <c r="A332" s="105">
        <v>1173</v>
      </c>
      <c r="B332" s="106" t="s">
        <v>880</v>
      </c>
      <c r="C332" s="50" t="s">
        <v>881</v>
      </c>
      <c r="D332" s="56">
        <v>1</v>
      </c>
      <c r="E332" s="56"/>
      <c r="F332" s="56">
        <v>1</v>
      </c>
      <c r="G332" s="56">
        <v>2.6</v>
      </c>
      <c r="H332" s="56">
        <v>2.85</v>
      </c>
      <c r="I332" s="56">
        <v>0.45</v>
      </c>
      <c r="J332" s="56" t="s">
        <v>115</v>
      </c>
      <c r="K332" s="56"/>
      <c r="L332" s="56">
        <f>4/30</f>
        <v>0.133333333333333</v>
      </c>
      <c r="M332" s="56">
        <f>14/30</f>
        <v>0.466666666666667</v>
      </c>
      <c r="P332" s="56">
        <f>5/30</f>
        <v>0.166666666666667</v>
      </c>
      <c r="Q332" s="56">
        <v>0.5</v>
      </c>
      <c r="T332" s="11">
        <v>2.4</v>
      </c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  <c r="AE332" s="97"/>
      <c r="AH332" s="97"/>
      <c r="AI332" s="97"/>
      <c r="AJ332" s="97"/>
      <c r="AK332" s="97">
        <v>0</v>
      </c>
      <c r="AM332" s="97"/>
      <c r="AN332" s="97"/>
      <c r="AO332" s="97"/>
      <c r="AP332" s="97"/>
      <c r="AQ332" s="97"/>
      <c r="AR332" s="97"/>
      <c r="AS332" s="97"/>
      <c r="AT332" s="97"/>
      <c r="AU332" s="97"/>
      <c r="AY332" s="97"/>
      <c r="AZ332" s="97"/>
    </row>
    <row r="333" s="11" customFormat="1" spans="1:52">
      <c r="A333" s="105">
        <v>1174</v>
      </c>
      <c r="B333" s="106" t="s">
        <v>882</v>
      </c>
      <c r="C333" s="50" t="s">
        <v>883</v>
      </c>
      <c r="D333" s="56">
        <v>1</v>
      </c>
      <c r="E333" s="56"/>
      <c r="F333" s="56">
        <v>1</v>
      </c>
      <c r="G333" s="56">
        <v>2.6</v>
      </c>
      <c r="H333" s="56">
        <v>2.95</v>
      </c>
      <c r="I333" s="56">
        <v>0.45</v>
      </c>
      <c r="J333" s="56" t="s">
        <v>115</v>
      </c>
      <c r="K333" s="56"/>
      <c r="L333" s="56">
        <f>3/30</f>
        <v>0.1</v>
      </c>
      <c r="M333" s="56">
        <f>15/30</f>
        <v>0.5</v>
      </c>
      <c r="P333" s="56">
        <v>0.1</v>
      </c>
      <c r="Q333" s="56">
        <v>0.5</v>
      </c>
      <c r="T333" s="11">
        <v>2.4</v>
      </c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  <c r="AE333" s="97"/>
      <c r="AH333" s="97"/>
      <c r="AI333" s="97"/>
      <c r="AJ333" s="97"/>
      <c r="AK333" s="97">
        <v>0</v>
      </c>
      <c r="AM333" s="97"/>
      <c r="AN333" s="97"/>
      <c r="AO333" s="97"/>
      <c r="AP333" s="97"/>
      <c r="AQ333" s="97"/>
      <c r="AR333" s="97"/>
      <c r="AS333" s="97"/>
      <c r="AT333" s="97"/>
      <c r="AU333" s="97"/>
      <c r="AY333" s="97"/>
      <c r="AZ333" s="97"/>
    </row>
    <row r="334" s="11" customFormat="1" ht="16.5" spans="1:52">
      <c r="A334" s="108">
        <v>1175</v>
      </c>
      <c r="B334" s="109" t="s">
        <v>884</v>
      </c>
      <c r="C334" s="110" t="s">
        <v>885</v>
      </c>
      <c r="D334" s="56">
        <v>1</v>
      </c>
      <c r="E334" s="56"/>
      <c r="F334" s="56">
        <v>1</v>
      </c>
      <c r="G334" s="56">
        <v>2</v>
      </c>
      <c r="H334" s="56">
        <v>2.35</v>
      </c>
      <c r="I334" s="56">
        <v>0.45</v>
      </c>
      <c r="J334" s="56" t="s">
        <v>115</v>
      </c>
      <c r="K334" s="56"/>
      <c r="L334" s="56">
        <f>5/30</f>
        <v>0.166666666666667</v>
      </c>
      <c r="M334" s="56">
        <f>20/30</f>
        <v>0.666666666666667</v>
      </c>
      <c r="P334" s="56">
        <f t="shared" si="31"/>
        <v>0.133333333333333</v>
      </c>
      <c r="Q334" s="56">
        <f>18/30</f>
        <v>0.6</v>
      </c>
      <c r="T334" s="11">
        <v>2.4</v>
      </c>
      <c r="U334" s="97"/>
      <c r="V334" s="97"/>
      <c r="W334" s="97"/>
      <c r="X334" s="97"/>
      <c r="Y334" s="97"/>
      <c r="Z334" s="97"/>
      <c r="AA334" s="97"/>
      <c r="AB334" s="97"/>
      <c r="AC334" s="97"/>
      <c r="AD334" s="97"/>
      <c r="AE334" s="97"/>
      <c r="AH334" s="97"/>
      <c r="AI334" s="97"/>
      <c r="AJ334" s="97"/>
      <c r="AK334" s="97">
        <v>0</v>
      </c>
      <c r="AM334" s="97"/>
      <c r="AN334" s="97"/>
      <c r="AO334" s="97"/>
      <c r="AP334" s="97"/>
      <c r="AQ334" s="97"/>
      <c r="AR334" s="97"/>
      <c r="AS334" s="97"/>
      <c r="AT334" s="97"/>
      <c r="AU334" s="97"/>
      <c r="AY334" s="97"/>
      <c r="AZ334" s="97"/>
    </row>
    <row r="335" s="11" customFormat="1" ht="16.5" spans="1:52">
      <c r="A335" s="108">
        <v>1176</v>
      </c>
      <c r="B335" s="109" t="s">
        <v>886</v>
      </c>
      <c r="C335" s="110" t="s">
        <v>887</v>
      </c>
      <c r="D335" s="56">
        <v>1</v>
      </c>
      <c r="E335" s="56"/>
      <c r="F335" s="56">
        <v>1.12</v>
      </c>
      <c r="G335" s="56">
        <v>2</v>
      </c>
      <c r="H335" s="56">
        <v>2.13</v>
      </c>
      <c r="I335" s="56">
        <v>0.35</v>
      </c>
      <c r="J335" s="56" t="s">
        <v>115</v>
      </c>
      <c r="K335" s="56"/>
      <c r="L335" s="56">
        <f>4/30</f>
        <v>0.133333333333333</v>
      </c>
      <c r="M335" s="56">
        <f>18/30</f>
        <v>0.6</v>
      </c>
      <c r="P335" s="56">
        <f t="shared" si="31"/>
        <v>0.133333333333333</v>
      </c>
      <c r="Q335" s="56">
        <f>19/30</f>
        <v>0.633333333333333</v>
      </c>
      <c r="T335" s="11">
        <v>2.4</v>
      </c>
      <c r="U335" s="97"/>
      <c r="V335" s="97"/>
      <c r="W335" s="97"/>
      <c r="X335" s="97"/>
      <c r="Y335" s="97"/>
      <c r="Z335" s="97"/>
      <c r="AA335" s="97"/>
      <c r="AB335" s="97"/>
      <c r="AC335" s="97"/>
      <c r="AD335" s="97"/>
      <c r="AE335" s="97"/>
      <c r="AH335" s="97"/>
      <c r="AI335" s="97"/>
      <c r="AJ335" s="97"/>
      <c r="AK335" s="97">
        <v>0</v>
      </c>
      <c r="AM335" s="97"/>
      <c r="AN335" s="97"/>
      <c r="AO335" s="97"/>
      <c r="AP335" s="97"/>
      <c r="AQ335" s="97"/>
      <c r="AR335" s="97"/>
      <c r="AS335" s="97"/>
      <c r="AT335" s="97"/>
      <c r="AU335" s="97"/>
      <c r="AY335" s="97"/>
      <c r="AZ335" s="97"/>
    </row>
    <row r="336" s="11" customFormat="1" ht="16.5" spans="1:52">
      <c r="A336" s="108">
        <v>1177</v>
      </c>
      <c r="B336" s="109" t="s">
        <v>888</v>
      </c>
      <c r="C336" s="110" t="s">
        <v>889</v>
      </c>
      <c r="D336" s="56">
        <v>1</v>
      </c>
      <c r="E336" s="56"/>
      <c r="F336" s="56">
        <v>1</v>
      </c>
      <c r="G336" s="56">
        <v>2</v>
      </c>
      <c r="H336" s="56">
        <v>2.5</v>
      </c>
      <c r="I336" s="56">
        <v>0.4</v>
      </c>
      <c r="J336" s="56" t="s">
        <v>115</v>
      </c>
      <c r="K336" s="56"/>
      <c r="L336" s="56">
        <f>5/30</f>
        <v>0.166666666666667</v>
      </c>
      <c r="M336" s="56">
        <f>20/30</f>
        <v>0.666666666666667</v>
      </c>
      <c r="P336" s="56">
        <f t="shared" ref="P336:P342" si="32">3/30</f>
        <v>0.1</v>
      </c>
      <c r="Q336" s="56">
        <f>21/30</f>
        <v>0.7</v>
      </c>
      <c r="T336" s="11">
        <v>2.4</v>
      </c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  <c r="AE336" s="97"/>
      <c r="AH336" s="97"/>
      <c r="AI336" s="97"/>
      <c r="AJ336" s="97"/>
      <c r="AK336" s="97">
        <v>0</v>
      </c>
      <c r="AM336" s="97"/>
      <c r="AN336" s="97"/>
      <c r="AO336" s="97"/>
      <c r="AP336" s="97"/>
      <c r="AQ336" s="97"/>
      <c r="AR336" s="97"/>
      <c r="AS336" s="97"/>
      <c r="AT336" s="97"/>
      <c r="AU336" s="97"/>
      <c r="AY336" s="97"/>
      <c r="AZ336" s="97"/>
    </row>
    <row r="337" s="11" customFormat="1" ht="16.5" spans="1:52">
      <c r="A337" s="108">
        <v>1178</v>
      </c>
      <c r="B337" s="109" t="s">
        <v>890</v>
      </c>
      <c r="C337" s="110" t="s">
        <v>891</v>
      </c>
      <c r="D337" s="56">
        <v>1</v>
      </c>
      <c r="E337" s="56"/>
      <c r="F337" s="56">
        <v>1</v>
      </c>
      <c r="G337" s="56">
        <v>2</v>
      </c>
      <c r="H337" s="56">
        <v>2.2</v>
      </c>
      <c r="I337" s="56">
        <v>0.4</v>
      </c>
      <c r="J337" s="56" t="s">
        <v>115</v>
      </c>
      <c r="K337" s="56"/>
      <c r="L337" s="56">
        <f t="shared" ref="L337:L351" si="33">2/30</f>
        <v>0.0666666666666667</v>
      </c>
      <c r="M337" s="56">
        <f>15/30</f>
        <v>0.5</v>
      </c>
      <c r="P337" s="56">
        <f>2/30</f>
        <v>0.0666666666666667</v>
      </c>
      <c r="Q337" s="56">
        <f t="shared" ref="Q337:Q343" si="34">14/30</f>
        <v>0.466666666666667</v>
      </c>
      <c r="T337" s="11">
        <v>2.4</v>
      </c>
      <c r="U337" s="97"/>
      <c r="V337" s="97"/>
      <c r="W337" s="97"/>
      <c r="X337" s="97"/>
      <c r="Y337" s="97"/>
      <c r="Z337" s="97"/>
      <c r="AA337" s="97"/>
      <c r="AB337" s="97"/>
      <c r="AC337" s="97"/>
      <c r="AD337" s="97"/>
      <c r="AE337" s="97"/>
      <c r="AH337" s="97"/>
      <c r="AI337" s="97"/>
      <c r="AJ337" s="97"/>
      <c r="AK337" s="97">
        <v>0</v>
      </c>
      <c r="AM337" s="97"/>
      <c r="AN337" s="97"/>
      <c r="AO337" s="97"/>
      <c r="AP337" s="97"/>
      <c r="AQ337" s="97"/>
      <c r="AR337" s="97"/>
      <c r="AS337" s="97"/>
      <c r="AT337" s="97"/>
      <c r="AU337" s="97"/>
      <c r="AY337" s="97"/>
      <c r="AZ337" s="97"/>
    </row>
    <row r="338" s="11" customFormat="1" ht="16.5" spans="1:52">
      <c r="A338" s="108">
        <v>1179</v>
      </c>
      <c r="B338" s="109" t="s">
        <v>892</v>
      </c>
      <c r="C338" s="110" t="s">
        <v>893</v>
      </c>
      <c r="D338" s="56">
        <v>1</v>
      </c>
      <c r="E338" s="56"/>
      <c r="F338" s="56">
        <v>1</v>
      </c>
      <c r="G338" s="56">
        <v>2</v>
      </c>
      <c r="H338" s="56">
        <v>2.2</v>
      </c>
      <c r="I338" s="56">
        <v>0.35</v>
      </c>
      <c r="J338" s="56" t="s">
        <v>115</v>
      </c>
      <c r="K338" s="56"/>
      <c r="L338" s="56">
        <f t="shared" ref="L338:L341" si="35">3/30</f>
        <v>0.1</v>
      </c>
      <c r="M338" s="56">
        <f>14/30</f>
        <v>0.466666666666667</v>
      </c>
      <c r="P338" s="56">
        <f t="shared" si="32"/>
        <v>0.1</v>
      </c>
      <c r="Q338" s="56">
        <f t="shared" si="34"/>
        <v>0.466666666666667</v>
      </c>
      <c r="T338" s="11">
        <v>2.4</v>
      </c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  <c r="AE338" s="97"/>
      <c r="AH338" s="97"/>
      <c r="AI338" s="97"/>
      <c r="AJ338" s="97"/>
      <c r="AK338" s="97">
        <v>0</v>
      </c>
      <c r="AM338" s="97"/>
      <c r="AN338" s="97"/>
      <c r="AO338" s="97"/>
      <c r="AP338" s="97"/>
      <c r="AQ338" s="97"/>
      <c r="AR338" s="97"/>
      <c r="AS338" s="97"/>
      <c r="AT338" s="97"/>
      <c r="AU338" s="97"/>
      <c r="AY338" s="97"/>
      <c r="AZ338" s="97"/>
    </row>
    <row r="339" s="11" customFormat="1" ht="16.5" spans="1:52">
      <c r="A339" s="11">
        <v>1180</v>
      </c>
      <c r="B339" s="70" t="s">
        <v>894</v>
      </c>
      <c r="C339" s="111" t="s">
        <v>895</v>
      </c>
      <c r="D339" s="56">
        <v>1</v>
      </c>
      <c r="E339" s="56"/>
      <c r="F339" s="56">
        <v>1.1</v>
      </c>
      <c r="G339" s="56">
        <v>2</v>
      </c>
      <c r="H339" s="56">
        <v>1.8</v>
      </c>
      <c r="I339" s="56">
        <v>0.35</v>
      </c>
      <c r="J339" s="56" t="s">
        <v>115</v>
      </c>
      <c r="K339" s="56"/>
      <c r="L339" s="56">
        <f t="shared" si="35"/>
        <v>0.1</v>
      </c>
      <c r="M339" s="56">
        <f>14/30</f>
        <v>0.466666666666667</v>
      </c>
      <c r="P339" s="56">
        <f t="shared" ref="P339:P345" si="36">2/30</f>
        <v>0.0666666666666667</v>
      </c>
      <c r="Q339" s="56">
        <f>12/30</f>
        <v>0.4</v>
      </c>
      <c r="T339" s="11">
        <v>2.4</v>
      </c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  <c r="AE339" s="97"/>
      <c r="AH339" s="97"/>
      <c r="AI339" s="97"/>
      <c r="AJ339" s="97"/>
      <c r="AK339" s="97">
        <v>0</v>
      </c>
      <c r="AM339" s="97"/>
      <c r="AN339" s="97"/>
      <c r="AO339" s="97"/>
      <c r="AP339" s="97"/>
      <c r="AQ339" s="97"/>
      <c r="AR339" s="97"/>
      <c r="AS339" s="97"/>
      <c r="AT339" s="97"/>
      <c r="AU339" s="97"/>
      <c r="AY339" s="97"/>
      <c r="AZ339" s="97"/>
    </row>
    <row r="340" s="11" customFormat="1" ht="16.5" spans="1:52">
      <c r="A340" s="11">
        <v>1181</v>
      </c>
      <c r="B340" s="70" t="s">
        <v>896</v>
      </c>
      <c r="C340" s="111" t="s">
        <v>897</v>
      </c>
      <c r="D340" s="56">
        <v>1</v>
      </c>
      <c r="E340" s="56"/>
      <c r="F340" s="56">
        <v>1.2</v>
      </c>
      <c r="G340" s="56">
        <v>2</v>
      </c>
      <c r="H340" s="56">
        <v>1.8</v>
      </c>
      <c r="I340" s="56">
        <v>0.35</v>
      </c>
      <c r="J340" s="56" t="s">
        <v>115</v>
      </c>
      <c r="K340" s="56"/>
      <c r="L340" s="56">
        <f t="shared" si="33"/>
        <v>0.0666666666666667</v>
      </c>
      <c r="M340" s="56">
        <f t="shared" ref="M340:M345" si="37">15/30</f>
        <v>0.5</v>
      </c>
      <c r="P340" s="56">
        <f t="shared" si="32"/>
        <v>0.1</v>
      </c>
      <c r="Q340" s="56">
        <f>16/30</f>
        <v>0.533333333333333</v>
      </c>
      <c r="T340" s="11">
        <v>2.4</v>
      </c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  <c r="AE340" s="97"/>
      <c r="AH340" s="97"/>
      <c r="AI340" s="97"/>
      <c r="AJ340" s="97"/>
      <c r="AK340" s="97">
        <v>0</v>
      </c>
      <c r="AM340" s="97"/>
      <c r="AN340" s="97"/>
      <c r="AO340" s="97"/>
      <c r="AP340" s="97"/>
      <c r="AQ340" s="97"/>
      <c r="AR340" s="97"/>
      <c r="AS340" s="97"/>
      <c r="AT340" s="97"/>
      <c r="AU340" s="97"/>
      <c r="AY340" s="97"/>
      <c r="AZ340" s="97"/>
    </row>
    <row r="341" s="11" customFormat="1" ht="16.5" spans="1:52">
      <c r="A341" s="112">
        <v>1182</v>
      </c>
      <c r="B341" s="113" t="s">
        <v>898</v>
      </c>
      <c r="C341" s="114" t="s">
        <v>899</v>
      </c>
      <c r="D341" s="56">
        <v>1</v>
      </c>
      <c r="E341" s="56"/>
      <c r="F341" s="56">
        <v>1</v>
      </c>
      <c r="G341" s="56">
        <v>2</v>
      </c>
      <c r="H341" s="56">
        <v>2.2</v>
      </c>
      <c r="I341" s="56">
        <v>0.35</v>
      </c>
      <c r="J341" s="56" t="s">
        <v>115</v>
      </c>
      <c r="K341" s="56"/>
      <c r="L341" s="56">
        <f t="shared" si="35"/>
        <v>0.1</v>
      </c>
      <c r="M341" s="56">
        <f>17/30</f>
        <v>0.566666666666667</v>
      </c>
      <c r="P341" s="56">
        <f t="shared" si="32"/>
        <v>0.1</v>
      </c>
      <c r="Q341" s="56">
        <f>15/30</f>
        <v>0.5</v>
      </c>
      <c r="T341" s="11">
        <v>2.4</v>
      </c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  <c r="AE341" s="97"/>
      <c r="AH341" s="97"/>
      <c r="AI341" s="97"/>
      <c r="AJ341" s="97"/>
      <c r="AK341" s="97">
        <v>0</v>
      </c>
      <c r="AM341" s="97"/>
      <c r="AN341" s="97"/>
      <c r="AO341" s="97"/>
      <c r="AP341" s="97"/>
      <c r="AQ341" s="97"/>
      <c r="AR341" s="97"/>
      <c r="AS341" s="97"/>
      <c r="AT341" s="97"/>
      <c r="AU341" s="97"/>
      <c r="AY341" s="97"/>
      <c r="AZ341" s="97"/>
    </row>
    <row r="342" s="11" customFormat="1" ht="16.5" spans="1:52">
      <c r="A342" s="112">
        <v>1183</v>
      </c>
      <c r="B342" s="113" t="s">
        <v>900</v>
      </c>
      <c r="C342" s="114" t="s">
        <v>901</v>
      </c>
      <c r="D342" s="56">
        <v>1</v>
      </c>
      <c r="E342" s="56"/>
      <c r="F342" s="56">
        <v>1</v>
      </c>
      <c r="G342" s="56">
        <v>2</v>
      </c>
      <c r="H342" s="56">
        <v>2.2</v>
      </c>
      <c r="I342" s="56">
        <v>0.35</v>
      </c>
      <c r="J342" s="56" t="s">
        <v>115</v>
      </c>
      <c r="K342" s="56"/>
      <c r="L342" s="56">
        <f t="shared" si="33"/>
        <v>0.0666666666666667</v>
      </c>
      <c r="M342" s="56">
        <f>16/30</f>
        <v>0.533333333333333</v>
      </c>
      <c r="P342" s="56">
        <f t="shared" si="32"/>
        <v>0.1</v>
      </c>
      <c r="Q342" s="56">
        <f t="shared" si="34"/>
        <v>0.466666666666667</v>
      </c>
      <c r="T342" s="11">
        <v>2.4</v>
      </c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  <c r="AH342" s="97"/>
      <c r="AI342" s="97"/>
      <c r="AJ342" s="97"/>
      <c r="AK342" s="97">
        <v>0</v>
      </c>
      <c r="AM342" s="97"/>
      <c r="AN342" s="97"/>
      <c r="AO342" s="97"/>
      <c r="AP342" s="97"/>
      <c r="AQ342" s="97"/>
      <c r="AR342" s="97"/>
      <c r="AS342" s="97"/>
      <c r="AT342" s="97"/>
      <c r="AU342" s="97"/>
      <c r="AY342" s="97"/>
      <c r="AZ342" s="97"/>
    </row>
    <row r="343" s="11" customFormat="1" ht="16.5" spans="1:52">
      <c r="A343" s="112">
        <v>1184</v>
      </c>
      <c r="B343" s="113" t="s">
        <v>902</v>
      </c>
      <c r="C343" s="114" t="s">
        <v>903</v>
      </c>
      <c r="D343" s="56">
        <v>1</v>
      </c>
      <c r="E343" s="56"/>
      <c r="F343" s="56">
        <v>1</v>
      </c>
      <c r="G343" s="56">
        <v>2</v>
      </c>
      <c r="H343" s="56">
        <v>2.5</v>
      </c>
      <c r="I343" s="56">
        <v>0.45</v>
      </c>
      <c r="J343" s="56" t="s">
        <v>115</v>
      </c>
      <c r="K343" s="56"/>
      <c r="L343" s="56">
        <f t="shared" si="33"/>
        <v>0.0666666666666667</v>
      </c>
      <c r="M343" s="56">
        <f t="shared" si="37"/>
        <v>0.5</v>
      </c>
      <c r="P343" s="56">
        <f t="shared" si="36"/>
        <v>0.0666666666666667</v>
      </c>
      <c r="Q343" s="56">
        <f t="shared" si="34"/>
        <v>0.466666666666667</v>
      </c>
      <c r="T343" s="11">
        <v>2.4</v>
      </c>
      <c r="U343" s="97"/>
      <c r="V343" s="97"/>
      <c r="W343" s="97"/>
      <c r="X343" s="97"/>
      <c r="Y343" s="97"/>
      <c r="Z343" s="97"/>
      <c r="AA343" s="97"/>
      <c r="AB343" s="97"/>
      <c r="AC343" s="97"/>
      <c r="AD343" s="97"/>
      <c r="AE343" s="97"/>
      <c r="AH343" s="97"/>
      <c r="AI343" s="97"/>
      <c r="AJ343" s="97"/>
      <c r="AK343" s="97">
        <v>0</v>
      </c>
      <c r="AM343" s="97"/>
      <c r="AN343" s="97"/>
      <c r="AO343" s="97"/>
      <c r="AP343" s="97"/>
      <c r="AQ343" s="97"/>
      <c r="AR343" s="97"/>
      <c r="AS343" s="97"/>
      <c r="AT343" s="97"/>
      <c r="AU343" s="97"/>
      <c r="AY343" s="97"/>
      <c r="AZ343" s="97"/>
    </row>
    <row r="344" s="11" customFormat="1" ht="16.5" spans="1:52">
      <c r="A344" s="112">
        <v>1185</v>
      </c>
      <c r="B344" s="113" t="s">
        <v>904</v>
      </c>
      <c r="C344" s="114" t="s">
        <v>905</v>
      </c>
      <c r="D344" s="56">
        <v>1</v>
      </c>
      <c r="E344" s="56"/>
      <c r="F344" s="56">
        <v>1</v>
      </c>
      <c r="G344" s="56">
        <v>2</v>
      </c>
      <c r="H344" s="56">
        <v>2.5</v>
      </c>
      <c r="I344" s="56">
        <v>0.35</v>
      </c>
      <c r="J344" s="56" t="s">
        <v>115</v>
      </c>
      <c r="K344" s="56"/>
      <c r="L344" s="56">
        <f t="shared" si="33"/>
        <v>0.0666666666666667</v>
      </c>
      <c r="M344" s="56">
        <f>13/30</f>
        <v>0.433333333333333</v>
      </c>
      <c r="P344" s="56">
        <f t="shared" si="36"/>
        <v>0.0666666666666667</v>
      </c>
      <c r="Q344" s="56">
        <f>12/30</f>
        <v>0.4</v>
      </c>
      <c r="T344" s="11">
        <v>2.4</v>
      </c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H344" s="97"/>
      <c r="AI344" s="97"/>
      <c r="AJ344" s="97"/>
      <c r="AK344" s="97">
        <v>0</v>
      </c>
      <c r="AM344" s="97"/>
      <c r="AN344" s="97"/>
      <c r="AO344" s="97"/>
      <c r="AP344" s="97"/>
      <c r="AQ344" s="97"/>
      <c r="AR344" s="97"/>
      <c r="AS344" s="97"/>
      <c r="AT344" s="97"/>
      <c r="AU344" s="97"/>
      <c r="AY344" s="97"/>
      <c r="AZ344" s="97"/>
    </row>
    <row r="345" s="11" customFormat="1" ht="16.5" spans="1:52">
      <c r="A345" s="112">
        <v>1186</v>
      </c>
      <c r="B345" s="113" t="s">
        <v>906</v>
      </c>
      <c r="C345" s="114" t="s">
        <v>907</v>
      </c>
      <c r="D345" s="56">
        <v>1</v>
      </c>
      <c r="E345" s="56"/>
      <c r="F345" s="56">
        <v>1</v>
      </c>
      <c r="G345" s="56">
        <v>2</v>
      </c>
      <c r="H345" s="56">
        <v>2.5</v>
      </c>
      <c r="I345" s="56">
        <v>0.45</v>
      </c>
      <c r="J345" s="56" t="s">
        <v>115</v>
      </c>
      <c r="K345" s="56"/>
      <c r="L345" s="56">
        <f t="shared" si="33"/>
        <v>0.0666666666666667</v>
      </c>
      <c r="M345" s="56">
        <f t="shared" si="37"/>
        <v>0.5</v>
      </c>
      <c r="P345" s="56">
        <f t="shared" si="36"/>
        <v>0.0666666666666667</v>
      </c>
      <c r="Q345" s="56">
        <f>14/30</f>
        <v>0.466666666666667</v>
      </c>
      <c r="T345" s="11">
        <v>2.4</v>
      </c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  <c r="AE345" s="97"/>
      <c r="AH345" s="97"/>
      <c r="AI345" s="97"/>
      <c r="AJ345" s="97"/>
      <c r="AK345" s="97">
        <v>0</v>
      </c>
      <c r="AM345" s="97"/>
      <c r="AN345" s="97"/>
      <c r="AO345" s="97"/>
      <c r="AP345" s="97"/>
      <c r="AQ345" s="97"/>
      <c r="AR345" s="97"/>
      <c r="AS345" s="97"/>
      <c r="AT345" s="97"/>
      <c r="AU345" s="97"/>
      <c r="AY345" s="97"/>
      <c r="AZ345" s="97"/>
    </row>
    <row r="346" s="11" customFormat="1" ht="16.5" spans="1:52">
      <c r="A346" s="11">
        <v>1187</v>
      </c>
      <c r="B346" s="70" t="s">
        <v>908</v>
      </c>
      <c r="C346" s="111" t="s">
        <v>909</v>
      </c>
      <c r="D346" s="56">
        <v>1</v>
      </c>
      <c r="E346" s="56"/>
      <c r="F346" s="56">
        <v>1</v>
      </c>
      <c r="G346" s="56">
        <v>2</v>
      </c>
      <c r="H346" s="56">
        <v>2.5</v>
      </c>
      <c r="I346" s="56">
        <v>0.45</v>
      </c>
      <c r="J346" s="56" t="s">
        <v>115</v>
      </c>
      <c r="K346" s="56"/>
      <c r="L346" s="56">
        <f t="shared" si="33"/>
        <v>0.0666666666666667</v>
      </c>
      <c r="M346" s="56">
        <f>16/30</f>
        <v>0.533333333333333</v>
      </c>
      <c r="P346" s="56">
        <f>3/30</f>
        <v>0.1</v>
      </c>
      <c r="Q346" s="56">
        <f t="shared" ref="Q346:Q351" si="38">15/30</f>
        <v>0.5</v>
      </c>
      <c r="T346" s="11">
        <v>2.4</v>
      </c>
      <c r="U346" s="65"/>
      <c r="V346" s="65"/>
      <c r="W346" s="97"/>
      <c r="X346" s="97"/>
      <c r="Y346" s="97"/>
      <c r="Z346" s="97"/>
      <c r="AA346" s="97"/>
      <c r="AB346" s="97"/>
      <c r="AC346" s="97"/>
      <c r="AD346" s="97"/>
      <c r="AE346" s="97"/>
      <c r="AH346" s="97"/>
      <c r="AI346" s="97"/>
      <c r="AJ346" s="97"/>
      <c r="AK346" s="97">
        <v>0</v>
      </c>
      <c r="AM346" s="97"/>
      <c r="AN346" s="97"/>
      <c r="AO346" s="97"/>
      <c r="AP346" s="97"/>
      <c r="AQ346" s="97"/>
      <c r="AR346" s="97"/>
      <c r="AS346" s="97"/>
      <c r="AT346" s="97"/>
      <c r="AU346" s="97"/>
      <c r="AY346" s="97"/>
      <c r="AZ346" s="97"/>
    </row>
    <row r="347" s="11" customFormat="1" ht="16.5" spans="1:52">
      <c r="A347" s="11">
        <v>1188</v>
      </c>
      <c r="B347" s="70" t="s">
        <v>910</v>
      </c>
      <c r="C347" s="111" t="s">
        <v>911</v>
      </c>
      <c r="D347" s="56">
        <v>1</v>
      </c>
      <c r="E347" s="56"/>
      <c r="F347" s="56">
        <v>1</v>
      </c>
      <c r="G347" s="56">
        <v>1.6</v>
      </c>
      <c r="H347" s="56">
        <v>2.05</v>
      </c>
      <c r="I347" s="56">
        <v>0.45</v>
      </c>
      <c r="J347" s="56" t="s">
        <v>115</v>
      </c>
      <c r="K347" s="56"/>
      <c r="L347" s="56">
        <f t="shared" si="33"/>
        <v>0.0666666666666667</v>
      </c>
      <c r="M347" s="56">
        <f>14/30</f>
        <v>0.466666666666667</v>
      </c>
      <c r="P347" s="56">
        <f t="shared" ref="P347:P350" si="39">2/30</f>
        <v>0.0666666666666667</v>
      </c>
      <c r="Q347" s="56">
        <f t="shared" si="38"/>
        <v>0.5</v>
      </c>
      <c r="T347" s="11">
        <v>2.4</v>
      </c>
      <c r="U347" s="65"/>
      <c r="V347" s="65"/>
      <c r="W347" s="97"/>
      <c r="X347" s="97"/>
      <c r="Y347" s="97"/>
      <c r="Z347" s="97"/>
      <c r="AA347" s="97"/>
      <c r="AB347" s="97"/>
      <c r="AC347" s="97"/>
      <c r="AD347" s="97"/>
      <c r="AE347" s="97"/>
      <c r="AH347" s="97"/>
      <c r="AI347" s="97"/>
      <c r="AJ347" s="97"/>
      <c r="AK347" s="97">
        <v>0</v>
      </c>
      <c r="AM347" s="97"/>
      <c r="AN347" s="97"/>
      <c r="AO347" s="97"/>
      <c r="AP347" s="97"/>
      <c r="AQ347" s="97"/>
      <c r="AR347" s="97"/>
      <c r="AS347" s="97"/>
      <c r="AT347" s="97"/>
      <c r="AU347" s="97"/>
      <c r="AY347" s="97"/>
      <c r="AZ347" s="97"/>
    </row>
    <row r="348" s="11" customFormat="1" ht="16.5" spans="1:52">
      <c r="A348" s="11">
        <v>1189</v>
      </c>
      <c r="B348" s="70" t="s">
        <v>912</v>
      </c>
      <c r="C348" s="111" t="s">
        <v>913</v>
      </c>
      <c r="D348" s="56">
        <v>1</v>
      </c>
      <c r="E348" s="56"/>
      <c r="F348" s="56">
        <v>1</v>
      </c>
      <c r="G348" s="56">
        <v>2</v>
      </c>
      <c r="H348" s="56">
        <v>2.4</v>
      </c>
      <c r="I348" s="56">
        <v>0.45</v>
      </c>
      <c r="J348" s="56" t="s">
        <v>115</v>
      </c>
      <c r="K348" s="56"/>
      <c r="L348" s="56">
        <f t="shared" si="33"/>
        <v>0.0666666666666667</v>
      </c>
      <c r="M348" s="56">
        <f t="shared" ref="M348:M351" si="40">17/30</f>
        <v>0.566666666666667</v>
      </c>
      <c r="P348" s="56">
        <f t="shared" si="39"/>
        <v>0.0666666666666667</v>
      </c>
      <c r="Q348" s="56">
        <f>14/30</f>
        <v>0.466666666666667</v>
      </c>
      <c r="T348" s="11">
        <v>2.4</v>
      </c>
      <c r="U348" s="65"/>
      <c r="V348" s="65"/>
      <c r="W348" s="97"/>
      <c r="X348" s="97"/>
      <c r="Y348" s="97"/>
      <c r="Z348" s="97"/>
      <c r="AA348" s="97"/>
      <c r="AB348" s="97"/>
      <c r="AC348" s="97"/>
      <c r="AD348" s="97"/>
      <c r="AE348" s="97"/>
      <c r="AH348" s="97"/>
      <c r="AI348" s="97"/>
      <c r="AJ348" s="97"/>
      <c r="AK348" s="97">
        <v>0</v>
      </c>
      <c r="AM348" s="97"/>
      <c r="AN348" s="97"/>
      <c r="AO348" s="97"/>
      <c r="AP348" s="97"/>
      <c r="AQ348" s="97"/>
      <c r="AR348" s="97"/>
      <c r="AS348" s="97"/>
      <c r="AT348" s="97"/>
      <c r="AU348" s="97"/>
      <c r="AY348" s="97"/>
      <c r="AZ348" s="97"/>
    </row>
    <row r="349" s="11" customFormat="1" ht="16.5" spans="1:52">
      <c r="A349" s="11">
        <v>1190</v>
      </c>
      <c r="B349" s="70" t="s">
        <v>914</v>
      </c>
      <c r="C349" s="111" t="s">
        <v>915</v>
      </c>
      <c r="D349" s="56">
        <v>1</v>
      </c>
      <c r="F349" s="11">
        <v>1</v>
      </c>
      <c r="G349" s="56">
        <v>2</v>
      </c>
      <c r="H349" s="56">
        <v>2.22</v>
      </c>
      <c r="I349" s="56">
        <v>0.45</v>
      </c>
      <c r="J349" s="56" t="s">
        <v>115</v>
      </c>
      <c r="K349" s="56"/>
      <c r="L349" s="56">
        <f t="shared" si="33"/>
        <v>0.0666666666666667</v>
      </c>
      <c r="M349" s="56">
        <f t="shared" si="40"/>
        <v>0.566666666666667</v>
      </c>
      <c r="P349" s="56">
        <f t="shared" si="39"/>
        <v>0.0666666666666667</v>
      </c>
      <c r="Q349" s="56">
        <f>16/30</f>
        <v>0.533333333333333</v>
      </c>
      <c r="T349" s="11">
        <v>2.4</v>
      </c>
      <c r="U349" s="65"/>
      <c r="V349" s="65"/>
      <c r="AD349" s="69"/>
      <c r="AE349" s="69"/>
      <c r="AK349" s="97">
        <v>0</v>
      </c>
      <c r="AZ349" s="69"/>
    </row>
    <row r="350" s="11" customFormat="1" ht="16.5" spans="1:52">
      <c r="A350" s="11">
        <v>1191</v>
      </c>
      <c r="B350" s="70" t="s">
        <v>916</v>
      </c>
      <c r="C350" s="111" t="s">
        <v>917</v>
      </c>
      <c r="D350" s="56">
        <v>1</v>
      </c>
      <c r="F350" s="11">
        <v>1.08</v>
      </c>
      <c r="G350" s="56">
        <v>1.7</v>
      </c>
      <c r="H350" s="56">
        <v>1.94</v>
      </c>
      <c r="I350" s="56">
        <v>0.45</v>
      </c>
      <c r="J350" s="56" t="s">
        <v>115</v>
      </c>
      <c r="K350" s="56"/>
      <c r="L350" s="56">
        <f t="shared" si="33"/>
        <v>0.0666666666666667</v>
      </c>
      <c r="M350" s="56">
        <f>13/30</f>
        <v>0.433333333333333</v>
      </c>
      <c r="P350" s="56">
        <f t="shared" si="39"/>
        <v>0.0666666666666667</v>
      </c>
      <c r="Q350" s="56">
        <f>12/30</f>
        <v>0.4</v>
      </c>
      <c r="T350" s="11">
        <v>2.4</v>
      </c>
      <c r="U350" s="65"/>
      <c r="V350" s="65"/>
      <c r="AD350" s="69"/>
      <c r="AE350" s="69"/>
      <c r="AK350" s="97">
        <v>0</v>
      </c>
      <c r="AZ350" s="69"/>
    </row>
    <row r="351" s="11" customFormat="1" ht="16.5" spans="1:52">
      <c r="A351" s="11">
        <v>1192</v>
      </c>
      <c r="B351" s="70" t="s">
        <v>918</v>
      </c>
      <c r="C351" s="111" t="s">
        <v>919</v>
      </c>
      <c r="D351" s="56">
        <v>1</v>
      </c>
      <c r="F351" s="11">
        <v>1</v>
      </c>
      <c r="G351" s="56">
        <v>1.85</v>
      </c>
      <c r="H351" s="56">
        <v>2.03</v>
      </c>
      <c r="I351" s="56">
        <v>0.45</v>
      </c>
      <c r="J351" s="56" t="s">
        <v>115</v>
      </c>
      <c r="K351" s="56"/>
      <c r="L351" s="56">
        <f t="shared" si="33"/>
        <v>0.0666666666666667</v>
      </c>
      <c r="M351" s="56">
        <f t="shared" si="40"/>
        <v>0.566666666666667</v>
      </c>
      <c r="P351" s="56">
        <f>3/30</f>
        <v>0.1</v>
      </c>
      <c r="Q351" s="56">
        <f t="shared" si="38"/>
        <v>0.5</v>
      </c>
      <c r="T351" s="11">
        <v>2.4</v>
      </c>
      <c r="U351" s="65"/>
      <c r="V351" s="65"/>
      <c r="AD351" s="69"/>
      <c r="AE351" s="69"/>
      <c r="AK351" s="97">
        <v>0</v>
      </c>
      <c r="AZ351" s="69"/>
    </row>
    <row r="352" s="11" customFormat="1" ht="16.5" spans="1:52">
      <c r="A352" s="11">
        <v>1193</v>
      </c>
      <c r="B352" s="70" t="s">
        <v>920</v>
      </c>
      <c r="C352" s="111" t="s">
        <v>921</v>
      </c>
      <c r="D352" s="56">
        <v>1</v>
      </c>
      <c r="F352" s="11">
        <v>1.09</v>
      </c>
      <c r="G352" s="56">
        <v>2.2</v>
      </c>
      <c r="H352" s="56">
        <v>2.33</v>
      </c>
      <c r="I352" s="56">
        <v>0.45</v>
      </c>
      <c r="J352" s="56" t="s">
        <v>115</v>
      </c>
      <c r="K352" s="56"/>
      <c r="L352" s="56">
        <f>4/30</f>
        <v>0.133333333333333</v>
      </c>
      <c r="M352" s="56">
        <f>18/30</f>
        <v>0.6</v>
      </c>
      <c r="P352" s="56">
        <f>3/30</f>
        <v>0.1</v>
      </c>
      <c r="Q352" s="56">
        <f>16/30</f>
        <v>0.533333333333333</v>
      </c>
      <c r="T352" s="11">
        <v>2.4</v>
      </c>
      <c r="U352" s="65"/>
      <c r="V352" s="65"/>
      <c r="AD352" s="69"/>
      <c r="AE352" s="69"/>
      <c r="AK352" s="97">
        <v>0</v>
      </c>
      <c r="AZ352" s="69"/>
    </row>
    <row r="353" s="11" customFormat="1" ht="16.5" spans="1:52">
      <c r="A353" s="11">
        <v>1194</v>
      </c>
      <c r="B353" s="70" t="s">
        <v>922</v>
      </c>
      <c r="C353" s="111" t="s">
        <v>923</v>
      </c>
      <c r="D353" s="56">
        <v>1</v>
      </c>
      <c r="F353" s="11">
        <v>1</v>
      </c>
      <c r="G353" s="56">
        <v>2</v>
      </c>
      <c r="H353" s="56">
        <v>2.26</v>
      </c>
      <c r="I353" s="56">
        <v>0.45</v>
      </c>
      <c r="J353" s="56" t="s">
        <v>115</v>
      </c>
      <c r="K353" s="56"/>
      <c r="L353" s="56">
        <f t="shared" ref="L353:L356" si="41">3/30</f>
        <v>0.1</v>
      </c>
      <c r="M353" s="56">
        <f>17/30</f>
        <v>0.566666666666667</v>
      </c>
      <c r="P353" s="11">
        <f t="shared" ref="P353:P356" si="42">2/30</f>
        <v>0.0666666666666667</v>
      </c>
      <c r="Q353" s="11">
        <f t="shared" ref="Q353:Q358" si="43">17/30</f>
        <v>0.566666666666667</v>
      </c>
      <c r="T353" s="11">
        <v>2.4</v>
      </c>
      <c r="U353" s="65"/>
      <c r="V353" s="65"/>
      <c r="AD353" s="69"/>
      <c r="AE353" s="69"/>
      <c r="AK353" s="97">
        <v>0</v>
      </c>
      <c r="AZ353" s="69"/>
    </row>
    <row r="354" s="11" customFormat="1" ht="16.5" spans="1:52">
      <c r="A354" s="11">
        <v>1195</v>
      </c>
      <c r="B354" s="70" t="s">
        <v>924</v>
      </c>
      <c r="C354" s="111" t="s">
        <v>925</v>
      </c>
      <c r="D354" s="56">
        <v>1</v>
      </c>
      <c r="F354" s="11">
        <v>1</v>
      </c>
      <c r="G354" s="56">
        <v>2</v>
      </c>
      <c r="H354" s="56">
        <v>2.53</v>
      </c>
      <c r="I354" s="56">
        <v>0.45</v>
      </c>
      <c r="J354" s="56" t="s">
        <v>115</v>
      </c>
      <c r="K354" s="56"/>
      <c r="L354" s="56">
        <f t="shared" si="41"/>
        <v>0.1</v>
      </c>
      <c r="M354" s="56">
        <f>15/30</f>
        <v>0.5</v>
      </c>
      <c r="P354" s="56">
        <f>4/30</f>
        <v>0.133333333333333</v>
      </c>
      <c r="Q354" s="56">
        <f t="shared" si="43"/>
        <v>0.566666666666667</v>
      </c>
      <c r="T354" s="11">
        <v>2.4</v>
      </c>
      <c r="U354" s="65"/>
      <c r="V354" s="65"/>
      <c r="AD354" s="69"/>
      <c r="AE354" s="69"/>
      <c r="AK354" s="97">
        <v>0</v>
      </c>
      <c r="AZ354" s="69"/>
    </row>
    <row r="355" s="11" customFormat="1" ht="16.5" spans="1:52">
      <c r="A355" s="115">
        <v>1196</v>
      </c>
      <c r="B355" s="70" t="s">
        <v>926</v>
      </c>
      <c r="C355" s="111" t="s">
        <v>927</v>
      </c>
      <c r="D355" s="56">
        <v>1</v>
      </c>
      <c r="F355" s="11">
        <v>1</v>
      </c>
      <c r="G355" s="56">
        <v>2.4</v>
      </c>
      <c r="H355" s="56">
        <v>2.4</v>
      </c>
      <c r="I355" s="56">
        <v>0.45</v>
      </c>
      <c r="J355" s="56" t="s">
        <v>115</v>
      </c>
      <c r="K355" s="56"/>
      <c r="L355" s="56">
        <f t="shared" si="41"/>
        <v>0.1</v>
      </c>
      <c r="M355" s="56">
        <f>15/30</f>
        <v>0.5</v>
      </c>
      <c r="P355" s="56">
        <f t="shared" si="42"/>
        <v>0.0666666666666667</v>
      </c>
      <c r="Q355" s="56">
        <f>13/30</f>
        <v>0.433333333333333</v>
      </c>
      <c r="T355" s="11">
        <v>2.4</v>
      </c>
      <c r="U355" s="65"/>
      <c r="V355" s="65"/>
      <c r="AD355" s="69"/>
      <c r="AE355" s="69"/>
      <c r="AK355" s="97">
        <v>0</v>
      </c>
      <c r="AZ355" s="69"/>
    </row>
    <row r="356" s="11" customFormat="1" ht="16.5" spans="1:52">
      <c r="A356" s="115">
        <v>1197</v>
      </c>
      <c r="B356" s="70" t="s">
        <v>928</v>
      </c>
      <c r="C356" s="111" t="s">
        <v>929</v>
      </c>
      <c r="D356" s="56">
        <v>1</v>
      </c>
      <c r="F356" s="11">
        <v>1</v>
      </c>
      <c r="G356" s="56">
        <v>3.5</v>
      </c>
      <c r="H356" s="56">
        <v>3.5</v>
      </c>
      <c r="I356" s="56">
        <v>0.65</v>
      </c>
      <c r="J356" s="56" t="s">
        <v>115</v>
      </c>
      <c r="K356" s="56"/>
      <c r="L356" s="56">
        <f t="shared" si="41"/>
        <v>0.1</v>
      </c>
      <c r="M356" s="56">
        <f>18/30</f>
        <v>0.6</v>
      </c>
      <c r="P356" s="56">
        <f t="shared" si="42"/>
        <v>0.0666666666666667</v>
      </c>
      <c r="Q356" s="56">
        <f>16/30</f>
        <v>0.533333333333333</v>
      </c>
      <c r="T356" s="11">
        <v>2.4</v>
      </c>
      <c r="U356" s="65"/>
      <c r="V356" s="65"/>
      <c r="AD356" s="69"/>
      <c r="AE356" s="69"/>
      <c r="AK356" s="97">
        <v>0</v>
      </c>
      <c r="AZ356" s="69"/>
    </row>
    <row r="357" s="11" customFormat="1" ht="16.5" spans="1:52">
      <c r="A357" s="115">
        <v>1198</v>
      </c>
      <c r="B357" s="70" t="s">
        <v>930</v>
      </c>
      <c r="C357" s="111" t="s">
        <v>931</v>
      </c>
      <c r="D357" s="56">
        <v>1</v>
      </c>
      <c r="F357" s="11">
        <v>1</v>
      </c>
      <c r="G357" s="56">
        <v>1.4</v>
      </c>
      <c r="H357" s="56">
        <v>1.4</v>
      </c>
      <c r="I357" s="56">
        <v>0.4</v>
      </c>
      <c r="J357" s="56" t="s">
        <v>115</v>
      </c>
      <c r="K357" s="56"/>
      <c r="L357" s="56">
        <f>4/30</f>
        <v>0.133333333333333</v>
      </c>
      <c r="M357" s="56">
        <f>17/30</f>
        <v>0.566666666666667</v>
      </c>
      <c r="P357" s="56">
        <f>4/30</f>
        <v>0.133333333333333</v>
      </c>
      <c r="Q357" s="56">
        <f>18/30</f>
        <v>0.6</v>
      </c>
      <c r="T357" s="11">
        <v>2.4</v>
      </c>
      <c r="U357" s="65"/>
      <c r="V357" s="65"/>
      <c r="AD357" s="69"/>
      <c r="AE357" s="69"/>
      <c r="AK357" s="97">
        <v>0</v>
      </c>
      <c r="AZ357" s="69"/>
    </row>
    <row r="358" s="11" customFormat="1" ht="16.5" spans="1:52">
      <c r="A358" s="115">
        <v>1199</v>
      </c>
      <c r="B358" s="70" t="s">
        <v>932</v>
      </c>
      <c r="C358" s="111" t="s">
        <v>933</v>
      </c>
      <c r="D358" s="56">
        <v>1</v>
      </c>
      <c r="F358" s="11">
        <v>1</v>
      </c>
      <c r="G358" s="56">
        <v>2.8</v>
      </c>
      <c r="H358" s="56">
        <v>2.8</v>
      </c>
      <c r="I358" s="56">
        <v>0.5</v>
      </c>
      <c r="J358" s="56" t="s">
        <v>115</v>
      </c>
      <c r="K358" s="56"/>
      <c r="L358" s="56">
        <f>3/30</f>
        <v>0.1</v>
      </c>
      <c r="M358" s="56">
        <f>18/30</f>
        <v>0.6</v>
      </c>
      <c r="P358" s="56">
        <f>2/30</f>
        <v>0.0666666666666667</v>
      </c>
      <c r="Q358" s="56">
        <f t="shared" si="43"/>
        <v>0.566666666666667</v>
      </c>
      <c r="T358" s="11">
        <v>2.4</v>
      </c>
      <c r="U358" s="65"/>
      <c r="V358" s="65"/>
      <c r="AD358" s="69"/>
      <c r="AE358" s="69"/>
      <c r="AK358" s="97">
        <v>0</v>
      </c>
      <c r="AZ358" s="69"/>
    </row>
    <row r="359" s="11" customFormat="1" ht="16.5" spans="1:52">
      <c r="A359" s="116">
        <v>1200</v>
      </c>
      <c r="B359" s="70" t="s">
        <v>934</v>
      </c>
      <c r="C359" s="111" t="s">
        <v>935</v>
      </c>
      <c r="D359" s="56">
        <v>1</v>
      </c>
      <c r="E359" s="11">
        <v>1</v>
      </c>
      <c r="F359" s="11">
        <v>1.12</v>
      </c>
      <c r="G359" s="56">
        <v>1.93</v>
      </c>
      <c r="H359" s="56">
        <v>2.36</v>
      </c>
      <c r="I359" s="56">
        <v>0.45</v>
      </c>
      <c r="J359" s="56" t="s">
        <v>115</v>
      </c>
      <c r="K359" s="56"/>
      <c r="L359" s="56">
        <f>1/6</f>
        <v>0.166666666666667</v>
      </c>
      <c r="M359" s="56">
        <v>0.6</v>
      </c>
      <c r="P359" s="56">
        <f>1/6</f>
        <v>0.166666666666667</v>
      </c>
      <c r="Q359" s="56">
        <f>2/3</f>
        <v>0.666666666666667</v>
      </c>
      <c r="T359" s="11">
        <v>2.4</v>
      </c>
      <c r="U359" s="65"/>
      <c r="V359" s="65"/>
      <c r="AD359" s="69"/>
      <c r="AE359" s="69"/>
      <c r="AF359" s="11">
        <v>801</v>
      </c>
      <c r="AG359" s="11" t="s">
        <v>116</v>
      </c>
      <c r="AH359" s="11" t="s">
        <v>121</v>
      </c>
      <c r="AK359" s="97">
        <v>0</v>
      </c>
      <c r="AZ359" s="69"/>
    </row>
    <row r="360" s="11" customFormat="1" ht="16.5" spans="1:52">
      <c r="A360" s="116">
        <v>1201</v>
      </c>
      <c r="B360" s="70" t="s">
        <v>936</v>
      </c>
      <c r="C360" s="111" t="s">
        <v>937</v>
      </c>
      <c r="D360" s="56">
        <v>1</v>
      </c>
      <c r="F360" s="11">
        <v>1</v>
      </c>
      <c r="G360" s="56">
        <v>9</v>
      </c>
      <c r="H360" s="56">
        <v>4.35</v>
      </c>
      <c r="I360" s="56">
        <v>1.1</v>
      </c>
      <c r="J360" s="56" t="s">
        <v>115</v>
      </c>
      <c r="K360" s="56"/>
      <c r="L360" s="56">
        <f>3/30</f>
        <v>0.1</v>
      </c>
      <c r="M360" s="56">
        <f>19/30</f>
        <v>0.633333333333333</v>
      </c>
      <c r="P360" s="56">
        <f>3/30</f>
        <v>0.1</v>
      </c>
      <c r="Q360" s="56">
        <f>20/30</f>
        <v>0.666666666666667</v>
      </c>
      <c r="T360" s="11">
        <v>2.4</v>
      </c>
      <c r="U360" s="65"/>
      <c r="V360" s="65"/>
      <c r="AD360" s="69"/>
      <c r="AE360" s="69"/>
      <c r="AK360" s="97">
        <v>0</v>
      </c>
      <c r="AZ360" s="69"/>
    </row>
    <row r="361" s="11" customFormat="1" ht="16.5" spans="1:52">
      <c r="A361" s="116">
        <v>1202</v>
      </c>
      <c r="B361" s="70" t="s">
        <v>938</v>
      </c>
      <c r="C361" s="111" t="s">
        <v>939</v>
      </c>
      <c r="D361" s="56">
        <v>1</v>
      </c>
      <c r="F361" s="11">
        <v>1</v>
      </c>
      <c r="G361" s="56">
        <v>3.15</v>
      </c>
      <c r="H361" s="56">
        <v>3.7</v>
      </c>
      <c r="I361" s="56">
        <v>1.5</v>
      </c>
      <c r="J361" s="56" t="s">
        <v>865</v>
      </c>
      <c r="K361" s="56"/>
      <c r="L361" s="56">
        <v>0.133333333333333</v>
      </c>
      <c r="M361" s="56">
        <v>0.4</v>
      </c>
      <c r="P361" s="56">
        <v>0.2</v>
      </c>
      <c r="Q361" s="11">
        <v>0.566666666666667</v>
      </c>
      <c r="T361" s="11">
        <v>2.4</v>
      </c>
      <c r="U361" s="65"/>
      <c r="V361" s="65"/>
      <c r="AD361" s="69"/>
      <c r="AE361" s="69"/>
      <c r="AK361" s="97">
        <v>0</v>
      </c>
      <c r="AZ361" s="69"/>
    </row>
    <row r="362" s="11" customFormat="1" ht="16.5" spans="1:52">
      <c r="A362" s="116">
        <v>1203</v>
      </c>
      <c r="B362" s="70" t="s">
        <v>940</v>
      </c>
      <c r="C362" s="111" t="s">
        <v>941</v>
      </c>
      <c r="D362" s="56">
        <v>1</v>
      </c>
      <c r="F362" s="11">
        <v>1</v>
      </c>
      <c r="G362" s="56">
        <v>1.5</v>
      </c>
      <c r="H362" s="56">
        <v>1.5</v>
      </c>
      <c r="I362" s="56">
        <v>2</v>
      </c>
      <c r="J362" s="56" t="s">
        <v>865</v>
      </c>
      <c r="K362" s="56"/>
      <c r="L362" s="56">
        <v>0.166666666666667</v>
      </c>
      <c r="M362" s="56">
        <v>0.5</v>
      </c>
      <c r="P362" s="56">
        <v>0.1</v>
      </c>
      <c r="Q362" s="56">
        <v>0.466666666666667</v>
      </c>
      <c r="T362" s="11">
        <v>2.4</v>
      </c>
      <c r="U362" s="65"/>
      <c r="V362" s="65"/>
      <c r="AD362" s="69"/>
      <c r="AE362" s="69"/>
      <c r="AK362" s="97">
        <v>0</v>
      </c>
      <c r="AZ362" s="69"/>
    </row>
    <row r="363" s="11" customFormat="1" ht="16.5" spans="1:52">
      <c r="A363" s="116">
        <v>1204</v>
      </c>
      <c r="B363" s="70" t="s">
        <v>942</v>
      </c>
      <c r="C363" s="111" t="s">
        <v>943</v>
      </c>
      <c r="D363" s="56">
        <v>1</v>
      </c>
      <c r="F363" s="11">
        <v>0.9</v>
      </c>
      <c r="G363" s="56">
        <v>2</v>
      </c>
      <c r="H363" s="56">
        <v>3.6</v>
      </c>
      <c r="I363" s="56">
        <v>4</v>
      </c>
      <c r="J363" s="56" t="s">
        <v>865</v>
      </c>
      <c r="K363" s="56"/>
      <c r="L363" s="56">
        <v>0.1</v>
      </c>
      <c r="M363" s="56">
        <v>0.566666666666667</v>
      </c>
      <c r="P363" s="56">
        <v>0.1</v>
      </c>
      <c r="Q363" s="56">
        <v>0.5</v>
      </c>
      <c r="T363" s="11">
        <v>2.4</v>
      </c>
      <c r="U363" s="65"/>
      <c r="V363" s="65"/>
      <c r="AD363" s="69"/>
      <c r="AE363" s="69"/>
      <c r="AK363" s="97">
        <v>0</v>
      </c>
      <c r="AZ363" s="69"/>
    </row>
    <row r="364" s="11" customFormat="1" ht="16.5" spans="1:52">
      <c r="A364" s="116">
        <v>1205</v>
      </c>
      <c r="B364" s="70" t="s">
        <v>944</v>
      </c>
      <c r="C364" s="111" t="s">
        <v>945</v>
      </c>
      <c r="D364" s="56">
        <v>1</v>
      </c>
      <c r="F364" s="11">
        <v>0.85</v>
      </c>
      <c r="G364" s="56">
        <v>2</v>
      </c>
      <c r="H364" s="56">
        <v>7.2</v>
      </c>
      <c r="I364" s="56">
        <v>3.1</v>
      </c>
      <c r="J364" s="56" t="s">
        <v>865</v>
      </c>
      <c r="K364" s="56"/>
      <c r="L364" s="56">
        <v>0.166666666666667</v>
      </c>
      <c r="M364" s="56">
        <v>0.533333333333333</v>
      </c>
      <c r="P364" s="56">
        <v>0.166666666666667</v>
      </c>
      <c r="Q364" s="56">
        <v>0.5</v>
      </c>
      <c r="T364" s="11">
        <v>2.4</v>
      </c>
      <c r="U364" s="65"/>
      <c r="V364" s="65"/>
      <c r="AD364" s="69"/>
      <c r="AE364" s="69"/>
      <c r="AK364" s="97">
        <v>0</v>
      </c>
      <c r="AZ364" s="69"/>
    </row>
    <row r="365" s="11" customFormat="1" ht="16.5" spans="1:52">
      <c r="A365" s="116">
        <v>1206</v>
      </c>
      <c r="B365" s="70" t="s">
        <v>946</v>
      </c>
      <c r="C365" s="111" t="s">
        <v>947</v>
      </c>
      <c r="D365" s="56">
        <v>1</v>
      </c>
      <c r="F365" s="11">
        <v>1</v>
      </c>
      <c r="G365" s="56">
        <v>1.2</v>
      </c>
      <c r="H365" s="56">
        <v>3.7</v>
      </c>
      <c r="I365" s="56">
        <v>0.5</v>
      </c>
      <c r="J365" s="56" t="s">
        <v>115</v>
      </c>
      <c r="K365" s="56"/>
      <c r="L365" s="56">
        <v>0.166666666666667</v>
      </c>
      <c r="M365" s="56">
        <v>0.533333333333333</v>
      </c>
      <c r="P365" s="56">
        <v>0.1</v>
      </c>
      <c r="Q365" s="56">
        <v>0.5</v>
      </c>
      <c r="T365" s="11">
        <v>2.4</v>
      </c>
      <c r="U365" s="65"/>
      <c r="V365" s="65"/>
      <c r="AD365" s="69"/>
      <c r="AE365" s="69"/>
      <c r="AK365" s="97">
        <v>0</v>
      </c>
      <c r="AZ365" s="69"/>
    </row>
    <row r="366" s="11" customFormat="1" ht="16.5" spans="1:52">
      <c r="A366" s="116">
        <v>1207</v>
      </c>
      <c r="B366" s="70" t="s">
        <v>948</v>
      </c>
      <c r="C366" s="111" t="s">
        <v>949</v>
      </c>
      <c r="D366" s="56">
        <v>1</v>
      </c>
      <c r="F366" s="11">
        <v>1</v>
      </c>
      <c r="G366" s="56">
        <v>1.85</v>
      </c>
      <c r="H366" s="56">
        <v>2.2</v>
      </c>
      <c r="I366" s="56">
        <v>0.5</v>
      </c>
      <c r="J366" s="56" t="s">
        <v>115</v>
      </c>
      <c r="K366" s="56"/>
      <c r="L366" s="56">
        <v>0.1</v>
      </c>
      <c r="M366" s="56">
        <v>0.5</v>
      </c>
      <c r="P366" s="56">
        <v>0.1</v>
      </c>
      <c r="Q366" s="56">
        <v>0.5</v>
      </c>
      <c r="T366" s="11">
        <v>2.4</v>
      </c>
      <c r="U366" s="65"/>
      <c r="V366" s="65"/>
      <c r="AD366" s="69"/>
      <c r="AE366" s="69"/>
      <c r="AK366" s="97">
        <v>0</v>
      </c>
      <c r="AZ366" s="69"/>
    </row>
    <row r="367" s="11" customFormat="1" ht="16.5" spans="1:52">
      <c r="A367" s="116">
        <v>1208</v>
      </c>
      <c r="B367" s="70" t="s">
        <v>950</v>
      </c>
      <c r="C367" s="111" t="s">
        <v>949</v>
      </c>
      <c r="D367" s="56">
        <v>1</v>
      </c>
      <c r="F367" s="11">
        <v>1</v>
      </c>
      <c r="G367" s="56">
        <v>1.85</v>
      </c>
      <c r="H367" s="56">
        <v>2.2</v>
      </c>
      <c r="I367" s="56">
        <v>0.5</v>
      </c>
      <c r="J367" s="56" t="s">
        <v>115</v>
      </c>
      <c r="K367" s="56"/>
      <c r="L367" s="56">
        <v>0.0666666666666667</v>
      </c>
      <c r="M367" s="56">
        <v>0.466666666666667</v>
      </c>
      <c r="P367" s="56">
        <v>0.0666666666666667</v>
      </c>
      <c r="Q367" s="56">
        <v>0.533333333333333</v>
      </c>
      <c r="T367" s="11">
        <v>2.4</v>
      </c>
      <c r="U367" s="65"/>
      <c r="V367" s="65"/>
      <c r="AD367" s="69"/>
      <c r="AE367" s="69"/>
      <c r="AK367" s="97">
        <v>0</v>
      </c>
      <c r="AZ367" s="69"/>
    </row>
    <row r="368" s="11" customFormat="1" ht="16.5" spans="1:52">
      <c r="A368" s="116">
        <v>1209</v>
      </c>
      <c r="B368" s="70" t="s">
        <v>951</v>
      </c>
      <c r="C368" s="111" t="s">
        <v>952</v>
      </c>
      <c r="D368" s="56">
        <v>1</v>
      </c>
      <c r="F368" s="11">
        <v>1</v>
      </c>
      <c r="G368" s="56">
        <v>1.71</v>
      </c>
      <c r="H368" s="56">
        <v>1.9</v>
      </c>
      <c r="I368" s="56">
        <v>0.5</v>
      </c>
      <c r="J368" s="56" t="s">
        <v>115</v>
      </c>
      <c r="K368" s="56"/>
      <c r="L368" s="56">
        <v>0.233333333333333</v>
      </c>
      <c r="M368" s="56">
        <v>0.666666666666667</v>
      </c>
      <c r="P368" s="56">
        <v>0.2</v>
      </c>
      <c r="Q368" s="56">
        <v>0.633333333333333</v>
      </c>
      <c r="T368" s="11">
        <v>2.4</v>
      </c>
      <c r="U368" s="65"/>
      <c r="V368" s="65"/>
      <c r="AD368" s="69"/>
      <c r="AE368" s="69"/>
      <c r="AK368" s="97">
        <v>0</v>
      </c>
      <c r="AZ368" s="69"/>
    </row>
    <row r="369" s="11" customFormat="1" ht="16.5" spans="1:52">
      <c r="A369" s="116">
        <v>1210</v>
      </c>
      <c r="B369" s="70" t="s">
        <v>953</v>
      </c>
      <c r="C369" s="111" t="s">
        <v>952</v>
      </c>
      <c r="D369" s="56">
        <v>1</v>
      </c>
      <c r="F369" s="11">
        <v>1</v>
      </c>
      <c r="G369" s="56">
        <v>1.71</v>
      </c>
      <c r="H369" s="56">
        <v>1.9</v>
      </c>
      <c r="I369" s="56">
        <v>0.5</v>
      </c>
      <c r="J369" s="56" t="s">
        <v>115</v>
      </c>
      <c r="K369" s="56"/>
      <c r="L369" s="56">
        <v>0.1</v>
      </c>
      <c r="M369" s="56">
        <v>0.466666666666667</v>
      </c>
      <c r="P369" s="56">
        <v>0.1</v>
      </c>
      <c r="Q369" s="56">
        <v>0.433333333333333</v>
      </c>
      <c r="T369" s="11">
        <v>2.4</v>
      </c>
      <c r="U369" s="65"/>
      <c r="V369" s="65"/>
      <c r="AD369" s="69"/>
      <c r="AE369" s="69"/>
      <c r="AK369" s="97">
        <v>0</v>
      </c>
      <c r="AZ369" s="69"/>
    </row>
    <row r="370" s="11" customFormat="1" ht="16.5" spans="1:52">
      <c r="A370" s="116">
        <v>1211</v>
      </c>
      <c r="B370" s="70" t="s">
        <v>954</v>
      </c>
      <c r="C370" s="111" t="s">
        <v>955</v>
      </c>
      <c r="D370" s="56">
        <v>1</v>
      </c>
      <c r="F370" s="11">
        <v>1</v>
      </c>
      <c r="G370" s="56">
        <v>2</v>
      </c>
      <c r="H370" s="56">
        <v>2.7</v>
      </c>
      <c r="I370" s="56">
        <v>1.2</v>
      </c>
      <c r="J370" s="56" t="s">
        <v>865</v>
      </c>
      <c r="K370" s="56"/>
      <c r="L370" s="56">
        <v>0.1</v>
      </c>
      <c r="M370" s="56">
        <v>0.533333333333333</v>
      </c>
      <c r="P370" s="56">
        <v>0.1</v>
      </c>
      <c r="Q370" s="56">
        <v>0.533333333333333</v>
      </c>
      <c r="T370" s="11">
        <v>2.4</v>
      </c>
      <c r="U370" s="65"/>
      <c r="V370" s="65"/>
      <c r="AD370" s="69"/>
      <c r="AE370" s="69"/>
      <c r="AK370" s="97">
        <v>0</v>
      </c>
      <c r="AZ370" s="69"/>
    </row>
    <row r="371" s="11" customFormat="1" ht="16.5" spans="1:52">
      <c r="A371" s="116">
        <v>1212</v>
      </c>
      <c r="B371" s="70" t="s">
        <v>956</v>
      </c>
      <c r="C371" s="111" t="s">
        <v>955</v>
      </c>
      <c r="D371" s="56">
        <v>1</v>
      </c>
      <c r="F371" s="11">
        <v>1</v>
      </c>
      <c r="G371" s="56">
        <v>3.5</v>
      </c>
      <c r="H371" s="56">
        <v>4</v>
      </c>
      <c r="I371" s="56">
        <v>0.6</v>
      </c>
      <c r="J371" s="56" t="s">
        <v>865</v>
      </c>
      <c r="K371" s="56"/>
      <c r="L371" s="56">
        <v>0.1</v>
      </c>
      <c r="M371" s="56">
        <v>0.566666666666667</v>
      </c>
      <c r="P371" s="56">
        <v>0.1</v>
      </c>
      <c r="Q371" s="56">
        <v>0.533333333333333</v>
      </c>
      <c r="T371" s="11">
        <v>2.4</v>
      </c>
      <c r="U371" s="65"/>
      <c r="V371" s="65"/>
      <c r="AD371" s="69"/>
      <c r="AE371" s="69"/>
      <c r="AK371" s="97">
        <v>0</v>
      </c>
      <c r="AZ371" s="69"/>
    </row>
    <row r="372" s="11" customFormat="1" ht="16.5" spans="1:52">
      <c r="A372" s="116">
        <v>1213</v>
      </c>
      <c r="B372" s="70" t="s">
        <v>957</v>
      </c>
      <c r="C372" s="111" t="s">
        <v>958</v>
      </c>
      <c r="D372" s="56">
        <v>1</v>
      </c>
      <c r="F372" s="11">
        <v>0.9</v>
      </c>
      <c r="G372" s="56">
        <v>1.71</v>
      </c>
      <c r="H372" s="56">
        <v>5</v>
      </c>
      <c r="I372" s="56">
        <v>0.5</v>
      </c>
      <c r="J372" s="56" t="s">
        <v>115</v>
      </c>
      <c r="K372" s="56"/>
      <c r="L372" s="56">
        <v>0.133333333333333</v>
      </c>
      <c r="M372" s="56">
        <v>0.433333333333333</v>
      </c>
      <c r="P372" s="56">
        <v>0.133333333333333</v>
      </c>
      <c r="Q372" s="56">
        <v>0.433333333333333</v>
      </c>
      <c r="T372" s="11">
        <v>2.4</v>
      </c>
      <c r="U372" s="65"/>
      <c r="V372" s="65"/>
      <c r="AD372" s="69"/>
      <c r="AE372" s="69"/>
      <c r="AK372" s="97">
        <v>0</v>
      </c>
      <c r="AZ372" s="69"/>
    </row>
    <row r="373" s="11" customFormat="1" ht="16.5" spans="1:52">
      <c r="A373" s="116">
        <v>1214</v>
      </c>
      <c r="B373" s="70" t="s">
        <v>959</v>
      </c>
      <c r="C373" s="111" t="s">
        <v>960</v>
      </c>
      <c r="D373" s="56">
        <v>1</v>
      </c>
      <c r="F373" s="11">
        <v>0.9</v>
      </c>
      <c r="G373" s="56">
        <v>1.71</v>
      </c>
      <c r="H373" s="56">
        <v>5</v>
      </c>
      <c r="I373" s="56">
        <v>0.5</v>
      </c>
      <c r="J373" s="56" t="s">
        <v>115</v>
      </c>
      <c r="K373" s="56"/>
      <c r="L373" s="56">
        <v>0.133333333333333</v>
      </c>
      <c r="M373" s="56">
        <v>0.433333333333333</v>
      </c>
      <c r="P373" s="56">
        <v>0.133333333333333</v>
      </c>
      <c r="Q373" s="56">
        <v>0.433333333333333</v>
      </c>
      <c r="T373" s="11">
        <v>2.4</v>
      </c>
      <c r="U373" s="65"/>
      <c r="V373" s="65"/>
      <c r="AD373" s="69"/>
      <c r="AE373" s="69"/>
      <c r="AK373" s="97">
        <v>0</v>
      </c>
      <c r="AZ373" s="69"/>
    </row>
    <row r="374" s="11" customFormat="1" ht="16.5" spans="1:52">
      <c r="A374" s="116">
        <v>1215</v>
      </c>
      <c r="B374" s="70" t="s">
        <v>961</v>
      </c>
      <c r="C374" s="111" t="s">
        <v>962</v>
      </c>
      <c r="D374" s="56">
        <v>1</v>
      </c>
      <c r="F374" s="11">
        <v>0.3</v>
      </c>
      <c r="G374" s="56">
        <v>1.2</v>
      </c>
      <c r="H374" s="56">
        <v>3.3</v>
      </c>
      <c r="I374" s="56">
        <v>0.5</v>
      </c>
      <c r="J374" s="56" t="s">
        <v>115</v>
      </c>
      <c r="K374" s="56"/>
      <c r="L374" s="56">
        <f>4/30</f>
        <v>0.133333333333333</v>
      </c>
      <c r="M374" s="56">
        <f>12/30</f>
        <v>0.4</v>
      </c>
      <c r="P374" s="56">
        <f>4/30</f>
        <v>0.133333333333333</v>
      </c>
      <c r="Q374" s="56">
        <f>12/30</f>
        <v>0.4</v>
      </c>
      <c r="T374" s="11">
        <v>2.4</v>
      </c>
      <c r="U374" s="65"/>
      <c r="V374" s="65"/>
      <c r="AD374" s="69"/>
      <c r="AE374" s="69"/>
      <c r="AK374" s="97">
        <v>0</v>
      </c>
      <c r="AZ374" s="69"/>
    </row>
    <row r="375" s="11" customFormat="1" ht="16.5" spans="1:52">
      <c r="A375" s="116">
        <v>1216</v>
      </c>
      <c r="B375" s="70" t="s">
        <v>963</v>
      </c>
      <c r="C375" s="111" t="s">
        <v>964</v>
      </c>
      <c r="D375" s="56">
        <v>1</v>
      </c>
      <c r="F375" s="11">
        <v>1</v>
      </c>
      <c r="G375" s="56">
        <v>1.71</v>
      </c>
      <c r="H375" s="56">
        <v>2.74</v>
      </c>
      <c r="I375" s="56">
        <v>0.35</v>
      </c>
      <c r="J375" s="56" t="s">
        <v>115</v>
      </c>
      <c r="K375" s="56"/>
      <c r="L375" s="56">
        <f>4/30</f>
        <v>0.133333333333333</v>
      </c>
      <c r="M375" s="56">
        <f>12/30</f>
        <v>0.4</v>
      </c>
      <c r="P375" s="56">
        <f>4/30</f>
        <v>0.133333333333333</v>
      </c>
      <c r="Q375" s="56">
        <f>12/30</f>
        <v>0.4</v>
      </c>
      <c r="T375" s="11">
        <v>2.4</v>
      </c>
      <c r="U375" s="65"/>
      <c r="V375" s="65"/>
      <c r="AD375" s="69"/>
      <c r="AE375" s="69"/>
      <c r="AK375" s="97">
        <v>0</v>
      </c>
      <c r="AZ375" s="69"/>
    </row>
    <row r="376" s="11" customFormat="1" ht="16.5" spans="1:52">
      <c r="A376" s="116">
        <v>1217</v>
      </c>
      <c r="B376" s="70" t="s">
        <v>965</v>
      </c>
      <c r="C376" s="111" t="s">
        <v>966</v>
      </c>
      <c r="D376" s="56">
        <v>1</v>
      </c>
      <c r="F376" s="11">
        <v>1</v>
      </c>
      <c r="G376" s="56">
        <v>2.2</v>
      </c>
      <c r="H376" s="56">
        <v>2.8</v>
      </c>
      <c r="I376" s="56">
        <v>0.35</v>
      </c>
      <c r="J376" s="56" t="s">
        <v>115</v>
      </c>
      <c r="K376" s="56"/>
      <c r="L376" s="56">
        <f>5/30</f>
        <v>0.166666666666667</v>
      </c>
      <c r="M376" s="56">
        <f>18/30</f>
        <v>0.6</v>
      </c>
      <c r="P376" s="56">
        <f t="shared" ref="P376:P380" si="44">3/30</f>
        <v>0.1</v>
      </c>
      <c r="Q376" s="56">
        <f>20/30</f>
        <v>0.666666666666667</v>
      </c>
      <c r="T376" s="11">
        <v>2.4</v>
      </c>
      <c r="U376" s="65"/>
      <c r="V376" s="65"/>
      <c r="AD376" s="69"/>
      <c r="AE376" s="69"/>
      <c r="AK376" s="97">
        <v>0</v>
      </c>
      <c r="AZ376" s="69"/>
    </row>
    <row r="377" s="11" customFormat="1" ht="16.5" spans="1:52">
      <c r="A377" s="116">
        <v>1218</v>
      </c>
      <c r="B377" s="70" t="s">
        <v>967</v>
      </c>
      <c r="C377" s="111" t="s">
        <v>968</v>
      </c>
      <c r="D377" s="56">
        <v>1</v>
      </c>
      <c r="F377" s="11">
        <v>1</v>
      </c>
      <c r="G377" s="56">
        <v>2.2</v>
      </c>
      <c r="H377" s="56">
        <v>3</v>
      </c>
      <c r="I377" s="56">
        <v>0.4</v>
      </c>
      <c r="J377" s="56" t="s">
        <v>115</v>
      </c>
      <c r="K377" s="56"/>
      <c r="L377" s="56">
        <f>3/30</f>
        <v>0.1</v>
      </c>
      <c r="M377" s="56">
        <f>15/30</f>
        <v>0.5</v>
      </c>
      <c r="P377" s="56">
        <f>2/30</f>
        <v>0.0666666666666667</v>
      </c>
      <c r="Q377" s="56">
        <f>16/30</f>
        <v>0.533333333333333</v>
      </c>
      <c r="T377" s="11">
        <v>2.4</v>
      </c>
      <c r="U377" s="65"/>
      <c r="V377" s="65"/>
      <c r="AD377" s="69"/>
      <c r="AE377" s="69"/>
      <c r="AK377" s="97">
        <v>0</v>
      </c>
      <c r="AZ377" s="69"/>
    </row>
    <row r="378" s="11" customFormat="1" ht="16.5" spans="1:52">
      <c r="A378" s="117">
        <v>1219</v>
      </c>
      <c r="B378" s="70" t="s">
        <v>969</v>
      </c>
      <c r="C378" s="111" t="s">
        <v>970</v>
      </c>
      <c r="D378" s="56">
        <v>1</v>
      </c>
      <c r="F378" s="11">
        <v>1</v>
      </c>
      <c r="G378" s="56">
        <v>1.5</v>
      </c>
      <c r="H378" s="56">
        <v>1.8</v>
      </c>
      <c r="I378" s="56">
        <v>0.3</v>
      </c>
      <c r="J378" s="56" t="s">
        <v>115</v>
      </c>
      <c r="K378" s="56"/>
      <c r="L378" s="56">
        <f>3/30</f>
        <v>0.1</v>
      </c>
      <c r="M378" s="56">
        <f>14/30</f>
        <v>0.466666666666667</v>
      </c>
      <c r="P378" s="56">
        <f t="shared" si="44"/>
        <v>0.1</v>
      </c>
      <c r="Q378" s="56">
        <f>14/30</f>
        <v>0.466666666666667</v>
      </c>
      <c r="T378" s="11">
        <v>2.4</v>
      </c>
      <c r="U378" s="65"/>
      <c r="V378" s="65"/>
      <c r="AD378" s="69"/>
      <c r="AE378" s="69"/>
      <c r="AK378" s="97">
        <v>0</v>
      </c>
      <c r="AZ378" s="69"/>
    </row>
    <row r="379" s="11" customFormat="1" ht="16.5" spans="1:52">
      <c r="A379" s="117">
        <v>1220</v>
      </c>
      <c r="B379" s="70" t="s">
        <v>971</v>
      </c>
      <c r="C379" s="111" t="s">
        <v>972</v>
      </c>
      <c r="D379" s="56">
        <v>1</v>
      </c>
      <c r="F379" s="11">
        <v>1</v>
      </c>
      <c r="G379" s="56">
        <v>2.5</v>
      </c>
      <c r="H379" s="56">
        <v>2.6</v>
      </c>
      <c r="I379" s="56">
        <v>2</v>
      </c>
      <c r="J379" s="56" t="s">
        <v>865</v>
      </c>
      <c r="K379" s="56"/>
      <c r="L379" s="56">
        <f t="shared" ref="L379:L383" si="45">2/30</f>
        <v>0.0666666666666667</v>
      </c>
      <c r="M379" s="56">
        <f>13/30</f>
        <v>0.433333333333333</v>
      </c>
      <c r="P379" s="56">
        <f t="shared" si="44"/>
        <v>0.1</v>
      </c>
      <c r="Q379" s="56">
        <f>13/30</f>
        <v>0.433333333333333</v>
      </c>
      <c r="T379" s="11">
        <v>2.4</v>
      </c>
      <c r="U379" s="65"/>
      <c r="V379" s="65"/>
      <c r="AD379" s="69"/>
      <c r="AE379" s="69"/>
      <c r="AK379" s="97">
        <v>0</v>
      </c>
      <c r="AZ379" s="69"/>
    </row>
    <row r="380" s="11" customFormat="1" ht="16.5" spans="1:52">
      <c r="A380" s="117">
        <v>1221</v>
      </c>
      <c r="B380" s="70" t="s">
        <v>973</v>
      </c>
      <c r="C380" s="111" t="s">
        <v>974</v>
      </c>
      <c r="D380" s="56">
        <v>1</v>
      </c>
      <c r="F380" s="11">
        <v>0.9</v>
      </c>
      <c r="G380" s="56">
        <v>2.8</v>
      </c>
      <c r="H380" s="56">
        <v>2.8</v>
      </c>
      <c r="I380" s="56">
        <v>2</v>
      </c>
      <c r="J380" s="56" t="s">
        <v>865</v>
      </c>
      <c r="K380" s="56"/>
      <c r="L380" s="56">
        <f t="shared" si="45"/>
        <v>0.0666666666666667</v>
      </c>
      <c r="M380" s="56">
        <f>16/30</f>
        <v>0.533333333333333</v>
      </c>
      <c r="P380" s="56">
        <f t="shared" si="44"/>
        <v>0.1</v>
      </c>
      <c r="Q380" s="56">
        <f>16/30</f>
        <v>0.533333333333333</v>
      </c>
      <c r="T380" s="11">
        <v>2.4</v>
      </c>
      <c r="U380" s="65"/>
      <c r="V380" s="65"/>
      <c r="AD380" s="69"/>
      <c r="AE380" s="69"/>
      <c r="AK380" s="97">
        <v>0</v>
      </c>
      <c r="AZ380" s="69"/>
    </row>
    <row r="381" s="11" customFormat="1" ht="16.5" spans="1:52">
      <c r="A381" s="117">
        <v>1222</v>
      </c>
      <c r="B381" s="70" t="s">
        <v>975</v>
      </c>
      <c r="C381" s="111" t="s">
        <v>976</v>
      </c>
      <c r="D381" s="56">
        <v>1</v>
      </c>
      <c r="F381" s="11">
        <v>0.9</v>
      </c>
      <c r="G381" s="56">
        <v>4</v>
      </c>
      <c r="H381" s="56">
        <v>4</v>
      </c>
      <c r="I381" s="56">
        <v>2</v>
      </c>
      <c r="J381" s="56" t="s">
        <v>865</v>
      </c>
      <c r="K381" s="56"/>
      <c r="L381" s="56">
        <f t="shared" si="45"/>
        <v>0.0666666666666667</v>
      </c>
      <c r="M381" s="56">
        <f>19/30</f>
        <v>0.633333333333333</v>
      </c>
      <c r="P381" s="56">
        <v>0.1</v>
      </c>
      <c r="Q381" s="56">
        <f>19/30</f>
        <v>0.633333333333333</v>
      </c>
      <c r="T381" s="11">
        <v>2.4</v>
      </c>
      <c r="U381" s="65"/>
      <c r="V381" s="65"/>
      <c r="AD381" s="69"/>
      <c r="AE381" s="69"/>
      <c r="AK381" s="97">
        <v>0</v>
      </c>
      <c r="AZ381" s="69"/>
    </row>
    <row r="382" s="11" customFormat="1" ht="16.5" spans="1:52">
      <c r="A382" s="117">
        <v>1223</v>
      </c>
      <c r="B382" s="70" t="s">
        <v>977</v>
      </c>
      <c r="C382" s="111" t="s">
        <v>978</v>
      </c>
      <c r="D382" s="56">
        <v>1</v>
      </c>
      <c r="F382" s="11">
        <v>0.8</v>
      </c>
      <c r="G382" s="56">
        <v>2.85</v>
      </c>
      <c r="H382" s="56">
        <v>3.3</v>
      </c>
      <c r="I382" s="56">
        <v>0.5</v>
      </c>
      <c r="J382" s="56" t="s">
        <v>115</v>
      </c>
      <c r="K382" s="56"/>
      <c r="L382" s="56">
        <f t="shared" si="45"/>
        <v>0.0666666666666667</v>
      </c>
      <c r="M382" s="56">
        <f t="shared" ref="M382:M386" si="46">14/30</f>
        <v>0.466666666666667</v>
      </c>
      <c r="P382" s="56">
        <v>0.1</v>
      </c>
      <c r="Q382" s="56">
        <f>14/30</f>
        <v>0.466666666666667</v>
      </c>
      <c r="T382" s="11">
        <v>2.4</v>
      </c>
      <c r="U382" s="65"/>
      <c r="V382" s="65"/>
      <c r="AD382" s="69"/>
      <c r="AE382" s="69"/>
      <c r="AK382" s="97">
        <v>0</v>
      </c>
      <c r="AZ382" s="69"/>
    </row>
    <row r="383" s="11" customFormat="1" ht="16.5" spans="1:52">
      <c r="A383" s="117">
        <v>1224</v>
      </c>
      <c r="B383" s="70" t="s">
        <v>979</v>
      </c>
      <c r="C383" s="111" t="s">
        <v>980</v>
      </c>
      <c r="D383" s="56">
        <v>1</v>
      </c>
      <c r="F383" s="11">
        <v>1</v>
      </c>
      <c r="G383" s="56">
        <v>1.5</v>
      </c>
      <c r="H383" s="56">
        <v>1.95</v>
      </c>
      <c r="I383" s="56">
        <v>0.3</v>
      </c>
      <c r="J383" s="56" t="s">
        <v>115</v>
      </c>
      <c r="K383" s="56"/>
      <c r="L383" s="56">
        <f t="shared" si="45"/>
        <v>0.0666666666666667</v>
      </c>
      <c r="M383" s="56">
        <f t="shared" ref="M383:M389" si="47">15/30</f>
        <v>0.5</v>
      </c>
      <c r="P383" s="56">
        <f>4/30</f>
        <v>0.133333333333333</v>
      </c>
      <c r="Q383" s="56">
        <f t="shared" ref="Q383:Q387" si="48">15/30</f>
        <v>0.5</v>
      </c>
      <c r="T383" s="11">
        <v>2.4</v>
      </c>
      <c r="U383" s="65"/>
      <c r="V383" s="65"/>
      <c r="AD383" s="69"/>
      <c r="AE383" s="69"/>
      <c r="AK383" s="97">
        <v>0</v>
      </c>
      <c r="AZ383" s="69"/>
    </row>
    <row r="384" s="11" customFormat="1" ht="16.5" spans="1:52">
      <c r="A384" s="117">
        <v>1225</v>
      </c>
      <c r="B384" s="70" t="s">
        <v>981</v>
      </c>
      <c r="C384" s="111" t="s">
        <v>982</v>
      </c>
      <c r="D384" s="56">
        <v>1</v>
      </c>
      <c r="F384" s="11">
        <v>1</v>
      </c>
      <c r="G384" s="56">
        <v>1.5</v>
      </c>
      <c r="H384" s="56">
        <v>2</v>
      </c>
      <c r="I384" s="56">
        <v>0.3</v>
      </c>
      <c r="J384" s="56" t="s">
        <v>115</v>
      </c>
      <c r="K384" s="56"/>
      <c r="L384" s="56">
        <f>4/30</f>
        <v>0.133333333333333</v>
      </c>
      <c r="M384" s="56">
        <f t="shared" si="47"/>
        <v>0.5</v>
      </c>
      <c r="P384" s="56">
        <f>5/30</f>
        <v>0.166666666666667</v>
      </c>
      <c r="Q384" s="56">
        <f t="shared" si="48"/>
        <v>0.5</v>
      </c>
      <c r="T384" s="11">
        <v>2.4</v>
      </c>
      <c r="U384" s="65"/>
      <c r="V384" s="65"/>
      <c r="AD384" s="69"/>
      <c r="AE384" s="69"/>
      <c r="AK384" s="97">
        <v>0</v>
      </c>
      <c r="AZ384" s="69"/>
    </row>
    <row r="385" s="11" customFormat="1" ht="16.5" spans="1:52">
      <c r="A385" s="117">
        <v>1226</v>
      </c>
      <c r="B385" s="70" t="s">
        <v>983</v>
      </c>
      <c r="C385" s="111" t="s">
        <v>984</v>
      </c>
      <c r="D385" s="56">
        <v>1</v>
      </c>
      <c r="F385" s="11">
        <v>1</v>
      </c>
      <c r="G385" s="56">
        <v>2.2</v>
      </c>
      <c r="H385" s="56">
        <v>2.3</v>
      </c>
      <c r="I385" s="56">
        <v>0.3</v>
      </c>
      <c r="J385" s="56" t="s">
        <v>115</v>
      </c>
      <c r="K385" s="56"/>
      <c r="L385" s="56">
        <f t="shared" ref="L385:L389" si="49">3/30</f>
        <v>0.1</v>
      </c>
      <c r="M385" s="56">
        <f t="shared" si="46"/>
        <v>0.466666666666667</v>
      </c>
      <c r="P385" s="56">
        <f t="shared" ref="P385:P387" si="50">3/30</f>
        <v>0.1</v>
      </c>
      <c r="Q385" s="56">
        <f t="shared" ref="Q385:Q389" si="51">14/30</f>
        <v>0.466666666666667</v>
      </c>
      <c r="T385" s="11">
        <v>2.4</v>
      </c>
      <c r="U385" s="65"/>
      <c r="V385" s="65"/>
      <c r="AD385" s="69"/>
      <c r="AE385" s="69"/>
      <c r="AK385" s="97">
        <v>0</v>
      </c>
      <c r="AZ385" s="69"/>
    </row>
    <row r="386" s="11" customFormat="1" ht="16.5" spans="1:52">
      <c r="A386" s="117">
        <v>1227</v>
      </c>
      <c r="B386" s="70" t="s">
        <v>985</v>
      </c>
      <c r="C386" s="111" t="s">
        <v>986</v>
      </c>
      <c r="D386" s="56">
        <v>1</v>
      </c>
      <c r="F386" s="11">
        <v>1</v>
      </c>
      <c r="G386" s="56">
        <v>2.2</v>
      </c>
      <c r="H386" s="56">
        <v>2.3</v>
      </c>
      <c r="I386" s="56">
        <v>0.3</v>
      </c>
      <c r="J386" s="56" t="s">
        <v>115</v>
      </c>
      <c r="K386" s="56"/>
      <c r="L386" s="56">
        <f t="shared" si="49"/>
        <v>0.1</v>
      </c>
      <c r="M386" s="56">
        <f t="shared" si="46"/>
        <v>0.466666666666667</v>
      </c>
      <c r="P386" s="56">
        <f t="shared" si="50"/>
        <v>0.1</v>
      </c>
      <c r="Q386" s="56">
        <f>13/30</f>
        <v>0.433333333333333</v>
      </c>
      <c r="T386" s="11">
        <v>2.4</v>
      </c>
      <c r="U386" s="65"/>
      <c r="V386" s="65"/>
      <c r="AD386" s="69"/>
      <c r="AE386" s="69"/>
      <c r="AK386" s="97">
        <v>0</v>
      </c>
      <c r="AZ386" s="69"/>
    </row>
    <row r="387" s="11" customFormat="1" ht="16.5" spans="1:52">
      <c r="A387" s="117">
        <v>1228</v>
      </c>
      <c r="B387" s="70" t="s">
        <v>987</v>
      </c>
      <c r="C387" s="111" t="s">
        <v>988</v>
      </c>
      <c r="D387" s="56">
        <v>1</v>
      </c>
      <c r="F387" s="11">
        <v>1</v>
      </c>
      <c r="G387" s="56">
        <v>2.2</v>
      </c>
      <c r="H387" s="56">
        <v>2.3</v>
      </c>
      <c r="I387" s="56">
        <v>0.3</v>
      </c>
      <c r="J387" s="56" t="s">
        <v>115</v>
      </c>
      <c r="K387" s="56"/>
      <c r="L387" s="56">
        <f t="shared" si="49"/>
        <v>0.1</v>
      </c>
      <c r="M387" s="56">
        <f t="shared" si="47"/>
        <v>0.5</v>
      </c>
      <c r="P387" s="56">
        <f t="shared" si="50"/>
        <v>0.1</v>
      </c>
      <c r="Q387" s="56">
        <f t="shared" si="48"/>
        <v>0.5</v>
      </c>
      <c r="T387" s="11">
        <v>2.4</v>
      </c>
      <c r="U387" s="65"/>
      <c r="V387" s="65"/>
      <c r="AD387" s="69"/>
      <c r="AE387" s="69"/>
      <c r="AK387" s="97">
        <v>0</v>
      </c>
      <c r="AZ387" s="69"/>
    </row>
    <row r="388" s="11" customFormat="1" ht="16.5" spans="1:52">
      <c r="A388" s="117">
        <v>1229</v>
      </c>
      <c r="B388" s="70" t="s">
        <v>989</v>
      </c>
      <c r="C388" s="111" t="s">
        <v>990</v>
      </c>
      <c r="D388" s="56">
        <v>1</v>
      </c>
      <c r="F388" s="11">
        <v>1</v>
      </c>
      <c r="G388" s="56">
        <v>3.2</v>
      </c>
      <c r="H388" s="56">
        <v>3.4</v>
      </c>
      <c r="I388" s="56">
        <v>0.5</v>
      </c>
      <c r="J388" s="56" t="s">
        <v>115</v>
      </c>
      <c r="K388" s="56"/>
      <c r="L388" s="56">
        <f t="shared" si="49"/>
        <v>0.1</v>
      </c>
      <c r="M388" s="56">
        <f t="shared" si="47"/>
        <v>0.5</v>
      </c>
      <c r="P388" s="56">
        <f>4/30</f>
        <v>0.133333333333333</v>
      </c>
      <c r="Q388" s="56">
        <f t="shared" si="51"/>
        <v>0.466666666666667</v>
      </c>
      <c r="T388" s="11">
        <v>2.4</v>
      </c>
      <c r="U388" s="65"/>
      <c r="V388" s="65"/>
      <c r="AD388" s="69"/>
      <c r="AE388" s="69"/>
      <c r="AK388" s="97">
        <v>0</v>
      </c>
      <c r="AZ388" s="69"/>
    </row>
    <row r="389" s="11" customFormat="1" ht="16.5" spans="1:52">
      <c r="A389" s="117">
        <v>1230</v>
      </c>
      <c r="B389" s="70" t="s">
        <v>991</v>
      </c>
      <c r="C389" s="111" t="s">
        <v>992</v>
      </c>
      <c r="D389" s="56">
        <v>1</v>
      </c>
      <c r="F389" s="11">
        <v>1</v>
      </c>
      <c r="G389" s="118">
        <v>3.2</v>
      </c>
      <c r="H389" s="118">
        <v>3.4</v>
      </c>
      <c r="I389" s="56">
        <v>0.5</v>
      </c>
      <c r="J389" s="56" t="s">
        <v>115</v>
      </c>
      <c r="K389" s="56"/>
      <c r="L389" s="56">
        <f t="shared" si="49"/>
        <v>0.1</v>
      </c>
      <c r="M389" s="56">
        <f t="shared" si="47"/>
        <v>0.5</v>
      </c>
      <c r="P389" s="56">
        <f>4/30</f>
        <v>0.133333333333333</v>
      </c>
      <c r="Q389" s="56">
        <f t="shared" si="51"/>
        <v>0.466666666666667</v>
      </c>
      <c r="T389" s="11">
        <v>2.4</v>
      </c>
      <c r="U389" s="65"/>
      <c r="V389" s="65"/>
      <c r="AD389" s="69"/>
      <c r="AE389" s="69"/>
      <c r="AK389" s="97">
        <v>0</v>
      </c>
      <c r="AZ389" s="69"/>
    </row>
    <row r="390" s="11" customFormat="1" ht="16.5" spans="1:52">
      <c r="A390" s="117">
        <v>1231</v>
      </c>
      <c r="B390" s="70" t="s">
        <v>993</v>
      </c>
      <c r="C390" s="111" t="s">
        <v>994</v>
      </c>
      <c r="D390" s="56">
        <v>1</v>
      </c>
      <c r="F390" s="11">
        <v>1</v>
      </c>
      <c r="G390" s="118">
        <v>1.8</v>
      </c>
      <c r="H390" s="56">
        <v>2.65</v>
      </c>
      <c r="I390" s="56">
        <v>0.5</v>
      </c>
      <c r="J390" s="56" t="s">
        <v>115</v>
      </c>
      <c r="K390" s="56"/>
      <c r="L390" s="56">
        <f>4/30</f>
        <v>0.133333333333333</v>
      </c>
      <c r="M390" s="56">
        <f t="shared" ref="M390:M395" si="52">14/30</f>
        <v>0.466666666666667</v>
      </c>
      <c r="P390" s="56">
        <f>3/30</f>
        <v>0.1</v>
      </c>
      <c r="Q390" s="56">
        <f t="shared" ref="Q390:Q392" si="53">15/30</f>
        <v>0.5</v>
      </c>
      <c r="T390" s="11">
        <v>2.4</v>
      </c>
      <c r="U390" s="65"/>
      <c r="V390" s="65"/>
      <c r="AD390" s="69"/>
      <c r="AE390" s="69"/>
      <c r="AK390" s="97">
        <v>0</v>
      </c>
      <c r="AZ390" s="69"/>
    </row>
    <row r="391" s="11" customFormat="1" ht="16.5" spans="1:52">
      <c r="A391" s="117">
        <v>1232</v>
      </c>
      <c r="B391" s="70" t="s">
        <v>995</v>
      </c>
      <c r="C391" s="111" t="s">
        <v>996</v>
      </c>
      <c r="D391" s="56">
        <v>1</v>
      </c>
      <c r="F391" s="11">
        <v>1</v>
      </c>
      <c r="G391" s="118">
        <v>1.8</v>
      </c>
      <c r="H391" s="56">
        <v>1.8</v>
      </c>
      <c r="I391" s="56">
        <v>0.5</v>
      </c>
      <c r="J391" s="56" t="s">
        <v>115</v>
      </c>
      <c r="K391" s="56"/>
      <c r="L391" s="56">
        <f>4/30</f>
        <v>0.133333333333333</v>
      </c>
      <c r="M391" s="56">
        <f t="shared" si="52"/>
        <v>0.466666666666667</v>
      </c>
      <c r="P391" s="56">
        <f>3/30</f>
        <v>0.1</v>
      </c>
      <c r="Q391" s="56">
        <f t="shared" si="53"/>
        <v>0.5</v>
      </c>
      <c r="T391" s="11">
        <v>2.4</v>
      </c>
      <c r="U391" s="65"/>
      <c r="V391" s="65"/>
      <c r="AD391" s="69"/>
      <c r="AE391" s="69"/>
      <c r="AK391" s="97">
        <v>0</v>
      </c>
      <c r="AZ391" s="69"/>
    </row>
    <row r="392" s="11" customFormat="1" ht="16.5" spans="1:52">
      <c r="A392" s="117">
        <v>1233</v>
      </c>
      <c r="B392" s="70" t="s">
        <v>997</v>
      </c>
      <c r="C392" s="111" t="s">
        <v>998</v>
      </c>
      <c r="D392" s="56">
        <v>1</v>
      </c>
      <c r="F392" s="11">
        <v>1</v>
      </c>
      <c r="G392" s="118">
        <v>3</v>
      </c>
      <c r="H392" s="56">
        <v>3.4</v>
      </c>
      <c r="I392" s="56">
        <v>0.5</v>
      </c>
      <c r="J392" s="56" t="s">
        <v>115</v>
      </c>
      <c r="K392" s="56"/>
      <c r="L392" s="56">
        <f t="shared" ref="L392:L396" si="54">2/30</f>
        <v>0.0666666666666667</v>
      </c>
      <c r="M392" s="56">
        <f t="shared" si="52"/>
        <v>0.466666666666667</v>
      </c>
      <c r="P392" s="56">
        <f t="shared" ref="P392:P396" si="55">2/30</f>
        <v>0.0666666666666667</v>
      </c>
      <c r="Q392" s="56">
        <f t="shared" si="53"/>
        <v>0.5</v>
      </c>
      <c r="T392" s="11">
        <v>2.4</v>
      </c>
      <c r="U392" s="65"/>
      <c r="V392" s="65"/>
      <c r="AD392" s="69"/>
      <c r="AE392" s="69"/>
      <c r="AK392" s="97">
        <v>0</v>
      </c>
      <c r="AZ392" s="69"/>
    </row>
    <row r="393" s="11" customFormat="1" ht="16.5" spans="1:52">
      <c r="A393" s="117">
        <v>1234</v>
      </c>
      <c r="B393" s="70" t="s">
        <v>999</v>
      </c>
      <c r="C393" s="111" t="s">
        <v>1000</v>
      </c>
      <c r="D393" s="56">
        <v>1</v>
      </c>
      <c r="F393" s="11">
        <v>1</v>
      </c>
      <c r="G393" s="56">
        <v>1.5</v>
      </c>
      <c r="H393" s="56">
        <v>2.2</v>
      </c>
      <c r="I393" s="56">
        <v>0.3</v>
      </c>
      <c r="J393" s="56" t="s">
        <v>115</v>
      </c>
      <c r="K393" s="56"/>
      <c r="L393" s="56">
        <f t="shared" ref="L393:L397" si="56">3/30</f>
        <v>0.1</v>
      </c>
      <c r="M393" s="56">
        <f t="shared" si="52"/>
        <v>0.466666666666667</v>
      </c>
      <c r="P393" s="56">
        <f t="shared" si="55"/>
        <v>0.0666666666666667</v>
      </c>
      <c r="Q393" s="56">
        <f>14/30</f>
        <v>0.466666666666667</v>
      </c>
      <c r="T393" s="11">
        <v>2.4</v>
      </c>
      <c r="U393" s="65"/>
      <c r="V393" s="65"/>
      <c r="AD393" s="69"/>
      <c r="AE393" s="69"/>
      <c r="AK393" s="97">
        <v>0</v>
      </c>
      <c r="AZ393" s="69"/>
    </row>
    <row r="394" s="11" customFormat="1" ht="16.5" spans="1:52">
      <c r="A394" s="117">
        <v>1235</v>
      </c>
      <c r="B394" s="70" t="s">
        <v>1001</v>
      </c>
      <c r="C394" s="111" t="s">
        <v>1002</v>
      </c>
      <c r="D394" s="56">
        <v>1</v>
      </c>
      <c r="F394" s="11">
        <v>1</v>
      </c>
      <c r="G394" s="56">
        <v>2.5</v>
      </c>
      <c r="H394" s="56">
        <v>3</v>
      </c>
      <c r="I394" s="56">
        <v>0.5</v>
      </c>
      <c r="J394" s="56" t="s">
        <v>115</v>
      </c>
      <c r="K394" s="56"/>
      <c r="L394" s="56">
        <f t="shared" si="56"/>
        <v>0.1</v>
      </c>
      <c r="M394" s="56">
        <f t="shared" si="52"/>
        <v>0.466666666666667</v>
      </c>
      <c r="P394" s="56">
        <f t="shared" si="55"/>
        <v>0.0666666666666667</v>
      </c>
      <c r="Q394" s="56">
        <f t="shared" ref="Q394:Q398" si="57">15/30</f>
        <v>0.5</v>
      </c>
      <c r="T394" s="11">
        <v>2.4</v>
      </c>
      <c r="U394" s="65"/>
      <c r="V394" s="65"/>
      <c r="AD394" s="69"/>
      <c r="AE394" s="69"/>
      <c r="AK394" s="97">
        <v>0</v>
      </c>
      <c r="AZ394" s="69"/>
    </row>
    <row r="395" s="11" customFormat="1" ht="16.5" spans="1:52">
      <c r="A395" s="117">
        <v>1236</v>
      </c>
      <c r="B395" s="70" t="s">
        <v>1003</v>
      </c>
      <c r="C395" s="111" t="s">
        <v>1004</v>
      </c>
      <c r="D395" s="56">
        <v>1</v>
      </c>
      <c r="F395" s="11">
        <v>1</v>
      </c>
      <c r="G395" s="56">
        <v>2.5</v>
      </c>
      <c r="H395" s="56">
        <v>2.8</v>
      </c>
      <c r="I395" s="56">
        <v>0.5</v>
      </c>
      <c r="J395" s="56" t="s">
        <v>115</v>
      </c>
      <c r="K395" s="56"/>
      <c r="L395" s="56">
        <f t="shared" si="54"/>
        <v>0.0666666666666667</v>
      </c>
      <c r="M395" s="56">
        <f t="shared" si="52"/>
        <v>0.466666666666667</v>
      </c>
      <c r="P395" s="56">
        <f t="shared" si="55"/>
        <v>0.0666666666666667</v>
      </c>
      <c r="Q395" s="56">
        <f t="shared" si="57"/>
        <v>0.5</v>
      </c>
      <c r="T395" s="11">
        <v>2.4</v>
      </c>
      <c r="U395" s="65"/>
      <c r="V395" s="65"/>
      <c r="AD395" s="69"/>
      <c r="AE395" s="69"/>
      <c r="AK395" s="97">
        <v>0</v>
      </c>
      <c r="AZ395" s="69"/>
    </row>
    <row r="396" s="11" customFormat="1" ht="16.5" spans="1:52">
      <c r="A396" s="117">
        <v>1237</v>
      </c>
      <c r="B396" s="70" t="s">
        <v>1005</v>
      </c>
      <c r="C396" s="111" t="s">
        <v>1006</v>
      </c>
      <c r="D396" s="56">
        <v>1</v>
      </c>
      <c r="F396" s="11">
        <v>1</v>
      </c>
      <c r="G396" s="56">
        <v>4</v>
      </c>
      <c r="H396" s="56">
        <v>4.4</v>
      </c>
      <c r="I396" s="56">
        <v>0.8</v>
      </c>
      <c r="J396" s="56" t="s">
        <v>115</v>
      </c>
      <c r="K396" s="56"/>
      <c r="L396" s="56">
        <f t="shared" si="54"/>
        <v>0.0666666666666667</v>
      </c>
      <c r="M396" s="56">
        <f>15/30</f>
        <v>0.5</v>
      </c>
      <c r="P396" s="56">
        <f t="shared" si="55"/>
        <v>0.0666666666666667</v>
      </c>
      <c r="Q396" s="56">
        <f>16/30</f>
        <v>0.533333333333333</v>
      </c>
      <c r="T396" s="11">
        <v>2.4</v>
      </c>
      <c r="U396" s="65"/>
      <c r="V396" s="65"/>
      <c r="AD396" s="69"/>
      <c r="AE396" s="69"/>
      <c r="AK396" s="97">
        <v>0</v>
      </c>
      <c r="AZ396" s="69"/>
    </row>
    <row r="397" s="11" customFormat="1" ht="16.5" spans="1:52">
      <c r="A397" s="117">
        <v>1238</v>
      </c>
      <c r="B397" s="70" t="s">
        <v>1007</v>
      </c>
      <c r="C397" s="111" t="s">
        <v>1008</v>
      </c>
      <c r="D397" s="56">
        <v>1</v>
      </c>
      <c r="F397" s="11">
        <v>1</v>
      </c>
      <c r="G397" s="56">
        <v>4</v>
      </c>
      <c r="H397" s="56">
        <v>4.4</v>
      </c>
      <c r="I397" s="56">
        <v>0.8</v>
      </c>
      <c r="J397" s="56" t="s">
        <v>115</v>
      </c>
      <c r="K397" s="56"/>
      <c r="L397" s="56">
        <f t="shared" si="56"/>
        <v>0.1</v>
      </c>
      <c r="M397" s="56">
        <f>17/30</f>
        <v>0.566666666666667</v>
      </c>
      <c r="P397" s="56">
        <f t="shared" ref="P397:P401" si="58">3/30</f>
        <v>0.1</v>
      </c>
      <c r="Q397" s="56">
        <f t="shared" ref="Q397:Q401" si="59">14/30</f>
        <v>0.466666666666667</v>
      </c>
      <c r="T397" s="11">
        <v>2.4</v>
      </c>
      <c r="U397" s="65"/>
      <c r="V397" s="65"/>
      <c r="AD397" s="69"/>
      <c r="AE397" s="69"/>
      <c r="AK397" s="97">
        <v>0</v>
      </c>
      <c r="AZ397" s="69"/>
    </row>
    <row r="398" s="11" customFormat="1" ht="16.5" spans="1:52">
      <c r="A398" s="117">
        <v>1239</v>
      </c>
      <c r="B398" s="70" t="s">
        <v>1009</v>
      </c>
      <c r="C398" s="111" t="s">
        <v>1010</v>
      </c>
      <c r="D398" s="56">
        <v>1</v>
      </c>
      <c r="F398" s="11">
        <v>1</v>
      </c>
      <c r="G398" s="56">
        <v>4</v>
      </c>
      <c r="H398" s="56">
        <v>4.4</v>
      </c>
      <c r="I398" s="56">
        <v>0.8</v>
      </c>
      <c r="J398" s="56" t="s">
        <v>115</v>
      </c>
      <c r="K398" s="56"/>
      <c r="L398" s="56">
        <f>2/30</f>
        <v>0.0666666666666667</v>
      </c>
      <c r="M398" s="56">
        <f t="shared" ref="M398:M401" si="60">14/30</f>
        <v>0.466666666666667</v>
      </c>
      <c r="P398" s="56">
        <f>2/30</f>
        <v>0.0666666666666667</v>
      </c>
      <c r="Q398" s="56">
        <f t="shared" si="57"/>
        <v>0.5</v>
      </c>
      <c r="T398" s="11">
        <v>2.4</v>
      </c>
      <c r="U398" s="65"/>
      <c r="V398" s="65"/>
      <c r="AD398" s="69"/>
      <c r="AE398" s="69"/>
      <c r="AK398" s="97">
        <v>0</v>
      </c>
      <c r="AZ398" s="69"/>
    </row>
    <row r="399" s="11" customFormat="1" ht="16.5" spans="1:52">
      <c r="A399" s="117">
        <v>1240</v>
      </c>
      <c r="B399" s="70" t="s">
        <v>1011</v>
      </c>
      <c r="C399" s="111" t="s">
        <v>1012</v>
      </c>
      <c r="D399" s="56">
        <v>1</v>
      </c>
      <c r="F399" s="11">
        <v>1</v>
      </c>
      <c r="G399" s="56">
        <v>4</v>
      </c>
      <c r="H399" s="56">
        <v>4.4</v>
      </c>
      <c r="I399" s="56">
        <v>0.8</v>
      </c>
      <c r="J399" s="56" t="s">
        <v>115</v>
      </c>
      <c r="K399" s="56"/>
      <c r="L399" s="56">
        <v>0.1</v>
      </c>
      <c r="M399" s="56">
        <v>0.2</v>
      </c>
      <c r="P399" s="56">
        <v>0.1</v>
      </c>
      <c r="Q399" s="56">
        <v>0.2</v>
      </c>
      <c r="T399" s="11">
        <v>2.4</v>
      </c>
      <c r="U399" s="65"/>
      <c r="V399" s="65"/>
      <c r="AD399" s="69"/>
      <c r="AE399" s="69"/>
      <c r="AK399" s="97">
        <v>2</v>
      </c>
      <c r="AL399" s="290" t="s">
        <v>798</v>
      </c>
      <c r="AM399" s="97">
        <v>1</v>
      </c>
      <c r="AN399" s="97">
        <v>0.08</v>
      </c>
      <c r="AO399" s="97">
        <v>2100</v>
      </c>
      <c r="AZ399" s="69"/>
    </row>
    <row r="400" s="11" customFormat="1" ht="16.5" spans="1:52">
      <c r="A400" s="117">
        <v>1241</v>
      </c>
      <c r="B400" s="70" t="s">
        <v>1013</v>
      </c>
      <c r="C400" s="111" t="s">
        <v>1014</v>
      </c>
      <c r="D400" s="56">
        <v>1</v>
      </c>
      <c r="F400" s="11">
        <v>1</v>
      </c>
      <c r="G400" s="56">
        <v>2.5</v>
      </c>
      <c r="H400" s="56">
        <v>2.9</v>
      </c>
      <c r="I400" s="56">
        <v>0.4</v>
      </c>
      <c r="J400" s="56" t="s">
        <v>115</v>
      </c>
      <c r="K400" s="56"/>
      <c r="L400" s="56">
        <f>0.2/30</f>
        <v>0.00666666666666667</v>
      </c>
      <c r="M400" s="56">
        <f t="shared" si="60"/>
        <v>0.466666666666667</v>
      </c>
      <c r="P400" s="56">
        <f t="shared" si="58"/>
        <v>0.1</v>
      </c>
      <c r="Q400" s="56">
        <f t="shared" si="59"/>
        <v>0.466666666666667</v>
      </c>
      <c r="T400" s="11">
        <v>2.4</v>
      </c>
      <c r="U400" s="65"/>
      <c r="V400" s="65"/>
      <c r="AD400" s="69"/>
      <c r="AE400" s="69"/>
      <c r="AK400" s="97">
        <v>0</v>
      </c>
      <c r="AZ400" s="69"/>
    </row>
    <row r="401" s="11" customFormat="1" ht="16.5" spans="1:52">
      <c r="A401" s="117">
        <v>1242</v>
      </c>
      <c r="B401" s="70" t="s">
        <v>1015</v>
      </c>
      <c r="C401" s="111" t="s">
        <v>1016</v>
      </c>
      <c r="D401" s="56">
        <v>1</v>
      </c>
      <c r="F401" s="11">
        <v>1</v>
      </c>
      <c r="G401" s="56">
        <v>0.8</v>
      </c>
      <c r="H401" s="56">
        <v>1.5</v>
      </c>
      <c r="I401" s="56">
        <v>0.3</v>
      </c>
      <c r="J401" s="56" t="s">
        <v>115</v>
      </c>
      <c r="K401" s="56"/>
      <c r="L401" s="56">
        <f>0.2/30</f>
        <v>0.00666666666666667</v>
      </c>
      <c r="M401" s="56">
        <f t="shared" si="60"/>
        <v>0.466666666666667</v>
      </c>
      <c r="P401" s="56">
        <f t="shared" si="58"/>
        <v>0.1</v>
      </c>
      <c r="Q401" s="56">
        <f t="shared" si="59"/>
        <v>0.466666666666667</v>
      </c>
      <c r="T401" s="11">
        <v>2.4</v>
      </c>
      <c r="U401" s="65"/>
      <c r="V401" s="65"/>
      <c r="AD401" s="69"/>
      <c r="AE401" s="69"/>
      <c r="AK401" s="97">
        <v>0</v>
      </c>
      <c r="AZ401" s="69"/>
    </row>
    <row r="402" s="11" customFormat="1" ht="16.5" spans="1:52">
      <c r="A402" s="117">
        <v>1243</v>
      </c>
      <c r="B402" s="70" t="s">
        <v>1017</v>
      </c>
      <c r="C402" s="111" t="s">
        <v>1018</v>
      </c>
      <c r="D402" s="56">
        <v>1</v>
      </c>
      <c r="F402" s="11">
        <v>1</v>
      </c>
      <c r="G402" s="56">
        <v>2</v>
      </c>
      <c r="H402" s="56">
        <v>2.5</v>
      </c>
      <c r="I402" s="56">
        <v>0.55</v>
      </c>
      <c r="J402" s="56" t="s">
        <v>115</v>
      </c>
      <c r="K402" s="56"/>
      <c r="L402" s="11">
        <f t="shared" ref="L402:L407" si="61">5/30</f>
        <v>0.166666666666667</v>
      </c>
      <c r="M402" s="56">
        <f>16/30</f>
        <v>0.533333333333333</v>
      </c>
      <c r="P402" s="56">
        <f>4/30</f>
        <v>0.133333333333333</v>
      </c>
      <c r="Q402" s="56">
        <f>15/30</f>
        <v>0.5</v>
      </c>
      <c r="T402" s="11">
        <v>2.4</v>
      </c>
      <c r="U402" s="65"/>
      <c r="V402" s="65"/>
      <c r="AD402" s="69"/>
      <c r="AE402" s="69"/>
      <c r="AK402" s="97">
        <v>0</v>
      </c>
      <c r="AV402" s="11" t="s">
        <v>118</v>
      </c>
      <c r="AW402" s="11" t="s">
        <v>118</v>
      </c>
      <c r="AZ402" s="69"/>
    </row>
    <row r="403" s="11" customFormat="1" ht="16.5" spans="1:52">
      <c r="A403" s="117">
        <v>1244</v>
      </c>
      <c r="B403" s="70" t="s">
        <v>1019</v>
      </c>
      <c r="C403" s="111" t="s">
        <v>1020</v>
      </c>
      <c r="D403" s="56">
        <v>1</v>
      </c>
      <c r="F403" s="11">
        <v>1</v>
      </c>
      <c r="G403" s="56">
        <v>0.6</v>
      </c>
      <c r="H403" s="56">
        <v>1</v>
      </c>
      <c r="I403" s="56">
        <v>0.3</v>
      </c>
      <c r="J403" s="56" t="s">
        <v>115</v>
      </c>
      <c r="K403" s="56"/>
      <c r="L403" s="11">
        <f>2/30</f>
        <v>0.0666666666666667</v>
      </c>
      <c r="M403" s="56">
        <f>10/30</f>
        <v>0.333333333333333</v>
      </c>
      <c r="P403" s="56">
        <f>2/30</f>
        <v>0.0666666666666667</v>
      </c>
      <c r="Q403" s="56">
        <f>14/30</f>
        <v>0.466666666666667</v>
      </c>
      <c r="T403" s="11">
        <v>2.4</v>
      </c>
      <c r="U403" s="65"/>
      <c r="V403" s="65"/>
      <c r="AD403" s="69"/>
      <c r="AE403" s="69"/>
      <c r="AK403" s="97">
        <v>0</v>
      </c>
      <c r="AZ403" s="69"/>
    </row>
    <row r="404" s="11" customFormat="1" spans="1:52">
      <c r="A404" s="117">
        <v>1245</v>
      </c>
      <c r="B404" s="70" t="s">
        <v>1021</v>
      </c>
      <c r="C404" s="11" t="s">
        <v>1022</v>
      </c>
      <c r="D404" s="56">
        <v>1</v>
      </c>
      <c r="F404" s="11">
        <v>1</v>
      </c>
      <c r="G404" s="56">
        <v>0.6</v>
      </c>
      <c r="H404" s="56">
        <v>1</v>
      </c>
      <c r="I404" s="56">
        <v>0.3</v>
      </c>
      <c r="J404" s="56" t="s">
        <v>115</v>
      </c>
      <c r="K404" s="56"/>
      <c r="L404" s="11">
        <f>2/30</f>
        <v>0.0666666666666667</v>
      </c>
      <c r="M404" s="56">
        <f>11/30</f>
        <v>0.366666666666667</v>
      </c>
      <c r="P404" s="56">
        <v>0.1</v>
      </c>
      <c r="Q404" s="56">
        <v>0.533333333333333</v>
      </c>
      <c r="T404" s="11">
        <v>2.4</v>
      </c>
      <c r="U404" s="65"/>
      <c r="V404" s="65"/>
      <c r="AD404" s="69"/>
      <c r="AE404" s="69"/>
      <c r="AK404" s="97">
        <v>0</v>
      </c>
      <c r="AZ404" s="69"/>
    </row>
    <row r="405" s="11" customFormat="1" spans="1:52">
      <c r="A405" s="117">
        <v>1246</v>
      </c>
      <c r="B405" s="70" t="s">
        <v>1023</v>
      </c>
      <c r="C405" s="11" t="s">
        <v>1024</v>
      </c>
      <c r="D405" s="56">
        <v>1</v>
      </c>
      <c r="F405" s="11">
        <v>0.8</v>
      </c>
      <c r="G405" s="56">
        <v>2.5</v>
      </c>
      <c r="H405" s="56">
        <v>2.3</v>
      </c>
      <c r="I405" s="56">
        <v>0.55</v>
      </c>
      <c r="J405" s="56" t="s">
        <v>115</v>
      </c>
      <c r="K405" s="56"/>
      <c r="L405" s="11">
        <f>3/30</f>
        <v>0.1</v>
      </c>
      <c r="M405" s="56">
        <f>16/30</f>
        <v>0.533333333333333</v>
      </c>
      <c r="P405" s="56">
        <f>3/30</f>
        <v>0.1</v>
      </c>
      <c r="Q405" s="56">
        <f>16/30</f>
        <v>0.533333333333333</v>
      </c>
      <c r="T405" s="11">
        <v>2.4</v>
      </c>
      <c r="U405" s="65"/>
      <c r="V405" s="65"/>
      <c r="AD405" s="69"/>
      <c r="AE405" s="69"/>
      <c r="AK405" s="97">
        <v>0</v>
      </c>
      <c r="AZ405" s="69"/>
    </row>
    <row r="406" s="11" customFormat="1" spans="1:52">
      <c r="A406" s="117">
        <v>1247</v>
      </c>
      <c r="B406" s="70" t="s">
        <v>1025</v>
      </c>
      <c r="C406" s="11" t="s">
        <v>1026</v>
      </c>
      <c r="D406" s="56">
        <v>1</v>
      </c>
      <c r="F406" s="11">
        <v>1</v>
      </c>
      <c r="G406" s="56">
        <v>2</v>
      </c>
      <c r="H406" s="56">
        <v>2.5</v>
      </c>
      <c r="I406" s="56">
        <v>0.55</v>
      </c>
      <c r="J406" s="56" t="s">
        <v>115</v>
      </c>
      <c r="K406" s="56"/>
      <c r="L406" s="11">
        <f t="shared" si="61"/>
        <v>0.166666666666667</v>
      </c>
      <c r="M406" s="56">
        <f>16/30</f>
        <v>0.533333333333333</v>
      </c>
      <c r="P406" s="56">
        <f t="shared" ref="P406:P409" si="62">4/30</f>
        <v>0.133333333333333</v>
      </c>
      <c r="Q406" s="56">
        <f>15/30</f>
        <v>0.5</v>
      </c>
      <c r="T406" s="11">
        <v>2.4</v>
      </c>
      <c r="U406" s="65"/>
      <c r="V406" s="65"/>
      <c r="AD406" s="69"/>
      <c r="AE406" s="69"/>
      <c r="AK406" s="97">
        <v>0</v>
      </c>
      <c r="AV406" s="11" t="s">
        <v>118</v>
      </c>
      <c r="AW406" s="11" t="s">
        <v>118</v>
      </c>
      <c r="AZ406" s="69"/>
    </row>
    <row r="407" s="11" customFormat="1" ht="16.5" spans="1:52">
      <c r="A407" s="117">
        <v>1248</v>
      </c>
      <c r="B407" s="55" t="s">
        <v>1027</v>
      </c>
      <c r="C407" s="119" t="s">
        <v>1028</v>
      </c>
      <c r="D407" s="11">
        <v>1</v>
      </c>
      <c r="E407" s="120"/>
      <c r="F407" s="11">
        <v>1</v>
      </c>
      <c r="G407" s="11">
        <v>2</v>
      </c>
      <c r="H407" s="11">
        <v>2.4</v>
      </c>
      <c r="I407" s="56">
        <v>0.5</v>
      </c>
      <c r="J407" s="56" t="s">
        <v>115</v>
      </c>
      <c r="K407" s="56"/>
      <c r="L407" s="11">
        <f t="shared" si="61"/>
        <v>0.166666666666667</v>
      </c>
      <c r="M407" s="56">
        <v>0.5</v>
      </c>
      <c r="P407" s="56">
        <f t="shared" si="62"/>
        <v>0.133333333333333</v>
      </c>
      <c r="Q407" s="56">
        <f>16/30</f>
        <v>0.533333333333333</v>
      </c>
      <c r="T407" s="11">
        <v>2.4</v>
      </c>
      <c r="U407" s="65"/>
      <c r="V407" s="65"/>
      <c r="AD407" s="69"/>
      <c r="AE407" s="69"/>
      <c r="AK407" s="97">
        <v>0</v>
      </c>
      <c r="AV407" s="11" t="s">
        <v>286</v>
      </c>
      <c r="AW407" s="11" t="s">
        <v>286</v>
      </c>
      <c r="AZ407" s="69"/>
    </row>
    <row r="408" s="11" customFormat="1" ht="16.5" spans="1:52">
      <c r="A408" s="117">
        <v>1249</v>
      </c>
      <c r="B408" s="11" t="s">
        <v>1029</v>
      </c>
      <c r="C408" s="119" t="s">
        <v>1030</v>
      </c>
      <c r="D408" s="11">
        <v>1</v>
      </c>
      <c r="E408" s="120"/>
      <c r="F408" s="11">
        <v>1</v>
      </c>
      <c r="G408" s="11">
        <v>1.8</v>
      </c>
      <c r="H408" s="11">
        <v>2</v>
      </c>
      <c r="I408" s="56">
        <v>0.5</v>
      </c>
      <c r="J408" s="56" t="s">
        <v>115</v>
      </c>
      <c r="K408" s="56"/>
      <c r="L408" s="11">
        <v>0.166666666666667</v>
      </c>
      <c r="M408" s="56">
        <v>0.5</v>
      </c>
      <c r="P408" s="56">
        <v>0.1</v>
      </c>
      <c r="Q408" s="56">
        <v>0.466666666666667</v>
      </c>
      <c r="T408" s="11">
        <v>2.4</v>
      </c>
      <c r="U408" s="65"/>
      <c r="V408" s="65"/>
      <c r="AD408" s="69"/>
      <c r="AE408" s="69"/>
      <c r="AK408" s="97">
        <v>0</v>
      </c>
      <c r="AV408" s="11" t="s">
        <v>118</v>
      </c>
      <c r="AW408" s="11" t="s">
        <v>118</v>
      </c>
      <c r="AZ408" s="69"/>
    </row>
    <row r="409" s="11" customFormat="1" ht="16.5" spans="1:52">
      <c r="A409" s="117">
        <v>1250</v>
      </c>
      <c r="B409" s="11" t="s">
        <v>1031</v>
      </c>
      <c r="C409" s="119" t="s">
        <v>1032</v>
      </c>
      <c r="D409" s="11">
        <v>1</v>
      </c>
      <c r="E409" s="120"/>
      <c r="F409" s="11">
        <v>1</v>
      </c>
      <c r="G409" s="11">
        <v>2</v>
      </c>
      <c r="H409" s="11">
        <v>2.15</v>
      </c>
      <c r="I409" s="56">
        <v>0.5</v>
      </c>
      <c r="J409" s="56" t="s">
        <v>115</v>
      </c>
      <c r="K409" s="56"/>
      <c r="L409" s="11">
        <v>0.233333333333333</v>
      </c>
      <c r="M409" s="56">
        <v>0.6</v>
      </c>
      <c r="P409" s="56">
        <f t="shared" si="62"/>
        <v>0.133333333333333</v>
      </c>
      <c r="Q409" s="56">
        <f>14/30</f>
        <v>0.466666666666667</v>
      </c>
      <c r="T409" s="11">
        <v>2.4</v>
      </c>
      <c r="U409" s="65"/>
      <c r="V409" s="65"/>
      <c r="AD409" s="69"/>
      <c r="AE409" s="69"/>
      <c r="AK409" s="97">
        <v>0</v>
      </c>
      <c r="AV409" s="11" t="s">
        <v>118</v>
      </c>
      <c r="AW409" s="11" t="s">
        <v>118</v>
      </c>
      <c r="AZ409" s="69"/>
    </row>
    <row r="410" s="11" customFormat="1" ht="16.5" spans="1:52">
      <c r="A410" s="117">
        <v>1251</v>
      </c>
      <c r="B410" s="55" t="s">
        <v>1033</v>
      </c>
      <c r="C410" s="119" t="s">
        <v>1034</v>
      </c>
      <c r="D410" s="11">
        <v>1</v>
      </c>
      <c r="E410" s="120"/>
      <c r="F410" s="11">
        <v>1.1</v>
      </c>
      <c r="G410" s="11">
        <v>2</v>
      </c>
      <c r="H410" s="11">
        <v>2.4</v>
      </c>
      <c r="I410" s="56">
        <v>0.5</v>
      </c>
      <c r="J410" s="56" t="s">
        <v>115</v>
      </c>
      <c r="K410" s="56"/>
      <c r="L410" s="11">
        <f t="shared" ref="L410:L416" si="63">2/30</f>
        <v>0.0666666666666667</v>
      </c>
      <c r="M410" s="56">
        <v>0.5</v>
      </c>
      <c r="P410" s="56">
        <f t="shared" ref="P410:P414" si="64">2/30</f>
        <v>0.0666666666666667</v>
      </c>
      <c r="Q410" s="56">
        <f>15/30</f>
        <v>0.5</v>
      </c>
      <c r="T410" s="11">
        <v>2.4</v>
      </c>
      <c r="U410" s="65"/>
      <c r="V410" s="65"/>
      <c r="AD410" s="69"/>
      <c r="AE410" s="69"/>
      <c r="AK410" s="97">
        <v>0</v>
      </c>
      <c r="AV410" s="11" t="s">
        <v>197</v>
      </c>
      <c r="AW410" s="11" t="s">
        <v>197</v>
      </c>
      <c r="AZ410" s="69"/>
    </row>
    <row r="411" s="11" customFormat="1" ht="16.5" spans="1:52">
      <c r="A411" s="117">
        <v>1252</v>
      </c>
      <c r="B411" s="55" t="s">
        <v>1035</v>
      </c>
      <c r="C411" s="119" t="s">
        <v>1036</v>
      </c>
      <c r="D411" s="11">
        <v>1</v>
      </c>
      <c r="E411" s="120"/>
      <c r="F411" s="11">
        <v>1</v>
      </c>
      <c r="G411" s="11">
        <v>2</v>
      </c>
      <c r="H411" s="11">
        <v>2.15</v>
      </c>
      <c r="I411" s="56">
        <v>0.5</v>
      </c>
      <c r="J411" s="56" t="s">
        <v>115</v>
      </c>
      <c r="K411" s="56"/>
      <c r="L411" s="11">
        <f>5/30</f>
        <v>0.166666666666667</v>
      </c>
      <c r="M411" s="56">
        <v>0.5</v>
      </c>
      <c r="P411" s="56">
        <v>0.2</v>
      </c>
      <c r="Q411" s="56">
        <f>14/30</f>
        <v>0.466666666666667</v>
      </c>
      <c r="T411" s="11">
        <v>2.4</v>
      </c>
      <c r="U411" s="65"/>
      <c r="V411" s="65"/>
      <c r="AD411" s="69"/>
      <c r="AE411" s="69"/>
      <c r="AK411" s="97">
        <v>0</v>
      </c>
      <c r="AV411" s="11" t="s">
        <v>122</v>
      </c>
      <c r="AW411" s="11" t="s">
        <v>122</v>
      </c>
      <c r="AZ411" s="69"/>
    </row>
    <row r="412" s="11" customFormat="1" ht="16.5" spans="1:52">
      <c r="A412" s="117">
        <v>1253</v>
      </c>
      <c r="B412" s="55" t="s">
        <v>1037</v>
      </c>
      <c r="C412" s="119" t="s">
        <v>1038</v>
      </c>
      <c r="D412" s="11">
        <v>1</v>
      </c>
      <c r="E412" s="120"/>
      <c r="F412" s="11">
        <v>1</v>
      </c>
      <c r="G412" s="11">
        <v>2</v>
      </c>
      <c r="H412" s="11">
        <v>2.3</v>
      </c>
      <c r="I412" s="56">
        <v>0.5</v>
      </c>
      <c r="J412" s="56" t="s">
        <v>115</v>
      </c>
      <c r="K412" s="56"/>
      <c r="L412" s="11">
        <v>0.1</v>
      </c>
      <c r="M412" s="56">
        <v>0.6</v>
      </c>
      <c r="P412" s="56">
        <f>4/30</f>
        <v>0.133333333333333</v>
      </c>
      <c r="Q412" s="56">
        <v>0.6</v>
      </c>
      <c r="T412" s="11">
        <v>2.4</v>
      </c>
      <c r="U412" s="65"/>
      <c r="V412" s="65"/>
      <c r="AD412" s="69"/>
      <c r="AE412" s="69"/>
      <c r="AK412" s="97">
        <v>0</v>
      </c>
      <c r="AV412" s="11" t="s">
        <v>122</v>
      </c>
      <c r="AW412" s="11" t="s">
        <v>122</v>
      </c>
      <c r="AZ412" s="69"/>
    </row>
    <row r="413" s="11" customFormat="1" ht="16.5" spans="1:52">
      <c r="A413" s="117">
        <v>1254</v>
      </c>
      <c r="B413" s="55" t="s">
        <v>1039</v>
      </c>
      <c r="C413" s="119" t="s">
        <v>1040</v>
      </c>
      <c r="D413" s="11">
        <v>1</v>
      </c>
      <c r="E413" s="120"/>
      <c r="F413" s="11">
        <v>1</v>
      </c>
      <c r="G413" s="11">
        <v>2</v>
      </c>
      <c r="H413" s="11">
        <v>2.4</v>
      </c>
      <c r="I413" s="56">
        <v>0.5</v>
      </c>
      <c r="J413" s="56" t="s">
        <v>115</v>
      </c>
      <c r="K413" s="56"/>
      <c r="L413" s="56">
        <f t="shared" si="63"/>
        <v>0.0666666666666667</v>
      </c>
      <c r="M413" s="56">
        <v>0.5</v>
      </c>
      <c r="P413" s="56">
        <f t="shared" si="64"/>
        <v>0.0666666666666667</v>
      </c>
      <c r="Q413" s="56">
        <v>0.5</v>
      </c>
      <c r="T413" s="11">
        <v>2.4</v>
      </c>
      <c r="U413" s="65"/>
      <c r="V413" s="65"/>
      <c r="AD413" s="69"/>
      <c r="AE413" s="69"/>
      <c r="AK413" s="97">
        <v>0</v>
      </c>
      <c r="AV413" s="11" t="s">
        <v>118</v>
      </c>
      <c r="AW413" s="11" t="s">
        <v>118</v>
      </c>
      <c r="AZ413" s="69"/>
    </row>
    <row r="414" s="11" customFormat="1" ht="16.5" spans="1:52">
      <c r="A414" s="117">
        <v>1255</v>
      </c>
      <c r="B414" s="55" t="s">
        <v>1041</v>
      </c>
      <c r="C414" s="119" t="s">
        <v>1042</v>
      </c>
      <c r="D414" s="11">
        <v>1</v>
      </c>
      <c r="E414" s="120"/>
      <c r="F414" s="11">
        <v>1.2</v>
      </c>
      <c r="G414" s="11">
        <v>2</v>
      </c>
      <c r="H414" s="11">
        <v>1.85</v>
      </c>
      <c r="I414" s="56">
        <v>0.5</v>
      </c>
      <c r="J414" s="56" t="s">
        <v>115</v>
      </c>
      <c r="K414" s="56"/>
      <c r="L414" s="56">
        <f t="shared" si="63"/>
        <v>0.0666666666666667</v>
      </c>
      <c r="M414" s="56">
        <f>17/30</f>
        <v>0.566666666666667</v>
      </c>
      <c r="P414" s="56">
        <f t="shared" si="64"/>
        <v>0.0666666666666667</v>
      </c>
      <c r="Q414" s="56">
        <f>16/30</f>
        <v>0.533333333333333</v>
      </c>
      <c r="T414" s="11">
        <v>2.4</v>
      </c>
      <c r="U414" s="65"/>
      <c r="V414" s="65"/>
      <c r="AD414" s="69"/>
      <c r="AE414" s="69"/>
      <c r="AK414" s="97">
        <v>0</v>
      </c>
      <c r="AZ414" s="69"/>
    </row>
    <row r="415" s="11" customFormat="1" ht="16.5" spans="1:52">
      <c r="A415" s="117">
        <v>1256</v>
      </c>
      <c r="B415" s="55" t="s">
        <v>1043</v>
      </c>
      <c r="C415" s="119" t="s">
        <v>1044</v>
      </c>
      <c r="D415" s="11">
        <v>1</v>
      </c>
      <c r="E415" s="120"/>
      <c r="F415" s="11">
        <v>1</v>
      </c>
      <c r="G415" s="11">
        <v>2</v>
      </c>
      <c r="H415" s="11">
        <v>2</v>
      </c>
      <c r="I415" s="56">
        <v>0.5</v>
      </c>
      <c r="J415" s="56" t="s">
        <v>115</v>
      </c>
      <c r="K415" s="56"/>
      <c r="L415" s="56">
        <f t="shared" si="63"/>
        <v>0.0666666666666667</v>
      </c>
      <c r="M415" s="56">
        <f>14/30</f>
        <v>0.466666666666667</v>
      </c>
      <c r="P415" s="56">
        <v>0.1</v>
      </c>
      <c r="Q415" s="56">
        <f>14/30</f>
        <v>0.466666666666667</v>
      </c>
      <c r="T415" s="11">
        <v>2.4</v>
      </c>
      <c r="U415" s="65"/>
      <c r="V415" s="65"/>
      <c r="AD415" s="69"/>
      <c r="AE415" s="69"/>
      <c r="AK415" s="97">
        <v>0</v>
      </c>
      <c r="AV415" s="11" t="s">
        <v>122</v>
      </c>
      <c r="AW415" s="11" t="s">
        <v>122</v>
      </c>
      <c r="AZ415" s="69"/>
    </row>
    <row r="416" s="11" customFormat="1" ht="16.5" spans="1:52">
      <c r="A416" s="117">
        <v>1257</v>
      </c>
      <c r="B416" s="55" t="s">
        <v>1045</v>
      </c>
      <c r="C416" s="119" t="s">
        <v>1046</v>
      </c>
      <c r="D416" s="11">
        <v>1</v>
      </c>
      <c r="E416" s="120"/>
      <c r="F416" s="11">
        <v>1</v>
      </c>
      <c r="G416" s="11">
        <v>2</v>
      </c>
      <c r="H416" s="11">
        <v>2</v>
      </c>
      <c r="I416" s="56">
        <v>0.5</v>
      </c>
      <c r="J416" s="56" t="s">
        <v>115</v>
      </c>
      <c r="K416" s="56"/>
      <c r="L416" s="56">
        <f t="shared" si="63"/>
        <v>0.0666666666666667</v>
      </c>
      <c r="M416" s="56">
        <f>14/30</f>
        <v>0.466666666666667</v>
      </c>
      <c r="P416" s="56">
        <f>4/30</f>
        <v>0.133333333333333</v>
      </c>
      <c r="Q416" s="56">
        <v>0.6</v>
      </c>
      <c r="T416" s="11">
        <v>2.4</v>
      </c>
      <c r="U416" s="65"/>
      <c r="V416" s="65"/>
      <c r="AD416" s="69"/>
      <c r="AE416" s="69"/>
      <c r="AK416" s="97">
        <v>0</v>
      </c>
      <c r="AV416" s="11" t="s">
        <v>122</v>
      </c>
      <c r="AW416" s="11" t="s">
        <v>122</v>
      </c>
      <c r="AZ416" s="69"/>
    </row>
    <row r="417" s="11" customFormat="1" ht="16.5" spans="1:52">
      <c r="A417" s="117">
        <v>1258</v>
      </c>
      <c r="B417" s="55" t="s">
        <v>1047</v>
      </c>
      <c r="C417" s="119" t="s">
        <v>438</v>
      </c>
      <c r="D417" s="11">
        <v>1</v>
      </c>
      <c r="E417" s="120"/>
      <c r="F417" s="11">
        <v>0.48</v>
      </c>
      <c r="G417" s="11">
        <v>1</v>
      </c>
      <c r="H417" s="11">
        <v>6.4</v>
      </c>
      <c r="I417" s="56">
        <v>0.5</v>
      </c>
      <c r="J417" s="56" t="s">
        <v>115</v>
      </c>
      <c r="K417" s="56"/>
      <c r="L417" s="56">
        <f>4/30</f>
        <v>0.133333333333333</v>
      </c>
      <c r="M417" s="11">
        <f>15/30</f>
        <v>0.5</v>
      </c>
      <c r="P417" s="11">
        <f>3/30</f>
        <v>0.1</v>
      </c>
      <c r="Q417" s="11">
        <f>14/30</f>
        <v>0.466666666666667</v>
      </c>
      <c r="T417" s="11">
        <v>2.4</v>
      </c>
      <c r="U417" s="65"/>
      <c r="V417" s="65"/>
      <c r="AD417" s="69"/>
      <c r="AE417" s="69"/>
      <c r="AK417" s="97">
        <v>0</v>
      </c>
      <c r="AV417" s="11" t="s">
        <v>265</v>
      </c>
      <c r="AW417" s="11" t="s">
        <v>265</v>
      </c>
      <c r="AZ417" s="69"/>
    </row>
    <row r="418" s="11" customFormat="1" ht="16.5" spans="1:52">
      <c r="A418" s="117">
        <v>1259</v>
      </c>
      <c r="B418" s="55" t="s">
        <v>1048</v>
      </c>
      <c r="C418" s="119" t="s">
        <v>1049</v>
      </c>
      <c r="D418" s="11">
        <v>1</v>
      </c>
      <c r="E418" s="120"/>
      <c r="F418" s="11">
        <v>0.55</v>
      </c>
      <c r="G418" s="11">
        <v>3</v>
      </c>
      <c r="H418" s="11">
        <v>8</v>
      </c>
      <c r="I418" s="56">
        <v>0.5</v>
      </c>
      <c r="J418" s="56" t="s">
        <v>115</v>
      </c>
      <c r="K418" s="56"/>
      <c r="L418" s="11">
        <f>2/30</f>
        <v>0.0666666666666667</v>
      </c>
      <c r="M418" s="56">
        <f>21/30</f>
        <v>0.7</v>
      </c>
      <c r="P418" s="56">
        <v>0.333333334</v>
      </c>
      <c r="Q418" s="56">
        <f>22/30</f>
        <v>0.733333333333333</v>
      </c>
      <c r="T418" s="11">
        <v>2.4</v>
      </c>
      <c r="U418" s="65"/>
      <c r="V418" s="65"/>
      <c r="AD418" s="69"/>
      <c r="AE418" s="69"/>
      <c r="AK418" s="97">
        <v>0</v>
      </c>
      <c r="AV418" s="11" t="s">
        <v>1050</v>
      </c>
      <c r="AW418" s="11" t="s">
        <v>1051</v>
      </c>
      <c r="AZ418" s="69"/>
    </row>
    <row r="419" s="11" customFormat="1" ht="16.5" spans="1:52">
      <c r="A419" s="117">
        <v>1260</v>
      </c>
      <c r="B419" s="55" t="s">
        <v>1052</v>
      </c>
      <c r="C419" s="119" t="s">
        <v>1053</v>
      </c>
      <c r="D419" s="11">
        <v>1</v>
      </c>
      <c r="E419" s="120"/>
      <c r="F419" s="11">
        <v>1</v>
      </c>
      <c r="G419" s="11">
        <v>2</v>
      </c>
      <c r="H419" s="11">
        <v>2</v>
      </c>
      <c r="I419" s="56">
        <v>0.5</v>
      </c>
      <c r="J419" s="56" t="s">
        <v>115</v>
      </c>
      <c r="K419" s="56"/>
      <c r="L419" s="11">
        <f>6/30</f>
        <v>0.2</v>
      </c>
      <c r="M419" s="56">
        <f>16/30</f>
        <v>0.533333333333333</v>
      </c>
      <c r="P419" s="56">
        <f>4/30</f>
        <v>0.133333333333333</v>
      </c>
      <c r="Q419" s="56">
        <f>15/30</f>
        <v>0.5</v>
      </c>
      <c r="T419" s="11">
        <v>2.4</v>
      </c>
      <c r="U419" s="65"/>
      <c r="V419" s="65"/>
      <c r="AD419" s="69"/>
      <c r="AE419" s="69"/>
      <c r="AK419" s="97">
        <v>0</v>
      </c>
      <c r="AV419" s="11" t="s">
        <v>286</v>
      </c>
      <c r="AW419" s="11" t="s">
        <v>286</v>
      </c>
      <c r="AZ419" s="69"/>
    </row>
    <row r="420" s="13" customFormat="1" ht="30" spans="1:52">
      <c r="A420" s="13">
        <v>1261</v>
      </c>
      <c r="B420" s="121" t="s">
        <v>1054</v>
      </c>
      <c r="C420" s="122" t="s">
        <v>1055</v>
      </c>
      <c r="D420" s="13">
        <v>1</v>
      </c>
      <c r="E420" s="123"/>
      <c r="F420" s="13">
        <v>0.9</v>
      </c>
      <c r="G420" s="13">
        <v>3</v>
      </c>
      <c r="H420" s="13">
        <v>4</v>
      </c>
      <c r="I420" s="126">
        <v>0.5</v>
      </c>
      <c r="J420" s="126" t="s">
        <v>115</v>
      </c>
      <c r="K420" s="126"/>
      <c r="L420" s="13">
        <f>3/30</f>
        <v>0.1</v>
      </c>
      <c r="M420" s="126">
        <f>15/30</f>
        <v>0.5</v>
      </c>
      <c r="P420" s="126">
        <f>3/30</f>
        <v>0.1</v>
      </c>
      <c r="Q420" s="126">
        <f>14/30</f>
        <v>0.466666666666667</v>
      </c>
      <c r="T420" s="13">
        <v>2.4</v>
      </c>
      <c r="U420" s="127"/>
      <c r="V420" s="127"/>
      <c r="AD420" s="128"/>
      <c r="AE420" s="128"/>
      <c r="AK420" s="57">
        <v>0</v>
      </c>
      <c r="AV420" s="129" t="s">
        <v>1056</v>
      </c>
      <c r="AW420" s="13" t="s">
        <v>1057</v>
      </c>
      <c r="AZ420" s="128"/>
    </row>
    <row r="421" s="13" customFormat="1" ht="17.1" customHeight="1" spans="1:52">
      <c r="A421" s="13">
        <v>1262</v>
      </c>
      <c r="B421" s="121" t="s">
        <v>1058</v>
      </c>
      <c r="C421" s="122" t="s">
        <v>1059</v>
      </c>
      <c r="D421" s="13">
        <v>1</v>
      </c>
      <c r="E421" s="123"/>
      <c r="F421" s="13">
        <v>1</v>
      </c>
      <c r="G421" s="13">
        <v>1.9</v>
      </c>
      <c r="H421" s="13">
        <v>2</v>
      </c>
      <c r="I421" s="126">
        <v>0.5</v>
      </c>
      <c r="J421" s="126" t="s">
        <v>115</v>
      </c>
      <c r="K421" s="126"/>
      <c r="L421" s="13">
        <f>3/30</f>
        <v>0.1</v>
      </c>
      <c r="M421" s="126">
        <f>16/30</f>
        <v>0.533333333333333</v>
      </c>
      <c r="P421" s="126">
        <f>3/30</f>
        <v>0.1</v>
      </c>
      <c r="Q421" s="126">
        <f>17/30</f>
        <v>0.566666666666667</v>
      </c>
      <c r="T421" s="13">
        <v>2.4</v>
      </c>
      <c r="U421" s="127"/>
      <c r="V421" s="127"/>
      <c r="AD421" s="128"/>
      <c r="AE421" s="128"/>
      <c r="AK421" s="57">
        <v>0</v>
      </c>
      <c r="AV421" s="129" t="s">
        <v>1060</v>
      </c>
      <c r="AW421" s="129" t="s">
        <v>1061</v>
      </c>
      <c r="AZ421" s="128"/>
    </row>
    <row r="422" s="13" customFormat="1" ht="16.5" spans="1:52">
      <c r="A422" s="13">
        <v>1263</v>
      </c>
      <c r="B422" s="121" t="s">
        <v>1062</v>
      </c>
      <c r="C422" s="122" t="s">
        <v>1063</v>
      </c>
      <c r="D422" s="13">
        <v>1</v>
      </c>
      <c r="E422" s="123"/>
      <c r="F422" s="13">
        <v>1</v>
      </c>
      <c r="G422" s="13">
        <v>2</v>
      </c>
      <c r="H422" s="13">
        <v>2.2</v>
      </c>
      <c r="I422" s="126">
        <v>0.5</v>
      </c>
      <c r="J422" s="126" t="s">
        <v>115</v>
      </c>
      <c r="K422" s="126"/>
      <c r="L422" s="13">
        <f>6/30</f>
        <v>0.2</v>
      </c>
      <c r="M422" s="126">
        <f>17/30</f>
        <v>0.566666666666667</v>
      </c>
      <c r="P422" s="126">
        <f t="shared" ref="P422:P430" si="65">2/30</f>
        <v>0.0666666666666667</v>
      </c>
      <c r="Q422" s="126">
        <f>14/30</f>
        <v>0.466666666666667</v>
      </c>
      <c r="T422" s="13">
        <v>2.4</v>
      </c>
      <c r="U422" s="127"/>
      <c r="V422" s="127"/>
      <c r="AD422" s="128"/>
      <c r="AE422" s="128"/>
      <c r="AK422" s="57">
        <v>0</v>
      </c>
      <c r="AV422" s="13" t="s">
        <v>1064</v>
      </c>
      <c r="AW422" s="13" t="s">
        <v>1065</v>
      </c>
      <c r="AZ422" s="128"/>
    </row>
    <row r="423" s="13" customFormat="1" ht="16.5" spans="1:52">
      <c r="A423" s="13">
        <v>1264</v>
      </c>
      <c r="B423" s="121" t="s">
        <v>1066</v>
      </c>
      <c r="C423" s="122" t="s">
        <v>1067</v>
      </c>
      <c r="D423" s="13">
        <v>1</v>
      </c>
      <c r="E423" s="123"/>
      <c r="F423" s="13">
        <v>1</v>
      </c>
      <c r="G423" s="13">
        <v>2</v>
      </c>
      <c r="H423" s="13">
        <v>2</v>
      </c>
      <c r="I423" s="126">
        <v>0.5</v>
      </c>
      <c r="J423" s="126" t="s">
        <v>115</v>
      </c>
      <c r="K423" s="126"/>
      <c r="L423" s="13">
        <f>3/30</f>
        <v>0.1</v>
      </c>
      <c r="M423" s="126">
        <f>13/30</f>
        <v>0.433333333333333</v>
      </c>
      <c r="P423" s="126">
        <f t="shared" si="65"/>
        <v>0.0666666666666667</v>
      </c>
      <c r="Q423" s="126">
        <f>14/30</f>
        <v>0.466666666666667</v>
      </c>
      <c r="T423" s="13">
        <v>2.4</v>
      </c>
      <c r="U423" s="127"/>
      <c r="V423" s="127"/>
      <c r="AD423" s="128"/>
      <c r="AE423" s="128"/>
      <c r="AK423" s="57">
        <v>0</v>
      </c>
      <c r="AV423" s="13" t="s">
        <v>1068</v>
      </c>
      <c r="AW423" s="13" t="s">
        <v>1069</v>
      </c>
      <c r="AZ423" s="128"/>
    </row>
    <row r="424" s="13" customFormat="1" ht="16.5" spans="1:52">
      <c r="A424" s="13">
        <v>1265</v>
      </c>
      <c r="B424" s="121" t="s">
        <v>1070</v>
      </c>
      <c r="C424" s="122" t="s">
        <v>1071</v>
      </c>
      <c r="D424" s="13">
        <v>1</v>
      </c>
      <c r="E424" s="123"/>
      <c r="F424" s="13">
        <v>1</v>
      </c>
      <c r="G424" s="13">
        <v>2</v>
      </c>
      <c r="H424" s="13">
        <v>2</v>
      </c>
      <c r="I424" s="126">
        <v>0.5</v>
      </c>
      <c r="J424" s="126" t="s">
        <v>115</v>
      </c>
      <c r="K424" s="126"/>
      <c r="L424" s="13">
        <f>3/30</f>
        <v>0.1</v>
      </c>
      <c r="M424" s="126">
        <f>13/30</f>
        <v>0.433333333333333</v>
      </c>
      <c r="P424" s="126">
        <f t="shared" si="65"/>
        <v>0.0666666666666667</v>
      </c>
      <c r="Q424" s="126">
        <f>16/30</f>
        <v>0.533333333333333</v>
      </c>
      <c r="T424" s="13">
        <v>2.4</v>
      </c>
      <c r="U424" s="127"/>
      <c r="V424" s="127"/>
      <c r="AD424" s="128"/>
      <c r="AE424" s="128"/>
      <c r="AK424" s="57">
        <v>0</v>
      </c>
      <c r="AV424" s="13" t="s">
        <v>1068</v>
      </c>
      <c r="AW424" s="13" t="s">
        <v>1069</v>
      </c>
      <c r="AZ424" s="128"/>
    </row>
    <row r="425" s="13" customFormat="1" customHeight="1" spans="1:52">
      <c r="A425" s="13">
        <v>1266</v>
      </c>
      <c r="B425" s="121" t="s">
        <v>1072</v>
      </c>
      <c r="C425" s="122" t="s">
        <v>1073</v>
      </c>
      <c r="D425" s="13">
        <v>1</v>
      </c>
      <c r="E425" s="123"/>
      <c r="F425" s="13">
        <v>1</v>
      </c>
      <c r="G425" s="13">
        <v>1.9</v>
      </c>
      <c r="H425" s="13">
        <v>2</v>
      </c>
      <c r="I425" s="126">
        <v>0.5</v>
      </c>
      <c r="J425" s="126" t="s">
        <v>115</v>
      </c>
      <c r="K425" s="126"/>
      <c r="L425" s="13">
        <f>5/30</f>
        <v>0.166666666666667</v>
      </c>
      <c r="M425" s="126">
        <f>17/30</f>
        <v>0.566666666666667</v>
      </c>
      <c r="P425" s="126">
        <f t="shared" si="65"/>
        <v>0.0666666666666667</v>
      </c>
      <c r="Q425" s="126">
        <f>15/30</f>
        <v>0.5</v>
      </c>
      <c r="T425" s="13">
        <v>2.4</v>
      </c>
      <c r="U425" s="127"/>
      <c r="V425" s="127"/>
      <c r="AD425" s="128"/>
      <c r="AE425" s="128"/>
      <c r="AK425" s="57">
        <v>0</v>
      </c>
      <c r="AV425" s="129" t="s">
        <v>1068</v>
      </c>
      <c r="AW425" s="129" t="s">
        <v>1069</v>
      </c>
      <c r="AZ425" s="128"/>
    </row>
    <row r="426" s="13" customFormat="1" ht="16.5" spans="1:52">
      <c r="A426" s="13">
        <v>1267</v>
      </c>
      <c r="B426" s="121" t="s">
        <v>1074</v>
      </c>
      <c r="C426" s="122" t="s">
        <v>1075</v>
      </c>
      <c r="D426" s="13">
        <v>1</v>
      </c>
      <c r="E426" s="123"/>
      <c r="F426" s="13">
        <v>1</v>
      </c>
      <c r="G426" s="13">
        <v>2.5</v>
      </c>
      <c r="H426" s="13">
        <v>2.9</v>
      </c>
      <c r="I426" s="126">
        <v>0.5</v>
      </c>
      <c r="J426" s="126" t="s">
        <v>115</v>
      </c>
      <c r="K426" s="126"/>
      <c r="L426" s="13">
        <f t="shared" ref="L426:L432" si="66">3/30</f>
        <v>0.1</v>
      </c>
      <c r="M426" s="126">
        <f>12/30</f>
        <v>0.4</v>
      </c>
      <c r="P426" s="126">
        <f t="shared" si="65"/>
        <v>0.0666666666666667</v>
      </c>
      <c r="Q426" s="126">
        <f>13/30</f>
        <v>0.433333333333333</v>
      </c>
      <c r="T426" s="13">
        <v>2.4</v>
      </c>
      <c r="U426" s="127"/>
      <c r="V426" s="127"/>
      <c r="AD426" s="128"/>
      <c r="AE426" s="128"/>
      <c r="AK426" s="57">
        <v>0</v>
      </c>
      <c r="AV426" s="13" t="s">
        <v>1076</v>
      </c>
      <c r="AW426" s="13" t="s">
        <v>1077</v>
      </c>
      <c r="AZ426" s="128"/>
    </row>
    <row r="427" s="13" customFormat="1" customHeight="1" spans="1:52">
      <c r="A427" s="13">
        <v>1268</v>
      </c>
      <c r="B427" s="121" t="s">
        <v>1078</v>
      </c>
      <c r="C427" s="122" t="s">
        <v>1079</v>
      </c>
      <c r="D427" s="13">
        <v>1</v>
      </c>
      <c r="E427" s="123"/>
      <c r="F427" s="13">
        <v>1</v>
      </c>
      <c r="G427" s="13">
        <v>2</v>
      </c>
      <c r="H427" s="13">
        <v>2</v>
      </c>
      <c r="I427" s="126">
        <v>0.5</v>
      </c>
      <c r="J427" s="126" t="s">
        <v>115</v>
      </c>
      <c r="K427" s="126"/>
      <c r="L427" s="13">
        <f t="shared" si="66"/>
        <v>0.1</v>
      </c>
      <c r="M427" s="126">
        <f t="shared" ref="M427:M432" si="67">13/30</f>
        <v>0.433333333333333</v>
      </c>
      <c r="P427" s="126">
        <f t="shared" si="65"/>
        <v>0.0666666666666667</v>
      </c>
      <c r="Q427" s="126">
        <f>14/30</f>
        <v>0.466666666666667</v>
      </c>
      <c r="T427" s="13">
        <v>2.4</v>
      </c>
      <c r="U427" s="127"/>
      <c r="V427" s="127"/>
      <c r="AD427" s="128"/>
      <c r="AE427" s="128"/>
      <c r="AK427" s="57">
        <v>0</v>
      </c>
      <c r="AV427" s="129" t="s">
        <v>1080</v>
      </c>
      <c r="AW427" s="129" t="s">
        <v>1081</v>
      </c>
      <c r="AZ427" s="128"/>
    </row>
    <row r="428" s="13" customFormat="1" ht="18" customHeight="1" spans="1:52">
      <c r="A428" s="13">
        <v>1269</v>
      </c>
      <c r="B428" s="121" t="s">
        <v>1082</v>
      </c>
      <c r="C428" s="122" t="s">
        <v>1083</v>
      </c>
      <c r="D428" s="13">
        <v>1</v>
      </c>
      <c r="E428" s="123"/>
      <c r="F428" s="13">
        <v>1</v>
      </c>
      <c r="G428" s="13">
        <v>2</v>
      </c>
      <c r="H428" s="13">
        <v>2</v>
      </c>
      <c r="I428" s="126">
        <v>0.5</v>
      </c>
      <c r="J428" s="126" t="s">
        <v>115</v>
      </c>
      <c r="K428" s="126"/>
      <c r="L428" s="13">
        <f t="shared" si="66"/>
        <v>0.1</v>
      </c>
      <c r="M428" s="126">
        <f t="shared" si="67"/>
        <v>0.433333333333333</v>
      </c>
      <c r="P428" s="126">
        <f t="shared" si="65"/>
        <v>0.0666666666666667</v>
      </c>
      <c r="Q428" s="126">
        <f>14/30</f>
        <v>0.466666666666667</v>
      </c>
      <c r="T428" s="13">
        <v>2.4</v>
      </c>
      <c r="U428" s="127"/>
      <c r="V428" s="127"/>
      <c r="AD428" s="128"/>
      <c r="AE428" s="128"/>
      <c r="AK428" s="57">
        <v>0</v>
      </c>
      <c r="AV428" s="129" t="s">
        <v>1080</v>
      </c>
      <c r="AW428" s="129" t="s">
        <v>1081</v>
      </c>
      <c r="AZ428" s="128"/>
    </row>
    <row r="429" s="13" customFormat="1" ht="12.95" customHeight="1" spans="1:52">
      <c r="A429" s="13">
        <v>1270</v>
      </c>
      <c r="B429" s="121" t="s">
        <v>1084</v>
      </c>
      <c r="C429" s="122" t="s">
        <v>1085</v>
      </c>
      <c r="D429" s="13">
        <v>1</v>
      </c>
      <c r="E429" s="123"/>
      <c r="F429" s="13">
        <v>1</v>
      </c>
      <c r="G429" s="13">
        <v>2</v>
      </c>
      <c r="H429" s="13">
        <v>2</v>
      </c>
      <c r="I429" s="126">
        <v>0.5</v>
      </c>
      <c r="J429" s="126" t="s">
        <v>115</v>
      </c>
      <c r="K429" s="126"/>
      <c r="L429" s="13">
        <f t="shared" si="66"/>
        <v>0.1</v>
      </c>
      <c r="M429" s="126">
        <f t="shared" si="67"/>
        <v>0.433333333333333</v>
      </c>
      <c r="P429" s="126">
        <f t="shared" si="65"/>
        <v>0.0666666666666667</v>
      </c>
      <c r="Q429" s="126">
        <f>14/30</f>
        <v>0.466666666666667</v>
      </c>
      <c r="T429" s="13">
        <v>2.4</v>
      </c>
      <c r="U429" s="127"/>
      <c r="V429" s="127"/>
      <c r="AD429" s="128"/>
      <c r="AE429" s="128"/>
      <c r="AK429" s="57">
        <v>0</v>
      </c>
      <c r="AV429" s="129" t="s">
        <v>1080</v>
      </c>
      <c r="AW429" s="129" t="s">
        <v>1081</v>
      </c>
      <c r="AZ429" s="128"/>
    </row>
    <row r="430" s="13" customFormat="1" ht="15.95" customHeight="1" spans="1:52">
      <c r="A430" s="13">
        <v>1271</v>
      </c>
      <c r="B430" s="121" t="s">
        <v>1086</v>
      </c>
      <c r="C430" s="122" t="s">
        <v>1087</v>
      </c>
      <c r="D430" s="13">
        <v>1</v>
      </c>
      <c r="E430" s="123"/>
      <c r="F430" s="13">
        <v>1</v>
      </c>
      <c r="G430" s="13">
        <v>2</v>
      </c>
      <c r="H430" s="13">
        <v>2</v>
      </c>
      <c r="I430" s="126">
        <v>0.5</v>
      </c>
      <c r="J430" s="126" t="s">
        <v>115</v>
      </c>
      <c r="K430" s="126"/>
      <c r="L430" s="13">
        <f t="shared" si="66"/>
        <v>0.1</v>
      </c>
      <c r="M430" s="126">
        <f t="shared" si="67"/>
        <v>0.433333333333333</v>
      </c>
      <c r="P430" s="126">
        <f t="shared" si="65"/>
        <v>0.0666666666666667</v>
      </c>
      <c r="Q430" s="126">
        <f>14/30</f>
        <v>0.466666666666667</v>
      </c>
      <c r="T430" s="13">
        <v>2.4</v>
      </c>
      <c r="U430" s="127"/>
      <c r="V430" s="127"/>
      <c r="AD430" s="128"/>
      <c r="AE430" s="128"/>
      <c r="AK430" s="57">
        <v>0</v>
      </c>
      <c r="AV430" s="129" t="s">
        <v>1080</v>
      </c>
      <c r="AW430" s="129" t="s">
        <v>1081</v>
      </c>
      <c r="AZ430" s="128"/>
    </row>
    <row r="431" s="13" customFormat="1" customHeight="1" spans="1:52">
      <c r="A431" s="13">
        <v>1272</v>
      </c>
      <c r="B431" s="121" t="s">
        <v>1088</v>
      </c>
      <c r="C431" s="122" t="s">
        <v>1089</v>
      </c>
      <c r="D431" s="13">
        <v>1</v>
      </c>
      <c r="E431" s="123"/>
      <c r="F431" s="13">
        <v>1</v>
      </c>
      <c r="G431" s="13">
        <v>2</v>
      </c>
      <c r="H431" s="13">
        <v>2</v>
      </c>
      <c r="I431" s="126">
        <v>0.5</v>
      </c>
      <c r="J431" s="126" t="s">
        <v>115</v>
      </c>
      <c r="K431" s="126"/>
      <c r="L431" s="13">
        <f t="shared" si="66"/>
        <v>0.1</v>
      </c>
      <c r="M431" s="126">
        <f t="shared" si="67"/>
        <v>0.433333333333333</v>
      </c>
      <c r="P431" s="126">
        <f>3/30</f>
        <v>0.1</v>
      </c>
      <c r="Q431" s="126">
        <f>13/30</f>
        <v>0.433333333333333</v>
      </c>
      <c r="T431" s="13">
        <v>2.4</v>
      </c>
      <c r="U431" s="127"/>
      <c r="V431" s="127"/>
      <c r="AD431" s="128"/>
      <c r="AE431" s="128"/>
      <c r="AK431" s="57">
        <v>0</v>
      </c>
      <c r="AV431" s="129" t="s">
        <v>1080</v>
      </c>
      <c r="AW431" s="129" t="s">
        <v>1081</v>
      </c>
      <c r="AZ431" s="128"/>
    </row>
    <row r="432" s="13" customFormat="1" ht="30" spans="1:52">
      <c r="A432" s="13">
        <v>1273</v>
      </c>
      <c r="B432" s="121" t="s">
        <v>1090</v>
      </c>
      <c r="C432" s="122" t="s">
        <v>1091</v>
      </c>
      <c r="D432" s="13">
        <v>1</v>
      </c>
      <c r="E432" s="123"/>
      <c r="F432" s="13">
        <v>1</v>
      </c>
      <c r="G432" s="13">
        <v>2</v>
      </c>
      <c r="H432" s="13">
        <v>2</v>
      </c>
      <c r="I432" s="126">
        <v>0.5</v>
      </c>
      <c r="J432" s="126" t="s">
        <v>115</v>
      </c>
      <c r="K432" s="126"/>
      <c r="L432" s="13">
        <f t="shared" si="66"/>
        <v>0.1</v>
      </c>
      <c r="M432" s="126">
        <f t="shared" si="67"/>
        <v>0.433333333333333</v>
      </c>
      <c r="P432" s="126">
        <f>2/30</f>
        <v>0.0666666666666667</v>
      </c>
      <c r="Q432" s="126">
        <f>14/30</f>
        <v>0.466666666666667</v>
      </c>
      <c r="T432" s="13">
        <v>2.4</v>
      </c>
      <c r="U432" s="127"/>
      <c r="V432" s="127"/>
      <c r="AD432" s="128"/>
      <c r="AE432" s="128"/>
      <c r="AK432" s="57">
        <v>0</v>
      </c>
      <c r="AV432" s="129" t="s">
        <v>1080</v>
      </c>
      <c r="AW432" s="129" t="s">
        <v>1081</v>
      </c>
      <c r="AZ432" s="128"/>
    </row>
    <row r="433" s="13" customFormat="1" ht="16.5" spans="1:52">
      <c r="A433" s="13">
        <v>1274</v>
      </c>
      <c r="B433" s="121" t="s">
        <v>1092</v>
      </c>
      <c r="C433" s="122" t="s">
        <v>1093</v>
      </c>
      <c r="D433" s="13">
        <v>1</v>
      </c>
      <c r="E433" s="123"/>
      <c r="F433" s="13">
        <v>1.1</v>
      </c>
      <c r="G433" s="13">
        <v>0.5</v>
      </c>
      <c r="H433" s="13">
        <v>1.2</v>
      </c>
      <c r="I433" s="126">
        <v>0.5</v>
      </c>
      <c r="J433" s="126" t="s">
        <v>115</v>
      </c>
      <c r="L433" s="13">
        <f>2/30</f>
        <v>0.0666666666666667</v>
      </c>
      <c r="M433" s="126">
        <f>18/30</f>
        <v>0.6</v>
      </c>
      <c r="P433" s="126">
        <f>2/30</f>
        <v>0.0666666666666667</v>
      </c>
      <c r="Q433" s="126">
        <f>18/30</f>
        <v>0.6</v>
      </c>
      <c r="T433" s="13">
        <v>2.4</v>
      </c>
      <c r="U433" s="127"/>
      <c r="V433" s="127"/>
      <c r="AD433" s="128"/>
      <c r="AE433" s="128"/>
      <c r="AK433" s="57">
        <v>0</v>
      </c>
      <c r="AV433" s="13" t="s">
        <v>1094</v>
      </c>
      <c r="AW433" s="13" t="s">
        <v>1095</v>
      </c>
      <c r="AZ433" s="128"/>
    </row>
    <row r="434" s="13" customFormat="1" ht="16.5" spans="1:52">
      <c r="A434" s="13">
        <v>1275</v>
      </c>
      <c r="B434" s="121" t="s">
        <v>1096</v>
      </c>
      <c r="C434" s="122" t="s">
        <v>1097</v>
      </c>
      <c r="D434" s="13">
        <v>1</v>
      </c>
      <c r="E434" s="123"/>
      <c r="F434" s="13">
        <v>1</v>
      </c>
      <c r="G434" s="13">
        <v>0.5</v>
      </c>
      <c r="H434" s="13">
        <v>1.2</v>
      </c>
      <c r="I434" s="126">
        <v>0.5</v>
      </c>
      <c r="J434" s="126" t="s">
        <v>115</v>
      </c>
      <c r="K434" s="126"/>
      <c r="L434" s="13">
        <f>4/30</f>
        <v>0.133333333333333</v>
      </c>
      <c r="M434" s="126">
        <f>20/30</f>
        <v>0.666666666666667</v>
      </c>
      <c r="P434" s="126">
        <f>4/30</f>
        <v>0.133333333333333</v>
      </c>
      <c r="Q434" s="126">
        <f>20/30</f>
        <v>0.666666666666667</v>
      </c>
      <c r="T434" s="13">
        <v>2.4</v>
      </c>
      <c r="U434" s="127"/>
      <c r="V434" s="127"/>
      <c r="AD434" s="128"/>
      <c r="AE434" s="128"/>
      <c r="AK434" s="57">
        <v>0</v>
      </c>
      <c r="AV434" s="13" t="s">
        <v>1094</v>
      </c>
      <c r="AW434" s="13" t="s">
        <v>1095</v>
      </c>
      <c r="AZ434" s="128"/>
    </row>
    <row r="435" s="13" customFormat="1" ht="16.5" spans="1:52">
      <c r="A435" s="13">
        <v>1276</v>
      </c>
      <c r="B435" s="121" t="s">
        <v>1098</v>
      </c>
      <c r="C435" s="122" t="s">
        <v>1099</v>
      </c>
      <c r="D435" s="13">
        <v>1</v>
      </c>
      <c r="E435" s="123"/>
      <c r="F435" s="13">
        <v>1</v>
      </c>
      <c r="G435" s="13">
        <v>0.5</v>
      </c>
      <c r="H435" s="13">
        <v>1.2</v>
      </c>
      <c r="I435" s="126">
        <v>0.5</v>
      </c>
      <c r="J435" s="126" t="s">
        <v>115</v>
      </c>
      <c r="K435" s="126"/>
      <c r="L435" s="13">
        <f>3/30</f>
        <v>0.1</v>
      </c>
      <c r="M435" s="126">
        <f>17/30</f>
        <v>0.566666666666667</v>
      </c>
      <c r="P435" s="126">
        <f>3/30</f>
        <v>0.1</v>
      </c>
      <c r="Q435" s="126">
        <f>17/30</f>
        <v>0.566666666666667</v>
      </c>
      <c r="T435" s="13">
        <v>2.4</v>
      </c>
      <c r="U435" s="127"/>
      <c r="V435" s="127"/>
      <c r="AD435" s="128"/>
      <c r="AE435" s="128"/>
      <c r="AK435" s="57">
        <v>0</v>
      </c>
      <c r="AV435" s="13" t="s">
        <v>1094</v>
      </c>
      <c r="AW435" s="13" t="s">
        <v>1095</v>
      </c>
      <c r="AZ435" s="128"/>
    </row>
    <row r="436" s="13" customFormat="1" ht="16.5" spans="1:52">
      <c r="A436" s="13">
        <v>1277</v>
      </c>
      <c r="B436" s="121" t="s">
        <v>1100</v>
      </c>
      <c r="C436" s="122" t="s">
        <v>1101</v>
      </c>
      <c r="D436" s="13">
        <v>1</v>
      </c>
      <c r="E436" s="123"/>
      <c r="F436" s="13">
        <v>1.1</v>
      </c>
      <c r="G436" s="13">
        <v>0.5</v>
      </c>
      <c r="H436" s="13">
        <v>1.2</v>
      </c>
      <c r="I436" s="126">
        <v>0.5</v>
      </c>
      <c r="J436" s="126" t="s">
        <v>115</v>
      </c>
      <c r="K436" s="126"/>
      <c r="L436" s="13">
        <f>4/30</f>
        <v>0.133333333333333</v>
      </c>
      <c r="M436" s="126">
        <f>17/30</f>
        <v>0.566666666666667</v>
      </c>
      <c r="P436" s="126">
        <f>4/30</f>
        <v>0.133333333333333</v>
      </c>
      <c r="Q436" s="126">
        <f>17/30</f>
        <v>0.566666666666667</v>
      </c>
      <c r="T436" s="13">
        <v>2.4</v>
      </c>
      <c r="U436" s="127"/>
      <c r="V436" s="127"/>
      <c r="AD436" s="128"/>
      <c r="AE436" s="128"/>
      <c r="AK436" s="57">
        <v>0</v>
      </c>
      <c r="AV436" s="13" t="s">
        <v>1094</v>
      </c>
      <c r="AW436" s="13" t="s">
        <v>1095</v>
      </c>
      <c r="AZ436" s="128"/>
    </row>
    <row r="437" s="13" customFormat="1" ht="16.5" spans="1:52">
      <c r="A437" s="13">
        <v>1278</v>
      </c>
      <c r="B437" s="121" t="s">
        <v>1102</v>
      </c>
      <c r="C437" s="122" t="s">
        <v>1103</v>
      </c>
      <c r="D437" s="13">
        <v>1</v>
      </c>
      <c r="E437" s="123"/>
      <c r="F437" s="13">
        <v>1</v>
      </c>
      <c r="G437" s="13">
        <v>2.5</v>
      </c>
      <c r="H437" s="13">
        <v>2.8</v>
      </c>
      <c r="I437" s="126">
        <v>0.5</v>
      </c>
      <c r="J437" s="126" t="s">
        <v>115</v>
      </c>
      <c r="K437" s="126"/>
      <c r="L437" s="13">
        <f>4/30</f>
        <v>0.133333333333333</v>
      </c>
      <c r="M437" s="126">
        <f>15/30</f>
        <v>0.5</v>
      </c>
      <c r="P437" s="126">
        <f>2/30</f>
        <v>0.0666666666666667</v>
      </c>
      <c r="Q437" s="126">
        <f>16/30</f>
        <v>0.533333333333333</v>
      </c>
      <c r="T437" s="13">
        <v>2.4</v>
      </c>
      <c r="U437" s="127"/>
      <c r="V437" s="127"/>
      <c r="AD437" s="128"/>
      <c r="AE437" s="128"/>
      <c r="AK437" s="57">
        <v>0</v>
      </c>
      <c r="AZ437" s="128"/>
    </row>
    <row r="438" s="13" customFormat="1" ht="16.5" spans="1:52">
      <c r="A438" s="13">
        <v>1279</v>
      </c>
      <c r="B438" s="121" t="s">
        <v>1104</v>
      </c>
      <c r="C438" s="122" t="s">
        <v>1105</v>
      </c>
      <c r="D438" s="13">
        <v>1</v>
      </c>
      <c r="E438" s="123"/>
      <c r="F438" s="13">
        <v>1</v>
      </c>
      <c r="G438" s="13">
        <v>2</v>
      </c>
      <c r="H438" s="13">
        <v>2.7</v>
      </c>
      <c r="I438" s="126">
        <v>0.5</v>
      </c>
      <c r="J438" s="126" t="s">
        <v>115</v>
      </c>
      <c r="K438" s="126"/>
      <c r="L438" s="13">
        <f>3/30</f>
        <v>0.1</v>
      </c>
      <c r="M438" s="126">
        <f>12/30</f>
        <v>0.4</v>
      </c>
      <c r="P438" s="126">
        <f>2/30</f>
        <v>0.0666666666666667</v>
      </c>
      <c r="Q438" s="126">
        <f>14/30</f>
        <v>0.466666666666667</v>
      </c>
      <c r="T438" s="13">
        <v>2.4</v>
      </c>
      <c r="U438" s="127"/>
      <c r="V438" s="127"/>
      <c r="AD438" s="128"/>
      <c r="AE438" s="128"/>
      <c r="AK438" s="57">
        <v>0</v>
      </c>
      <c r="AV438" s="13" t="s">
        <v>1106</v>
      </c>
      <c r="AW438" s="13" t="s">
        <v>1107</v>
      </c>
      <c r="AZ438" s="128"/>
    </row>
    <row r="439" s="11" customFormat="1" ht="16.5" spans="1:52">
      <c r="A439" s="117">
        <v>1280</v>
      </c>
      <c r="B439" s="55" t="s">
        <v>1108</v>
      </c>
      <c r="C439" s="119" t="s">
        <v>1109</v>
      </c>
      <c r="D439" s="11">
        <v>1</v>
      </c>
      <c r="E439" s="120"/>
      <c r="F439" s="11">
        <v>1</v>
      </c>
      <c r="G439" s="11">
        <v>2.5</v>
      </c>
      <c r="H439" s="11">
        <v>2.5</v>
      </c>
      <c r="I439" s="56">
        <v>0.5</v>
      </c>
      <c r="J439" s="56" t="s">
        <v>115</v>
      </c>
      <c r="K439" s="56"/>
      <c r="M439" s="56"/>
      <c r="P439" s="56"/>
      <c r="Q439" s="56"/>
      <c r="U439" s="65"/>
      <c r="V439" s="65"/>
      <c r="AD439" s="69"/>
      <c r="AE439" s="69"/>
      <c r="AK439" s="97"/>
      <c r="AZ439" s="69"/>
    </row>
    <row r="440" s="13" customFormat="1" ht="16.5" spans="1:52">
      <c r="A440" s="13">
        <v>1281</v>
      </c>
      <c r="B440" s="121" t="s">
        <v>1110</v>
      </c>
      <c r="C440" s="122" t="s">
        <v>1111</v>
      </c>
      <c r="D440" s="13">
        <v>1</v>
      </c>
      <c r="E440" s="123"/>
      <c r="F440" s="13">
        <v>0.9</v>
      </c>
      <c r="G440" s="13">
        <v>2</v>
      </c>
      <c r="H440" s="13">
        <v>2.5</v>
      </c>
      <c r="I440" s="126">
        <v>0.5</v>
      </c>
      <c r="J440" s="56" t="s">
        <v>115</v>
      </c>
      <c r="K440" s="126"/>
      <c r="L440" s="13">
        <f>5/30</f>
        <v>0.166666666666667</v>
      </c>
      <c r="M440" s="126">
        <f>15/30</f>
        <v>0.5</v>
      </c>
      <c r="P440" s="126">
        <f>5/30</f>
        <v>0.166666666666667</v>
      </c>
      <c r="Q440" s="126">
        <f>15/30</f>
        <v>0.5</v>
      </c>
      <c r="T440" s="13">
        <v>2.4</v>
      </c>
      <c r="U440" s="127"/>
      <c r="V440" s="127"/>
      <c r="AD440" s="128"/>
      <c r="AE440" s="128"/>
      <c r="AK440" s="57">
        <v>0</v>
      </c>
      <c r="AV440" s="13" t="s">
        <v>1112</v>
      </c>
      <c r="AW440" s="13" t="s">
        <v>1113</v>
      </c>
      <c r="AZ440" s="128"/>
    </row>
    <row r="441" s="13" customFormat="1" ht="16.5" spans="1:52">
      <c r="A441" s="13">
        <v>1282</v>
      </c>
      <c r="B441" s="121" t="s">
        <v>1114</v>
      </c>
      <c r="C441" s="122" t="s">
        <v>1115</v>
      </c>
      <c r="D441" s="13">
        <v>1</v>
      </c>
      <c r="E441" s="123"/>
      <c r="F441" s="13">
        <v>0.9</v>
      </c>
      <c r="G441" s="13">
        <v>2.5</v>
      </c>
      <c r="H441" s="13">
        <v>3.5</v>
      </c>
      <c r="I441" s="126">
        <v>0.5</v>
      </c>
      <c r="J441" s="56" t="s">
        <v>115</v>
      </c>
      <c r="K441" s="126"/>
      <c r="L441" s="13">
        <f>3/30</f>
        <v>0.1</v>
      </c>
      <c r="M441" s="13">
        <f>19/30</f>
        <v>0.633333333333333</v>
      </c>
      <c r="P441" s="13">
        <f>3/30</f>
        <v>0.1</v>
      </c>
      <c r="Q441" s="13">
        <f>19/30</f>
        <v>0.633333333333333</v>
      </c>
      <c r="T441" s="13">
        <v>2.4</v>
      </c>
      <c r="U441" s="127"/>
      <c r="V441" s="127"/>
      <c r="AD441" s="128"/>
      <c r="AE441" s="128"/>
      <c r="AK441" s="57">
        <v>0</v>
      </c>
      <c r="AV441" s="13" t="s">
        <v>1116</v>
      </c>
      <c r="AW441" s="13" t="s">
        <v>1117</v>
      </c>
      <c r="AZ441" s="128"/>
    </row>
    <row r="442" s="13" customFormat="1" spans="1:52">
      <c r="A442" s="13">
        <v>3015</v>
      </c>
      <c r="B442" s="13" t="s">
        <v>1118</v>
      </c>
      <c r="C442" s="13" t="s">
        <v>1119</v>
      </c>
      <c r="D442" s="13">
        <v>0</v>
      </c>
      <c r="F442" s="13">
        <v>1</v>
      </c>
      <c r="U442" s="65"/>
      <c r="V442" s="65"/>
      <c r="AF442" s="13">
        <v>801</v>
      </c>
      <c r="AG442" s="13" t="s">
        <v>116</v>
      </c>
      <c r="AK442" s="13">
        <v>0</v>
      </c>
      <c r="AZ442" s="128"/>
    </row>
    <row r="443" s="13" customFormat="1" ht="17.25" spans="1:52">
      <c r="A443" s="13">
        <v>1284</v>
      </c>
      <c r="B443" s="121" t="s">
        <v>1120</v>
      </c>
      <c r="C443" s="124" t="s">
        <v>1121</v>
      </c>
      <c r="D443" s="13">
        <v>1</v>
      </c>
      <c r="E443" s="123"/>
      <c r="F443" s="13">
        <v>1</v>
      </c>
      <c r="G443" s="13">
        <v>2</v>
      </c>
      <c r="H443" s="13">
        <v>2.4</v>
      </c>
      <c r="I443" s="126">
        <v>0.5</v>
      </c>
      <c r="J443" s="56" t="s">
        <v>115</v>
      </c>
      <c r="K443" s="126"/>
      <c r="L443" s="13">
        <f>7/30</f>
        <v>0.233333333333333</v>
      </c>
      <c r="M443" s="13">
        <f>18/30</f>
        <v>0.6</v>
      </c>
      <c r="P443" s="13">
        <f>7/30</f>
        <v>0.233333333333333</v>
      </c>
      <c r="Q443" s="13">
        <f>14/30</f>
        <v>0.466666666666667</v>
      </c>
      <c r="T443" s="13">
        <v>2.4</v>
      </c>
      <c r="U443" s="127"/>
      <c r="V443" s="127"/>
      <c r="AD443" s="128"/>
      <c r="AE443" s="128"/>
      <c r="AK443" s="57">
        <v>0</v>
      </c>
      <c r="AV443" s="13" t="s">
        <v>1122</v>
      </c>
      <c r="AW443" s="13" t="s">
        <v>1123</v>
      </c>
      <c r="AZ443" s="128"/>
    </row>
    <row r="444" s="13" customFormat="1" ht="17.25" spans="1:52">
      <c r="A444" s="13">
        <v>1285</v>
      </c>
      <c r="B444" s="121" t="s">
        <v>1124</v>
      </c>
      <c r="C444" s="124" t="s">
        <v>1125</v>
      </c>
      <c r="D444" s="13">
        <v>1</v>
      </c>
      <c r="E444" s="123"/>
      <c r="F444" s="13">
        <v>1</v>
      </c>
      <c r="G444" s="13">
        <v>2</v>
      </c>
      <c r="H444" s="13">
        <v>2.4</v>
      </c>
      <c r="I444" s="126">
        <v>0.5</v>
      </c>
      <c r="J444" s="56" t="s">
        <v>115</v>
      </c>
      <c r="K444" s="126"/>
      <c r="L444" s="13">
        <f>7/30</f>
        <v>0.233333333333333</v>
      </c>
      <c r="M444" s="13">
        <f>18/30</f>
        <v>0.6</v>
      </c>
      <c r="P444" s="13">
        <f>7/30</f>
        <v>0.233333333333333</v>
      </c>
      <c r="Q444" s="13">
        <f>14/30</f>
        <v>0.466666666666667</v>
      </c>
      <c r="T444" s="13">
        <v>2.4</v>
      </c>
      <c r="U444" s="127"/>
      <c r="V444" s="127"/>
      <c r="AD444" s="128"/>
      <c r="AE444" s="128"/>
      <c r="AK444" s="57">
        <v>0</v>
      </c>
      <c r="AV444" s="13" t="s">
        <v>1122</v>
      </c>
      <c r="AW444" s="13" t="s">
        <v>1123</v>
      </c>
      <c r="AZ444" s="128"/>
    </row>
    <row r="445" s="13" customFormat="1" ht="17.25" spans="1:52">
      <c r="A445" s="13">
        <v>1286</v>
      </c>
      <c r="B445" s="121" t="s">
        <v>1126</v>
      </c>
      <c r="C445" s="124" t="s">
        <v>1127</v>
      </c>
      <c r="D445" s="13">
        <v>1</v>
      </c>
      <c r="E445" s="123"/>
      <c r="F445" s="13">
        <v>1</v>
      </c>
      <c r="G445" s="13">
        <v>2</v>
      </c>
      <c r="H445" s="13">
        <v>2.4</v>
      </c>
      <c r="I445" s="126">
        <v>0.5</v>
      </c>
      <c r="J445" s="56" t="s">
        <v>115</v>
      </c>
      <c r="K445" s="126"/>
      <c r="L445" s="13">
        <f>7/30</f>
        <v>0.233333333333333</v>
      </c>
      <c r="M445" s="13">
        <f>18/30</f>
        <v>0.6</v>
      </c>
      <c r="P445" s="13">
        <f>7/30</f>
        <v>0.233333333333333</v>
      </c>
      <c r="Q445" s="13">
        <f>14/30</f>
        <v>0.466666666666667</v>
      </c>
      <c r="T445" s="13">
        <v>2.4</v>
      </c>
      <c r="U445" s="127"/>
      <c r="V445" s="127"/>
      <c r="AD445" s="128"/>
      <c r="AE445" s="128"/>
      <c r="AK445" s="57">
        <v>0</v>
      </c>
      <c r="AV445" s="13" t="s">
        <v>1122</v>
      </c>
      <c r="AW445" s="13" t="s">
        <v>1123</v>
      </c>
      <c r="AZ445" s="128"/>
    </row>
    <row r="446" s="11" customFormat="1" ht="17.25" spans="1:52">
      <c r="A446" s="13">
        <v>1287</v>
      </c>
      <c r="B446" s="55" t="s">
        <v>1128</v>
      </c>
      <c r="C446" s="125" t="s">
        <v>1129</v>
      </c>
      <c r="D446" s="13">
        <v>1</v>
      </c>
      <c r="E446" s="123"/>
      <c r="F446" s="13">
        <v>1</v>
      </c>
      <c r="G446" s="13">
        <v>3.4</v>
      </c>
      <c r="H446" s="13">
        <v>3.4</v>
      </c>
      <c r="I446" s="126">
        <v>0.5</v>
      </c>
      <c r="J446" s="56" t="s">
        <v>115</v>
      </c>
      <c r="K446" s="56"/>
      <c r="L446" s="11">
        <v>0.1</v>
      </c>
      <c r="M446" s="11">
        <v>0.633333333333333</v>
      </c>
      <c r="P446" s="11">
        <v>0.0666666666666667</v>
      </c>
      <c r="Q446" s="11">
        <v>0.7</v>
      </c>
      <c r="T446" s="11">
        <v>2.4</v>
      </c>
      <c r="U446" s="65"/>
      <c r="V446" s="65"/>
      <c r="AD446" s="69"/>
      <c r="AE446" s="69"/>
      <c r="AK446" s="11">
        <v>0</v>
      </c>
      <c r="AV446" s="11" t="s">
        <v>1130</v>
      </c>
      <c r="AW446" s="11" t="s">
        <v>1131</v>
      </c>
      <c r="AZ446" s="69"/>
    </row>
    <row r="447" s="11" customFormat="1" ht="17.25" spans="1:52">
      <c r="A447" s="13">
        <v>1288</v>
      </c>
      <c r="B447" s="55" t="s">
        <v>1132</v>
      </c>
      <c r="C447" s="125" t="s">
        <v>1133</v>
      </c>
      <c r="D447" s="13">
        <v>1</v>
      </c>
      <c r="E447" s="123"/>
      <c r="F447" s="13">
        <v>1</v>
      </c>
      <c r="G447" s="13">
        <v>3</v>
      </c>
      <c r="H447" s="13">
        <v>3</v>
      </c>
      <c r="I447" s="126">
        <v>0.5</v>
      </c>
      <c r="J447" s="56" t="s">
        <v>115</v>
      </c>
      <c r="K447" s="56"/>
      <c r="L447" s="11">
        <v>0.2</v>
      </c>
      <c r="M447" s="11">
        <v>0.666666666666667</v>
      </c>
      <c r="P447" s="11">
        <v>0.1</v>
      </c>
      <c r="Q447" s="11">
        <v>0.5</v>
      </c>
      <c r="T447" s="11">
        <v>2.4</v>
      </c>
      <c r="U447" s="65"/>
      <c r="V447" s="65"/>
      <c r="AD447" s="69"/>
      <c r="AE447" s="69"/>
      <c r="AK447" s="11">
        <v>0</v>
      </c>
      <c r="AV447" s="11" t="s">
        <v>1134</v>
      </c>
      <c r="AW447" s="11" t="s">
        <v>1135</v>
      </c>
      <c r="AZ447" s="69"/>
    </row>
    <row r="448" s="11" customFormat="1" ht="17.25" spans="1:52">
      <c r="A448" s="13">
        <v>1289</v>
      </c>
      <c r="B448" s="55" t="s">
        <v>1136</v>
      </c>
      <c r="C448" s="125" t="s">
        <v>1109</v>
      </c>
      <c r="D448" s="13">
        <v>1</v>
      </c>
      <c r="E448" s="123"/>
      <c r="F448" s="13">
        <v>1</v>
      </c>
      <c r="G448" s="13">
        <v>4</v>
      </c>
      <c r="H448" s="13">
        <v>4</v>
      </c>
      <c r="I448" s="126">
        <v>0.5</v>
      </c>
      <c r="J448" s="56" t="s">
        <v>115</v>
      </c>
      <c r="K448" s="56"/>
      <c r="L448" s="11">
        <v>0.0666666666666667</v>
      </c>
      <c r="M448" s="11">
        <v>0.633333333333333</v>
      </c>
      <c r="P448" s="11">
        <v>0.1</v>
      </c>
      <c r="Q448" s="11">
        <v>0.633333333333333</v>
      </c>
      <c r="T448" s="11">
        <v>2.4</v>
      </c>
      <c r="U448" s="65"/>
      <c r="V448" s="65"/>
      <c r="AD448" s="69"/>
      <c r="AE448" s="69"/>
      <c r="AK448" s="11">
        <v>0</v>
      </c>
      <c r="AV448" s="11" t="s">
        <v>1137</v>
      </c>
      <c r="AW448" s="11" t="s">
        <v>1138</v>
      </c>
      <c r="AZ448" s="69"/>
    </row>
    <row r="449" s="11" customFormat="1" ht="17.25" spans="1:52">
      <c r="A449" s="13">
        <v>1290</v>
      </c>
      <c r="B449" s="55" t="s">
        <v>1139</v>
      </c>
      <c r="C449" s="125" t="s">
        <v>1140</v>
      </c>
      <c r="D449" s="13">
        <v>1</v>
      </c>
      <c r="E449" s="123"/>
      <c r="F449" s="13">
        <v>1</v>
      </c>
      <c r="G449" s="13">
        <v>2</v>
      </c>
      <c r="H449" s="13">
        <v>2</v>
      </c>
      <c r="I449" s="126">
        <v>0.5</v>
      </c>
      <c r="J449" s="56" t="s">
        <v>115</v>
      </c>
      <c r="K449" s="56"/>
      <c r="L449" s="11">
        <v>0.0666666666666667</v>
      </c>
      <c r="M449" s="11">
        <v>0.666666666666667</v>
      </c>
      <c r="P449" s="11">
        <v>0.133333333333333</v>
      </c>
      <c r="Q449" s="11">
        <v>0.666666666666667</v>
      </c>
      <c r="T449" s="11">
        <v>2.4</v>
      </c>
      <c r="U449" s="65"/>
      <c r="V449" s="65"/>
      <c r="AD449" s="69"/>
      <c r="AE449" s="69"/>
      <c r="AK449" s="11">
        <v>0</v>
      </c>
      <c r="AZ449" s="69"/>
    </row>
    <row r="450" s="22" customFormat="1" ht="17.25" spans="1:52">
      <c r="A450" s="22">
        <v>1291</v>
      </c>
      <c r="B450" s="130" t="s">
        <v>1141</v>
      </c>
      <c r="C450" s="131" t="s">
        <v>1142</v>
      </c>
      <c r="D450" s="22">
        <v>1</v>
      </c>
      <c r="E450" s="132"/>
      <c r="F450" s="22">
        <v>1</v>
      </c>
      <c r="G450" s="22">
        <v>2.7</v>
      </c>
      <c r="H450" s="22">
        <v>2.7</v>
      </c>
      <c r="I450" s="142">
        <v>0.5</v>
      </c>
      <c r="J450" s="142" t="s">
        <v>115</v>
      </c>
      <c r="K450" s="142"/>
      <c r="L450" s="143">
        <f>4/30</f>
        <v>0.133333333333333</v>
      </c>
      <c r="M450" s="143">
        <f>15/30</f>
        <v>0.5</v>
      </c>
      <c r="P450" s="143">
        <f>4/30</f>
        <v>0.133333333333333</v>
      </c>
      <c r="Q450" s="143">
        <f>14/30</f>
        <v>0.466666666666667</v>
      </c>
      <c r="T450" s="143">
        <v>2</v>
      </c>
      <c r="U450" s="93"/>
      <c r="V450" s="93"/>
      <c r="AD450" s="150"/>
      <c r="AE450" s="150"/>
      <c r="AK450" s="153">
        <v>0</v>
      </c>
      <c r="AV450" s="15" t="s">
        <v>509</v>
      </c>
      <c r="AW450" s="15" t="s">
        <v>1143</v>
      </c>
      <c r="AZ450" s="150"/>
    </row>
    <row r="451" s="22" customFormat="1" ht="17.25" spans="1:52">
      <c r="A451" s="22">
        <v>1292</v>
      </c>
      <c r="B451" s="130" t="s">
        <v>1144</v>
      </c>
      <c r="C451" s="131" t="s">
        <v>1145</v>
      </c>
      <c r="D451" s="22">
        <v>1</v>
      </c>
      <c r="E451" s="132"/>
      <c r="F451" s="22">
        <v>1</v>
      </c>
      <c r="G451" s="22">
        <v>3.4</v>
      </c>
      <c r="H451" s="22">
        <v>3.4</v>
      </c>
      <c r="I451" s="142">
        <v>0.5</v>
      </c>
      <c r="J451" s="142" t="s">
        <v>115</v>
      </c>
      <c r="K451" s="142"/>
      <c r="L451" s="143">
        <v>0.0666666666666667</v>
      </c>
      <c r="M451" s="143">
        <v>0.633333333333333</v>
      </c>
      <c r="P451" s="143">
        <v>0.1</v>
      </c>
      <c r="Q451" s="143">
        <v>0.633333333333333</v>
      </c>
      <c r="T451" s="143">
        <v>2.5</v>
      </c>
      <c r="U451" s="93"/>
      <c r="V451" s="93"/>
      <c r="AD451" s="150"/>
      <c r="AE451" s="150"/>
      <c r="AK451" s="153">
        <v>0</v>
      </c>
      <c r="AV451" s="15" t="s">
        <v>509</v>
      </c>
      <c r="AW451" s="15" t="s">
        <v>1143</v>
      </c>
      <c r="AZ451" s="150"/>
    </row>
    <row r="452" s="22" customFormat="1" ht="17.25" spans="1:52">
      <c r="A452" s="22">
        <v>1293</v>
      </c>
      <c r="B452" s="130" t="s">
        <v>1146</v>
      </c>
      <c r="C452" s="133" t="s">
        <v>1147</v>
      </c>
      <c r="D452" s="22">
        <v>1</v>
      </c>
      <c r="E452" s="132"/>
      <c r="F452" s="22">
        <v>1</v>
      </c>
      <c r="G452" s="22">
        <v>2.9</v>
      </c>
      <c r="H452" s="22">
        <v>2.9</v>
      </c>
      <c r="I452" s="142">
        <v>0.5</v>
      </c>
      <c r="J452" s="142" t="s">
        <v>115</v>
      </c>
      <c r="K452" s="142"/>
      <c r="L452" s="143">
        <v>0.2</v>
      </c>
      <c r="M452" s="143">
        <v>0.8</v>
      </c>
      <c r="P452" s="143">
        <v>0.166666666666667</v>
      </c>
      <c r="Q452" s="143">
        <v>0.8</v>
      </c>
      <c r="T452" s="143">
        <v>1.1</v>
      </c>
      <c r="U452" s="93"/>
      <c r="V452" s="93"/>
      <c r="AD452" s="150"/>
      <c r="AE452" s="150"/>
      <c r="AK452" s="153">
        <v>0</v>
      </c>
      <c r="AV452" s="15" t="s">
        <v>118</v>
      </c>
      <c r="AW452" s="15" t="s">
        <v>118</v>
      </c>
      <c r="AZ452" s="150"/>
    </row>
    <row r="453" s="22" customFormat="1" ht="17.25" spans="1:52">
      <c r="A453" s="22">
        <v>1294</v>
      </c>
      <c r="B453" s="130" t="s">
        <v>1148</v>
      </c>
      <c r="C453" s="133" t="s">
        <v>1149</v>
      </c>
      <c r="D453" s="22">
        <v>1</v>
      </c>
      <c r="E453" s="132"/>
      <c r="F453" s="22">
        <v>1</v>
      </c>
      <c r="G453" s="22">
        <v>1.9</v>
      </c>
      <c r="H453" s="22">
        <v>2.4</v>
      </c>
      <c r="I453" s="142">
        <v>0.5</v>
      </c>
      <c r="J453" s="142" t="s">
        <v>115</v>
      </c>
      <c r="K453" s="142"/>
      <c r="L453" s="143">
        <v>0.1</v>
      </c>
      <c r="M453" s="143">
        <f>21/30</f>
        <v>0.7</v>
      </c>
      <c r="P453" s="143">
        <v>0.0666666666666667</v>
      </c>
      <c r="Q453" s="143">
        <f>23/30</f>
        <v>0.766666666666667</v>
      </c>
      <c r="T453" s="143">
        <v>1.433</v>
      </c>
      <c r="U453" s="93"/>
      <c r="V453" s="93"/>
      <c r="AD453" s="150"/>
      <c r="AE453" s="150"/>
      <c r="AK453" s="153">
        <v>0</v>
      </c>
      <c r="AV453" s="15" t="s">
        <v>118</v>
      </c>
      <c r="AW453" s="15" t="s">
        <v>118</v>
      </c>
      <c r="AZ453" s="150"/>
    </row>
    <row r="454" s="22" customFormat="1" ht="17.25" spans="1:52">
      <c r="A454" s="22">
        <v>1295</v>
      </c>
      <c r="B454" s="130" t="s">
        <v>1150</v>
      </c>
      <c r="C454" s="133" t="s">
        <v>1151</v>
      </c>
      <c r="D454" s="22">
        <v>1</v>
      </c>
      <c r="E454" s="132"/>
      <c r="F454" s="22">
        <v>1</v>
      </c>
      <c r="G454" s="22">
        <v>2.4</v>
      </c>
      <c r="H454" s="22">
        <v>2.9</v>
      </c>
      <c r="I454" s="142">
        <v>0.5</v>
      </c>
      <c r="J454" s="142" t="s">
        <v>115</v>
      </c>
      <c r="K454" s="142"/>
      <c r="L454" s="143">
        <v>0.166666666666667</v>
      </c>
      <c r="M454" s="143">
        <v>0.8</v>
      </c>
      <c r="P454" s="143">
        <v>0.166666666666667</v>
      </c>
      <c r="Q454" s="143">
        <v>0.8</v>
      </c>
      <c r="T454" s="143">
        <v>2.367</v>
      </c>
      <c r="U454" s="93"/>
      <c r="V454" s="93"/>
      <c r="AD454" s="150"/>
      <c r="AE454" s="150"/>
      <c r="AK454" s="153">
        <v>0</v>
      </c>
      <c r="AV454" s="15" t="s">
        <v>118</v>
      </c>
      <c r="AW454" s="15" t="s">
        <v>118</v>
      </c>
      <c r="AZ454" s="150"/>
    </row>
    <row r="455" s="22" customFormat="1" ht="17.25" spans="1:52">
      <c r="A455" s="22">
        <v>1296</v>
      </c>
      <c r="B455" s="130" t="s">
        <v>1152</v>
      </c>
      <c r="C455" s="133" t="s">
        <v>1153</v>
      </c>
      <c r="D455" s="22">
        <v>1</v>
      </c>
      <c r="E455" s="132"/>
      <c r="F455" s="22">
        <v>1</v>
      </c>
      <c r="G455" s="22">
        <v>1.9</v>
      </c>
      <c r="H455" s="22">
        <v>2.6</v>
      </c>
      <c r="I455" s="142">
        <v>0.5</v>
      </c>
      <c r="J455" s="142" t="s">
        <v>115</v>
      </c>
      <c r="K455" s="142"/>
      <c r="L455" s="143">
        <v>0.1</v>
      </c>
      <c r="M455" s="143">
        <v>0.633333333333333</v>
      </c>
      <c r="P455" s="143">
        <v>0.0666666666666667</v>
      </c>
      <c r="Q455" s="143">
        <v>0.633333333333333</v>
      </c>
      <c r="T455" s="143">
        <v>1.567</v>
      </c>
      <c r="U455" s="93"/>
      <c r="V455" s="93"/>
      <c r="AD455" s="150"/>
      <c r="AE455" s="150"/>
      <c r="AK455" s="153">
        <v>0</v>
      </c>
      <c r="AV455" s="15" t="s">
        <v>122</v>
      </c>
      <c r="AW455" s="15" t="s">
        <v>122</v>
      </c>
      <c r="AZ455" s="150"/>
    </row>
    <row r="456" s="22" customFormat="1" ht="17.25" spans="1:52">
      <c r="A456" s="22">
        <v>1297</v>
      </c>
      <c r="B456" s="130" t="s">
        <v>1154</v>
      </c>
      <c r="C456" s="133" t="s">
        <v>1155</v>
      </c>
      <c r="D456" s="22">
        <v>1</v>
      </c>
      <c r="E456" s="132"/>
      <c r="F456" s="22">
        <v>1</v>
      </c>
      <c r="G456" s="22">
        <v>1.9</v>
      </c>
      <c r="H456" s="22">
        <v>2.4</v>
      </c>
      <c r="I456" s="142">
        <v>0.5</v>
      </c>
      <c r="J456" s="142" t="s">
        <v>115</v>
      </c>
      <c r="K456" s="142"/>
      <c r="L456" s="143">
        <v>0.1</v>
      </c>
      <c r="M456" s="143">
        <f t="shared" ref="M456:M460" si="68">19/30</f>
        <v>0.633333333333333</v>
      </c>
      <c r="P456" s="143">
        <v>0.0666666666666667</v>
      </c>
      <c r="Q456" s="143">
        <f>19/30</f>
        <v>0.633333333333333</v>
      </c>
      <c r="T456" s="143">
        <v>1.533</v>
      </c>
      <c r="U456" s="93"/>
      <c r="V456" s="93"/>
      <c r="AD456" s="150"/>
      <c r="AE456" s="150"/>
      <c r="AK456" s="153">
        <v>0</v>
      </c>
      <c r="AV456" s="15" t="s">
        <v>118</v>
      </c>
      <c r="AW456" s="15" t="s">
        <v>118</v>
      </c>
      <c r="AZ456" s="150"/>
    </row>
    <row r="457" s="22" customFormat="1" ht="17.25" spans="1:52">
      <c r="A457" s="22">
        <v>1298</v>
      </c>
      <c r="B457" s="130" t="s">
        <v>1156</v>
      </c>
      <c r="C457" s="133" t="s">
        <v>1157</v>
      </c>
      <c r="D457" s="22">
        <v>1</v>
      </c>
      <c r="E457" s="132"/>
      <c r="F457" s="22">
        <v>1</v>
      </c>
      <c r="G457" s="22">
        <v>1.6</v>
      </c>
      <c r="H457" s="22">
        <v>2.1</v>
      </c>
      <c r="I457" s="142">
        <v>0.5</v>
      </c>
      <c r="J457" s="142" t="s">
        <v>115</v>
      </c>
      <c r="K457" s="142"/>
      <c r="L457" s="143">
        <v>0.0666666666666667</v>
      </c>
      <c r="M457" s="143">
        <f t="shared" si="68"/>
        <v>0.633333333333333</v>
      </c>
      <c r="P457" s="143">
        <v>0.133333333333333</v>
      </c>
      <c r="Q457" s="143">
        <f>19/30</f>
        <v>0.633333333333333</v>
      </c>
      <c r="T457" s="143">
        <v>1.967</v>
      </c>
      <c r="U457" s="93"/>
      <c r="V457" s="93"/>
      <c r="AD457" s="150"/>
      <c r="AE457" s="150"/>
      <c r="AK457" s="153">
        <v>0</v>
      </c>
      <c r="AV457" s="15" t="s">
        <v>118</v>
      </c>
      <c r="AW457" s="15" t="s">
        <v>118</v>
      </c>
      <c r="AZ457" s="150"/>
    </row>
    <row r="458" s="22" customFormat="1" ht="17.25" spans="1:52">
      <c r="A458" s="22">
        <v>1299</v>
      </c>
      <c r="B458" s="130" t="s">
        <v>1158</v>
      </c>
      <c r="C458" s="133" t="s">
        <v>1159</v>
      </c>
      <c r="D458" s="22">
        <v>1</v>
      </c>
      <c r="E458" s="132"/>
      <c r="F458" s="22">
        <v>1</v>
      </c>
      <c r="G458" s="22">
        <v>1.6</v>
      </c>
      <c r="H458" s="22">
        <v>2.1</v>
      </c>
      <c r="I458" s="142">
        <v>0.5</v>
      </c>
      <c r="J458" s="142" t="s">
        <v>115</v>
      </c>
      <c r="K458" s="142"/>
      <c r="L458" s="143">
        <v>0.0666666666666667</v>
      </c>
      <c r="M458" s="143">
        <f t="shared" si="68"/>
        <v>0.633333333333333</v>
      </c>
      <c r="P458" s="143">
        <v>0.133333333333333</v>
      </c>
      <c r="Q458" s="143">
        <f>19/30</f>
        <v>0.633333333333333</v>
      </c>
      <c r="T458" s="143">
        <v>2</v>
      </c>
      <c r="U458" s="93"/>
      <c r="V458" s="93"/>
      <c r="AD458" s="150"/>
      <c r="AE458" s="150"/>
      <c r="AK458" s="153">
        <v>0</v>
      </c>
      <c r="AV458" s="15" t="s">
        <v>118</v>
      </c>
      <c r="AW458" s="15" t="s">
        <v>118</v>
      </c>
      <c r="AZ458" s="150"/>
    </row>
    <row r="459" s="22" customFormat="1" ht="17.25" spans="1:52">
      <c r="A459" s="22">
        <v>1300</v>
      </c>
      <c r="B459" s="130" t="s">
        <v>1160</v>
      </c>
      <c r="C459" s="133" t="s">
        <v>1161</v>
      </c>
      <c r="D459" s="22">
        <v>1</v>
      </c>
      <c r="E459" s="132"/>
      <c r="F459" s="22">
        <v>1</v>
      </c>
      <c r="G459" s="22">
        <v>2.5</v>
      </c>
      <c r="H459" s="22">
        <v>3.2</v>
      </c>
      <c r="I459" s="142">
        <v>0.5</v>
      </c>
      <c r="J459" s="142" t="s">
        <v>115</v>
      </c>
      <c r="K459" s="142"/>
      <c r="L459" s="143">
        <v>0.1</v>
      </c>
      <c r="M459" s="143">
        <f t="shared" si="68"/>
        <v>0.633333333333333</v>
      </c>
      <c r="P459" s="143">
        <v>0.0666666666666667</v>
      </c>
      <c r="Q459" s="143">
        <f>19/30</f>
        <v>0.633333333333333</v>
      </c>
      <c r="T459" s="143">
        <v>2.5</v>
      </c>
      <c r="U459" s="93"/>
      <c r="V459" s="93"/>
      <c r="AD459" s="150"/>
      <c r="AE459" s="150"/>
      <c r="AK459" s="153">
        <v>0</v>
      </c>
      <c r="AV459" s="15" t="s">
        <v>1162</v>
      </c>
      <c r="AW459" s="15" t="s">
        <v>1162</v>
      </c>
      <c r="AZ459" s="150"/>
    </row>
    <row r="460" s="22" customFormat="1" ht="17.25" spans="1:52">
      <c r="A460" s="22">
        <v>1301</v>
      </c>
      <c r="B460" s="130" t="s">
        <v>1163</v>
      </c>
      <c r="C460" s="133" t="s">
        <v>1164</v>
      </c>
      <c r="D460" s="22">
        <v>1</v>
      </c>
      <c r="E460" s="132"/>
      <c r="F460" s="22">
        <v>1</v>
      </c>
      <c r="G460" s="22">
        <v>3.7</v>
      </c>
      <c r="H460" s="22">
        <v>3.7</v>
      </c>
      <c r="I460" s="142">
        <v>0.5</v>
      </c>
      <c r="J460" s="142" t="s">
        <v>115</v>
      </c>
      <c r="K460" s="142"/>
      <c r="L460" s="143">
        <v>0.1</v>
      </c>
      <c r="M460" s="143">
        <f t="shared" si="68"/>
        <v>0.633333333333333</v>
      </c>
      <c r="P460" s="143">
        <v>0.1</v>
      </c>
      <c r="Q460" s="143">
        <f>19/30</f>
        <v>0.633333333333333</v>
      </c>
      <c r="T460" s="143">
        <v>2.167</v>
      </c>
      <c r="U460" s="93"/>
      <c r="V460" s="93"/>
      <c r="AD460" s="150"/>
      <c r="AE460" s="150"/>
      <c r="AK460" s="153">
        <v>0</v>
      </c>
      <c r="AV460" s="15" t="s">
        <v>509</v>
      </c>
      <c r="AW460" s="15" t="s">
        <v>1143</v>
      </c>
      <c r="AZ460" s="150"/>
    </row>
    <row r="461" s="24" customFormat="1" ht="17.25" spans="1:52">
      <c r="A461" s="24">
        <v>1302</v>
      </c>
      <c r="B461" s="134" t="s">
        <v>1165</v>
      </c>
      <c r="C461" s="135" t="s">
        <v>1166</v>
      </c>
      <c r="D461" s="24">
        <v>1</v>
      </c>
      <c r="E461" s="136"/>
      <c r="F461" s="24">
        <v>1</v>
      </c>
      <c r="G461" s="137">
        <v>1.9</v>
      </c>
      <c r="H461" s="137">
        <v>2.2</v>
      </c>
      <c r="I461" s="144">
        <v>0.5</v>
      </c>
      <c r="J461" s="144" t="s">
        <v>115</v>
      </c>
      <c r="K461" s="144"/>
      <c r="L461" s="24">
        <v>0.0666666666666667</v>
      </c>
      <c r="M461" s="24">
        <v>0.5</v>
      </c>
      <c r="P461" s="24">
        <v>0.1</v>
      </c>
      <c r="Q461" s="24">
        <v>0.5</v>
      </c>
      <c r="T461" s="146">
        <v>2</v>
      </c>
      <c r="U461" s="147"/>
      <c r="V461" s="147"/>
      <c r="AD461" s="151"/>
      <c r="AE461" s="151"/>
      <c r="AK461" s="154">
        <v>0</v>
      </c>
      <c r="AV461" s="24" t="s">
        <v>118</v>
      </c>
      <c r="AW461" s="24" t="s">
        <v>118</v>
      </c>
      <c r="AZ461" s="151"/>
    </row>
    <row r="462" s="24" customFormat="1" ht="17.25" spans="1:52">
      <c r="A462" s="24">
        <v>1303</v>
      </c>
      <c r="B462" s="134" t="s">
        <v>1167</v>
      </c>
      <c r="C462" s="135" t="s">
        <v>1168</v>
      </c>
      <c r="D462" s="24">
        <v>1</v>
      </c>
      <c r="E462" s="136"/>
      <c r="F462" s="24">
        <v>1</v>
      </c>
      <c r="G462" s="137">
        <v>1.9</v>
      </c>
      <c r="H462" s="137">
        <v>2.2</v>
      </c>
      <c r="I462" s="144">
        <v>0.5</v>
      </c>
      <c r="J462" s="144" t="s">
        <v>115</v>
      </c>
      <c r="K462" s="144"/>
      <c r="L462" s="24">
        <v>0.0666666666666667</v>
      </c>
      <c r="M462" s="24">
        <v>0.6</v>
      </c>
      <c r="P462" s="24">
        <v>0.1</v>
      </c>
      <c r="Q462" s="24">
        <v>0.566666666666667</v>
      </c>
      <c r="T462" s="146">
        <v>1.7</v>
      </c>
      <c r="U462" s="147"/>
      <c r="V462" s="147"/>
      <c r="AD462" s="151"/>
      <c r="AE462" s="151"/>
      <c r="AK462" s="154">
        <v>0</v>
      </c>
      <c r="AV462" s="24" t="s">
        <v>118</v>
      </c>
      <c r="AW462" s="24" t="s">
        <v>118</v>
      </c>
      <c r="AZ462" s="151"/>
    </row>
    <row r="463" s="24" customFormat="1" ht="17.25" spans="1:52">
      <c r="A463" s="24">
        <v>1304</v>
      </c>
      <c r="B463" s="134" t="s">
        <v>1169</v>
      </c>
      <c r="C463" s="135" t="s">
        <v>1170</v>
      </c>
      <c r="D463" s="24">
        <v>1</v>
      </c>
      <c r="E463" s="136"/>
      <c r="F463" s="24">
        <v>1</v>
      </c>
      <c r="G463" s="137">
        <v>2.7</v>
      </c>
      <c r="H463" s="137">
        <v>3.2</v>
      </c>
      <c r="I463" s="144">
        <v>0.5</v>
      </c>
      <c r="J463" s="144" t="s">
        <v>115</v>
      </c>
      <c r="K463" s="144"/>
      <c r="L463" s="24">
        <v>0.1</v>
      </c>
      <c r="M463" s="24">
        <v>0.533333333333333</v>
      </c>
      <c r="P463" s="24">
        <v>0.1</v>
      </c>
      <c r="Q463" s="24">
        <v>0.5</v>
      </c>
      <c r="T463" s="146">
        <v>1.833</v>
      </c>
      <c r="U463" s="147"/>
      <c r="V463" s="147"/>
      <c r="AD463" s="151"/>
      <c r="AE463" s="151"/>
      <c r="AK463" s="154">
        <v>0</v>
      </c>
      <c r="AV463" s="24" t="s">
        <v>118</v>
      </c>
      <c r="AW463" s="24" t="s">
        <v>118</v>
      </c>
      <c r="AZ463" s="151"/>
    </row>
    <row r="464" s="24" customFormat="1" ht="17.25" spans="1:52">
      <c r="A464" s="24">
        <v>1305</v>
      </c>
      <c r="B464" s="134" t="s">
        <v>1171</v>
      </c>
      <c r="C464" s="135" t="s">
        <v>1172</v>
      </c>
      <c r="D464" s="24">
        <v>1</v>
      </c>
      <c r="E464" s="136"/>
      <c r="F464" s="24">
        <v>1</v>
      </c>
      <c r="G464" s="137">
        <v>1.6</v>
      </c>
      <c r="H464" s="137">
        <v>1.6</v>
      </c>
      <c r="I464" s="144">
        <v>0.5</v>
      </c>
      <c r="J464" s="144" t="s">
        <v>115</v>
      </c>
      <c r="K464" s="144"/>
      <c r="L464" s="24">
        <v>0.133333333333333</v>
      </c>
      <c r="M464" s="24">
        <v>0.666666666666667</v>
      </c>
      <c r="P464" s="24">
        <v>0.133333333333333</v>
      </c>
      <c r="Q464" s="24">
        <v>0.633333333333333</v>
      </c>
      <c r="T464" s="146">
        <v>2.033</v>
      </c>
      <c r="U464" s="147"/>
      <c r="V464" s="147"/>
      <c r="AD464" s="151"/>
      <c r="AE464" s="151"/>
      <c r="AK464" s="154">
        <v>0</v>
      </c>
      <c r="AV464" s="24" t="s">
        <v>118</v>
      </c>
      <c r="AW464" s="24" t="s">
        <v>118</v>
      </c>
      <c r="AZ464" s="151"/>
    </row>
    <row r="465" s="24" customFormat="1" ht="17.25" spans="1:52">
      <c r="A465" s="24">
        <v>1306</v>
      </c>
      <c r="B465" s="134" t="s">
        <v>1173</v>
      </c>
      <c r="C465" s="135" t="s">
        <v>1174</v>
      </c>
      <c r="D465" s="24">
        <v>1</v>
      </c>
      <c r="E465" s="136"/>
      <c r="F465" s="24">
        <v>1</v>
      </c>
      <c r="G465" s="137">
        <v>1.6</v>
      </c>
      <c r="H465" s="137">
        <v>1.6</v>
      </c>
      <c r="I465" s="144">
        <v>0.5</v>
      </c>
      <c r="J465" s="144" t="s">
        <v>115</v>
      </c>
      <c r="K465" s="144"/>
      <c r="L465" s="24">
        <v>0.133333333333333</v>
      </c>
      <c r="M465" s="24">
        <v>0.6</v>
      </c>
      <c r="P465" s="24">
        <v>0.1</v>
      </c>
      <c r="Q465" s="24">
        <v>0.6</v>
      </c>
      <c r="T465" s="146">
        <v>1.633</v>
      </c>
      <c r="U465" s="147"/>
      <c r="V465" s="147"/>
      <c r="AD465" s="151"/>
      <c r="AE465" s="151"/>
      <c r="AK465" s="154">
        <v>0</v>
      </c>
      <c r="AV465" s="24" t="s">
        <v>118</v>
      </c>
      <c r="AW465" s="24" t="s">
        <v>118</v>
      </c>
      <c r="AZ465" s="151"/>
    </row>
    <row r="466" s="24" customFormat="1" ht="17.25" spans="1:52">
      <c r="A466" s="24">
        <v>1307</v>
      </c>
      <c r="B466" s="134" t="s">
        <v>1175</v>
      </c>
      <c r="C466" s="135" t="s">
        <v>1176</v>
      </c>
      <c r="D466" s="24">
        <v>1</v>
      </c>
      <c r="E466" s="136"/>
      <c r="F466" s="24">
        <v>1</v>
      </c>
      <c r="G466" s="137">
        <v>1.9</v>
      </c>
      <c r="H466" s="137">
        <v>1.9</v>
      </c>
      <c r="I466" s="144">
        <v>0.5</v>
      </c>
      <c r="J466" s="144" t="s">
        <v>115</v>
      </c>
      <c r="K466" s="144"/>
      <c r="L466" s="24">
        <v>0.0666666666666667</v>
      </c>
      <c r="M466" s="24">
        <v>0.533333333333333</v>
      </c>
      <c r="P466" s="24">
        <v>0.1</v>
      </c>
      <c r="Q466" s="24">
        <v>0.533333333333333</v>
      </c>
      <c r="T466" s="146">
        <v>1.833</v>
      </c>
      <c r="U466" s="147"/>
      <c r="V466" s="147"/>
      <c r="AD466" s="151"/>
      <c r="AE466" s="151"/>
      <c r="AK466" s="154">
        <v>0</v>
      </c>
      <c r="AV466" s="24" t="s">
        <v>118</v>
      </c>
      <c r="AW466" s="24" t="s">
        <v>118</v>
      </c>
      <c r="AZ466" s="151"/>
    </row>
    <row r="467" s="24" customFormat="1" ht="17.25" spans="1:52">
      <c r="A467" s="24">
        <v>1308</v>
      </c>
      <c r="B467" s="134" t="s">
        <v>1177</v>
      </c>
      <c r="C467" s="135" t="s">
        <v>1178</v>
      </c>
      <c r="D467" s="24">
        <v>1</v>
      </c>
      <c r="E467" s="136"/>
      <c r="F467" s="24">
        <v>1</v>
      </c>
      <c r="G467" s="137">
        <v>3.2</v>
      </c>
      <c r="H467" s="137">
        <v>3.2</v>
      </c>
      <c r="I467" s="144">
        <v>0.5</v>
      </c>
      <c r="J467" s="144" t="s">
        <v>115</v>
      </c>
      <c r="K467" s="144"/>
      <c r="L467" s="24">
        <v>0.0666666666666667</v>
      </c>
      <c r="M467" s="24">
        <v>0.5</v>
      </c>
      <c r="P467" s="24">
        <v>0.1</v>
      </c>
      <c r="Q467" s="24">
        <v>0.566666666666667</v>
      </c>
      <c r="T467" s="146">
        <v>1.533</v>
      </c>
      <c r="U467" s="147"/>
      <c r="V467" s="147"/>
      <c r="AD467" s="151"/>
      <c r="AE467" s="151"/>
      <c r="AK467" s="154">
        <v>0</v>
      </c>
      <c r="AV467" s="24" t="s">
        <v>509</v>
      </c>
      <c r="AW467" s="24" t="s">
        <v>509</v>
      </c>
      <c r="AZ467" s="151"/>
    </row>
    <row r="468" s="24" customFormat="1" ht="17.25" spans="1:52">
      <c r="A468" s="24">
        <v>1309</v>
      </c>
      <c r="B468" s="134" t="s">
        <v>1179</v>
      </c>
      <c r="C468" s="135" t="s">
        <v>1180</v>
      </c>
      <c r="D468" s="24">
        <v>1</v>
      </c>
      <c r="E468" s="136"/>
      <c r="F468" s="24">
        <v>1</v>
      </c>
      <c r="G468" s="137">
        <v>1.9</v>
      </c>
      <c r="H468" s="137">
        <v>2.2</v>
      </c>
      <c r="I468" s="144">
        <v>0.5</v>
      </c>
      <c r="J468" s="144" t="s">
        <v>115</v>
      </c>
      <c r="K468" s="144"/>
      <c r="L468" s="24">
        <v>0.0666666666666667</v>
      </c>
      <c r="M468" s="24">
        <v>0.633333333333333</v>
      </c>
      <c r="P468" s="24">
        <v>0.1</v>
      </c>
      <c r="Q468" s="24">
        <v>0.633333333333333</v>
      </c>
      <c r="T468" s="146">
        <v>1.733</v>
      </c>
      <c r="U468" s="147"/>
      <c r="V468" s="147"/>
      <c r="AD468" s="151"/>
      <c r="AE468" s="151"/>
      <c r="AK468" s="154">
        <v>0</v>
      </c>
      <c r="AV468" s="24" t="s">
        <v>118</v>
      </c>
      <c r="AW468" s="24" t="s">
        <v>118</v>
      </c>
      <c r="AZ468" s="151"/>
    </row>
    <row r="469" s="25" customFormat="1" ht="17.25" spans="1:52">
      <c r="A469" s="25">
        <v>1310</v>
      </c>
      <c r="B469" s="138" t="s">
        <v>1181</v>
      </c>
      <c r="C469" s="139" t="s">
        <v>1182</v>
      </c>
      <c r="D469" s="25">
        <v>1</v>
      </c>
      <c r="E469" s="140"/>
      <c r="F469" s="25">
        <v>1</v>
      </c>
      <c r="G469" s="13">
        <v>2.2</v>
      </c>
      <c r="H469" s="13">
        <v>2.2</v>
      </c>
      <c r="I469" s="145">
        <v>0.5</v>
      </c>
      <c r="J469" s="145" t="s">
        <v>115</v>
      </c>
      <c r="K469" s="145"/>
      <c r="L469" s="25">
        <v>0.0666666666666667</v>
      </c>
      <c r="M469" s="25">
        <v>0.533333333333333</v>
      </c>
      <c r="P469" s="25">
        <v>0.0666666666666667</v>
      </c>
      <c r="Q469" s="25">
        <v>0.566666666666667</v>
      </c>
      <c r="T469" s="148">
        <v>1.9</v>
      </c>
      <c r="U469" s="149"/>
      <c r="V469" s="149"/>
      <c r="AD469" s="152"/>
      <c r="AE469" s="152"/>
      <c r="AK469" s="155">
        <v>0</v>
      </c>
      <c r="AV469" s="25" t="s">
        <v>118</v>
      </c>
      <c r="AW469" s="25" t="s">
        <v>118</v>
      </c>
      <c r="AZ469" s="152"/>
    </row>
    <row r="470" s="25" customFormat="1" ht="17.25" spans="1:52">
      <c r="A470" s="25">
        <v>1311</v>
      </c>
      <c r="B470" s="138" t="s">
        <v>1183</v>
      </c>
      <c r="C470" s="139" t="s">
        <v>1184</v>
      </c>
      <c r="D470" s="25">
        <v>1</v>
      </c>
      <c r="E470" s="140"/>
      <c r="F470" s="25">
        <v>1</v>
      </c>
      <c r="G470" s="13">
        <v>1.9</v>
      </c>
      <c r="H470" s="13">
        <v>2</v>
      </c>
      <c r="I470" s="145">
        <v>0.5</v>
      </c>
      <c r="J470" s="145" t="s">
        <v>115</v>
      </c>
      <c r="K470" s="145"/>
      <c r="L470" s="25">
        <v>0.1</v>
      </c>
      <c r="M470" s="25">
        <v>0.6</v>
      </c>
      <c r="P470" s="25">
        <v>0.1</v>
      </c>
      <c r="Q470" s="25">
        <v>0.6</v>
      </c>
      <c r="T470" s="148">
        <v>1.733</v>
      </c>
      <c r="U470" s="149"/>
      <c r="V470" s="149"/>
      <c r="AD470" s="152"/>
      <c r="AE470" s="152"/>
      <c r="AK470" s="155">
        <v>0</v>
      </c>
      <c r="AV470" s="25" t="s">
        <v>118</v>
      </c>
      <c r="AW470" s="25" t="s">
        <v>118</v>
      </c>
      <c r="AZ470" s="152"/>
    </row>
    <row r="471" s="25" customFormat="1" ht="17.25" spans="1:52">
      <c r="A471" s="25">
        <v>1312</v>
      </c>
      <c r="B471" s="138" t="s">
        <v>1185</v>
      </c>
      <c r="C471" s="139" t="s">
        <v>1186</v>
      </c>
      <c r="D471" s="25">
        <v>1</v>
      </c>
      <c r="E471" s="140"/>
      <c r="F471" s="25">
        <v>1</v>
      </c>
      <c r="G471" s="13">
        <v>3.2</v>
      </c>
      <c r="H471" s="13">
        <v>3.2</v>
      </c>
      <c r="I471" s="145">
        <v>0.5</v>
      </c>
      <c r="J471" s="145" t="s">
        <v>115</v>
      </c>
      <c r="K471" s="145"/>
      <c r="L471" s="25">
        <v>0.133333333333333</v>
      </c>
      <c r="M471" s="25">
        <v>0.6</v>
      </c>
      <c r="P471" s="25">
        <v>0.133333333333333</v>
      </c>
      <c r="Q471" s="25">
        <v>0.6</v>
      </c>
      <c r="T471" s="148">
        <v>0.667</v>
      </c>
      <c r="U471" s="149"/>
      <c r="V471" s="149"/>
      <c r="AD471" s="152"/>
      <c r="AE471" s="152"/>
      <c r="AK471" s="155">
        <v>0</v>
      </c>
      <c r="AV471" s="25" t="s">
        <v>118</v>
      </c>
      <c r="AW471" s="25" t="s">
        <v>118</v>
      </c>
      <c r="AZ471" s="152"/>
    </row>
    <row r="472" s="25" customFormat="1" ht="17.25" spans="1:52">
      <c r="A472" s="25">
        <v>1313</v>
      </c>
      <c r="B472" s="138" t="s">
        <v>1187</v>
      </c>
      <c r="C472" s="139" t="s">
        <v>1188</v>
      </c>
      <c r="D472" s="25">
        <v>1</v>
      </c>
      <c r="E472" s="140"/>
      <c r="F472" s="25">
        <v>1</v>
      </c>
      <c r="G472" s="13">
        <v>1.8</v>
      </c>
      <c r="H472" s="13">
        <v>1.8</v>
      </c>
      <c r="I472" s="145">
        <v>0.5</v>
      </c>
      <c r="J472" s="145" t="s">
        <v>115</v>
      </c>
      <c r="K472" s="145"/>
      <c r="L472" s="25">
        <v>0.0666666666666667</v>
      </c>
      <c r="M472" s="25">
        <v>0.633333333333333</v>
      </c>
      <c r="P472" s="25">
        <v>0.1</v>
      </c>
      <c r="Q472" s="25">
        <v>0.6</v>
      </c>
      <c r="T472" s="148">
        <v>1.7</v>
      </c>
      <c r="U472" s="149"/>
      <c r="V472" s="149"/>
      <c r="AD472" s="152"/>
      <c r="AE472" s="152"/>
      <c r="AK472" s="155">
        <v>0</v>
      </c>
      <c r="AV472" s="25" t="s">
        <v>118</v>
      </c>
      <c r="AW472" s="25" t="s">
        <v>118</v>
      </c>
      <c r="AZ472" s="152"/>
    </row>
    <row r="473" s="11" customFormat="1" spans="1:37">
      <c r="A473" s="11">
        <v>2001</v>
      </c>
      <c r="B473" s="11" t="s">
        <v>1189</v>
      </c>
      <c r="D473" s="11">
        <v>0</v>
      </c>
      <c r="F473" s="11">
        <v>1</v>
      </c>
      <c r="G473" s="11">
        <v>1.8</v>
      </c>
      <c r="H473" s="11">
        <v>1.8</v>
      </c>
      <c r="I473" s="11">
        <v>0.28</v>
      </c>
      <c r="K473" s="56"/>
      <c r="L473" s="56"/>
      <c r="U473" s="65"/>
      <c r="V473" s="65"/>
      <c r="AF473" s="11">
        <v>801</v>
      </c>
      <c r="AG473" s="11" t="s">
        <v>116</v>
      </c>
      <c r="AK473" s="97">
        <v>0</v>
      </c>
    </row>
    <row r="474" s="11" customFormat="1" spans="1:37">
      <c r="A474" s="11">
        <v>2002</v>
      </c>
      <c r="B474" s="11" t="s">
        <v>1190</v>
      </c>
      <c r="D474" s="11">
        <v>0</v>
      </c>
      <c r="F474" s="11">
        <v>1</v>
      </c>
      <c r="G474" s="11">
        <v>1.8</v>
      </c>
      <c r="H474" s="11">
        <v>1.8</v>
      </c>
      <c r="I474" s="11">
        <v>0.28</v>
      </c>
      <c r="U474" s="65"/>
      <c r="V474" s="65"/>
      <c r="AF474" s="11">
        <v>801</v>
      </c>
      <c r="AG474" s="11" t="s">
        <v>116</v>
      </c>
      <c r="AK474" s="97">
        <v>0</v>
      </c>
    </row>
    <row r="475" s="11" customFormat="1" spans="1:37">
      <c r="A475" s="11">
        <v>2003</v>
      </c>
      <c r="B475" s="11" t="s">
        <v>1191</v>
      </c>
      <c r="D475" s="11">
        <v>0</v>
      </c>
      <c r="F475" s="11">
        <v>1</v>
      </c>
      <c r="G475" s="11">
        <v>1.8</v>
      </c>
      <c r="H475" s="11">
        <v>1.8</v>
      </c>
      <c r="I475" s="11">
        <v>0.28</v>
      </c>
      <c r="U475" s="65"/>
      <c r="V475" s="65"/>
      <c r="AF475" s="11">
        <v>801</v>
      </c>
      <c r="AG475" s="11" t="s">
        <v>116</v>
      </c>
      <c r="AK475" s="97">
        <v>0</v>
      </c>
    </row>
    <row r="476" s="11" customFormat="1" spans="1:37">
      <c r="A476" s="11">
        <v>2004</v>
      </c>
      <c r="B476" s="11" t="s">
        <v>1192</v>
      </c>
      <c r="D476" s="11">
        <v>0</v>
      </c>
      <c r="F476" s="11">
        <v>1</v>
      </c>
      <c r="G476" s="11">
        <v>1.8</v>
      </c>
      <c r="H476" s="11">
        <v>1.8</v>
      </c>
      <c r="I476" s="11">
        <v>0.28</v>
      </c>
      <c r="U476" s="65"/>
      <c r="V476" s="65"/>
      <c r="AF476" s="11">
        <v>801</v>
      </c>
      <c r="AG476" s="11" t="s">
        <v>116</v>
      </c>
      <c r="AK476" s="97">
        <v>0</v>
      </c>
    </row>
    <row r="477" s="11" customFormat="1" spans="1:37">
      <c r="A477" s="11">
        <v>2005</v>
      </c>
      <c r="B477" s="11" t="s">
        <v>1193</v>
      </c>
      <c r="D477" s="11">
        <v>1</v>
      </c>
      <c r="F477" s="11">
        <v>1</v>
      </c>
      <c r="G477" s="11">
        <v>1</v>
      </c>
      <c r="H477" s="11">
        <v>1</v>
      </c>
      <c r="I477" s="11">
        <v>0.3</v>
      </c>
      <c r="U477" s="65"/>
      <c r="V477" s="65"/>
      <c r="AF477" s="11">
        <v>801</v>
      </c>
      <c r="AG477" s="11" t="s">
        <v>116</v>
      </c>
      <c r="AH477" s="11" t="s">
        <v>1194</v>
      </c>
      <c r="AK477" s="97">
        <v>0</v>
      </c>
    </row>
    <row r="478" s="11" customFormat="1" spans="1:37">
      <c r="A478" s="11">
        <v>2006</v>
      </c>
      <c r="B478" s="11" t="s">
        <v>1195</v>
      </c>
      <c r="D478" s="11">
        <v>0</v>
      </c>
      <c r="F478" s="11">
        <v>1</v>
      </c>
      <c r="G478" s="11">
        <v>1.8</v>
      </c>
      <c r="H478" s="11">
        <v>1.8</v>
      </c>
      <c r="I478" s="11">
        <v>0.28</v>
      </c>
      <c r="U478" s="65"/>
      <c r="V478" s="65"/>
      <c r="AF478" s="11">
        <v>801</v>
      </c>
      <c r="AG478" s="11" t="s">
        <v>116</v>
      </c>
      <c r="AK478" s="97">
        <v>0</v>
      </c>
    </row>
    <row r="479" s="11" customFormat="1" spans="1:37">
      <c r="A479" s="11">
        <v>2007</v>
      </c>
      <c r="B479" s="11" t="s">
        <v>1196</v>
      </c>
      <c r="D479" s="11">
        <v>0</v>
      </c>
      <c r="F479" s="11">
        <v>1</v>
      </c>
      <c r="G479" s="11">
        <v>1.8</v>
      </c>
      <c r="H479" s="11">
        <v>1.8</v>
      </c>
      <c r="I479" s="11">
        <v>0.28</v>
      </c>
      <c r="U479" s="65"/>
      <c r="V479" s="65"/>
      <c r="AF479" s="11">
        <v>801</v>
      </c>
      <c r="AG479" s="11" t="s">
        <v>116</v>
      </c>
      <c r="AK479" s="97">
        <v>0</v>
      </c>
    </row>
    <row r="480" s="11" customFormat="1" spans="1:37">
      <c r="A480" s="11">
        <v>2008</v>
      </c>
      <c r="B480" s="11" t="s">
        <v>1197</v>
      </c>
      <c r="D480" s="11">
        <v>0</v>
      </c>
      <c r="F480" s="11">
        <v>1</v>
      </c>
      <c r="G480" s="11">
        <v>1.8</v>
      </c>
      <c r="H480" s="11">
        <v>1.8</v>
      </c>
      <c r="I480" s="11">
        <v>0.28</v>
      </c>
      <c r="U480" s="65"/>
      <c r="V480" s="65"/>
      <c r="AF480" s="11">
        <v>801</v>
      </c>
      <c r="AG480" s="11" t="s">
        <v>116</v>
      </c>
      <c r="AK480" s="97">
        <v>0</v>
      </c>
    </row>
    <row r="481" s="11" customFormat="1" spans="1:37">
      <c r="A481" s="11">
        <v>2009</v>
      </c>
      <c r="B481" s="11" t="s">
        <v>1198</v>
      </c>
      <c r="D481" s="11">
        <v>0</v>
      </c>
      <c r="F481" s="11">
        <v>1</v>
      </c>
      <c r="G481" s="11">
        <v>1.8</v>
      </c>
      <c r="H481" s="11">
        <v>1.8</v>
      </c>
      <c r="I481" s="11">
        <v>0.28</v>
      </c>
      <c r="U481" s="65"/>
      <c r="V481" s="65"/>
      <c r="AF481" s="11">
        <v>801</v>
      </c>
      <c r="AG481" s="11" t="s">
        <v>116</v>
      </c>
      <c r="AK481" s="97">
        <v>0</v>
      </c>
    </row>
    <row r="482" s="11" customFormat="1" spans="1:37">
      <c r="A482" s="11">
        <v>2010</v>
      </c>
      <c r="B482" s="11" t="s">
        <v>1199</v>
      </c>
      <c r="D482" s="11">
        <v>0</v>
      </c>
      <c r="F482" s="11">
        <v>1</v>
      </c>
      <c r="G482" s="11">
        <v>1.8</v>
      </c>
      <c r="H482" s="11">
        <v>1.8</v>
      </c>
      <c r="I482" s="11">
        <v>0.28</v>
      </c>
      <c r="U482" s="65"/>
      <c r="V482" s="65"/>
      <c r="AF482" s="11">
        <v>801</v>
      </c>
      <c r="AG482" s="11" t="s">
        <v>116</v>
      </c>
      <c r="AK482" s="97">
        <v>0</v>
      </c>
    </row>
    <row r="483" s="11" customFormat="1" spans="1:37">
      <c r="A483" s="11">
        <v>2011</v>
      </c>
      <c r="B483" s="11" t="s">
        <v>1200</v>
      </c>
      <c r="D483" s="11">
        <v>0</v>
      </c>
      <c r="F483" s="11">
        <v>1</v>
      </c>
      <c r="G483" s="11">
        <v>1.8</v>
      </c>
      <c r="H483" s="11">
        <v>1.8</v>
      </c>
      <c r="I483" s="11">
        <v>0.28</v>
      </c>
      <c r="U483" s="65"/>
      <c r="V483" s="65"/>
      <c r="AF483" s="11">
        <v>801</v>
      </c>
      <c r="AG483" s="11" t="s">
        <v>116</v>
      </c>
      <c r="AK483" s="97">
        <v>0</v>
      </c>
    </row>
    <row r="484" s="11" customFormat="1" spans="1:37">
      <c r="A484" s="11">
        <v>2012</v>
      </c>
      <c r="B484" s="11" t="s">
        <v>1201</v>
      </c>
      <c r="D484" s="11">
        <v>0</v>
      </c>
      <c r="F484" s="11">
        <v>1</v>
      </c>
      <c r="G484" s="56">
        <v>1.78</v>
      </c>
      <c r="H484" s="56">
        <v>1.78</v>
      </c>
      <c r="I484" s="56">
        <v>0.5</v>
      </c>
      <c r="U484" s="65"/>
      <c r="V484" s="65"/>
      <c r="AF484" s="11">
        <v>801</v>
      </c>
      <c r="AG484" s="11" t="s">
        <v>116</v>
      </c>
      <c r="AK484" s="97">
        <v>0</v>
      </c>
    </row>
    <row r="485" s="11" customFormat="1" spans="1:37">
      <c r="A485" s="11">
        <v>2013</v>
      </c>
      <c r="B485" s="11" t="s">
        <v>1202</v>
      </c>
      <c r="D485" s="11">
        <v>0</v>
      </c>
      <c r="F485" s="11">
        <v>1</v>
      </c>
      <c r="G485" s="11">
        <v>1</v>
      </c>
      <c r="H485" s="11">
        <v>1</v>
      </c>
      <c r="I485" s="11">
        <v>0.3</v>
      </c>
      <c r="U485" s="65"/>
      <c r="V485" s="65"/>
      <c r="AF485" s="11">
        <v>801</v>
      </c>
      <c r="AG485" s="11" t="s">
        <v>116</v>
      </c>
      <c r="AK485" s="97">
        <v>0</v>
      </c>
    </row>
    <row r="486" s="11" customFormat="1" spans="1:37">
      <c r="A486" s="11">
        <v>2014</v>
      </c>
      <c r="B486" s="11" t="s">
        <v>1203</v>
      </c>
      <c r="D486" s="11">
        <v>0</v>
      </c>
      <c r="F486" s="11">
        <v>1</v>
      </c>
      <c r="G486" s="50">
        <v>1.8</v>
      </c>
      <c r="H486" s="50">
        <v>1.8</v>
      </c>
      <c r="I486" s="50">
        <v>0.35</v>
      </c>
      <c r="U486" s="65"/>
      <c r="V486" s="65"/>
      <c r="AF486" s="11">
        <v>801</v>
      </c>
      <c r="AG486" s="11" t="s">
        <v>116</v>
      </c>
      <c r="AK486" s="97">
        <v>0</v>
      </c>
    </row>
    <row r="487" s="11" customFormat="1" spans="1:37">
      <c r="A487" s="11">
        <v>2015</v>
      </c>
      <c r="B487" s="11" t="s">
        <v>1204</v>
      </c>
      <c r="C487" s="11" t="s">
        <v>1205</v>
      </c>
      <c r="D487" s="11">
        <v>1</v>
      </c>
      <c r="E487" s="11">
        <v>1</v>
      </c>
      <c r="F487" s="11">
        <v>1</v>
      </c>
      <c r="G487" s="50">
        <v>1.6</v>
      </c>
      <c r="H487" s="50">
        <v>1.8</v>
      </c>
      <c r="I487" s="50">
        <v>0.5</v>
      </c>
      <c r="L487" s="11">
        <v>0.166666666666667</v>
      </c>
      <c r="M487" s="11">
        <v>0.666666666666667</v>
      </c>
      <c r="P487" s="11">
        <v>0.133333333333333</v>
      </c>
      <c r="Q487" s="11">
        <v>0.733333333333333</v>
      </c>
      <c r="T487" s="11">
        <v>2.4</v>
      </c>
      <c r="U487" s="65"/>
      <c r="V487" s="65">
        <v>-5.63</v>
      </c>
      <c r="W487" s="11">
        <v>5</v>
      </c>
      <c r="X487" s="11">
        <v>-2.32</v>
      </c>
      <c r="Y487" s="11">
        <v>0.99</v>
      </c>
      <c r="Z487" s="11">
        <v>-2.83</v>
      </c>
      <c r="AA487" s="11">
        <v>1</v>
      </c>
      <c r="AF487" s="11">
        <v>801</v>
      </c>
      <c r="AG487" s="11" t="s">
        <v>116</v>
      </c>
      <c r="AK487" s="97">
        <v>0</v>
      </c>
    </row>
    <row r="488" s="11" customFormat="1" spans="1:37">
      <c r="A488" s="11">
        <v>2016</v>
      </c>
      <c r="B488" s="11" t="s">
        <v>1206</v>
      </c>
      <c r="D488" s="11">
        <v>0</v>
      </c>
      <c r="F488" s="11">
        <v>1</v>
      </c>
      <c r="G488" s="56">
        <v>1.6</v>
      </c>
      <c r="H488" s="56">
        <v>1.6</v>
      </c>
      <c r="I488" s="56">
        <v>0.5</v>
      </c>
      <c r="U488" s="65"/>
      <c r="V488" s="65"/>
      <c r="AF488" s="11">
        <v>801</v>
      </c>
      <c r="AG488" s="11" t="s">
        <v>116</v>
      </c>
      <c r="AK488" s="97">
        <v>0</v>
      </c>
    </row>
    <row r="489" s="11" customFormat="1" spans="1:37">
      <c r="A489" s="11">
        <v>2017</v>
      </c>
      <c r="B489" s="11" t="s">
        <v>1207</v>
      </c>
      <c r="D489" s="11">
        <v>0</v>
      </c>
      <c r="F489" s="11">
        <v>1</v>
      </c>
      <c r="G489" s="56">
        <v>1.8</v>
      </c>
      <c r="H489" s="56">
        <v>1.8</v>
      </c>
      <c r="I489" s="56">
        <v>0.6</v>
      </c>
      <c r="U489" s="65"/>
      <c r="V489" s="65"/>
      <c r="AF489" s="11">
        <v>801</v>
      </c>
      <c r="AG489" s="11" t="s">
        <v>116</v>
      </c>
      <c r="AK489" s="97">
        <v>0</v>
      </c>
    </row>
    <row r="490" s="11" customFormat="1" spans="1:37">
      <c r="A490" s="11">
        <v>2018</v>
      </c>
      <c r="B490" s="11" t="s">
        <v>1208</v>
      </c>
      <c r="C490" s="11" t="s">
        <v>1209</v>
      </c>
      <c r="D490" s="11">
        <v>1</v>
      </c>
      <c r="F490" s="11">
        <v>0.9</v>
      </c>
      <c r="G490" s="56">
        <v>1.6</v>
      </c>
      <c r="H490" s="56">
        <v>1.6</v>
      </c>
      <c r="I490" s="56">
        <v>0.5</v>
      </c>
      <c r="J490" s="11" t="s">
        <v>115</v>
      </c>
      <c r="L490" s="11">
        <v>0.133333333333333</v>
      </c>
      <c r="M490" s="11">
        <v>0.766666666666667</v>
      </c>
      <c r="P490" s="11">
        <v>0.133333333333333</v>
      </c>
      <c r="Q490" s="11">
        <v>0.766666666666667</v>
      </c>
      <c r="T490" s="11">
        <v>2.4</v>
      </c>
      <c r="U490" s="65"/>
      <c r="V490" s="65"/>
      <c r="AF490" s="11">
        <v>801</v>
      </c>
      <c r="AG490" s="11" t="s">
        <v>116</v>
      </c>
      <c r="AK490" s="97">
        <v>0</v>
      </c>
    </row>
    <row r="491" s="11" customFormat="1" spans="1:37">
      <c r="A491" s="11">
        <v>2019</v>
      </c>
      <c r="B491" s="11" t="s">
        <v>1210</v>
      </c>
      <c r="C491" s="11" t="s">
        <v>1211</v>
      </c>
      <c r="D491" s="11">
        <v>1</v>
      </c>
      <c r="F491" s="11">
        <v>0.75</v>
      </c>
      <c r="G491" s="56">
        <v>1.6</v>
      </c>
      <c r="H491" s="56">
        <v>2.5</v>
      </c>
      <c r="I491" s="56">
        <v>0.5</v>
      </c>
      <c r="J491" s="11" t="s">
        <v>115</v>
      </c>
      <c r="L491" s="11">
        <v>0.0666666666666667</v>
      </c>
      <c r="M491" s="11">
        <v>0.6</v>
      </c>
      <c r="P491" s="11">
        <v>0.0666666666666667</v>
      </c>
      <c r="Q491" s="11">
        <v>0.6</v>
      </c>
      <c r="T491" s="11">
        <v>2.4</v>
      </c>
      <c r="U491" s="65"/>
      <c r="V491" s="65"/>
      <c r="AF491" s="11">
        <v>801</v>
      </c>
      <c r="AG491" s="11" t="s">
        <v>116</v>
      </c>
      <c r="AK491" s="97">
        <v>0</v>
      </c>
    </row>
    <row r="492" s="11" customFormat="1" spans="1:37">
      <c r="A492" s="11">
        <v>2020</v>
      </c>
      <c r="B492" s="11" t="s">
        <v>1212</v>
      </c>
      <c r="C492" s="11" t="s">
        <v>1213</v>
      </c>
      <c r="D492" s="11">
        <v>1</v>
      </c>
      <c r="F492" s="11">
        <v>0.85</v>
      </c>
      <c r="G492" s="56">
        <v>1.6</v>
      </c>
      <c r="H492" s="56">
        <v>2</v>
      </c>
      <c r="I492" s="56">
        <v>0.5</v>
      </c>
      <c r="J492" s="11" t="s">
        <v>115</v>
      </c>
      <c r="L492" s="11">
        <v>0.0333333333333333</v>
      </c>
      <c r="M492" s="11">
        <v>0.6</v>
      </c>
      <c r="P492" s="11">
        <v>0.0333333333333333</v>
      </c>
      <c r="Q492" s="11">
        <v>0.6</v>
      </c>
      <c r="T492" s="11">
        <v>2.4</v>
      </c>
      <c r="U492" s="65"/>
      <c r="V492" s="65"/>
      <c r="AF492" s="11">
        <v>801</v>
      </c>
      <c r="AG492" s="11" t="s">
        <v>116</v>
      </c>
      <c r="AK492" s="97">
        <v>0</v>
      </c>
    </row>
    <row r="493" s="11" customFormat="1" spans="1:37">
      <c r="A493" s="11">
        <v>2021</v>
      </c>
      <c r="B493" s="11" t="s">
        <v>1214</v>
      </c>
      <c r="C493" s="70" t="s">
        <v>1215</v>
      </c>
      <c r="D493" s="11">
        <v>0</v>
      </c>
      <c r="F493" s="11">
        <v>1</v>
      </c>
      <c r="G493" s="56">
        <v>1.6</v>
      </c>
      <c r="H493" s="56">
        <v>1.6</v>
      </c>
      <c r="I493" s="56">
        <v>0.5</v>
      </c>
      <c r="U493" s="65"/>
      <c r="V493" s="65"/>
      <c r="AF493" s="11">
        <v>801</v>
      </c>
      <c r="AG493" s="11" t="s">
        <v>116</v>
      </c>
      <c r="AK493" s="97">
        <v>0</v>
      </c>
    </row>
    <row r="494" s="11" customFormat="1" spans="1:37">
      <c r="A494" s="11">
        <v>2022</v>
      </c>
      <c r="B494" s="11" t="s">
        <v>1216</v>
      </c>
      <c r="C494" s="70" t="s">
        <v>1217</v>
      </c>
      <c r="D494" s="11">
        <v>0</v>
      </c>
      <c r="F494" s="11">
        <v>1</v>
      </c>
      <c r="G494" s="56">
        <v>1.6</v>
      </c>
      <c r="H494" s="56">
        <v>1.6</v>
      </c>
      <c r="I494" s="56">
        <v>0.5</v>
      </c>
      <c r="U494" s="65"/>
      <c r="V494" s="65"/>
      <c r="AF494" s="11">
        <v>801</v>
      </c>
      <c r="AG494" s="11" t="s">
        <v>116</v>
      </c>
      <c r="AK494" s="97">
        <v>0</v>
      </c>
    </row>
    <row r="495" s="11" customFormat="1" spans="1:37">
      <c r="A495" s="11">
        <v>2023</v>
      </c>
      <c r="B495" s="11" t="s">
        <v>1218</v>
      </c>
      <c r="C495" s="11" t="s">
        <v>1219</v>
      </c>
      <c r="D495" s="11">
        <v>0</v>
      </c>
      <c r="F495" s="11">
        <v>1</v>
      </c>
      <c r="G495" s="56">
        <v>1.6</v>
      </c>
      <c r="H495" s="56">
        <v>1.6</v>
      </c>
      <c r="I495" s="56">
        <v>0.5</v>
      </c>
      <c r="U495" s="65"/>
      <c r="V495" s="65"/>
      <c r="AF495" s="11">
        <v>801</v>
      </c>
      <c r="AG495" s="11" t="s">
        <v>116</v>
      </c>
      <c r="AK495" s="97">
        <v>0</v>
      </c>
    </row>
    <row r="496" s="11" customFormat="1" spans="1:37">
      <c r="A496" s="11">
        <v>2024</v>
      </c>
      <c r="B496" s="11" t="s">
        <v>1220</v>
      </c>
      <c r="C496" s="11" t="s">
        <v>1221</v>
      </c>
      <c r="D496" s="11">
        <v>0</v>
      </c>
      <c r="F496" s="11">
        <v>1</v>
      </c>
      <c r="G496" s="56">
        <v>1.6</v>
      </c>
      <c r="H496" s="56">
        <v>1.6</v>
      </c>
      <c r="I496" s="56">
        <v>0.5</v>
      </c>
      <c r="U496" s="65"/>
      <c r="V496" s="65"/>
      <c r="AF496" s="11">
        <v>801</v>
      </c>
      <c r="AG496" s="11" t="s">
        <v>116</v>
      </c>
      <c r="AK496" s="97">
        <v>0</v>
      </c>
    </row>
    <row r="497" s="11" customFormat="1" spans="1:37">
      <c r="A497" s="11">
        <v>2025</v>
      </c>
      <c r="B497" s="11" t="s">
        <v>1222</v>
      </c>
      <c r="D497" s="11">
        <v>0</v>
      </c>
      <c r="F497" s="11">
        <v>1</v>
      </c>
      <c r="G497" s="56">
        <v>1.6</v>
      </c>
      <c r="H497" s="56">
        <v>1.6</v>
      </c>
      <c r="I497" s="56">
        <v>0.5</v>
      </c>
      <c r="U497" s="65"/>
      <c r="V497" s="65"/>
      <c r="AF497" s="11">
        <v>801</v>
      </c>
      <c r="AG497" s="11" t="s">
        <v>116</v>
      </c>
      <c r="AK497" s="97">
        <v>0</v>
      </c>
    </row>
    <row r="498" s="11" customFormat="1" spans="1:37">
      <c r="A498" s="11">
        <v>2026</v>
      </c>
      <c r="B498" s="11" t="s">
        <v>1223</v>
      </c>
      <c r="D498" s="11">
        <v>0</v>
      </c>
      <c r="F498" s="11">
        <v>1</v>
      </c>
      <c r="G498" s="56">
        <v>1.6</v>
      </c>
      <c r="H498" s="56">
        <v>1.6</v>
      </c>
      <c r="I498" s="56">
        <v>0.5</v>
      </c>
      <c r="U498" s="65"/>
      <c r="V498" s="65"/>
      <c r="AF498" s="11">
        <v>801</v>
      </c>
      <c r="AG498" s="11" t="s">
        <v>116</v>
      </c>
      <c r="AK498" s="97">
        <v>0</v>
      </c>
    </row>
    <row r="499" s="11" customFormat="1" spans="1:37">
      <c r="A499" s="11">
        <v>2027</v>
      </c>
      <c r="B499" s="11" t="s">
        <v>1224</v>
      </c>
      <c r="C499" s="11" t="s">
        <v>1225</v>
      </c>
      <c r="D499" s="11">
        <v>0</v>
      </c>
      <c r="F499" s="11">
        <v>1</v>
      </c>
      <c r="G499" s="56">
        <v>1.8</v>
      </c>
      <c r="H499" s="56">
        <v>1.6</v>
      </c>
      <c r="I499" s="56">
        <v>0.5</v>
      </c>
      <c r="U499" s="65"/>
      <c r="V499" s="65"/>
      <c r="AF499" s="11">
        <v>801</v>
      </c>
      <c r="AG499" s="11" t="s">
        <v>116</v>
      </c>
      <c r="AK499" s="97">
        <v>0</v>
      </c>
    </row>
    <row r="500" s="11" customFormat="1" spans="1:37">
      <c r="A500" s="11">
        <v>2028</v>
      </c>
      <c r="B500" s="11" t="s">
        <v>1226</v>
      </c>
      <c r="C500" s="11" t="s">
        <v>1227</v>
      </c>
      <c r="D500" s="11">
        <v>0</v>
      </c>
      <c r="F500" s="11">
        <v>1</v>
      </c>
      <c r="G500" s="56">
        <v>1.6</v>
      </c>
      <c r="H500" s="56">
        <v>1.6</v>
      </c>
      <c r="I500" s="56">
        <v>0.5</v>
      </c>
      <c r="U500" s="65"/>
      <c r="V500" s="65"/>
      <c r="AF500" s="11">
        <v>801</v>
      </c>
      <c r="AG500" s="11" t="s">
        <v>116</v>
      </c>
      <c r="AK500" s="97">
        <v>0</v>
      </c>
    </row>
    <row r="501" s="11" customFormat="1" spans="1:37">
      <c r="A501" s="11">
        <v>2029</v>
      </c>
      <c r="B501" s="11" t="s">
        <v>1228</v>
      </c>
      <c r="C501" s="11" t="s">
        <v>1229</v>
      </c>
      <c r="D501" s="11">
        <v>0</v>
      </c>
      <c r="F501" s="11">
        <v>1</v>
      </c>
      <c r="G501" s="56">
        <v>1.6</v>
      </c>
      <c r="H501" s="56">
        <v>1.6</v>
      </c>
      <c r="I501" s="56">
        <v>0.5</v>
      </c>
      <c r="U501" s="65"/>
      <c r="V501" s="65"/>
      <c r="AF501" s="11">
        <v>801</v>
      </c>
      <c r="AG501" s="11" t="s">
        <v>116</v>
      </c>
      <c r="AK501" s="97">
        <v>0</v>
      </c>
    </row>
    <row r="502" s="11" customFormat="1" spans="1:37">
      <c r="A502" s="11">
        <v>2030</v>
      </c>
      <c r="B502" s="11" t="s">
        <v>1230</v>
      </c>
      <c r="C502" s="11" t="s">
        <v>1231</v>
      </c>
      <c r="D502" s="11">
        <v>0</v>
      </c>
      <c r="F502" s="11">
        <v>1</v>
      </c>
      <c r="G502" s="56">
        <v>1.6</v>
      </c>
      <c r="H502" s="56">
        <v>1.6</v>
      </c>
      <c r="I502" s="56">
        <v>0.5</v>
      </c>
      <c r="U502" s="65"/>
      <c r="V502" s="65"/>
      <c r="AF502" s="11">
        <v>801</v>
      </c>
      <c r="AG502" s="11" t="s">
        <v>116</v>
      </c>
      <c r="AK502" s="97">
        <v>0</v>
      </c>
    </row>
    <row r="503" s="11" customFormat="1" spans="1:37">
      <c r="A503" s="11">
        <v>2031</v>
      </c>
      <c r="B503" s="11" t="s">
        <v>1232</v>
      </c>
      <c r="C503" s="11" t="s">
        <v>1233</v>
      </c>
      <c r="D503" s="11">
        <v>0</v>
      </c>
      <c r="F503" s="11">
        <v>1</v>
      </c>
      <c r="G503" s="56">
        <v>1.6</v>
      </c>
      <c r="H503" s="56">
        <v>1.6</v>
      </c>
      <c r="I503" s="56">
        <v>0.5</v>
      </c>
      <c r="U503" s="65"/>
      <c r="V503" s="65"/>
      <c r="AF503" s="11">
        <v>801</v>
      </c>
      <c r="AG503" s="11" t="s">
        <v>116</v>
      </c>
      <c r="AK503" s="97">
        <v>0</v>
      </c>
    </row>
    <row r="504" s="11" customFormat="1" spans="1:37">
      <c r="A504" s="11">
        <v>2032</v>
      </c>
      <c r="B504" s="11" t="s">
        <v>1234</v>
      </c>
      <c r="C504" s="11" t="s">
        <v>1235</v>
      </c>
      <c r="D504" s="11">
        <v>0</v>
      </c>
      <c r="F504" s="11">
        <v>1</v>
      </c>
      <c r="G504" s="56">
        <v>1.6</v>
      </c>
      <c r="H504" s="56">
        <v>1.6</v>
      </c>
      <c r="I504" s="56">
        <v>0.5</v>
      </c>
      <c r="U504" s="65"/>
      <c r="V504" s="65"/>
      <c r="AF504" s="11">
        <v>801</v>
      </c>
      <c r="AG504" s="11" t="s">
        <v>116</v>
      </c>
      <c r="AK504" s="97">
        <v>0</v>
      </c>
    </row>
    <row r="505" s="11" customFormat="1" spans="1:37">
      <c r="A505" s="11">
        <v>2033</v>
      </c>
      <c r="B505" s="11" t="s">
        <v>1236</v>
      </c>
      <c r="C505" s="11" t="s">
        <v>1237</v>
      </c>
      <c r="D505" s="11">
        <v>0</v>
      </c>
      <c r="F505" s="11">
        <v>1</v>
      </c>
      <c r="G505" s="56">
        <v>1.6</v>
      </c>
      <c r="H505" s="56">
        <v>1.6</v>
      </c>
      <c r="I505" s="56">
        <v>0.5</v>
      </c>
      <c r="U505" s="65"/>
      <c r="V505" s="65"/>
      <c r="AF505" s="11">
        <v>801</v>
      </c>
      <c r="AG505" s="11" t="s">
        <v>116</v>
      </c>
      <c r="AK505" s="97">
        <v>0</v>
      </c>
    </row>
    <row r="506" s="11" customFormat="1" spans="1:37">
      <c r="A506" s="11">
        <v>2034</v>
      </c>
      <c r="B506" s="11" t="s">
        <v>1238</v>
      </c>
      <c r="C506" s="11" t="s">
        <v>1239</v>
      </c>
      <c r="D506" s="11">
        <v>0</v>
      </c>
      <c r="F506" s="11">
        <v>1</v>
      </c>
      <c r="G506" s="56">
        <v>1.6</v>
      </c>
      <c r="H506" s="56">
        <v>1.6</v>
      </c>
      <c r="I506" s="56">
        <v>0.5</v>
      </c>
      <c r="U506" s="65"/>
      <c r="V506" s="65"/>
      <c r="AF506" s="11">
        <v>801</v>
      </c>
      <c r="AG506" s="11" t="s">
        <v>116</v>
      </c>
      <c r="AK506" s="97">
        <v>0</v>
      </c>
    </row>
    <row r="507" s="11" customFormat="1" spans="1:37">
      <c r="A507" s="11">
        <v>2035</v>
      </c>
      <c r="B507" s="11" t="s">
        <v>1240</v>
      </c>
      <c r="C507" s="11" t="s">
        <v>1241</v>
      </c>
      <c r="D507" s="11">
        <v>0</v>
      </c>
      <c r="F507" s="11">
        <v>1</v>
      </c>
      <c r="G507" s="56">
        <v>1.6</v>
      </c>
      <c r="H507" s="56">
        <v>1.6</v>
      </c>
      <c r="I507" s="56">
        <v>0.5</v>
      </c>
      <c r="U507" s="65"/>
      <c r="V507" s="65"/>
      <c r="AF507" s="11">
        <v>801</v>
      </c>
      <c r="AG507" s="11" t="s">
        <v>116</v>
      </c>
      <c r="AK507" s="97">
        <v>0</v>
      </c>
    </row>
    <row r="508" s="11" customFormat="1" spans="1:37">
      <c r="A508" s="11">
        <v>2036</v>
      </c>
      <c r="B508" s="11" t="s">
        <v>1242</v>
      </c>
      <c r="C508" s="11" t="s">
        <v>1243</v>
      </c>
      <c r="D508" s="11">
        <v>0</v>
      </c>
      <c r="F508" s="11">
        <v>1</v>
      </c>
      <c r="G508" s="56">
        <v>1.6</v>
      </c>
      <c r="H508" s="56">
        <v>1.6</v>
      </c>
      <c r="I508" s="56">
        <v>0.5</v>
      </c>
      <c r="U508" s="65"/>
      <c r="V508" s="65"/>
      <c r="AF508" s="11">
        <v>801</v>
      </c>
      <c r="AG508" s="11" t="s">
        <v>116</v>
      </c>
      <c r="AK508" s="97">
        <v>0</v>
      </c>
    </row>
    <row r="509" s="11" customFormat="1" spans="1:37">
      <c r="A509" s="11">
        <v>2037</v>
      </c>
      <c r="B509" s="11" t="s">
        <v>1244</v>
      </c>
      <c r="C509" s="11" t="s">
        <v>1245</v>
      </c>
      <c r="D509" s="11">
        <v>0</v>
      </c>
      <c r="F509" s="11">
        <v>1</v>
      </c>
      <c r="G509" s="56">
        <v>1.6</v>
      </c>
      <c r="H509" s="56">
        <v>1.6</v>
      </c>
      <c r="I509" s="56">
        <v>0.5</v>
      </c>
      <c r="U509" s="65"/>
      <c r="V509" s="65"/>
      <c r="AF509" s="11">
        <v>801</v>
      </c>
      <c r="AG509" s="11" t="s">
        <v>116</v>
      </c>
      <c r="AK509" s="97">
        <v>0</v>
      </c>
    </row>
    <row r="510" s="11" customFormat="1" spans="1:37">
      <c r="A510" s="11">
        <v>2038</v>
      </c>
      <c r="B510" s="11" t="s">
        <v>1246</v>
      </c>
      <c r="C510" s="11" t="s">
        <v>1247</v>
      </c>
      <c r="D510" s="11">
        <v>0</v>
      </c>
      <c r="F510" s="11">
        <v>1</v>
      </c>
      <c r="G510" s="56">
        <v>1.6</v>
      </c>
      <c r="H510" s="56">
        <v>1.6</v>
      </c>
      <c r="I510" s="56">
        <v>0.5</v>
      </c>
      <c r="U510" s="65"/>
      <c r="V510" s="65"/>
      <c r="AF510" s="11">
        <v>801</v>
      </c>
      <c r="AG510" s="11" t="s">
        <v>116</v>
      </c>
      <c r="AK510" s="97">
        <v>0</v>
      </c>
    </row>
    <row r="511" s="11" customFormat="1" spans="1:37">
      <c r="A511" s="11">
        <v>2039</v>
      </c>
      <c r="B511" s="11" t="s">
        <v>1248</v>
      </c>
      <c r="C511" s="11" t="s">
        <v>1249</v>
      </c>
      <c r="D511" s="11">
        <v>0</v>
      </c>
      <c r="F511" s="11">
        <v>1</v>
      </c>
      <c r="G511" s="56">
        <v>1.6</v>
      </c>
      <c r="H511" s="56">
        <v>1.6</v>
      </c>
      <c r="I511" s="56">
        <v>0.5</v>
      </c>
      <c r="U511" s="65"/>
      <c r="V511" s="65"/>
      <c r="AF511" s="11">
        <v>801</v>
      </c>
      <c r="AG511" s="11" t="s">
        <v>116</v>
      </c>
      <c r="AK511" s="97">
        <v>0</v>
      </c>
    </row>
    <row r="512" s="11" customFormat="1" spans="1:37">
      <c r="A512" s="11">
        <v>2040</v>
      </c>
      <c r="B512" s="11" t="s">
        <v>1250</v>
      </c>
      <c r="C512" s="141" t="s">
        <v>1251</v>
      </c>
      <c r="D512" s="11">
        <v>0</v>
      </c>
      <c r="F512" s="11">
        <v>1</v>
      </c>
      <c r="G512" s="56">
        <v>1.6</v>
      </c>
      <c r="H512" s="56">
        <v>1.6</v>
      </c>
      <c r="I512" s="56">
        <v>0.5</v>
      </c>
      <c r="U512" s="65"/>
      <c r="V512" s="65"/>
      <c r="AF512" s="11">
        <v>801</v>
      </c>
      <c r="AG512" s="11" t="s">
        <v>116</v>
      </c>
      <c r="AK512" s="97">
        <v>0</v>
      </c>
    </row>
    <row r="513" s="11" customFormat="1" spans="1:37">
      <c r="A513" s="11">
        <v>2041</v>
      </c>
      <c r="B513" s="11" t="s">
        <v>1252</v>
      </c>
      <c r="C513" s="141" t="s">
        <v>1253</v>
      </c>
      <c r="D513" s="11">
        <v>0</v>
      </c>
      <c r="F513" s="11">
        <v>1</v>
      </c>
      <c r="G513" s="56">
        <v>1.6</v>
      </c>
      <c r="H513" s="56">
        <v>1.6</v>
      </c>
      <c r="I513" s="56">
        <v>0.5</v>
      </c>
      <c r="U513" s="65"/>
      <c r="V513" s="65"/>
      <c r="AF513" s="11">
        <v>801</v>
      </c>
      <c r="AG513" s="11" t="s">
        <v>116</v>
      </c>
      <c r="AK513" s="97">
        <v>0</v>
      </c>
    </row>
    <row r="514" s="11" customFormat="1" spans="1:37">
      <c r="A514" s="11">
        <v>2042</v>
      </c>
      <c r="B514" s="11" t="s">
        <v>1254</v>
      </c>
      <c r="C514" s="11" t="s">
        <v>1255</v>
      </c>
      <c r="D514" s="11">
        <v>0</v>
      </c>
      <c r="F514" s="11">
        <v>1</v>
      </c>
      <c r="G514" s="56">
        <v>1.6</v>
      </c>
      <c r="H514" s="56">
        <v>1.6</v>
      </c>
      <c r="I514" s="56">
        <v>0.5</v>
      </c>
      <c r="U514" s="65"/>
      <c r="V514" s="65"/>
      <c r="AF514" s="11">
        <v>801</v>
      </c>
      <c r="AG514" s="11" t="s">
        <v>116</v>
      </c>
      <c r="AK514" s="97">
        <v>0</v>
      </c>
    </row>
    <row r="515" s="11" customFormat="1" spans="1:37">
      <c r="A515" s="11">
        <v>2043</v>
      </c>
      <c r="B515" s="11" t="s">
        <v>1256</v>
      </c>
      <c r="C515" s="11" t="s">
        <v>1257</v>
      </c>
      <c r="D515" s="11">
        <v>0</v>
      </c>
      <c r="F515" s="11">
        <v>1</v>
      </c>
      <c r="G515" s="56">
        <v>1.6</v>
      </c>
      <c r="H515" s="56">
        <v>1.6</v>
      </c>
      <c r="I515" s="56">
        <v>0.5</v>
      </c>
      <c r="U515" s="65"/>
      <c r="V515" s="65"/>
      <c r="AF515" s="11">
        <v>801</v>
      </c>
      <c r="AG515" s="11" t="s">
        <v>116</v>
      </c>
      <c r="AK515" s="97">
        <v>0</v>
      </c>
    </row>
    <row r="516" s="11" customFormat="1" spans="1:37">
      <c r="A516" s="11">
        <v>2044</v>
      </c>
      <c r="B516" s="11" t="s">
        <v>1258</v>
      </c>
      <c r="C516" s="11" t="s">
        <v>1259</v>
      </c>
      <c r="D516" s="11">
        <v>0</v>
      </c>
      <c r="F516" s="11">
        <v>1</v>
      </c>
      <c r="G516" s="56">
        <v>1.6</v>
      </c>
      <c r="H516" s="56">
        <v>1.6</v>
      </c>
      <c r="I516" s="56">
        <v>0.5</v>
      </c>
      <c r="U516" s="65"/>
      <c r="V516" s="65"/>
      <c r="AF516" s="11">
        <v>801</v>
      </c>
      <c r="AG516" s="11" t="s">
        <v>116</v>
      </c>
      <c r="AK516" s="97">
        <v>0</v>
      </c>
    </row>
    <row r="517" s="11" customFormat="1" spans="1:37">
      <c r="A517" s="11">
        <v>2045</v>
      </c>
      <c r="B517" s="11" t="s">
        <v>1260</v>
      </c>
      <c r="C517" s="11" t="s">
        <v>1261</v>
      </c>
      <c r="D517" s="11">
        <v>0</v>
      </c>
      <c r="F517" s="11">
        <v>1</v>
      </c>
      <c r="G517" s="56">
        <v>2.3</v>
      </c>
      <c r="H517" s="56">
        <v>1.6</v>
      </c>
      <c r="I517" s="56">
        <v>0.5</v>
      </c>
      <c r="U517" s="65"/>
      <c r="V517" s="65"/>
      <c r="AF517" s="11">
        <v>801</v>
      </c>
      <c r="AG517" s="11" t="s">
        <v>116</v>
      </c>
      <c r="AK517" s="97">
        <v>0</v>
      </c>
    </row>
    <row r="518" s="11" customFormat="1" spans="1:37">
      <c r="A518" s="11">
        <v>2046</v>
      </c>
      <c r="B518" s="99" t="s">
        <v>1262</v>
      </c>
      <c r="C518" s="101" t="s">
        <v>1263</v>
      </c>
      <c r="D518" s="11">
        <v>0</v>
      </c>
      <c r="F518" s="11">
        <v>1</v>
      </c>
      <c r="G518" s="56">
        <v>1.6</v>
      </c>
      <c r="H518" s="56">
        <v>1.6</v>
      </c>
      <c r="I518" s="56">
        <v>0.5</v>
      </c>
      <c r="U518" s="65"/>
      <c r="V518" s="65"/>
      <c r="AF518" s="11">
        <v>801</v>
      </c>
      <c r="AG518" s="11" t="s">
        <v>116</v>
      </c>
      <c r="AK518" s="97">
        <v>0</v>
      </c>
    </row>
    <row r="519" s="11" customFormat="1" spans="1:37">
      <c r="A519" s="11">
        <v>2047</v>
      </c>
      <c r="B519" s="99" t="s">
        <v>1264</v>
      </c>
      <c r="C519" s="101" t="s">
        <v>1265</v>
      </c>
      <c r="D519" s="11">
        <v>0</v>
      </c>
      <c r="F519" s="11">
        <v>1</v>
      </c>
      <c r="G519" s="56">
        <v>1.6</v>
      </c>
      <c r="H519" s="56">
        <v>1.6</v>
      </c>
      <c r="I519" s="56">
        <v>0.5</v>
      </c>
      <c r="U519" s="65"/>
      <c r="V519" s="65"/>
      <c r="AF519" s="11">
        <v>801</v>
      </c>
      <c r="AG519" s="11" t="s">
        <v>116</v>
      </c>
      <c r="AK519" s="97">
        <v>0</v>
      </c>
    </row>
    <row r="520" s="11" customFormat="1" spans="1:37">
      <c r="A520" s="11">
        <v>2048</v>
      </c>
      <c r="B520" s="99" t="s">
        <v>1266</v>
      </c>
      <c r="C520" s="101" t="s">
        <v>1267</v>
      </c>
      <c r="D520" s="11">
        <v>0</v>
      </c>
      <c r="F520" s="11">
        <v>1</v>
      </c>
      <c r="G520" s="56">
        <v>1.6</v>
      </c>
      <c r="H520" s="56">
        <v>1.6</v>
      </c>
      <c r="I520" s="56">
        <v>0.5</v>
      </c>
      <c r="U520" s="65"/>
      <c r="V520" s="65"/>
      <c r="AF520" s="11">
        <v>801</v>
      </c>
      <c r="AG520" s="11" t="s">
        <v>116</v>
      </c>
      <c r="AK520" s="97">
        <v>0</v>
      </c>
    </row>
    <row r="521" s="11" customFormat="1" spans="1:37">
      <c r="A521" s="11">
        <v>2049</v>
      </c>
      <c r="B521" s="99" t="s">
        <v>1223</v>
      </c>
      <c r="C521" s="101" t="s">
        <v>1268</v>
      </c>
      <c r="D521" s="11">
        <v>0</v>
      </c>
      <c r="F521" s="11">
        <v>1</v>
      </c>
      <c r="G521" s="56">
        <v>1.6</v>
      </c>
      <c r="H521" s="56">
        <v>1.6</v>
      </c>
      <c r="I521" s="56">
        <v>0.5</v>
      </c>
      <c r="U521" s="65"/>
      <c r="V521" s="65"/>
      <c r="AF521" s="11">
        <v>801</v>
      </c>
      <c r="AG521" s="11" t="s">
        <v>116</v>
      </c>
      <c r="AK521" s="97">
        <v>0</v>
      </c>
    </row>
    <row r="522" s="11" customFormat="1" spans="1:37">
      <c r="A522" s="11">
        <v>2050</v>
      </c>
      <c r="B522" s="99" t="s">
        <v>1269</v>
      </c>
      <c r="C522" s="101" t="s">
        <v>1270</v>
      </c>
      <c r="D522" s="11">
        <v>0</v>
      </c>
      <c r="F522" s="11">
        <v>1</v>
      </c>
      <c r="G522" s="56">
        <v>1.6</v>
      </c>
      <c r="H522" s="56">
        <v>1.6</v>
      </c>
      <c r="I522" s="56">
        <v>0.5</v>
      </c>
      <c r="U522" s="65"/>
      <c r="V522" s="65"/>
      <c r="AF522" s="11">
        <v>801</v>
      </c>
      <c r="AG522" s="11" t="s">
        <v>116</v>
      </c>
      <c r="AK522" s="97">
        <v>0</v>
      </c>
    </row>
    <row r="523" s="11" customFormat="1" spans="1:37">
      <c r="A523" s="11">
        <v>2051</v>
      </c>
      <c r="B523" s="99" t="s">
        <v>1218</v>
      </c>
      <c r="C523" s="101" t="s">
        <v>1219</v>
      </c>
      <c r="D523" s="11">
        <v>0</v>
      </c>
      <c r="F523" s="11">
        <v>1</v>
      </c>
      <c r="G523" s="56">
        <v>1.6</v>
      </c>
      <c r="H523" s="56">
        <v>1.6</v>
      </c>
      <c r="I523" s="56">
        <v>0.5</v>
      </c>
      <c r="U523" s="65"/>
      <c r="V523" s="65"/>
      <c r="AF523" s="11">
        <v>801</v>
      </c>
      <c r="AG523" s="11" t="s">
        <v>116</v>
      </c>
      <c r="AK523" s="97">
        <v>0</v>
      </c>
    </row>
    <row r="524" s="11" customFormat="1" spans="1:37">
      <c r="A524" s="11">
        <v>2052</v>
      </c>
      <c r="B524" s="99" t="s">
        <v>1271</v>
      </c>
      <c r="C524" s="141" t="s">
        <v>1272</v>
      </c>
      <c r="D524" s="11">
        <v>0</v>
      </c>
      <c r="F524" s="11">
        <v>1</v>
      </c>
      <c r="G524" s="56">
        <v>1.6</v>
      </c>
      <c r="H524" s="56">
        <v>1.6</v>
      </c>
      <c r="I524" s="56">
        <v>0.5</v>
      </c>
      <c r="U524" s="65"/>
      <c r="V524" s="65"/>
      <c r="AF524" s="11">
        <v>801</v>
      </c>
      <c r="AG524" s="11" t="s">
        <v>116</v>
      </c>
      <c r="AK524" s="97">
        <v>0</v>
      </c>
    </row>
    <row r="525" s="11" customFormat="1" spans="1:37">
      <c r="A525" s="11">
        <v>2053</v>
      </c>
      <c r="B525" s="99" t="s">
        <v>1273</v>
      </c>
      <c r="C525" s="141" t="s">
        <v>1274</v>
      </c>
      <c r="D525" s="11">
        <v>0</v>
      </c>
      <c r="F525" s="11">
        <v>1</v>
      </c>
      <c r="G525" s="56">
        <v>1.6</v>
      </c>
      <c r="H525" s="56">
        <v>1.6</v>
      </c>
      <c r="I525" s="56">
        <v>0.5</v>
      </c>
      <c r="U525" s="65"/>
      <c r="V525" s="65"/>
      <c r="AF525" s="11">
        <v>801</v>
      </c>
      <c r="AG525" s="11" t="s">
        <v>116</v>
      </c>
      <c r="AK525" s="97">
        <v>0</v>
      </c>
    </row>
    <row r="526" s="11" customFormat="1" ht="15.75" spans="1:37">
      <c r="A526" s="11">
        <v>2054</v>
      </c>
      <c r="B526" s="99" t="s">
        <v>1275</v>
      </c>
      <c r="C526" s="156" t="s">
        <v>1276</v>
      </c>
      <c r="D526" s="11">
        <v>0</v>
      </c>
      <c r="F526" s="11">
        <v>1</v>
      </c>
      <c r="G526" s="56">
        <v>1.6</v>
      </c>
      <c r="H526" s="56">
        <v>1.6</v>
      </c>
      <c r="I526" s="56">
        <v>0.5</v>
      </c>
      <c r="U526" s="65"/>
      <c r="V526" s="65"/>
      <c r="AF526" s="11">
        <v>801</v>
      </c>
      <c r="AG526" s="11" t="s">
        <v>116</v>
      </c>
      <c r="AK526" s="97">
        <v>0</v>
      </c>
    </row>
    <row r="527" s="11" customFormat="1" ht="15.75" spans="1:37">
      <c r="A527" s="11">
        <v>2055</v>
      </c>
      <c r="B527" s="99" t="s">
        <v>1277</v>
      </c>
      <c r="C527" s="156" t="s">
        <v>1278</v>
      </c>
      <c r="D527" s="11">
        <v>0</v>
      </c>
      <c r="F527" s="11">
        <v>1</v>
      </c>
      <c r="G527" s="56">
        <v>1.6</v>
      </c>
      <c r="H527" s="56">
        <v>1.6</v>
      </c>
      <c r="I527" s="56">
        <v>0.5</v>
      </c>
      <c r="U527" s="65"/>
      <c r="V527" s="65"/>
      <c r="AF527" s="11">
        <v>801</v>
      </c>
      <c r="AG527" s="11" t="s">
        <v>116</v>
      </c>
      <c r="AK527" s="97">
        <v>0</v>
      </c>
    </row>
    <row r="528" s="11" customFormat="1" ht="15.75" spans="1:37">
      <c r="A528" s="11">
        <v>2056</v>
      </c>
      <c r="B528" s="99" t="s">
        <v>1279</v>
      </c>
      <c r="C528" s="156" t="s">
        <v>1280</v>
      </c>
      <c r="D528" s="11">
        <v>0</v>
      </c>
      <c r="F528" s="11">
        <v>1</v>
      </c>
      <c r="G528" s="56">
        <v>1.6</v>
      </c>
      <c r="H528" s="56">
        <v>1.6</v>
      </c>
      <c r="I528" s="56">
        <v>0.5</v>
      </c>
      <c r="U528" s="65"/>
      <c r="V528" s="65"/>
      <c r="AF528" s="11">
        <v>801</v>
      </c>
      <c r="AG528" s="11" t="s">
        <v>116</v>
      </c>
      <c r="AK528" s="97">
        <v>0</v>
      </c>
    </row>
    <row r="529" s="11" customFormat="1" ht="15.75" spans="1:37">
      <c r="A529" s="11">
        <v>2057</v>
      </c>
      <c r="B529" s="99" t="s">
        <v>1281</v>
      </c>
      <c r="C529" s="156" t="s">
        <v>1282</v>
      </c>
      <c r="D529" s="11">
        <v>0</v>
      </c>
      <c r="F529" s="11">
        <v>1</v>
      </c>
      <c r="G529" s="56">
        <v>1.6</v>
      </c>
      <c r="H529" s="56">
        <v>1.6</v>
      </c>
      <c r="I529" s="56">
        <v>0.5</v>
      </c>
      <c r="U529" s="65"/>
      <c r="V529" s="65"/>
      <c r="AF529" s="11">
        <v>801</v>
      </c>
      <c r="AG529" s="11" t="s">
        <v>116</v>
      </c>
      <c r="AK529" s="97">
        <v>0</v>
      </c>
    </row>
    <row r="530" s="11" customFormat="1" ht="15.75" spans="1:37">
      <c r="A530" s="11">
        <v>2058</v>
      </c>
      <c r="B530" s="99" t="s">
        <v>1283</v>
      </c>
      <c r="C530" s="156" t="s">
        <v>1284</v>
      </c>
      <c r="D530" s="11">
        <v>0</v>
      </c>
      <c r="F530" s="11">
        <v>1</v>
      </c>
      <c r="G530" s="56">
        <v>1.6</v>
      </c>
      <c r="H530" s="56">
        <v>1.6</v>
      </c>
      <c r="I530" s="56">
        <v>0.5</v>
      </c>
      <c r="U530" s="65"/>
      <c r="V530" s="65"/>
      <c r="AF530" s="11">
        <v>801</v>
      </c>
      <c r="AG530" s="11" t="s">
        <v>116</v>
      </c>
      <c r="AK530" s="97">
        <v>0</v>
      </c>
    </row>
    <row r="531" s="11" customFormat="1" ht="15.75" spans="1:37">
      <c r="A531" s="11">
        <v>2059</v>
      </c>
      <c r="B531" s="99" t="s">
        <v>1285</v>
      </c>
      <c r="C531" s="156" t="s">
        <v>1286</v>
      </c>
      <c r="D531" s="11">
        <v>0</v>
      </c>
      <c r="F531" s="11">
        <v>1</v>
      </c>
      <c r="G531" s="56">
        <v>1.6</v>
      </c>
      <c r="H531" s="56">
        <v>1.6</v>
      </c>
      <c r="I531" s="56">
        <v>0.5</v>
      </c>
      <c r="U531" s="65"/>
      <c r="V531" s="65"/>
      <c r="AF531" s="11">
        <v>801</v>
      </c>
      <c r="AG531" s="11" t="s">
        <v>116</v>
      </c>
      <c r="AK531" s="97">
        <v>0</v>
      </c>
    </row>
    <row r="532" s="11" customFormat="1" ht="15.75" spans="1:37">
      <c r="A532" s="11">
        <v>2060</v>
      </c>
      <c r="B532" s="99" t="s">
        <v>1287</v>
      </c>
      <c r="C532" s="156" t="s">
        <v>1288</v>
      </c>
      <c r="D532" s="11">
        <v>0</v>
      </c>
      <c r="F532" s="11">
        <v>1</v>
      </c>
      <c r="G532" s="56">
        <v>1.6</v>
      </c>
      <c r="H532" s="56">
        <v>1.6</v>
      </c>
      <c r="I532" s="56">
        <v>0.5</v>
      </c>
      <c r="U532" s="65"/>
      <c r="V532" s="65"/>
      <c r="AF532" s="11">
        <v>801</v>
      </c>
      <c r="AG532" s="11" t="s">
        <v>116</v>
      </c>
      <c r="AK532" s="97">
        <v>0</v>
      </c>
    </row>
    <row r="533" s="11" customFormat="1" ht="15.75" spans="1:37">
      <c r="A533" s="11">
        <v>2061</v>
      </c>
      <c r="B533" s="99" t="s">
        <v>1289</v>
      </c>
      <c r="C533" s="156" t="s">
        <v>1290</v>
      </c>
      <c r="D533" s="11">
        <v>0</v>
      </c>
      <c r="F533" s="11">
        <v>1</v>
      </c>
      <c r="G533" s="56">
        <v>1.6</v>
      </c>
      <c r="H533" s="56">
        <v>1.6</v>
      </c>
      <c r="I533" s="56">
        <v>0.5</v>
      </c>
      <c r="U533" s="65"/>
      <c r="V533" s="65"/>
      <c r="AF533" s="11">
        <v>801</v>
      </c>
      <c r="AG533" s="11" t="s">
        <v>116</v>
      </c>
      <c r="AK533" s="97">
        <v>0</v>
      </c>
    </row>
    <row r="534" s="11" customFormat="1" ht="15.75" spans="1:37">
      <c r="A534" s="11">
        <v>2062</v>
      </c>
      <c r="B534" s="99" t="s">
        <v>1291</v>
      </c>
      <c r="C534" s="156" t="s">
        <v>1292</v>
      </c>
      <c r="D534" s="11">
        <v>0</v>
      </c>
      <c r="F534" s="11">
        <v>1</v>
      </c>
      <c r="G534" s="56">
        <v>1.6</v>
      </c>
      <c r="H534" s="56">
        <v>1.6</v>
      </c>
      <c r="I534" s="56">
        <v>0.5</v>
      </c>
      <c r="U534" s="65"/>
      <c r="V534" s="65"/>
      <c r="AF534" s="11">
        <v>801</v>
      </c>
      <c r="AG534" s="11" t="s">
        <v>116</v>
      </c>
      <c r="AK534" s="97">
        <v>0</v>
      </c>
    </row>
    <row r="535" s="11" customFormat="1" ht="15.75" spans="1:37">
      <c r="A535" s="11">
        <v>2063</v>
      </c>
      <c r="B535" s="99" t="s">
        <v>1293</v>
      </c>
      <c r="C535" s="156" t="s">
        <v>1294</v>
      </c>
      <c r="D535" s="11">
        <v>0</v>
      </c>
      <c r="F535" s="11">
        <v>1</v>
      </c>
      <c r="G535" s="56">
        <v>1.6</v>
      </c>
      <c r="H535" s="56">
        <v>1.6</v>
      </c>
      <c r="I535" s="56">
        <v>0.5</v>
      </c>
      <c r="U535" s="65"/>
      <c r="V535" s="65"/>
      <c r="AF535" s="11">
        <v>801</v>
      </c>
      <c r="AG535" s="11" t="s">
        <v>116</v>
      </c>
      <c r="AK535" s="97">
        <v>0</v>
      </c>
    </row>
    <row r="536" s="11" customFormat="1" ht="15.75" spans="1:37">
      <c r="A536" s="11">
        <v>2064</v>
      </c>
      <c r="B536" s="99" t="s">
        <v>1295</v>
      </c>
      <c r="C536" s="156" t="s">
        <v>1296</v>
      </c>
      <c r="D536" s="11">
        <v>0</v>
      </c>
      <c r="F536" s="11">
        <v>1</v>
      </c>
      <c r="G536" s="56">
        <v>1.6</v>
      </c>
      <c r="H536" s="56">
        <v>1.6</v>
      </c>
      <c r="I536" s="56">
        <v>0.5</v>
      </c>
      <c r="U536" s="65"/>
      <c r="V536" s="65"/>
      <c r="AF536" s="11">
        <v>801</v>
      </c>
      <c r="AG536" s="11" t="s">
        <v>116</v>
      </c>
      <c r="AK536" s="97">
        <v>0</v>
      </c>
    </row>
    <row r="537" s="11" customFormat="1" ht="15.75" spans="1:37">
      <c r="A537" s="11">
        <v>2065</v>
      </c>
      <c r="B537" s="99" t="s">
        <v>1297</v>
      </c>
      <c r="C537" s="156" t="s">
        <v>1298</v>
      </c>
      <c r="D537" s="11">
        <v>0</v>
      </c>
      <c r="F537" s="11">
        <v>1</v>
      </c>
      <c r="G537" s="56">
        <v>1.6</v>
      </c>
      <c r="H537" s="56">
        <v>1.6</v>
      </c>
      <c r="I537" s="56">
        <v>0.5</v>
      </c>
      <c r="U537" s="65"/>
      <c r="V537" s="65"/>
      <c r="AF537" s="11">
        <v>801</v>
      </c>
      <c r="AG537" s="11" t="s">
        <v>116</v>
      </c>
      <c r="AK537" s="97">
        <v>0</v>
      </c>
    </row>
    <row r="538" s="11" customFormat="1" ht="15.75" spans="1:37">
      <c r="A538" s="11">
        <v>2066</v>
      </c>
      <c r="B538" s="99" t="s">
        <v>1299</v>
      </c>
      <c r="C538" s="156" t="s">
        <v>1300</v>
      </c>
      <c r="D538" s="11">
        <v>0</v>
      </c>
      <c r="F538" s="11">
        <v>1</v>
      </c>
      <c r="G538" s="56">
        <v>1.6</v>
      </c>
      <c r="H538" s="56">
        <v>1.6</v>
      </c>
      <c r="I538" s="56">
        <v>0.5</v>
      </c>
      <c r="U538" s="65"/>
      <c r="V538" s="65"/>
      <c r="AF538" s="11">
        <v>801</v>
      </c>
      <c r="AG538" s="11" t="s">
        <v>116</v>
      </c>
      <c r="AK538" s="97">
        <v>0</v>
      </c>
    </row>
    <row r="539" s="11" customFormat="1" ht="15.75" spans="1:37">
      <c r="A539" s="11">
        <v>2067</v>
      </c>
      <c r="B539" s="99" t="s">
        <v>1301</v>
      </c>
      <c r="C539" s="156" t="s">
        <v>1302</v>
      </c>
      <c r="D539" s="11">
        <v>0</v>
      </c>
      <c r="F539" s="11">
        <v>1</v>
      </c>
      <c r="G539" s="56">
        <v>1.6</v>
      </c>
      <c r="H539" s="56">
        <v>1.6</v>
      </c>
      <c r="I539" s="56">
        <v>0.5</v>
      </c>
      <c r="U539" s="65"/>
      <c r="V539" s="65"/>
      <c r="AF539" s="11">
        <v>801</v>
      </c>
      <c r="AG539" s="11" t="s">
        <v>116</v>
      </c>
      <c r="AK539" s="97">
        <v>0</v>
      </c>
    </row>
    <row r="540" s="11" customFormat="1" ht="15.75" spans="1:37">
      <c r="A540" s="11">
        <v>2068</v>
      </c>
      <c r="B540" s="99" t="s">
        <v>1303</v>
      </c>
      <c r="C540" s="156" t="s">
        <v>1304</v>
      </c>
      <c r="D540" s="11">
        <v>0</v>
      </c>
      <c r="F540" s="11">
        <v>1</v>
      </c>
      <c r="G540" s="56">
        <v>1.6</v>
      </c>
      <c r="H540" s="56">
        <v>1.6</v>
      </c>
      <c r="I540" s="56">
        <v>0.5</v>
      </c>
      <c r="U540" s="65"/>
      <c r="V540" s="65"/>
      <c r="AF540" s="11">
        <v>801</v>
      </c>
      <c r="AG540" s="11" t="s">
        <v>116</v>
      </c>
      <c r="AK540" s="97">
        <v>0</v>
      </c>
    </row>
    <row r="541" s="11" customFormat="1" ht="15.75" spans="1:37">
      <c r="A541" s="11">
        <v>2069</v>
      </c>
      <c r="B541" s="99" t="s">
        <v>1305</v>
      </c>
      <c r="C541" s="156" t="s">
        <v>1306</v>
      </c>
      <c r="D541" s="11">
        <v>0</v>
      </c>
      <c r="F541" s="11">
        <v>1</v>
      </c>
      <c r="G541" s="56">
        <v>1.6</v>
      </c>
      <c r="H541" s="56">
        <v>1.6</v>
      </c>
      <c r="I541" s="56">
        <v>0.5</v>
      </c>
      <c r="U541" s="65"/>
      <c r="V541" s="65"/>
      <c r="AF541" s="11">
        <v>801</v>
      </c>
      <c r="AG541" s="11" t="s">
        <v>116</v>
      </c>
      <c r="AK541" s="97">
        <v>0</v>
      </c>
    </row>
    <row r="542" s="11" customFormat="1" ht="15.75" spans="1:37">
      <c r="A542" s="11">
        <v>2070</v>
      </c>
      <c r="B542" s="99" t="s">
        <v>1307</v>
      </c>
      <c r="C542" s="156" t="s">
        <v>1308</v>
      </c>
      <c r="D542" s="11">
        <v>0</v>
      </c>
      <c r="F542" s="11">
        <v>1</v>
      </c>
      <c r="G542" s="56">
        <v>1.6</v>
      </c>
      <c r="H542" s="56">
        <v>1.6</v>
      </c>
      <c r="I542" s="56">
        <v>0.5</v>
      </c>
      <c r="U542" s="65"/>
      <c r="V542" s="65"/>
      <c r="AF542" s="11">
        <v>801</v>
      </c>
      <c r="AG542" s="11" t="s">
        <v>116</v>
      </c>
      <c r="AK542" s="97">
        <v>0</v>
      </c>
    </row>
    <row r="543" s="11" customFormat="1" ht="15.75" spans="1:37">
      <c r="A543" s="11">
        <v>2071</v>
      </c>
      <c r="B543" s="99" t="s">
        <v>1309</v>
      </c>
      <c r="C543" s="156" t="s">
        <v>1310</v>
      </c>
      <c r="D543" s="11">
        <v>0</v>
      </c>
      <c r="F543" s="11">
        <v>1</v>
      </c>
      <c r="G543" s="56">
        <v>1.6</v>
      </c>
      <c r="H543" s="56">
        <v>1.6</v>
      </c>
      <c r="I543" s="56">
        <v>0.5</v>
      </c>
      <c r="U543" s="65"/>
      <c r="V543" s="65"/>
      <c r="AF543" s="11">
        <v>801</v>
      </c>
      <c r="AG543" s="11" t="s">
        <v>116</v>
      </c>
      <c r="AK543" s="97">
        <v>0</v>
      </c>
    </row>
    <row r="544" s="11" customFormat="1" ht="15.75" spans="1:37">
      <c r="A544" s="11">
        <v>2072</v>
      </c>
      <c r="B544" s="99" t="s">
        <v>1311</v>
      </c>
      <c r="C544" s="156" t="s">
        <v>1312</v>
      </c>
      <c r="D544" s="11">
        <v>0</v>
      </c>
      <c r="F544" s="11">
        <v>1</v>
      </c>
      <c r="G544" s="56">
        <v>1.6</v>
      </c>
      <c r="H544" s="56">
        <v>1.6</v>
      </c>
      <c r="I544" s="56">
        <v>0.5</v>
      </c>
      <c r="U544" s="65"/>
      <c r="V544" s="65"/>
      <c r="AF544" s="11">
        <v>801</v>
      </c>
      <c r="AG544" s="11" t="s">
        <v>116</v>
      </c>
      <c r="AK544" s="97">
        <v>0</v>
      </c>
    </row>
    <row r="545" s="11" customFormat="1" ht="15.75" spans="1:37">
      <c r="A545" s="11">
        <v>2073</v>
      </c>
      <c r="B545" s="99" t="s">
        <v>1313</v>
      </c>
      <c r="C545" s="156" t="s">
        <v>1314</v>
      </c>
      <c r="D545" s="11">
        <v>0</v>
      </c>
      <c r="F545" s="11">
        <v>1</v>
      </c>
      <c r="G545" s="56">
        <v>1.6</v>
      </c>
      <c r="H545" s="56">
        <v>1.6</v>
      </c>
      <c r="I545" s="56">
        <v>0.5</v>
      </c>
      <c r="U545" s="65"/>
      <c r="V545" s="65"/>
      <c r="AF545" s="11">
        <v>801</v>
      </c>
      <c r="AG545" s="11" t="s">
        <v>116</v>
      </c>
      <c r="AK545" s="97">
        <v>0</v>
      </c>
    </row>
    <row r="546" s="11" customFormat="1" ht="15.75" spans="1:37">
      <c r="A546" s="11">
        <v>2074</v>
      </c>
      <c r="B546" s="99" t="s">
        <v>1315</v>
      </c>
      <c r="C546" s="156" t="s">
        <v>1316</v>
      </c>
      <c r="D546" s="11">
        <v>0</v>
      </c>
      <c r="F546" s="11">
        <v>1</v>
      </c>
      <c r="G546" s="56">
        <v>1.6</v>
      </c>
      <c r="H546" s="56">
        <v>1.6</v>
      </c>
      <c r="I546" s="56">
        <v>0.5</v>
      </c>
      <c r="U546" s="65"/>
      <c r="V546" s="65"/>
      <c r="AF546" s="11">
        <v>801</v>
      </c>
      <c r="AG546" s="11" t="s">
        <v>116</v>
      </c>
      <c r="AK546" s="97">
        <v>0</v>
      </c>
    </row>
    <row r="547" s="11" customFormat="1" ht="15.75" spans="1:37">
      <c r="A547" s="11">
        <v>2075</v>
      </c>
      <c r="B547" s="103" t="s">
        <v>1220</v>
      </c>
      <c r="C547" s="157" t="s">
        <v>1317</v>
      </c>
      <c r="D547" s="11">
        <v>0</v>
      </c>
      <c r="F547" s="11">
        <v>1</v>
      </c>
      <c r="G547" s="56">
        <v>1.6</v>
      </c>
      <c r="H547" s="56">
        <v>1.6</v>
      </c>
      <c r="I547" s="56">
        <v>0.5</v>
      </c>
      <c r="U547" s="65"/>
      <c r="V547" s="65"/>
      <c r="AF547" s="11">
        <v>801</v>
      </c>
      <c r="AG547" s="11" t="s">
        <v>116</v>
      </c>
      <c r="AK547" s="97">
        <v>0</v>
      </c>
    </row>
    <row r="548" s="11" customFormat="1" ht="15.75" spans="1:37">
      <c r="A548" s="11">
        <v>2076</v>
      </c>
      <c r="B548" s="103" t="s">
        <v>1318</v>
      </c>
      <c r="C548" s="157" t="s">
        <v>1319</v>
      </c>
      <c r="D548" s="11">
        <v>0</v>
      </c>
      <c r="F548" s="11">
        <v>1</v>
      </c>
      <c r="G548" s="56">
        <v>1.6</v>
      </c>
      <c r="H548" s="56">
        <v>1.6</v>
      </c>
      <c r="I548" s="56">
        <v>0.5</v>
      </c>
      <c r="U548" s="65"/>
      <c r="V548" s="65"/>
      <c r="AK548" s="97">
        <v>0</v>
      </c>
    </row>
    <row r="549" s="11" customFormat="1" ht="15.75" spans="1:37">
      <c r="A549" s="11">
        <v>2077</v>
      </c>
      <c r="B549" s="103" t="s">
        <v>1320</v>
      </c>
      <c r="C549" s="157" t="s">
        <v>1321</v>
      </c>
      <c r="D549" s="11">
        <v>0</v>
      </c>
      <c r="F549" s="11">
        <v>1</v>
      </c>
      <c r="G549" s="56">
        <v>1.6</v>
      </c>
      <c r="H549" s="56">
        <v>1.6</v>
      </c>
      <c r="I549" s="56">
        <v>0.5</v>
      </c>
      <c r="U549" s="65"/>
      <c r="V549" s="65"/>
      <c r="AK549" s="97">
        <v>0</v>
      </c>
    </row>
    <row r="550" s="11" customFormat="1" spans="1:37">
      <c r="A550" s="11">
        <v>2078</v>
      </c>
      <c r="B550" s="11" t="s">
        <v>1322</v>
      </c>
      <c r="C550" s="56" t="s">
        <v>1323</v>
      </c>
      <c r="D550" s="11">
        <v>0</v>
      </c>
      <c r="F550" s="11">
        <v>1</v>
      </c>
      <c r="G550" s="11">
        <v>1.6</v>
      </c>
      <c r="H550" s="11">
        <v>1.6</v>
      </c>
      <c r="I550" s="11">
        <v>0.5</v>
      </c>
      <c r="U550" s="65"/>
      <c r="V550" s="65"/>
      <c r="AK550" s="97">
        <v>0</v>
      </c>
    </row>
    <row r="551" s="11" customFormat="1" spans="1:37">
      <c r="A551" s="11">
        <v>2079</v>
      </c>
      <c r="B551" s="158" t="s">
        <v>1324</v>
      </c>
      <c r="C551" s="159" t="s">
        <v>1325</v>
      </c>
      <c r="D551" s="11">
        <v>0</v>
      </c>
      <c r="F551" s="11">
        <v>1</v>
      </c>
      <c r="G551" s="56">
        <v>1.6</v>
      </c>
      <c r="H551" s="56">
        <v>1.6</v>
      </c>
      <c r="I551" s="56">
        <v>0.5</v>
      </c>
      <c r="U551" s="65"/>
      <c r="V551" s="65"/>
      <c r="AK551" s="97">
        <v>0</v>
      </c>
    </row>
    <row r="552" s="11" customFormat="1" spans="1:37">
      <c r="A552" s="11">
        <v>2080</v>
      </c>
      <c r="B552" s="99" t="s">
        <v>1223</v>
      </c>
      <c r="C552" s="159" t="s">
        <v>1326</v>
      </c>
      <c r="D552" s="11">
        <v>0</v>
      </c>
      <c r="F552" s="11">
        <v>1</v>
      </c>
      <c r="G552" s="56">
        <v>1.6</v>
      </c>
      <c r="H552" s="56">
        <v>1.6</v>
      </c>
      <c r="I552" s="56">
        <v>0.5</v>
      </c>
      <c r="U552" s="65"/>
      <c r="V552" s="65"/>
      <c r="AK552" s="97">
        <v>0</v>
      </c>
    </row>
    <row r="553" s="11" customFormat="1" spans="1:37">
      <c r="A553" s="11">
        <v>2082</v>
      </c>
      <c r="B553" s="99" t="s">
        <v>1327</v>
      </c>
      <c r="C553" s="159" t="s">
        <v>1328</v>
      </c>
      <c r="D553" s="11">
        <v>0</v>
      </c>
      <c r="F553" s="11">
        <v>1</v>
      </c>
      <c r="G553" s="56">
        <v>1.6</v>
      </c>
      <c r="H553" s="56">
        <v>1.6</v>
      </c>
      <c r="I553" s="56">
        <v>0.5</v>
      </c>
      <c r="U553" s="65"/>
      <c r="V553" s="65"/>
      <c r="AK553" s="97">
        <v>0</v>
      </c>
    </row>
    <row r="554" s="11" customFormat="1" spans="1:37">
      <c r="A554" s="11">
        <v>2083</v>
      </c>
      <c r="B554" s="99" t="s">
        <v>1329</v>
      </c>
      <c r="C554" s="159" t="s">
        <v>1330</v>
      </c>
      <c r="D554" s="11">
        <v>0</v>
      </c>
      <c r="F554" s="11">
        <v>1</v>
      </c>
      <c r="G554" s="56">
        <v>1.6</v>
      </c>
      <c r="H554" s="56">
        <v>1.6</v>
      </c>
      <c r="I554" s="56">
        <v>0.5</v>
      </c>
      <c r="U554" s="65"/>
      <c r="V554" s="65"/>
      <c r="AK554" s="97">
        <v>0</v>
      </c>
    </row>
    <row r="555" s="11" customFormat="1" spans="1:37">
      <c r="A555" s="11">
        <v>2084</v>
      </c>
      <c r="B555" s="99" t="s">
        <v>1331</v>
      </c>
      <c r="C555" s="159" t="s">
        <v>1332</v>
      </c>
      <c r="D555" s="11">
        <v>0</v>
      </c>
      <c r="F555" s="11">
        <v>1</v>
      </c>
      <c r="G555" s="56">
        <v>1.6</v>
      </c>
      <c r="H555" s="56">
        <v>1.6</v>
      </c>
      <c r="I555" s="56">
        <v>0.5</v>
      </c>
      <c r="U555" s="65"/>
      <c r="V555" s="65"/>
      <c r="AK555" s="97">
        <v>0</v>
      </c>
    </row>
    <row r="556" s="11" customFormat="1" spans="1:37">
      <c r="A556" s="11">
        <v>2085</v>
      </c>
      <c r="B556" s="99" t="s">
        <v>1333</v>
      </c>
      <c r="C556" s="159" t="s">
        <v>1334</v>
      </c>
      <c r="D556" s="11">
        <v>0</v>
      </c>
      <c r="F556" s="11">
        <v>1</v>
      </c>
      <c r="G556" s="56">
        <v>1.6</v>
      </c>
      <c r="H556" s="56">
        <v>1.6</v>
      </c>
      <c r="I556" s="56">
        <v>0.5</v>
      </c>
      <c r="U556" s="65"/>
      <c r="V556" s="65"/>
      <c r="AK556" s="97">
        <v>0</v>
      </c>
    </row>
    <row r="557" s="11" customFormat="1" spans="1:37">
      <c r="A557" s="11">
        <v>2086</v>
      </c>
      <c r="B557" s="99" t="s">
        <v>1335</v>
      </c>
      <c r="C557" s="159" t="s">
        <v>1336</v>
      </c>
      <c r="D557" s="11">
        <v>0</v>
      </c>
      <c r="F557" s="11">
        <v>1</v>
      </c>
      <c r="G557" s="56">
        <v>1.6</v>
      </c>
      <c r="H557" s="56">
        <v>1.6</v>
      </c>
      <c r="I557" s="56">
        <v>0.5</v>
      </c>
      <c r="U557" s="65"/>
      <c r="V557" s="65"/>
      <c r="AK557" s="97">
        <v>0</v>
      </c>
    </row>
    <row r="558" s="11" customFormat="1" spans="1:37">
      <c r="A558" s="11">
        <v>2087</v>
      </c>
      <c r="B558" s="99" t="s">
        <v>1337</v>
      </c>
      <c r="C558" s="159" t="s">
        <v>1338</v>
      </c>
      <c r="D558" s="11">
        <v>0</v>
      </c>
      <c r="F558" s="11">
        <v>1</v>
      </c>
      <c r="G558" s="56">
        <v>1.6</v>
      </c>
      <c r="H558" s="56">
        <v>1.6</v>
      </c>
      <c r="I558" s="56">
        <v>0.5</v>
      </c>
      <c r="U558" s="65"/>
      <c r="V558" s="65"/>
      <c r="AK558" s="97">
        <v>0</v>
      </c>
    </row>
    <row r="559" s="11" customFormat="1" spans="1:37">
      <c r="A559" s="11">
        <v>2088</v>
      </c>
      <c r="B559" s="103" t="s">
        <v>1339</v>
      </c>
      <c r="C559" s="159" t="s">
        <v>1340</v>
      </c>
      <c r="D559" s="11">
        <v>0</v>
      </c>
      <c r="F559" s="11">
        <v>1</v>
      </c>
      <c r="G559" s="56">
        <v>1.6</v>
      </c>
      <c r="H559" s="56">
        <v>1.6</v>
      </c>
      <c r="I559" s="56">
        <v>0.5</v>
      </c>
      <c r="U559" s="65"/>
      <c r="V559" s="65"/>
      <c r="AK559" s="97">
        <v>0</v>
      </c>
    </row>
    <row r="560" s="11" customFormat="1" spans="1:37">
      <c r="A560" s="11">
        <v>2089</v>
      </c>
      <c r="B560" s="103" t="s">
        <v>1341</v>
      </c>
      <c r="C560" s="159" t="s">
        <v>1342</v>
      </c>
      <c r="D560" s="11">
        <v>0</v>
      </c>
      <c r="F560" s="11">
        <v>1</v>
      </c>
      <c r="G560" s="56">
        <v>1.6</v>
      </c>
      <c r="H560" s="56">
        <v>1.6</v>
      </c>
      <c r="I560" s="56">
        <v>0.5</v>
      </c>
      <c r="U560" s="65"/>
      <c r="V560" s="65"/>
      <c r="AK560" s="97">
        <v>0</v>
      </c>
    </row>
    <row r="561" s="11" customFormat="1" spans="1:37">
      <c r="A561" s="11">
        <v>2090</v>
      </c>
      <c r="B561" s="160" t="s">
        <v>1343</v>
      </c>
      <c r="C561" s="159" t="s">
        <v>1344</v>
      </c>
      <c r="D561" s="11">
        <v>0</v>
      </c>
      <c r="F561" s="11">
        <v>1</v>
      </c>
      <c r="G561" s="56">
        <v>1.2</v>
      </c>
      <c r="H561" s="56">
        <v>1.2</v>
      </c>
      <c r="I561" s="56">
        <v>0.6</v>
      </c>
      <c r="U561" s="65"/>
      <c r="V561" s="65"/>
      <c r="AK561" s="97">
        <v>0</v>
      </c>
    </row>
    <row r="562" s="11" customFormat="1" spans="1:37">
      <c r="A562" s="11">
        <v>2091</v>
      </c>
      <c r="B562" s="103" t="s">
        <v>1345</v>
      </c>
      <c r="C562" s="159" t="s">
        <v>1346</v>
      </c>
      <c r="D562" s="11">
        <v>0</v>
      </c>
      <c r="F562" s="11">
        <v>1</v>
      </c>
      <c r="G562" s="56">
        <v>1.6</v>
      </c>
      <c r="H562" s="56">
        <v>1.6</v>
      </c>
      <c r="I562" s="56">
        <v>0.5</v>
      </c>
      <c r="U562" s="65"/>
      <c r="V562" s="65"/>
      <c r="AK562" s="97">
        <v>0</v>
      </c>
    </row>
    <row r="563" s="11" customFormat="1" spans="1:37">
      <c r="A563" s="11">
        <v>2092</v>
      </c>
      <c r="B563" s="103" t="s">
        <v>1347</v>
      </c>
      <c r="C563" s="159" t="s">
        <v>1348</v>
      </c>
      <c r="D563" s="11">
        <v>0</v>
      </c>
      <c r="F563" s="11">
        <v>1</v>
      </c>
      <c r="G563" s="56">
        <v>1.6</v>
      </c>
      <c r="H563" s="56">
        <v>1.6</v>
      </c>
      <c r="I563" s="56">
        <v>0.5</v>
      </c>
      <c r="U563" s="65"/>
      <c r="V563" s="65"/>
      <c r="AK563" s="97">
        <v>0</v>
      </c>
    </row>
    <row r="564" s="11" customFormat="1" spans="1:37">
      <c r="A564" s="11">
        <v>2093</v>
      </c>
      <c r="B564" s="103" t="s">
        <v>1349</v>
      </c>
      <c r="C564" s="159" t="s">
        <v>1350</v>
      </c>
      <c r="D564" s="11">
        <v>0</v>
      </c>
      <c r="F564" s="11">
        <v>1</v>
      </c>
      <c r="G564" s="56">
        <v>1.6</v>
      </c>
      <c r="H564" s="56">
        <v>1.6</v>
      </c>
      <c r="I564" s="56">
        <v>0.5</v>
      </c>
      <c r="U564" s="65"/>
      <c r="V564" s="65"/>
      <c r="AK564" s="97">
        <v>0</v>
      </c>
    </row>
    <row r="565" s="11" customFormat="1" spans="1:37">
      <c r="A565" s="11">
        <v>2094</v>
      </c>
      <c r="B565" s="103" t="s">
        <v>1351</v>
      </c>
      <c r="C565" s="159" t="s">
        <v>1352</v>
      </c>
      <c r="D565" s="11">
        <v>0</v>
      </c>
      <c r="F565" s="11">
        <v>1</v>
      </c>
      <c r="G565" s="56">
        <v>1.6</v>
      </c>
      <c r="H565" s="56">
        <v>1.6</v>
      </c>
      <c r="I565" s="56">
        <v>0.5</v>
      </c>
      <c r="U565" s="65"/>
      <c r="V565" s="65"/>
      <c r="AK565" s="97">
        <v>0</v>
      </c>
    </row>
    <row r="566" s="11" customFormat="1" spans="1:37">
      <c r="A566" s="11">
        <v>2095</v>
      </c>
      <c r="B566" s="103" t="s">
        <v>1353</v>
      </c>
      <c r="C566" s="159" t="s">
        <v>1354</v>
      </c>
      <c r="D566" s="11">
        <v>0</v>
      </c>
      <c r="F566" s="11">
        <v>1</v>
      </c>
      <c r="G566" s="56">
        <v>1.6</v>
      </c>
      <c r="H566" s="56">
        <v>1.6</v>
      </c>
      <c r="I566" s="56">
        <v>0.5</v>
      </c>
      <c r="U566" s="65"/>
      <c r="V566" s="65"/>
      <c r="AK566" s="97">
        <v>0</v>
      </c>
    </row>
    <row r="567" s="11" customFormat="1" spans="1:37">
      <c r="A567" s="11">
        <v>2096</v>
      </c>
      <c r="B567" s="103" t="s">
        <v>1355</v>
      </c>
      <c r="C567" s="159" t="s">
        <v>1356</v>
      </c>
      <c r="D567" s="11">
        <v>0</v>
      </c>
      <c r="F567" s="11">
        <v>1</v>
      </c>
      <c r="G567" s="56">
        <v>1.6</v>
      </c>
      <c r="H567" s="56">
        <v>1.6</v>
      </c>
      <c r="I567" s="56">
        <v>0.5</v>
      </c>
      <c r="U567" s="65"/>
      <c r="V567" s="65"/>
      <c r="AK567" s="97">
        <v>0</v>
      </c>
    </row>
    <row r="568" s="11" customFormat="1" spans="1:37">
      <c r="A568" s="11">
        <v>2097</v>
      </c>
      <c r="B568" s="11" t="s">
        <v>1357</v>
      </c>
      <c r="C568" s="159" t="s">
        <v>1358</v>
      </c>
      <c r="D568" s="11">
        <v>0</v>
      </c>
      <c r="F568" s="11">
        <v>1</v>
      </c>
      <c r="G568" s="56">
        <v>1.6</v>
      </c>
      <c r="H568" s="56">
        <v>1.6</v>
      </c>
      <c r="I568" s="56">
        <v>0.5</v>
      </c>
      <c r="U568" s="65"/>
      <c r="V568" s="65"/>
      <c r="AK568" s="97">
        <v>0</v>
      </c>
    </row>
    <row r="569" s="11" customFormat="1" spans="1:37">
      <c r="A569" s="11">
        <v>2098</v>
      </c>
      <c r="B569" s="11" t="s">
        <v>1359</v>
      </c>
      <c r="C569" s="159" t="s">
        <v>1360</v>
      </c>
      <c r="D569" s="11">
        <v>0</v>
      </c>
      <c r="F569" s="11">
        <v>1</v>
      </c>
      <c r="G569" s="56">
        <v>1.6</v>
      </c>
      <c r="H569" s="56">
        <v>1.6</v>
      </c>
      <c r="I569" s="56">
        <v>0.5</v>
      </c>
      <c r="U569" s="65"/>
      <c r="V569" s="65"/>
      <c r="AK569" s="97">
        <v>0</v>
      </c>
    </row>
    <row r="570" s="11" customFormat="1" spans="1:37">
      <c r="A570" s="11">
        <v>2099</v>
      </c>
      <c r="B570" s="11" t="s">
        <v>1361</v>
      </c>
      <c r="C570" s="159" t="s">
        <v>1362</v>
      </c>
      <c r="D570" s="11">
        <v>0</v>
      </c>
      <c r="F570" s="11">
        <v>1</v>
      </c>
      <c r="G570" s="56">
        <v>2.2</v>
      </c>
      <c r="H570" s="56">
        <v>1.9</v>
      </c>
      <c r="I570" s="56">
        <v>0.5</v>
      </c>
      <c r="P570" s="65"/>
      <c r="Q570" s="65"/>
      <c r="R570" s="65"/>
      <c r="S570" s="65"/>
      <c r="U570" s="65"/>
      <c r="AK570" s="97">
        <v>0</v>
      </c>
    </row>
    <row r="571" s="11" customFormat="1" spans="1:37">
      <c r="A571" s="11">
        <v>2100</v>
      </c>
      <c r="B571" s="11" t="s">
        <v>1363</v>
      </c>
      <c r="C571" s="159" t="s">
        <v>1362</v>
      </c>
      <c r="D571" s="11">
        <v>0</v>
      </c>
      <c r="F571" s="11">
        <v>1</v>
      </c>
      <c r="G571" s="56">
        <v>1.6</v>
      </c>
      <c r="H571" s="56">
        <v>1.6</v>
      </c>
      <c r="I571" s="56">
        <v>0.5</v>
      </c>
      <c r="P571" s="65"/>
      <c r="Q571" s="65"/>
      <c r="R571" s="65"/>
      <c r="S571" s="65"/>
      <c r="U571" s="65"/>
      <c r="AK571" s="97">
        <v>0</v>
      </c>
    </row>
    <row r="572" s="11" customFormat="1" spans="1:37">
      <c r="A572" s="11">
        <v>2101</v>
      </c>
      <c r="B572" s="11" t="s">
        <v>1364</v>
      </c>
      <c r="C572" s="159" t="s">
        <v>1362</v>
      </c>
      <c r="D572" s="11">
        <v>0</v>
      </c>
      <c r="F572" s="11">
        <v>1</v>
      </c>
      <c r="G572" s="56">
        <v>1.6</v>
      </c>
      <c r="H572" s="56">
        <v>1.6</v>
      </c>
      <c r="I572" s="56">
        <v>0.5</v>
      </c>
      <c r="P572" s="65"/>
      <c r="Q572" s="65"/>
      <c r="R572" s="65"/>
      <c r="S572" s="65"/>
      <c r="U572" s="65"/>
      <c r="AK572" s="97">
        <v>0</v>
      </c>
    </row>
    <row r="573" s="11" customFormat="1" spans="1:37">
      <c r="A573" s="11">
        <v>2102</v>
      </c>
      <c r="B573" s="11" t="s">
        <v>1365</v>
      </c>
      <c r="C573" s="159" t="s">
        <v>1362</v>
      </c>
      <c r="D573" s="11">
        <v>0</v>
      </c>
      <c r="F573" s="11">
        <v>1</v>
      </c>
      <c r="G573" s="56">
        <v>1.6</v>
      </c>
      <c r="H573" s="56">
        <v>1.6</v>
      </c>
      <c r="I573" s="56">
        <v>0.5</v>
      </c>
      <c r="P573" s="65"/>
      <c r="Q573" s="65"/>
      <c r="R573" s="65"/>
      <c r="S573" s="65"/>
      <c r="U573" s="65"/>
      <c r="AK573" s="97">
        <v>0</v>
      </c>
    </row>
    <row r="574" s="11" customFormat="1" spans="1:37">
      <c r="A574" s="11">
        <v>2103</v>
      </c>
      <c r="B574" s="11" t="s">
        <v>1366</v>
      </c>
      <c r="C574" s="159" t="s">
        <v>1362</v>
      </c>
      <c r="D574" s="11">
        <v>0</v>
      </c>
      <c r="F574" s="11">
        <v>1</v>
      </c>
      <c r="G574" s="56">
        <v>1.6</v>
      </c>
      <c r="H574" s="56">
        <v>1.6</v>
      </c>
      <c r="I574" s="56">
        <v>0.5</v>
      </c>
      <c r="P574" s="65"/>
      <c r="Q574" s="65"/>
      <c r="R574" s="65"/>
      <c r="S574" s="65"/>
      <c r="U574" s="65"/>
      <c r="AK574" s="97">
        <v>0</v>
      </c>
    </row>
    <row r="575" s="11" customFormat="1" spans="1:37">
      <c r="A575" s="11">
        <v>2104</v>
      </c>
      <c r="B575" s="11" t="s">
        <v>1367</v>
      </c>
      <c r="C575" s="159" t="s">
        <v>1362</v>
      </c>
      <c r="D575" s="11">
        <v>0</v>
      </c>
      <c r="F575" s="11">
        <v>1</v>
      </c>
      <c r="G575" s="56">
        <v>1.6</v>
      </c>
      <c r="H575" s="56">
        <v>1.6</v>
      </c>
      <c r="I575" s="56">
        <v>0.5</v>
      </c>
      <c r="P575" s="65"/>
      <c r="Q575" s="65"/>
      <c r="R575" s="65"/>
      <c r="S575" s="65"/>
      <c r="U575" s="65"/>
      <c r="AK575" s="97">
        <v>0</v>
      </c>
    </row>
    <row r="576" s="11" customFormat="1" spans="1:52">
      <c r="A576" s="11">
        <v>2105</v>
      </c>
      <c r="B576" s="161" t="s">
        <v>1368</v>
      </c>
      <c r="C576" s="162" t="s">
        <v>1369</v>
      </c>
      <c r="D576" s="11">
        <v>0</v>
      </c>
      <c r="F576" s="11">
        <v>0.85</v>
      </c>
      <c r="G576" s="11">
        <v>2.38</v>
      </c>
      <c r="H576" s="56">
        <v>2.72</v>
      </c>
      <c r="I576" s="56">
        <v>0.6</v>
      </c>
      <c r="U576" s="65"/>
      <c r="V576" s="65"/>
      <c r="AD576" s="69"/>
      <c r="AE576" s="69"/>
      <c r="AK576" s="97">
        <v>0</v>
      </c>
      <c r="AZ576" s="69"/>
    </row>
    <row r="577" s="11" customFormat="1" spans="1:52">
      <c r="A577" s="11">
        <v>2106</v>
      </c>
      <c r="B577" s="162" t="s">
        <v>1370</v>
      </c>
      <c r="C577" s="162" t="s">
        <v>1371</v>
      </c>
      <c r="D577" s="11">
        <v>0</v>
      </c>
      <c r="F577" s="11">
        <v>0.9</v>
      </c>
      <c r="G577" s="56">
        <v>1.95</v>
      </c>
      <c r="H577" s="56">
        <v>1.6</v>
      </c>
      <c r="I577" s="56">
        <v>0.5</v>
      </c>
      <c r="U577" s="65"/>
      <c r="V577" s="65"/>
      <c r="AD577" s="69"/>
      <c r="AE577" s="69"/>
      <c r="AK577" s="97">
        <v>0</v>
      </c>
      <c r="AZ577" s="69"/>
    </row>
    <row r="578" s="11" customFormat="1" spans="1:52">
      <c r="A578" s="11">
        <v>2107</v>
      </c>
      <c r="B578" s="162" t="s">
        <v>1372</v>
      </c>
      <c r="C578" s="162" t="s">
        <v>1373</v>
      </c>
      <c r="D578" s="11">
        <v>1</v>
      </c>
      <c r="F578" s="11">
        <v>0.6</v>
      </c>
      <c r="G578" s="56">
        <v>3</v>
      </c>
      <c r="H578" s="56">
        <v>3</v>
      </c>
      <c r="I578" s="56">
        <v>0.5</v>
      </c>
      <c r="L578" s="11">
        <v>0.0333333333333333</v>
      </c>
      <c r="M578" s="11">
        <v>0.466666666666667</v>
      </c>
      <c r="P578" s="11">
        <v>0</v>
      </c>
      <c r="Q578" s="11">
        <v>0.533333333333333</v>
      </c>
      <c r="U578" s="65"/>
      <c r="V578" s="65"/>
      <c r="AD578" s="69"/>
      <c r="AE578" s="69"/>
      <c r="AK578" s="97">
        <v>0</v>
      </c>
      <c r="AZ578" s="69"/>
    </row>
    <row r="579" s="11" customFormat="1" spans="1:52">
      <c r="A579" s="11">
        <v>2108</v>
      </c>
      <c r="B579" s="162" t="s">
        <v>1374</v>
      </c>
      <c r="C579" s="162" t="s">
        <v>1375</v>
      </c>
      <c r="D579" s="11">
        <v>1</v>
      </c>
      <c r="F579" s="11">
        <v>1</v>
      </c>
      <c r="G579" s="56">
        <v>1.7</v>
      </c>
      <c r="H579" s="56">
        <v>2</v>
      </c>
      <c r="I579" s="56">
        <v>0.5</v>
      </c>
      <c r="L579" s="11">
        <v>0.133333333333333</v>
      </c>
      <c r="M579" s="11">
        <v>0.7</v>
      </c>
      <c r="P579" s="11">
        <v>0.166666666666667</v>
      </c>
      <c r="Q579" s="11">
        <v>0.7</v>
      </c>
      <c r="U579" s="65"/>
      <c r="V579" s="65"/>
      <c r="AD579" s="69"/>
      <c r="AE579" s="69"/>
      <c r="AK579" s="97">
        <v>0</v>
      </c>
      <c r="AZ579" s="69"/>
    </row>
    <row r="580" s="11" customFormat="1" spans="1:52">
      <c r="A580" s="11">
        <v>2109</v>
      </c>
      <c r="B580" s="162" t="s">
        <v>1376</v>
      </c>
      <c r="C580" s="162" t="s">
        <v>1377</v>
      </c>
      <c r="D580" s="11">
        <v>1</v>
      </c>
      <c r="F580" s="11">
        <v>0.85</v>
      </c>
      <c r="G580" s="56">
        <v>2.9</v>
      </c>
      <c r="H580" s="56">
        <v>3.5</v>
      </c>
      <c r="I580" s="56">
        <v>0.5</v>
      </c>
      <c r="L580" s="11">
        <v>0.133333333333333</v>
      </c>
      <c r="M580" s="11">
        <v>0.7</v>
      </c>
      <c r="P580" s="11">
        <v>0.133333333333333</v>
      </c>
      <c r="Q580" s="11">
        <v>0.7</v>
      </c>
      <c r="U580" s="65"/>
      <c r="V580" s="65"/>
      <c r="AD580" s="69"/>
      <c r="AE580" s="69"/>
      <c r="AK580" s="97">
        <v>0</v>
      </c>
      <c r="AZ580" s="69"/>
    </row>
    <row r="581" s="11" customFormat="1" spans="1:52">
      <c r="A581" s="11">
        <v>2110</v>
      </c>
      <c r="B581" s="162" t="s">
        <v>1378</v>
      </c>
      <c r="C581" s="162" t="s">
        <v>1379</v>
      </c>
      <c r="D581" s="11">
        <v>0</v>
      </c>
      <c r="F581" s="11">
        <v>1</v>
      </c>
      <c r="G581" s="56">
        <v>1.7</v>
      </c>
      <c r="H581" s="56">
        <v>1.6</v>
      </c>
      <c r="I581" s="56">
        <v>0.5</v>
      </c>
      <c r="U581" s="65"/>
      <c r="V581" s="65"/>
      <c r="AD581" s="69"/>
      <c r="AE581" s="69"/>
      <c r="AK581" s="97">
        <v>0</v>
      </c>
      <c r="AZ581" s="69"/>
    </row>
    <row r="582" s="11" customFormat="1" spans="1:52">
      <c r="A582" s="11">
        <v>2111</v>
      </c>
      <c r="B582" s="162" t="s">
        <v>1380</v>
      </c>
      <c r="C582" s="162" t="s">
        <v>1381</v>
      </c>
      <c r="D582" s="11">
        <v>0</v>
      </c>
      <c r="F582" s="11">
        <v>1</v>
      </c>
      <c r="G582" s="56">
        <v>1.6</v>
      </c>
      <c r="H582" s="56">
        <v>1.6</v>
      </c>
      <c r="I582" s="56">
        <v>0.5</v>
      </c>
      <c r="U582" s="65"/>
      <c r="V582" s="65"/>
      <c r="AD582" s="69"/>
      <c r="AE582" s="69"/>
      <c r="AK582" s="97">
        <v>0</v>
      </c>
      <c r="AZ582" s="69"/>
    </row>
    <row r="583" s="11" customFormat="1" spans="1:52">
      <c r="A583" s="11">
        <v>2112</v>
      </c>
      <c r="B583" s="162" t="s">
        <v>1382</v>
      </c>
      <c r="C583" s="162" t="s">
        <v>1383</v>
      </c>
      <c r="D583" s="11">
        <v>1</v>
      </c>
      <c r="F583" s="11">
        <v>1.5</v>
      </c>
      <c r="G583" s="56">
        <v>1.7</v>
      </c>
      <c r="H583" s="56">
        <v>2.1</v>
      </c>
      <c r="I583" s="56">
        <v>0.5</v>
      </c>
      <c r="L583" s="11">
        <v>0.1</v>
      </c>
      <c r="M583" s="11">
        <v>0.6</v>
      </c>
      <c r="P583" s="11">
        <v>0.1</v>
      </c>
      <c r="Q583" s="11">
        <v>0.466666666666667</v>
      </c>
      <c r="U583" s="65"/>
      <c r="V583" s="65"/>
      <c r="AD583" s="69"/>
      <c r="AE583" s="69"/>
      <c r="AK583" s="97">
        <v>0</v>
      </c>
      <c r="AZ583" s="69"/>
    </row>
    <row r="584" s="11" customFormat="1" spans="1:52">
      <c r="A584" s="11">
        <v>2113</v>
      </c>
      <c r="B584" s="162" t="s">
        <v>1384</v>
      </c>
      <c r="C584" s="162" t="s">
        <v>1385</v>
      </c>
      <c r="D584" s="11">
        <v>0</v>
      </c>
      <c r="F584" s="11">
        <v>0.9</v>
      </c>
      <c r="G584" s="56">
        <v>3</v>
      </c>
      <c r="H584" s="56">
        <v>2</v>
      </c>
      <c r="I584" s="56">
        <v>0.5</v>
      </c>
      <c r="U584" s="65"/>
      <c r="V584" s="65"/>
      <c r="AD584" s="69"/>
      <c r="AE584" s="69"/>
      <c r="AK584" s="97">
        <v>0</v>
      </c>
      <c r="AZ584" s="69"/>
    </row>
    <row r="585" s="11" customFormat="1" spans="1:52">
      <c r="A585" s="11">
        <v>2114</v>
      </c>
      <c r="B585" s="162" t="s">
        <v>1386</v>
      </c>
      <c r="C585" s="162" t="s">
        <v>1387</v>
      </c>
      <c r="D585" s="11">
        <v>0</v>
      </c>
      <c r="F585" s="11">
        <v>1</v>
      </c>
      <c r="G585" s="56">
        <v>1</v>
      </c>
      <c r="H585" s="56">
        <v>1</v>
      </c>
      <c r="I585" s="56">
        <v>0.5</v>
      </c>
      <c r="U585" s="65"/>
      <c r="V585" s="65"/>
      <c r="AD585" s="69"/>
      <c r="AE585" s="69"/>
      <c r="AK585" s="97">
        <v>0</v>
      </c>
      <c r="AZ585" s="69"/>
    </row>
    <row r="586" s="11" customFormat="1" spans="1:52">
      <c r="A586" s="146">
        <v>2115</v>
      </c>
      <c r="B586" s="163" t="s">
        <v>1388</v>
      </c>
      <c r="C586" s="163" t="s">
        <v>1389</v>
      </c>
      <c r="D586" s="11">
        <v>0</v>
      </c>
      <c r="F586" s="11">
        <v>1</v>
      </c>
      <c r="G586" s="56">
        <v>1</v>
      </c>
      <c r="H586" s="56">
        <v>1</v>
      </c>
      <c r="I586" s="56">
        <v>0.5</v>
      </c>
      <c r="U586" s="65"/>
      <c r="V586" s="65"/>
      <c r="AD586" s="69"/>
      <c r="AE586" s="69"/>
      <c r="AK586" s="97">
        <v>0</v>
      </c>
      <c r="AZ586" s="69"/>
    </row>
    <row r="587" s="11" customFormat="1" spans="1:52">
      <c r="A587" s="146">
        <v>2116</v>
      </c>
      <c r="B587" s="163" t="s">
        <v>1390</v>
      </c>
      <c r="C587" s="163" t="s">
        <v>1391</v>
      </c>
      <c r="D587" s="11">
        <v>0</v>
      </c>
      <c r="F587" s="11">
        <v>1</v>
      </c>
      <c r="G587" s="56">
        <v>1.6</v>
      </c>
      <c r="H587" s="56">
        <v>1.6</v>
      </c>
      <c r="I587" s="56">
        <v>0.5</v>
      </c>
      <c r="U587" s="65"/>
      <c r="V587" s="65"/>
      <c r="AD587" s="69"/>
      <c r="AE587" s="69"/>
      <c r="AK587" s="97">
        <v>0</v>
      </c>
      <c r="AZ587" s="69"/>
    </row>
    <row r="588" s="11" customFormat="1" spans="1:52">
      <c r="A588" s="146">
        <v>2117</v>
      </c>
      <c r="B588" s="163" t="s">
        <v>1392</v>
      </c>
      <c r="C588" s="163" t="s">
        <v>1393</v>
      </c>
      <c r="D588" s="11">
        <v>0</v>
      </c>
      <c r="F588" s="11">
        <v>1</v>
      </c>
      <c r="G588" s="56">
        <v>1</v>
      </c>
      <c r="H588" s="56">
        <v>1</v>
      </c>
      <c r="I588" s="56">
        <v>0.5</v>
      </c>
      <c r="U588" s="65"/>
      <c r="V588" s="65"/>
      <c r="AD588" s="69"/>
      <c r="AE588" s="69"/>
      <c r="AK588" s="97">
        <v>0</v>
      </c>
      <c r="AZ588" s="69"/>
    </row>
    <row r="589" s="11" customFormat="1" spans="1:52">
      <c r="A589" s="146">
        <v>2118</v>
      </c>
      <c r="B589" s="163" t="s">
        <v>1394</v>
      </c>
      <c r="C589" s="163" t="s">
        <v>1395</v>
      </c>
      <c r="D589" s="11">
        <v>0</v>
      </c>
      <c r="F589" s="11">
        <v>1</v>
      </c>
      <c r="G589" s="56">
        <v>1.6</v>
      </c>
      <c r="H589" s="56">
        <v>1.6</v>
      </c>
      <c r="I589" s="56">
        <v>0.5</v>
      </c>
      <c r="U589" s="65"/>
      <c r="V589" s="65"/>
      <c r="AD589" s="69"/>
      <c r="AE589" s="69"/>
      <c r="AK589" s="97">
        <v>0</v>
      </c>
      <c r="AZ589" s="69"/>
    </row>
    <row r="590" s="11" customFormat="1" spans="1:52">
      <c r="A590" s="146">
        <v>2119</v>
      </c>
      <c r="B590" s="163" t="s">
        <v>1396</v>
      </c>
      <c r="C590" s="163" t="s">
        <v>1397</v>
      </c>
      <c r="D590" s="11">
        <v>0</v>
      </c>
      <c r="F590" s="11">
        <v>1</v>
      </c>
      <c r="G590" s="56">
        <v>2</v>
      </c>
      <c r="H590" s="56">
        <v>2</v>
      </c>
      <c r="I590" s="56">
        <v>0.5</v>
      </c>
      <c r="U590" s="65"/>
      <c r="V590" s="65"/>
      <c r="AD590" s="69"/>
      <c r="AE590" s="69"/>
      <c r="AK590" s="97">
        <v>0</v>
      </c>
      <c r="AZ590" s="69"/>
    </row>
    <row r="591" s="11" customFormat="1" spans="1:52">
      <c r="A591" s="146">
        <v>2120</v>
      </c>
      <c r="B591" s="164" t="s">
        <v>1398</v>
      </c>
      <c r="C591" s="163" t="s">
        <v>1399</v>
      </c>
      <c r="D591" s="11">
        <v>0</v>
      </c>
      <c r="F591" s="11">
        <v>1</v>
      </c>
      <c r="G591" s="56">
        <v>2</v>
      </c>
      <c r="H591" s="56">
        <v>2</v>
      </c>
      <c r="I591" s="56">
        <v>0.5</v>
      </c>
      <c r="U591" s="65"/>
      <c r="V591" s="65"/>
      <c r="AD591" s="69"/>
      <c r="AE591" s="69"/>
      <c r="AK591" s="97">
        <v>0</v>
      </c>
      <c r="AZ591" s="69"/>
    </row>
    <row r="592" s="11" customFormat="1" spans="1:52">
      <c r="A592" s="146">
        <v>2121</v>
      </c>
      <c r="B592" s="164" t="s">
        <v>1400</v>
      </c>
      <c r="C592" s="163" t="s">
        <v>1401</v>
      </c>
      <c r="D592" s="11">
        <v>0</v>
      </c>
      <c r="F592" s="11">
        <v>1</v>
      </c>
      <c r="G592" s="56">
        <v>2</v>
      </c>
      <c r="H592" s="56">
        <v>2</v>
      </c>
      <c r="I592" s="56">
        <v>0.5</v>
      </c>
      <c r="U592" s="65"/>
      <c r="V592" s="65"/>
      <c r="AD592" s="69"/>
      <c r="AE592" s="69"/>
      <c r="AK592" s="97">
        <v>0</v>
      </c>
      <c r="AZ592" s="69"/>
    </row>
    <row r="593" s="11" customFormat="1" spans="1:52">
      <c r="A593" s="146">
        <v>2122</v>
      </c>
      <c r="B593" s="163" t="s">
        <v>1402</v>
      </c>
      <c r="C593" s="163" t="s">
        <v>1403</v>
      </c>
      <c r="D593" s="11">
        <v>0</v>
      </c>
      <c r="F593" s="11">
        <v>1</v>
      </c>
      <c r="G593" s="56">
        <v>2</v>
      </c>
      <c r="H593" s="56">
        <v>1.6</v>
      </c>
      <c r="I593" s="56">
        <v>0.5</v>
      </c>
      <c r="U593" s="65"/>
      <c r="V593" s="65"/>
      <c r="AD593" s="69"/>
      <c r="AE593" s="69"/>
      <c r="AK593" s="97">
        <v>0</v>
      </c>
      <c r="AZ593" s="69"/>
    </row>
    <row r="594" s="11" customFormat="1" spans="1:52">
      <c r="A594" s="146">
        <v>2123</v>
      </c>
      <c r="B594" s="163" t="s">
        <v>1404</v>
      </c>
      <c r="C594" s="163" t="s">
        <v>1403</v>
      </c>
      <c r="D594" s="11">
        <v>0</v>
      </c>
      <c r="F594" s="11">
        <v>1</v>
      </c>
      <c r="G594" s="56">
        <v>2</v>
      </c>
      <c r="H594" s="56">
        <v>1.6</v>
      </c>
      <c r="I594" s="56">
        <v>0.5</v>
      </c>
      <c r="U594" s="65"/>
      <c r="V594" s="65"/>
      <c r="AD594" s="69"/>
      <c r="AE594" s="69"/>
      <c r="AK594" s="97">
        <v>0</v>
      </c>
      <c r="AZ594" s="69"/>
    </row>
    <row r="595" s="11" customFormat="1" spans="1:52">
      <c r="A595" s="165">
        <v>2124</v>
      </c>
      <c r="B595" s="166" t="s">
        <v>1405</v>
      </c>
      <c r="C595" s="166" t="s">
        <v>1406</v>
      </c>
      <c r="D595" s="11">
        <v>0</v>
      </c>
      <c r="F595" s="11">
        <v>1</v>
      </c>
      <c r="G595" s="56">
        <v>1.5</v>
      </c>
      <c r="H595" s="56">
        <v>1.6</v>
      </c>
      <c r="I595" s="56">
        <v>0.5</v>
      </c>
      <c r="U595" s="65"/>
      <c r="V595" s="65"/>
      <c r="AD595" s="69"/>
      <c r="AE595" s="69"/>
      <c r="AK595" s="97">
        <v>0</v>
      </c>
      <c r="AP595" s="11">
        <v>3</v>
      </c>
      <c r="AZ595" s="69"/>
    </row>
    <row r="596" s="11" customFormat="1" spans="1:52">
      <c r="A596" s="165">
        <v>2125</v>
      </c>
      <c r="B596" s="166" t="s">
        <v>1407</v>
      </c>
      <c r="C596" s="166" t="s">
        <v>1408</v>
      </c>
      <c r="D596" s="11">
        <v>0</v>
      </c>
      <c r="F596" s="11">
        <v>1</v>
      </c>
      <c r="G596" s="56">
        <v>0.7</v>
      </c>
      <c r="H596" s="56">
        <v>1.6</v>
      </c>
      <c r="I596" s="56">
        <v>0.5</v>
      </c>
      <c r="U596" s="65"/>
      <c r="V596" s="65"/>
      <c r="AD596" s="69"/>
      <c r="AE596" s="69"/>
      <c r="AK596" s="97">
        <v>0</v>
      </c>
      <c r="AZ596" s="69"/>
    </row>
    <row r="597" s="11" customFormat="1" spans="1:52">
      <c r="A597" s="165">
        <v>2126</v>
      </c>
      <c r="B597" s="166" t="s">
        <v>1409</v>
      </c>
      <c r="C597" s="166" t="s">
        <v>1410</v>
      </c>
      <c r="D597" s="11">
        <v>0</v>
      </c>
      <c r="F597" s="11">
        <v>1</v>
      </c>
      <c r="G597" s="56">
        <v>2</v>
      </c>
      <c r="H597" s="56">
        <v>1.6</v>
      </c>
      <c r="I597" s="56">
        <v>0.5</v>
      </c>
      <c r="U597" s="65"/>
      <c r="V597" s="65"/>
      <c r="AD597" s="69"/>
      <c r="AE597" s="69"/>
      <c r="AK597" s="97">
        <v>0</v>
      </c>
      <c r="AP597" s="11">
        <v>3</v>
      </c>
      <c r="AZ597" s="69"/>
    </row>
    <row r="598" s="11" customFormat="1" spans="1:52">
      <c r="A598" s="165">
        <v>2127</v>
      </c>
      <c r="B598" s="166" t="s">
        <v>1411</v>
      </c>
      <c r="C598" s="166" t="s">
        <v>1412</v>
      </c>
      <c r="D598" s="11">
        <v>0</v>
      </c>
      <c r="F598" s="11">
        <v>1</v>
      </c>
      <c r="G598" s="56">
        <v>1.7</v>
      </c>
      <c r="H598" s="56">
        <v>1.6</v>
      </c>
      <c r="I598" s="56">
        <v>0.5</v>
      </c>
      <c r="U598" s="65"/>
      <c r="V598" s="65"/>
      <c r="AD598" s="69"/>
      <c r="AE598" s="69"/>
      <c r="AK598" s="97">
        <v>0</v>
      </c>
      <c r="AZ598" s="69"/>
    </row>
    <row r="599" s="11" customFormat="1" spans="1:52">
      <c r="A599" s="165">
        <v>2128</v>
      </c>
      <c r="B599" s="166" t="s">
        <v>1413</v>
      </c>
      <c r="C599" s="166" t="s">
        <v>1414</v>
      </c>
      <c r="D599" s="11">
        <v>0</v>
      </c>
      <c r="F599" s="11">
        <v>1</v>
      </c>
      <c r="G599" s="56">
        <v>1.7</v>
      </c>
      <c r="H599" s="56">
        <v>1.6</v>
      </c>
      <c r="I599" s="56">
        <v>0.5</v>
      </c>
      <c r="U599" s="65"/>
      <c r="V599" s="65"/>
      <c r="AD599" s="69"/>
      <c r="AE599" s="69"/>
      <c r="AK599" s="97">
        <v>0</v>
      </c>
      <c r="AZ599" s="69"/>
    </row>
    <row r="600" s="11" customFormat="1" spans="1:52">
      <c r="A600" s="165">
        <v>2129</v>
      </c>
      <c r="B600" s="166" t="s">
        <v>1415</v>
      </c>
      <c r="C600" s="166" t="s">
        <v>1416</v>
      </c>
      <c r="D600" s="11">
        <v>0</v>
      </c>
      <c r="F600" s="11">
        <v>1</v>
      </c>
      <c r="G600" s="56">
        <v>1.7</v>
      </c>
      <c r="H600" s="56">
        <v>1.6</v>
      </c>
      <c r="I600" s="56">
        <v>0.5</v>
      </c>
      <c r="U600" s="65"/>
      <c r="V600" s="65"/>
      <c r="AD600" s="69"/>
      <c r="AE600" s="69"/>
      <c r="AK600" s="97">
        <v>0</v>
      </c>
      <c r="AZ600" s="69"/>
    </row>
    <row r="601" s="11" customFormat="1" spans="1:52">
      <c r="A601" s="165">
        <v>2130</v>
      </c>
      <c r="B601" s="166" t="s">
        <v>1417</v>
      </c>
      <c r="C601" s="166" t="s">
        <v>1418</v>
      </c>
      <c r="D601" s="11">
        <v>0</v>
      </c>
      <c r="F601" s="11">
        <v>1</v>
      </c>
      <c r="G601" s="56">
        <v>1.7</v>
      </c>
      <c r="H601" s="56">
        <v>1.6</v>
      </c>
      <c r="I601" s="56">
        <v>0.5</v>
      </c>
      <c r="U601" s="65"/>
      <c r="V601" s="65"/>
      <c r="AD601" s="69"/>
      <c r="AE601" s="69"/>
      <c r="AK601" s="97">
        <v>0</v>
      </c>
      <c r="AZ601" s="69"/>
    </row>
    <row r="602" s="11" customFormat="1" spans="1:52">
      <c r="A602" s="165">
        <v>2131</v>
      </c>
      <c r="B602" s="166" t="s">
        <v>1419</v>
      </c>
      <c r="C602" s="166" t="s">
        <v>1420</v>
      </c>
      <c r="D602" s="11">
        <v>0</v>
      </c>
      <c r="F602" s="11">
        <v>1</v>
      </c>
      <c r="G602" s="56">
        <v>1.7</v>
      </c>
      <c r="H602" s="56">
        <v>1.6</v>
      </c>
      <c r="I602" s="56">
        <v>0.5</v>
      </c>
      <c r="U602" s="65"/>
      <c r="V602" s="65"/>
      <c r="AD602" s="69"/>
      <c r="AE602" s="69"/>
      <c r="AK602" s="97">
        <v>0</v>
      </c>
      <c r="AZ602" s="69"/>
    </row>
    <row r="603" s="11" customFormat="1" spans="1:52">
      <c r="A603" s="165">
        <v>2132</v>
      </c>
      <c r="B603" s="166" t="s">
        <v>1421</v>
      </c>
      <c r="C603" s="166" t="s">
        <v>1422</v>
      </c>
      <c r="D603" s="11">
        <v>0</v>
      </c>
      <c r="F603" s="11">
        <v>1</v>
      </c>
      <c r="G603" s="56">
        <v>1.8</v>
      </c>
      <c r="H603" s="56">
        <v>1.6</v>
      </c>
      <c r="I603" s="56">
        <v>0.5</v>
      </c>
      <c r="U603" s="65"/>
      <c r="V603" s="65"/>
      <c r="AD603" s="69"/>
      <c r="AE603" s="69"/>
      <c r="AK603" s="97">
        <v>0</v>
      </c>
      <c r="AZ603" s="69"/>
    </row>
    <row r="604" s="11" customFormat="1" spans="1:52">
      <c r="A604" s="165">
        <v>2133</v>
      </c>
      <c r="B604" s="166" t="s">
        <v>1423</v>
      </c>
      <c r="C604" s="166" t="s">
        <v>1424</v>
      </c>
      <c r="D604" s="11">
        <v>0</v>
      </c>
      <c r="F604" s="11">
        <v>1</v>
      </c>
      <c r="G604" s="56">
        <v>1.4</v>
      </c>
      <c r="H604" s="56">
        <v>1.6</v>
      </c>
      <c r="I604" s="56">
        <v>0.5</v>
      </c>
      <c r="U604" s="65"/>
      <c r="V604" s="65"/>
      <c r="AD604" s="69"/>
      <c r="AE604" s="69"/>
      <c r="AK604" s="97">
        <v>0</v>
      </c>
      <c r="AZ604" s="69"/>
    </row>
    <row r="605" s="11" customFormat="1" spans="1:52">
      <c r="A605" s="165">
        <v>2134</v>
      </c>
      <c r="B605" s="166" t="s">
        <v>1425</v>
      </c>
      <c r="C605" s="166" t="s">
        <v>423</v>
      </c>
      <c r="D605" s="11">
        <v>0</v>
      </c>
      <c r="F605" s="11">
        <v>1</v>
      </c>
      <c r="G605" s="56">
        <v>1.9</v>
      </c>
      <c r="H605" s="56">
        <v>1.6</v>
      </c>
      <c r="I605" s="56">
        <v>0.5</v>
      </c>
      <c r="U605" s="65"/>
      <c r="V605" s="65"/>
      <c r="AD605" s="69"/>
      <c r="AE605" s="69"/>
      <c r="AK605" s="97">
        <v>0</v>
      </c>
      <c r="AZ605" s="69"/>
    </row>
    <row r="606" s="11" customFormat="1" spans="1:52">
      <c r="A606" s="165">
        <v>2135</v>
      </c>
      <c r="B606" s="166" t="s">
        <v>1426</v>
      </c>
      <c r="C606" s="166" t="s">
        <v>1427</v>
      </c>
      <c r="D606" s="11">
        <v>0</v>
      </c>
      <c r="F606" s="11">
        <v>1</v>
      </c>
      <c r="G606" s="56">
        <v>2.1</v>
      </c>
      <c r="H606" s="56">
        <v>1.6</v>
      </c>
      <c r="I606" s="56">
        <v>0.5</v>
      </c>
      <c r="U606" s="65"/>
      <c r="V606" s="65"/>
      <c r="AD606" s="69"/>
      <c r="AE606" s="69"/>
      <c r="AK606" s="97">
        <v>0</v>
      </c>
      <c r="AZ606" s="69"/>
    </row>
    <row r="607" s="11" customFormat="1" spans="1:52">
      <c r="A607" s="165">
        <v>2136</v>
      </c>
      <c r="B607" s="166" t="s">
        <v>1428</v>
      </c>
      <c r="C607" s="166" t="s">
        <v>466</v>
      </c>
      <c r="D607" s="11">
        <v>0</v>
      </c>
      <c r="F607" s="11">
        <v>1</v>
      </c>
      <c r="G607" s="56">
        <v>2</v>
      </c>
      <c r="H607" s="56">
        <v>1.6</v>
      </c>
      <c r="I607" s="56">
        <v>0.5</v>
      </c>
      <c r="U607" s="65"/>
      <c r="V607" s="65"/>
      <c r="AD607" s="69"/>
      <c r="AE607" s="69"/>
      <c r="AK607" s="97">
        <v>0</v>
      </c>
      <c r="AZ607" s="69"/>
    </row>
    <row r="608" s="11" customFormat="1" spans="1:52">
      <c r="A608" s="165">
        <v>2137</v>
      </c>
      <c r="B608" s="166" t="s">
        <v>1429</v>
      </c>
      <c r="C608" s="166" t="s">
        <v>1430</v>
      </c>
      <c r="D608" s="11">
        <v>0</v>
      </c>
      <c r="F608" s="11">
        <v>1</v>
      </c>
      <c r="G608" s="56">
        <v>2.1</v>
      </c>
      <c r="H608" s="56">
        <v>1.6</v>
      </c>
      <c r="I608" s="56">
        <v>0.5</v>
      </c>
      <c r="U608" s="65"/>
      <c r="V608" s="65"/>
      <c r="AD608" s="69"/>
      <c r="AE608" s="69"/>
      <c r="AK608" s="97">
        <v>0</v>
      </c>
      <c r="AZ608" s="69"/>
    </row>
    <row r="609" s="11" customFormat="1" spans="1:52">
      <c r="A609" s="165">
        <v>2138</v>
      </c>
      <c r="B609" s="166" t="s">
        <v>1431</v>
      </c>
      <c r="C609" s="166" t="s">
        <v>1432</v>
      </c>
      <c r="D609" s="11">
        <v>0</v>
      </c>
      <c r="F609" s="11">
        <v>1</v>
      </c>
      <c r="G609" s="56">
        <v>0.8</v>
      </c>
      <c r="H609" s="56">
        <v>1.6</v>
      </c>
      <c r="I609" s="56">
        <v>0.5</v>
      </c>
      <c r="U609" s="65"/>
      <c r="V609" s="65"/>
      <c r="AD609" s="69"/>
      <c r="AE609" s="69"/>
      <c r="AK609" s="97">
        <v>0</v>
      </c>
      <c r="AZ609" s="69"/>
    </row>
    <row r="610" s="11" customFormat="1" spans="1:52">
      <c r="A610" s="167">
        <v>2139</v>
      </c>
      <c r="B610" s="168" t="s">
        <v>1433</v>
      </c>
      <c r="C610" s="168" t="s">
        <v>1434</v>
      </c>
      <c r="D610" s="11">
        <v>0</v>
      </c>
      <c r="F610" s="11">
        <v>1</v>
      </c>
      <c r="G610" s="56">
        <v>1.8</v>
      </c>
      <c r="H610" s="56">
        <v>1.6</v>
      </c>
      <c r="I610" s="56">
        <v>0.5</v>
      </c>
      <c r="U610" s="65"/>
      <c r="V610" s="65"/>
      <c r="AD610" s="69"/>
      <c r="AE610" s="69"/>
      <c r="AK610" s="97">
        <v>0</v>
      </c>
      <c r="AZ610" s="69"/>
    </row>
    <row r="611" s="11" customFormat="1" spans="1:52">
      <c r="A611" s="165">
        <v>2140</v>
      </c>
      <c r="B611" s="168" t="s">
        <v>1435</v>
      </c>
      <c r="C611" s="168" t="s">
        <v>1436</v>
      </c>
      <c r="D611" s="11">
        <v>0</v>
      </c>
      <c r="F611" s="11">
        <v>1</v>
      </c>
      <c r="G611" s="56">
        <v>1.8</v>
      </c>
      <c r="H611" s="56">
        <v>1.6</v>
      </c>
      <c r="I611" s="56">
        <v>0.5</v>
      </c>
      <c r="U611" s="65"/>
      <c r="V611" s="65"/>
      <c r="AD611" s="69"/>
      <c r="AE611" s="69"/>
      <c r="AK611" s="97">
        <v>0</v>
      </c>
      <c r="AZ611" s="69"/>
    </row>
    <row r="612" s="11" customFormat="1" spans="1:52">
      <c r="A612" s="165">
        <v>2141</v>
      </c>
      <c r="B612" s="168" t="s">
        <v>1437</v>
      </c>
      <c r="C612" s="168" t="s">
        <v>1438</v>
      </c>
      <c r="D612" s="11">
        <v>0</v>
      </c>
      <c r="F612" s="11">
        <v>1</v>
      </c>
      <c r="G612" s="56">
        <v>1.8</v>
      </c>
      <c r="H612" s="56">
        <v>1.6</v>
      </c>
      <c r="I612" s="56">
        <v>0.5</v>
      </c>
      <c r="U612" s="65"/>
      <c r="V612" s="65"/>
      <c r="AD612" s="69"/>
      <c r="AE612" s="69"/>
      <c r="AK612" s="97">
        <v>0</v>
      </c>
      <c r="AZ612" s="69"/>
    </row>
    <row r="613" s="11" customFormat="1" spans="1:52">
      <c r="A613" s="167">
        <v>2142</v>
      </c>
      <c r="B613" s="168" t="s">
        <v>1439</v>
      </c>
      <c r="C613" s="168" t="s">
        <v>1440</v>
      </c>
      <c r="D613" s="11">
        <v>0</v>
      </c>
      <c r="F613" s="11">
        <v>1</v>
      </c>
      <c r="G613" s="56">
        <v>1.8</v>
      </c>
      <c r="H613" s="56">
        <v>1.6</v>
      </c>
      <c r="I613" s="56">
        <v>0.5</v>
      </c>
      <c r="U613" s="65"/>
      <c r="V613" s="65"/>
      <c r="AD613" s="69"/>
      <c r="AE613" s="69"/>
      <c r="AK613" s="97">
        <v>0</v>
      </c>
      <c r="AZ613" s="69"/>
    </row>
    <row r="614" s="11" customFormat="1" spans="1:52">
      <c r="A614" s="165">
        <v>2143</v>
      </c>
      <c r="B614" s="168" t="s">
        <v>1441</v>
      </c>
      <c r="C614" s="168" t="s">
        <v>1442</v>
      </c>
      <c r="D614" s="11">
        <v>0</v>
      </c>
      <c r="F614" s="11">
        <v>1</v>
      </c>
      <c r="G614" s="56">
        <v>1.8</v>
      </c>
      <c r="H614" s="56">
        <v>1.6</v>
      </c>
      <c r="I614" s="56">
        <v>0.5</v>
      </c>
      <c r="U614" s="65"/>
      <c r="V614" s="65"/>
      <c r="AD614" s="69"/>
      <c r="AE614" s="69"/>
      <c r="AK614" s="97">
        <v>0</v>
      </c>
      <c r="AZ614" s="69"/>
    </row>
    <row r="615" s="11" customFormat="1" spans="1:52">
      <c r="A615" s="165">
        <v>2144</v>
      </c>
      <c r="B615" s="168" t="s">
        <v>1443</v>
      </c>
      <c r="C615" s="168" t="s">
        <v>1444</v>
      </c>
      <c r="D615" s="11">
        <v>0</v>
      </c>
      <c r="F615" s="11">
        <v>1</v>
      </c>
      <c r="G615" s="56">
        <v>1.8</v>
      </c>
      <c r="H615" s="56">
        <v>1.6</v>
      </c>
      <c r="I615" s="56">
        <v>0.5</v>
      </c>
      <c r="U615" s="65"/>
      <c r="V615" s="65"/>
      <c r="AD615" s="69"/>
      <c r="AE615" s="69"/>
      <c r="AK615" s="97">
        <v>0</v>
      </c>
      <c r="AZ615" s="69"/>
    </row>
    <row r="616" s="11" customFormat="1" spans="1:52">
      <c r="A616" s="165">
        <v>2145</v>
      </c>
      <c r="B616" s="162" t="s">
        <v>1445</v>
      </c>
      <c r="C616" s="162" t="s">
        <v>1446</v>
      </c>
      <c r="D616" s="11">
        <v>0</v>
      </c>
      <c r="F616" s="11">
        <v>1</v>
      </c>
      <c r="G616" s="56">
        <v>1.8</v>
      </c>
      <c r="H616" s="56">
        <v>1.6</v>
      </c>
      <c r="I616" s="56">
        <v>0.5</v>
      </c>
      <c r="U616" s="65"/>
      <c r="V616" s="65"/>
      <c r="AD616" s="69"/>
      <c r="AE616" s="69"/>
      <c r="AK616" s="97">
        <v>0</v>
      </c>
      <c r="AZ616" s="69"/>
    </row>
    <row r="617" s="11" customFormat="1" spans="1:52">
      <c r="A617" s="165">
        <v>2146</v>
      </c>
      <c r="B617" s="11" t="s">
        <v>1447</v>
      </c>
      <c r="C617" s="162" t="s">
        <v>1448</v>
      </c>
      <c r="D617" s="11">
        <v>0</v>
      </c>
      <c r="F617" s="11">
        <v>1</v>
      </c>
      <c r="G617" s="56">
        <v>1.8</v>
      </c>
      <c r="H617" s="56">
        <v>1.6</v>
      </c>
      <c r="I617" s="56">
        <v>0.5</v>
      </c>
      <c r="U617" s="65"/>
      <c r="V617" s="65"/>
      <c r="AD617" s="69"/>
      <c r="AE617" s="69"/>
      <c r="AK617" s="97">
        <v>0</v>
      </c>
      <c r="AZ617" s="69"/>
    </row>
    <row r="618" s="11" customFormat="1" spans="1:52">
      <c r="A618" s="165">
        <v>2147</v>
      </c>
      <c r="B618" s="162" t="s">
        <v>1449</v>
      </c>
      <c r="C618" s="162" t="s">
        <v>1450</v>
      </c>
      <c r="D618" s="11">
        <v>0</v>
      </c>
      <c r="F618" s="11">
        <v>1</v>
      </c>
      <c r="G618" s="56">
        <v>1.9</v>
      </c>
      <c r="H618" s="56">
        <v>1.6</v>
      </c>
      <c r="I618" s="56">
        <v>0.5</v>
      </c>
      <c r="U618" s="65"/>
      <c r="V618" s="65"/>
      <c r="AD618" s="69"/>
      <c r="AE618" s="69"/>
      <c r="AK618" s="97">
        <v>0</v>
      </c>
      <c r="AZ618" s="69"/>
    </row>
    <row r="619" s="11" customFormat="1" spans="1:52">
      <c r="A619" s="165">
        <v>2148</v>
      </c>
      <c r="B619" s="162" t="s">
        <v>1451</v>
      </c>
      <c r="C619" s="162" t="s">
        <v>1452</v>
      </c>
      <c r="D619" s="11">
        <v>0</v>
      </c>
      <c r="F619" s="11">
        <v>1</v>
      </c>
      <c r="G619" s="56">
        <v>1.8</v>
      </c>
      <c r="H619" s="56">
        <v>1.6</v>
      </c>
      <c r="I619" s="56">
        <v>0.5</v>
      </c>
      <c r="U619" s="65"/>
      <c r="V619" s="65"/>
      <c r="AD619" s="69"/>
      <c r="AE619" s="69"/>
      <c r="AK619" s="97">
        <v>0</v>
      </c>
      <c r="AZ619" s="69"/>
    </row>
    <row r="620" s="11" customFormat="1" spans="1:52">
      <c r="A620" s="165">
        <v>2149</v>
      </c>
      <c r="B620" s="162" t="s">
        <v>1453</v>
      </c>
      <c r="C620" s="162" t="s">
        <v>1454</v>
      </c>
      <c r="D620" s="11">
        <v>0</v>
      </c>
      <c r="F620" s="11">
        <v>1</v>
      </c>
      <c r="G620" s="56">
        <v>1.8</v>
      </c>
      <c r="H620" s="56">
        <v>1.6</v>
      </c>
      <c r="I620" s="56">
        <v>0.5</v>
      </c>
      <c r="U620" s="65"/>
      <c r="V620" s="65"/>
      <c r="AD620" s="69"/>
      <c r="AE620" s="69"/>
      <c r="AK620" s="97">
        <v>0</v>
      </c>
      <c r="AZ620" s="69"/>
    </row>
    <row r="621" s="11" customFormat="1" spans="1:52">
      <c r="A621" s="165">
        <v>2150</v>
      </c>
      <c r="B621" s="162" t="s">
        <v>1455</v>
      </c>
      <c r="C621" s="162" t="s">
        <v>1456</v>
      </c>
      <c r="D621" s="11">
        <v>0</v>
      </c>
      <c r="F621" s="11">
        <v>1</v>
      </c>
      <c r="G621" s="56">
        <v>1.8</v>
      </c>
      <c r="H621" s="56">
        <v>1.6</v>
      </c>
      <c r="I621" s="56">
        <v>0.5</v>
      </c>
      <c r="U621" s="65"/>
      <c r="V621" s="65"/>
      <c r="AD621" s="69"/>
      <c r="AE621" s="69"/>
      <c r="AK621" s="97">
        <v>0</v>
      </c>
      <c r="AZ621" s="69"/>
    </row>
    <row r="622" s="11" customFormat="1" spans="1:52">
      <c r="A622" s="165">
        <v>2151</v>
      </c>
      <c r="B622" s="162" t="s">
        <v>1457</v>
      </c>
      <c r="C622" s="162" t="s">
        <v>1458</v>
      </c>
      <c r="D622" s="11">
        <v>0</v>
      </c>
      <c r="F622" s="11">
        <v>1</v>
      </c>
      <c r="G622" s="56">
        <v>1.8</v>
      </c>
      <c r="H622" s="56">
        <v>1.6</v>
      </c>
      <c r="I622" s="56">
        <v>0.5</v>
      </c>
      <c r="U622" s="65"/>
      <c r="V622" s="65"/>
      <c r="AD622" s="69"/>
      <c r="AE622" s="69"/>
      <c r="AK622" s="97">
        <v>0</v>
      </c>
      <c r="AZ622" s="69"/>
    </row>
    <row r="623" s="11" customFormat="1" spans="1:52">
      <c r="A623" s="165">
        <v>2152</v>
      </c>
      <c r="B623" s="162" t="s">
        <v>1459</v>
      </c>
      <c r="C623" s="162" t="s">
        <v>1460</v>
      </c>
      <c r="D623" s="11">
        <v>0</v>
      </c>
      <c r="F623" s="11">
        <v>1</v>
      </c>
      <c r="G623" s="56">
        <v>1.8</v>
      </c>
      <c r="H623" s="56">
        <v>1.6</v>
      </c>
      <c r="I623" s="56">
        <v>0.5</v>
      </c>
      <c r="U623" s="65"/>
      <c r="V623" s="65"/>
      <c r="AD623" s="69"/>
      <c r="AE623" s="69"/>
      <c r="AK623" s="97">
        <v>0</v>
      </c>
      <c r="AZ623" s="69"/>
    </row>
    <row r="624" s="11" customFormat="1" spans="1:52">
      <c r="A624" s="165">
        <v>2153</v>
      </c>
      <c r="B624" s="162" t="s">
        <v>1461</v>
      </c>
      <c r="C624" s="162" t="s">
        <v>1462</v>
      </c>
      <c r="D624" s="11">
        <v>0</v>
      </c>
      <c r="F624" s="11">
        <v>1</v>
      </c>
      <c r="G624" s="56">
        <v>1.8</v>
      </c>
      <c r="H624" s="56">
        <v>1.6</v>
      </c>
      <c r="I624" s="56">
        <v>0.5</v>
      </c>
      <c r="U624" s="65"/>
      <c r="V624" s="65"/>
      <c r="AD624" s="69"/>
      <c r="AE624" s="69"/>
      <c r="AK624" s="97">
        <v>0</v>
      </c>
      <c r="AZ624" s="69"/>
    </row>
    <row r="625" s="11" customFormat="1" spans="1:52">
      <c r="A625" s="165">
        <v>2154</v>
      </c>
      <c r="B625" s="162" t="s">
        <v>1463</v>
      </c>
      <c r="C625" s="162" t="s">
        <v>1464</v>
      </c>
      <c r="D625" s="11">
        <v>0</v>
      </c>
      <c r="F625" s="11">
        <v>1</v>
      </c>
      <c r="G625" s="56">
        <v>1.9</v>
      </c>
      <c r="H625" s="56">
        <v>1.6</v>
      </c>
      <c r="I625" s="56">
        <v>0.5</v>
      </c>
      <c r="U625" s="65"/>
      <c r="V625" s="65"/>
      <c r="AD625" s="69"/>
      <c r="AE625" s="69"/>
      <c r="AK625" s="97">
        <v>0</v>
      </c>
      <c r="AZ625" s="69"/>
    </row>
    <row r="626" s="11" customFormat="1" spans="1:52">
      <c r="A626" s="165">
        <v>2155</v>
      </c>
      <c r="B626" s="162" t="s">
        <v>1465</v>
      </c>
      <c r="C626" s="162" t="s">
        <v>1466</v>
      </c>
      <c r="D626" s="11">
        <v>0</v>
      </c>
      <c r="F626" s="11">
        <v>1</v>
      </c>
      <c r="G626" s="56">
        <v>1.8</v>
      </c>
      <c r="H626" s="56">
        <v>1.6</v>
      </c>
      <c r="I626" s="56">
        <v>0.5</v>
      </c>
      <c r="U626" s="65"/>
      <c r="V626" s="65"/>
      <c r="AD626" s="69"/>
      <c r="AE626" s="69"/>
      <c r="AK626" s="97">
        <v>0</v>
      </c>
      <c r="AZ626" s="69"/>
    </row>
    <row r="627" s="11" customFormat="1" spans="1:52">
      <c r="A627" s="165">
        <v>2156</v>
      </c>
      <c r="B627" s="162" t="s">
        <v>1467</v>
      </c>
      <c r="C627" s="162" t="s">
        <v>427</v>
      </c>
      <c r="D627" s="11">
        <v>0</v>
      </c>
      <c r="F627" s="11">
        <v>1</v>
      </c>
      <c r="G627" s="56">
        <v>1.9</v>
      </c>
      <c r="H627" s="56">
        <v>1.6</v>
      </c>
      <c r="I627" s="56">
        <v>0.5</v>
      </c>
      <c r="U627" s="65"/>
      <c r="V627" s="65"/>
      <c r="AD627" s="69"/>
      <c r="AE627" s="69"/>
      <c r="AK627" s="97">
        <v>0</v>
      </c>
      <c r="AZ627" s="69"/>
    </row>
    <row r="628" s="11" customFormat="1" spans="1:52">
      <c r="A628" s="165">
        <v>2157</v>
      </c>
      <c r="B628" s="162" t="s">
        <v>1468</v>
      </c>
      <c r="C628" s="162" t="s">
        <v>1469</v>
      </c>
      <c r="D628" s="11">
        <v>0</v>
      </c>
      <c r="F628" s="11">
        <v>1</v>
      </c>
      <c r="G628" s="56">
        <v>1</v>
      </c>
      <c r="H628" s="56">
        <v>1</v>
      </c>
      <c r="I628" s="56">
        <v>0.5</v>
      </c>
      <c r="U628" s="65"/>
      <c r="V628" s="65"/>
      <c r="AD628" s="69"/>
      <c r="AE628" s="69"/>
      <c r="AK628" s="97"/>
      <c r="AZ628" s="69"/>
    </row>
    <row r="629" s="11" customFormat="1" spans="1:52">
      <c r="A629" s="165">
        <v>2158</v>
      </c>
      <c r="B629" s="162" t="s">
        <v>1470</v>
      </c>
      <c r="C629" s="162" t="s">
        <v>1471</v>
      </c>
      <c r="D629" s="11">
        <v>0</v>
      </c>
      <c r="F629" s="11">
        <v>1</v>
      </c>
      <c r="G629" s="56">
        <v>1.9</v>
      </c>
      <c r="H629" s="56">
        <v>1.6</v>
      </c>
      <c r="I629" s="56">
        <v>0.5</v>
      </c>
      <c r="U629" s="65"/>
      <c r="V629" s="65"/>
      <c r="AD629" s="69"/>
      <c r="AE629" s="69"/>
      <c r="AK629" s="97">
        <v>0</v>
      </c>
      <c r="AZ629" s="69"/>
    </row>
    <row r="630" s="11" customFormat="1" spans="1:52">
      <c r="A630" s="167">
        <v>2159</v>
      </c>
      <c r="B630" s="162" t="s">
        <v>1472</v>
      </c>
      <c r="C630" s="162" t="s">
        <v>1473</v>
      </c>
      <c r="D630" s="11">
        <v>0</v>
      </c>
      <c r="F630" s="11">
        <v>1</v>
      </c>
      <c r="G630" s="56">
        <v>1.9</v>
      </c>
      <c r="H630" s="56">
        <v>1.6</v>
      </c>
      <c r="I630" s="56">
        <v>0.5</v>
      </c>
      <c r="U630" s="65"/>
      <c r="V630" s="65"/>
      <c r="AD630" s="69"/>
      <c r="AE630" s="69"/>
      <c r="AK630" s="97"/>
      <c r="AZ630" s="69"/>
    </row>
    <row r="631" s="11" customFormat="1" spans="1:52">
      <c r="A631" s="167">
        <v>2160</v>
      </c>
      <c r="B631" s="162" t="s">
        <v>1474</v>
      </c>
      <c r="C631" s="162" t="s">
        <v>1475</v>
      </c>
      <c r="D631" s="11">
        <v>0</v>
      </c>
      <c r="F631" s="11">
        <v>1</v>
      </c>
      <c r="G631" s="56">
        <v>1.9</v>
      </c>
      <c r="H631" s="56">
        <v>1.6</v>
      </c>
      <c r="I631" s="56">
        <v>0.5</v>
      </c>
      <c r="U631" s="65"/>
      <c r="V631" s="65"/>
      <c r="AD631" s="69"/>
      <c r="AE631" s="69"/>
      <c r="AK631" s="97"/>
      <c r="AZ631" s="69"/>
    </row>
    <row r="632" s="11" customFormat="1" spans="1:52">
      <c r="A632" s="167">
        <v>2161</v>
      </c>
      <c r="B632" s="162" t="s">
        <v>1476</v>
      </c>
      <c r="C632" s="162" t="s">
        <v>1477</v>
      </c>
      <c r="D632" s="11">
        <v>0</v>
      </c>
      <c r="F632" s="11">
        <v>1</v>
      </c>
      <c r="G632" s="56">
        <v>1.9</v>
      </c>
      <c r="H632" s="56">
        <v>1.6</v>
      </c>
      <c r="I632" s="56">
        <v>0.5</v>
      </c>
      <c r="U632" s="65"/>
      <c r="V632" s="65"/>
      <c r="AD632" s="69"/>
      <c r="AE632" s="69"/>
      <c r="AK632" s="97"/>
      <c r="AZ632" s="69"/>
    </row>
    <row r="633" s="11" customFormat="1" spans="1:52">
      <c r="A633" s="167">
        <v>2162</v>
      </c>
      <c r="B633" s="162" t="s">
        <v>1478</v>
      </c>
      <c r="C633" s="162" t="s">
        <v>1479</v>
      </c>
      <c r="D633" s="11">
        <v>0</v>
      </c>
      <c r="F633" s="11">
        <v>1</v>
      </c>
      <c r="G633" s="56">
        <v>1.9</v>
      </c>
      <c r="H633" s="56">
        <v>1.6</v>
      </c>
      <c r="I633" s="56">
        <v>0.5</v>
      </c>
      <c r="U633" s="65"/>
      <c r="V633" s="65"/>
      <c r="AD633" s="69"/>
      <c r="AE633" s="69"/>
      <c r="AK633" s="97"/>
      <c r="AZ633" s="69"/>
    </row>
    <row r="634" s="11" customFormat="1" spans="1:52">
      <c r="A634" s="167">
        <v>2163</v>
      </c>
      <c r="B634" s="162" t="s">
        <v>1480</v>
      </c>
      <c r="C634" s="162" t="s">
        <v>1481</v>
      </c>
      <c r="D634" s="11">
        <v>0</v>
      </c>
      <c r="F634" s="11">
        <v>1</v>
      </c>
      <c r="G634" s="56">
        <v>1.9</v>
      </c>
      <c r="H634" s="56">
        <v>1.6</v>
      </c>
      <c r="I634" s="56">
        <v>0.5</v>
      </c>
      <c r="U634" s="65"/>
      <c r="V634" s="65"/>
      <c r="AD634" s="69"/>
      <c r="AE634" s="69"/>
      <c r="AK634" s="97"/>
      <c r="AZ634" s="69"/>
    </row>
    <row r="635" s="11" customFormat="1" spans="1:52">
      <c r="A635" s="167">
        <v>2164</v>
      </c>
      <c r="B635" s="162" t="s">
        <v>1482</v>
      </c>
      <c r="C635" s="162" t="s">
        <v>1483</v>
      </c>
      <c r="D635" s="11">
        <v>0</v>
      </c>
      <c r="F635" s="11">
        <v>1</v>
      </c>
      <c r="G635" s="56">
        <v>1.9</v>
      </c>
      <c r="H635" s="56">
        <v>1.6</v>
      </c>
      <c r="I635" s="56">
        <v>0.5</v>
      </c>
      <c r="U635" s="65"/>
      <c r="V635" s="65"/>
      <c r="AD635" s="69"/>
      <c r="AE635" s="69"/>
      <c r="AK635" s="97"/>
      <c r="AZ635" s="69"/>
    </row>
    <row r="636" s="11" customFormat="1" spans="1:52">
      <c r="A636" s="167">
        <v>2165</v>
      </c>
      <c r="B636" s="162" t="s">
        <v>1484</v>
      </c>
      <c r="C636" s="162" t="s">
        <v>1485</v>
      </c>
      <c r="D636" s="11">
        <v>0</v>
      </c>
      <c r="F636" s="11">
        <v>1</v>
      </c>
      <c r="G636" s="56">
        <v>1.9</v>
      </c>
      <c r="H636" s="56">
        <v>1.6</v>
      </c>
      <c r="I636" s="56">
        <v>0.5</v>
      </c>
      <c r="U636" s="65"/>
      <c r="V636" s="65"/>
      <c r="AD636" s="69"/>
      <c r="AE636" s="69"/>
      <c r="AK636" s="97"/>
      <c r="AZ636" s="69"/>
    </row>
    <row r="637" s="11" customFormat="1" spans="1:52">
      <c r="A637" s="167">
        <v>2166</v>
      </c>
      <c r="B637" s="162" t="s">
        <v>1486</v>
      </c>
      <c r="C637" s="162" t="s">
        <v>1487</v>
      </c>
      <c r="D637" s="11">
        <v>0</v>
      </c>
      <c r="F637" s="11">
        <v>1</v>
      </c>
      <c r="G637" s="56">
        <v>1.9</v>
      </c>
      <c r="H637" s="56">
        <v>1.6</v>
      </c>
      <c r="I637" s="56">
        <v>0.5</v>
      </c>
      <c r="U637" s="65"/>
      <c r="V637" s="65"/>
      <c r="AD637" s="69"/>
      <c r="AE637" s="69"/>
      <c r="AK637" s="97"/>
      <c r="AZ637" s="69"/>
    </row>
    <row r="638" s="11" customFormat="1" spans="1:52">
      <c r="A638" s="167">
        <v>2167</v>
      </c>
      <c r="B638" s="162" t="s">
        <v>1488</v>
      </c>
      <c r="C638" s="162" t="s">
        <v>1489</v>
      </c>
      <c r="D638" s="11">
        <v>0</v>
      </c>
      <c r="F638" s="11">
        <v>1</v>
      </c>
      <c r="G638" s="56">
        <v>1.9</v>
      </c>
      <c r="H638" s="56">
        <v>1.6</v>
      </c>
      <c r="I638" s="56">
        <v>0.5</v>
      </c>
      <c r="U638" s="65"/>
      <c r="V638" s="65"/>
      <c r="AD638" s="69"/>
      <c r="AE638" s="69"/>
      <c r="AK638" s="97"/>
      <c r="AZ638" s="69"/>
    </row>
    <row r="639" s="11" customFormat="1" spans="1:52">
      <c r="A639" s="167">
        <v>2168</v>
      </c>
      <c r="B639" s="162" t="s">
        <v>1490</v>
      </c>
      <c r="C639" s="162" t="s">
        <v>1491</v>
      </c>
      <c r="D639" s="11">
        <v>0</v>
      </c>
      <c r="F639" s="11">
        <v>1</v>
      </c>
      <c r="G639" s="56">
        <v>1.8</v>
      </c>
      <c r="H639" s="56">
        <v>1.6</v>
      </c>
      <c r="I639" s="56">
        <v>0.5</v>
      </c>
      <c r="U639" s="65"/>
      <c r="V639" s="65"/>
      <c r="AD639" s="69"/>
      <c r="AE639" s="69"/>
      <c r="AK639" s="97">
        <v>0</v>
      </c>
      <c r="AZ639" s="69"/>
    </row>
    <row r="640" s="11" customFormat="1" spans="1:52">
      <c r="A640" s="167">
        <v>2169</v>
      </c>
      <c r="B640" s="162" t="s">
        <v>1492</v>
      </c>
      <c r="C640" s="162" t="s">
        <v>1493</v>
      </c>
      <c r="D640" s="11">
        <v>0</v>
      </c>
      <c r="F640" s="11">
        <v>1</v>
      </c>
      <c r="G640" s="56">
        <v>1.8</v>
      </c>
      <c r="H640" s="56">
        <v>1.6</v>
      </c>
      <c r="I640" s="56">
        <v>0.5</v>
      </c>
      <c r="U640" s="65"/>
      <c r="V640" s="65"/>
      <c r="AD640" s="69"/>
      <c r="AE640" s="69"/>
      <c r="AK640" s="97">
        <v>0</v>
      </c>
      <c r="AZ640" s="69"/>
    </row>
    <row r="641" s="11" customFormat="1" spans="1:52">
      <c r="A641" s="167">
        <v>2170</v>
      </c>
      <c r="B641" s="162" t="s">
        <v>1494</v>
      </c>
      <c r="C641" s="162" t="s">
        <v>1495</v>
      </c>
      <c r="D641" s="11">
        <v>0</v>
      </c>
      <c r="F641" s="11">
        <v>1</v>
      </c>
      <c r="G641" s="56">
        <v>1.8</v>
      </c>
      <c r="H641" s="56">
        <v>1.6</v>
      </c>
      <c r="I641" s="56">
        <v>0.5</v>
      </c>
      <c r="U641" s="65"/>
      <c r="V641" s="65"/>
      <c r="AD641" s="69"/>
      <c r="AE641" s="69"/>
      <c r="AK641" s="97">
        <v>0</v>
      </c>
      <c r="AZ641" s="69"/>
    </row>
    <row r="642" s="11" customFormat="1" spans="1:52">
      <c r="A642" s="167">
        <v>2171</v>
      </c>
      <c r="B642" s="162" t="s">
        <v>1496</v>
      </c>
      <c r="C642" s="162" t="s">
        <v>1497</v>
      </c>
      <c r="D642" s="11">
        <v>0</v>
      </c>
      <c r="F642" s="11">
        <v>1</v>
      </c>
      <c r="G642" s="56">
        <v>1.8</v>
      </c>
      <c r="H642" s="56">
        <v>1.6</v>
      </c>
      <c r="I642" s="56">
        <v>0.5</v>
      </c>
      <c r="U642" s="65"/>
      <c r="V642" s="65"/>
      <c r="AD642" s="69"/>
      <c r="AE642" s="69"/>
      <c r="AK642" s="97">
        <v>0</v>
      </c>
      <c r="AZ642" s="69"/>
    </row>
    <row r="643" s="11" customFormat="1" spans="1:52">
      <c r="A643" s="167">
        <v>2172</v>
      </c>
      <c r="B643" s="162" t="s">
        <v>1498</v>
      </c>
      <c r="C643" s="162" t="s">
        <v>1499</v>
      </c>
      <c r="D643" s="11">
        <v>0</v>
      </c>
      <c r="F643" s="11">
        <v>1</v>
      </c>
      <c r="G643" s="56">
        <v>1.8</v>
      </c>
      <c r="H643" s="56">
        <v>1.6</v>
      </c>
      <c r="I643" s="56">
        <v>0.5</v>
      </c>
      <c r="U643" s="65"/>
      <c r="V643" s="65"/>
      <c r="AD643" s="69"/>
      <c r="AE643" s="69"/>
      <c r="AK643" s="97">
        <v>0</v>
      </c>
      <c r="AZ643" s="69"/>
    </row>
    <row r="644" s="11" customFormat="1" spans="1:52">
      <c r="A644" s="167">
        <v>2173</v>
      </c>
      <c r="B644" s="11" t="s">
        <v>1500</v>
      </c>
      <c r="C644" s="162" t="s">
        <v>1501</v>
      </c>
      <c r="D644" s="11">
        <v>0</v>
      </c>
      <c r="F644" s="11">
        <v>1</v>
      </c>
      <c r="G644" s="56">
        <v>1.8</v>
      </c>
      <c r="H644" s="56">
        <v>1.6</v>
      </c>
      <c r="I644" s="56">
        <v>0.5</v>
      </c>
      <c r="U644" s="65"/>
      <c r="V644" s="65"/>
      <c r="AD644" s="69"/>
      <c r="AE644" s="69"/>
      <c r="AK644" s="97"/>
      <c r="AZ644" s="69"/>
    </row>
    <row r="645" s="11" customFormat="1" spans="1:52">
      <c r="A645" s="13">
        <v>2174</v>
      </c>
      <c r="B645" s="13" t="s">
        <v>1502</v>
      </c>
      <c r="C645" s="169" t="s">
        <v>1503</v>
      </c>
      <c r="D645" s="13">
        <v>1</v>
      </c>
      <c r="E645" s="13">
        <v>1</v>
      </c>
      <c r="F645" s="13">
        <v>1.16</v>
      </c>
      <c r="G645" s="126">
        <v>1.95</v>
      </c>
      <c r="H645" s="126">
        <v>2.35</v>
      </c>
      <c r="I645" s="126">
        <v>0.5</v>
      </c>
      <c r="J645" s="13" t="s">
        <v>1504</v>
      </c>
      <c r="K645" s="13">
        <v>0</v>
      </c>
      <c r="L645" s="13">
        <f>3/30</f>
        <v>0.1</v>
      </c>
      <c r="M645" s="13">
        <f>19/30</f>
        <v>0.633333333333333</v>
      </c>
      <c r="N645" s="13"/>
      <c r="O645" s="13"/>
      <c r="P645" s="13">
        <f>2/30</f>
        <v>0.0666666666666667</v>
      </c>
      <c r="Q645" s="13">
        <f>17/30</f>
        <v>0.566666666666667</v>
      </c>
      <c r="R645" s="13"/>
      <c r="S645" s="13"/>
      <c r="T645" s="13">
        <v>2.4</v>
      </c>
      <c r="U645" s="127"/>
      <c r="V645" s="127"/>
      <c r="W645" s="13"/>
      <c r="X645" s="13">
        <v>-1.943</v>
      </c>
      <c r="Y645" s="13">
        <v>1.09</v>
      </c>
      <c r="Z645" s="13">
        <v>-3.178</v>
      </c>
      <c r="AA645" s="13">
        <v>1</v>
      </c>
      <c r="AB645" s="13">
        <v>1</v>
      </c>
      <c r="AC645" s="13">
        <v>1931</v>
      </c>
      <c r="AD645" s="128" t="s">
        <v>153</v>
      </c>
      <c r="AE645" s="128"/>
      <c r="AF645" s="13">
        <v>801</v>
      </c>
      <c r="AG645" s="13" t="s">
        <v>116</v>
      </c>
      <c r="AH645" s="128" t="s">
        <v>200</v>
      </c>
      <c r="AI645" s="13">
        <v>4</v>
      </c>
      <c r="AJ645" s="13">
        <v>8</v>
      </c>
      <c r="AK645" s="13">
        <v>0</v>
      </c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1" t="s">
        <v>1505</v>
      </c>
      <c r="AW645" s="11" t="s">
        <v>1506</v>
      </c>
      <c r="AY645" s="13">
        <v>1931</v>
      </c>
      <c r="AZ645" s="128" t="s">
        <v>153</v>
      </c>
    </row>
    <row r="646" s="11" customFormat="1" spans="1:52">
      <c r="A646" s="167">
        <v>2175</v>
      </c>
      <c r="B646" s="162" t="s">
        <v>1507</v>
      </c>
      <c r="C646" s="162" t="s">
        <v>1508</v>
      </c>
      <c r="D646" s="11">
        <v>0</v>
      </c>
      <c r="F646" s="11">
        <v>1</v>
      </c>
      <c r="G646" s="56">
        <v>2.6</v>
      </c>
      <c r="H646" s="56">
        <v>2.6</v>
      </c>
      <c r="I646" s="56">
        <v>0.5</v>
      </c>
      <c r="U646" s="65"/>
      <c r="V646" s="65"/>
      <c r="AD646" s="69"/>
      <c r="AE646" s="69"/>
      <c r="AK646" s="97">
        <v>0</v>
      </c>
      <c r="AZ646" s="69"/>
    </row>
    <row r="647" s="11" customFormat="1" spans="1:52">
      <c r="A647" s="167">
        <v>2176</v>
      </c>
      <c r="B647" s="162" t="s">
        <v>1509</v>
      </c>
      <c r="C647" s="162" t="s">
        <v>1510</v>
      </c>
      <c r="D647" s="11">
        <v>0</v>
      </c>
      <c r="F647" s="11">
        <v>1</v>
      </c>
      <c r="G647" s="56">
        <v>1.8</v>
      </c>
      <c r="H647" s="56">
        <v>1.6</v>
      </c>
      <c r="I647" s="56">
        <v>0.5</v>
      </c>
      <c r="U647" s="65"/>
      <c r="V647" s="65"/>
      <c r="AD647" s="69"/>
      <c r="AE647" s="69"/>
      <c r="AK647" s="97">
        <v>0</v>
      </c>
      <c r="AZ647" s="69"/>
    </row>
    <row r="648" s="11" customFormat="1" spans="1:52">
      <c r="A648" s="167">
        <v>2177</v>
      </c>
      <c r="B648" s="162" t="s">
        <v>1511</v>
      </c>
      <c r="C648" s="162" t="s">
        <v>1512</v>
      </c>
      <c r="D648" s="11">
        <v>0</v>
      </c>
      <c r="F648" s="11">
        <v>1</v>
      </c>
      <c r="G648" s="56">
        <v>1.8</v>
      </c>
      <c r="H648" s="56">
        <v>1.6</v>
      </c>
      <c r="I648" s="56">
        <v>0.5</v>
      </c>
      <c r="U648" s="65"/>
      <c r="V648" s="65"/>
      <c r="AD648" s="69"/>
      <c r="AE648" s="69"/>
      <c r="AK648" s="97">
        <v>0</v>
      </c>
      <c r="AZ648" s="69"/>
    </row>
    <row r="649" s="11" customFormat="1" spans="1:52">
      <c r="A649" s="167">
        <v>2178</v>
      </c>
      <c r="B649" s="162" t="s">
        <v>1513</v>
      </c>
      <c r="C649" s="162" t="s">
        <v>1514</v>
      </c>
      <c r="D649" s="11">
        <v>0</v>
      </c>
      <c r="F649" s="11">
        <v>1</v>
      </c>
      <c r="G649" s="56">
        <v>1.8</v>
      </c>
      <c r="H649" s="56">
        <v>1.6</v>
      </c>
      <c r="I649" s="56">
        <v>0.5</v>
      </c>
      <c r="U649" s="65"/>
      <c r="V649" s="65"/>
      <c r="AD649" s="69"/>
      <c r="AE649" s="69"/>
      <c r="AK649" s="97">
        <v>0</v>
      </c>
      <c r="AZ649" s="69"/>
    </row>
    <row r="650" s="11" customFormat="1" spans="1:52">
      <c r="A650" s="167">
        <v>2179</v>
      </c>
      <c r="B650" s="162" t="s">
        <v>1515</v>
      </c>
      <c r="C650" s="162" t="s">
        <v>1516</v>
      </c>
      <c r="D650" s="11">
        <v>0</v>
      </c>
      <c r="F650" s="11">
        <v>1</v>
      </c>
      <c r="G650" s="56">
        <v>1.8</v>
      </c>
      <c r="H650" s="56">
        <v>1.6</v>
      </c>
      <c r="I650" s="56">
        <v>0.5</v>
      </c>
      <c r="U650" s="65"/>
      <c r="V650" s="65"/>
      <c r="AD650" s="69"/>
      <c r="AE650" s="69"/>
      <c r="AK650" s="97">
        <v>0</v>
      </c>
      <c r="AZ650" s="69"/>
    </row>
    <row r="651" s="11" customFormat="1" spans="1:52">
      <c r="A651" s="167">
        <v>2180</v>
      </c>
      <c r="B651" s="162" t="s">
        <v>1517</v>
      </c>
      <c r="C651" s="162" t="s">
        <v>1518</v>
      </c>
      <c r="D651" s="11">
        <v>0</v>
      </c>
      <c r="F651" s="11">
        <v>1</v>
      </c>
      <c r="G651" s="56">
        <v>1.8</v>
      </c>
      <c r="H651" s="56">
        <v>1.6</v>
      </c>
      <c r="I651" s="56">
        <v>0.5</v>
      </c>
      <c r="U651" s="65"/>
      <c r="V651" s="65"/>
      <c r="AD651" s="69"/>
      <c r="AE651" s="69"/>
      <c r="AK651" s="97">
        <v>0</v>
      </c>
      <c r="AZ651" s="69"/>
    </row>
    <row r="652" s="11" customFormat="1" spans="1:52">
      <c r="A652" s="167">
        <v>2182</v>
      </c>
      <c r="B652" s="162" t="s">
        <v>1519</v>
      </c>
      <c r="C652" s="162" t="s">
        <v>512</v>
      </c>
      <c r="D652" s="11">
        <v>0</v>
      </c>
      <c r="F652" s="11">
        <v>1</v>
      </c>
      <c r="G652" s="56">
        <v>1.8</v>
      </c>
      <c r="H652" s="56">
        <v>1.6</v>
      </c>
      <c r="I652" s="56">
        <v>0.5</v>
      </c>
      <c r="U652" s="65"/>
      <c r="V652" s="65"/>
      <c r="AD652" s="69"/>
      <c r="AE652" s="69"/>
      <c r="AK652" s="97">
        <v>0</v>
      </c>
      <c r="AV652" s="22" t="s">
        <v>118</v>
      </c>
      <c r="AW652" s="22" t="s">
        <v>118</v>
      </c>
      <c r="AZ652" s="69"/>
    </row>
    <row r="653" s="11" customFormat="1" spans="1:52">
      <c r="A653" s="167">
        <v>2183</v>
      </c>
      <c r="B653" s="162" t="s">
        <v>1520</v>
      </c>
      <c r="C653" s="162" t="s">
        <v>1521</v>
      </c>
      <c r="D653" s="11">
        <v>0</v>
      </c>
      <c r="F653" s="11">
        <v>1</v>
      </c>
      <c r="G653" s="56">
        <v>1.8</v>
      </c>
      <c r="H653" s="56">
        <v>1.6</v>
      </c>
      <c r="I653" s="56">
        <v>0.5</v>
      </c>
      <c r="U653" s="65"/>
      <c r="V653" s="65"/>
      <c r="AD653" s="69"/>
      <c r="AE653" s="69"/>
      <c r="AK653" s="97">
        <v>0</v>
      </c>
      <c r="AZ653" s="69"/>
    </row>
    <row r="654" s="11" customFormat="1" spans="1:52">
      <c r="A654" s="167">
        <v>2184</v>
      </c>
      <c r="B654" s="162" t="s">
        <v>1522</v>
      </c>
      <c r="C654" s="162" t="s">
        <v>1523</v>
      </c>
      <c r="D654" s="11">
        <v>0</v>
      </c>
      <c r="F654" s="11">
        <v>1</v>
      </c>
      <c r="G654" s="56">
        <v>1.8</v>
      </c>
      <c r="H654" s="56">
        <v>1.6</v>
      </c>
      <c r="I654" s="56">
        <v>0.5</v>
      </c>
      <c r="U654" s="65"/>
      <c r="V654" s="65"/>
      <c r="AD654" s="69"/>
      <c r="AE654" s="69"/>
      <c r="AK654" s="97">
        <v>0</v>
      </c>
      <c r="AZ654" s="69"/>
    </row>
    <row r="655" s="11" customFormat="1" spans="1:52">
      <c r="A655" s="167">
        <v>2185</v>
      </c>
      <c r="B655" s="162" t="s">
        <v>1524</v>
      </c>
      <c r="C655" s="162" t="s">
        <v>1525</v>
      </c>
      <c r="D655" s="11">
        <v>0</v>
      </c>
      <c r="F655" s="11">
        <v>1</v>
      </c>
      <c r="G655" s="56">
        <v>1.8</v>
      </c>
      <c r="H655" s="56">
        <v>1.6</v>
      </c>
      <c r="I655" s="56">
        <v>0.5</v>
      </c>
      <c r="U655" s="65"/>
      <c r="V655" s="65"/>
      <c r="AD655" s="69"/>
      <c r="AE655" s="69"/>
      <c r="AK655" s="97">
        <v>0</v>
      </c>
      <c r="AZ655" s="69"/>
    </row>
    <row r="656" s="11" customFormat="1" spans="1:52">
      <c r="A656" s="167">
        <v>2186</v>
      </c>
      <c r="B656" s="162" t="s">
        <v>1526</v>
      </c>
      <c r="C656" s="162" t="s">
        <v>1527</v>
      </c>
      <c r="D656" s="11">
        <v>0</v>
      </c>
      <c r="F656" s="11">
        <v>1</v>
      </c>
      <c r="G656" s="56">
        <v>1.8</v>
      </c>
      <c r="H656" s="56">
        <v>1.6</v>
      </c>
      <c r="I656" s="56">
        <v>0.5</v>
      </c>
      <c r="U656" s="65"/>
      <c r="V656" s="65"/>
      <c r="AD656" s="69"/>
      <c r="AE656" s="69"/>
      <c r="AK656" s="97">
        <v>0</v>
      </c>
      <c r="AZ656" s="69"/>
    </row>
    <row r="657" s="11" customFormat="1" spans="1:52">
      <c r="A657" s="167">
        <v>2187</v>
      </c>
      <c r="B657" s="162" t="s">
        <v>1528</v>
      </c>
      <c r="C657" s="162" t="s">
        <v>1529</v>
      </c>
      <c r="D657" s="11">
        <v>0</v>
      </c>
      <c r="F657" s="11">
        <v>1</v>
      </c>
      <c r="G657" s="56">
        <v>1.8</v>
      </c>
      <c r="H657" s="56">
        <v>1.6</v>
      </c>
      <c r="I657" s="56">
        <v>0.5</v>
      </c>
      <c r="U657" s="65"/>
      <c r="V657" s="65"/>
      <c r="AD657" s="69"/>
      <c r="AE657" s="69"/>
      <c r="AK657" s="97">
        <v>0</v>
      </c>
      <c r="AZ657" s="69"/>
    </row>
    <row r="658" s="11" customFormat="1" spans="1:52">
      <c r="A658" s="167">
        <v>2188</v>
      </c>
      <c r="B658" s="162" t="s">
        <v>1530</v>
      </c>
      <c r="C658" s="162" t="s">
        <v>1531</v>
      </c>
      <c r="D658" s="11">
        <v>0</v>
      </c>
      <c r="F658" s="11">
        <v>1</v>
      </c>
      <c r="G658" s="56">
        <v>1.8</v>
      </c>
      <c r="H658" s="56">
        <v>1.6</v>
      </c>
      <c r="I658" s="56">
        <v>0.5</v>
      </c>
      <c r="U658" s="65"/>
      <c r="V658" s="65"/>
      <c r="AD658" s="69"/>
      <c r="AE658" s="69"/>
      <c r="AK658" s="97">
        <v>0</v>
      </c>
      <c r="AZ658" s="69"/>
    </row>
    <row r="659" s="11" customFormat="1" spans="1:52">
      <c r="A659" s="167">
        <v>2189</v>
      </c>
      <c r="B659" s="162" t="s">
        <v>1532</v>
      </c>
      <c r="C659" s="162" t="s">
        <v>1533</v>
      </c>
      <c r="D659" s="11">
        <v>0</v>
      </c>
      <c r="F659" s="11">
        <v>1</v>
      </c>
      <c r="G659" s="56">
        <v>1.8</v>
      </c>
      <c r="H659" s="56">
        <v>1.6</v>
      </c>
      <c r="I659" s="56">
        <v>0.5</v>
      </c>
      <c r="U659" s="65"/>
      <c r="V659" s="65"/>
      <c r="AD659" s="69"/>
      <c r="AE659" s="69"/>
      <c r="AK659" s="97">
        <v>0</v>
      </c>
      <c r="AZ659" s="69"/>
    </row>
    <row r="660" s="11" customFormat="1" spans="1:52">
      <c r="A660" s="167">
        <v>2190</v>
      </c>
      <c r="B660" s="162" t="s">
        <v>1534</v>
      </c>
      <c r="C660" s="162" t="s">
        <v>1535</v>
      </c>
      <c r="D660" s="11">
        <v>0</v>
      </c>
      <c r="F660" s="11">
        <v>1</v>
      </c>
      <c r="G660" s="56">
        <v>1.8</v>
      </c>
      <c r="H660" s="56">
        <v>1.6</v>
      </c>
      <c r="I660" s="56">
        <v>0.5</v>
      </c>
      <c r="U660" s="65"/>
      <c r="V660" s="65"/>
      <c r="AD660" s="69"/>
      <c r="AE660" s="69"/>
      <c r="AK660" s="97"/>
      <c r="AZ660" s="69"/>
    </row>
    <row r="661" s="11" customFormat="1" spans="1:52">
      <c r="A661" s="167">
        <v>2191</v>
      </c>
      <c r="B661" s="162" t="s">
        <v>1536</v>
      </c>
      <c r="C661" s="162" t="s">
        <v>1537</v>
      </c>
      <c r="D661" s="11">
        <v>0</v>
      </c>
      <c r="F661" s="11">
        <v>1</v>
      </c>
      <c r="G661" s="56">
        <v>1.8</v>
      </c>
      <c r="H661" s="56">
        <v>1.6</v>
      </c>
      <c r="I661" s="56">
        <v>0.5</v>
      </c>
      <c r="U661" s="65"/>
      <c r="V661" s="65"/>
      <c r="AD661" s="69"/>
      <c r="AE661" s="69"/>
      <c r="AK661" s="97"/>
      <c r="AZ661" s="69"/>
    </row>
    <row r="662" s="11" customFormat="1" spans="1:52">
      <c r="A662" s="167">
        <v>2192</v>
      </c>
      <c r="B662" s="162" t="s">
        <v>1538</v>
      </c>
      <c r="C662" s="162" t="s">
        <v>1539</v>
      </c>
      <c r="D662" s="11">
        <v>0</v>
      </c>
      <c r="F662" s="11">
        <v>1</v>
      </c>
      <c r="G662" s="56">
        <v>1.8</v>
      </c>
      <c r="H662" s="56">
        <v>1.6</v>
      </c>
      <c r="I662" s="56">
        <v>0.5</v>
      </c>
      <c r="U662" s="65"/>
      <c r="V662" s="65"/>
      <c r="AD662" s="69"/>
      <c r="AE662" s="69"/>
      <c r="AK662" s="97"/>
      <c r="AZ662" s="69"/>
    </row>
    <row r="663" s="11" customFormat="1" spans="1:52">
      <c r="A663" s="167">
        <v>2193</v>
      </c>
      <c r="B663" s="162" t="s">
        <v>1540</v>
      </c>
      <c r="C663" s="162" t="s">
        <v>1541</v>
      </c>
      <c r="D663" s="11">
        <v>0</v>
      </c>
      <c r="F663" s="11">
        <v>1</v>
      </c>
      <c r="G663" s="56">
        <v>1.8</v>
      </c>
      <c r="H663" s="56">
        <v>1.6</v>
      </c>
      <c r="I663" s="56">
        <v>0.5</v>
      </c>
      <c r="U663" s="65"/>
      <c r="V663" s="65"/>
      <c r="AD663" s="69"/>
      <c r="AE663" s="69"/>
      <c r="AK663" s="97"/>
      <c r="AZ663" s="69"/>
    </row>
    <row r="664" s="11" customFormat="1" spans="1:52">
      <c r="A664" s="167">
        <v>2194</v>
      </c>
      <c r="B664" s="162" t="s">
        <v>1542</v>
      </c>
      <c r="C664" s="162" t="s">
        <v>1543</v>
      </c>
      <c r="D664" s="11">
        <v>0</v>
      </c>
      <c r="F664" s="11">
        <v>1</v>
      </c>
      <c r="G664" s="56">
        <v>1.8</v>
      </c>
      <c r="H664" s="56">
        <v>1.6</v>
      </c>
      <c r="I664" s="56">
        <v>0.5</v>
      </c>
      <c r="U664" s="65"/>
      <c r="V664" s="65"/>
      <c r="AD664" s="69"/>
      <c r="AE664" s="69"/>
      <c r="AK664" s="97"/>
      <c r="AZ664" s="69"/>
    </row>
    <row r="665" s="11" customFormat="1" spans="1:52">
      <c r="A665" s="167">
        <v>2195</v>
      </c>
      <c r="B665" s="162" t="s">
        <v>1544</v>
      </c>
      <c r="C665" s="162" t="s">
        <v>1545</v>
      </c>
      <c r="D665" s="11">
        <v>0</v>
      </c>
      <c r="F665" s="11">
        <v>1</v>
      </c>
      <c r="G665" s="56">
        <v>1.8</v>
      </c>
      <c r="H665" s="56">
        <v>1.6</v>
      </c>
      <c r="I665" s="56">
        <v>0.5</v>
      </c>
      <c r="U665" s="65"/>
      <c r="V665" s="65"/>
      <c r="AD665" s="69"/>
      <c r="AE665" s="69"/>
      <c r="AK665" s="97"/>
      <c r="AZ665" s="69"/>
    </row>
    <row r="666" s="11" customFormat="1" spans="1:52">
      <c r="A666" s="167">
        <v>2196</v>
      </c>
      <c r="B666" s="162" t="s">
        <v>1546</v>
      </c>
      <c r="C666" s="162" t="s">
        <v>1547</v>
      </c>
      <c r="D666" s="11">
        <v>0</v>
      </c>
      <c r="F666" s="11">
        <v>1</v>
      </c>
      <c r="G666" s="56">
        <v>1.8</v>
      </c>
      <c r="H666" s="56">
        <v>1.6</v>
      </c>
      <c r="I666" s="56">
        <v>0.5</v>
      </c>
      <c r="U666" s="65"/>
      <c r="V666" s="65"/>
      <c r="AD666" s="69"/>
      <c r="AE666" s="69"/>
      <c r="AK666" s="97">
        <v>0</v>
      </c>
      <c r="AZ666" s="69"/>
    </row>
    <row r="667" s="11" customFormat="1" spans="1:52">
      <c r="A667" s="167">
        <v>2197</v>
      </c>
      <c r="B667" s="162" t="s">
        <v>1548</v>
      </c>
      <c r="C667" s="162" t="s">
        <v>1549</v>
      </c>
      <c r="D667" s="11">
        <v>0</v>
      </c>
      <c r="F667" s="11">
        <v>1</v>
      </c>
      <c r="G667" s="56">
        <v>1.8</v>
      </c>
      <c r="H667" s="56">
        <v>1.6</v>
      </c>
      <c r="I667" s="56">
        <v>0.5</v>
      </c>
      <c r="U667" s="65"/>
      <c r="V667" s="65"/>
      <c r="AD667" s="69"/>
      <c r="AE667" s="69"/>
      <c r="AK667" s="97">
        <v>0</v>
      </c>
      <c r="AZ667" s="69"/>
    </row>
    <row r="668" s="11" customFormat="1" spans="1:52">
      <c r="A668" s="167">
        <v>2198</v>
      </c>
      <c r="B668" s="162" t="s">
        <v>1550</v>
      </c>
      <c r="C668" s="162" t="s">
        <v>269</v>
      </c>
      <c r="D668" s="11">
        <v>0</v>
      </c>
      <c r="F668" s="11">
        <v>1</v>
      </c>
      <c r="G668" s="56">
        <v>1.8</v>
      </c>
      <c r="H668" s="56">
        <v>1.6</v>
      </c>
      <c r="I668" s="56">
        <v>0.5</v>
      </c>
      <c r="U668" s="65"/>
      <c r="V668" s="65"/>
      <c r="AD668" s="69"/>
      <c r="AE668" s="69"/>
      <c r="AK668" s="97">
        <v>0</v>
      </c>
      <c r="AZ668" s="69"/>
    </row>
    <row r="669" s="11" customFormat="1" spans="1:52">
      <c r="A669" s="167">
        <v>2199</v>
      </c>
      <c r="B669" s="162" t="s">
        <v>1551</v>
      </c>
      <c r="C669" s="162" t="s">
        <v>1552</v>
      </c>
      <c r="D669" s="11">
        <v>0</v>
      </c>
      <c r="F669" s="11">
        <v>1</v>
      </c>
      <c r="G669" s="56">
        <v>1.8</v>
      </c>
      <c r="H669" s="56">
        <v>1.6</v>
      </c>
      <c r="I669" s="56">
        <v>0.5</v>
      </c>
      <c r="U669" s="65"/>
      <c r="V669" s="65"/>
      <c r="AD669" s="69"/>
      <c r="AE669" s="69"/>
      <c r="AK669" s="97"/>
      <c r="AZ669" s="69"/>
    </row>
    <row r="670" s="11" customFormat="1" spans="1:52">
      <c r="A670" s="167">
        <v>2200</v>
      </c>
      <c r="B670" s="162" t="s">
        <v>1553</v>
      </c>
      <c r="C670" s="162" t="s">
        <v>1554</v>
      </c>
      <c r="D670" s="11">
        <v>0</v>
      </c>
      <c r="F670" s="11">
        <v>1</v>
      </c>
      <c r="G670" s="56">
        <v>1.8</v>
      </c>
      <c r="H670" s="56">
        <v>1.6</v>
      </c>
      <c r="I670" s="56">
        <v>0.5</v>
      </c>
      <c r="U670" s="65"/>
      <c r="V670" s="65"/>
      <c r="AD670" s="69"/>
      <c r="AE670" s="69"/>
      <c r="AK670" s="97"/>
      <c r="AZ670" s="69"/>
    </row>
    <row r="671" s="11" customFormat="1" spans="1:52">
      <c r="A671" s="167">
        <v>2201</v>
      </c>
      <c r="B671" s="162" t="s">
        <v>1555</v>
      </c>
      <c r="C671" s="162" t="s">
        <v>1556</v>
      </c>
      <c r="D671" s="11">
        <v>0</v>
      </c>
      <c r="F671" s="11">
        <v>1</v>
      </c>
      <c r="G671" s="56">
        <v>1.8</v>
      </c>
      <c r="H671" s="56">
        <v>1.6</v>
      </c>
      <c r="I671" s="56">
        <v>0.5</v>
      </c>
      <c r="U671" s="65"/>
      <c r="V671" s="65"/>
      <c r="AD671" s="69"/>
      <c r="AE671" s="69"/>
      <c r="AK671" s="97"/>
      <c r="AZ671" s="69"/>
    </row>
    <row r="672" s="11" customFormat="1" spans="1:52">
      <c r="A672" s="167">
        <v>2202</v>
      </c>
      <c r="B672" s="162" t="s">
        <v>1557</v>
      </c>
      <c r="C672" s="162" t="s">
        <v>1558</v>
      </c>
      <c r="D672" s="11">
        <v>0</v>
      </c>
      <c r="F672" s="11">
        <v>1</v>
      </c>
      <c r="G672" s="56">
        <v>1.8</v>
      </c>
      <c r="H672" s="56">
        <v>1.6</v>
      </c>
      <c r="I672" s="56">
        <v>0.5</v>
      </c>
      <c r="U672" s="65"/>
      <c r="V672" s="65"/>
      <c r="AD672" s="69"/>
      <c r="AE672" s="69"/>
      <c r="AK672" s="97"/>
      <c r="AZ672" s="69"/>
    </row>
    <row r="673" s="11" customFormat="1" spans="1:52">
      <c r="A673" s="167">
        <v>2203</v>
      </c>
      <c r="B673" s="162" t="s">
        <v>1559</v>
      </c>
      <c r="C673" s="162" t="s">
        <v>1560</v>
      </c>
      <c r="D673" s="11">
        <v>0</v>
      </c>
      <c r="F673" s="11">
        <v>1</v>
      </c>
      <c r="G673" s="56">
        <v>1.8</v>
      </c>
      <c r="H673" s="56">
        <v>1.6</v>
      </c>
      <c r="I673" s="56">
        <v>0.5</v>
      </c>
      <c r="U673" s="65"/>
      <c r="V673" s="65"/>
      <c r="AD673" s="69"/>
      <c r="AE673" s="69"/>
      <c r="AK673" s="97"/>
      <c r="AZ673" s="69"/>
    </row>
    <row r="674" s="11" customFormat="1" spans="1:52">
      <c r="A674" s="167">
        <v>2204</v>
      </c>
      <c r="B674" s="162" t="s">
        <v>1561</v>
      </c>
      <c r="C674" s="162" t="s">
        <v>1562</v>
      </c>
      <c r="D674" s="11">
        <v>0</v>
      </c>
      <c r="F674" s="11">
        <v>1</v>
      </c>
      <c r="G674" s="56">
        <v>1.8</v>
      </c>
      <c r="H674" s="56">
        <v>1.6</v>
      </c>
      <c r="I674" s="56">
        <v>0.5</v>
      </c>
      <c r="U674" s="65"/>
      <c r="V674" s="65"/>
      <c r="AD674" s="69"/>
      <c r="AE674" s="69"/>
      <c r="AK674" s="97"/>
      <c r="AZ674" s="69"/>
    </row>
    <row r="675" s="11" customFormat="1" spans="1:52">
      <c r="A675" s="167">
        <v>2205</v>
      </c>
      <c r="B675" s="162" t="s">
        <v>1563</v>
      </c>
      <c r="C675" s="162" t="s">
        <v>1564</v>
      </c>
      <c r="D675" s="11">
        <v>0</v>
      </c>
      <c r="F675" s="11">
        <v>1</v>
      </c>
      <c r="G675" s="56">
        <v>1.8</v>
      </c>
      <c r="H675" s="56">
        <v>1.6</v>
      </c>
      <c r="I675" s="56">
        <v>0.5</v>
      </c>
      <c r="U675" s="65"/>
      <c r="V675" s="65"/>
      <c r="AD675" s="69"/>
      <c r="AE675" s="69"/>
      <c r="AK675" s="97"/>
      <c r="AZ675" s="69"/>
    </row>
    <row r="676" s="11" customFormat="1" spans="1:52">
      <c r="A676" s="167">
        <v>2206</v>
      </c>
      <c r="B676" s="162" t="s">
        <v>1565</v>
      </c>
      <c r="C676" s="162" t="s">
        <v>1566</v>
      </c>
      <c r="D676" s="11">
        <v>0</v>
      </c>
      <c r="F676" s="11">
        <v>1</v>
      </c>
      <c r="G676" s="56">
        <v>1.8</v>
      </c>
      <c r="H676" s="56">
        <v>1.6</v>
      </c>
      <c r="I676" s="56">
        <v>0.5</v>
      </c>
      <c r="U676" s="65"/>
      <c r="V676" s="65"/>
      <c r="AD676" s="69"/>
      <c r="AE676" s="69"/>
      <c r="AK676" s="97"/>
      <c r="AZ676" s="69"/>
    </row>
    <row r="677" s="11" customFormat="1" spans="1:52">
      <c r="A677" s="167">
        <v>2207</v>
      </c>
      <c r="B677" s="162" t="s">
        <v>1567</v>
      </c>
      <c r="C677" s="162" t="s">
        <v>1568</v>
      </c>
      <c r="D677" s="11">
        <v>0</v>
      </c>
      <c r="F677" s="11">
        <v>1</v>
      </c>
      <c r="G677" s="56">
        <v>1.8</v>
      </c>
      <c r="H677" s="56">
        <v>1.6</v>
      </c>
      <c r="I677" s="56">
        <v>0.5</v>
      </c>
      <c r="U677" s="65"/>
      <c r="V677" s="65"/>
      <c r="AD677" s="69"/>
      <c r="AE677" s="69"/>
      <c r="AK677" s="97"/>
      <c r="AZ677" s="69"/>
    </row>
    <row r="678" s="11" customFormat="1" spans="1:52">
      <c r="A678" s="167">
        <v>2208</v>
      </c>
      <c r="B678" s="162" t="s">
        <v>1569</v>
      </c>
      <c r="C678" s="162" t="s">
        <v>1570</v>
      </c>
      <c r="D678" s="11">
        <v>0</v>
      </c>
      <c r="F678" s="11">
        <v>1</v>
      </c>
      <c r="G678" s="56">
        <v>0.2</v>
      </c>
      <c r="H678" s="56">
        <v>0.2</v>
      </c>
      <c r="I678" s="56">
        <v>0.2</v>
      </c>
      <c r="U678" s="65"/>
      <c r="V678" s="65"/>
      <c r="AD678" s="69"/>
      <c r="AE678" s="69"/>
      <c r="AK678" s="97"/>
      <c r="AZ678" s="69"/>
    </row>
    <row r="679" s="11" customFormat="1" spans="1:52">
      <c r="A679" s="167">
        <v>2209</v>
      </c>
      <c r="B679" s="162" t="s">
        <v>1571</v>
      </c>
      <c r="C679" s="162" t="s">
        <v>1572</v>
      </c>
      <c r="D679" s="11">
        <v>0</v>
      </c>
      <c r="F679" s="11">
        <v>1</v>
      </c>
      <c r="G679" s="56">
        <v>2</v>
      </c>
      <c r="H679" s="56">
        <v>1.6</v>
      </c>
      <c r="I679" s="56">
        <v>0.5</v>
      </c>
      <c r="U679" s="65"/>
      <c r="V679" s="65"/>
      <c r="AD679" s="69"/>
      <c r="AE679" s="69"/>
      <c r="AK679" s="97"/>
      <c r="AZ679" s="69"/>
    </row>
    <row r="680" s="11" customFormat="1" spans="1:52">
      <c r="A680" s="165">
        <v>2210</v>
      </c>
      <c r="B680" s="162" t="s">
        <v>1573</v>
      </c>
      <c r="C680" s="162" t="s">
        <v>1574</v>
      </c>
      <c r="D680" s="11">
        <v>0</v>
      </c>
      <c r="F680" s="11">
        <v>1</v>
      </c>
      <c r="G680" s="56">
        <v>2</v>
      </c>
      <c r="H680" s="56">
        <v>1.6</v>
      </c>
      <c r="I680" s="56">
        <v>0.5</v>
      </c>
      <c r="U680" s="65"/>
      <c r="V680" s="65"/>
      <c r="AD680" s="69"/>
      <c r="AE680" s="69"/>
      <c r="AK680" s="97">
        <v>0</v>
      </c>
      <c r="AZ680" s="69"/>
    </row>
    <row r="681" s="11" customFormat="1" spans="1:52">
      <c r="A681" s="165">
        <v>2211</v>
      </c>
      <c r="B681" s="162" t="s">
        <v>1575</v>
      </c>
      <c r="C681" s="162" t="s">
        <v>1576</v>
      </c>
      <c r="D681" s="11">
        <v>0</v>
      </c>
      <c r="F681" s="11">
        <v>1</v>
      </c>
      <c r="G681" s="56">
        <v>2</v>
      </c>
      <c r="H681" s="56">
        <v>1.6</v>
      </c>
      <c r="I681" s="56">
        <v>0.5</v>
      </c>
      <c r="U681" s="65"/>
      <c r="V681" s="65"/>
      <c r="AD681" s="69"/>
      <c r="AE681" s="69"/>
      <c r="AK681" s="97">
        <v>0</v>
      </c>
      <c r="AZ681" s="69"/>
    </row>
    <row r="682" s="11" customFormat="1" spans="1:52">
      <c r="A682" s="165">
        <v>2212</v>
      </c>
      <c r="B682" s="162" t="s">
        <v>1577</v>
      </c>
      <c r="C682" s="162" t="s">
        <v>1578</v>
      </c>
      <c r="D682" s="11">
        <v>0</v>
      </c>
      <c r="F682" s="11">
        <v>1</v>
      </c>
      <c r="G682" s="56">
        <v>2</v>
      </c>
      <c r="H682" s="56">
        <v>1.6</v>
      </c>
      <c r="I682" s="56">
        <v>0.5</v>
      </c>
      <c r="U682" s="65"/>
      <c r="V682" s="65"/>
      <c r="AD682" s="69"/>
      <c r="AE682" s="69"/>
      <c r="AK682" s="97">
        <v>0</v>
      </c>
      <c r="AZ682" s="69"/>
    </row>
    <row r="683" s="11" customFormat="1" spans="1:52">
      <c r="A683" s="165">
        <v>2213</v>
      </c>
      <c r="B683" s="162" t="s">
        <v>1579</v>
      </c>
      <c r="C683" s="162" t="s">
        <v>1580</v>
      </c>
      <c r="D683" s="11">
        <v>0</v>
      </c>
      <c r="F683" s="11">
        <v>1</v>
      </c>
      <c r="G683" s="56">
        <v>2</v>
      </c>
      <c r="H683" s="56">
        <v>1.6</v>
      </c>
      <c r="I683" s="56">
        <v>0.5</v>
      </c>
      <c r="U683" s="65"/>
      <c r="V683" s="65"/>
      <c r="AD683" s="69"/>
      <c r="AE683" s="69"/>
      <c r="AK683" s="97">
        <v>0</v>
      </c>
      <c r="AZ683" s="69"/>
    </row>
    <row r="684" s="11" customFormat="1" spans="1:52">
      <c r="A684" s="165">
        <v>2214</v>
      </c>
      <c r="B684" s="162" t="s">
        <v>1581</v>
      </c>
      <c r="C684" s="162" t="s">
        <v>1582</v>
      </c>
      <c r="D684" s="11">
        <v>0</v>
      </c>
      <c r="F684" s="11">
        <v>1</v>
      </c>
      <c r="G684" s="56">
        <v>2</v>
      </c>
      <c r="H684" s="56">
        <v>1.6</v>
      </c>
      <c r="I684" s="56">
        <v>0.5</v>
      </c>
      <c r="U684" s="65"/>
      <c r="V684" s="65"/>
      <c r="AD684" s="69"/>
      <c r="AE684" s="69"/>
      <c r="AK684" s="97">
        <v>0</v>
      </c>
      <c r="AZ684" s="69"/>
    </row>
    <row r="685" s="11" customFormat="1" spans="1:52">
      <c r="A685" s="165">
        <v>2215</v>
      </c>
      <c r="B685" s="162" t="s">
        <v>1583</v>
      </c>
      <c r="C685" s="162" t="s">
        <v>1584</v>
      </c>
      <c r="D685" s="11">
        <v>0</v>
      </c>
      <c r="F685" s="11">
        <v>1</v>
      </c>
      <c r="G685" s="56">
        <v>2</v>
      </c>
      <c r="H685" s="56">
        <v>1.6</v>
      </c>
      <c r="I685" s="56">
        <v>0.5</v>
      </c>
      <c r="U685" s="65"/>
      <c r="V685" s="65"/>
      <c r="AD685" s="69"/>
      <c r="AE685" s="69"/>
      <c r="AK685" s="97">
        <v>0</v>
      </c>
      <c r="AZ685" s="69"/>
    </row>
    <row r="686" s="11" customFormat="1" spans="1:52">
      <c r="A686" s="165">
        <v>2216</v>
      </c>
      <c r="B686" s="162" t="s">
        <v>1585</v>
      </c>
      <c r="C686" s="162" t="s">
        <v>1586</v>
      </c>
      <c r="D686" s="11">
        <v>0</v>
      </c>
      <c r="F686" s="11">
        <v>1</v>
      </c>
      <c r="G686" s="56">
        <v>2</v>
      </c>
      <c r="H686" s="56">
        <v>1.6</v>
      </c>
      <c r="I686" s="56">
        <v>0.5</v>
      </c>
      <c r="U686" s="65"/>
      <c r="V686" s="65"/>
      <c r="AD686" s="69"/>
      <c r="AE686" s="69"/>
      <c r="AK686" s="97">
        <v>0</v>
      </c>
      <c r="AZ686" s="69"/>
    </row>
    <row r="687" s="11" customFormat="1" spans="1:52">
      <c r="A687" s="165">
        <v>2217</v>
      </c>
      <c r="B687" s="162" t="s">
        <v>1587</v>
      </c>
      <c r="C687" s="162" t="s">
        <v>1588</v>
      </c>
      <c r="D687" s="11">
        <v>0</v>
      </c>
      <c r="F687" s="11">
        <v>1</v>
      </c>
      <c r="G687" s="56">
        <v>2</v>
      </c>
      <c r="H687" s="56">
        <v>1.6</v>
      </c>
      <c r="I687" s="56">
        <v>0.5</v>
      </c>
      <c r="U687" s="65"/>
      <c r="V687" s="65"/>
      <c r="AD687" s="69"/>
      <c r="AE687" s="69"/>
      <c r="AK687" s="97">
        <v>0</v>
      </c>
      <c r="AZ687" s="69"/>
    </row>
    <row r="688" s="11" customFormat="1" spans="1:52">
      <c r="A688" s="165">
        <v>2218</v>
      </c>
      <c r="B688" s="162" t="s">
        <v>1589</v>
      </c>
      <c r="C688" s="162" t="s">
        <v>1590</v>
      </c>
      <c r="D688" s="11">
        <v>0</v>
      </c>
      <c r="F688" s="11">
        <v>1</v>
      </c>
      <c r="G688" s="56">
        <v>2</v>
      </c>
      <c r="H688" s="56">
        <v>1.6</v>
      </c>
      <c r="I688" s="56">
        <v>0.5</v>
      </c>
      <c r="U688" s="65"/>
      <c r="V688" s="65"/>
      <c r="AD688" s="69"/>
      <c r="AE688" s="69"/>
      <c r="AK688" s="97">
        <v>0</v>
      </c>
      <c r="AZ688" s="69"/>
    </row>
    <row r="689" s="11" customFormat="1" spans="1:52">
      <c r="A689" s="165">
        <v>2219</v>
      </c>
      <c r="B689" s="162" t="s">
        <v>1591</v>
      </c>
      <c r="C689" s="162" t="s">
        <v>1592</v>
      </c>
      <c r="D689" s="11">
        <v>0</v>
      </c>
      <c r="F689" s="11">
        <v>1</v>
      </c>
      <c r="G689" s="56">
        <v>2</v>
      </c>
      <c r="H689" s="56">
        <v>1.6</v>
      </c>
      <c r="I689" s="56">
        <v>0.5</v>
      </c>
      <c r="U689" s="65"/>
      <c r="V689" s="65"/>
      <c r="AD689" s="69"/>
      <c r="AE689" s="69"/>
      <c r="AK689" s="97">
        <v>0</v>
      </c>
      <c r="AZ689" s="69"/>
    </row>
    <row r="690" s="11" customFormat="1" spans="1:52">
      <c r="A690" s="165">
        <v>2220</v>
      </c>
      <c r="B690" s="162" t="s">
        <v>1593</v>
      </c>
      <c r="C690" s="162" t="s">
        <v>1594</v>
      </c>
      <c r="D690" s="11">
        <v>0</v>
      </c>
      <c r="F690" s="11">
        <v>1</v>
      </c>
      <c r="G690" s="56">
        <v>2</v>
      </c>
      <c r="H690" s="56">
        <v>1.6</v>
      </c>
      <c r="I690" s="56">
        <v>0.5</v>
      </c>
      <c r="U690" s="65"/>
      <c r="V690" s="65"/>
      <c r="AD690" s="69"/>
      <c r="AE690" s="69"/>
      <c r="AK690" s="97">
        <v>0</v>
      </c>
      <c r="AZ690" s="69"/>
    </row>
    <row r="691" s="11" customFormat="1" spans="1:52">
      <c r="A691" s="165">
        <v>2221</v>
      </c>
      <c r="B691" s="162" t="s">
        <v>1595</v>
      </c>
      <c r="C691" s="162" t="s">
        <v>1596</v>
      </c>
      <c r="D691" s="11">
        <v>0</v>
      </c>
      <c r="F691" s="11">
        <v>1</v>
      </c>
      <c r="G691" s="56">
        <v>3.8</v>
      </c>
      <c r="H691" s="56">
        <v>1.6</v>
      </c>
      <c r="I691" s="56">
        <v>0.5</v>
      </c>
      <c r="U691" s="65"/>
      <c r="V691" s="65"/>
      <c r="AD691" s="69"/>
      <c r="AE691" s="69"/>
      <c r="AK691" s="97">
        <v>0</v>
      </c>
      <c r="AZ691" s="69"/>
    </row>
    <row r="692" s="11" customFormat="1" spans="1:52">
      <c r="A692" s="165">
        <v>2222</v>
      </c>
      <c r="B692" s="162" t="s">
        <v>1597</v>
      </c>
      <c r="C692" s="162" t="s">
        <v>1598</v>
      </c>
      <c r="D692" s="11">
        <v>0</v>
      </c>
      <c r="F692" s="11">
        <v>1</v>
      </c>
      <c r="G692" s="56">
        <v>2</v>
      </c>
      <c r="H692" s="56">
        <v>1.6</v>
      </c>
      <c r="I692" s="56">
        <v>0.5</v>
      </c>
      <c r="U692" s="65"/>
      <c r="V692" s="65"/>
      <c r="AD692" s="69"/>
      <c r="AE692" s="69"/>
      <c r="AK692" s="97">
        <v>0</v>
      </c>
      <c r="AZ692" s="69"/>
    </row>
    <row r="693" s="11" customFormat="1" spans="1:52">
      <c r="A693" s="165">
        <v>2223</v>
      </c>
      <c r="B693" s="162" t="s">
        <v>1599</v>
      </c>
      <c r="C693" s="162" t="s">
        <v>1600</v>
      </c>
      <c r="D693" s="11">
        <v>0</v>
      </c>
      <c r="F693" s="11">
        <v>1</v>
      </c>
      <c r="G693" s="56">
        <v>2</v>
      </c>
      <c r="H693" s="56">
        <v>1.6</v>
      </c>
      <c r="I693" s="56">
        <v>0.5</v>
      </c>
      <c r="U693" s="65"/>
      <c r="V693" s="65"/>
      <c r="AD693" s="69"/>
      <c r="AE693" s="69"/>
      <c r="AK693" s="97">
        <v>0</v>
      </c>
      <c r="AZ693" s="69"/>
    </row>
    <row r="694" s="11" customFormat="1" spans="1:52">
      <c r="A694" s="165">
        <v>2224</v>
      </c>
      <c r="B694" s="162" t="s">
        <v>1601</v>
      </c>
      <c r="C694" s="162" t="s">
        <v>1602</v>
      </c>
      <c r="D694" s="11">
        <v>0</v>
      </c>
      <c r="F694" s="11">
        <v>1</v>
      </c>
      <c r="G694" s="56">
        <v>2.3</v>
      </c>
      <c r="H694" s="56">
        <v>1.6</v>
      </c>
      <c r="I694" s="56">
        <v>0.5</v>
      </c>
      <c r="U694" s="65"/>
      <c r="V694" s="65"/>
      <c r="AD694" s="69"/>
      <c r="AE694" s="69"/>
      <c r="AK694" s="97">
        <v>0</v>
      </c>
      <c r="AZ694" s="69"/>
    </row>
    <row r="695" s="11" customFormat="1" ht="16.5" spans="1:52">
      <c r="A695" s="13">
        <v>2225</v>
      </c>
      <c r="B695" s="169" t="s">
        <v>1603</v>
      </c>
      <c r="C695" s="170" t="s">
        <v>1604</v>
      </c>
      <c r="D695" s="56">
        <v>1</v>
      </c>
      <c r="F695" s="11">
        <v>1</v>
      </c>
      <c r="G695" s="56">
        <v>2</v>
      </c>
      <c r="H695" s="11">
        <v>2.35</v>
      </c>
      <c r="I695" s="56">
        <v>0.5</v>
      </c>
      <c r="J695" s="56"/>
      <c r="K695" s="56"/>
      <c r="L695" s="56">
        <f>2/30</f>
        <v>0.0666666666666667</v>
      </c>
      <c r="M695" s="56">
        <f>15/30</f>
        <v>0.5</v>
      </c>
      <c r="P695" s="56">
        <f>3/30</f>
        <v>0.1</v>
      </c>
      <c r="Q695" s="56">
        <f>16/30</f>
        <v>0.533333333333333</v>
      </c>
      <c r="T695" s="11">
        <v>2.4</v>
      </c>
      <c r="U695" s="65"/>
      <c r="V695" s="65"/>
      <c r="AD695" s="69"/>
      <c r="AE695" s="69"/>
      <c r="AK695" s="97">
        <v>0</v>
      </c>
      <c r="AZ695" s="69"/>
    </row>
    <row r="696" s="11" customFormat="1" ht="16.5" spans="1:52">
      <c r="A696" s="13">
        <v>2226</v>
      </c>
      <c r="B696" s="169" t="s">
        <v>1605</v>
      </c>
      <c r="C696" s="170" t="s">
        <v>1606</v>
      </c>
      <c r="D696" s="56">
        <v>1</v>
      </c>
      <c r="F696" s="11">
        <v>1</v>
      </c>
      <c r="G696" s="56">
        <v>2</v>
      </c>
      <c r="H696" s="11">
        <v>2.35</v>
      </c>
      <c r="I696" s="56">
        <v>0.5</v>
      </c>
      <c r="J696" s="56"/>
      <c r="K696" s="56"/>
      <c r="L696" s="56">
        <f>2/30</f>
        <v>0.0666666666666667</v>
      </c>
      <c r="M696" s="56">
        <f>15/30</f>
        <v>0.5</v>
      </c>
      <c r="P696" s="56">
        <f>3/30</f>
        <v>0.1</v>
      </c>
      <c r="Q696" s="56">
        <f>16/30</f>
        <v>0.533333333333333</v>
      </c>
      <c r="T696" s="11">
        <v>2.4</v>
      </c>
      <c r="U696" s="65"/>
      <c r="V696" s="65"/>
      <c r="AD696" s="69"/>
      <c r="AE696" s="69"/>
      <c r="AK696" s="97">
        <v>0</v>
      </c>
      <c r="AZ696" s="69"/>
    </row>
    <row r="697" s="11" customFormat="1" ht="16.5" spans="1:52">
      <c r="A697" s="165">
        <v>2227</v>
      </c>
      <c r="B697" s="162" t="s">
        <v>1607</v>
      </c>
      <c r="C697" s="171" t="s">
        <v>1608</v>
      </c>
      <c r="D697" s="11">
        <v>0</v>
      </c>
      <c r="F697" s="11">
        <v>1</v>
      </c>
      <c r="G697" s="56">
        <v>2</v>
      </c>
      <c r="H697" s="56">
        <v>1.6</v>
      </c>
      <c r="I697" s="56">
        <v>0.5</v>
      </c>
      <c r="J697" s="56"/>
      <c r="K697" s="56"/>
      <c r="L697" s="56"/>
      <c r="M697" s="56"/>
      <c r="P697" s="56"/>
      <c r="Q697" s="56"/>
      <c r="U697" s="65"/>
      <c r="V697" s="65"/>
      <c r="AD697" s="69"/>
      <c r="AE697" s="69"/>
      <c r="AK697" s="97">
        <v>0</v>
      </c>
      <c r="AZ697" s="69"/>
    </row>
    <row r="698" s="11" customFormat="1" ht="16.5" spans="1:52">
      <c r="A698" s="165">
        <v>2228</v>
      </c>
      <c r="B698" s="162" t="s">
        <v>1609</v>
      </c>
      <c r="C698" s="171" t="s">
        <v>1610</v>
      </c>
      <c r="D698" s="11">
        <v>0</v>
      </c>
      <c r="F698" s="11">
        <v>1</v>
      </c>
      <c r="G698" s="56">
        <v>2</v>
      </c>
      <c r="H698" s="56">
        <v>1.6</v>
      </c>
      <c r="I698" s="56">
        <v>0.5</v>
      </c>
      <c r="J698" s="56"/>
      <c r="K698" s="56"/>
      <c r="L698" s="56"/>
      <c r="M698" s="56"/>
      <c r="P698" s="56"/>
      <c r="Q698" s="56"/>
      <c r="U698" s="65"/>
      <c r="V698" s="65"/>
      <c r="AD698" s="69"/>
      <c r="AE698" s="69"/>
      <c r="AK698" s="97">
        <v>0</v>
      </c>
      <c r="AZ698" s="69"/>
    </row>
    <row r="699" s="11" customFormat="1" ht="16.5" spans="1:52">
      <c r="A699" s="165">
        <v>2229</v>
      </c>
      <c r="B699" s="162" t="s">
        <v>1611</v>
      </c>
      <c r="C699" s="171" t="s">
        <v>1612</v>
      </c>
      <c r="D699" s="11">
        <v>0</v>
      </c>
      <c r="F699" s="11">
        <v>1</v>
      </c>
      <c r="G699" s="56">
        <v>1.8</v>
      </c>
      <c r="H699" s="56">
        <v>1.6</v>
      </c>
      <c r="I699" s="56">
        <v>0.5</v>
      </c>
      <c r="J699" s="56"/>
      <c r="K699" s="56"/>
      <c r="L699" s="56"/>
      <c r="M699" s="56"/>
      <c r="P699" s="56"/>
      <c r="Q699" s="56"/>
      <c r="U699" s="65"/>
      <c r="V699" s="65"/>
      <c r="AD699" s="69"/>
      <c r="AE699" s="69"/>
      <c r="AK699" s="97">
        <v>0</v>
      </c>
      <c r="AZ699" s="69"/>
    </row>
    <row r="700" s="11" customFormat="1" ht="16.5" spans="1:52">
      <c r="A700" s="165">
        <v>2230</v>
      </c>
      <c r="B700" s="11" t="s">
        <v>1613</v>
      </c>
      <c r="C700" s="171" t="s">
        <v>1614</v>
      </c>
      <c r="D700" s="11">
        <v>1</v>
      </c>
      <c r="F700" s="11">
        <v>1</v>
      </c>
      <c r="G700" s="56">
        <v>1.5</v>
      </c>
      <c r="H700" s="56">
        <v>1.93</v>
      </c>
      <c r="I700" s="56">
        <v>0.5</v>
      </c>
      <c r="J700" s="56"/>
      <c r="K700" s="56"/>
      <c r="L700" s="56"/>
      <c r="M700" s="56"/>
      <c r="P700" s="56"/>
      <c r="Q700" s="56"/>
      <c r="U700" s="65"/>
      <c r="V700" s="65"/>
      <c r="AD700" s="69"/>
      <c r="AE700" s="69"/>
      <c r="AK700" s="97">
        <v>0</v>
      </c>
      <c r="AZ700" s="69"/>
    </row>
    <row r="701" s="11" customFormat="1" ht="16.5" spans="1:52">
      <c r="A701" s="165">
        <v>2231</v>
      </c>
      <c r="B701" s="11" t="s">
        <v>1615</v>
      </c>
      <c r="C701" s="171" t="s">
        <v>1616</v>
      </c>
      <c r="D701" s="11">
        <v>0</v>
      </c>
      <c r="F701" s="11">
        <v>1</v>
      </c>
      <c r="G701" s="56">
        <v>1.8</v>
      </c>
      <c r="H701" s="56">
        <v>1.6</v>
      </c>
      <c r="I701" s="56">
        <v>0.5</v>
      </c>
      <c r="J701" s="56"/>
      <c r="K701" s="56"/>
      <c r="L701" s="56"/>
      <c r="M701" s="56"/>
      <c r="P701" s="56"/>
      <c r="Q701" s="56"/>
      <c r="U701" s="65"/>
      <c r="V701" s="65"/>
      <c r="AD701" s="69"/>
      <c r="AE701" s="69"/>
      <c r="AK701" s="97"/>
      <c r="AZ701" s="69"/>
    </row>
    <row r="702" s="11" customFormat="1" ht="16.5" spans="1:52">
      <c r="A702" s="165">
        <v>2232</v>
      </c>
      <c r="B702" s="11" t="s">
        <v>1617</v>
      </c>
      <c r="C702" s="171" t="s">
        <v>1618</v>
      </c>
      <c r="D702" s="11">
        <v>0</v>
      </c>
      <c r="F702" s="11">
        <v>1</v>
      </c>
      <c r="G702" s="56">
        <v>1.8</v>
      </c>
      <c r="H702" s="56">
        <v>1.6</v>
      </c>
      <c r="I702" s="56">
        <v>0.5</v>
      </c>
      <c r="J702" s="56"/>
      <c r="K702" s="56"/>
      <c r="L702" s="56"/>
      <c r="M702" s="56"/>
      <c r="P702" s="56"/>
      <c r="Q702" s="56"/>
      <c r="U702" s="65"/>
      <c r="V702" s="65"/>
      <c r="AD702" s="69"/>
      <c r="AE702" s="69"/>
      <c r="AK702" s="97"/>
      <c r="AZ702" s="69"/>
    </row>
    <row r="703" s="11" customFormat="1" ht="16.5" spans="1:52">
      <c r="A703" s="165">
        <v>2233</v>
      </c>
      <c r="B703" s="11" t="s">
        <v>1619</v>
      </c>
      <c r="C703" s="171" t="s">
        <v>1620</v>
      </c>
      <c r="D703" s="11">
        <v>0</v>
      </c>
      <c r="F703" s="11">
        <v>1</v>
      </c>
      <c r="G703" s="56">
        <v>1.8</v>
      </c>
      <c r="H703" s="56">
        <v>1.6</v>
      </c>
      <c r="I703" s="56">
        <v>0.5</v>
      </c>
      <c r="J703" s="56"/>
      <c r="K703" s="56"/>
      <c r="L703" s="56"/>
      <c r="M703" s="56"/>
      <c r="P703" s="56"/>
      <c r="Q703" s="56"/>
      <c r="U703" s="65"/>
      <c r="V703" s="65"/>
      <c r="AD703" s="69"/>
      <c r="AE703" s="69"/>
      <c r="AK703" s="97"/>
      <c r="AZ703" s="69"/>
    </row>
    <row r="704" s="11" customFormat="1" ht="16.5" spans="1:52">
      <c r="A704" s="165">
        <v>2234</v>
      </c>
      <c r="B704" s="11" t="s">
        <v>1621</v>
      </c>
      <c r="C704" s="171" t="s">
        <v>1622</v>
      </c>
      <c r="D704" s="11">
        <v>0</v>
      </c>
      <c r="F704" s="11">
        <v>1</v>
      </c>
      <c r="G704" s="56">
        <v>1.8</v>
      </c>
      <c r="H704" s="56">
        <v>1.6</v>
      </c>
      <c r="I704" s="56">
        <v>0.5</v>
      </c>
      <c r="J704" s="56"/>
      <c r="K704" s="56"/>
      <c r="L704" s="56"/>
      <c r="M704" s="56"/>
      <c r="P704" s="56"/>
      <c r="Q704" s="56"/>
      <c r="U704" s="65"/>
      <c r="V704" s="65"/>
      <c r="AD704" s="69"/>
      <c r="AE704" s="69"/>
      <c r="AK704" s="97"/>
      <c r="AZ704" s="69"/>
    </row>
    <row r="705" s="11" customFormat="1" ht="16.5" spans="1:52">
      <c r="A705" s="165">
        <v>2235</v>
      </c>
      <c r="B705" s="11" t="s">
        <v>1623</v>
      </c>
      <c r="C705" s="171" t="s">
        <v>1624</v>
      </c>
      <c r="D705" s="11">
        <v>0</v>
      </c>
      <c r="F705" s="11">
        <v>1</v>
      </c>
      <c r="G705" s="56">
        <v>1.8</v>
      </c>
      <c r="H705" s="56">
        <v>1.6</v>
      </c>
      <c r="I705" s="56">
        <v>0.5</v>
      </c>
      <c r="J705" s="56"/>
      <c r="K705" s="56"/>
      <c r="L705" s="56"/>
      <c r="M705" s="56"/>
      <c r="P705" s="56"/>
      <c r="Q705" s="56"/>
      <c r="U705" s="65"/>
      <c r="V705" s="65"/>
      <c r="AD705" s="69"/>
      <c r="AE705" s="69"/>
      <c r="AK705" s="97"/>
      <c r="AZ705" s="69"/>
    </row>
    <row r="706" s="11" customFormat="1" ht="16.5" spans="1:52">
      <c r="A706" s="165">
        <v>2236</v>
      </c>
      <c r="B706" s="11" t="s">
        <v>1625</v>
      </c>
      <c r="C706" s="171" t="s">
        <v>1626</v>
      </c>
      <c r="D706" s="11">
        <v>0</v>
      </c>
      <c r="F706" s="11">
        <v>1</v>
      </c>
      <c r="G706" s="56">
        <v>1.8</v>
      </c>
      <c r="H706" s="56">
        <v>1.6</v>
      </c>
      <c r="I706" s="56">
        <v>0.5</v>
      </c>
      <c r="J706" s="56"/>
      <c r="K706" s="56"/>
      <c r="L706" s="56"/>
      <c r="M706" s="56"/>
      <c r="P706" s="56"/>
      <c r="Q706" s="56"/>
      <c r="U706" s="65"/>
      <c r="V706" s="65"/>
      <c r="AD706" s="69"/>
      <c r="AE706" s="69"/>
      <c r="AK706" s="97"/>
      <c r="AZ706" s="69"/>
    </row>
    <row r="707" s="11" customFormat="1" ht="16.5" spans="1:52">
      <c r="A707" s="165">
        <v>2237</v>
      </c>
      <c r="B707" s="11" t="s">
        <v>1627</v>
      </c>
      <c r="C707" s="171" t="s">
        <v>1628</v>
      </c>
      <c r="D707" s="11">
        <v>0</v>
      </c>
      <c r="F707" s="11">
        <v>1</v>
      </c>
      <c r="G707" s="56">
        <v>1.8</v>
      </c>
      <c r="H707" s="56">
        <v>1.6</v>
      </c>
      <c r="I707" s="56">
        <v>0.5</v>
      </c>
      <c r="J707" s="56"/>
      <c r="K707" s="56"/>
      <c r="L707" s="56"/>
      <c r="M707" s="56"/>
      <c r="P707" s="56"/>
      <c r="Q707" s="56"/>
      <c r="U707" s="65"/>
      <c r="V707" s="65"/>
      <c r="AD707" s="69"/>
      <c r="AE707" s="69"/>
      <c r="AK707" s="97"/>
      <c r="AZ707" s="69"/>
    </row>
    <row r="708" s="11" customFormat="1" ht="16.5" spans="1:52">
      <c r="A708" s="165">
        <v>2238</v>
      </c>
      <c r="B708" s="11" t="s">
        <v>1629</v>
      </c>
      <c r="C708" s="171" t="s">
        <v>1630</v>
      </c>
      <c r="D708" s="11">
        <v>1</v>
      </c>
      <c r="F708" s="11">
        <v>1</v>
      </c>
      <c r="G708" s="56">
        <v>4.5</v>
      </c>
      <c r="H708" s="56">
        <v>1.6</v>
      </c>
      <c r="I708" s="56">
        <v>0.5</v>
      </c>
      <c r="J708" s="56"/>
      <c r="K708" s="56"/>
      <c r="L708" s="56"/>
      <c r="M708" s="56"/>
      <c r="P708" s="56"/>
      <c r="Q708" s="56"/>
      <c r="U708" s="65"/>
      <c r="V708" s="65"/>
      <c r="AD708" s="69"/>
      <c r="AE708" s="69"/>
      <c r="AK708" s="97"/>
      <c r="AZ708" s="69"/>
    </row>
    <row r="709" s="11" customFormat="1" spans="1:52">
      <c r="A709" s="165">
        <v>2239</v>
      </c>
      <c r="B709" s="11" t="s">
        <v>1631</v>
      </c>
      <c r="C709" s="172" t="s">
        <v>1632</v>
      </c>
      <c r="D709" s="11">
        <v>1</v>
      </c>
      <c r="F709" s="11">
        <v>1</v>
      </c>
      <c r="G709" s="56">
        <v>1.8</v>
      </c>
      <c r="H709" s="56">
        <v>2.05</v>
      </c>
      <c r="I709" s="56">
        <v>0.5</v>
      </c>
      <c r="J709" s="56"/>
      <c r="K709" s="56"/>
      <c r="L709" s="56"/>
      <c r="M709" s="56"/>
      <c r="P709" s="56"/>
      <c r="Q709" s="56"/>
      <c r="U709" s="65"/>
      <c r="V709" s="65"/>
      <c r="AD709" s="69"/>
      <c r="AE709" s="69"/>
      <c r="AK709" s="97"/>
      <c r="AZ709" s="69"/>
    </row>
    <row r="710" s="11" customFormat="1" spans="1:52">
      <c r="A710" s="165">
        <v>2240</v>
      </c>
      <c r="B710" s="11" t="s">
        <v>1633</v>
      </c>
      <c r="C710" s="172" t="s">
        <v>1115</v>
      </c>
      <c r="D710" s="11">
        <v>0</v>
      </c>
      <c r="F710" s="11">
        <v>1</v>
      </c>
      <c r="G710" s="56">
        <v>2.5</v>
      </c>
      <c r="H710" s="56">
        <v>1.6</v>
      </c>
      <c r="I710" s="56">
        <v>0.5</v>
      </c>
      <c r="J710" s="56"/>
      <c r="K710" s="56"/>
      <c r="L710" s="56"/>
      <c r="M710" s="56"/>
      <c r="P710" s="56"/>
      <c r="Q710" s="56"/>
      <c r="U710" s="65"/>
      <c r="V710" s="65"/>
      <c r="AD710" s="69"/>
      <c r="AE710" s="69"/>
      <c r="AK710" s="97"/>
      <c r="AZ710" s="69"/>
    </row>
    <row r="711" s="11" customFormat="1" ht="16.5" spans="1:52">
      <c r="A711" s="165">
        <v>2241</v>
      </c>
      <c r="B711" s="11" t="s">
        <v>1634</v>
      </c>
      <c r="C711" s="119" t="s">
        <v>1635</v>
      </c>
      <c r="D711" s="11">
        <v>0</v>
      </c>
      <c r="E711" s="120"/>
      <c r="F711" s="11">
        <v>1</v>
      </c>
      <c r="G711" s="56">
        <v>2</v>
      </c>
      <c r="H711" s="56">
        <v>1.6</v>
      </c>
      <c r="I711" s="56">
        <v>0.5</v>
      </c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  <c r="AA711" s="120"/>
      <c r="AB711" s="120"/>
      <c r="AC711" s="120"/>
      <c r="AD711" s="120"/>
      <c r="AE711" s="120"/>
      <c r="AF711" s="120"/>
      <c r="AG711" s="120"/>
      <c r="AH711" s="120"/>
      <c r="AI711" s="120"/>
      <c r="AJ711" s="120"/>
      <c r="AK711" s="120"/>
      <c r="AL711" s="120"/>
      <c r="AM711" s="120"/>
      <c r="AN711" s="120"/>
      <c r="AO711" s="120"/>
      <c r="AP711" s="120"/>
      <c r="AQ711" s="120"/>
      <c r="AR711" s="120"/>
      <c r="AS711" s="120"/>
      <c r="AT711" s="120"/>
      <c r="AU711" s="120"/>
      <c r="AY711" s="120"/>
      <c r="AZ711" s="120"/>
    </row>
    <row r="712" s="11" customFormat="1" ht="16.5" spans="1:52">
      <c r="A712" s="165">
        <v>2242</v>
      </c>
      <c r="B712" s="11" t="s">
        <v>1636</v>
      </c>
      <c r="C712" s="119" t="s">
        <v>1637</v>
      </c>
      <c r="D712" s="11">
        <v>0</v>
      </c>
      <c r="E712" s="120"/>
      <c r="F712" s="11">
        <v>1</v>
      </c>
      <c r="G712" s="56">
        <v>1.8</v>
      </c>
      <c r="H712" s="56">
        <v>1.6</v>
      </c>
      <c r="I712" s="56">
        <v>0.5</v>
      </c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  <c r="AA712" s="120"/>
      <c r="AB712" s="120"/>
      <c r="AC712" s="120"/>
      <c r="AD712" s="120"/>
      <c r="AE712" s="120"/>
      <c r="AF712" s="120"/>
      <c r="AG712" s="120"/>
      <c r="AH712" s="120"/>
      <c r="AI712" s="120"/>
      <c r="AJ712" s="120"/>
      <c r="AK712" s="120"/>
      <c r="AL712" s="120"/>
      <c r="AM712" s="120"/>
      <c r="AN712" s="120"/>
      <c r="AO712" s="120"/>
      <c r="AP712" s="120"/>
      <c r="AQ712" s="120"/>
      <c r="AR712" s="120"/>
      <c r="AS712" s="120"/>
      <c r="AT712" s="120"/>
      <c r="AU712" s="120"/>
      <c r="AY712" s="120"/>
      <c r="AZ712" s="120"/>
    </row>
    <row r="713" s="11" customFormat="1" ht="16.5" spans="1:52">
      <c r="A713" s="165">
        <v>2243</v>
      </c>
      <c r="B713" s="11" t="s">
        <v>1638</v>
      </c>
      <c r="C713" s="119" t="s">
        <v>1639</v>
      </c>
      <c r="D713" s="11">
        <v>0</v>
      </c>
      <c r="E713" s="120"/>
      <c r="F713" s="11">
        <v>1</v>
      </c>
      <c r="G713" s="56">
        <v>1.8</v>
      </c>
      <c r="H713" s="56">
        <v>1.6</v>
      </c>
      <c r="I713" s="56">
        <v>0.5</v>
      </c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  <c r="AA713" s="120"/>
      <c r="AB713" s="120"/>
      <c r="AC713" s="120"/>
      <c r="AD713" s="120"/>
      <c r="AE713" s="120"/>
      <c r="AF713" s="120"/>
      <c r="AG713" s="120"/>
      <c r="AH713" s="120"/>
      <c r="AI713" s="120"/>
      <c r="AJ713" s="120"/>
      <c r="AK713" s="120"/>
      <c r="AL713" s="120"/>
      <c r="AM713" s="120"/>
      <c r="AN713" s="120"/>
      <c r="AO713" s="120"/>
      <c r="AP713" s="120"/>
      <c r="AQ713" s="120"/>
      <c r="AR713" s="120"/>
      <c r="AS713" s="120"/>
      <c r="AT713" s="120"/>
      <c r="AU713" s="120"/>
      <c r="AY713" s="120"/>
      <c r="AZ713" s="120"/>
    </row>
    <row r="714" s="11" customFormat="1" ht="16.5" spans="1:52">
      <c r="A714" s="165">
        <v>2244</v>
      </c>
      <c r="B714" s="11" t="s">
        <v>1640</v>
      </c>
      <c r="C714" s="119" t="s">
        <v>1641</v>
      </c>
      <c r="D714" s="11">
        <v>0</v>
      </c>
      <c r="E714" s="120"/>
      <c r="F714" s="11">
        <v>1</v>
      </c>
      <c r="G714" s="56">
        <v>1</v>
      </c>
      <c r="H714" s="56">
        <v>1.6</v>
      </c>
      <c r="I714" s="56">
        <v>0.5</v>
      </c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  <c r="AA714" s="120"/>
      <c r="AB714" s="120"/>
      <c r="AC714" s="120"/>
      <c r="AD714" s="120"/>
      <c r="AE714" s="120"/>
      <c r="AF714" s="120"/>
      <c r="AG714" s="120"/>
      <c r="AH714" s="120"/>
      <c r="AI714" s="120"/>
      <c r="AJ714" s="120"/>
      <c r="AK714" s="120"/>
      <c r="AL714" s="120"/>
      <c r="AM714" s="120"/>
      <c r="AN714" s="120"/>
      <c r="AO714" s="120"/>
      <c r="AP714" s="120"/>
      <c r="AQ714" s="120"/>
      <c r="AR714" s="120"/>
      <c r="AS714" s="120"/>
      <c r="AT714" s="120"/>
      <c r="AU714" s="120"/>
      <c r="AY714" s="120"/>
      <c r="AZ714" s="120"/>
    </row>
    <row r="715" s="11" customFormat="1" ht="16.5" spans="1:52">
      <c r="A715" s="165">
        <v>2245</v>
      </c>
      <c r="B715" s="11" t="s">
        <v>1642</v>
      </c>
      <c r="C715" s="119" t="s">
        <v>1643</v>
      </c>
      <c r="D715" s="11">
        <v>0</v>
      </c>
      <c r="E715" s="120"/>
      <c r="F715" s="11">
        <v>1</v>
      </c>
      <c r="G715" s="56">
        <v>1</v>
      </c>
      <c r="H715" s="56">
        <v>1.6</v>
      </c>
      <c r="I715" s="56">
        <v>0.5</v>
      </c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  <c r="AA715" s="120"/>
      <c r="AB715" s="120"/>
      <c r="AC715" s="120"/>
      <c r="AD715" s="120"/>
      <c r="AE715" s="120"/>
      <c r="AF715" s="120"/>
      <c r="AG715" s="120"/>
      <c r="AH715" s="120"/>
      <c r="AI715" s="120"/>
      <c r="AJ715" s="120"/>
      <c r="AK715" s="120"/>
      <c r="AL715" s="120"/>
      <c r="AM715" s="120"/>
      <c r="AN715" s="120"/>
      <c r="AO715" s="120"/>
      <c r="AP715" s="120"/>
      <c r="AQ715" s="120"/>
      <c r="AR715" s="120"/>
      <c r="AS715" s="120"/>
      <c r="AT715" s="120"/>
      <c r="AU715" s="120"/>
      <c r="AY715" s="120"/>
      <c r="AZ715" s="120"/>
    </row>
    <row r="716" s="11" customFormat="1" ht="16.5" spans="1:52">
      <c r="A716" s="165">
        <v>2246</v>
      </c>
      <c r="B716" s="11" t="s">
        <v>1644</v>
      </c>
      <c r="C716" s="119" t="s">
        <v>1645</v>
      </c>
      <c r="D716" s="11">
        <v>0</v>
      </c>
      <c r="E716" s="120"/>
      <c r="F716" s="11">
        <v>1</v>
      </c>
      <c r="G716" s="56">
        <v>1</v>
      </c>
      <c r="H716" s="56">
        <v>1.6</v>
      </c>
      <c r="I716" s="56">
        <v>0.5</v>
      </c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  <c r="AB716" s="120"/>
      <c r="AC716" s="120"/>
      <c r="AD716" s="120"/>
      <c r="AE716" s="120"/>
      <c r="AF716" s="120"/>
      <c r="AG716" s="120"/>
      <c r="AH716" s="120"/>
      <c r="AI716" s="120"/>
      <c r="AJ716" s="120"/>
      <c r="AK716" s="120"/>
      <c r="AL716" s="120"/>
      <c r="AM716" s="120"/>
      <c r="AN716" s="120"/>
      <c r="AO716" s="120"/>
      <c r="AP716" s="120"/>
      <c r="AQ716" s="120"/>
      <c r="AR716" s="120"/>
      <c r="AS716" s="120"/>
      <c r="AT716" s="120"/>
      <c r="AU716" s="120"/>
      <c r="AY716" s="120"/>
      <c r="AZ716" s="120"/>
    </row>
    <row r="717" s="11" customFormat="1" ht="16.5" spans="1:52">
      <c r="A717" s="165">
        <v>2247</v>
      </c>
      <c r="B717" s="11" t="s">
        <v>1646</v>
      </c>
      <c r="C717" s="119" t="s">
        <v>1647</v>
      </c>
      <c r="D717" s="11">
        <v>0</v>
      </c>
      <c r="E717" s="120"/>
      <c r="F717" s="11">
        <v>1</v>
      </c>
      <c r="G717" s="56">
        <v>1.5</v>
      </c>
      <c r="H717" s="56">
        <v>1.6</v>
      </c>
      <c r="I717" s="56">
        <v>0.5</v>
      </c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  <c r="AB717" s="120"/>
      <c r="AC717" s="120"/>
      <c r="AD717" s="120"/>
      <c r="AE717" s="120"/>
      <c r="AF717" s="120"/>
      <c r="AG717" s="120"/>
      <c r="AH717" s="120"/>
      <c r="AI717" s="120"/>
      <c r="AJ717" s="120"/>
      <c r="AK717" s="120"/>
      <c r="AL717" s="120"/>
      <c r="AM717" s="120"/>
      <c r="AN717" s="120"/>
      <c r="AO717" s="120"/>
      <c r="AP717" s="120"/>
      <c r="AQ717" s="120"/>
      <c r="AR717" s="120"/>
      <c r="AS717" s="120"/>
      <c r="AT717" s="120"/>
      <c r="AU717" s="120"/>
      <c r="AY717" s="120"/>
      <c r="AZ717" s="120"/>
    </row>
    <row r="718" s="11" customFormat="1" ht="16.5" spans="1:52">
      <c r="A718" s="165">
        <v>2248</v>
      </c>
      <c r="B718" s="11" t="s">
        <v>1648</v>
      </c>
      <c r="C718" s="119" t="s">
        <v>1649</v>
      </c>
      <c r="D718" s="11">
        <v>0</v>
      </c>
      <c r="E718" s="120"/>
      <c r="F718" s="11">
        <v>1</v>
      </c>
      <c r="G718" s="56">
        <v>1.5</v>
      </c>
      <c r="H718" s="56">
        <v>1.6</v>
      </c>
      <c r="I718" s="56">
        <v>0.5</v>
      </c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  <c r="AB718" s="120"/>
      <c r="AC718" s="120"/>
      <c r="AD718" s="120"/>
      <c r="AE718" s="120"/>
      <c r="AF718" s="120"/>
      <c r="AG718" s="120"/>
      <c r="AH718" s="120"/>
      <c r="AI718" s="120"/>
      <c r="AJ718" s="120"/>
      <c r="AK718" s="120"/>
      <c r="AL718" s="120"/>
      <c r="AM718" s="120"/>
      <c r="AN718" s="120"/>
      <c r="AO718" s="120"/>
      <c r="AP718" s="120"/>
      <c r="AQ718" s="120"/>
      <c r="AR718" s="120"/>
      <c r="AS718" s="120"/>
      <c r="AT718" s="120"/>
      <c r="AU718" s="120"/>
      <c r="AY718" s="120"/>
      <c r="AZ718" s="120"/>
    </row>
    <row r="719" s="11" customFormat="1" ht="16.5" spans="1:52">
      <c r="A719" s="165">
        <v>2249</v>
      </c>
      <c r="B719" s="11" t="s">
        <v>1650</v>
      </c>
      <c r="C719" s="119" t="s">
        <v>1651</v>
      </c>
      <c r="D719" s="11">
        <v>0</v>
      </c>
      <c r="E719" s="120"/>
      <c r="F719" s="11">
        <v>1</v>
      </c>
      <c r="G719" s="56">
        <v>1</v>
      </c>
      <c r="H719" s="56">
        <v>1.6</v>
      </c>
      <c r="I719" s="56">
        <v>0.5</v>
      </c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  <c r="AB719" s="120"/>
      <c r="AC719" s="120"/>
      <c r="AD719" s="120"/>
      <c r="AE719" s="120"/>
      <c r="AF719" s="120"/>
      <c r="AG719" s="120"/>
      <c r="AH719" s="120"/>
      <c r="AI719" s="120"/>
      <c r="AJ719" s="120"/>
      <c r="AK719" s="120"/>
      <c r="AL719" s="120"/>
      <c r="AM719" s="120"/>
      <c r="AN719" s="120"/>
      <c r="AO719" s="120"/>
      <c r="AP719" s="120"/>
      <c r="AQ719" s="120"/>
      <c r="AR719" s="120"/>
      <c r="AS719" s="120"/>
      <c r="AT719" s="120"/>
      <c r="AU719" s="120"/>
      <c r="AY719" s="120"/>
      <c r="AZ719" s="120"/>
    </row>
    <row r="720" s="11" customFormat="1" ht="16.5" spans="1:52">
      <c r="A720" s="165">
        <v>2250</v>
      </c>
      <c r="B720" s="55" t="s">
        <v>1652</v>
      </c>
      <c r="C720" s="119" t="s">
        <v>1653</v>
      </c>
      <c r="E720" s="120"/>
      <c r="G720" s="56"/>
      <c r="H720" s="56"/>
      <c r="I720" s="56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  <c r="AB720" s="120"/>
      <c r="AC720" s="120"/>
      <c r="AD720" s="120"/>
      <c r="AE720" s="120"/>
      <c r="AF720" s="120"/>
      <c r="AG720" s="120"/>
      <c r="AH720" s="120"/>
      <c r="AI720" s="120"/>
      <c r="AJ720" s="120"/>
      <c r="AK720" s="120"/>
      <c r="AL720" s="120"/>
      <c r="AM720" s="120"/>
      <c r="AN720" s="120"/>
      <c r="AO720" s="120"/>
      <c r="AP720" s="120"/>
      <c r="AQ720" s="120"/>
      <c r="AR720" s="120"/>
      <c r="AS720" s="120"/>
      <c r="AT720" s="120"/>
      <c r="AU720" s="120"/>
      <c r="AY720" s="120"/>
      <c r="AZ720" s="120"/>
    </row>
    <row r="721" s="11" customFormat="1" ht="16.5" spans="1:52">
      <c r="A721" s="165">
        <v>2251</v>
      </c>
      <c r="B721" s="55" t="s">
        <v>1654</v>
      </c>
      <c r="C721" s="119" t="s">
        <v>1655</v>
      </c>
      <c r="D721" s="11">
        <v>0</v>
      </c>
      <c r="E721" s="120"/>
      <c r="F721" s="11">
        <v>1</v>
      </c>
      <c r="G721" s="56">
        <v>0.35</v>
      </c>
      <c r="H721" s="56">
        <v>1.6</v>
      </c>
      <c r="I721" s="56">
        <v>0.5</v>
      </c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  <c r="AA721" s="120"/>
      <c r="AB721" s="120"/>
      <c r="AC721" s="120"/>
      <c r="AD721" s="120"/>
      <c r="AE721" s="120"/>
      <c r="AF721" s="120"/>
      <c r="AG721" s="120"/>
      <c r="AH721" s="120"/>
      <c r="AI721" s="120"/>
      <c r="AJ721" s="120"/>
      <c r="AK721" s="120"/>
      <c r="AL721" s="120"/>
      <c r="AM721" s="120"/>
      <c r="AN721" s="120"/>
      <c r="AO721" s="120"/>
      <c r="AP721" s="120"/>
      <c r="AQ721" s="120"/>
      <c r="AR721" s="120"/>
      <c r="AS721" s="120"/>
      <c r="AT721" s="120"/>
      <c r="AU721" s="120"/>
      <c r="AY721" s="120"/>
      <c r="AZ721" s="120"/>
    </row>
    <row r="722" s="11" customFormat="1" ht="16.5" spans="1:52">
      <c r="A722" s="165">
        <v>2252</v>
      </c>
      <c r="B722" s="55" t="s">
        <v>1656</v>
      </c>
      <c r="C722" s="119" t="s">
        <v>1657</v>
      </c>
      <c r="D722" s="11">
        <v>0</v>
      </c>
      <c r="E722" s="120"/>
      <c r="F722" s="11">
        <v>1</v>
      </c>
      <c r="G722" s="56">
        <v>1.5</v>
      </c>
      <c r="H722" s="56">
        <v>1.6</v>
      </c>
      <c r="I722" s="56">
        <v>0.5</v>
      </c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  <c r="AA722" s="120"/>
      <c r="AB722" s="120"/>
      <c r="AC722" s="120"/>
      <c r="AD722" s="120"/>
      <c r="AE722" s="120"/>
      <c r="AF722" s="120"/>
      <c r="AG722" s="120"/>
      <c r="AH722" s="120"/>
      <c r="AI722" s="120"/>
      <c r="AJ722" s="120"/>
      <c r="AK722" s="120"/>
      <c r="AL722" s="120"/>
      <c r="AM722" s="120"/>
      <c r="AN722" s="120"/>
      <c r="AO722" s="120"/>
      <c r="AP722" s="120"/>
      <c r="AQ722" s="120"/>
      <c r="AR722" s="120"/>
      <c r="AS722" s="120"/>
      <c r="AT722" s="120"/>
      <c r="AU722" s="120"/>
      <c r="AY722" s="120"/>
      <c r="AZ722" s="120"/>
    </row>
    <row r="723" s="11" customFormat="1" ht="16.5" spans="1:52">
      <c r="A723" s="165">
        <v>2253</v>
      </c>
      <c r="B723" s="55" t="s">
        <v>1658</v>
      </c>
      <c r="C723" s="119" t="s">
        <v>1659</v>
      </c>
      <c r="D723" s="11">
        <v>0</v>
      </c>
      <c r="E723" s="120"/>
      <c r="F723" s="11">
        <v>1</v>
      </c>
      <c r="G723" s="11">
        <v>2</v>
      </c>
      <c r="H723" s="11">
        <v>2</v>
      </c>
      <c r="I723" s="56">
        <v>0.5</v>
      </c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  <c r="AA723" s="120"/>
      <c r="AB723" s="120"/>
      <c r="AC723" s="120"/>
      <c r="AD723" s="120"/>
      <c r="AE723" s="120"/>
      <c r="AF723" s="120"/>
      <c r="AH723" s="120"/>
      <c r="AI723" s="120"/>
      <c r="AJ723" s="120"/>
      <c r="AK723" s="120"/>
      <c r="AL723" s="120"/>
      <c r="AM723" s="120"/>
      <c r="AN723" s="120"/>
      <c r="AO723" s="120"/>
      <c r="AP723" s="120"/>
      <c r="AQ723" s="120"/>
      <c r="AR723" s="120"/>
      <c r="AS723" s="120"/>
      <c r="AT723" s="120"/>
      <c r="AU723" s="120"/>
      <c r="AY723" s="120"/>
      <c r="AZ723" s="120"/>
    </row>
    <row r="724" s="11" customFormat="1" ht="16.5" spans="1:52">
      <c r="A724" s="165">
        <v>2254</v>
      </c>
      <c r="B724" s="55" t="s">
        <v>1660</v>
      </c>
      <c r="C724" s="119" t="s">
        <v>1661</v>
      </c>
      <c r="D724" s="13">
        <v>1</v>
      </c>
      <c r="E724" s="120"/>
      <c r="F724" s="11">
        <v>1</v>
      </c>
      <c r="G724" s="11">
        <v>2</v>
      </c>
      <c r="H724" s="11">
        <v>2.5</v>
      </c>
      <c r="I724" s="56">
        <v>0.35</v>
      </c>
      <c r="J724" s="120" t="s">
        <v>115</v>
      </c>
      <c r="K724" s="120">
        <v>0</v>
      </c>
      <c r="L724" s="120">
        <f>5/30</f>
        <v>0.166666666666667</v>
      </c>
      <c r="M724" s="120">
        <f>18/30</f>
        <v>0.6</v>
      </c>
      <c r="N724" s="120"/>
      <c r="O724" s="120"/>
      <c r="P724" s="120">
        <f>4/30</f>
        <v>0.133333333333333</v>
      </c>
      <c r="Q724" s="120">
        <f>18/30</f>
        <v>0.6</v>
      </c>
      <c r="R724" s="120"/>
      <c r="S724" s="120"/>
      <c r="T724" s="120">
        <v>2.4</v>
      </c>
      <c r="U724" s="120"/>
      <c r="V724" s="120"/>
      <c r="W724" s="120"/>
      <c r="X724" s="120"/>
      <c r="Y724" s="120"/>
      <c r="Z724" s="120"/>
      <c r="AA724" s="120"/>
      <c r="AB724" s="120"/>
      <c r="AC724" s="120"/>
      <c r="AD724" s="120"/>
      <c r="AE724" s="120"/>
      <c r="AF724" s="120"/>
      <c r="AG724" s="120"/>
      <c r="AH724" s="120"/>
      <c r="AI724" s="120"/>
      <c r="AJ724" s="120"/>
      <c r="AK724" s="120">
        <v>0</v>
      </c>
      <c r="AL724" s="120"/>
      <c r="AM724" s="120"/>
      <c r="AN724" s="120"/>
      <c r="AO724" s="120"/>
      <c r="AP724" s="120"/>
      <c r="AQ724" s="120"/>
      <c r="AR724" s="120"/>
      <c r="AS724" s="120"/>
      <c r="AT724" s="120"/>
      <c r="AU724" s="120"/>
      <c r="AY724" s="120"/>
      <c r="AZ724" s="120"/>
    </row>
    <row r="725" s="11" customFormat="1" ht="16.5" spans="1:52">
      <c r="A725" s="165">
        <v>2255</v>
      </c>
      <c r="B725" s="55" t="s">
        <v>1662</v>
      </c>
      <c r="C725" s="119" t="s">
        <v>1663</v>
      </c>
      <c r="D725" s="11">
        <v>0</v>
      </c>
      <c r="E725" s="120"/>
      <c r="F725" s="11">
        <v>1</v>
      </c>
      <c r="G725" s="11">
        <v>2</v>
      </c>
      <c r="H725" s="11">
        <v>2</v>
      </c>
      <c r="I725" s="56">
        <v>0.5</v>
      </c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  <c r="AA725" s="120"/>
      <c r="AB725" s="120"/>
      <c r="AC725" s="120"/>
      <c r="AD725" s="120"/>
      <c r="AE725" s="120"/>
      <c r="AF725" s="120"/>
      <c r="AG725" s="120"/>
      <c r="AH725" s="120"/>
      <c r="AI725" s="120"/>
      <c r="AJ725" s="120"/>
      <c r="AK725" s="120"/>
      <c r="AL725" s="120"/>
      <c r="AM725" s="120"/>
      <c r="AN725" s="120"/>
      <c r="AO725" s="120"/>
      <c r="AP725" s="120"/>
      <c r="AQ725" s="120"/>
      <c r="AR725" s="120"/>
      <c r="AS725" s="120"/>
      <c r="AT725" s="120"/>
      <c r="AU725" s="120"/>
      <c r="AY725" s="120"/>
      <c r="AZ725" s="120"/>
    </row>
    <row r="726" s="11" customFormat="1" ht="16.5" spans="1:52">
      <c r="A726" s="165">
        <v>2256</v>
      </c>
      <c r="B726" s="55" t="s">
        <v>1664</v>
      </c>
      <c r="C726" s="119" t="s">
        <v>1665</v>
      </c>
      <c r="D726" s="11">
        <v>0</v>
      </c>
      <c r="E726" s="120"/>
      <c r="F726" s="11">
        <v>1</v>
      </c>
      <c r="G726" s="11">
        <v>2</v>
      </c>
      <c r="H726" s="11">
        <v>2</v>
      </c>
      <c r="I726" s="56">
        <v>0.5</v>
      </c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  <c r="AB726" s="120"/>
      <c r="AC726" s="120"/>
      <c r="AD726" s="120"/>
      <c r="AE726" s="120"/>
      <c r="AF726" s="120"/>
      <c r="AG726" s="120"/>
      <c r="AH726" s="120"/>
      <c r="AI726" s="120"/>
      <c r="AJ726" s="120"/>
      <c r="AK726" s="120"/>
      <c r="AL726" s="120"/>
      <c r="AM726" s="120"/>
      <c r="AN726" s="120"/>
      <c r="AO726" s="120"/>
      <c r="AP726" s="120"/>
      <c r="AQ726" s="120"/>
      <c r="AR726" s="120"/>
      <c r="AS726" s="120"/>
      <c r="AT726" s="120"/>
      <c r="AU726" s="120"/>
      <c r="AV726" s="11" t="s">
        <v>118</v>
      </c>
      <c r="AW726" s="11" t="s">
        <v>118</v>
      </c>
      <c r="AY726" s="120"/>
      <c r="AZ726" s="120"/>
    </row>
    <row r="727" s="11" customFormat="1" ht="16.5" spans="1:52">
      <c r="A727" s="165">
        <v>2257</v>
      </c>
      <c r="B727" s="55" t="s">
        <v>1666</v>
      </c>
      <c r="C727" s="119" t="s">
        <v>1667</v>
      </c>
      <c r="D727" s="11">
        <v>0</v>
      </c>
      <c r="E727" s="120"/>
      <c r="F727" s="11">
        <v>1</v>
      </c>
      <c r="G727" s="11">
        <v>2</v>
      </c>
      <c r="H727" s="11">
        <v>2</v>
      </c>
      <c r="I727" s="56">
        <v>0.5</v>
      </c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  <c r="AB727" s="120"/>
      <c r="AC727" s="120"/>
      <c r="AD727" s="120"/>
      <c r="AE727" s="120"/>
      <c r="AF727" s="120"/>
      <c r="AG727" s="120"/>
      <c r="AH727" s="120"/>
      <c r="AI727" s="120"/>
      <c r="AJ727" s="120"/>
      <c r="AK727" s="120"/>
      <c r="AL727" s="120"/>
      <c r="AM727" s="120"/>
      <c r="AN727" s="120"/>
      <c r="AO727" s="120"/>
      <c r="AP727" s="120"/>
      <c r="AQ727" s="120"/>
      <c r="AR727" s="120"/>
      <c r="AS727" s="120"/>
      <c r="AT727" s="120"/>
      <c r="AU727" s="120"/>
      <c r="AY727" s="120"/>
      <c r="AZ727" s="120"/>
    </row>
    <row r="728" s="11" customFormat="1" ht="16.5" spans="1:52">
      <c r="A728" s="165">
        <v>2258</v>
      </c>
      <c r="B728" s="55" t="s">
        <v>1668</v>
      </c>
      <c r="C728" s="119" t="s">
        <v>1669</v>
      </c>
      <c r="D728" s="11">
        <v>0</v>
      </c>
      <c r="E728" s="120"/>
      <c r="F728" s="11">
        <v>1</v>
      </c>
      <c r="G728" s="11">
        <v>2</v>
      </c>
      <c r="H728" s="11">
        <v>2</v>
      </c>
      <c r="I728" s="56">
        <v>0.5</v>
      </c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  <c r="AB728" s="120"/>
      <c r="AC728" s="120"/>
      <c r="AD728" s="120"/>
      <c r="AE728" s="120"/>
      <c r="AF728" s="120"/>
      <c r="AG728" s="120"/>
      <c r="AH728" s="120"/>
      <c r="AI728" s="120"/>
      <c r="AJ728" s="120"/>
      <c r="AK728" s="120"/>
      <c r="AL728" s="120"/>
      <c r="AM728" s="120"/>
      <c r="AN728" s="120"/>
      <c r="AO728" s="120"/>
      <c r="AP728" s="120"/>
      <c r="AQ728" s="120"/>
      <c r="AR728" s="120"/>
      <c r="AS728" s="120"/>
      <c r="AT728" s="120"/>
      <c r="AU728" s="120"/>
      <c r="AY728" s="120"/>
      <c r="AZ728" s="120"/>
    </row>
    <row r="729" s="11" customFormat="1" ht="16.5" spans="1:52">
      <c r="A729" s="165">
        <v>2259</v>
      </c>
      <c r="B729" s="55" t="s">
        <v>1670</v>
      </c>
      <c r="C729" s="119" t="s">
        <v>326</v>
      </c>
      <c r="D729" s="11">
        <v>0</v>
      </c>
      <c r="E729" s="120"/>
      <c r="F729" s="11">
        <v>1</v>
      </c>
      <c r="G729" s="11">
        <v>2</v>
      </c>
      <c r="H729" s="11">
        <v>2</v>
      </c>
      <c r="I729" s="56">
        <v>0.5</v>
      </c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  <c r="AB729" s="120"/>
      <c r="AC729" s="120"/>
      <c r="AD729" s="120"/>
      <c r="AE729" s="120"/>
      <c r="AF729" s="120"/>
      <c r="AG729" s="120"/>
      <c r="AH729" s="120"/>
      <c r="AI729" s="120"/>
      <c r="AJ729" s="120"/>
      <c r="AK729" s="120"/>
      <c r="AL729" s="120"/>
      <c r="AM729" s="120"/>
      <c r="AN729" s="120"/>
      <c r="AO729" s="120"/>
      <c r="AP729" s="120"/>
      <c r="AQ729" s="120"/>
      <c r="AR729" s="120"/>
      <c r="AS729" s="120"/>
      <c r="AT729" s="120"/>
      <c r="AU729" s="120"/>
      <c r="AV729" s="11" t="s">
        <v>327</v>
      </c>
      <c r="AW729" s="11" t="s">
        <v>327</v>
      </c>
      <c r="AY729" s="120"/>
      <c r="AZ729" s="120"/>
    </row>
    <row r="730" s="11" customFormat="1" ht="16.5" spans="1:52">
      <c r="A730" s="165">
        <v>2260</v>
      </c>
      <c r="B730" s="55" t="s">
        <v>1671</v>
      </c>
      <c r="C730" s="119" t="s">
        <v>1672</v>
      </c>
      <c r="D730" s="11">
        <v>0</v>
      </c>
      <c r="E730" s="120"/>
      <c r="F730" s="11">
        <v>1</v>
      </c>
      <c r="G730" s="11">
        <v>2</v>
      </c>
      <c r="H730" s="11">
        <v>2</v>
      </c>
      <c r="I730" s="56">
        <v>0.5</v>
      </c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  <c r="AB730" s="120"/>
      <c r="AC730" s="120"/>
      <c r="AD730" s="120"/>
      <c r="AE730" s="120"/>
      <c r="AF730" s="120"/>
      <c r="AG730" s="120"/>
      <c r="AH730" s="120"/>
      <c r="AI730" s="120"/>
      <c r="AJ730" s="120"/>
      <c r="AK730" s="120"/>
      <c r="AL730" s="120"/>
      <c r="AM730" s="120"/>
      <c r="AN730" s="120"/>
      <c r="AO730" s="120"/>
      <c r="AP730" s="120"/>
      <c r="AQ730" s="120"/>
      <c r="AR730" s="120"/>
      <c r="AS730" s="120"/>
      <c r="AT730" s="120"/>
      <c r="AU730" s="120"/>
      <c r="AY730" s="120"/>
      <c r="AZ730" s="120"/>
    </row>
    <row r="731" s="11" customFormat="1" ht="16.5" spans="1:52">
      <c r="A731" s="165">
        <v>2261</v>
      </c>
      <c r="B731" s="55" t="s">
        <v>1673</v>
      </c>
      <c r="C731" s="119" t="s">
        <v>1674</v>
      </c>
      <c r="D731" s="11">
        <v>0</v>
      </c>
      <c r="E731" s="120"/>
      <c r="F731" s="11">
        <v>1</v>
      </c>
      <c r="G731" s="11">
        <v>2</v>
      </c>
      <c r="H731" s="11">
        <v>2</v>
      </c>
      <c r="I731" s="56">
        <v>0.5</v>
      </c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  <c r="AA731" s="120"/>
      <c r="AB731" s="120"/>
      <c r="AC731" s="120"/>
      <c r="AD731" s="120"/>
      <c r="AE731" s="120"/>
      <c r="AF731" s="120"/>
      <c r="AG731" s="120"/>
      <c r="AH731" s="120"/>
      <c r="AI731" s="120"/>
      <c r="AJ731" s="120"/>
      <c r="AK731" s="120"/>
      <c r="AL731" s="120"/>
      <c r="AM731" s="120"/>
      <c r="AN731" s="120"/>
      <c r="AO731" s="120"/>
      <c r="AP731" s="120"/>
      <c r="AQ731" s="120"/>
      <c r="AR731" s="120"/>
      <c r="AS731" s="120"/>
      <c r="AT731" s="120"/>
      <c r="AU731" s="120"/>
      <c r="AY731" s="120"/>
      <c r="AZ731" s="120"/>
    </row>
    <row r="732" s="11" customFormat="1" ht="16.5" spans="1:52">
      <c r="A732" s="165">
        <v>2262</v>
      </c>
      <c r="B732" s="55" t="s">
        <v>1675</v>
      </c>
      <c r="C732" s="119" t="s">
        <v>1676</v>
      </c>
      <c r="D732" s="11">
        <v>0</v>
      </c>
      <c r="E732" s="120"/>
      <c r="F732" s="11">
        <v>1</v>
      </c>
      <c r="G732" s="11">
        <v>2</v>
      </c>
      <c r="H732" s="11">
        <v>2</v>
      </c>
      <c r="I732" s="56">
        <v>0.5</v>
      </c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  <c r="AA732" s="120"/>
      <c r="AB732" s="120"/>
      <c r="AC732" s="120"/>
      <c r="AD732" s="120"/>
      <c r="AE732" s="120"/>
      <c r="AF732" s="120"/>
      <c r="AG732" s="120"/>
      <c r="AH732" s="120"/>
      <c r="AI732" s="120"/>
      <c r="AJ732" s="120"/>
      <c r="AK732" s="120"/>
      <c r="AL732" s="120"/>
      <c r="AM732" s="120"/>
      <c r="AN732" s="120"/>
      <c r="AO732" s="120"/>
      <c r="AP732" s="120"/>
      <c r="AQ732" s="120"/>
      <c r="AR732" s="120"/>
      <c r="AS732" s="120"/>
      <c r="AT732" s="120"/>
      <c r="AU732" s="120"/>
      <c r="AY732" s="120"/>
      <c r="AZ732" s="120"/>
    </row>
    <row r="733" s="11" customFormat="1" ht="16.5" spans="1:52">
      <c r="A733" s="165">
        <v>2263</v>
      </c>
      <c r="B733" s="55" t="s">
        <v>1677</v>
      </c>
      <c r="C733" s="119" t="s">
        <v>1678</v>
      </c>
      <c r="D733" s="11">
        <v>0</v>
      </c>
      <c r="E733" s="120"/>
      <c r="F733" s="11">
        <v>1</v>
      </c>
      <c r="G733" s="11">
        <v>2</v>
      </c>
      <c r="H733" s="11">
        <v>2</v>
      </c>
      <c r="I733" s="56">
        <v>0.5</v>
      </c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  <c r="AC733" s="120"/>
      <c r="AD733" s="120"/>
      <c r="AE733" s="120"/>
      <c r="AF733" s="120"/>
      <c r="AG733" s="120"/>
      <c r="AH733" s="120"/>
      <c r="AI733" s="120"/>
      <c r="AJ733" s="120"/>
      <c r="AK733" s="120"/>
      <c r="AL733" s="120"/>
      <c r="AM733" s="120"/>
      <c r="AN733" s="120"/>
      <c r="AO733" s="120"/>
      <c r="AP733" s="120"/>
      <c r="AQ733" s="120"/>
      <c r="AR733" s="120"/>
      <c r="AS733" s="120"/>
      <c r="AT733" s="120"/>
      <c r="AU733" s="120"/>
      <c r="AY733" s="120"/>
      <c r="AZ733" s="120"/>
    </row>
    <row r="734" s="11" customFormat="1" ht="16.5" spans="1:52">
      <c r="A734" s="165">
        <v>2264</v>
      </c>
      <c r="B734" s="55" t="s">
        <v>1679</v>
      </c>
      <c r="C734" s="119" t="s">
        <v>1680</v>
      </c>
      <c r="D734" s="11">
        <v>0</v>
      </c>
      <c r="E734" s="120"/>
      <c r="F734" s="11">
        <v>1</v>
      </c>
      <c r="G734" s="11">
        <v>2</v>
      </c>
      <c r="H734" s="11">
        <v>2</v>
      </c>
      <c r="I734" s="56">
        <v>0.5</v>
      </c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  <c r="AA734" s="120"/>
      <c r="AB734" s="120"/>
      <c r="AC734" s="120"/>
      <c r="AD734" s="120"/>
      <c r="AE734" s="120"/>
      <c r="AF734" s="120"/>
      <c r="AG734" s="120"/>
      <c r="AH734" s="120"/>
      <c r="AI734" s="120"/>
      <c r="AJ734" s="120"/>
      <c r="AK734" s="120"/>
      <c r="AL734" s="120"/>
      <c r="AM734" s="120"/>
      <c r="AN734" s="120"/>
      <c r="AO734" s="120"/>
      <c r="AP734" s="120"/>
      <c r="AQ734" s="120"/>
      <c r="AR734" s="120"/>
      <c r="AS734" s="120"/>
      <c r="AT734" s="120"/>
      <c r="AU734" s="120"/>
      <c r="AY734" s="120"/>
      <c r="AZ734" s="120"/>
    </row>
    <row r="735" s="11" customFormat="1" ht="16.5" spans="1:52">
      <c r="A735" s="165">
        <v>2265</v>
      </c>
      <c r="B735" s="55" t="s">
        <v>1681</v>
      </c>
      <c r="C735" s="119" t="s">
        <v>1682</v>
      </c>
      <c r="D735" s="11">
        <v>0</v>
      </c>
      <c r="E735" s="120"/>
      <c r="F735" s="11">
        <v>1</v>
      </c>
      <c r="G735" s="11">
        <v>2</v>
      </c>
      <c r="H735" s="11">
        <v>2</v>
      </c>
      <c r="I735" s="56">
        <v>0.5</v>
      </c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  <c r="AA735" s="120"/>
      <c r="AB735" s="120"/>
      <c r="AC735" s="120"/>
      <c r="AD735" s="120"/>
      <c r="AE735" s="120"/>
      <c r="AF735" s="120"/>
      <c r="AG735" s="120"/>
      <c r="AH735" s="120"/>
      <c r="AI735" s="120"/>
      <c r="AJ735" s="120"/>
      <c r="AK735" s="120"/>
      <c r="AL735" s="120"/>
      <c r="AM735" s="120"/>
      <c r="AN735" s="120"/>
      <c r="AO735" s="120"/>
      <c r="AP735" s="120"/>
      <c r="AQ735" s="120"/>
      <c r="AR735" s="120"/>
      <c r="AS735" s="120"/>
      <c r="AT735" s="120"/>
      <c r="AU735" s="120"/>
      <c r="AY735" s="120"/>
      <c r="AZ735" s="120"/>
    </row>
    <row r="736" s="11" customFormat="1" ht="16.5" spans="1:52">
      <c r="A736" s="165">
        <v>2266</v>
      </c>
      <c r="B736" s="55" t="s">
        <v>1683</v>
      </c>
      <c r="C736" s="119" t="s">
        <v>1684</v>
      </c>
      <c r="D736" s="11">
        <v>0</v>
      </c>
      <c r="E736" s="120"/>
      <c r="F736" s="11">
        <v>1</v>
      </c>
      <c r="G736" s="11">
        <v>2</v>
      </c>
      <c r="H736" s="11">
        <v>2</v>
      </c>
      <c r="I736" s="56">
        <v>0.5</v>
      </c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  <c r="AA736" s="120"/>
      <c r="AB736" s="120"/>
      <c r="AC736" s="120"/>
      <c r="AD736" s="120"/>
      <c r="AE736" s="120"/>
      <c r="AF736" s="120"/>
      <c r="AG736" s="120"/>
      <c r="AH736" s="120"/>
      <c r="AI736" s="120"/>
      <c r="AJ736" s="120"/>
      <c r="AK736" s="120"/>
      <c r="AL736" s="120"/>
      <c r="AM736" s="120"/>
      <c r="AN736" s="120"/>
      <c r="AO736" s="120"/>
      <c r="AP736" s="120"/>
      <c r="AQ736" s="120"/>
      <c r="AR736" s="120"/>
      <c r="AS736" s="120"/>
      <c r="AT736" s="120"/>
      <c r="AU736" s="120"/>
      <c r="AY736" s="120"/>
      <c r="AZ736" s="120"/>
    </row>
    <row r="737" s="11" customFormat="1" ht="16.5" spans="1:52">
      <c r="A737" s="165">
        <v>2267</v>
      </c>
      <c r="B737" s="55" t="s">
        <v>1685</v>
      </c>
      <c r="C737" s="119" t="s">
        <v>1686</v>
      </c>
      <c r="D737" s="11">
        <v>1</v>
      </c>
      <c r="E737" s="120"/>
      <c r="F737" s="11">
        <v>1</v>
      </c>
      <c r="G737" s="11">
        <v>3</v>
      </c>
      <c r="H737" s="11">
        <v>3.45</v>
      </c>
      <c r="I737" s="56">
        <v>0.5</v>
      </c>
      <c r="J737" s="120" t="s">
        <v>115</v>
      </c>
      <c r="K737" s="120"/>
      <c r="L737" s="120">
        <f t="shared" ref="L737:L740" si="69">3/30</f>
        <v>0.1</v>
      </c>
      <c r="M737" s="120">
        <f>15/30</f>
        <v>0.5</v>
      </c>
      <c r="N737" s="120"/>
      <c r="O737" s="120"/>
      <c r="P737" s="120">
        <f>4/30</f>
        <v>0.133333333333333</v>
      </c>
      <c r="Q737" s="120">
        <f>15/30</f>
        <v>0.5</v>
      </c>
      <c r="T737" s="120">
        <v>2.4</v>
      </c>
      <c r="U737" s="120"/>
      <c r="V737" s="120"/>
      <c r="W737" s="120"/>
      <c r="X737" s="120"/>
      <c r="Y737" s="120"/>
      <c r="Z737" s="120"/>
      <c r="AA737" s="120"/>
      <c r="AB737" s="120"/>
      <c r="AC737" s="120"/>
      <c r="AD737" s="120"/>
      <c r="AE737" s="120"/>
      <c r="AF737" s="120"/>
      <c r="AG737" s="120"/>
      <c r="AH737" s="120"/>
      <c r="AI737" s="120"/>
      <c r="AJ737" s="120"/>
      <c r="AK737" s="120">
        <v>0</v>
      </c>
      <c r="AL737" s="120"/>
      <c r="AM737" s="120"/>
      <c r="AN737" s="120"/>
      <c r="AO737" s="120"/>
      <c r="AP737" s="120"/>
      <c r="AQ737" s="120"/>
      <c r="AR737" s="120"/>
      <c r="AS737" s="120"/>
      <c r="AT737" s="120"/>
      <c r="AU737" s="120"/>
      <c r="AY737" s="120"/>
      <c r="AZ737" s="120"/>
    </row>
    <row r="738" s="11" customFormat="1" ht="16.5" spans="1:52">
      <c r="A738" s="165">
        <v>2268</v>
      </c>
      <c r="B738" s="55" t="s">
        <v>1687</v>
      </c>
      <c r="C738" s="119" t="s">
        <v>1688</v>
      </c>
      <c r="D738" s="11">
        <v>1</v>
      </c>
      <c r="E738" s="120"/>
      <c r="F738" s="11">
        <v>1</v>
      </c>
      <c r="G738" s="11">
        <v>2</v>
      </c>
      <c r="H738" s="11">
        <v>2.35</v>
      </c>
      <c r="I738" s="56">
        <v>0.5</v>
      </c>
      <c r="J738" s="120"/>
      <c r="K738" s="120"/>
      <c r="L738" s="120">
        <v>0.0666666666666667</v>
      </c>
      <c r="M738" s="120">
        <v>0.466666666666667</v>
      </c>
      <c r="N738" s="120"/>
      <c r="O738" s="120"/>
      <c r="P738" s="120">
        <v>0.1</v>
      </c>
      <c r="Q738" s="120">
        <v>0.433333333333333</v>
      </c>
      <c r="R738" s="120"/>
      <c r="S738" s="120"/>
      <c r="T738" s="120"/>
      <c r="U738" s="120"/>
      <c r="V738" s="120"/>
      <c r="W738" s="120"/>
      <c r="X738" s="120"/>
      <c r="Y738" s="120"/>
      <c r="Z738" s="120"/>
      <c r="AA738" s="120"/>
      <c r="AB738" s="120"/>
      <c r="AC738" s="120"/>
      <c r="AD738" s="120"/>
      <c r="AE738" s="120"/>
      <c r="AF738" s="120"/>
      <c r="AG738" s="120"/>
      <c r="AH738" s="120"/>
      <c r="AI738" s="120"/>
      <c r="AJ738" s="120"/>
      <c r="AK738" s="120"/>
      <c r="AL738" s="120"/>
      <c r="AM738" s="120"/>
      <c r="AN738" s="120"/>
      <c r="AO738" s="120"/>
      <c r="AP738" s="120"/>
      <c r="AQ738" s="120"/>
      <c r="AR738" s="120"/>
      <c r="AS738" s="120"/>
      <c r="AT738" s="120"/>
      <c r="AU738" s="120"/>
      <c r="AY738" s="120"/>
      <c r="AZ738" s="120"/>
    </row>
    <row r="739" s="11" customFormat="1" ht="16.5" spans="1:52">
      <c r="A739" s="165">
        <v>2269</v>
      </c>
      <c r="B739" s="55" t="s">
        <v>1689</v>
      </c>
      <c r="C739" s="119" t="s">
        <v>1690</v>
      </c>
      <c r="D739" s="11">
        <v>1</v>
      </c>
      <c r="E739" s="120"/>
      <c r="F739" s="11">
        <v>1</v>
      </c>
      <c r="G739" s="11">
        <v>2.3</v>
      </c>
      <c r="H739" s="11">
        <v>2.26</v>
      </c>
      <c r="I739" s="56">
        <v>0.5</v>
      </c>
      <c r="J739" s="120" t="s">
        <v>115</v>
      </c>
      <c r="K739" s="120"/>
      <c r="L739" s="120">
        <f t="shared" si="69"/>
        <v>0.1</v>
      </c>
      <c r="M739" s="120">
        <f>15/30</f>
        <v>0.5</v>
      </c>
      <c r="N739" s="120"/>
      <c r="O739" s="120"/>
      <c r="P739" s="120">
        <v>0.1</v>
      </c>
      <c r="Q739" s="120">
        <f>15/30</f>
        <v>0.5</v>
      </c>
      <c r="R739" s="120"/>
      <c r="S739" s="120"/>
      <c r="T739" s="120">
        <v>2.4</v>
      </c>
      <c r="U739" s="120"/>
      <c r="V739" s="120"/>
      <c r="W739" s="120"/>
      <c r="X739" s="120"/>
      <c r="Y739" s="120"/>
      <c r="Z739" s="120"/>
      <c r="AA739" s="120"/>
      <c r="AB739" s="120"/>
      <c r="AC739" s="120"/>
      <c r="AD739" s="120"/>
      <c r="AE739" s="120"/>
      <c r="AF739" s="120"/>
      <c r="AG739" s="120"/>
      <c r="AH739" s="120"/>
      <c r="AI739" s="120"/>
      <c r="AJ739" s="120"/>
      <c r="AK739" s="120">
        <v>0</v>
      </c>
      <c r="AL739" s="120"/>
      <c r="AM739" s="120"/>
      <c r="AN739" s="120"/>
      <c r="AO739" s="120"/>
      <c r="AP739" s="120"/>
      <c r="AQ739" s="120"/>
      <c r="AR739" s="120"/>
      <c r="AS739" s="120"/>
      <c r="AT739" s="120"/>
      <c r="AU739" s="120"/>
      <c r="AY739" s="120"/>
      <c r="AZ739" s="120"/>
    </row>
    <row r="740" s="11" customFormat="1" ht="16.5" spans="1:52">
      <c r="A740" s="165">
        <v>2270</v>
      </c>
      <c r="B740" s="55" t="s">
        <v>1691</v>
      </c>
      <c r="C740" s="119" t="s">
        <v>1692</v>
      </c>
      <c r="D740" s="11">
        <v>1</v>
      </c>
      <c r="E740" s="120">
        <v>1</v>
      </c>
      <c r="F740" s="11">
        <v>1</v>
      </c>
      <c r="G740" s="11">
        <v>2</v>
      </c>
      <c r="H740" s="11">
        <v>2.3</v>
      </c>
      <c r="I740" s="56">
        <v>0.3</v>
      </c>
      <c r="J740" s="56" t="s">
        <v>115</v>
      </c>
      <c r="K740" s="56"/>
      <c r="L740" s="11">
        <f t="shared" si="69"/>
        <v>0.1</v>
      </c>
      <c r="M740" s="56">
        <f>18/30</f>
        <v>0.6</v>
      </c>
      <c r="P740" s="56">
        <f>3/30</f>
        <v>0.1</v>
      </c>
      <c r="Q740" s="56">
        <f>17/30</f>
        <v>0.566666666666667</v>
      </c>
      <c r="T740" s="11">
        <v>2.4</v>
      </c>
      <c r="U740" s="65">
        <v>0</v>
      </c>
      <c r="V740" s="65"/>
      <c r="X740" s="11">
        <v>-2.1</v>
      </c>
      <c r="Y740" s="11">
        <v>0.92</v>
      </c>
      <c r="Z740" s="11">
        <v>-3.1</v>
      </c>
      <c r="AA740" s="11">
        <v>0.9</v>
      </c>
      <c r="AB740" s="11">
        <v>1</v>
      </c>
      <c r="AC740" s="62">
        <v>2961</v>
      </c>
      <c r="AD740" s="11" t="s">
        <v>153</v>
      </c>
      <c r="AE740" s="69"/>
      <c r="AF740" s="11">
        <v>801</v>
      </c>
      <c r="AG740" s="11" t="s">
        <v>116</v>
      </c>
      <c r="AH740" s="11" t="s">
        <v>121</v>
      </c>
      <c r="AK740" s="71">
        <v>0</v>
      </c>
      <c r="AR740" s="120"/>
      <c r="AS740" s="120"/>
      <c r="AT740" s="120"/>
      <c r="AU740" s="120"/>
      <c r="AV740" s="11" t="s">
        <v>118</v>
      </c>
      <c r="AW740" s="11" t="s">
        <v>118</v>
      </c>
      <c r="AY740" s="62">
        <v>2961</v>
      </c>
      <c r="AZ740" s="11" t="s">
        <v>153</v>
      </c>
    </row>
    <row r="741" s="11" customFormat="1" ht="16.5" spans="1:52">
      <c r="A741" s="165">
        <v>2271</v>
      </c>
      <c r="B741" s="55" t="s">
        <v>999</v>
      </c>
      <c r="C741" s="119" t="s">
        <v>1000</v>
      </c>
      <c r="D741" s="11">
        <v>1</v>
      </c>
      <c r="E741" s="120"/>
      <c r="F741" s="11">
        <v>1</v>
      </c>
      <c r="G741" s="11">
        <v>2</v>
      </c>
      <c r="H741" s="11">
        <v>2</v>
      </c>
      <c r="I741" s="56">
        <v>0.5</v>
      </c>
      <c r="J741" s="120"/>
      <c r="K741" s="120"/>
      <c r="L741" s="123">
        <v>0.133333</v>
      </c>
      <c r="M741" s="123">
        <f>19/30</f>
        <v>0.633333333333333</v>
      </c>
      <c r="N741" s="123"/>
      <c r="O741" s="123"/>
      <c r="P741" s="123">
        <v>0.066666667</v>
      </c>
      <c r="Q741" s="123">
        <f>16/30</f>
        <v>0.533333333333333</v>
      </c>
      <c r="R741" s="120"/>
      <c r="S741" s="120"/>
      <c r="T741" s="120"/>
      <c r="U741" s="120"/>
      <c r="V741" s="120"/>
      <c r="W741" s="120"/>
      <c r="X741" s="120"/>
      <c r="Y741" s="120"/>
      <c r="Z741" s="120"/>
      <c r="AA741" s="120"/>
      <c r="AB741" s="120"/>
      <c r="AC741" s="120"/>
      <c r="AD741" s="120"/>
      <c r="AE741" s="120"/>
      <c r="AF741" s="120"/>
      <c r="AG741" s="120"/>
      <c r="AH741" s="120"/>
      <c r="AI741" s="120"/>
      <c r="AJ741" s="120"/>
      <c r="AK741" s="120"/>
      <c r="AL741" s="120"/>
      <c r="AM741" s="120"/>
      <c r="AN741" s="120"/>
      <c r="AO741" s="120"/>
      <c r="AP741" s="120"/>
      <c r="AQ741" s="120"/>
      <c r="AR741" s="120"/>
      <c r="AS741" s="120"/>
      <c r="AT741" s="120"/>
      <c r="AU741" s="120"/>
      <c r="AY741" s="120"/>
      <c r="AZ741" s="120"/>
    </row>
    <row r="742" s="11" customFormat="1" ht="16.5" spans="1:52">
      <c r="A742" s="165">
        <v>2272</v>
      </c>
      <c r="B742" s="55" t="s">
        <v>1693</v>
      </c>
      <c r="C742" s="119" t="s">
        <v>1694</v>
      </c>
      <c r="D742" s="11">
        <v>0</v>
      </c>
      <c r="E742" s="120"/>
      <c r="F742" s="11">
        <v>1</v>
      </c>
      <c r="G742" s="11">
        <v>3</v>
      </c>
      <c r="H742" s="11">
        <v>2</v>
      </c>
      <c r="I742" s="56">
        <v>0.5</v>
      </c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  <c r="AA742" s="120"/>
      <c r="AB742" s="120"/>
      <c r="AC742" s="120"/>
      <c r="AD742" s="120"/>
      <c r="AE742" s="120"/>
      <c r="AF742" s="120"/>
      <c r="AG742" s="120"/>
      <c r="AH742" s="120"/>
      <c r="AI742" s="120"/>
      <c r="AJ742" s="120"/>
      <c r="AK742" s="120"/>
      <c r="AL742" s="120"/>
      <c r="AM742" s="120"/>
      <c r="AN742" s="120"/>
      <c r="AO742" s="120"/>
      <c r="AP742" s="120"/>
      <c r="AQ742" s="120"/>
      <c r="AR742" s="120"/>
      <c r="AS742" s="120"/>
      <c r="AT742" s="120"/>
      <c r="AU742" s="120"/>
      <c r="AY742" s="120"/>
      <c r="AZ742" s="120"/>
    </row>
    <row r="743" s="11" customFormat="1" ht="16.5" spans="1:52">
      <c r="A743" s="165">
        <v>2273</v>
      </c>
      <c r="B743" s="55" t="s">
        <v>1695</v>
      </c>
      <c r="C743" s="119" t="s">
        <v>1696</v>
      </c>
      <c r="D743" s="56">
        <v>1</v>
      </c>
      <c r="F743" s="11">
        <v>1</v>
      </c>
      <c r="G743" s="118">
        <v>3.2</v>
      </c>
      <c r="H743" s="118">
        <v>3.4</v>
      </c>
      <c r="I743" s="56">
        <v>0.5</v>
      </c>
      <c r="J743" s="56" t="s">
        <v>115</v>
      </c>
      <c r="K743" s="56"/>
      <c r="L743" s="56">
        <f>3/30</f>
        <v>0.1</v>
      </c>
      <c r="M743" s="56">
        <f>15/30</f>
        <v>0.5</v>
      </c>
      <c r="P743" s="56">
        <f>4/30</f>
        <v>0.133333333333333</v>
      </c>
      <c r="Q743" s="56">
        <f>14/30</f>
        <v>0.466666666666667</v>
      </c>
      <c r="T743" s="11">
        <v>2.4</v>
      </c>
      <c r="U743" s="65"/>
      <c r="V743" s="65"/>
      <c r="AD743" s="69"/>
      <c r="AE743" s="69"/>
      <c r="AK743" s="97">
        <v>0</v>
      </c>
      <c r="AZ743" s="69"/>
    </row>
    <row r="744" s="11" customFormat="1" ht="16.5" spans="1:52">
      <c r="A744" s="165">
        <v>2274</v>
      </c>
      <c r="B744" s="55" t="s">
        <v>1697</v>
      </c>
      <c r="C744" s="119" t="s">
        <v>1698</v>
      </c>
      <c r="D744" s="11">
        <v>0</v>
      </c>
      <c r="E744" s="120"/>
      <c r="F744" s="11">
        <v>1</v>
      </c>
      <c r="G744" s="11">
        <v>2</v>
      </c>
      <c r="H744" s="11">
        <v>2</v>
      </c>
      <c r="I744" s="56">
        <v>0.5</v>
      </c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  <c r="AA744" s="120"/>
      <c r="AB744" s="120"/>
      <c r="AC744" s="120"/>
      <c r="AD744" s="120"/>
      <c r="AE744" s="120"/>
      <c r="AF744" s="120"/>
      <c r="AG744" s="120"/>
      <c r="AH744" s="120"/>
      <c r="AI744" s="120"/>
      <c r="AJ744" s="120"/>
      <c r="AK744" s="120"/>
      <c r="AL744" s="120"/>
      <c r="AM744" s="120"/>
      <c r="AN744" s="120"/>
      <c r="AO744" s="120"/>
      <c r="AP744" s="120"/>
      <c r="AQ744" s="120"/>
      <c r="AR744" s="120"/>
      <c r="AS744" s="120"/>
      <c r="AT744" s="120"/>
      <c r="AU744" s="120"/>
      <c r="AY744" s="120"/>
      <c r="AZ744" s="120"/>
    </row>
    <row r="745" s="11" customFormat="1" ht="16.5" spans="1:52">
      <c r="A745" s="165">
        <v>2275</v>
      </c>
      <c r="B745" s="55" t="s">
        <v>1699</v>
      </c>
      <c r="C745" s="119" t="s">
        <v>1700</v>
      </c>
      <c r="D745" s="11">
        <v>0</v>
      </c>
      <c r="E745" s="120"/>
      <c r="F745" s="11">
        <v>1</v>
      </c>
      <c r="G745" s="11">
        <v>2</v>
      </c>
      <c r="H745" s="11">
        <v>2</v>
      </c>
      <c r="I745" s="56">
        <v>0.5</v>
      </c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  <c r="AC745" s="120"/>
      <c r="AD745" s="120"/>
      <c r="AE745" s="120"/>
      <c r="AF745" s="120"/>
      <c r="AG745" s="120"/>
      <c r="AH745" s="120"/>
      <c r="AI745" s="120"/>
      <c r="AJ745" s="120"/>
      <c r="AK745" s="120"/>
      <c r="AL745" s="120"/>
      <c r="AM745" s="120"/>
      <c r="AN745" s="120"/>
      <c r="AO745" s="120"/>
      <c r="AP745" s="120"/>
      <c r="AQ745" s="120"/>
      <c r="AR745" s="120"/>
      <c r="AS745" s="120"/>
      <c r="AT745" s="120"/>
      <c r="AU745" s="120"/>
      <c r="AY745" s="120"/>
      <c r="AZ745" s="120"/>
    </row>
    <row r="746" s="11" customFormat="1" ht="16.5" spans="1:52">
      <c r="A746" s="165">
        <v>2276</v>
      </c>
      <c r="B746" s="55" t="s">
        <v>1701</v>
      </c>
      <c r="C746" s="119" t="s">
        <v>1702</v>
      </c>
      <c r="D746" s="11">
        <v>0</v>
      </c>
      <c r="E746" s="120"/>
      <c r="F746" s="11">
        <v>1</v>
      </c>
      <c r="G746" s="11">
        <v>2</v>
      </c>
      <c r="H746" s="11">
        <v>2</v>
      </c>
      <c r="I746" s="56">
        <v>0.5</v>
      </c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  <c r="AA746" s="120"/>
      <c r="AB746" s="120"/>
      <c r="AC746" s="120"/>
      <c r="AD746" s="120"/>
      <c r="AE746" s="120"/>
      <c r="AF746" s="120"/>
      <c r="AG746" s="120"/>
      <c r="AH746" s="120"/>
      <c r="AI746" s="120"/>
      <c r="AJ746" s="120"/>
      <c r="AK746" s="120"/>
      <c r="AL746" s="120"/>
      <c r="AM746" s="120"/>
      <c r="AN746" s="120"/>
      <c r="AO746" s="120"/>
      <c r="AP746" s="120"/>
      <c r="AQ746" s="120"/>
      <c r="AR746" s="120"/>
      <c r="AS746" s="120"/>
      <c r="AT746" s="120"/>
      <c r="AU746" s="120"/>
      <c r="AY746" s="120"/>
      <c r="AZ746" s="120"/>
    </row>
    <row r="747" s="11" customFormat="1" ht="16.5" spans="1:52">
      <c r="A747" s="165">
        <v>2277</v>
      </c>
      <c r="B747" s="55" t="s">
        <v>1703</v>
      </c>
      <c r="C747" s="119" t="s">
        <v>1704</v>
      </c>
      <c r="D747" s="11">
        <v>0</v>
      </c>
      <c r="E747" s="120"/>
      <c r="F747" s="11">
        <v>1</v>
      </c>
      <c r="G747" s="11">
        <v>2</v>
      </c>
      <c r="H747" s="11">
        <v>2</v>
      </c>
      <c r="I747" s="56">
        <v>0.5</v>
      </c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  <c r="AA747" s="120"/>
      <c r="AB747" s="120"/>
      <c r="AC747" s="120"/>
      <c r="AD747" s="120"/>
      <c r="AE747" s="120"/>
      <c r="AF747" s="120"/>
      <c r="AG747" s="120"/>
      <c r="AH747" s="120"/>
      <c r="AI747" s="120"/>
      <c r="AJ747" s="120"/>
      <c r="AK747" s="120"/>
      <c r="AL747" s="120"/>
      <c r="AM747" s="120"/>
      <c r="AN747" s="120"/>
      <c r="AO747" s="120"/>
      <c r="AP747" s="120"/>
      <c r="AQ747" s="120"/>
      <c r="AR747" s="120"/>
      <c r="AS747" s="120"/>
      <c r="AT747" s="120"/>
      <c r="AU747" s="120"/>
      <c r="AY747" s="120"/>
      <c r="AZ747" s="120"/>
    </row>
    <row r="748" s="11" customFormat="1" ht="16.5" spans="1:52">
      <c r="A748" s="165">
        <v>2278</v>
      </c>
      <c r="B748" s="55" t="s">
        <v>1705</v>
      </c>
      <c r="C748" s="119" t="s">
        <v>1706</v>
      </c>
      <c r="D748" s="11">
        <v>0</v>
      </c>
      <c r="E748" s="120"/>
      <c r="F748" s="11">
        <v>1</v>
      </c>
      <c r="G748" s="11">
        <v>2</v>
      </c>
      <c r="H748" s="11">
        <v>2</v>
      </c>
      <c r="I748" s="56">
        <v>0.5</v>
      </c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  <c r="AA748" s="120"/>
      <c r="AB748" s="120"/>
      <c r="AC748" s="120"/>
      <c r="AD748" s="120"/>
      <c r="AE748" s="120"/>
      <c r="AF748" s="120"/>
      <c r="AG748" s="120"/>
      <c r="AH748" s="120"/>
      <c r="AI748" s="120"/>
      <c r="AJ748" s="120"/>
      <c r="AK748" s="120"/>
      <c r="AL748" s="120"/>
      <c r="AM748" s="120"/>
      <c r="AN748" s="120"/>
      <c r="AO748" s="120"/>
      <c r="AP748" s="120"/>
      <c r="AQ748" s="120"/>
      <c r="AR748" s="120"/>
      <c r="AS748" s="120"/>
      <c r="AT748" s="120"/>
      <c r="AU748" s="120"/>
      <c r="AY748" s="120"/>
      <c r="AZ748" s="120"/>
    </row>
    <row r="749" s="11" customFormat="1" ht="16.5" spans="1:52">
      <c r="A749" s="165">
        <v>2279</v>
      </c>
      <c r="B749" s="55" t="s">
        <v>1707</v>
      </c>
      <c r="C749" s="119" t="s">
        <v>1708</v>
      </c>
      <c r="D749" s="11">
        <v>0</v>
      </c>
      <c r="E749" s="120"/>
      <c r="F749" s="11">
        <v>1</v>
      </c>
      <c r="G749" s="11">
        <v>2</v>
      </c>
      <c r="H749" s="11">
        <v>2</v>
      </c>
      <c r="I749" s="56">
        <v>0.5</v>
      </c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  <c r="AA749" s="120"/>
      <c r="AB749" s="120"/>
      <c r="AC749" s="120"/>
      <c r="AD749" s="120"/>
      <c r="AE749" s="120"/>
      <c r="AF749" s="120"/>
      <c r="AG749" s="120"/>
      <c r="AH749" s="120"/>
      <c r="AI749" s="120"/>
      <c r="AJ749" s="120"/>
      <c r="AK749" s="120"/>
      <c r="AL749" s="120"/>
      <c r="AM749" s="120"/>
      <c r="AN749" s="120"/>
      <c r="AO749" s="120"/>
      <c r="AP749" s="120"/>
      <c r="AQ749" s="120"/>
      <c r="AR749" s="120"/>
      <c r="AS749" s="120"/>
      <c r="AT749" s="120"/>
      <c r="AU749" s="120"/>
      <c r="AY749" s="120"/>
      <c r="AZ749" s="120"/>
    </row>
    <row r="750" s="11" customFormat="1" ht="16.5" spans="1:52">
      <c r="A750" s="165">
        <v>2280</v>
      </c>
      <c r="B750" s="55" t="s">
        <v>1709</v>
      </c>
      <c r="C750" s="119" t="s">
        <v>1710</v>
      </c>
      <c r="D750" s="11">
        <v>0</v>
      </c>
      <c r="E750" s="120"/>
      <c r="F750" s="11">
        <v>1</v>
      </c>
      <c r="G750" s="11">
        <v>2</v>
      </c>
      <c r="H750" s="11">
        <v>2</v>
      </c>
      <c r="I750" s="56">
        <v>0.5</v>
      </c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  <c r="AA750" s="120"/>
      <c r="AB750" s="120"/>
      <c r="AC750" s="120"/>
      <c r="AD750" s="120"/>
      <c r="AE750" s="120"/>
      <c r="AF750" s="120"/>
      <c r="AG750" s="120"/>
      <c r="AH750" s="120"/>
      <c r="AI750" s="120"/>
      <c r="AJ750" s="120"/>
      <c r="AK750" s="120"/>
      <c r="AL750" s="120"/>
      <c r="AM750" s="120"/>
      <c r="AN750" s="120"/>
      <c r="AO750" s="120"/>
      <c r="AP750" s="120"/>
      <c r="AQ750" s="120"/>
      <c r="AR750" s="120"/>
      <c r="AS750" s="120"/>
      <c r="AT750" s="120"/>
      <c r="AU750" s="120"/>
      <c r="AY750" s="120"/>
      <c r="AZ750" s="120"/>
    </row>
    <row r="751" s="11" customFormat="1" ht="16.5" spans="1:52">
      <c r="A751" s="165">
        <v>2281</v>
      </c>
      <c r="B751" s="55" t="s">
        <v>1711</v>
      </c>
      <c r="C751" s="119" t="s">
        <v>1712</v>
      </c>
      <c r="D751" s="11">
        <v>0</v>
      </c>
      <c r="E751" s="120"/>
      <c r="F751" s="11">
        <v>1</v>
      </c>
      <c r="G751" s="11">
        <v>2</v>
      </c>
      <c r="H751" s="11">
        <v>2</v>
      </c>
      <c r="I751" s="56">
        <v>0.5</v>
      </c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  <c r="AA751" s="120"/>
      <c r="AB751" s="120"/>
      <c r="AC751" s="120"/>
      <c r="AD751" s="120"/>
      <c r="AE751" s="120"/>
      <c r="AF751" s="120"/>
      <c r="AG751" s="120"/>
      <c r="AH751" s="120"/>
      <c r="AI751" s="120"/>
      <c r="AJ751" s="120"/>
      <c r="AK751" s="120"/>
      <c r="AL751" s="120"/>
      <c r="AM751" s="120"/>
      <c r="AN751" s="120"/>
      <c r="AO751" s="120"/>
      <c r="AP751" s="120"/>
      <c r="AQ751" s="120"/>
      <c r="AR751" s="120"/>
      <c r="AS751" s="120"/>
      <c r="AT751" s="120"/>
      <c r="AU751" s="120"/>
      <c r="AY751" s="120"/>
      <c r="AZ751" s="120"/>
    </row>
    <row r="752" s="11" customFormat="1" ht="16.5" spans="1:52">
      <c r="A752" s="165">
        <v>2282</v>
      </c>
      <c r="B752" s="55" t="s">
        <v>1713</v>
      </c>
      <c r="C752" s="119" t="s">
        <v>1714</v>
      </c>
      <c r="D752" s="11">
        <v>0</v>
      </c>
      <c r="E752" s="120"/>
      <c r="F752" s="11">
        <v>1</v>
      </c>
      <c r="G752" s="11">
        <v>2</v>
      </c>
      <c r="H752" s="11">
        <v>2</v>
      </c>
      <c r="I752" s="56">
        <v>0.5</v>
      </c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  <c r="AA752" s="120"/>
      <c r="AB752" s="120"/>
      <c r="AC752" s="120"/>
      <c r="AD752" s="120"/>
      <c r="AE752" s="120"/>
      <c r="AF752" s="120"/>
      <c r="AG752" s="120"/>
      <c r="AH752" s="120"/>
      <c r="AI752" s="120"/>
      <c r="AJ752" s="120"/>
      <c r="AK752" s="120"/>
      <c r="AL752" s="120"/>
      <c r="AM752" s="120"/>
      <c r="AN752" s="120"/>
      <c r="AO752" s="120"/>
      <c r="AP752" s="120"/>
      <c r="AQ752" s="120"/>
      <c r="AR752" s="120"/>
      <c r="AS752" s="120"/>
      <c r="AT752" s="120"/>
      <c r="AU752" s="120"/>
      <c r="AY752" s="120"/>
      <c r="AZ752" s="120"/>
    </row>
    <row r="753" s="11" customFormat="1" ht="16.5" spans="1:52">
      <c r="A753" s="165">
        <v>2283</v>
      </c>
      <c r="B753" s="55" t="s">
        <v>1715</v>
      </c>
      <c r="C753" s="119" t="s">
        <v>1716</v>
      </c>
      <c r="D753" s="11">
        <v>0</v>
      </c>
      <c r="E753" s="120"/>
      <c r="F753" s="11">
        <v>1</v>
      </c>
      <c r="G753" s="11">
        <v>2</v>
      </c>
      <c r="H753" s="11">
        <v>2</v>
      </c>
      <c r="I753" s="56">
        <v>0.5</v>
      </c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  <c r="AA753" s="120"/>
      <c r="AB753" s="120"/>
      <c r="AC753" s="120"/>
      <c r="AD753" s="120"/>
      <c r="AE753" s="120"/>
      <c r="AF753" s="120"/>
      <c r="AG753" s="120"/>
      <c r="AH753" s="120"/>
      <c r="AI753" s="120"/>
      <c r="AJ753" s="120"/>
      <c r="AK753" s="120"/>
      <c r="AL753" s="120"/>
      <c r="AM753" s="120"/>
      <c r="AN753" s="120"/>
      <c r="AO753" s="120"/>
      <c r="AP753" s="120"/>
      <c r="AQ753" s="120"/>
      <c r="AR753" s="120"/>
      <c r="AS753" s="120"/>
      <c r="AT753" s="120"/>
      <c r="AU753" s="120"/>
      <c r="AY753" s="120"/>
      <c r="AZ753" s="120"/>
    </row>
    <row r="754" s="11" customFormat="1" ht="16.5" spans="1:52">
      <c r="A754" s="165">
        <v>2284</v>
      </c>
      <c r="B754" s="55" t="s">
        <v>1717</v>
      </c>
      <c r="C754" s="119" t="s">
        <v>1718</v>
      </c>
      <c r="D754" s="11">
        <v>0</v>
      </c>
      <c r="E754" s="120"/>
      <c r="F754" s="11">
        <v>1</v>
      </c>
      <c r="G754" s="11">
        <v>2</v>
      </c>
      <c r="H754" s="11">
        <v>2</v>
      </c>
      <c r="I754" s="56">
        <v>0.5</v>
      </c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  <c r="AA754" s="120"/>
      <c r="AB754" s="120"/>
      <c r="AC754" s="120"/>
      <c r="AD754" s="120"/>
      <c r="AE754" s="120"/>
      <c r="AF754" s="120"/>
      <c r="AG754" s="120"/>
      <c r="AH754" s="120"/>
      <c r="AI754" s="120"/>
      <c r="AJ754" s="120"/>
      <c r="AK754" s="120"/>
      <c r="AL754" s="120"/>
      <c r="AM754" s="120"/>
      <c r="AN754" s="120"/>
      <c r="AO754" s="120"/>
      <c r="AP754" s="120"/>
      <c r="AQ754" s="120"/>
      <c r="AR754" s="120"/>
      <c r="AS754" s="120"/>
      <c r="AT754" s="120"/>
      <c r="AU754" s="120"/>
      <c r="AY754" s="120"/>
      <c r="AZ754" s="120"/>
    </row>
    <row r="755" s="11" customFormat="1" ht="16.5" spans="1:52">
      <c r="A755" s="165">
        <v>2285</v>
      </c>
      <c r="B755" s="55" t="s">
        <v>1719</v>
      </c>
      <c r="C755" s="119" t="s">
        <v>1720</v>
      </c>
      <c r="D755" s="11">
        <v>0</v>
      </c>
      <c r="E755" s="120"/>
      <c r="F755" s="11">
        <v>1</v>
      </c>
      <c r="G755" s="11">
        <v>2</v>
      </c>
      <c r="H755" s="11">
        <v>2</v>
      </c>
      <c r="I755" s="56">
        <v>0.5</v>
      </c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  <c r="AA755" s="120"/>
      <c r="AB755" s="120"/>
      <c r="AC755" s="120"/>
      <c r="AD755" s="120"/>
      <c r="AE755" s="120"/>
      <c r="AF755" s="120"/>
      <c r="AG755" s="120"/>
      <c r="AH755" s="120"/>
      <c r="AI755" s="120"/>
      <c r="AJ755" s="120"/>
      <c r="AK755" s="120"/>
      <c r="AL755" s="120"/>
      <c r="AM755" s="120"/>
      <c r="AN755" s="120"/>
      <c r="AO755" s="120"/>
      <c r="AP755" s="120"/>
      <c r="AQ755" s="120"/>
      <c r="AR755" s="120"/>
      <c r="AS755" s="120"/>
      <c r="AT755" s="120"/>
      <c r="AU755" s="120"/>
      <c r="AY755" s="120"/>
      <c r="AZ755" s="120"/>
    </row>
    <row r="756" s="11" customFormat="1" ht="16.5" spans="1:52">
      <c r="A756" s="165">
        <v>2286</v>
      </c>
      <c r="B756" s="55" t="s">
        <v>1721</v>
      </c>
      <c r="C756" s="119" t="s">
        <v>1722</v>
      </c>
      <c r="D756" s="11">
        <v>0</v>
      </c>
      <c r="E756" s="120"/>
      <c r="F756" s="11">
        <v>1</v>
      </c>
      <c r="G756" s="11">
        <v>2</v>
      </c>
      <c r="H756" s="11">
        <v>2</v>
      </c>
      <c r="I756" s="56">
        <v>0.5</v>
      </c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  <c r="AA756" s="120"/>
      <c r="AB756" s="120"/>
      <c r="AC756" s="120"/>
      <c r="AD756" s="120"/>
      <c r="AE756" s="120"/>
      <c r="AF756" s="120"/>
      <c r="AG756" s="120"/>
      <c r="AH756" s="120"/>
      <c r="AI756" s="120"/>
      <c r="AJ756" s="120"/>
      <c r="AK756" s="120"/>
      <c r="AL756" s="120"/>
      <c r="AM756" s="120"/>
      <c r="AN756" s="120"/>
      <c r="AO756" s="120"/>
      <c r="AP756" s="120"/>
      <c r="AQ756" s="120"/>
      <c r="AR756" s="120"/>
      <c r="AS756" s="120"/>
      <c r="AT756" s="120"/>
      <c r="AU756" s="120"/>
      <c r="AY756" s="120"/>
      <c r="AZ756" s="120"/>
    </row>
    <row r="757" s="11" customFormat="1" ht="16.5" spans="1:52">
      <c r="A757" s="165">
        <v>2287</v>
      </c>
      <c r="B757" s="55" t="s">
        <v>1723</v>
      </c>
      <c r="C757" s="119" t="s">
        <v>1724</v>
      </c>
      <c r="D757" s="56">
        <v>1</v>
      </c>
      <c r="F757" s="11">
        <v>0.8</v>
      </c>
      <c r="G757" s="56">
        <v>2.5</v>
      </c>
      <c r="H757" s="56">
        <v>3.8</v>
      </c>
      <c r="I757" s="56">
        <v>0.55</v>
      </c>
      <c r="J757" s="56" t="s">
        <v>115</v>
      </c>
      <c r="K757" s="56"/>
      <c r="L757" s="11">
        <f>3/30</f>
        <v>0.1</v>
      </c>
      <c r="M757" s="56">
        <f>16/30</f>
        <v>0.533333333333333</v>
      </c>
      <c r="P757" s="56">
        <f>3/30</f>
        <v>0.1</v>
      </c>
      <c r="Q757" s="56">
        <f>16/30</f>
        <v>0.533333333333333</v>
      </c>
      <c r="T757" s="11">
        <v>2.4</v>
      </c>
      <c r="U757" s="65"/>
      <c r="V757" s="65"/>
      <c r="AD757" s="69"/>
      <c r="AE757" s="69"/>
      <c r="AK757" s="97">
        <v>0</v>
      </c>
      <c r="AZ757" s="69"/>
    </row>
    <row r="758" s="11" customFormat="1" ht="16.5" spans="1:52">
      <c r="A758" s="165">
        <v>2288</v>
      </c>
      <c r="B758" s="55" t="s">
        <v>1725</v>
      </c>
      <c r="C758" s="119" t="s">
        <v>1726</v>
      </c>
      <c r="D758" s="11">
        <v>0</v>
      </c>
      <c r="E758" s="120"/>
      <c r="F758" s="11">
        <v>1</v>
      </c>
      <c r="G758" s="11">
        <v>2</v>
      </c>
      <c r="H758" s="11">
        <v>2</v>
      </c>
      <c r="I758" s="56">
        <v>0.5</v>
      </c>
      <c r="J758" s="56"/>
      <c r="K758" s="56"/>
      <c r="M758" s="56"/>
      <c r="P758" s="56"/>
      <c r="Q758" s="56"/>
      <c r="U758" s="65"/>
      <c r="V758" s="65"/>
      <c r="AD758" s="69"/>
      <c r="AE758" s="69"/>
      <c r="AK758" s="97"/>
      <c r="AZ758" s="69"/>
    </row>
    <row r="759" s="11" customFormat="1" ht="16.5" spans="1:52">
      <c r="A759" s="165">
        <v>2289</v>
      </c>
      <c r="B759" s="55" t="s">
        <v>1727</v>
      </c>
      <c r="C759" s="119" t="s">
        <v>1726</v>
      </c>
      <c r="D759" s="11">
        <v>0</v>
      </c>
      <c r="E759" s="120"/>
      <c r="F759" s="11">
        <v>1</v>
      </c>
      <c r="G759" s="11">
        <v>2</v>
      </c>
      <c r="H759" s="11">
        <v>2</v>
      </c>
      <c r="I759" s="56">
        <v>0.5</v>
      </c>
      <c r="J759" s="56"/>
      <c r="K759" s="56"/>
      <c r="M759" s="56"/>
      <c r="P759" s="56"/>
      <c r="Q759" s="56"/>
      <c r="U759" s="65"/>
      <c r="V759" s="65"/>
      <c r="AD759" s="69"/>
      <c r="AE759" s="69"/>
      <c r="AK759" s="97"/>
      <c r="AZ759" s="69"/>
    </row>
    <row r="760" s="11" customFormat="1" ht="16.5" spans="1:52">
      <c r="A760" s="165">
        <v>2290</v>
      </c>
      <c r="B760" s="55" t="s">
        <v>1728</v>
      </c>
      <c r="C760" s="119" t="s">
        <v>1729</v>
      </c>
      <c r="D760" s="11">
        <v>0</v>
      </c>
      <c r="E760" s="120"/>
      <c r="F760" s="11">
        <v>1</v>
      </c>
      <c r="G760" s="11">
        <v>2</v>
      </c>
      <c r="H760" s="11">
        <v>2</v>
      </c>
      <c r="I760" s="56">
        <v>0.5</v>
      </c>
      <c r="J760" s="56"/>
      <c r="K760" s="56"/>
      <c r="M760" s="56"/>
      <c r="P760" s="56"/>
      <c r="Q760" s="56"/>
      <c r="U760" s="65"/>
      <c r="V760" s="65"/>
      <c r="AD760" s="69"/>
      <c r="AE760" s="69"/>
      <c r="AK760" s="97"/>
      <c r="AZ760" s="69"/>
    </row>
    <row r="761" s="11" customFormat="1" ht="16.5" spans="1:52">
      <c r="A761" s="165">
        <v>2291</v>
      </c>
      <c r="B761" s="55" t="s">
        <v>1730</v>
      </c>
      <c r="C761" s="119" t="s">
        <v>1731</v>
      </c>
      <c r="D761" s="11">
        <v>0</v>
      </c>
      <c r="E761" s="120"/>
      <c r="F761" s="11">
        <v>1</v>
      </c>
      <c r="G761" s="11">
        <v>2</v>
      </c>
      <c r="H761" s="11">
        <v>2</v>
      </c>
      <c r="I761" s="56">
        <v>0.5</v>
      </c>
      <c r="J761" s="56"/>
      <c r="K761" s="56"/>
      <c r="M761" s="56"/>
      <c r="P761" s="56"/>
      <c r="Q761" s="56"/>
      <c r="U761" s="65"/>
      <c r="V761" s="65"/>
      <c r="AD761" s="69"/>
      <c r="AE761" s="69"/>
      <c r="AK761" s="97"/>
      <c r="AZ761" s="69"/>
    </row>
    <row r="762" s="11" customFormat="1" ht="16.5" spans="1:52">
      <c r="A762" s="165">
        <v>2292</v>
      </c>
      <c r="B762" s="55" t="s">
        <v>1732</v>
      </c>
      <c r="C762" s="119" t="s">
        <v>1733</v>
      </c>
      <c r="D762" s="11">
        <v>0</v>
      </c>
      <c r="E762" s="120"/>
      <c r="F762" s="11">
        <v>1</v>
      </c>
      <c r="G762" s="11">
        <v>2</v>
      </c>
      <c r="H762" s="11">
        <v>2</v>
      </c>
      <c r="I762" s="56">
        <v>0.5</v>
      </c>
      <c r="J762" s="56"/>
      <c r="K762" s="56"/>
      <c r="M762" s="56"/>
      <c r="P762" s="56"/>
      <c r="Q762" s="56"/>
      <c r="U762" s="65"/>
      <c r="V762" s="65"/>
      <c r="AD762" s="69"/>
      <c r="AE762" s="69"/>
      <c r="AK762" s="97"/>
      <c r="AZ762" s="69"/>
    </row>
    <row r="763" s="11" customFormat="1" ht="16.5" spans="1:52">
      <c r="A763" s="165">
        <v>2293</v>
      </c>
      <c r="B763" s="11" t="s">
        <v>1734</v>
      </c>
      <c r="C763" s="119" t="s">
        <v>1735</v>
      </c>
      <c r="D763" s="11">
        <v>0</v>
      </c>
      <c r="E763" s="120"/>
      <c r="F763" s="11">
        <v>1</v>
      </c>
      <c r="G763" s="11">
        <v>1.5</v>
      </c>
      <c r="H763" s="11">
        <v>2</v>
      </c>
      <c r="I763" s="56">
        <v>0.5</v>
      </c>
      <c r="J763" s="56"/>
      <c r="K763" s="56"/>
      <c r="M763" s="56"/>
      <c r="P763" s="56"/>
      <c r="Q763" s="56"/>
      <c r="U763" s="65"/>
      <c r="V763" s="65"/>
      <c r="AD763" s="69"/>
      <c r="AE763" s="69"/>
      <c r="AK763" s="97"/>
      <c r="AZ763" s="69"/>
    </row>
    <row r="764" s="11" customFormat="1" ht="16.5" spans="1:52">
      <c r="A764" s="165">
        <v>2294</v>
      </c>
      <c r="B764" s="11" t="s">
        <v>1736</v>
      </c>
      <c r="C764" s="119" t="s">
        <v>1737</v>
      </c>
      <c r="D764" s="11">
        <v>0</v>
      </c>
      <c r="E764" s="120"/>
      <c r="F764" s="11">
        <v>1</v>
      </c>
      <c r="G764" s="11">
        <v>2</v>
      </c>
      <c r="H764" s="11">
        <v>2</v>
      </c>
      <c r="I764" s="56">
        <v>0.5</v>
      </c>
      <c r="J764" s="56"/>
      <c r="K764" s="56"/>
      <c r="M764" s="56"/>
      <c r="P764" s="56"/>
      <c r="Q764" s="56"/>
      <c r="U764" s="65"/>
      <c r="V764" s="65"/>
      <c r="AD764" s="69"/>
      <c r="AE764" s="69"/>
      <c r="AK764" s="97"/>
      <c r="AZ764" s="69"/>
    </row>
    <row r="765" s="11" customFormat="1" ht="16.5" spans="1:52">
      <c r="A765" s="165">
        <v>2295</v>
      </c>
      <c r="B765" s="55" t="s">
        <v>1738</v>
      </c>
      <c r="C765" s="119" t="s">
        <v>1739</v>
      </c>
      <c r="D765" s="11">
        <v>0</v>
      </c>
      <c r="E765" s="120"/>
      <c r="F765" s="11">
        <v>1</v>
      </c>
      <c r="G765" s="11">
        <v>2</v>
      </c>
      <c r="H765" s="11">
        <v>2</v>
      </c>
      <c r="I765" s="56">
        <v>0.5</v>
      </c>
      <c r="J765" s="56"/>
      <c r="K765" s="56"/>
      <c r="M765" s="56"/>
      <c r="P765" s="56"/>
      <c r="Q765" s="56"/>
      <c r="U765" s="65"/>
      <c r="V765" s="65"/>
      <c r="AD765" s="69"/>
      <c r="AE765" s="69"/>
      <c r="AK765" s="97"/>
      <c r="AZ765" s="69"/>
    </row>
    <row r="766" s="11" customFormat="1" ht="16.5" spans="1:52">
      <c r="A766" s="165">
        <v>2296</v>
      </c>
      <c r="B766" s="55" t="s">
        <v>1740</v>
      </c>
      <c r="C766" s="119" t="s">
        <v>1741</v>
      </c>
      <c r="D766" s="11">
        <v>0</v>
      </c>
      <c r="E766" s="120"/>
      <c r="F766" s="11">
        <v>1</v>
      </c>
      <c r="G766" s="11">
        <v>2</v>
      </c>
      <c r="H766" s="11">
        <v>2</v>
      </c>
      <c r="I766" s="56">
        <v>0.5</v>
      </c>
      <c r="J766" s="56"/>
      <c r="K766" s="56"/>
      <c r="M766" s="56"/>
      <c r="P766" s="56"/>
      <c r="Q766" s="56"/>
      <c r="U766" s="65"/>
      <c r="V766" s="65"/>
      <c r="AD766" s="69"/>
      <c r="AE766" s="69"/>
      <c r="AK766" s="97"/>
      <c r="AZ766" s="69"/>
    </row>
    <row r="767" s="11" customFormat="1" ht="16.5" spans="1:52">
      <c r="A767" s="165">
        <v>2298</v>
      </c>
      <c r="B767" s="55" t="s">
        <v>1742</v>
      </c>
      <c r="C767" s="119" t="s">
        <v>1743</v>
      </c>
      <c r="D767" s="11">
        <v>0</v>
      </c>
      <c r="E767" s="120"/>
      <c r="F767" s="11">
        <v>1</v>
      </c>
      <c r="G767" s="11">
        <v>2</v>
      </c>
      <c r="H767" s="11">
        <v>2</v>
      </c>
      <c r="I767" s="56">
        <v>0.5</v>
      </c>
      <c r="J767" s="56"/>
      <c r="K767" s="56"/>
      <c r="M767" s="56"/>
      <c r="P767" s="56"/>
      <c r="Q767" s="56"/>
      <c r="U767" s="65"/>
      <c r="V767" s="65"/>
      <c r="AD767" s="69"/>
      <c r="AE767" s="69"/>
      <c r="AK767" s="97"/>
      <c r="AZ767" s="69"/>
    </row>
    <row r="768" s="11" customFormat="1" ht="16.5" spans="1:52">
      <c r="A768" s="165">
        <v>2299</v>
      </c>
      <c r="B768" s="55" t="s">
        <v>1744</v>
      </c>
      <c r="C768" s="119" t="s">
        <v>1745</v>
      </c>
      <c r="D768" s="11">
        <v>0</v>
      </c>
      <c r="E768" s="120"/>
      <c r="F768" s="11">
        <v>1</v>
      </c>
      <c r="G768" s="11">
        <v>2</v>
      </c>
      <c r="H768" s="11">
        <v>2</v>
      </c>
      <c r="I768" s="56">
        <v>0.5</v>
      </c>
      <c r="J768" s="56"/>
      <c r="K768" s="56"/>
      <c r="M768" s="56"/>
      <c r="P768" s="56"/>
      <c r="Q768" s="56"/>
      <c r="U768" s="65"/>
      <c r="V768" s="65"/>
      <c r="AD768" s="69"/>
      <c r="AE768" s="69"/>
      <c r="AK768" s="97"/>
      <c r="AZ768" s="69"/>
    </row>
    <row r="769" s="11" customFormat="1" ht="16.5" spans="1:52">
      <c r="A769" s="165">
        <v>2300</v>
      </c>
      <c r="B769" s="55" t="s">
        <v>1746</v>
      </c>
      <c r="C769" s="119" t="s">
        <v>1747</v>
      </c>
      <c r="D769" s="11">
        <v>0</v>
      </c>
      <c r="E769" s="120"/>
      <c r="F769" s="11">
        <v>1</v>
      </c>
      <c r="G769" s="11">
        <v>2</v>
      </c>
      <c r="H769" s="11">
        <v>2</v>
      </c>
      <c r="I769" s="56">
        <v>0.5</v>
      </c>
      <c r="J769" s="56"/>
      <c r="K769" s="56"/>
      <c r="M769" s="56"/>
      <c r="P769" s="56"/>
      <c r="Q769" s="56"/>
      <c r="U769" s="65"/>
      <c r="V769" s="65"/>
      <c r="AD769" s="69"/>
      <c r="AE769" s="69"/>
      <c r="AK769" s="97"/>
      <c r="AZ769" s="69"/>
    </row>
    <row r="770" s="11" customFormat="1" ht="16.5" spans="1:52">
      <c r="A770" s="165">
        <v>2301</v>
      </c>
      <c r="B770" s="55" t="s">
        <v>1748</v>
      </c>
      <c r="C770" s="119" t="s">
        <v>1749</v>
      </c>
      <c r="D770" s="11">
        <v>0</v>
      </c>
      <c r="E770" s="120"/>
      <c r="F770" s="11">
        <v>1</v>
      </c>
      <c r="G770" s="11">
        <v>2</v>
      </c>
      <c r="H770" s="11">
        <v>2</v>
      </c>
      <c r="I770" s="56">
        <v>0.5</v>
      </c>
      <c r="J770" s="56"/>
      <c r="K770" s="56"/>
      <c r="M770" s="56"/>
      <c r="P770" s="56"/>
      <c r="Q770" s="56"/>
      <c r="U770" s="65"/>
      <c r="V770" s="65"/>
      <c r="AD770" s="69"/>
      <c r="AE770" s="69"/>
      <c r="AK770" s="97"/>
      <c r="AZ770" s="69"/>
    </row>
    <row r="771" s="11" customFormat="1" ht="16.5" spans="1:52">
      <c r="A771" s="165">
        <v>2302</v>
      </c>
      <c r="B771" s="55" t="s">
        <v>1750</v>
      </c>
      <c r="C771" s="119" t="s">
        <v>1749</v>
      </c>
      <c r="D771" s="11">
        <v>0</v>
      </c>
      <c r="E771" s="120"/>
      <c r="F771" s="11">
        <v>1</v>
      </c>
      <c r="G771" s="11">
        <v>2</v>
      </c>
      <c r="H771" s="11">
        <v>2</v>
      </c>
      <c r="I771" s="56">
        <v>0.5</v>
      </c>
      <c r="J771" s="56"/>
      <c r="K771" s="56"/>
      <c r="M771" s="56"/>
      <c r="P771" s="56"/>
      <c r="Q771" s="56"/>
      <c r="U771" s="65"/>
      <c r="V771" s="65"/>
      <c r="AD771" s="69"/>
      <c r="AE771" s="69"/>
      <c r="AK771" s="97"/>
      <c r="AZ771" s="69"/>
    </row>
    <row r="772" s="11" customFormat="1" ht="16.5" spans="1:52">
      <c r="A772" s="165">
        <v>2307</v>
      </c>
      <c r="B772" s="55" t="s">
        <v>1751</v>
      </c>
      <c r="C772" s="119" t="s">
        <v>1752</v>
      </c>
      <c r="D772" s="11">
        <v>0</v>
      </c>
      <c r="E772" s="120"/>
      <c r="F772" s="11">
        <v>1</v>
      </c>
      <c r="G772" s="11">
        <v>2</v>
      </c>
      <c r="H772" s="11">
        <v>2</v>
      </c>
      <c r="I772" s="56">
        <v>0.5</v>
      </c>
      <c r="J772" s="56"/>
      <c r="K772" s="56"/>
      <c r="M772" s="56"/>
      <c r="P772" s="56"/>
      <c r="Q772" s="56"/>
      <c r="U772" s="65"/>
      <c r="V772" s="65"/>
      <c r="AD772" s="69"/>
      <c r="AE772" s="69"/>
      <c r="AK772" s="97"/>
      <c r="AZ772" s="69"/>
    </row>
    <row r="773" s="13" customFormat="1" ht="16.5" spans="1:52">
      <c r="A773" s="13">
        <v>2308</v>
      </c>
      <c r="B773" s="121" t="s">
        <v>1753</v>
      </c>
      <c r="C773" s="122" t="s">
        <v>1754</v>
      </c>
      <c r="D773" s="13">
        <v>0</v>
      </c>
      <c r="E773" s="123"/>
      <c r="F773" s="13">
        <v>1</v>
      </c>
      <c r="G773" s="13">
        <v>2.7</v>
      </c>
      <c r="H773" s="13">
        <v>2.7</v>
      </c>
      <c r="I773" s="126">
        <v>0.5</v>
      </c>
      <c r="J773" s="126"/>
      <c r="K773" s="126"/>
      <c r="M773" s="126"/>
      <c r="P773" s="126"/>
      <c r="Q773" s="126"/>
      <c r="U773" s="127"/>
      <c r="V773" s="127"/>
      <c r="AD773" s="128"/>
      <c r="AE773" s="128"/>
      <c r="AK773" s="57"/>
      <c r="AZ773" s="128"/>
    </row>
    <row r="774" s="11" customFormat="1" ht="16.5" spans="1:52">
      <c r="A774" s="165">
        <v>2309</v>
      </c>
      <c r="B774" s="55" t="s">
        <v>1755</v>
      </c>
      <c r="C774" s="119" t="s">
        <v>1752</v>
      </c>
      <c r="D774" s="11">
        <v>0</v>
      </c>
      <c r="E774" s="120"/>
      <c r="F774" s="11">
        <v>1</v>
      </c>
      <c r="G774" s="11">
        <v>2</v>
      </c>
      <c r="H774" s="11">
        <v>2</v>
      </c>
      <c r="I774" s="56">
        <v>0.5</v>
      </c>
      <c r="J774" s="56"/>
      <c r="K774" s="56"/>
      <c r="M774" s="56"/>
      <c r="P774" s="56"/>
      <c r="Q774" s="56"/>
      <c r="U774" s="65"/>
      <c r="V774" s="65"/>
      <c r="AD774" s="69"/>
      <c r="AE774" s="69"/>
      <c r="AK774" s="97"/>
      <c r="AZ774" s="69"/>
    </row>
    <row r="775" s="11" customFormat="1" ht="16.5" spans="1:52">
      <c r="A775" s="165">
        <v>2310</v>
      </c>
      <c r="B775" s="55" t="s">
        <v>1756</v>
      </c>
      <c r="C775" s="119" t="s">
        <v>1757</v>
      </c>
      <c r="D775" s="11">
        <v>0</v>
      </c>
      <c r="E775" s="120"/>
      <c r="F775" s="11">
        <v>1</v>
      </c>
      <c r="G775" s="11">
        <v>2</v>
      </c>
      <c r="H775" s="11">
        <v>2</v>
      </c>
      <c r="I775" s="56">
        <v>0.5</v>
      </c>
      <c r="J775" s="56"/>
      <c r="K775" s="56"/>
      <c r="M775" s="56"/>
      <c r="P775" s="56"/>
      <c r="Q775" s="56"/>
      <c r="U775" s="65"/>
      <c r="V775" s="65"/>
      <c r="AD775" s="69"/>
      <c r="AE775" s="69"/>
      <c r="AK775" s="97"/>
      <c r="AZ775" s="69"/>
    </row>
    <row r="776" s="11" customFormat="1" ht="16.5" spans="1:52">
      <c r="A776" s="165">
        <v>2311</v>
      </c>
      <c r="B776" s="55" t="s">
        <v>1758</v>
      </c>
      <c r="C776" s="119" t="s">
        <v>1759</v>
      </c>
      <c r="D776" s="11">
        <v>0</v>
      </c>
      <c r="E776" s="120"/>
      <c r="F776" s="11">
        <v>1</v>
      </c>
      <c r="G776" s="11">
        <v>2</v>
      </c>
      <c r="H776" s="11">
        <v>2</v>
      </c>
      <c r="I776" s="56">
        <v>0.5</v>
      </c>
      <c r="J776" s="56"/>
      <c r="K776" s="56"/>
      <c r="M776" s="56"/>
      <c r="P776" s="56"/>
      <c r="Q776" s="56"/>
      <c r="U776" s="65"/>
      <c r="V776" s="65"/>
      <c r="AD776" s="69"/>
      <c r="AE776" s="69"/>
      <c r="AK776" s="97"/>
      <c r="AZ776" s="69"/>
    </row>
    <row r="777" s="11" customFormat="1" ht="16.5" spans="1:52">
      <c r="A777" s="165">
        <v>2312</v>
      </c>
      <c r="B777" s="55" t="s">
        <v>1760</v>
      </c>
      <c r="C777" s="119" t="s">
        <v>1761</v>
      </c>
      <c r="D777" s="11">
        <v>0</v>
      </c>
      <c r="E777" s="120"/>
      <c r="F777" s="11">
        <v>1</v>
      </c>
      <c r="G777" s="11">
        <v>2</v>
      </c>
      <c r="H777" s="11">
        <v>2</v>
      </c>
      <c r="I777" s="56">
        <v>0.5</v>
      </c>
      <c r="J777" s="56"/>
      <c r="K777" s="56"/>
      <c r="M777" s="56"/>
      <c r="P777" s="56"/>
      <c r="Q777" s="56"/>
      <c r="U777" s="65"/>
      <c r="V777" s="65"/>
      <c r="AD777" s="69"/>
      <c r="AE777" s="69"/>
      <c r="AK777" s="97"/>
      <c r="AZ777" s="69"/>
    </row>
    <row r="778" s="11" customFormat="1" ht="16.5" spans="1:52">
      <c r="A778" s="165">
        <v>2313</v>
      </c>
      <c r="B778" s="55" t="s">
        <v>1762</v>
      </c>
      <c r="C778" s="119" t="s">
        <v>1763</v>
      </c>
      <c r="D778" s="11">
        <v>0</v>
      </c>
      <c r="E778" s="120"/>
      <c r="F778" s="11">
        <v>1</v>
      </c>
      <c r="G778" s="11">
        <v>2</v>
      </c>
      <c r="H778" s="11">
        <v>2</v>
      </c>
      <c r="I778" s="56">
        <v>0.5</v>
      </c>
      <c r="J778" s="56"/>
      <c r="K778" s="56"/>
      <c r="M778" s="56"/>
      <c r="P778" s="56"/>
      <c r="Q778" s="56"/>
      <c r="U778" s="65"/>
      <c r="V778" s="65"/>
      <c r="AD778" s="69"/>
      <c r="AE778" s="69"/>
      <c r="AK778" s="97"/>
      <c r="AZ778" s="69"/>
    </row>
    <row r="779" s="11" customFormat="1" ht="16.5" spans="1:52">
      <c r="A779" s="165">
        <v>2314</v>
      </c>
      <c r="B779" s="55" t="s">
        <v>1764</v>
      </c>
      <c r="C779" s="119" t="s">
        <v>1765</v>
      </c>
      <c r="D779" s="11">
        <v>0</v>
      </c>
      <c r="E779" s="120"/>
      <c r="F779" s="11">
        <v>1</v>
      </c>
      <c r="G779" s="11">
        <v>2</v>
      </c>
      <c r="H779" s="11">
        <v>2</v>
      </c>
      <c r="I779" s="56">
        <v>0.5</v>
      </c>
      <c r="J779" s="56"/>
      <c r="K779" s="56"/>
      <c r="M779" s="56"/>
      <c r="P779" s="56"/>
      <c r="Q779" s="56"/>
      <c r="U779" s="65"/>
      <c r="V779" s="65"/>
      <c r="AD779" s="69"/>
      <c r="AE779" s="69"/>
      <c r="AK779" s="97"/>
      <c r="AZ779" s="69"/>
    </row>
    <row r="780" s="11" customFormat="1" ht="16.5" spans="1:52">
      <c r="A780" s="165">
        <v>2315</v>
      </c>
      <c r="B780" s="55" t="s">
        <v>1766</v>
      </c>
      <c r="C780" s="119" t="s">
        <v>1767</v>
      </c>
      <c r="D780" s="11">
        <v>0</v>
      </c>
      <c r="E780" s="120"/>
      <c r="F780" s="11">
        <v>1</v>
      </c>
      <c r="G780" s="11">
        <v>2</v>
      </c>
      <c r="H780" s="11">
        <v>2</v>
      </c>
      <c r="I780" s="56">
        <v>0.5</v>
      </c>
      <c r="J780" s="56"/>
      <c r="K780" s="56"/>
      <c r="M780" s="56"/>
      <c r="P780" s="56"/>
      <c r="Q780" s="56"/>
      <c r="U780" s="65"/>
      <c r="V780" s="65"/>
      <c r="AD780" s="69"/>
      <c r="AE780" s="69"/>
      <c r="AK780" s="97"/>
      <c r="AZ780" s="69"/>
    </row>
    <row r="781" s="11" customFormat="1" ht="16.5" spans="1:52">
      <c r="A781" s="165">
        <v>2316</v>
      </c>
      <c r="B781" s="55" t="s">
        <v>1768</v>
      </c>
      <c r="C781" s="119" t="s">
        <v>1767</v>
      </c>
      <c r="D781" s="11">
        <v>0</v>
      </c>
      <c r="E781" s="120"/>
      <c r="F781" s="11">
        <v>1</v>
      </c>
      <c r="G781" s="11">
        <v>2</v>
      </c>
      <c r="H781" s="11">
        <v>2</v>
      </c>
      <c r="I781" s="56">
        <v>0.5</v>
      </c>
      <c r="J781" s="56"/>
      <c r="K781" s="56"/>
      <c r="M781" s="56"/>
      <c r="P781" s="56"/>
      <c r="Q781" s="56"/>
      <c r="U781" s="65"/>
      <c r="V781" s="65"/>
      <c r="AD781" s="69"/>
      <c r="AE781" s="69"/>
      <c r="AK781" s="97"/>
      <c r="AZ781" s="69"/>
    </row>
    <row r="782" s="11" customFormat="1" ht="16.5" spans="1:52">
      <c r="A782" s="165">
        <v>2317</v>
      </c>
      <c r="B782" s="55" t="s">
        <v>1769</v>
      </c>
      <c r="C782" s="119" t="s">
        <v>1767</v>
      </c>
      <c r="D782" s="11">
        <v>0</v>
      </c>
      <c r="E782" s="120"/>
      <c r="F782" s="11">
        <v>1</v>
      </c>
      <c r="G782" s="11">
        <v>2</v>
      </c>
      <c r="H782" s="11">
        <v>2</v>
      </c>
      <c r="I782" s="56">
        <v>0.5</v>
      </c>
      <c r="J782" s="56"/>
      <c r="K782" s="56"/>
      <c r="M782" s="56"/>
      <c r="P782" s="56"/>
      <c r="Q782" s="56"/>
      <c r="U782" s="65"/>
      <c r="V782" s="65"/>
      <c r="AD782" s="69"/>
      <c r="AE782" s="69"/>
      <c r="AK782" s="97"/>
      <c r="AZ782" s="69"/>
    </row>
    <row r="783" s="11" customFormat="1" ht="16.5" spans="1:52">
      <c r="A783" s="165">
        <v>2318</v>
      </c>
      <c r="B783" s="55" t="s">
        <v>1770</v>
      </c>
      <c r="C783" s="119" t="s">
        <v>1767</v>
      </c>
      <c r="D783" s="11">
        <v>0</v>
      </c>
      <c r="E783" s="120"/>
      <c r="F783" s="11">
        <v>1</v>
      </c>
      <c r="G783" s="11">
        <v>2</v>
      </c>
      <c r="H783" s="11">
        <v>2</v>
      </c>
      <c r="I783" s="56">
        <v>0.5</v>
      </c>
      <c r="J783" s="56"/>
      <c r="K783" s="56"/>
      <c r="M783" s="56"/>
      <c r="P783" s="56"/>
      <c r="Q783" s="56"/>
      <c r="U783" s="65"/>
      <c r="V783" s="65"/>
      <c r="AD783" s="69"/>
      <c r="AE783" s="69"/>
      <c r="AK783" s="97"/>
      <c r="AZ783" s="69"/>
    </row>
    <row r="784" s="11" customFormat="1" ht="16.5" spans="1:52">
      <c r="A784" s="165">
        <v>2319</v>
      </c>
      <c r="B784" s="55" t="s">
        <v>1771</v>
      </c>
      <c r="C784" s="119" t="s">
        <v>1772</v>
      </c>
      <c r="D784" s="11">
        <v>0</v>
      </c>
      <c r="E784" s="120"/>
      <c r="F784" s="11">
        <v>1</v>
      </c>
      <c r="G784" s="11">
        <v>2</v>
      </c>
      <c r="H784" s="11">
        <v>2</v>
      </c>
      <c r="I784" s="56">
        <v>0.5</v>
      </c>
      <c r="J784" s="56"/>
      <c r="K784" s="56"/>
      <c r="M784" s="56"/>
      <c r="P784" s="56"/>
      <c r="Q784" s="56"/>
      <c r="U784" s="65"/>
      <c r="V784" s="65"/>
      <c r="AD784" s="69"/>
      <c r="AE784" s="69"/>
      <c r="AK784" s="97"/>
      <c r="AZ784" s="69"/>
    </row>
    <row r="785" s="11" customFormat="1" ht="16.5" spans="1:52">
      <c r="A785" s="165">
        <v>2320</v>
      </c>
      <c r="B785" s="55" t="s">
        <v>1773</v>
      </c>
      <c r="C785" s="119" t="s">
        <v>1774</v>
      </c>
      <c r="D785" s="11">
        <v>0</v>
      </c>
      <c r="E785" s="120"/>
      <c r="F785" s="11">
        <v>1</v>
      </c>
      <c r="G785" s="11">
        <v>2</v>
      </c>
      <c r="H785" s="11">
        <v>2</v>
      </c>
      <c r="I785" s="56">
        <v>0.5</v>
      </c>
      <c r="J785" s="56"/>
      <c r="K785" s="56"/>
      <c r="M785" s="56"/>
      <c r="P785" s="56"/>
      <c r="Q785" s="56"/>
      <c r="U785" s="65"/>
      <c r="V785" s="65"/>
      <c r="AD785" s="69"/>
      <c r="AE785" s="69"/>
      <c r="AK785" s="97"/>
      <c r="AZ785" s="69"/>
    </row>
    <row r="786" s="11" customFormat="1" ht="16.5" spans="1:52">
      <c r="A786" s="165">
        <v>2321</v>
      </c>
      <c r="B786" s="55" t="s">
        <v>1775</v>
      </c>
      <c r="C786" s="119" t="s">
        <v>1776</v>
      </c>
      <c r="D786" s="11">
        <v>0</v>
      </c>
      <c r="E786" s="120"/>
      <c r="F786" s="11">
        <v>1</v>
      </c>
      <c r="G786" s="11">
        <v>2</v>
      </c>
      <c r="H786" s="11">
        <v>2</v>
      </c>
      <c r="I786" s="56">
        <v>0.5</v>
      </c>
      <c r="J786" s="56"/>
      <c r="K786" s="56"/>
      <c r="M786" s="56"/>
      <c r="P786" s="56"/>
      <c r="Q786" s="56"/>
      <c r="U786" s="65"/>
      <c r="V786" s="65"/>
      <c r="AD786" s="69"/>
      <c r="AE786" s="69"/>
      <c r="AK786" s="97"/>
      <c r="AZ786" s="69"/>
    </row>
    <row r="787" s="11" customFormat="1" ht="16.5" spans="1:52">
      <c r="A787" s="165">
        <v>2322</v>
      </c>
      <c r="B787" s="55" t="s">
        <v>1777</v>
      </c>
      <c r="C787" s="119" t="s">
        <v>1778</v>
      </c>
      <c r="D787" s="11">
        <v>0</v>
      </c>
      <c r="E787" s="120"/>
      <c r="F787" s="11">
        <v>1</v>
      </c>
      <c r="G787" s="11">
        <v>2</v>
      </c>
      <c r="H787" s="11">
        <v>2</v>
      </c>
      <c r="I787" s="56">
        <v>0.5</v>
      </c>
      <c r="J787" s="56"/>
      <c r="K787" s="56"/>
      <c r="M787" s="56"/>
      <c r="P787" s="56"/>
      <c r="Q787" s="56"/>
      <c r="U787" s="65"/>
      <c r="V787" s="65"/>
      <c r="AD787" s="69"/>
      <c r="AE787" s="69"/>
      <c r="AK787" s="97"/>
      <c r="AZ787" s="69"/>
    </row>
    <row r="788" s="11" customFormat="1" ht="16.5" spans="1:52">
      <c r="A788" s="165">
        <v>2323</v>
      </c>
      <c r="B788" s="55" t="s">
        <v>1779</v>
      </c>
      <c r="C788" s="119" t="s">
        <v>1780</v>
      </c>
      <c r="D788" s="11">
        <v>0</v>
      </c>
      <c r="E788" s="120"/>
      <c r="F788" s="11">
        <v>1</v>
      </c>
      <c r="G788" s="11">
        <v>2</v>
      </c>
      <c r="H788" s="11">
        <v>2</v>
      </c>
      <c r="I788" s="56">
        <v>0.5</v>
      </c>
      <c r="J788" s="56"/>
      <c r="K788" s="56"/>
      <c r="M788" s="56"/>
      <c r="P788" s="56"/>
      <c r="Q788" s="56"/>
      <c r="U788" s="65"/>
      <c r="V788" s="65"/>
      <c r="AD788" s="69"/>
      <c r="AE788" s="69"/>
      <c r="AK788" s="97"/>
      <c r="AZ788" s="69"/>
    </row>
    <row r="789" s="11" customFormat="1" ht="16.5" spans="1:52">
      <c r="A789" s="165">
        <v>2324</v>
      </c>
      <c r="B789" s="55" t="s">
        <v>1781</v>
      </c>
      <c r="C789" s="119" t="s">
        <v>1782</v>
      </c>
      <c r="D789" s="11">
        <v>0</v>
      </c>
      <c r="E789" s="120"/>
      <c r="F789" s="11">
        <v>1</v>
      </c>
      <c r="G789" s="11">
        <v>2</v>
      </c>
      <c r="H789" s="11">
        <v>2</v>
      </c>
      <c r="I789" s="56">
        <v>0.5</v>
      </c>
      <c r="J789" s="56"/>
      <c r="K789" s="56"/>
      <c r="M789" s="56"/>
      <c r="P789" s="56"/>
      <c r="Q789" s="56"/>
      <c r="U789" s="65"/>
      <c r="V789" s="65"/>
      <c r="AD789" s="69"/>
      <c r="AE789" s="69"/>
      <c r="AK789" s="97"/>
      <c r="AZ789" s="69"/>
    </row>
    <row r="790" s="11" customFormat="1" ht="16.5" spans="1:52">
      <c r="A790" s="165">
        <v>2325</v>
      </c>
      <c r="B790" s="55" t="s">
        <v>1783</v>
      </c>
      <c r="C790" s="119" t="s">
        <v>1784</v>
      </c>
      <c r="D790" s="11">
        <v>0</v>
      </c>
      <c r="E790" s="120"/>
      <c r="F790" s="11">
        <v>1</v>
      </c>
      <c r="G790" s="11">
        <v>2</v>
      </c>
      <c r="H790" s="11">
        <v>2</v>
      </c>
      <c r="I790" s="56">
        <v>0.5</v>
      </c>
      <c r="J790" s="56"/>
      <c r="K790" s="56"/>
      <c r="M790" s="56"/>
      <c r="P790" s="56"/>
      <c r="Q790" s="56"/>
      <c r="U790" s="65"/>
      <c r="V790" s="65"/>
      <c r="AD790" s="69"/>
      <c r="AE790" s="69"/>
      <c r="AK790" s="97"/>
      <c r="AZ790" s="69"/>
    </row>
    <row r="791" s="11" customFormat="1" ht="16.5" spans="1:52">
      <c r="A791" s="165">
        <v>2326</v>
      </c>
      <c r="B791" s="55" t="s">
        <v>1785</v>
      </c>
      <c r="C791" s="119" t="s">
        <v>1786</v>
      </c>
      <c r="D791" s="11">
        <v>0</v>
      </c>
      <c r="E791" s="120"/>
      <c r="F791" s="11">
        <v>1</v>
      </c>
      <c r="G791" s="11">
        <v>2</v>
      </c>
      <c r="H791" s="11">
        <v>2</v>
      </c>
      <c r="I791" s="56">
        <v>0.5</v>
      </c>
      <c r="J791" s="56"/>
      <c r="K791" s="56"/>
      <c r="M791" s="56"/>
      <c r="P791" s="56"/>
      <c r="Q791" s="56"/>
      <c r="U791" s="65"/>
      <c r="V791" s="65"/>
      <c r="AD791" s="69"/>
      <c r="AE791" s="69"/>
      <c r="AK791" s="97"/>
      <c r="AZ791" s="69"/>
    </row>
    <row r="792" s="11" customFormat="1" ht="16.5" spans="1:52">
      <c r="A792" s="165">
        <v>2327</v>
      </c>
      <c r="B792" s="55" t="s">
        <v>1787</v>
      </c>
      <c r="C792" s="119" t="s">
        <v>1788</v>
      </c>
      <c r="D792" s="11">
        <v>0</v>
      </c>
      <c r="E792" s="120"/>
      <c r="F792" s="11">
        <v>1</v>
      </c>
      <c r="G792" s="11">
        <v>2.5</v>
      </c>
      <c r="H792" s="11">
        <v>2</v>
      </c>
      <c r="I792" s="56">
        <v>0.5</v>
      </c>
      <c r="J792" s="56"/>
      <c r="K792" s="56"/>
      <c r="M792" s="56"/>
      <c r="P792" s="56"/>
      <c r="Q792" s="56"/>
      <c r="U792" s="65"/>
      <c r="V792" s="65"/>
      <c r="AD792" s="69"/>
      <c r="AE792" s="69"/>
      <c r="AK792" s="97"/>
      <c r="AZ792" s="69"/>
    </row>
    <row r="793" s="11" customFormat="1" ht="16.5" spans="1:52">
      <c r="A793" s="165">
        <v>2328</v>
      </c>
      <c r="B793" s="55" t="s">
        <v>1789</v>
      </c>
      <c r="C793" s="119" t="s">
        <v>1790</v>
      </c>
      <c r="D793" s="11">
        <v>0</v>
      </c>
      <c r="E793" s="120"/>
      <c r="F793" s="11">
        <v>1</v>
      </c>
      <c r="G793" s="11">
        <v>2</v>
      </c>
      <c r="H793" s="11">
        <v>2</v>
      </c>
      <c r="I793" s="56">
        <v>0.5</v>
      </c>
      <c r="J793" s="56"/>
      <c r="K793" s="56"/>
      <c r="M793" s="56"/>
      <c r="P793" s="56"/>
      <c r="Q793" s="56"/>
      <c r="U793" s="65"/>
      <c r="V793" s="65"/>
      <c r="AD793" s="69"/>
      <c r="AE793" s="69"/>
      <c r="AK793" s="97"/>
      <c r="AZ793" s="69"/>
    </row>
    <row r="794" s="11" customFormat="1" ht="16.5" spans="1:52">
      <c r="A794" s="165">
        <v>2329</v>
      </c>
      <c r="B794" s="55" t="s">
        <v>1791</v>
      </c>
      <c r="C794" s="119" t="s">
        <v>1790</v>
      </c>
      <c r="D794" s="11">
        <v>0</v>
      </c>
      <c r="E794" s="120"/>
      <c r="F794" s="11">
        <v>1</v>
      </c>
      <c r="G794" s="11">
        <v>2</v>
      </c>
      <c r="H794" s="11">
        <v>2</v>
      </c>
      <c r="I794" s="56">
        <v>0.5</v>
      </c>
      <c r="J794" s="56"/>
      <c r="K794" s="56"/>
      <c r="M794" s="56"/>
      <c r="P794" s="56"/>
      <c r="Q794" s="56"/>
      <c r="U794" s="65"/>
      <c r="V794" s="65"/>
      <c r="AD794" s="69"/>
      <c r="AE794" s="69"/>
      <c r="AK794" s="97"/>
      <c r="AZ794" s="69"/>
    </row>
    <row r="795" s="11" customFormat="1" ht="16.5" spans="1:52">
      <c r="A795" s="165">
        <v>2330</v>
      </c>
      <c r="B795" s="55" t="s">
        <v>1792</v>
      </c>
      <c r="C795" s="119" t="s">
        <v>1790</v>
      </c>
      <c r="D795" s="11">
        <v>0</v>
      </c>
      <c r="E795" s="120"/>
      <c r="F795" s="11">
        <v>1</v>
      </c>
      <c r="G795" s="11">
        <v>2</v>
      </c>
      <c r="H795" s="11">
        <v>2</v>
      </c>
      <c r="I795" s="56">
        <v>0.5</v>
      </c>
      <c r="J795" s="56"/>
      <c r="K795" s="56"/>
      <c r="M795" s="56"/>
      <c r="P795" s="56"/>
      <c r="Q795" s="56"/>
      <c r="U795" s="65"/>
      <c r="V795" s="65"/>
      <c r="AD795" s="69"/>
      <c r="AE795" s="69"/>
      <c r="AK795" s="97"/>
      <c r="AZ795" s="69"/>
    </row>
    <row r="796" s="11" customFormat="1" ht="16.5" spans="1:52">
      <c r="A796" s="165">
        <v>2331</v>
      </c>
      <c r="B796" s="55" t="s">
        <v>1793</v>
      </c>
      <c r="C796" s="119" t="s">
        <v>1794</v>
      </c>
      <c r="D796" s="11">
        <v>0</v>
      </c>
      <c r="E796" s="120"/>
      <c r="F796" s="11">
        <v>1</v>
      </c>
      <c r="G796" s="11">
        <v>2</v>
      </c>
      <c r="H796" s="11">
        <v>2</v>
      </c>
      <c r="I796" s="56">
        <v>0.5</v>
      </c>
      <c r="J796" s="56"/>
      <c r="K796" s="56"/>
      <c r="M796" s="56"/>
      <c r="P796" s="56"/>
      <c r="Q796" s="56"/>
      <c r="U796" s="65"/>
      <c r="V796" s="65"/>
      <c r="AD796" s="69"/>
      <c r="AE796" s="69"/>
      <c r="AK796" s="97"/>
      <c r="AZ796" s="69"/>
    </row>
    <row r="797" s="11" customFormat="1" ht="16.5" spans="1:52">
      <c r="A797" s="165">
        <v>2332</v>
      </c>
      <c r="B797" s="55" t="s">
        <v>1795</v>
      </c>
      <c r="C797" s="119" t="s">
        <v>1796</v>
      </c>
      <c r="D797" s="11">
        <v>0</v>
      </c>
      <c r="E797" s="120"/>
      <c r="F797" s="11">
        <v>1</v>
      </c>
      <c r="G797" s="11">
        <v>2</v>
      </c>
      <c r="H797" s="11">
        <v>2</v>
      </c>
      <c r="I797" s="56">
        <v>0.5</v>
      </c>
      <c r="J797" s="56"/>
      <c r="K797" s="56"/>
      <c r="M797" s="56"/>
      <c r="P797" s="56"/>
      <c r="Q797" s="56"/>
      <c r="U797" s="65"/>
      <c r="V797" s="65"/>
      <c r="AD797" s="69"/>
      <c r="AE797" s="69"/>
      <c r="AK797" s="97"/>
      <c r="AZ797" s="69"/>
    </row>
    <row r="798" s="11" customFormat="1" ht="16.5" spans="1:52">
      <c r="A798" s="165">
        <v>2333</v>
      </c>
      <c r="B798" s="55" t="s">
        <v>1797</v>
      </c>
      <c r="C798" s="119" t="s">
        <v>1798</v>
      </c>
      <c r="D798" s="11">
        <v>0</v>
      </c>
      <c r="E798" s="120"/>
      <c r="F798" s="11">
        <v>1</v>
      </c>
      <c r="G798" s="11">
        <v>2</v>
      </c>
      <c r="H798" s="11">
        <v>2</v>
      </c>
      <c r="I798" s="56">
        <v>0.5</v>
      </c>
      <c r="J798" s="56"/>
      <c r="K798" s="56"/>
      <c r="M798" s="56"/>
      <c r="P798" s="56"/>
      <c r="Q798" s="56"/>
      <c r="U798" s="65"/>
      <c r="V798" s="65"/>
      <c r="AD798" s="69"/>
      <c r="AE798" s="69"/>
      <c r="AK798" s="97"/>
      <c r="AZ798" s="69"/>
    </row>
    <row r="799" s="11" customFormat="1" ht="16.5" spans="1:52">
      <c r="A799" s="165">
        <v>2334</v>
      </c>
      <c r="B799" s="55" t="s">
        <v>1799</v>
      </c>
      <c r="C799" s="119" t="s">
        <v>1800</v>
      </c>
      <c r="D799" s="11">
        <v>0</v>
      </c>
      <c r="E799" s="120"/>
      <c r="F799" s="11">
        <v>1</v>
      </c>
      <c r="G799" s="11">
        <v>2</v>
      </c>
      <c r="H799" s="11">
        <v>2</v>
      </c>
      <c r="I799" s="56">
        <v>0.5</v>
      </c>
      <c r="J799" s="56"/>
      <c r="K799" s="56"/>
      <c r="M799" s="56"/>
      <c r="P799" s="56"/>
      <c r="Q799" s="56"/>
      <c r="U799" s="65"/>
      <c r="V799" s="65"/>
      <c r="AD799" s="69"/>
      <c r="AE799" s="69"/>
      <c r="AK799" s="97"/>
      <c r="AZ799" s="69"/>
    </row>
    <row r="800" s="11" customFormat="1" ht="16.5" spans="1:52">
      <c r="A800" s="165">
        <v>2335</v>
      </c>
      <c r="B800" s="55" t="s">
        <v>1801</v>
      </c>
      <c r="C800" s="119" t="s">
        <v>1802</v>
      </c>
      <c r="D800" s="11">
        <v>0</v>
      </c>
      <c r="E800" s="120"/>
      <c r="F800" s="11">
        <v>1</v>
      </c>
      <c r="G800" s="11">
        <v>2</v>
      </c>
      <c r="H800" s="11">
        <v>2</v>
      </c>
      <c r="I800" s="56">
        <v>0.5</v>
      </c>
      <c r="J800" s="56"/>
      <c r="K800" s="56"/>
      <c r="M800" s="56"/>
      <c r="P800" s="56"/>
      <c r="Q800" s="56"/>
      <c r="U800" s="65"/>
      <c r="V800" s="65"/>
      <c r="AD800" s="69"/>
      <c r="AE800" s="69"/>
      <c r="AK800" s="97"/>
      <c r="AZ800" s="69"/>
    </row>
    <row r="801" s="11" customFormat="1" ht="16.5" spans="1:52">
      <c r="A801" s="165">
        <v>2336</v>
      </c>
      <c r="B801" s="55" t="s">
        <v>1803</v>
      </c>
      <c r="C801" s="119" t="s">
        <v>1804</v>
      </c>
      <c r="D801" s="11">
        <v>0</v>
      </c>
      <c r="E801" s="120"/>
      <c r="F801" s="11">
        <v>1</v>
      </c>
      <c r="G801" s="11">
        <v>2.5</v>
      </c>
      <c r="H801" s="11">
        <v>2</v>
      </c>
      <c r="I801" s="56">
        <v>0.5</v>
      </c>
      <c r="J801" s="56"/>
      <c r="K801" s="56"/>
      <c r="M801" s="56"/>
      <c r="P801" s="56"/>
      <c r="Q801" s="56"/>
      <c r="U801" s="65"/>
      <c r="V801" s="65"/>
      <c r="AD801" s="69"/>
      <c r="AE801" s="69"/>
      <c r="AK801" s="97"/>
      <c r="AZ801" s="69"/>
    </row>
    <row r="802" s="11" customFormat="1" ht="16.5" spans="1:52">
      <c r="A802" s="165">
        <v>2337</v>
      </c>
      <c r="B802" s="55" t="s">
        <v>1805</v>
      </c>
      <c r="C802" s="119" t="s">
        <v>1806</v>
      </c>
      <c r="D802" s="11">
        <v>0</v>
      </c>
      <c r="E802" s="120"/>
      <c r="F802" s="11">
        <v>1</v>
      </c>
      <c r="G802" s="11">
        <v>2.5</v>
      </c>
      <c r="H802" s="11">
        <v>2</v>
      </c>
      <c r="I802" s="56">
        <v>0.5</v>
      </c>
      <c r="J802" s="56"/>
      <c r="K802" s="56"/>
      <c r="M802" s="56"/>
      <c r="P802" s="56"/>
      <c r="Q802" s="56"/>
      <c r="U802" s="65"/>
      <c r="V802" s="65"/>
      <c r="AD802" s="69"/>
      <c r="AE802" s="69"/>
      <c r="AK802" s="97"/>
      <c r="AZ802" s="69"/>
    </row>
    <row r="803" s="11" customFormat="1" ht="16.5" spans="1:52">
      <c r="A803" s="165">
        <v>2338</v>
      </c>
      <c r="B803" s="55" t="s">
        <v>1807</v>
      </c>
      <c r="C803" s="119" t="s">
        <v>1808</v>
      </c>
      <c r="D803" s="11">
        <v>0</v>
      </c>
      <c r="E803" s="20"/>
      <c r="F803" s="20">
        <v>1</v>
      </c>
      <c r="G803" s="20">
        <v>1.7</v>
      </c>
      <c r="H803" s="11">
        <v>2</v>
      </c>
      <c r="I803" s="56">
        <v>0.5</v>
      </c>
      <c r="J803" s="56"/>
      <c r="K803" s="56"/>
      <c r="M803" s="56"/>
      <c r="P803" s="56"/>
      <c r="Q803" s="56"/>
      <c r="U803" s="65"/>
      <c r="V803" s="65"/>
      <c r="AD803" s="69"/>
      <c r="AE803" s="69"/>
      <c r="AK803" s="97"/>
      <c r="AZ803" s="69"/>
    </row>
    <row r="804" s="11" customFormat="1" ht="16.5" spans="1:52">
      <c r="A804" s="165">
        <v>2339</v>
      </c>
      <c r="B804" s="55" t="s">
        <v>1809</v>
      </c>
      <c r="C804" s="119" t="s">
        <v>1810</v>
      </c>
      <c r="D804" s="11">
        <v>0</v>
      </c>
      <c r="E804" s="120"/>
      <c r="F804" s="11">
        <v>1</v>
      </c>
      <c r="G804" s="20">
        <v>1.7</v>
      </c>
      <c r="H804" s="11">
        <v>2</v>
      </c>
      <c r="I804" s="56">
        <v>0.5</v>
      </c>
      <c r="J804" s="56"/>
      <c r="K804" s="56"/>
      <c r="M804" s="56"/>
      <c r="P804" s="56"/>
      <c r="Q804" s="56"/>
      <c r="U804" s="65"/>
      <c r="V804" s="65"/>
      <c r="AD804" s="69"/>
      <c r="AE804" s="69"/>
      <c r="AK804" s="97"/>
      <c r="AZ804" s="69"/>
    </row>
    <row r="805" s="11" customFormat="1" ht="16.5" spans="1:52">
      <c r="A805" s="165">
        <v>2340</v>
      </c>
      <c r="B805" s="55" t="s">
        <v>1771</v>
      </c>
      <c r="C805" s="119" t="s">
        <v>1772</v>
      </c>
      <c r="D805" s="11">
        <v>0</v>
      </c>
      <c r="E805" s="120"/>
      <c r="F805" s="11">
        <v>1</v>
      </c>
      <c r="G805" s="20">
        <v>2.5</v>
      </c>
      <c r="H805" s="11">
        <v>2</v>
      </c>
      <c r="I805" s="56">
        <v>0.5</v>
      </c>
      <c r="J805" s="56"/>
      <c r="K805" s="56"/>
      <c r="M805" s="56"/>
      <c r="P805" s="56"/>
      <c r="Q805" s="56"/>
      <c r="U805" s="65"/>
      <c r="V805" s="65"/>
      <c r="AD805" s="69"/>
      <c r="AE805" s="69"/>
      <c r="AK805" s="97"/>
      <c r="AZ805" s="69"/>
    </row>
    <row r="806" s="11" customFormat="1" ht="16.5" spans="1:52">
      <c r="A806" s="165">
        <v>2341</v>
      </c>
      <c r="B806" s="55" t="s">
        <v>1811</v>
      </c>
      <c r="C806" s="119" t="s">
        <v>1812</v>
      </c>
      <c r="D806" s="11">
        <v>0</v>
      </c>
      <c r="E806" s="120"/>
      <c r="F806" s="11">
        <v>1</v>
      </c>
      <c r="G806" s="20">
        <v>2.5</v>
      </c>
      <c r="H806" s="11">
        <v>2</v>
      </c>
      <c r="I806" s="56">
        <v>0.5</v>
      </c>
      <c r="J806" s="56"/>
      <c r="K806" s="56"/>
      <c r="M806" s="56"/>
      <c r="P806" s="56"/>
      <c r="Q806" s="56"/>
      <c r="U806" s="65"/>
      <c r="V806" s="65"/>
      <c r="AD806" s="69"/>
      <c r="AE806" s="69"/>
      <c r="AK806" s="97"/>
      <c r="AZ806" s="69"/>
    </row>
    <row r="807" s="11" customFormat="1" ht="16.5" spans="1:52">
      <c r="A807" s="165">
        <v>2342</v>
      </c>
      <c r="B807" s="55" t="s">
        <v>1813</v>
      </c>
      <c r="C807" s="119" t="s">
        <v>1812</v>
      </c>
      <c r="D807" s="11">
        <v>0</v>
      </c>
      <c r="E807" s="120"/>
      <c r="F807" s="11">
        <v>1</v>
      </c>
      <c r="G807" s="20">
        <v>2.5</v>
      </c>
      <c r="H807" s="11">
        <v>2</v>
      </c>
      <c r="I807" s="56">
        <v>0.5</v>
      </c>
      <c r="J807" s="56"/>
      <c r="K807" s="56"/>
      <c r="M807" s="56"/>
      <c r="P807" s="56"/>
      <c r="Q807" s="56"/>
      <c r="U807" s="65"/>
      <c r="V807" s="65"/>
      <c r="AD807" s="69"/>
      <c r="AE807" s="69"/>
      <c r="AK807" s="97"/>
      <c r="AZ807" s="69"/>
    </row>
    <row r="808" s="22" customFormat="1" ht="17.25" spans="1:52">
      <c r="A808" s="22">
        <v>2343</v>
      </c>
      <c r="B808" s="130" t="s">
        <v>1814</v>
      </c>
      <c r="C808" s="133" t="s">
        <v>1815</v>
      </c>
      <c r="D808" s="22">
        <v>1</v>
      </c>
      <c r="E808" s="132"/>
      <c r="F808" s="22">
        <v>1</v>
      </c>
      <c r="G808" s="22">
        <v>1</v>
      </c>
      <c r="H808" s="22">
        <v>1</v>
      </c>
      <c r="I808" s="142">
        <v>0.5</v>
      </c>
      <c r="J808" s="142" t="s">
        <v>115</v>
      </c>
      <c r="K808" s="142"/>
      <c r="U808" s="93"/>
      <c r="V808" s="93"/>
      <c r="AD808" s="150"/>
      <c r="AE808" s="150"/>
      <c r="AK808" s="153">
        <v>0</v>
      </c>
      <c r="AZ808" s="150"/>
    </row>
    <row r="809" s="22" customFormat="1" ht="17.25" spans="1:52">
      <c r="A809" s="22">
        <v>2344</v>
      </c>
      <c r="B809" s="130" t="s">
        <v>1816</v>
      </c>
      <c r="C809" s="133" t="s">
        <v>1817</v>
      </c>
      <c r="D809" s="22">
        <v>1</v>
      </c>
      <c r="E809" s="132"/>
      <c r="F809" s="22">
        <v>1</v>
      </c>
      <c r="G809" s="22">
        <v>3.9</v>
      </c>
      <c r="H809" s="22">
        <v>3.9</v>
      </c>
      <c r="I809" s="142">
        <v>0.5</v>
      </c>
      <c r="J809" s="142" t="s">
        <v>115</v>
      </c>
      <c r="K809" s="142"/>
      <c r="U809" s="93"/>
      <c r="V809" s="93"/>
      <c r="AD809" s="150"/>
      <c r="AE809" s="150"/>
      <c r="AK809" s="153">
        <v>0</v>
      </c>
      <c r="AZ809" s="150"/>
    </row>
    <row r="810" s="22" customFormat="1" ht="17.25" spans="1:52">
      <c r="A810" s="22">
        <v>2345</v>
      </c>
      <c r="B810" s="130" t="s">
        <v>1818</v>
      </c>
      <c r="C810" s="133" t="s">
        <v>1819</v>
      </c>
      <c r="D810" s="22">
        <v>1</v>
      </c>
      <c r="E810" s="132"/>
      <c r="F810" s="22">
        <v>1</v>
      </c>
      <c r="G810" s="22">
        <v>2.4</v>
      </c>
      <c r="H810" s="22">
        <v>2.4</v>
      </c>
      <c r="I810" s="142">
        <v>0.5</v>
      </c>
      <c r="J810" s="142" t="s">
        <v>115</v>
      </c>
      <c r="K810" s="142"/>
      <c r="U810" s="93"/>
      <c r="V810" s="93"/>
      <c r="AD810" s="150"/>
      <c r="AE810" s="150"/>
      <c r="AK810" s="153">
        <v>0</v>
      </c>
      <c r="AZ810" s="150"/>
    </row>
    <row r="811" s="22" customFormat="1" ht="17.25" spans="1:52">
      <c r="A811" s="22">
        <v>2346</v>
      </c>
      <c r="B811" s="130" t="s">
        <v>1820</v>
      </c>
      <c r="C811" s="133" t="s">
        <v>1821</v>
      </c>
      <c r="D811" s="22">
        <v>1</v>
      </c>
      <c r="E811" s="132"/>
      <c r="F811" s="22">
        <v>1</v>
      </c>
      <c r="G811" s="22">
        <v>1.6</v>
      </c>
      <c r="H811" s="22">
        <v>1.6</v>
      </c>
      <c r="I811" s="142">
        <v>0.5</v>
      </c>
      <c r="J811" s="142" t="s">
        <v>115</v>
      </c>
      <c r="K811" s="142"/>
      <c r="U811" s="93"/>
      <c r="V811" s="93"/>
      <c r="AD811" s="150"/>
      <c r="AE811" s="150"/>
      <c r="AK811" s="153">
        <v>0</v>
      </c>
      <c r="AZ811" s="150"/>
    </row>
    <row r="812" s="22" customFormat="1" ht="17.25" spans="1:52">
      <c r="A812" s="22">
        <v>2347</v>
      </c>
      <c r="B812" s="130" t="s">
        <v>1822</v>
      </c>
      <c r="C812" s="133" t="s">
        <v>1823</v>
      </c>
      <c r="D812" s="22">
        <v>1</v>
      </c>
      <c r="E812" s="132"/>
      <c r="F812" s="22">
        <v>1</v>
      </c>
      <c r="G812" s="22">
        <v>1.7</v>
      </c>
      <c r="H812" s="22">
        <v>1.7</v>
      </c>
      <c r="I812" s="142">
        <v>0.5</v>
      </c>
      <c r="J812" s="142" t="s">
        <v>115</v>
      </c>
      <c r="K812" s="142"/>
      <c r="U812" s="93"/>
      <c r="V812" s="93"/>
      <c r="AD812" s="150"/>
      <c r="AE812" s="150"/>
      <c r="AK812" s="153">
        <v>0</v>
      </c>
      <c r="AZ812" s="150"/>
    </row>
    <row r="813" s="22" customFormat="1" ht="17.25" spans="1:52">
      <c r="A813" s="22">
        <v>2348</v>
      </c>
      <c r="B813" s="130" t="s">
        <v>1824</v>
      </c>
      <c r="C813" s="133" t="s">
        <v>1825</v>
      </c>
      <c r="D813" s="22">
        <v>1</v>
      </c>
      <c r="E813" s="132"/>
      <c r="F813" s="22">
        <v>1</v>
      </c>
      <c r="G813" s="22">
        <v>1.6</v>
      </c>
      <c r="H813" s="22">
        <v>1.6</v>
      </c>
      <c r="I813" s="142">
        <v>0.5</v>
      </c>
      <c r="J813" s="142" t="s">
        <v>115</v>
      </c>
      <c r="K813" s="142"/>
      <c r="U813" s="93"/>
      <c r="V813" s="93"/>
      <c r="AD813" s="150"/>
      <c r="AE813" s="150"/>
      <c r="AK813" s="153">
        <v>0</v>
      </c>
      <c r="AZ813" s="150"/>
    </row>
    <row r="814" s="22" customFormat="1" ht="17.25" spans="1:52">
      <c r="A814" s="22">
        <v>2349</v>
      </c>
      <c r="B814" s="130" t="s">
        <v>1826</v>
      </c>
      <c r="C814" s="133" t="s">
        <v>1827</v>
      </c>
      <c r="D814" s="22">
        <v>1</v>
      </c>
      <c r="E814" s="132"/>
      <c r="F814" s="22">
        <v>1</v>
      </c>
      <c r="G814" s="22">
        <v>1.4</v>
      </c>
      <c r="H814" s="22">
        <v>1.4</v>
      </c>
      <c r="I814" s="142">
        <v>0.5</v>
      </c>
      <c r="J814" s="142" t="s">
        <v>115</v>
      </c>
      <c r="K814" s="142"/>
      <c r="U814" s="93"/>
      <c r="V814" s="93"/>
      <c r="AD814" s="150"/>
      <c r="AE814" s="150"/>
      <c r="AK814" s="153">
        <v>0</v>
      </c>
      <c r="AZ814" s="150"/>
    </row>
    <row r="815" s="22" customFormat="1" ht="17.25" spans="1:52">
      <c r="A815" s="22">
        <v>2350</v>
      </c>
      <c r="B815" s="130" t="s">
        <v>1828</v>
      </c>
      <c r="C815" s="133" t="s">
        <v>1829</v>
      </c>
      <c r="D815" s="22">
        <v>1</v>
      </c>
      <c r="E815" s="132"/>
      <c r="F815" s="22">
        <v>1</v>
      </c>
      <c r="G815" s="22">
        <v>1.2</v>
      </c>
      <c r="H815" s="22">
        <v>1.2</v>
      </c>
      <c r="I815" s="142">
        <v>0.5</v>
      </c>
      <c r="J815" s="142" t="s">
        <v>115</v>
      </c>
      <c r="K815" s="142"/>
      <c r="U815" s="93"/>
      <c r="V815" s="93"/>
      <c r="AD815" s="150"/>
      <c r="AE815" s="150"/>
      <c r="AK815" s="153">
        <v>0</v>
      </c>
      <c r="AZ815" s="150"/>
    </row>
    <row r="816" s="22" customFormat="1" ht="17.25" spans="1:52">
      <c r="A816" s="22">
        <v>2351</v>
      </c>
      <c r="B816" s="130" t="s">
        <v>1830</v>
      </c>
      <c r="C816" s="133" t="s">
        <v>1831</v>
      </c>
      <c r="D816" s="22">
        <v>1</v>
      </c>
      <c r="E816" s="132"/>
      <c r="F816" s="22">
        <v>1</v>
      </c>
      <c r="G816" s="22">
        <v>1.4</v>
      </c>
      <c r="H816" s="22">
        <v>1.4</v>
      </c>
      <c r="I816" s="142">
        <v>0.5</v>
      </c>
      <c r="J816" s="142" t="s">
        <v>115</v>
      </c>
      <c r="K816" s="142"/>
      <c r="U816" s="93"/>
      <c r="V816" s="93"/>
      <c r="AD816" s="150"/>
      <c r="AE816" s="150"/>
      <c r="AK816" s="153">
        <v>0</v>
      </c>
      <c r="AZ816" s="150"/>
    </row>
    <row r="817" s="22" customFormat="1" ht="17.25" spans="1:52">
      <c r="A817" s="22">
        <v>2352</v>
      </c>
      <c r="B817" s="130" t="s">
        <v>1832</v>
      </c>
      <c r="C817" s="133" t="s">
        <v>1833</v>
      </c>
      <c r="D817" s="22">
        <v>1</v>
      </c>
      <c r="E817" s="132"/>
      <c r="F817" s="22">
        <v>1</v>
      </c>
      <c r="G817" s="22">
        <v>1.3</v>
      </c>
      <c r="H817" s="22">
        <v>1.3</v>
      </c>
      <c r="I817" s="142">
        <v>0.5</v>
      </c>
      <c r="J817" s="142" t="s">
        <v>115</v>
      </c>
      <c r="K817" s="142"/>
      <c r="U817" s="93"/>
      <c r="V817" s="93"/>
      <c r="AD817" s="150"/>
      <c r="AE817" s="150"/>
      <c r="AK817" s="153">
        <v>0</v>
      </c>
      <c r="AZ817" s="150"/>
    </row>
    <row r="818" s="22" customFormat="1" ht="17.25" spans="1:52">
      <c r="A818" s="22">
        <v>2353</v>
      </c>
      <c r="B818" s="130" t="s">
        <v>1834</v>
      </c>
      <c r="C818" s="133" t="s">
        <v>1835</v>
      </c>
      <c r="D818" s="22">
        <v>1</v>
      </c>
      <c r="E818" s="132"/>
      <c r="F818" s="22">
        <v>1</v>
      </c>
      <c r="G818" s="22">
        <v>1.4</v>
      </c>
      <c r="H818" s="22">
        <v>1.4</v>
      </c>
      <c r="I818" s="142">
        <v>0.5</v>
      </c>
      <c r="J818" s="142" t="s">
        <v>115</v>
      </c>
      <c r="K818" s="142"/>
      <c r="U818" s="93"/>
      <c r="V818" s="93"/>
      <c r="AD818" s="150"/>
      <c r="AE818" s="150"/>
      <c r="AK818" s="153">
        <v>0</v>
      </c>
      <c r="AZ818" s="150"/>
    </row>
    <row r="819" s="22" customFormat="1" ht="17.25" spans="1:52">
      <c r="A819" s="22">
        <v>2354</v>
      </c>
      <c r="B819" s="130" t="s">
        <v>1836</v>
      </c>
      <c r="C819" s="133" t="s">
        <v>1837</v>
      </c>
      <c r="D819" s="22">
        <v>1</v>
      </c>
      <c r="E819" s="132"/>
      <c r="F819" s="22">
        <v>1</v>
      </c>
      <c r="G819" s="22">
        <v>1.4</v>
      </c>
      <c r="H819" s="22">
        <v>1.4</v>
      </c>
      <c r="I819" s="142">
        <v>0.5</v>
      </c>
      <c r="J819" s="142" t="s">
        <v>115</v>
      </c>
      <c r="K819" s="142"/>
      <c r="U819" s="93"/>
      <c r="V819" s="93"/>
      <c r="AD819" s="150"/>
      <c r="AE819" s="150"/>
      <c r="AK819" s="153">
        <v>0</v>
      </c>
      <c r="AZ819" s="150"/>
    </row>
    <row r="820" s="22" customFormat="1" ht="17.25" spans="1:52">
      <c r="A820" s="22">
        <v>2355</v>
      </c>
      <c r="B820" s="130" t="s">
        <v>1838</v>
      </c>
      <c r="C820" s="133" t="s">
        <v>1839</v>
      </c>
      <c r="D820" s="22">
        <v>1</v>
      </c>
      <c r="E820" s="132"/>
      <c r="F820" s="22">
        <v>1</v>
      </c>
      <c r="G820" s="22">
        <v>1.3</v>
      </c>
      <c r="H820" s="22">
        <v>1.3</v>
      </c>
      <c r="I820" s="142">
        <v>0.5</v>
      </c>
      <c r="J820" s="142" t="s">
        <v>115</v>
      </c>
      <c r="K820" s="142"/>
      <c r="U820" s="93"/>
      <c r="V820" s="93"/>
      <c r="AD820" s="150"/>
      <c r="AE820" s="150"/>
      <c r="AK820" s="153">
        <v>0</v>
      </c>
      <c r="AZ820" s="150"/>
    </row>
    <row r="821" s="22" customFormat="1" ht="17.25" spans="1:52">
      <c r="A821" s="22">
        <v>2356</v>
      </c>
      <c r="B821" s="130" t="s">
        <v>1840</v>
      </c>
      <c r="C821" s="133" t="s">
        <v>1841</v>
      </c>
      <c r="D821" s="22">
        <v>1</v>
      </c>
      <c r="E821" s="132"/>
      <c r="F821" s="22">
        <v>1</v>
      </c>
      <c r="G821" s="22">
        <v>1.6</v>
      </c>
      <c r="H821" s="22">
        <v>1.6</v>
      </c>
      <c r="I821" s="142">
        <v>0.5</v>
      </c>
      <c r="J821" s="142" t="s">
        <v>115</v>
      </c>
      <c r="K821" s="142"/>
      <c r="U821" s="93"/>
      <c r="V821" s="93"/>
      <c r="AD821" s="150"/>
      <c r="AE821" s="150"/>
      <c r="AK821" s="153">
        <v>0</v>
      </c>
      <c r="AZ821" s="150"/>
    </row>
    <row r="822" s="24" customFormat="1" ht="17.25" spans="1:52">
      <c r="A822" s="24">
        <v>2357</v>
      </c>
      <c r="B822" s="134" t="s">
        <v>1842</v>
      </c>
      <c r="C822" s="135" t="s">
        <v>1843</v>
      </c>
      <c r="D822" s="24">
        <v>1</v>
      </c>
      <c r="E822" s="136"/>
      <c r="F822" s="24">
        <v>1</v>
      </c>
      <c r="G822" s="24">
        <v>0.8</v>
      </c>
      <c r="H822" s="24">
        <v>0.8</v>
      </c>
      <c r="I822" s="144">
        <v>0.5</v>
      </c>
      <c r="J822" s="144" t="s">
        <v>115</v>
      </c>
      <c r="K822" s="144"/>
      <c r="U822" s="147"/>
      <c r="V822" s="147"/>
      <c r="AD822" s="151"/>
      <c r="AE822" s="151"/>
      <c r="AK822" s="154">
        <v>0</v>
      </c>
      <c r="AZ822" s="151"/>
    </row>
    <row r="823" s="24" customFormat="1" ht="17.25" spans="1:52">
      <c r="A823" s="24">
        <v>2358</v>
      </c>
      <c r="B823" s="134" t="s">
        <v>1844</v>
      </c>
      <c r="C823" s="135" t="s">
        <v>1845</v>
      </c>
      <c r="D823" s="24">
        <v>1</v>
      </c>
      <c r="E823" s="136"/>
      <c r="F823" s="24">
        <v>1</v>
      </c>
      <c r="G823" s="24">
        <v>2.9</v>
      </c>
      <c r="H823" s="24">
        <v>2.9</v>
      </c>
      <c r="I823" s="144">
        <v>0.5</v>
      </c>
      <c r="J823" s="144" t="s">
        <v>115</v>
      </c>
      <c r="K823" s="144"/>
      <c r="U823" s="147"/>
      <c r="V823" s="147"/>
      <c r="AD823" s="151"/>
      <c r="AE823" s="151"/>
      <c r="AK823" s="154">
        <v>0</v>
      </c>
      <c r="AZ823" s="151"/>
    </row>
    <row r="824" s="24" customFormat="1" ht="17.25" spans="1:52">
      <c r="A824" s="24">
        <v>2359</v>
      </c>
      <c r="B824" s="134" t="s">
        <v>1846</v>
      </c>
      <c r="C824" s="135" t="s">
        <v>1847</v>
      </c>
      <c r="D824" s="24">
        <v>1</v>
      </c>
      <c r="E824" s="136"/>
      <c r="F824" s="24">
        <v>1</v>
      </c>
      <c r="G824" s="24">
        <v>1.6</v>
      </c>
      <c r="H824" s="24">
        <v>1.6</v>
      </c>
      <c r="I824" s="144">
        <v>0.5</v>
      </c>
      <c r="J824" s="144" t="s">
        <v>115</v>
      </c>
      <c r="K824" s="144"/>
      <c r="U824" s="147"/>
      <c r="V824" s="147"/>
      <c r="AD824" s="151"/>
      <c r="AE824" s="151"/>
      <c r="AK824" s="154">
        <v>0</v>
      </c>
      <c r="AZ824" s="151"/>
    </row>
    <row r="825" s="24" customFormat="1" ht="17.25" spans="1:52">
      <c r="A825" s="24">
        <v>2360</v>
      </c>
      <c r="B825" s="134" t="s">
        <v>1711</v>
      </c>
      <c r="C825" s="135" t="s">
        <v>1848</v>
      </c>
      <c r="D825" s="24">
        <v>1</v>
      </c>
      <c r="E825" s="136"/>
      <c r="F825" s="24">
        <v>1</v>
      </c>
      <c r="G825" s="24">
        <v>2.4</v>
      </c>
      <c r="H825" s="24">
        <v>2.4</v>
      </c>
      <c r="I825" s="144">
        <v>0.5</v>
      </c>
      <c r="J825" s="144" t="s">
        <v>115</v>
      </c>
      <c r="K825" s="144"/>
      <c r="U825" s="147"/>
      <c r="V825" s="147"/>
      <c r="AD825" s="151"/>
      <c r="AE825" s="151"/>
      <c r="AK825" s="154">
        <v>0</v>
      </c>
      <c r="AZ825" s="151"/>
    </row>
    <row r="826" s="24" customFormat="1" ht="17.25" spans="1:52">
      <c r="A826" s="24">
        <v>2361</v>
      </c>
      <c r="B826" s="134" t="s">
        <v>1849</v>
      </c>
      <c r="C826" s="135" t="s">
        <v>1850</v>
      </c>
      <c r="D826" s="24">
        <v>1</v>
      </c>
      <c r="E826" s="136"/>
      <c r="F826" s="24">
        <v>1</v>
      </c>
      <c r="G826" s="24">
        <v>1.4</v>
      </c>
      <c r="H826" s="24">
        <v>1.4</v>
      </c>
      <c r="I826" s="144">
        <v>0.5</v>
      </c>
      <c r="J826" s="144" t="s">
        <v>115</v>
      </c>
      <c r="K826" s="144"/>
      <c r="U826" s="147"/>
      <c r="V826" s="147"/>
      <c r="AD826" s="151"/>
      <c r="AE826" s="151"/>
      <c r="AK826" s="154">
        <v>0</v>
      </c>
      <c r="AZ826" s="151"/>
    </row>
    <row r="827" s="24" customFormat="1" ht="17.25" spans="1:52">
      <c r="A827" s="24">
        <v>2362</v>
      </c>
      <c r="B827" s="134" t="s">
        <v>1851</v>
      </c>
      <c r="C827" s="135" t="s">
        <v>1852</v>
      </c>
      <c r="D827" s="24">
        <v>1</v>
      </c>
      <c r="E827" s="136"/>
      <c r="F827" s="24">
        <v>1</v>
      </c>
      <c r="G827" s="24">
        <v>1.4</v>
      </c>
      <c r="H827" s="24">
        <v>1.4</v>
      </c>
      <c r="I827" s="144">
        <v>0.5</v>
      </c>
      <c r="J827" s="144" t="s">
        <v>115</v>
      </c>
      <c r="K827" s="144"/>
      <c r="U827" s="147"/>
      <c r="V827" s="147"/>
      <c r="AD827" s="151"/>
      <c r="AE827" s="151"/>
      <c r="AK827" s="154">
        <v>0</v>
      </c>
      <c r="AZ827" s="151"/>
    </row>
    <row r="828" s="26" customFormat="1" ht="17.25" spans="1:52">
      <c r="A828" s="26">
        <v>2363</v>
      </c>
      <c r="B828" s="173" t="s">
        <v>1853</v>
      </c>
      <c r="C828" s="174" t="s">
        <v>1854</v>
      </c>
      <c r="D828" s="26">
        <v>1</v>
      </c>
      <c r="E828" s="175"/>
      <c r="F828" s="26">
        <v>1</v>
      </c>
      <c r="G828" s="13">
        <v>0.6</v>
      </c>
      <c r="H828" s="13">
        <v>0.6</v>
      </c>
      <c r="I828" s="176">
        <v>0.5</v>
      </c>
      <c r="J828" s="176" t="s">
        <v>115</v>
      </c>
      <c r="K828" s="176"/>
      <c r="U828" s="177"/>
      <c r="V828" s="177"/>
      <c r="AD828" s="178"/>
      <c r="AE828" s="178"/>
      <c r="AK828" s="179">
        <v>0</v>
      </c>
      <c r="AZ828" s="178"/>
    </row>
    <row r="829" s="26" customFormat="1" ht="17.25" spans="1:52">
      <c r="A829" s="26">
        <v>2364</v>
      </c>
      <c r="B829" s="173" t="s">
        <v>1855</v>
      </c>
      <c r="C829" s="174" t="s">
        <v>1856</v>
      </c>
      <c r="D829" s="26">
        <v>1</v>
      </c>
      <c r="E829" s="175"/>
      <c r="F829" s="26">
        <v>1</v>
      </c>
      <c r="G829" s="26">
        <v>1.4</v>
      </c>
      <c r="H829" s="26">
        <v>1.4</v>
      </c>
      <c r="I829" s="176">
        <v>0.5</v>
      </c>
      <c r="J829" s="176" t="s">
        <v>115</v>
      </c>
      <c r="K829" s="176"/>
      <c r="U829" s="177"/>
      <c r="V829" s="177"/>
      <c r="AD829" s="178"/>
      <c r="AE829" s="178"/>
      <c r="AK829" s="179">
        <v>0</v>
      </c>
      <c r="AZ829" s="178"/>
    </row>
    <row r="830" s="26" customFormat="1" ht="17.25" spans="1:52">
      <c r="A830" s="26">
        <v>2365</v>
      </c>
      <c r="B830" s="173" t="s">
        <v>1857</v>
      </c>
      <c r="C830" s="174" t="s">
        <v>1858</v>
      </c>
      <c r="D830" s="26">
        <v>1</v>
      </c>
      <c r="E830" s="175"/>
      <c r="F830" s="26">
        <v>1</v>
      </c>
      <c r="G830" s="26">
        <v>1.4</v>
      </c>
      <c r="H830" s="26">
        <v>1.4</v>
      </c>
      <c r="I830" s="176">
        <v>0.5</v>
      </c>
      <c r="J830" s="176" t="s">
        <v>115</v>
      </c>
      <c r="K830" s="176"/>
      <c r="U830" s="177"/>
      <c r="V830" s="177"/>
      <c r="AD830" s="178"/>
      <c r="AE830" s="178"/>
      <c r="AK830" s="179">
        <v>0</v>
      </c>
      <c r="AZ830" s="178"/>
    </row>
    <row r="831" s="26" customFormat="1" ht="17.25" spans="1:52">
      <c r="A831" s="26">
        <v>2366</v>
      </c>
      <c r="B831" s="173" t="s">
        <v>1859</v>
      </c>
      <c r="C831" s="174" t="s">
        <v>1860</v>
      </c>
      <c r="D831" s="26">
        <v>1</v>
      </c>
      <c r="E831" s="175"/>
      <c r="F831" s="26">
        <v>1</v>
      </c>
      <c r="G831" s="26">
        <v>1.4</v>
      </c>
      <c r="H831" s="26">
        <v>1.4</v>
      </c>
      <c r="I831" s="176">
        <v>0.5</v>
      </c>
      <c r="J831" s="176" t="s">
        <v>115</v>
      </c>
      <c r="K831" s="176"/>
      <c r="U831" s="177"/>
      <c r="V831" s="177"/>
      <c r="AD831" s="178"/>
      <c r="AE831" s="178"/>
      <c r="AK831" s="179">
        <v>0</v>
      </c>
      <c r="AZ831" s="178"/>
    </row>
    <row r="832" s="26" customFormat="1" ht="17.25" spans="1:52">
      <c r="A832" s="26">
        <v>2367</v>
      </c>
      <c r="B832" s="173" t="s">
        <v>1861</v>
      </c>
      <c r="C832" s="174" t="s">
        <v>1862</v>
      </c>
      <c r="D832" s="26">
        <v>1</v>
      </c>
      <c r="E832" s="175"/>
      <c r="F832" s="26">
        <v>1</v>
      </c>
      <c r="G832" s="26">
        <v>1</v>
      </c>
      <c r="H832" s="26">
        <v>1</v>
      </c>
      <c r="I832" s="176">
        <v>0.5</v>
      </c>
      <c r="J832" s="176" t="s">
        <v>115</v>
      </c>
      <c r="K832" s="176"/>
      <c r="U832" s="177"/>
      <c r="V832" s="177"/>
      <c r="AD832" s="178"/>
      <c r="AE832" s="178"/>
      <c r="AK832" s="179">
        <v>0</v>
      </c>
      <c r="AZ832" s="178"/>
    </row>
    <row r="833" s="27" customFormat="1" ht="16.5" spans="1:52">
      <c r="A833" s="27">
        <v>3001</v>
      </c>
      <c r="B833" s="180" t="s">
        <v>1863</v>
      </c>
      <c r="C833" s="181"/>
      <c r="D833" s="27">
        <v>0</v>
      </c>
      <c r="E833" s="182"/>
      <c r="F833" s="27">
        <v>1</v>
      </c>
      <c r="G833" s="27">
        <v>0</v>
      </c>
      <c r="H833" s="27">
        <v>0</v>
      </c>
      <c r="I833" s="186">
        <v>0</v>
      </c>
      <c r="J833" s="186"/>
      <c r="K833" s="186"/>
      <c r="M833" s="186"/>
      <c r="P833" s="186"/>
      <c r="Q833" s="186"/>
      <c r="U833" s="193"/>
      <c r="V833" s="193"/>
      <c r="AD833" s="195"/>
      <c r="AE833" s="195"/>
      <c r="AF833" s="27">
        <v>801</v>
      </c>
      <c r="AG833" s="27" t="s">
        <v>116</v>
      </c>
      <c r="AK833" s="196">
        <v>0</v>
      </c>
      <c r="AZ833" s="195"/>
    </row>
    <row r="834" s="11" customFormat="1" spans="1:52">
      <c r="A834" s="27">
        <v>3002</v>
      </c>
      <c r="B834" s="27" t="s">
        <v>1864</v>
      </c>
      <c r="C834" s="27"/>
      <c r="D834" s="27">
        <v>0</v>
      </c>
      <c r="E834" s="27"/>
      <c r="F834" s="27">
        <v>1</v>
      </c>
      <c r="G834" s="27">
        <v>0</v>
      </c>
      <c r="H834" s="27">
        <v>0</v>
      </c>
      <c r="I834" s="27">
        <v>0</v>
      </c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193"/>
      <c r="V834" s="193"/>
      <c r="W834" s="27"/>
      <c r="X834" s="27"/>
      <c r="Y834" s="27"/>
      <c r="Z834" s="27"/>
      <c r="AA834" s="27"/>
      <c r="AB834" s="27"/>
      <c r="AC834" s="27"/>
      <c r="AD834" s="27"/>
      <c r="AE834" s="27"/>
      <c r="AF834" s="11">
        <v>801</v>
      </c>
      <c r="AG834" s="11" t="s">
        <v>116</v>
      </c>
      <c r="AH834" s="27"/>
      <c r="AI834" s="27"/>
      <c r="AJ834" s="27"/>
      <c r="AK834" s="27">
        <v>0</v>
      </c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Y834" s="27"/>
      <c r="AZ834" s="27"/>
    </row>
    <row r="835" s="11" customFormat="1" spans="1:52">
      <c r="A835" s="27">
        <v>3004</v>
      </c>
      <c r="B835" s="27" t="s">
        <v>1865</v>
      </c>
      <c r="C835" s="27"/>
      <c r="D835" s="27">
        <v>0</v>
      </c>
      <c r="E835" s="27"/>
      <c r="F835" s="27">
        <v>1</v>
      </c>
      <c r="G835" s="183">
        <v>1.95</v>
      </c>
      <c r="H835" s="183">
        <v>1.95</v>
      </c>
      <c r="I835" s="183">
        <v>0.78</v>
      </c>
      <c r="J835" s="27" t="s">
        <v>115</v>
      </c>
      <c r="K835" s="27"/>
      <c r="L835" s="27"/>
      <c r="M835" s="27"/>
      <c r="N835" s="27"/>
      <c r="O835" s="27"/>
      <c r="P835" s="27"/>
      <c r="Q835" s="27"/>
      <c r="R835" s="27"/>
      <c r="S835" s="27"/>
      <c r="T835" s="27">
        <v>2.4</v>
      </c>
      <c r="U835" s="193"/>
      <c r="V835" s="193"/>
      <c r="W835" s="27"/>
      <c r="X835" s="27"/>
      <c r="Y835" s="27"/>
      <c r="Z835" s="27"/>
      <c r="AA835" s="27"/>
      <c r="AB835" s="27"/>
      <c r="AC835" s="27"/>
      <c r="AD835" s="27"/>
      <c r="AE835" s="27"/>
      <c r="AF835" s="11">
        <v>801</v>
      </c>
      <c r="AG835" s="11" t="s">
        <v>116</v>
      </c>
      <c r="AH835" s="27"/>
      <c r="AI835" s="27"/>
      <c r="AJ835" s="27"/>
      <c r="AK835" s="27">
        <v>0</v>
      </c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Y835" s="27"/>
      <c r="AZ835" s="27"/>
    </row>
    <row r="836" s="11" customFormat="1" spans="1:52">
      <c r="A836" s="27">
        <v>3005</v>
      </c>
      <c r="B836" s="27" t="s">
        <v>1866</v>
      </c>
      <c r="C836" s="27"/>
      <c r="D836" s="27">
        <v>1</v>
      </c>
      <c r="E836" s="27"/>
      <c r="F836" s="27">
        <v>1</v>
      </c>
      <c r="G836" s="183">
        <v>1.7</v>
      </c>
      <c r="H836" s="183">
        <v>1.7</v>
      </c>
      <c r="I836" s="183">
        <v>0.7</v>
      </c>
      <c r="J836" s="27" t="s">
        <v>115</v>
      </c>
      <c r="K836" s="27"/>
      <c r="L836" s="27">
        <v>0.133333333333333</v>
      </c>
      <c r="M836" s="27">
        <v>0.7</v>
      </c>
      <c r="N836" s="27"/>
      <c r="O836" s="27"/>
      <c r="P836" s="27">
        <v>0.133333333333333</v>
      </c>
      <c r="Q836" s="27">
        <v>0.7</v>
      </c>
      <c r="R836" s="27"/>
      <c r="S836" s="27"/>
      <c r="T836" s="27">
        <v>2.4</v>
      </c>
      <c r="U836" s="193"/>
      <c r="V836" s="193"/>
      <c r="W836" s="27"/>
      <c r="X836" s="27"/>
      <c r="Y836" s="27"/>
      <c r="Z836" s="27"/>
      <c r="AA836" s="27"/>
      <c r="AB836" s="27"/>
      <c r="AC836" s="27"/>
      <c r="AD836" s="27"/>
      <c r="AE836" s="27"/>
      <c r="AF836" s="11">
        <v>801</v>
      </c>
      <c r="AG836" s="11" t="s">
        <v>116</v>
      </c>
      <c r="AH836" s="27"/>
      <c r="AI836" s="27"/>
      <c r="AJ836" s="27"/>
      <c r="AK836" s="27">
        <v>0</v>
      </c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Y836" s="27"/>
      <c r="AZ836" s="27"/>
    </row>
    <row r="837" s="11" customFormat="1" spans="1:52">
      <c r="A837" s="27">
        <v>3006</v>
      </c>
      <c r="B837" s="27" t="s">
        <v>1867</v>
      </c>
      <c r="C837" s="27"/>
      <c r="D837" s="27">
        <v>0</v>
      </c>
      <c r="E837" s="27"/>
      <c r="F837" s="27">
        <v>1</v>
      </c>
      <c r="G837" s="183">
        <v>1.65</v>
      </c>
      <c r="H837" s="183">
        <v>1.65</v>
      </c>
      <c r="I837" s="183">
        <v>0.94</v>
      </c>
      <c r="J837" s="27" t="s">
        <v>115</v>
      </c>
      <c r="K837" s="27"/>
      <c r="L837" s="27">
        <v>0.166666666666667</v>
      </c>
      <c r="M837" s="27">
        <v>0.533333333333333</v>
      </c>
      <c r="N837" s="27"/>
      <c r="O837" s="27"/>
      <c r="P837" s="27">
        <v>0.133333333333333</v>
      </c>
      <c r="Q837" s="27">
        <v>0.533333333333333</v>
      </c>
      <c r="R837" s="27"/>
      <c r="S837" s="27"/>
      <c r="T837" s="27">
        <v>2.4</v>
      </c>
      <c r="U837" s="193"/>
      <c r="V837" s="193"/>
      <c r="W837" s="27"/>
      <c r="X837" s="27"/>
      <c r="Y837" s="27"/>
      <c r="Z837" s="27"/>
      <c r="AA837" s="27"/>
      <c r="AB837" s="27"/>
      <c r="AC837" s="27"/>
      <c r="AD837" s="27"/>
      <c r="AE837" s="27"/>
      <c r="AF837" s="11">
        <v>801</v>
      </c>
      <c r="AG837" s="11" t="s">
        <v>116</v>
      </c>
      <c r="AH837" s="27"/>
      <c r="AI837" s="27"/>
      <c r="AJ837" s="27"/>
      <c r="AK837" s="27">
        <v>0</v>
      </c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Y837" s="27"/>
      <c r="AZ837" s="27"/>
    </row>
    <row r="838" s="11" customFormat="1" spans="1:52">
      <c r="A838" s="27">
        <v>3007</v>
      </c>
      <c r="B838" s="184" t="s">
        <v>1868</v>
      </c>
      <c r="C838" s="27" t="s">
        <v>1869</v>
      </c>
      <c r="D838" s="27">
        <v>1</v>
      </c>
      <c r="E838" s="27"/>
      <c r="F838" s="27">
        <v>1</v>
      </c>
      <c r="G838" s="183">
        <v>2.4</v>
      </c>
      <c r="H838" s="183">
        <v>2.4</v>
      </c>
      <c r="I838" s="183">
        <v>0.7</v>
      </c>
      <c r="J838" s="27" t="s">
        <v>115</v>
      </c>
      <c r="K838" s="27"/>
      <c r="L838" s="27">
        <v>0.2</v>
      </c>
      <c r="M838" s="27">
        <v>0.566666666666667</v>
      </c>
      <c r="N838" s="27"/>
      <c r="O838" s="27"/>
      <c r="P838" s="27">
        <v>0.166666666666667</v>
      </c>
      <c r="Q838" s="27">
        <v>0.6</v>
      </c>
      <c r="R838" s="27"/>
      <c r="S838" s="27"/>
      <c r="T838" s="27">
        <v>2.4</v>
      </c>
      <c r="U838" s="193"/>
      <c r="V838" s="193"/>
      <c r="W838" s="27"/>
      <c r="X838" s="27"/>
      <c r="Y838" s="27"/>
      <c r="Z838" s="27"/>
      <c r="AA838" s="27"/>
      <c r="AB838" s="27"/>
      <c r="AC838" s="27"/>
      <c r="AD838" s="27"/>
      <c r="AE838" s="27"/>
      <c r="AF838" s="11">
        <v>801</v>
      </c>
      <c r="AG838" s="11" t="s">
        <v>116</v>
      </c>
      <c r="AH838" s="27"/>
      <c r="AI838" s="27"/>
      <c r="AJ838" s="27"/>
      <c r="AK838" s="27">
        <v>0</v>
      </c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Y838" s="27"/>
      <c r="AZ838" s="27"/>
    </row>
    <row r="839" s="11" customFormat="1" spans="1:52">
      <c r="A839" s="27">
        <v>3008</v>
      </c>
      <c r="B839" s="27" t="s">
        <v>1870</v>
      </c>
      <c r="C839" s="27" t="s">
        <v>1871</v>
      </c>
      <c r="D839" s="27">
        <v>1</v>
      </c>
      <c r="E839" s="27"/>
      <c r="F839" s="27">
        <v>0.9</v>
      </c>
      <c r="G839" s="27">
        <v>2.7</v>
      </c>
      <c r="H839" s="27">
        <v>2.9</v>
      </c>
      <c r="I839" s="27">
        <v>0.8</v>
      </c>
      <c r="J839" s="27" t="s">
        <v>115</v>
      </c>
      <c r="K839" s="27">
        <v>1</v>
      </c>
      <c r="L839" s="27">
        <v>0.1</v>
      </c>
      <c r="M839" s="27">
        <v>0.9</v>
      </c>
      <c r="N839" s="27">
        <v>790</v>
      </c>
      <c r="O839" s="27">
        <v>789</v>
      </c>
      <c r="P839" s="27">
        <v>0.1</v>
      </c>
      <c r="Q839" s="27">
        <v>0.9</v>
      </c>
      <c r="R839" s="27">
        <v>789</v>
      </c>
      <c r="S839" s="27">
        <v>790</v>
      </c>
      <c r="T839" s="27">
        <v>2.4</v>
      </c>
      <c r="U839" s="193"/>
      <c r="V839" s="193"/>
      <c r="W839" s="27"/>
      <c r="X839" s="27"/>
      <c r="Y839" s="27"/>
      <c r="Z839" s="27"/>
      <c r="AA839" s="27"/>
      <c r="AB839" s="27"/>
      <c r="AC839" s="27"/>
      <c r="AD839" s="27"/>
      <c r="AE839" s="27"/>
      <c r="AF839" s="11">
        <v>801</v>
      </c>
      <c r="AG839" s="11" t="s">
        <v>116</v>
      </c>
      <c r="AH839" s="27"/>
      <c r="AI839" s="27"/>
      <c r="AJ839" s="27"/>
      <c r="AK839" s="27">
        <v>0</v>
      </c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11" t="s">
        <v>204</v>
      </c>
      <c r="AW839" s="11" t="s">
        <v>204</v>
      </c>
      <c r="AY839" s="27"/>
      <c r="AZ839" s="27"/>
    </row>
    <row r="840" s="11" customFormat="1" spans="1:52">
      <c r="A840" s="27">
        <v>3009</v>
      </c>
      <c r="B840" s="184" t="s">
        <v>1872</v>
      </c>
      <c r="C840" s="185" t="s">
        <v>1873</v>
      </c>
      <c r="D840" s="27">
        <v>1</v>
      </c>
      <c r="E840" s="27"/>
      <c r="F840" s="27">
        <v>1</v>
      </c>
      <c r="G840" s="186">
        <v>1.88</v>
      </c>
      <c r="H840" s="186">
        <v>1.52</v>
      </c>
      <c r="I840" s="186">
        <v>0.7</v>
      </c>
      <c r="J840" s="27" t="s">
        <v>115</v>
      </c>
      <c r="K840" s="27"/>
      <c r="L840" s="27">
        <v>0.166666666666667</v>
      </c>
      <c r="M840" s="27">
        <v>0.6</v>
      </c>
      <c r="N840" s="27"/>
      <c r="O840" s="27"/>
      <c r="P840" s="27">
        <v>0.166666666666667</v>
      </c>
      <c r="Q840" s="27">
        <v>0.6</v>
      </c>
      <c r="R840" s="27"/>
      <c r="S840" s="27"/>
      <c r="T840" s="27">
        <v>2.4</v>
      </c>
      <c r="U840" s="193"/>
      <c r="V840" s="193"/>
      <c r="W840" s="27"/>
      <c r="X840" s="27"/>
      <c r="Y840" s="27"/>
      <c r="Z840" s="27"/>
      <c r="AA840" s="27"/>
      <c r="AB840" s="27"/>
      <c r="AC840" s="27"/>
      <c r="AD840" s="27"/>
      <c r="AE840" s="27"/>
      <c r="AF840" s="11">
        <v>801</v>
      </c>
      <c r="AG840" s="11" t="s">
        <v>116</v>
      </c>
      <c r="AH840" s="27"/>
      <c r="AI840" s="27"/>
      <c r="AJ840" s="27"/>
      <c r="AK840" s="27">
        <v>0</v>
      </c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Y840" s="27"/>
      <c r="AZ840" s="27"/>
    </row>
    <row r="841" s="11" customFormat="1" spans="1:37">
      <c r="A841" s="11">
        <v>3010</v>
      </c>
      <c r="B841" s="11" t="s">
        <v>1874</v>
      </c>
      <c r="C841" s="11" t="s">
        <v>1875</v>
      </c>
      <c r="D841" s="11">
        <v>0</v>
      </c>
      <c r="F841" s="11">
        <v>1.272</v>
      </c>
      <c r="G841" s="11">
        <v>1.8</v>
      </c>
      <c r="H841" s="11">
        <v>1.8</v>
      </c>
      <c r="I841" s="11">
        <v>0.28</v>
      </c>
      <c r="U841" s="65"/>
      <c r="V841" s="65"/>
      <c r="AF841" s="11">
        <v>801</v>
      </c>
      <c r="AG841" s="11" t="s">
        <v>116</v>
      </c>
      <c r="AK841" s="11">
        <v>0</v>
      </c>
    </row>
    <row r="842" s="11" customFormat="1" spans="1:37">
      <c r="A842" s="11">
        <v>3011</v>
      </c>
      <c r="B842" s="11" t="s">
        <v>1876</v>
      </c>
      <c r="C842" s="11" t="s">
        <v>1877</v>
      </c>
      <c r="D842" s="11">
        <v>0</v>
      </c>
      <c r="F842" s="11">
        <v>1</v>
      </c>
      <c r="G842" s="11">
        <v>1.7</v>
      </c>
      <c r="H842" s="11">
        <v>1.7</v>
      </c>
      <c r="I842" s="11">
        <v>0.5</v>
      </c>
      <c r="U842" s="65"/>
      <c r="V842" s="65"/>
      <c r="AF842" s="11">
        <v>801</v>
      </c>
      <c r="AG842" s="11" t="s">
        <v>116</v>
      </c>
      <c r="AK842" s="11">
        <v>0</v>
      </c>
    </row>
    <row r="843" s="11" customFormat="1" spans="1:37">
      <c r="A843" s="11">
        <v>3012</v>
      </c>
      <c r="B843" s="11" t="s">
        <v>1878</v>
      </c>
      <c r="C843" s="70" t="s">
        <v>1879</v>
      </c>
      <c r="D843" s="11">
        <v>0</v>
      </c>
      <c r="F843" s="11">
        <v>1</v>
      </c>
      <c r="G843" s="11">
        <v>1.7</v>
      </c>
      <c r="H843" s="11">
        <v>1.7</v>
      </c>
      <c r="I843" s="11">
        <v>0.5</v>
      </c>
      <c r="U843" s="65"/>
      <c r="V843" s="65"/>
      <c r="AF843" s="11">
        <v>801</v>
      </c>
      <c r="AG843" s="11" t="s">
        <v>116</v>
      </c>
      <c r="AK843" s="11">
        <v>0</v>
      </c>
    </row>
    <row r="844" s="11" customFormat="1" spans="1:37">
      <c r="A844" s="11">
        <v>3013</v>
      </c>
      <c r="B844" s="11" t="s">
        <v>1880</v>
      </c>
      <c r="C844" s="70" t="s">
        <v>1881</v>
      </c>
      <c r="D844" s="11">
        <v>1</v>
      </c>
      <c r="F844" s="11">
        <v>1</v>
      </c>
      <c r="G844" s="11">
        <v>2</v>
      </c>
      <c r="H844" s="11">
        <v>2</v>
      </c>
      <c r="I844" s="11">
        <v>0.5</v>
      </c>
      <c r="T844" s="11">
        <v>2.4</v>
      </c>
      <c r="U844" s="65"/>
      <c r="V844" s="65"/>
      <c r="AF844" s="11">
        <v>801</v>
      </c>
      <c r="AG844" s="11" t="s">
        <v>116</v>
      </c>
      <c r="AK844" s="11">
        <v>0</v>
      </c>
    </row>
    <row r="845" s="11" customFormat="1" spans="1:37">
      <c r="A845" s="11">
        <v>3014</v>
      </c>
      <c r="B845" s="11" t="s">
        <v>1882</v>
      </c>
      <c r="C845" s="70" t="s">
        <v>1883</v>
      </c>
      <c r="D845" s="11">
        <v>0</v>
      </c>
      <c r="F845" s="11">
        <v>1</v>
      </c>
      <c r="G845" s="11">
        <v>1.7</v>
      </c>
      <c r="H845" s="11">
        <v>1.7</v>
      </c>
      <c r="I845" s="11">
        <v>0.5</v>
      </c>
      <c r="U845" s="65"/>
      <c r="V845" s="65"/>
      <c r="AF845" s="11">
        <v>801</v>
      </c>
      <c r="AG845" s="11" t="s">
        <v>116</v>
      </c>
      <c r="AK845" s="11">
        <v>0</v>
      </c>
    </row>
    <row r="846" s="11" customFormat="1" ht="17.25" spans="1:47">
      <c r="A846" s="13">
        <v>1283</v>
      </c>
      <c r="B846" s="121" t="s">
        <v>1779</v>
      </c>
      <c r="C846" s="124" t="s">
        <v>1884</v>
      </c>
      <c r="D846" s="13">
        <v>1</v>
      </c>
      <c r="E846" s="123"/>
      <c r="F846" s="13">
        <v>1</v>
      </c>
      <c r="G846" s="13">
        <v>2</v>
      </c>
      <c r="H846" s="13">
        <v>2</v>
      </c>
      <c r="I846" s="126">
        <v>0.5</v>
      </c>
      <c r="J846" s="56" t="s">
        <v>115</v>
      </c>
      <c r="K846" s="126"/>
      <c r="L846" s="13">
        <f>7/30</f>
        <v>0.233333333333333</v>
      </c>
      <c r="M846" s="13">
        <f>18/30</f>
        <v>0.6</v>
      </c>
      <c r="N846" s="13"/>
      <c r="O846" s="13"/>
      <c r="P846" s="13">
        <f>7/30</f>
        <v>0.233333333333333</v>
      </c>
      <c r="Q846" s="13">
        <f>14/30</f>
        <v>0.466666666666667</v>
      </c>
      <c r="R846" s="13"/>
      <c r="S846" s="13"/>
      <c r="T846" s="13">
        <v>2.4</v>
      </c>
      <c r="U846" s="127"/>
      <c r="V846" s="127"/>
      <c r="W846" s="13"/>
      <c r="X846" s="13"/>
      <c r="Y846" s="13"/>
      <c r="Z846" s="13"/>
      <c r="AA846" s="13"/>
      <c r="AB846" s="13"/>
      <c r="AC846" s="13"/>
      <c r="AD846" s="128"/>
      <c r="AE846" s="128"/>
      <c r="AF846" s="13"/>
      <c r="AG846" s="13"/>
      <c r="AH846" s="13"/>
      <c r="AI846" s="13"/>
      <c r="AJ846" s="13"/>
      <c r="AK846" s="57">
        <v>0</v>
      </c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</row>
    <row r="847" s="11" customFormat="1" spans="1:37">
      <c r="A847" s="11">
        <v>3016</v>
      </c>
      <c r="B847" s="11" t="s">
        <v>1885</v>
      </c>
      <c r="C847" s="11" t="s">
        <v>1886</v>
      </c>
      <c r="D847" s="11">
        <v>0</v>
      </c>
      <c r="F847" s="11">
        <v>1</v>
      </c>
      <c r="U847" s="65"/>
      <c r="V847" s="65"/>
      <c r="AF847" s="11">
        <v>801</v>
      </c>
      <c r="AG847" s="11" t="s">
        <v>116</v>
      </c>
      <c r="AK847" s="11">
        <v>0</v>
      </c>
    </row>
    <row r="848" s="11" customFormat="1" spans="1:37">
      <c r="A848" s="11">
        <v>3017</v>
      </c>
      <c r="B848" s="69" t="s">
        <v>1887</v>
      </c>
      <c r="C848" s="11" t="s">
        <v>1888</v>
      </c>
      <c r="D848" s="11">
        <v>0</v>
      </c>
      <c r="F848" s="11">
        <v>1</v>
      </c>
      <c r="G848" s="11">
        <v>0</v>
      </c>
      <c r="H848" s="11">
        <v>0</v>
      </c>
      <c r="I848" s="11">
        <v>0</v>
      </c>
      <c r="U848" s="65"/>
      <c r="V848" s="65"/>
      <c r="AF848" s="11">
        <v>801</v>
      </c>
      <c r="AG848" s="11" t="s">
        <v>116</v>
      </c>
      <c r="AK848" s="11">
        <v>0</v>
      </c>
    </row>
    <row r="849" s="11" customFormat="1" spans="1:37">
      <c r="A849" s="11">
        <v>3018</v>
      </c>
      <c r="B849" s="11" t="s">
        <v>1889</v>
      </c>
      <c r="C849" s="11" t="s">
        <v>1890</v>
      </c>
      <c r="D849" s="11">
        <v>0</v>
      </c>
      <c r="F849" s="11">
        <v>1</v>
      </c>
      <c r="G849" s="11">
        <v>2.4</v>
      </c>
      <c r="H849" s="11">
        <v>2.4</v>
      </c>
      <c r="I849" s="11">
        <v>1</v>
      </c>
      <c r="U849" s="65"/>
      <c r="V849" s="65"/>
      <c r="AF849" s="11">
        <v>801</v>
      </c>
      <c r="AG849" s="11" t="s">
        <v>116</v>
      </c>
      <c r="AK849" s="11">
        <v>0</v>
      </c>
    </row>
    <row r="850" s="11" customFormat="1" spans="1:37">
      <c r="A850" s="11">
        <v>3019</v>
      </c>
      <c r="B850" s="11" t="s">
        <v>1299</v>
      </c>
      <c r="C850" s="11" t="s">
        <v>1300</v>
      </c>
      <c r="D850" s="11">
        <v>0</v>
      </c>
      <c r="F850" s="11">
        <v>1</v>
      </c>
      <c r="G850" s="11">
        <v>1.7</v>
      </c>
      <c r="H850" s="11">
        <v>1.7</v>
      </c>
      <c r="I850" s="11">
        <v>0.5</v>
      </c>
      <c r="U850" s="65"/>
      <c r="V850" s="65"/>
      <c r="AF850" s="11">
        <v>801</v>
      </c>
      <c r="AG850" s="11" t="s">
        <v>116</v>
      </c>
      <c r="AK850" s="11">
        <v>0</v>
      </c>
    </row>
    <row r="851" s="11" customFormat="1" spans="1:37">
      <c r="A851" s="11">
        <v>3020</v>
      </c>
      <c r="B851" s="11" t="s">
        <v>1291</v>
      </c>
      <c r="C851" s="11" t="s">
        <v>1891</v>
      </c>
      <c r="D851" s="11">
        <v>0</v>
      </c>
      <c r="F851" s="11">
        <v>1</v>
      </c>
      <c r="G851" s="11">
        <v>1.7</v>
      </c>
      <c r="H851" s="11">
        <v>1.7</v>
      </c>
      <c r="I851" s="11">
        <v>0.5</v>
      </c>
      <c r="U851" s="65"/>
      <c r="V851" s="65"/>
      <c r="AF851" s="11">
        <v>801</v>
      </c>
      <c r="AG851" s="11" t="s">
        <v>116</v>
      </c>
      <c r="AK851" s="11">
        <v>0</v>
      </c>
    </row>
    <row r="852" s="11" customFormat="1" spans="1:37">
      <c r="A852" s="11">
        <v>3021</v>
      </c>
      <c r="B852" s="11" t="s">
        <v>1303</v>
      </c>
      <c r="C852" s="11" t="s">
        <v>1892</v>
      </c>
      <c r="D852" s="11">
        <v>0</v>
      </c>
      <c r="F852" s="11">
        <v>1</v>
      </c>
      <c r="G852" s="11">
        <v>1.7</v>
      </c>
      <c r="H852" s="11">
        <v>1.7</v>
      </c>
      <c r="I852" s="11">
        <v>0.5</v>
      </c>
      <c r="U852" s="65"/>
      <c r="V852" s="65"/>
      <c r="AF852" s="11">
        <v>801</v>
      </c>
      <c r="AG852" s="11" t="s">
        <v>116</v>
      </c>
      <c r="AK852" s="11">
        <v>0</v>
      </c>
    </row>
    <row r="853" s="11" customFormat="1" spans="1:37">
      <c r="A853" s="11">
        <v>3022</v>
      </c>
      <c r="B853" s="11" t="s">
        <v>1309</v>
      </c>
      <c r="C853" s="11" t="s">
        <v>1310</v>
      </c>
      <c r="D853" s="11">
        <v>0</v>
      </c>
      <c r="F853" s="11">
        <v>1</v>
      </c>
      <c r="G853" s="11">
        <v>1.7</v>
      </c>
      <c r="H853" s="11">
        <v>1.7</v>
      </c>
      <c r="I853" s="11">
        <v>0.5</v>
      </c>
      <c r="U853" s="65"/>
      <c r="V853" s="65"/>
      <c r="AF853" s="11">
        <v>801</v>
      </c>
      <c r="AG853" s="11" t="s">
        <v>116</v>
      </c>
      <c r="AK853" s="11">
        <v>0</v>
      </c>
    </row>
    <row r="854" s="11" customFormat="1" spans="1:37">
      <c r="A854" s="11">
        <v>3023</v>
      </c>
      <c r="B854" s="11" t="s">
        <v>1275</v>
      </c>
      <c r="C854" s="11" t="s">
        <v>1893</v>
      </c>
      <c r="D854" s="11">
        <v>0</v>
      </c>
      <c r="F854" s="11">
        <v>1</v>
      </c>
      <c r="G854" s="11">
        <v>1.7</v>
      </c>
      <c r="H854" s="11">
        <v>1.7</v>
      </c>
      <c r="I854" s="11">
        <v>0.5</v>
      </c>
      <c r="U854" s="65"/>
      <c r="V854" s="65"/>
      <c r="AF854" s="11">
        <v>801</v>
      </c>
      <c r="AG854" s="11" t="s">
        <v>116</v>
      </c>
      <c r="AK854" s="11">
        <v>0</v>
      </c>
    </row>
    <row r="855" s="11" customFormat="1" spans="1:37">
      <c r="A855" s="11">
        <v>3024</v>
      </c>
      <c r="B855" s="11" t="s">
        <v>1297</v>
      </c>
      <c r="C855" s="11" t="s">
        <v>1298</v>
      </c>
      <c r="D855" s="11">
        <v>0</v>
      </c>
      <c r="F855" s="11">
        <v>1</v>
      </c>
      <c r="G855" s="11">
        <v>1.7</v>
      </c>
      <c r="H855" s="11">
        <v>1.7</v>
      </c>
      <c r="I855" s="11">
        <v>0.5</v>
      </c>
      <c r="U855" s="65"/>
      <c r="V855" s="65"/>
      <c r="AF855" s="11">
        <v>801</v>
      </c>
      <c r="AG855" s="11" t="s">
        <v>116</v>
      </c>
      <c r="AK855" s="11">
        <v>0</v>
      </c>
    </row>
    <row r="856" s="11" customFormat="1" spans="1:37">
      <c r="A856" s="11">
        <v>3025</v>
      </c>
      <c r="B856" s="11" t="s">
        <v>1315</v>
      </c>
      <c r="C856" s="11" t="s">
        <v>1316</v>
      </c>
      <c r="D856" s="11">
        <v>0</v>
      </c>
      <c r="F856" s="11">
        <v>1</v>
      </c>
      <c r="G856" s="11">
        <v>1.7</v>
      </c>
      <c r="H856" s="11">
        <v>1.7</v>
      </c>
      <c r="I856" s="11">
        <v>0.5</v>
      </c>
      <c r="U856" s="65"/>
      <c r="V856" s="65"/>
      <c r="AF856" s="11">
        <v>801</v>
      </c>
      <c r="AG856" s="11" t="s">
        <v>116</v>
      </c>
      <c r="AK856" s="11">
        <v>0</v>
      </c>
    </row>
    <row r="857" s="11" customFormat="1" spans="1:37">
      <c r="A857" s="11">
        <v>3026</v>
      </c>
      <c r="B857" s="11" t="s">
        <v>1307</v>
      </c>
      <c r="C857" s="11" t="s">
        <v>1308</v>
      </c>
      <c r="D857" s="11">
        <v>0</v>
      </c>
      <c r="F857" s="11">
        <v>1</v>
      </c>
      <c r="G857" s="11">
        <v>1.7</v>
      </c>
      <c r="H857" s="11">
        <v>1.7</v>
      </c>
      <c r="I857" s="11">
        <v>0.5</v>
      </c>
      <c r="U857" s="65"/>
      <c r="V857" s="65"/>
      <c r="AF857" s="11">
        <v>801</v>
      </c>
      <c r="AG857" s="11" t="s">
        <v>116</v>
      </c>
      <c r="AK857" s="11">
        <v>0</v>
      </c>
    </row>
    <row r="858" s="11" customFormat="1" spans="1:52">
      <c r="A858" s="11">
        <v>3028</v>
      </c>
      <c r="B858" s="69" t="s">
        <v>1322</v>
      </c>
      <c r="C858" s="11" t="s">
        <v>1894</v>
      </c>
      <c r="D858" s="11">
        <v>0</v>
      </c>
      <c r="F858" s="11">
        <v>1</v>
      </c>
      <c r="U858" s="65"/>
      <c r="V858" s="65"/>
      <c r="AB858" s="11">
        <v>0</v>
      </c>
      <c r="AC858" s="11">
        <v>791</v>
      </c>
      <c r="AD858" s="69" t="s">
        <v>153</v>
      </c>
      <c r="AF858" s="11">
        <v>801</v>
      </c>
      <c r="AG858" s="11" t="s">
        <v>116</v>
      </c>
      <c r="AK858" s="11">
        <v>0</v>
      </c>
      <c r="AY858" s="11">
        <v>791</v>
      </c>
      <c r="AZ858" s="69" t="s">
        <v>153</v>
      </c>
    </row>
    <row r="859" s="11" customFormat="1" spans="1:52">
      <c r="A859" s="11">
        <v>3029</v>
      </c>
      <c r="B859" s="11" t="s">
        <v>1895</v>
      </c>
      <c r="C859" s="11" t="s">
        <v>1896</v>
      </c>
      <c r="D859" s="11">
        <v>0</v>
      </c>
      <c r="F859" s="11">
        <v>1</v>
      </c>
      <c r="U859" s="65"/>
      <c r="V859" s="65"/>
      <c r="AB859" s="11">
        <v>0</v>
      </c>
      <c r="AC859" s="11">
        <v>791</v>
      </c>
      <c r="AD859" s="69" t="s">
        <v>153</v>
      </c>
      <c r="AF859" s="11">
        <v>801</v>
      </c>
      <c r="AG859" s="11" t="s">
        <v>116</v>
      </c>
      <c r="AK859" s="11">
        <v>0</v>
      </c>
      <c r="AY859" s="11">
        <v>791</v>
      </c>
      <c r="AZ859" s="69" t="s">
        <v>153</v>
      </c>
    </row>
    <row r="860" s="11" customFormat="1" spans="1:37">
      <c r="A860" s="11">
        <v>3030</v>
      </c>
      <c r="B860" s="69" t="s">
        <v>1897</v>
      </c>
      <c r="C860" s="11" t="s">
        <v>1898</v>
      </c>
      <c r="D860" s="11">
        <v>0</v>
      </c>
      <c r="F860" s="11">
        <v>1</v>
      </c>
      <c r="G860" s="11">
        <v>1.7</v>
      </c>
      <c r="H860" s="11">
        <v>1.7</v>
      </c>
      <c r="I860" s="11">
        <v>0.5</v>
      </c>
      <c r="U860" s="65"/>
      <c r="V860" s="65"/>
      <c r="AF860" s="11">
        <v>801</v>
      </c>
      <c r="AG860" s="11" t="s">
        <v>116</v>
      </c>
      <c r="AK860" s="11">
        <v>0</v>
      </c>
    </row>
    <row r="861" s="11" customFormat="1" spans="1:37">
      <c r="A861" s="11">
        <v>3031</v>
      </c>
      <c r="B861" s="11" t="s">
        <v>1899</v>
      </c>
      <c r="C861" s="11" t="s">
        <v>1900</v>
      </c>
      <c r="D861" s="11">
        <v>0</v>
      </c>
      <c r="F861" s="11">
        <v>0.5</v>
      </c>
      <c r="G861" s="11">
        <v>10</v>
      </c>
      <c r="H861" s="11">
        <v>10</v>
      </c>
      <c r="I861" s="11">
        <v>5</v>
      </c>
      <c r="U861" s="65"/>
      <c r="V861" s="65"/>
      <c r="AK861" s="11">
        <v>0</v>
      </c>
    </row>
    <row r="862" s="11" customFormat="1" spans="1:37">
      <c r="A862" s="11">
        <v>3032</v>
      </c>
      <c r="B862" s="11" t="s">
        <v>1901</v>
      </c>
      <c r="C862" s="11" t="s">
        <v>1902</v>
      </c>
      <c r="D862" s="11">
        <v>0</v>
      </c>
      <c r="F862" s="11">
        <v>0.5</v>
      </c>
      <c r="G862" s="11">
        <v>10</v>
      </c>
      <c r="H862" s="11">
        <v>10</v>
      </c>
      <c r="I862" s="11">
        <v>5</v>
      </c>
      <c r="U862" s="65"/>
      <c r="V862" s="65"/>
      <c r="AK862" s="11">
        <v>0</v>
      </c>
    </row>
    <row r="863" s="11" customFormat="1" spans="1:52">
      <c r="A863" s="11">
        <v>3033</v>
      </c>
      <c r="B863" s="11" t="s">
        <v>1903</v>
      </c>
      <c r="C863" s="11" t="s">
        <v>1904</v>
      </c>
      <c r="D863" s="11">
        <v>0</v>
      </c>
      <c r="F863" s="11">
        <v>1</v>
      </c>
      <c r="G863" s="11">
        <v>1.7</v>
      </c>
      <c r="H863" s="11">
        <v>1.7</v>
      </c>
      <c r="I863" s="11">
        <v>1</v>
      </c>
      <c r="U863" s="65"/>
      <c r="V863" s="65"/>
      <c r="AB863" s="11">
        <v>0</v>
      </c>
      <c r="AC863" s="11">
        <v>1152</v>
      </c>
      <c r="AD863" s="69" t="s">
        <v>153</v>
      </c>
      <c r="AY863" s="11">
        <v>1152</v>
      </c>
      <c r="AZ863" s="69" t="s">
        <v>153</v>
      </c>
    </row>
    <row r="864" s="11" customFormat="1" spans="1:22">
      <c r="A864" s="11">
        <v>3034</v>
      </c>
      <c r="B864" s="11" t="s">
        <v>1905</v>
      </c>
      <c r="C864" s="11" t="s">
        <v>1906</v>
      </c>
      <c r="D864" s="11">
        <v>0</v>
      </c>
      <c r="F864" s="11">
        <v>1</v>
      </c>
      <c r="G864" s="11">
        <v>1.7</v>
      </c>
      <c r="H864" s="11">
        <v>1.7</v>
      </c>
      <c r="I864" s="11">
        <v>0.5</v>
      </c>
      <c r="U864" s="65"/>
      <c r="V864" s="65"/>
    </row>
    <row r="865" s="11" customFormat="1" spans="1:22">
      <c r="A865" s="11">
        <v>3035</v>
      </c>
      <c r="B865" s="11" t="s">
        <v>1907</v>
      </c>
      <c r="C865" s="11" t="s">
        <v>1908</v>
      </c>
      <c r="D865" s="11">
        <v>0</v>
      </c>
      <c r="F865" s="11">
        <v>1</v>
      </c>
      <c r="G865" s="11">
        <v>1.7</v>
      </c>
      <c r="H865" s="11">
        <v>1.7</v>
      </c>
      <c r="I865" s="11">
        <v>0.5</v>
      </c>
      <c r="U865" s="65"/>
      <c r="V865" s="65"/>
    </row>
    <row r="866" s="11" customFormat="1" spans="1:22">
      <c r="A866" s="11">
        <v>3036</v>
      </c>
      <c r="B866" s="11" t="s">
        <v>1909</v>
      </c>
      <c r="C866" s="11" t="s">
        <v>1910</v>
      </c>
      <c r="D866" s="11">
        <v>0</v>
      </c>
      <c r="F866" s="11">
        <v>1</v>
      </c>
      <c r="G866" s="11">
        <v>1.7</v>
      </c>
      <c r="H866" s="11">
        <v>1.7</v>
      </c>
      <c r="I866" s="11">
        <v>0.5</v>
      </c>
      <c r="U866" s="65"/>
      <c r="V866" s="65"/>
    </row>
    <row r="867" s="11" customFormat="1" spans="1:22">
      <c r="A867" s="11">
        <v>3037</v>
      </c>
      <c r="B867" s="11" t="s">
        <v>1911</v>
      </c>
      <c r="C867" s="11" t="s">
        <v>1912</v>
      </c>
      <c r="D867" s="11">
        <v>0</v>
      </c>
      <c r="F867" s="11">
        <v>1</v>
      </c>
      <c r="G867" s="11">
        <v>1.7</v>
      </c>
      <c r="H867" s="11">
        <v>1.7</v>
      </c>
      <c r="I867" s="11">
        <v>0.5</v>
      </c>
      <c r="U867" s="65"/>
      <c r="V867" s="65"/>
    </row>
    <row r="868" s="11" customFormat="1" spans="1:22">
      <c r="A868" s="11">
        <v>3038</v>
      </c>
      <c r="B868" s="11" t="s">
        <v>1913</v>
      </c>
      <c r="C868" s="11" t="s">
        <v>1914</v>
      </c>
      <c r="D868" s="11">
        <v>0</v>
      </c>
      <c r="F868" s="11">
        <v>1</v>
      </c>
      <c r="G868" s="11">
        <v>1.7</v>
      </c>
      <c r="H868" s="11">
        <v>1.7</v>
      </c>
      <c r="I868" s="11">
        <v>0.5</v>
      </c>
      <c r="U868" s="65"/>
      <c r="V868" s="65"/>
    </row>
    <row r="869" s="11" customFormat="1" spans="1:52">
      <c r="A869" s="11">
        <v>3044</v>
      </c>
      <c r="B869" s="97" t="s">
        <v>1915</v>
      </c>
      <c r="C869" s="187" t="s">
        <v>1916</v>
      </c>
      <c r="D869" s="11">
        <v>0</v>
      </c>
      <c r="F869" s="11">
        <v>1</v>
      </c>
      <c r="G869" s="11">
        <v>1.7</v>
      </c>
      <c r="H869" s="11">
        <v>1.7</v>
      </c>
      <c r="I869" s="11">
        <v>0.5</v>
      </c>
      <c r="L869" s="50"/>
      <c r="M869" s="50"/>
      <c r="O869" s="50"/>
      <c r="P869" s="50"/>
      <c r="Q869" s="50"/>
      <c r="S869" s="50"/>
      <c r="T869" s="71"/>
      <c r="U869" s="65"/>
      <c r="V869" s="71"/>
      <c r="W869" s="71"/>
      <c r="AD869" s="69"/>
      <c r="AE869" s="69"/>
      <c r="AP869" s="11">
        <v>2</v>
      </c>
      <c r="AZ869" s="69"/>
    </row>
    <row r="870" s="11" customFormat="1" spans="1:52">
      <c r="A870" s="11">
        <v>3046</v>
      </c>
      <c r="B870" s="97" t="s">
        <v>1917</v>
      </c>
      <c r="C870" s="187" t="s">
        <v>1918</v>
      </c>
      <c r="D870" s="11">
        <v>0</v>
      </c>
      <c r="F870" s="11">
        <v>1</v>
      </c>
      <c r="G870" s="11">
        <v>1.7</v>
      </c>
      <c r="H870" s="11">
        <v>1.7</v>
      </c>
      <c r="I870" s="11">
        <v>0.5</v>
      </c>
      <c r="L870" s="50"/>
      <c r="M870" s="50"/>
      <c r="O870" s="50"/>
      <c r="P870" s="50"/>
      <c r="Q870" s="50"/>
      <c r="S870" s="50"/>
      <c r="T870" s="71"/>
      <c r="U870" s="65"/>
      <c r="V870" s="71"/>
      <c r="W870" s="71"/>
      <c r="AD870" s="69"/>
      <c r="AE870" s="69"/>
      <c r="AP870" s="11">
        <v>2</v>
      </c>
      <c r="AZ870" s="69"/>
    </row>
    <row r="871" s="11" customFormat="1" spans="1:52">
      <c r="A871" s="11">
        <v>3047</v>
      </c>
      <c r="B871" s="97" t="s">
        <v>1919</v>
      </c>
      <c r="C871" s="187" t="s">
        <v>1920</v>
      </c>
      <c r="D871" s="11">
        <v>0</v>
      </c>
      <c r="F871" s="11">
        <v>1</v>
      </c>
      <c r="G871" s="11">
        <v>1.7</v>
      </c>
      <c r="H871" s="11">
        <v>1.7</v>
      </c>
      <c r="I871" s="11">
        <v>0.5</v>
      </c>
      <c r="L871" s="50"/>
      <c r="M871" s="50"/>
      <c r="O871" s="50"/>
      <c r="P871" s="50"/>
      <c r="Q871" s="50"/>
      <c r="S871" s="50"/>
      <c r="T871" s="71"/>
      <c r="U871" s="65"/>
      <c r="V871" s="71"/>
      <c r="W871" s="71"/>
      <c r="AD871" s="69"/>
      <c r="AE871" s="69"/>
      <c r="AP871" s="11">
        <v>2</v>
      </c>
      <c r="AZ871" s="69"/>
    </row>
    <row r="872" s="11" customFormat="1" spans="1:52">
      <c r="A872" s="11">
        <v>3048</v>
      </c>
      <c r="B872" s="97" t="s">
        <v>1921</v>
      </c>
      <c r="C872" s="187" t="s">
        <v>1922</v>
      </c>
      <c r="D872" s="11">
        <v>0</v>
      </c>
      <c r="F872" s="11">
        <v>1</v>
      </c>
      <c r="G872" s="11">
        <v>1.7</v>
      </c>
      <c r="H872" s="11">
        <v>1.7</v>
      </c>
      <c r="I872" s="11">
        <v>0.5</v>
      </c>
      <c r="L872" s="50"/>
      <c r="M872" s="50"/>
      <c r="O872" s="50"/>
      <c r="P872" s="50"/>
      <c r="Q872" s="50"/>
      <c r="S872" s="50"/>
      <c r="T872" s="71"/>
      <c r="U872" s="65"/>
      <c r="V872" s="71"/>
      <c r="W872" s="71"/>
      <c r="AD872" s="69"/>
      <c r="AE872" s="69"/>
      <c r="AP872" s="11">
        <v>2</v>
      </c>
      <c r="AZ872" s="69"/>
    </row>
    <row r="873" s="11" customFormat="1" spans="1:52">
      <c r="A873" s="11">
        <v>3049</v>
      </c>
      <c r="B873" s="97" t="s">
        <v>1923</v>
      </c>
      <c r="C873" s="187" t="s">
        <v>1924</v>
      </c>
      <c r="D873" s="11">
        <v>0</v>
      </c>
      <c r="F873" s="11">
        <v>1</v>
      </c>
      <c r="G873" s="11">
        <v>1.7</v>
      </c>
      <c r="H873" s="11">
        <v>1.7</v>
      </c>
      <c r="I873" s="11">
        <v>0.5</v>
      </c>
      <c r="L873" s="50"/>
      <c r="M873" s="50"/>
      <c r="O873" s="50"/>
      <c r="P873" s="50"/>
      <c r="Q873" s="50"/>
      <c r="S873" s="50"/>
      <c r="T873" s="71"/>
      <c r="U873" s="65"/>
      <c r="V873" s="71"/>
      <c r="W873" s="71"/>
      <c r="AB873" s="11">
        <v>0</v>
      </c>
      <c r="AC873" s="11">
        <v>1008</v>
      </c>
      <c r="AD873" s="69" t="s">
        <v>153</v>
      </c>
      <c r="AE873" s="69"/>
      <c r="AP873" s="11">
        <v>2</v>
      </c>
      <c r="AY873" s="11">
        <v>1008</v>
      </c>
      <c r="AZ873" s="69" t="s">
        <v>153</v>
      </c>
    </row>
    <row r="874" s="11" customFormat="1" spans="1:52">
      <c r="A874" s="11">
        <v>3050</v>
      </c>
      <c r="B874" s="97" t="s">
        <v>1925</v>
      </c>
      <c r="C874" s="187" t="s">
        <v>1926</v>
      </c>
      <c r="D874" s="11">
        <v>0</v>
      </c>
      <c r="F874" s="11">
        <v>1</v>
      </c>
      <c r="G874" s="11">
        <v>1.7</v>
      </c>
      <c r="H874" s="11">
        <v>1.7</v>
      </c>
      <c r="I874" s="11">
        <v>0.5</v>
      </c>
      <c r="L874" s="50"/>
      <c r="M874" s="50"/>
      <c r="O874" s="50"/>
      <c r="P874" s="50"/>
      <c r="Q874" s="50"/>
      <c r="S874" s="50"/>
      <c r="T874" s="71"/>
      <c r="U874" s="65"/>
      <c r="V874" s="71"/>
      <c r="W874" s="71"/>
      <c r="AD874" s="69"/>
      <c r="AE874" s="69"/>
      <c r="AP874" s="11">
        <v>2</v>
      </c>
      <c r="AZ874" s="69"/>
    </row>
    <row r="875" s="11" customFormat="1" spans="1:52">
      <c r="A875" s="11">
        <v>3051</v>
      </c>
      <c r="B875" s="97" t="s">
        <v>1927</v>
      </c>
      <c r="C875" s="187" t="s">
        <v>1928</v>
      </c>
      <c r="D875" s="11">
        <v>0</v>
      </c>
      <c r="F875" s="11">
        <v>1</v>
      </c>
      <c r="G875" s="11">
        <v>1.7</v>
      </c>
      <c r="H875" s="11">
        <v>1.7</v>
      </c>
      <c r="I875" s="11">
        <v>0.5</v>
      </c>
      <c r="L875" s="50"/>
      <c r="M875" s="50"/>
      <c r="O875" s="50"/>
      <c r="P875" s="50"/>
      <c r="Q875" s="50"/>
      <c r="S875" s="50"/>
      <c r="T875" s="71"/>
      <c r="U875" s="65"/>
      <c r="V875" s="71"/>
      <c r="W875" s="71"/>
      <c r="AD875" s="69"/>
      <c r="AE875" s="69"/>
      <c r="AP875" s="11">
        <v>2</v>
      </c>
      <c r="AZ875" s="69"/>
    </row>
    <row r="876" s="11" customFormat="1" spans="1:52">
      <c r="A876" s="11">
        <v>3052</v>
      </c>
      <c r="B876" s="97" t="s">
        <v>1929</v>
      </c>
      <c r="C876" s="187" t="s">
        <v>1930</v>
      </c>
      <c r="D876" s="11">
        <v>0</v>
      </c>
      <c r="F876" s="11">
        <v>1</v>
      </c>
      <c r="G876" s="11">
        <v>1.7</v>
      </c>
      <c r="H876" s="11">
        <v>1.7</v>
      </c>
      <c r="I876" s="11">
        <v>0.5</v>
      </c>
      <c r="L876" s="50"/>
      <c r="M876" s="50"/>
      <c r="O876" s="50"/>
      <c r="P876" s="50"/>
      <c r="Q876" s="50"/>
      <c r="S876" s="50"/>
      <c r="T876" s="71"/>
      <c r="U876" s="65"/>
      <c r="V876" s="71"/>
      <c r="W876" s="71"/>
      <c r="AD876" s="69"/>
      <c r="AE876" s="69"/>
      <c r="AP876" s="11">
        <v>2</v>
      </c>
      <c r="AZ876" s="69"/>
    </row>
    <row r="877" s="11" customFormat="1" spans="1:52">
      <c r="A877" s="11">
        <v>3053</v>
      </c>
      <c r="B877" s="97" t="s">
        <v>1931</v>
      </c>
      <c r="C877" s="187" t="s">
        <v>1932</v>
      </c>
      <c r="D877" s="11">
        <v>0</v>
      </c>
      <c r="F877" s="11">
        <v>1</v>
      </c>
      <c r="G877" s="11">
        <v>1.7</v>
      </c>
      <c r="H877" s="11">
        <v>1.7</v>
      </c>
      <c r="I877" s="11">
        <v>0.5</v>
      </c>
      <c r="L877" s="50"/>
      <c r="M877" s="50"/>
      <c r="O877" s="50"/>
      <c r="P877" s="50"/>
      <c r="Q877" s="50"/>
      <c r="S877" s="50"/>
      <c r="T877" s="71"/>
      <c r="U877" s="65"/>
      <c r="V877" s="71"/>
      <c r="W877" s="71"/>
      <c r="AD877" s="69"/>
      <c r="AE877" s="69"/>
      <c r="AP877" s="11">
        <v>2</v>
      </c>
      <c r="AZ877" s="69"/>
    </row>
    <row r="878" s="11" customFormat="1" spans="1:52">
      <c r="A878" s="11">
        <v>3054</v>
      </c>
      <c r="B878" s="97" t="s">
        <v>1933</v>
      </c>
      <c r="C878" s="187" t="s">
        <v>1934</v>
      </c>
      <c r="D878" s="11">
        <v>0</v>
      </c>
      <c r="F878" s="11">
        <v>1</v>
      </c>
      <c r="G878" s="11">
        <v>1.7</v>
      </c>
      <c r="H878" s="11">
        <v>1.7</v>
      </c>
      <c r="I878" s="11">
        <v>0.5</v>
      </c>
      <c r="L878" s="50"/>
      <c r="M878" s="50"/>
      <c r="O878" s="50"/>
      <c r="P878" s="50"/>
      <c r="Q878" s="50"/>
      <c r="S878" s="50"/>
      <c r="T878" s="71"/>
      <c r="U878" s="65"/>
      <c r="V878" s="71"/>
      <c r="W878" s="71"/>
      <c r="AD878" s="69"/>
      <c r="AE878" s="69"/>
      <c r="AP878" s="11">
        <v>2</v>
      </c>
      <c r="AZ878" s="69"/>
    </row>
    <row r="879" s="11" customFormat="1" spans="1:52">
      <c r="A879" s="11">
        <v>3055</v>
      </c>
      <c r="B879" s="97" t="s">
        <v>1935</v>
      </c>
      <c r="C879" s="187" t="s">
        <v>1936</v>
      </c>
      <c r="D879" s="11">
        <v>0</v>
      </c>
      <c r="F879" s="11">
        <v>1</v>
      </c>
      <c r="G879" s="11">
        <v>1.7</v>
      </c>
      <c r="H879" s="11">
        <v>1.7</v>
      </c>
      <c r="I879" s="11">
        <v>0.5</v>
      </c>
      <c r="L879" s="50"/>
      <c r="M879" s="50"/>
      <c r="O879" s="50"/>
      <c r="P879" s="50"/>
      <c r="Q879" s="50"/>
      <c r="S879" s="50"/>
      <c r="T879" s="71"/>
      <c r="U879" s="65"/>
      <c r="V879" s="71"/>
      <c r="W879" s="71"/>
      <c r="AD879" s="69"/>
      <c r="AE879" s="69"/>
      <c r="AP879" s="11">
        <v>2</v>
      </c>
      <c r="AZ879" s="69"/>
    </row>
    <row r="880" s="11" customFormat="1" spans="1:52">
      <c r="A880" s="27">
        <v>3056</v>
      </c>
      <c r="B880" s="27" t="s">
        <v>1937</v>
      </c>
      <c r="C880" s="27" t="s">
        <v>1938</v>
      </c>
      <c r="D880" s="27">
        <v>0</v>
      </c>
      <c r="E880" s="27"/>
      <c r="F880" s="27">
        <v>1</v>
      </c>
      <c r="G880" s="27">
        <v>0</v>
      </c>
      <c r="H880" s="27">
        <v>0</v>
      </c>
      <c r="I880" s="27">
        <v>0</v>
      </c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193"/>
      <c r="V880" s="193"/>
      <c r="W880" s="27"/>
      <c r="X880" s="27"/>
      <c r="Y880" s="27"/>
      <c r="Z880" s="27"/>
      <c r="AA880" s="27"/>
      <c r="AB880" s="27"/>
      <c r="AC880" s="27"/>
      <c r="AD880" s="27"/>
      <c r="AE880" s="27"/>
      <c r="AF880" s="27">
        <v>801</v>
      </c>
      <c r="AG880" s="27" t="s">
        <v>116</v>
      </c>
      <c r="AH880" s="27"/>
      <c r="AI880" s="27"/>
      <c r="AJ880" s="27"/>
      <c r="AK880" s="27">
        <v>0</v>
      </c>
      <c r="AL880" s="27"/>
      <c r="AM880" s="27"/>
      <c r="AN880" s="27"/>
      <c r="AO880" s="27"/>
      <c r="AY880" s="27"/>
      <c r="AZ880" s="27"/>
    </row>
    <row r="881" s="11" customFormat="1" spans="1:52">
      <c r="A881" s="27">
        <v>3057</v>
      </c>
      <c r="B881" s="27" t="s">
        <v>1939</v>
      </c>
      <c r="C881" s="27" t="s">
        <v>1940</v>
      </c>
      <c r="D881" s="27">
        <v>0</v>
      </c>
      <c r="E881" s="27"/>
      <c r="F881" s="27">
        <v>1</v>
      </c>
      <c r="G881" s="27">
        <v>0</v>
      </c>
      <c r="H881" s="27">
        <v>0</v>
      </c>
      <c r="I881" s="27">
        <v>0</v>
      </c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193"/>
      <c r="V881" s="193"/>
      <c r="W881" s="27"/>
      <c r="X881" s="27"/>
      <c r="Y881" s="27"/>
      <c r="Z881" s="27"/>
      <c r="AA881" s="27"/>
      <c r="AB881" s="27"/>
      <c r="AC881" s="27"/>
      <c r="AD881" s="27"/>
      <c r="AE881" s="27"/>
      <c r="AF881" s="27">
        <v>801</v>
      </c>
      <c r="AG881" s="27" t="s">
        <v>116</v>
      </c>
      <c r="AH881" s="27"/>
      <c r="AI881" s="27"/>
      <c r="AJ881" s="27"/>
      <c r="AK881" s="27">
        <v>0</v>
      </c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Y881" s="27"/>
      <c r="AZ881" s="27"/>
    </row>
    <row r="882" s="11" customFormat="1" spans="1:52">
      <c r="A882" s="27">
        <v>3058</v>
      </c>
      <c r="B882" s="184" t="s">
        <v>1941</v>
      </c>
      <c r="C882" s="27" t="s">
        <v>1942</v>
      </c>
      <c r="D882" s="27">
        <v>1</v>
      </c>
      <c r="E882" s="27"/>
      <c r="F882" s="27">
        <v>1</v>
      </c>
      <c r="G882" s="183">
        <v>2.4</v>
      </c>
      <c r="H882" s="183">
        <v>2.4</v>
      </c>
      <c r="I882" s="183">
        <v>0.7</v>
      </c>
      <c r="J882" s="27" t="s">
        <v>115</v>
      </c>
      <c r="K882" s="27"/>
      <c r="L882" s="27">
        <v>0.2</v>
      </c>
      <c r="M882" s="27">
        <v>0.566666666666667</v>
      </c>
      <c r="N882" s="27"/>
      <c r="O882" s="27"/>
      <c r="P882" s="27">
        <v>0.166666666666667</v>
      </c>
      <c r="Q882" s="27">
        <v>0.6</v>
      </c>
      <c r="R882" s="27"/>
      <c r="S882" s="27"/>
      <c r="T882" s="27">
        <v>2.4</v>
      </c>
      <c r="U882" s="193"/>
      <c r="V882" s="193"/>
      <c r="W882" s="27"/>
      <c r="X882" s="27"/>
      <c r="Y882" s="27"/>
      <c r="Z882" s="27"/>
      <c r="AA882" s="27"/>
      <c r="AB882" s="27"/>
      <c r="AC882" s="27"/>
      <c r="AD882" s="27"/>
      <c r="AE882" s="27"/>
      <c r="AF882" s="11">
        <v>801</v>
      </c>
      <c r="AG882" s="11" t="s">
        <v>116</v>
      </c>
      <c r="AH882" s="27"/>
      <c r="AI882" s="27"/>
      <c r="AJ882" s="27"/>
      <c r="AK882" s="27">
        <v>0</v>
      </c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Y882" s="27"/>
      <c r="AZ882" s="27"/>
    </row>
    <row r="883" s="11" customFormat="1" spans="1:49">
      <c r="A883" s="27">
        <v>3059</v>
      </c>
      <c r="B883" s="184" t="s">
        <v>1943</v>
      </c>
      <c r="C883" s="27" t="s">
        <v>1944</v>
      </c>
      <c r="D883" s="11">
        <v>0</v>
      </c>
      <c r="F883" s="11">
        <v>1</v>
      </c>
      <c r="U883" s="65"/>
      <c r="V883" s="65"/>
      <c r="AF883" s="11">
        <v>801</v>
      </c>
      <c r="AG883" s="11" t="s">
        <v>116</v>
      </c>
      <c r="AK883" s="11">
        <v>0</v>
      </c>
      <c r="AQ883" s="27"/>
      <c r="AR883" s="27"/>
      <c r="AS883" s="27"/>
      <c r="AT883" s="27"/>
      <c r="AU883" s="27"/>
      <c r="AV883" s="11" t="s">
        <v>286</v>
      </c>
      <c r="AW883" s="11" t="s">
        <v>286</v>
      </c>
    </row>
    <row r="884" s="11" customFormat="1" spans="1:52">
      <c r="A884" s="27">
        <v>3060</v>
      </c>
      <c r="B884" s="184" t="s">
        <v>1945</v>
      </c>
      <c r="C884" s="27" t="s">
        <v>1946</v>
      </c>
      <c r="D884" s="27">
        <v>0</v>
      </c>
      <c r="E884" s="27"/>
      <c r="F884" s="27">
        <v>1</v>
      </c>
      <c r="G884" s="27">
        <v>0</v>
      </c>
      <c r="H884" s="27">
        <v>0</v>
      </c>
      <c r="I884" s="27">
        <v>0</v>
      </c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193"/>
      <c r="V884" s="193"/>
      <c r="W884" s="27"/>
      <c r="X884" s="27"/>
      <c r="Y884" s="27"/>
      <c r="Z884" s="27"/>
      <c r="AA884" s="27"/>
      <c r="AB884" s="27"/>
      <c r="AC884" s="27"/>
      <c r="AD884" s="27"/>
      <c r="AE884" s="27"/>
      <c r="AF884" s="27">
        <v>801</v>
      </c>
      <c r="AG884" s="27" t="s">
        <v>116</v>
      </c>
      <c r="AH884" s="27"/>
      <c r="AI884" s="27"/>
      <c r="AJ884" s="27"/>
      <c r="AK884" s="27">
        <v>0</v>
      </c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Y884" s="27"/>
      <c r="AZ884" s="27"/>
    </row>
    <row r="885" s="11" customFormat="1" spans="1:22">
      <c r="A885" s="27">
        <v>3061</v>
      </c>
      <c r="B885" s="11" t="s">
        <v>1947</v>
      </c>
      <c r="C885" s="27" t="s">
        <v>1948</v>
      </c>
      <c r="D885" s="11">
        <v>0</v>
      </c>
      <c r="F885" s="11">
        <v>1</v>
      </c>
      <c r="G885" s="11">
        <v>1.7</v>
      </c>
      <c r="H885" s="11">
        <v>1.7</v>
      </c>
      <c r="I885" s="11">
        <v>0.5</v>
      </c>
      <c r="U885" s="65"/>
      <c r="V885" s="65"/>
    </row>
    <row r="886" s="11" customFormat="1" ht="16.5" spans="1:37">
      <c r="A886" s="22">
        <v>3062</v>
      </c>
      <c r="B886" s="188" t="s">
        <v>1949</v>
      </c>
      <c r="C886" s="22" t="s">
        <v>1950</v>
      </c>
      <c r="D886" s="27">
        <v>0</v>
      </c>
      <c r="F886" s="11">
        <v>0.5</v>
      </c>
      <c r="G886" s="11">
        <v>10</v>
      </c>
      <c r="H886" s="11">
        <v>10</v>
      </c>
      <c r="I886" s="11">
        <v>5</v>
      </c>
      <c r="U886" s="65"/>
      <c r="V886" s="65"/>
      <c r="AK886" s="11">
        <v>0</v>
      </c>
    </row>
    <row r="887" s="11" customFormat="1" ht="16.5" spans="1:37">
      <c r="A887" s="11">
        <v>3063</v>
      </c>
      <c r="B887" s="189" t="s">
        <v>1951</v>
      </c>
      <c r="C887" s="11" t="s">
        <v>1952</v>
      </c>
      <c r="D887" s="11">
        <v>0</v>
      </c>
      <c r="F887" s="11">
        <v>1</v>
      </c>
      <c r="G887" s="50">
        <v>2.4</v>
      </c>
      <c r="H887" s="50">
        <v>2.4</v>
      </c>
      <c r="I887" s="50">
        <v>0.7</v>
      </c>
      <c r="J887" s="11" t="s">
        <v>115</v>
      </c>
      <c r="L887" s="11">
        <v>0.2</v>
      </c>
      <c r="M887" s="11">
        <v>0.566666666666667</v>
      </c>
      <c r="P887" s="11">
        <v>0.166666666666667</v>
      </c>
      <c r="Q887" s="11">
        <v>0.6</v>
      </c>
      <c r="T887" s="11">
        <v>2.4</v>
      </c>
      <c r="U887" s="65"/>
      <c r="V887" s="65"/>
      <c r="AF887" s="11">
        <v>801</v>
      </c>
      <c r="AG887" s="11" t="s">
        <v>116</v>
      </c>
      <c r="AK887" s="11">
        <v>0</v>
      </c>
    </row>
    <row r="888" s="11" customFormat="1" ht="16.5" spans="1:49">
      <c r="A888" s="11">
        <v>3064</v>
      </c>
      <c r="B888" s="189" t="s">
        <v>1953</v>
      </c>
      <c r="C888" s="11" t="s">
        <v>1954</v>
      </c>
      <c r="D888" s="11">
        <v>1</v>
      </c>
      <c r="F888" s="11">
        <v>1</v>
      </c>
      <c r="G888" s="56">
        <v>1.8</v>
      </c>
      <c r="H888" s="56">
        <v>2.16</v>
      </c>
      <c r="I888" s="11">
        <v>0.4</v>
      </c>
      <c r="J888" s="56" t="s">
        <v>115</v>
      </c>
      <c r="L888" s="11">
        <f>5/30</f>
        <v>0.166666666666667</v>
      </c>
      <c r="M888" s="11">
        <f>17/30</f>
        <v>0.566666666666667</v>
      </c>
      <c r="P888" s="11">
        <f>3/30</f>
        <v>0.1</v>
      </c>
      <c r="Q888" s="11">
        <f>14/30</f>
        <v>0.466666666666667</v>
      </c>
      <c r="T888" s="11">
        <v>2.4</v>
      </c>
      <c r="U888" s="65"/>
      <c r="V888" s="65"/>
      <c r="AF888" s="11">
        <v>801</v>
      </c>
      <c r="AG888" s="11" t="s">
        <v>116</v>
      </c>
      <c r="AK888" s="11">
        <v>0</v>
      </c>
      <c r="AV888" s="11" t="s">
        <v>1955</v>
      </c>
      <c r="AW888" s="11" t="s">
        <v>1955</v>
      </c>
    </row>
    <row r="889" s="22" customFormat="1" ht="17.25" spans="1:52">
      <c r="A889" s="22">
        <v>3065</v>
      </c>
      <c r="B889" s="190" t="s">
        <v>1956</v>
      </c>
      <c r="C889" s="191" t="s">
        <v>1957</v>
      </c>
      <c r="D889" s="22">
        <v>1</v>
      </c>
      <c r="E889" s="132"/>
      <c r="F889" s="22">
        <v>1</v>
      </c>
      <c r="G889" s="22">
        <v>5.4</v>
      </c>
      <c r="H889" s="22">
        <v>1</v>
      </c>
      <c r="I889" s="142">
        <v>0.5</v>
      </c>
      <c r="J889" s="142" t="s">
        <v>115</v>
      </c>
      <c r="K889" s="142"/>
      <c r="U889" s="93"/>
      <c r="V889" s="93"/>
      <c r="AD889" s="150"/>
      <c r="AE889" s="150"/>
      <c r="AK889" s="93">
        <v>0</v>
      </c>
      <c r="AZ889" s="150"/>
    </row>
    <row r="890" s="22" customFormat="1" ht="16.5" spans="1:52">
      <c r="A890" s="22">
        <v>3066</v>
      </c>
      <c r="B890" s="192" t="s">
        <v>1958</v>
      </c>
      <c r="C890" s="132" t="s">
        <v>1959</v>
      </c>
      <c r="E890" s="132"/>
      <c r="F890" s="22">
        <v>1</v>
      </c>
      <c r="G890" s="22">
        <v>0</v>
      </c>
      <c r="H890" s="22">
        <v>0</v>
      </c>
      <c r="I890" s="142">
        <v>0</v>
      </c>
      <c r="J890" s="142" t="s">
        <v>115</v>
      </c>
      <c r="K890" s="142"/>
      <c r="U890" s="93"/>
      <c r="V890" s="93"/>
      <c r="AD890" s="150"/>
      <c r="AE890" s="150"/>
      <c r="AK890" s="93">
        <v>0</v>
      </c>
      <c r="AZ890" s="150"/>
    </row>
    <row r="891" s="22" customFormat="1" ht="16.5" spans="1:52">
      <c r="A891" s="22">
        <v>3067</v>
      </c>
      <c r="B891" s="192" t="s">
        <v>1960</v>
      </c>
      <c r="C891" s="132" t="s">
        <v>1961</v>
      </c>
      <c r="E891" s="132"/>
      <c r="F891" s="22">
        <v>1</v>
      </c>
      <c r="G891" s="22">
        <v>0</v>
      </c>
      <c r="H891" s="22">
        <v>0</v>
      </c>
      <c r="I891" s="142">
        <v>0</v>
      </c>
      <c r="J891" s="142" t="s">
        <v>115</v>
      </c>
      <c r="K891" s="142"/>
      <c r="U891" s="93"/>
      <c r="V891" s="93"/>
      <c r="AD891" s="150"/>
      <c r="AE891" s="150"/>
      <c r="AK891" s="93">
        <v>0</v>
      </c>
      <c r="AZ891" s="150"/>
    </row>
    <row r="892" s="11" customFormat="1" spans="1:52">
      <c r="A892" s="23">
        <v>400101</v>
      </c>
      <c r="B892" s="82" t="s">
        <v>1962</v>
      </c>
      <c r="C892" s="23" t="s">
        <v>1963</v>
      </c>
      <c r="D892" s="23">
        <v>1</v>
      </c>
      <c r="E892" s="23">
        <v>1</v>
      </c>
      <c r="F892" s="23">
        <v>1</v>
      </c>
      <c r="G892" s="23">
        <v>1.52</v>
      </c>
      <c r="H892" s="23">
        <v>1.68</v>
      </c>
      <c r="I892" s="23">
        <v>0.43</v>
      </c>
      <c r="J892" s="23" t="s">
        <v>115</v>
      </c>
      <c r="K892" s="23"/>
      <c r="L892" s="23">
        <v>0.166666666666667</v>
      </c>
      <c r="M892" s="23">
        <v>0.6</v>
      </c>
      <c r="N892" s="23"/>
      <c r="O892" s="23"/>
      <c r="P892" s="23">
        <v>0.166666666666667</v>
      </c>
      <c r="Q892" s="23">
        <v>0.7</v>
      </c>
      <c r="R892" s="23"/>
      <c r="S892" s="23"/>
      <c r="T892" s="23">
        <v>2.4</v>
      </c>
      <c r="U892" s="194">
        <v>0</v>
      </c>
      <c r="V892" s="194">
        <v>-5.16</v>
      </c>
      <c r="W892" s="23">
        <v>5</v>
      </c>
      <c r="X892" s="23">
        <v>-2.391</v>
      </c>
      <c r="Y892" s="23">
        <v>0.829</v>
      </c>
      <c r="Z892" s="23">
        <v>-2.639</v>
      </c>
      <c r="AA892" s="23">
        <v>1</v>
      </c>
      <c r="AB892" s="23">
        <v>0</v>
      </c>
      <c r="AC892" s="23"/>
      <c r="AD892" s="23"/>
      <c r="AE892" s="23"/>
      <c r="AF892" s="23">
        <v>801</v>
      </c>
      <c r="AG892" s="23" t="s">
        <v>116</v>
      </c>
      <c r="AH892" s="197" t="s">
        <v>200</v>
      </c>
      <c r="AI892" s="23"/>
      <c r="AJ892" s="23"/>
      <c r="AK892" s="23">
        <v>0</v>
      </c>
      <c r="AL892" s="23"/>
      <c r="AM892" s="23"/>
      <c r="AN892" s="23"/>
      <c r="AO892" s="198"/>
      <c r="AP892" s="198"/>
      <c r="AQ892" s="198"/>
      <c r="AR892" s="198"/>
      <c r="AS892" s="198"/>
      <c r="AT892" s="198"/>
      <c r="AU892" s="198"/>
      <c r="AV892" s="11" t="s">
        <v>118</v>
      </c>
      <c r="AW892" s="11" t="s">
        <v>118</v>
      </c>
      <c r="AY892" s="23"/>
      <c r="AZ892" s="23"/>
    </row>
    <row r="893" s="11" customFormat="1" spans="1:52">
      <c r="A893" s="23">
        <v>400102</v>
      </c>
      <c r="B893" s="82" t="s">
        <v>1964</v>
      </c>
      <c r="C893" s="23" t="s">
        <v>1965</v>
      </c>
      <c r="D893" s="23">
        <v>1</v>
      </c>
      <c r="E893" s="23">
        <v>1</v>
      </c>
      <c r="F893" s="23">
        <v>1</v>
      </c>
      <c r="G893" s="23">
        <v>1.52</v>
      </c>
      <c r="H893" s="23">
        <v>1.68</v>
      </c>
      <c r="I893" s="23">
        <v>0.43</v>
      </c>
      <c r="J893" s="23" t="s">
        <v>115</v>
      </c>
      <c r="K893" s="23"/>
      <c r="L893" s="23">
        <v>0.166666666666667</v>
      </c>
      <c r="M893" s="23">
        <v>0.6</v>
      </c>
      <c r="N893" s="23"/>
      <c r="O893" s="23"/>
      <c r="P893" s="23">
        <v>0.166666666666667</v>
      </c>
      <c r="Q893" s="23">
        <v>0.7</v>
      </c>
      <c r="R893" s="23"/>
      <c r="S893" s="23"/>
      <c r="T893" s="23">
        <v>2.4</v>
      </c>
      <c r="U893" s="194">
        <v>0</v>
      </c>
      <c r="V893" s="194">
        <v>-5.16</v>
      </c>
      <c r="W893" s="23">
        <v>5</v>
      </c>
      <c r="X893" s="23">
        <v>-2.391</v>
      </c>
      <c r="Y893" s="23">
        <v>0.829</v>
      </c>
      <c r="Z893" s="23">
        <v>-2.639</v>
      </c>
      <c r="AA893" s="23">
        <v>1</v>
      </c>
      <c r="AB893" s="23">
        <v>0</v>
      </c>
      <c r="AC893" s="23"/>
      <c r="AD893" s="23"/>
      <c r="AE893" s="23"/>
      <c r="AF893" s="23">
        <v>801</v>
      </c>
      <c r="AG893" s="23" t="s">
        <v>116</v>
      </c>
      <c r="AH893" s="197" t="s">
        <v>200</v>
      </c>
      <c r="AI893" s="23"/>
      <c r="AJ893" s="23"/>
      <c r="AK893" s="23">
        <v>0</v>
      </c>
      <c r="AL893" s="23"/>
      <c r="AM893" s="23"/>
      <c r="AN893" s="23"/>
      <c r="AO893" s="198"/>
      <c r="AP893" s="198"/>
      <c r="AQ893" s="198"/>
      <c r="AR893" s="198"/>
      <c r="AS893" s="198"/>
      <c r="AT893" s="198"/>
      <c r="AU893" s="198"/>
      <c r="AV893" s="11" t="s">
        <v>118</v>
      </c>
      <c r="AW893" s="11" t="s">
        <v>118</v>
      </c>
      <c r="AY893" s="23"/>
      <c r="AZ893" s="23"/>
    </row>
    <row r="894" s="11" customFormat="1" spans="1:52">
      <c r="A894" s="23">
        <v>400103</v>
      </c>
      <c r="B894" s="82" t="s">
        <v>1966</v>
      </c>
      <c r="C894" s="23" t="s">
        <v>1967</v>
      </c>
      <c r="D894" s="23">
        <v>1</v>
      </c>
      <c r="E894" s="23">
        <v>1</v>
      </c>
      <c r="F894" s="23">
        <v>1.1</v>
      </c>
      <c r="G894" s="23">
        <v>1.52</v>
      </c>
      <c r="H894" s="23">
        <v>2</v>
      </c>
      <c r="I894" s="23">
        <v>0.43</v>
      </c>
      <c r="J894" s="23" t="s">
        <v>115</v>
      </c>
      <c r="K894" s="23"/>
      <c r="L894" s="23">
        <v>0.0666666666666667</v>
      </c>
      <c r="M894" s="23">
        <v>0.566666666666667</v>
      </c>
      <c r="N894" s="23"/>
      <c r="O894" s="23"/>
      <c r="P894" s="23">
        <v>0.0666666666666667</v>
      </c>
      <c r="Q894" s="23">
        <v>0.566666666666667</v>
      </c>
      <c r="R894" s="23"/>
      <c r="S894" s="23"/>
      <c r="T894" s="23">
        <v>2.4</v>
      </c>
      <c r="U894" s="194">
        <v>0</v>
      </c>
      <c r="V894" s="194"/>
      <c r="W894" s="23"/>
      <c r="X894" s="23"/>
      <c r="Y894" s="23"/>
      <c r="Z894" s="23"/>
      <c r="AA894" s="23"/>
      <c r="AB894" s="23">
        <v>1</v>
      </c>
      <c r="AC894" s="23">
        <v>2039</v>
      </c>
      <c r="AD894" s="23" t="s">
        <v>153</v>
      </c>
      <c r="AE894" s="23"/>
      <c r="AF894" s="23">
        <v>801</v>
      </c>
      <c r="AG894" s="23" t="s">
        <v>116</v>
      </c>
      <c r="AH894" s="23" t="s">
        <v>200</v>
      </c>
      <c r="AI894" s="23">
        <v>3</v>
      </c>
      <c r="AJ894" s="23">
        <v>8</v>
      </c>
      <c r="AK894" s="23">
        <v>0</v>
      </c>
      <c r="AL894" s="23"/>
      <c r="AM894" s="23"/>
      <c r="AN894" s="23"/>
      <c r="AO894" s="198"/>
      <c r="AP894" s="198"/>
      <c r="AQ894" s="198"/>
      <c r="AR894" s="198"/>
      <c r="AS894" s="198"/>
      <c r="AT894" s="198"/>
      <c r="AU894" s="198"/>
      <c r="AV894" s="11" t="s">
        <v>118</v>
      </c>
      <c r="AW894" s="11" t="s">
        <v>118</v>
      </c>
      <c r="AY894" s="23">
        <v>2039</v>
      </c>
      <c r="AZ894" s="23" t="s">
        <v>153</v>
      </c>
    </row>
    <row r="895" s="11" customFormat="1" spans="1:52">
      <c r="A895" s="23">
        <v>400104</v>
      </c>
      <c r="B895" s="82" t="s">
        <v>1968</v>
      </c>
      <c r="C895" s="23" t="s">
        <v>1969</v>
      </c>
      <c r="D895" s="23">
        <v>1</v>
      </c>
      <c r="E895" s="23">
        <v>1</v>
      </c>
      <c r="F895" s="23">
        <v>1.1</v>
      </c>
      <c r="G895" s="23">
        <v>1.52</v>
      </c>
      <c r="H895" s="23">
        <v>2</v>
      </c>
      <c r="I895" s="23">
        <v>0.43</v>
      </c>
      <c r="J895" s="23" t="s">
        <v>115</v>
      </c>
      <c r="K895" s="23"/>
      <c r="L895" s="23">
        <v>0.0666666666666667</v>
      </c>
      <c r="M895" s="23">
        <v>0.566666666666667</v>
      </c>
      <c r="N895" s="23"/>
      <c r="O895" s="23"/>
      <c r="P895" s="23">
        <v>0.0666666666666667</v>
      </c>
      <c r="Q895" s="23">
        <v>0.566666666666667</v>
      </c>
      <c r="R895" s="23"/>
      <c r="S895" s="23"/>
      <c r="T895" s="23">
        <v>2.4</v>
      </c>
      <c r="U895" s="194">
        <v>0</v>
      </c>
      <c r="V895" s="194"/>
      <c r="W895" s="23"/>
      <c r="X895" s="23"/>
      <c r="Y895" s="23"/>
      <c r="Z895" s="23"/>
      <c r="AA895" s="23"/>
      <c r="AB895" s="23">
        <v>1</v>
      </c>
      <c r="AC895" s="23">
        <v>2039</v>
      </c>
      <c r="AD895" s="23" t="s">
        <v>153</v>
      </c>
      <c r="AE895" s="23"/>
      <c r="AF895" s="23">
        <v>801</v>
      </c>
      <c r="AG895" s="23" t="s">
        <v>116</v>
      </c>
      <c r="AH895" s="23" t="s">
        <v>200</v>
      </c>
      <c r="AI895" s="23">
        <v>3</v>
      </c>
      <c r="AJ895" s="23">
        <v>8</v>
      </c>
      <c r="AK895" s="23">
        <v>0</v>
      </c>
      <c r="AL895" s="23"/>
      <c r="AM895" s="23"/>
      <c r="AN895" s="23"/>
      <c r="AO895" s="198"/>
      <c r="AP895" s="198"/>
      <c r="AQ895" s="198"/>
      <c r="AR895" s="198"/>
      <c r="AS895" s="198"/>
      <c r="AT895" s="198"/>
      <c r="AU895" s="198"/>
      <c r="AV895" s="11" t="s">
        <v>118</v>
      </c>
      <c r="AW895" s="11" t="s">
        <v>118</v>
      </c>
      <c r="AY895" s="23">
        <v>2039</v>
      </c>
      <c r="AZ895" s="23" t="s">
        <v>153</v>
      </c>
    </row>
    <row r="896" s="11" customFormat="1" spans="1:52">
      <c r="A896" s="23">
        <v>400201</v>
      </c>
      <c r="B896" s="23" t="s">
        <v>1970</v>
      </c>
      <c r="C896" s="23" t="s">
        <v>1971</v>
      </c>
      <c r="D896" s="23">
        <v>1</v>
      </c>
      <c r="E896" s="23">
        <v>1</v>
      </c>
      <c r="F896" s="23">
        <v>1</v>
      </c>
      <c r="G896" s="23">
        <v>1.64</v>
      </c>
      <c r="H896" s="23">
        <v>1.8</v>
      </c>
      <c r="I896" s="23">
        <v>0.5</v>
      </c>
      <c r="J896" s="23" t="s">
        <v>115</v>
      </c>
      <c r="K896" s="23"/>
      <c r="L896" s="23">
        <v>0.166666666666667</v>
      </c>
      <c r="M896" s="23">
        <v>0.4</v>
      </c>
      <c r="N896" s="23"/>
      <c r="O896" s="23"/>
      <c r="P896" s="23">
        <v>0.2</v>
      </c>
      <c r="Q896" s="23">
        <v>0.6</v>
      </c>
      <c r="R896" s="23"/>
      <c r="S896" s="23"/>
      <c r="T896" s="23">
        <v>2.4</v>
      </c>
      <c r="U896" s="23">
        <v>0</v>
      </c>
      <c r="V896" s="23">
        <v>-5.86</v>
      </c>
      <c r="W896" s="23">
        <v>5</v>
      </c>
      <c r="X896" s="23">
        <v>-2.454</v>
      </c>
      <c r="Y896" s="23">
        <v>0.983</v>
      </c>
      <c r="Z896" s="23">
        <v>-2.454</v>
      </c>
      <c r="AA896" s="23">
        <v>1</v>
      </c>
      <c r="AB896" s="23">
        <v>0</v>
      </c>
      <c r="AC896" s="23"/>
      <c r="AD896" s="23"/>
      <c r="AE896" s="23"/>
      <c r="AF896" s="23">
        <v>801</v>
      </c>
      <c r="AG896" s="23" t="s">
        <v>116</v>
      </c>
      <c r="AH896" s="23" t="s">
        <v>121</v>
      </c>
      <c r="AI896" s="23"/>
      <c r="AJ896" s="23"/>
      <c r="AK896" s="23">
        <v>0</v>
      </c>
      <c r="AL896" s="23"/>
      <c r="AM896" s="23"/>
      <c r="AN896" s="23"/>
      <c r="AO896" s="198"/>
      <c r="AP896" s="198"/>
      <c r="AQ896" s="198"/>
      <c r="AR896" s="198"/>
      <c r="AS896" s="198"/>
      <c r="AT896" s="198"/>
      <c r="AU896" s="198"/>
      <c r="AV896" s="11" t="s">
        <v>122</v>
      </c>
      <c r="AW896" s="11" t="s">
        <v>122</v>
      </c>
      <c r="AY896" s="23"/>
      <c r="AZ896" s="23"/>
    </row>
    <row r="897" s="11" customFormat="1" spans="1:52">
      <c r="A897" s="23">
        <v>400202</v>
      </c>
      <c r="B897" s="23" t="s">
        <v>1972</v>
      </c>
      <c r="C897" s="23" t="s">
        <v>1973</v>
      </c>
      <c r="D897" s="23">
        <v>1</v>
      </c>
      <c r="E897" s="23">
        <v>1</v>
      </c>
      <c r="F897" s="23">
        <v>1</v>
      </c>
      <c r="G897" s="23">
        <v>1.63</v>
      </c>
      <c r="H897" s="23">
        <v>2</v>
      </c>
      <c r="I897" s="23">
        <v>0.4</v>
      </c>
      <c r="J897" s="23" t="s">
        <v>115</v>
      </c>
      <c r="K897" s="23"/>
      <c r="L897" s="23">
        <f t="shared" ref="L897:L899" si="70">2/30</f>
        <v>0.0666666666666667</v>
      </c>
      <c r="M897" s="23">
        <f t="shared" ref="M897:M899" si="71">19/30</f>
        <v>0.633333333333333</v>
      </c>
      <c r="N897" s="23"/>
      <c r="O897" s="23"/>
      <c r="P897" s="23">
        <f t="shared" ref="P897:P899" si="72">2/30</f>
        <v>0.0666666666666667</v>
      </c>
      <c r="Q897" s="23">
        <f t="shared" ref="Q897:Q899" si="73">18/30</f>
        <v>0.6</v>
      </c>
      <c r="R897" s="23"/>
      <c r="S897" s="23"/>
      <c r="T897" s="23">
        <v>2.4</v>
      </c>
      <c r="U897" s="23">
        <v>0</v>
      </c>
      <c r="V897" s="23"/>
      <c r="W897" s="23"/>
      <c r="X897" s="23">
        <v>-1.898</v>
      </c>
      <c r="Y897" s="23">
        <v>0.864</v>
      </c>
      <c r="Z897" s="23">
        <v>-3.463</v>
      </c>
      <c r="AA897" s="23">
        <v>1</v>
      </c>
      <c r="AB897" s="23">
        <v>1</v>
      </c>
      <c r="AC897" s="23">
        <v>1708</v>
      </c>
      <c r="AD897" s="23" t="s">
        <v>275</v>
      </c>
      <c r="AE897" s="23"/>
      <c r="AF897" s="23">
        <v>801</v>
      </c>
      <c r="AG897" s="23" t="s">
        <v>116</v>
      </c>
      <c r="AH897" s="23" t="s">
        <v>200</v>
      </c>
      <c r="AI897" s="23"/>
      <c r="AJ897" s="23"/>
      <c r="AK897" s="23">
        <v>0</v>
      </c>
      <c r="AL897" s="23"/>
      <c r="AM897" s="23"/>
      <c r="AN897" s="23"/>
      <c r="AR897" s="198"/>
      <c r="AS897" s="198"/>
      <c r="AT897" s="198"/>
      <c r="AU897" s="198"/>
      <c r="AV897" s="11" t="s">
        <v>122</v>
      </c>
      <c r="AW897" s="11" t="s">
        <v>122</v>
      </c>
      <c r="AY897" s="23">
        <v>1708</v>
      </c>
      <c r="AZ897" s="23" t="s">
        <v>275</v>
      </c>
    </row>
    <row r="898" s="11" customFormat="1" spans="1:52">
      <c r="A898" s="23">
        <v>400203</v>
      </c>
      <c r="B898" s="23" t="s">
        <v>1974</v>
      </c>
      <c r="C898" s="23" t="s">
        <v>1975</v>
      </c>
      <c r="D898" s="23">
        <v>1</v>
      </c>
      <c r="E898" s="23">
        <v>1</v>
      </c>
      <c r="F898" s="23">
        <v>1</v>
      </c>
      <c r="G898" s="23">
        <v>1.63</v>
      </c>
      <c r="H898" s="23">
        <v>2</v>
      </c>
      <c r="I898" s="23">
        <v>0.4</v>
      </c>
      <c r="J898" s="23" t="s">
        <v>115</v>
      </c>
      <c r="K898" s="23"/>
      <c r="L898" s="23">
        <f t="shared" si="70"/>
        <v>0.0666666666666667</v>
      </c>
      <c r="M898" s="23">
        <f t="shared" si="71"/>
        <v>0.633333333333333</v>
      </c>
      <c r="N898" s="23"/>
      <c r="O898" s="23"/>
      <c r="P898" s="23">
        <f t="shared" si="72"/>
        <v>0.0666666666666667</v>
      </c>
      <c r="Q898" s="23">
        <f t="shared" si="73"/>
        <v>0.6</v>
      </c>
      <c r="R898" s="23"/>
      <c r="S898" s="23"/>
      <c r="T898" s="23">
        <v>2.4</v>
      </c>
      <c r="U898" s="23">
        <v>0</v>
      </c>
      <c r="V898" s="23"/>
      <c r="W898" s="23"/>
      <c r="X898" s="23">
        <v>-1.898</v>
      </c>
      <c r="Y898" s="23">
        <v>0.864</v>
      </c>
      <c r="Z898" s="23">
        <v>-3.463</v>
      </c>
      <c r="AA898" s="23">
        <v>1</v>
      </c>
      <c r="AB898" s="23">
        <v>1</v>
      </c>
      <c r="AC898" s="23">
        <v>1708</v>
      </c>
      <c r="AD898" s="23" t="s">
        <v>275</v>
      </c>
      <c r="AE898" s="23"/>
      <c r="AF898" s="23">
        <v>801</v>
      </c>
      <c r="AG898" s="23" t="s">
        <v>116</v>
      </c>
      <c r="AH898" s="23" t="s">
        <v>200</v>
      </c>
      <c r="AI898" s="23"/>
      <c r="AJ898" s="23"/>
      <c r="AK898" s="23">
        <v>0</v>
      </c>
      <c r="AL898" s="23"/>
      <c r="AM898" s="23"/>
      <c r="AN898" s="23"/>
      <c r="AR898" s="198"/>
      <c r="AS898" s="198"/>
      <c r="AT898" s="198"/>
      <c r="AU898" s="198"/>
      <c r="AV898" s="11" t="s">
        <v>122</v>
      </c>
      <c r="AW898" s="11" t="s">
        <v>122</v>
      </c>
      <c r="AY898" s="23">
        <v>1708</v>
      </c>
      <c r="AZ898" s="23" t="s">
        <v>275</v>
      </c>
    </row>
    <row r="899" s="11" customFormat="1" spans="1:52">
      <c r="A899" s="23">
        <v>400204</v>
      </c>
      <c r="B899" s="23" t="s">
        <v>1976</v>
      </c>
      <c r="C899" s="23" t="s">
        <v>1977</v>
      </c>
      <c r="D899" s="23">
        <v>1</v>
      </c>
      <c r="E899" s="23">
        <v>1</v>
      </c>
      <c r="F899" s="23">
        <v>1</v>
      </c>
      <c r="G899" s="23">
        <v>1.63</v>
      </c>
      <c r="H899" s="23">
        <v>2</v>
      </c>
      <c r="I899" s="23">
        <v>0.4</v>
      </c>
      <c r="J899" s="23" t="s">
        <v>115</v>
      </c>
      <c r="K899" s="23"/>
      <c r="L899" s="23">
        <f t="shared" si="70"/>
        <v>0.0666666666666667</v>
      </c>
      <c r="M899" s="23">
        <f t="shared" si="71"/>
        <v>0.633333333333333</v>
      </c>
      <c r="N899" s="23"/>
      <c r="O899" s="23"/>
      <c r="P899" s="23">
        <f t="shared" si="72"/>
        <v>0.0666666666666667</v>
      </c>
      <c r="Q899" s="23">
        <f t="shared" si="73"/>
        <v>0.6</v>
      </c>
      <c r="R899" s="23"/>
      <c r="S899" s="23"/>
      <c r="T899" s="23">
        <v>2.4</v>
      </c>
      <c r="U899" s="23">
        <v>0</v>
      </c>
      <c r="V899" s="23"/>
      <c r="W899" s="23"/>
      <c r="X899" s="23">
        <v>-1.898</v>
      </c>
      <c r="Y899" s="23">
        <v>0.864</v>
      </c>
      <c r="Z899" s="23">
        <v>-3.463</v>
      </c>
      <c r="AA899" s="23">
        <v>1</v>
      </c>
      <c r="AB899" s="23">
        <v>1</v>
      </c>
      <c r="AC899" s="23">
        <v>1708</v>
      </c>
      <c r="AD899" s="23" t="s">
        <v>275</v>
      </c>
      <c r="AE899" s="23"/>
      <c r="AF899" s="23">
        <v>801</v>
      </c>
      <c r="AG899" s="23" t="s">
        <v>116</v>
      </c>
      <c r="AH899" s="23" t="s">
        <v>200</v>
      </c>
      <c r="AI899" s="23"/>
      <c r="AJ899" s="23"/>
      <c r="AK899" s="23">
        <v>0</v>
      </c>
      <c r="AL899" s="23"/>
      <c r="AM899" s="23"/>
      <c r="AN899" s="23"/>
      <c r="AR899" s="198"/>
      <c r="AS899" s="198"/>
      <c r="AT899" s="198"/>
      <c r="AU899" s="198"/>
      <c r="AV899" s="11" t="s">
        <v>122</v>
      </c>
      <c r="AW899" s="11" t="s">
        <v>122</v>
      </c>
      <c r="AY899" s="23">
        <v>1708</v>
      </c>
      <c r="AZ899" s="23" t="s">
        <v>275</v>
      </c>
    </row>
    <row r="900" s="11" customFormat="1" spans="1:52">
      <c r="A900" s="23">
        <v>400301</v>
      </c>
      <c r="B900" s="23" t="s">
        <v>1978</v>
      </c>
      <c r="C900" s="23" t="s">
        <v>1979</v>
      </c>
      <c r="D900" s="23">
        <v>1</v>
      </c>
      <c r="E900" s="23">
        <v>1</v>
      </c>
      <c r="F900" s="23">
        <v>1</v>
      </c>
      <c r="G900" s="23">
        <v>1.68</v>
      </c>
      <c r="H900" s="23">
        <v>1.98</v>
      </c>
      <c r="I900" s="23">
        <v>0.33</v>
      </c>
      <c r="J900" s="23" t="s">
        <v>115</v>
      </c>
      <c r="K900" s="23"/>
      <c r="L900" s="23">
        <v>0.1</v>
      </c>
      <c r="M900" s="23">
        <v>0.4</v>
      </c>
      <c r="N900" s="23"/>
      <c r="O900" s="23"/>
      <c r="P900" s="23">
        <v>0.2</v>
      </c>
      <c r="Q900" s="23">
        <v>0.733333333333333</v>
      </c>
      <c r="R900" s="23"/>
      <c r="S900" s="23"/>
      <c r="T900" s="23">
        <v>2.4</v>
      </c>
      <c r="U900" s="23">
        <v>0</v>
      </c>
      <c r="V900" s="23">
        <v>-6.91</v>
      </c>
      <c r="W900" s="23">
        <v>5</v>
      </c>
      <c r="X900" s="23">
        <v>-2.325</v>
      </c>
      <c r="Y900" s="23">
        <v>0.972</v>
      </c>
      <c r="Z900" s="23">
        <v>-2.778</v>
      </c>
      <c r="AA900" s="23">
        <v>1</v>
      </c>
      <c r="AB900" s="23">
        <v>0</v>
      </c>
      <c r="AC900" s="23"/>
      <c r="AD900" s="23"/>
      <c r="AE900" s="23"/>
      <c r="AF900" s="23">
        <v>801</v>
      </c>
      <c r="AG900" s="23" t="s">
        <v>116</v>
      </c>
      <c r="AH900" s="23" t="s">
        <v>121</v>
      </c>
      <c r="AI900" s="23"/>
      <c r="AJ900" s="23"/>
      <c r="AK900" s="23">
        <v>0</v>
      </c>
      <c r="AL900" s="23"/>
      <c r="AM900" s="23"/>
      <c r="AN900" s="23"/>
      <c r="AY900" s="23"/>
      <c r="AZ900" s="23"/>
    </row>
    <row r="901" s="11" customFormat="1" spans="1:52">
      <c r="A901" s="23">
        <v>400302</v>
      </c>
      <c r="B901" s="23" t="s">
        <v>1980</v>
      </c>
      <c r="C901" s="23" t="s">
        <v>1981</v>
      </c>
      <c r="D901" s="23">
        <v>1</v>
      </c>
      <c r="E901" s="23">
        <v>1</v>
      </c>
      <c r="F901" s="23">
        <v>1</v>
      </c>
      <c r="G901" s="23">
        <v>1.68</v>
      </c>
      <c r="H901" s="23">
        <v>2.13</v>
      </c>
      <c r="I901" s="23">
        <v>0.33</v>
      </c>
      <c r="J901" s="23" t="s">
        <v>115</v>
      </c>
      <c r="K901" s="23"/>
      <c r="L901" s="23">
        <v>0.166666666666667</v>
      </c>
      <c r="M901" s="23">
        <v>0.666666666666667</v>
      </c>
      <c r="N901" s="23"/>
      <c r="O901" s="23"/>
      <c r="P901" s="23">
        <v>0.166666666666667</v>
      </c>
      <c r="Q901" s="23">
        <v>0.666666666666667</v>
      </c>
      <c r="R901" s="23"/>
      <c r="S901" s="23"/>
      <c r="T901" s="23">
        <v>2.4</v>
      </c>
      <c r="U901" s="23">
        <v>0</v>
      </c>
      <c r="V901" s="23"/>
      <c r="W901" s="23"/>
      <c r="X901" s="23"/>
      <c r="Y901" s="23"/>
      <c r="Z901" s="23"/>
      <c r="AA901" s="23"/>
      <c r="AB901" s="23">
        <v>1</v>
      </c>
      <c r="AC901" s="23">
        <v>2127</v>
      </c>
      <c r="AD901" s="23" t="s">
        <v>275</v>
      </c>
      <c r="AE901" s="23"/>
      <c r="AF901" s="23">
        <v>801</v>
      </c>
      <c r="AG901" s="23" t="s">
        <v>116</v>
      </c>
      <c r="AH901" s="23" t="s">
        <v>200</v>
      </c>
      <c r="AI901" s="23"/>
      <c r="AJ901" s="23"/>
      <c r="AK901" s="23">
        <v>0</v>
      </c>
      <c r="AL901" s="23"/>
      <c r="AM901" s="23"/>
      <c r="AN901" s="23"/>
      <c r="AY901" s="23">
        <v>2127</v>
      </c>
      <c r="AZ901" s="23" t="s">
        <v>275</v>
      </c>
    </row>
    <row r="902" s="11" customFormat="1" spans="1:52">
      <c r="A902" s="23">
        <v>400401</v>
      </c>
      <c r="B902" s="23" t="s">
        <v>1982</v>
      </c>
      <c r="C902" s="23" t="s">
        <v>1983</v>
      </c>
      <c r="D902" s="23">
        <v>1</v>
      </c>
      <c r="E902" s="23">
        <v>1</v>
      </c>
      <c r="F902" s="23">
        <v>1</v>
      </c>
      <c r="G902" s="23">
        <v>1.56</v>
      </c>
      <c r="H902" s="23">
        <v>1.76</v>
      </c>
      <c r="I902" s="23">
        <v>0.5</v>
      </c>
      <c r="J902" s="23" t="s">
        <v>115</v>
      </c>
      <c r="K902" s="23"/>
      <c r="L902" s="23">
        <v>0.1</v>
      </c>
      <c r="M902" s="23">
        <v>0.5</v>
      </c>
      <c r="N902" s="23"/>
      <c r="O902" s="23"/>
      <c r="P902" s="23">
        <v>0.1</v>
      </c>
      <c r="Q902" s="23">
        <v>0.5</v>
      </c>
      <c r="R902" s="23"/>
      <c r="S902" s="23"/>
      <c r="T902" s="23">
        <v>2.4</v>
      </c>
      <c r="U902" s="23">
        <v>0</v>
      </c>
      <c r="V902" s="23">
        <v>-5</v>
      </c>
      <c r="W902" s="23">
        <v>5</v>
      </c>
      <c r="X902" s="23">
        <v>-2.354</v>
      </c>
      <c r="Y902" s="23">
        <v>0.852</v>
      </c>
      <c r="Z902" s="23">
        <v>-2.761</v>
      </c>
      <c r="AA902" s="23">
        <v>1</v>
      </c>
      <c r="AB902" s="23">
        <v>0</v>
      </c>
      <c r="AC902" s="23"/>
      <c r="AD902" s="23"/>
      <c r="AE902" s="23"/>
      <c r="AF902" s="23">
        <v>801</v>
      </c>
      <c r="AG902" s="23" t="s">
        <v>116</v>
      </c>
      <c r="AH902" s="23" t="s">
        <v>121</v>
      </c>
      <c r="AI902" s="23"/>
      <c r="AJ902" s="23"/>
      <c r="AK902" s="23">
        <v>0</v>
      </c>
      <c r="AL902" s="23"/>
      <c r="AM902" s="23"/>
      <c r="AN902" s="23"/>
      <c r="AY902" s="23"/>
      <c r="AZ902" s="23"/>
    </row>
    <row r="903" s="11" customFormat="1" spans="1:52">
      <c r="A903" s="23">
        <v>400402</v>
      </c>
      <c r="B903" s="23" t="s">
        <v>1984</v>
      </c>
      <c r="C903" s="23" t="s">
        <v>1985</v>
      </c>
      <c r="D903" s="23">
        <v>1</v>
      </c>
      <c r="E903" s="23">
        <v>1</v>
      </c>
      <c r="F903" s="23">
        <v>1</v>
      </c>
      <c r="G903" s="23">
        <v>1.65</v>
      </c>
      <c r="H903" s="23">
        <v>2</v>
      </c>
      <c r="I903" s="23">
        <v>0.4</v>
      </c>
      <c r="J903" s="23" t="s">
        <v>115</v>
      </c>
      <c r="K903" s="23"/>
      <c r="L903" s="23">
        <f>2/30</f>
        <v>0.0666666666666667</v>
      </c>
      <c r="M903" s="23">
        <f t="shared" ref="M903:M908" si="74">17/30</f>
        <v>0.566666666666667</v>
      </c>
      <c r="N903" s="23"/>
      <c r="O903" s="23"/>
      <c r="P903" s="23">
        <f>2/30</f>
        <v>0.0666666666666667</v>
      </c>
      <c r="Q903" s="23">
        <f>17/30</f>
        <v>0.566666666666667</v>
      </c>
      <c r="R903" s="23"/>
      <c r="S903" s="23"/>
      <c r="T903" s="23">
        <v>2.4</v>
      </c>
      <c r="U903" s="23">
        <v>0</v>
      </c>
      <c r="V903" s="23"/>
      <c r="W903" s="23"/>
      <c r="X903" s="23">
        <v>-2.05</v>
      </c>
      <c r="Y903" s="23">
        <v>0.88</v>
      </c>
      <c r="Z903" s="23">
        <v>-3.27</v>
      </c>
      <c r="AA903" s="23">
        <v>1</v>
      </c>
      <c r="AB903" s="23">
        <v>1</v>
      </c>
      <c r="AC903" s="23">
        <v>1752</v>
      </c>
      <c r="AD903" s="23" t="s">
        <v>275</v>
      </c>
      <c r="AE903" s="23"/>
      <c r="AF903" s="23">
        <v>801</v>
      </c>
      <c r="AG903" s="23" t="s">
        <v>116</v>
      </c>
      <c r="AH903" s="23" t="s">
        <v>200</v>
      </c>
      <c r="AI903" s="23"/>
      <c r="AJ903" s="23"/>
      <c r="AK903" s="23">
        <v>0</v>
      </c>
      <c r="AL903" s="23"/>
      <c r="AM903" s="23"/>
      <c r="AN903" s="23"/>
      <c r="AY903" s="23">
        <v>1752</v>
      </c>
      <c r="AZ903" s="23" t="s">
        <v>275</v>
      </c>
    </row>
    <row r="904" s="11" customFormat="1" spans="1:52">
      <c r="A904" s="23">
        <v>400403</v>
      </c>
      <c r="B904" s="23" t="s">
        <v>1986</v>
      </c>
      <c r="C904" s="23" t="s">
        <v>1987</v>
      </c>
      <c r="D904" s="23">
        <v>1</v>
      </c>
      <c r="E904" s="23">
        <v>1</v>
      </c>
      <c r="F904" s="23">
        <v>1</v>
      </c>
      <c r="G904" s="23">
        <v>1.65</v>
      </c>
      <c r="H904" s="23">
        <v>2</v>
      </c>
      <c r="I904" s="23">
        <v>0.4</v>
      </c>
      <c r="J904" s="23" t="s">
        <v>115</v>
      </c>
      <c r="K904" s="23"/>
      <c r="L904" s="23">
        <f>2/30</f>
        <v>0.0666666666666667</v>
      </c>
      <c r="M904" s="23">
        <f t="shared" si="74"/>
        <v>0.566666666666667</v>
      </c>
      <c r="N904" s="23"/>
      <c r="O904" s="23"/>
      <c r="P904" s="23">
        <f>2/30</f>
        <v>0.0666666666666667</v>
      </c>
      <c r="Q904" s="23">
        <f>17/30</f>
        <v>0.566666666666667</v>
      </c>
      <c r="R904" s="23"/>
      <c r="S904" s="23"/>
      <c r="T904" s="23">
        <v>2.4</v>
      </c>
      <c r="U904" s="23">
        <v>0</v>
      </c>
      <c r="V904" s="23"/>
      <c r="W904" s="23"/>
      <c r="X904" s="23">
        <v>-2.05</v>
      </c>
      <c r="Y904" s="23">
        <v>0.88</v>
      </c>
      <c r="Z904" s="23">
        <v>-3.27</v>
      </c>
      <c r="AA904" s="23">
        <v>1</v>
      </c>
      <c r="AB904" s="23">
        <v>1</v>
      </c>
      <c r="AC904" s="23">
        <v>1752</v>
      </c>
      <c r="AD904" s="23" t="s">
        <v>275</v>
      </c>
      <c r="AE904" s="23"/>
      <c r="AF904" s="23">
        <v>801</v>
      </c>
      <c r="AG904" s="23" t="s">
        <v>116</v>
      </c>
      <c r="AH904" s="23" t="s">
        <v>200</v>
      </c>
      <c r="AI904" s="23"/>
      <c r="AJ904" s="23"/>
      <c r="AK904" s="23">
        <v>0</v>
      </c>
      <c r="AL904" s="23"/>
      <c r="AM904" s="23"/>
      <c r="AN904" s="23"/>
      <c r="AY904" s="23">
        <v>1752</v>
      </c>
      <c r="AZ904" s="23" t="s">
        <v>275</v>
      </c>
    </row>
    <row r="905" s="11" customFormat="1" spans="1:52">
      <c r="A905" s="23">
        <v>400501</v>
      </c>
      <c r="B905" s="23" t="s">
        <v>1988</v>
      </c>
      <c r="C905" s="23" t="s">
        <v>1989</v>
      </c>
      <c r="D905" s="23">
        <v>1</v>
      </c>
      <c r="E905" s="23">
        <v>1</v>
      </c>
      <c r="F905" s="23">
        <v>1</v>
      </c>
      <c r="G905" s="23">
        <v>1.55</v>
      </c>
      <c r="H905" s="23">
        <v>1.92</v>
      </c>
      <c r="I905" s="23">
        <v>0.37</v>
      </c>
      <c r="J905" s="23" t="s">
        <v>115</v>
      </c>
      <c r="K905" s="23"/>
      <c r="L905" s="23">
        <v>0.266666666666667</v>
      </c>
      <c r="M905" s="23">
        <v>0.533333333333333</v>
      </c>
      <c r="N905" s="23"/>
      <c r="O905" s="23"/>
      <c r="P905" s="23">
        <v>0.133333333333333</v>
      </c>
      <c r="Q905" s="23">
        <v>0.5</v>
      </c>
      <c r="R905" s="23"/>
      <c r="S905" s="23"/>
      <c r="T905" s="23">
        <v>2.4</v>
      </c>
      <c r="U905" s="23">
        <v>0</v>
      </c>
      <c r="V905" s="23">
        <v>-6.4</v>
      </c>
      <c r="W905" s="23">
        <v>5</v>
      </c>
      <c r="X905" s="23">
        <v>-2.425</v>
      </c>
      <c r="Y905" s="23">
        <v>0.891</v>
      </c>
      <c r="Z905" s="23">
        <v>-2.562</v>
      </c>
      <c r="AA905" s="23">
        <v>1</v>
      </c>
      <c r="AB905" s="23">
        <v>0</v>
      </c>
      <c r="AC905" s="23"/>
      <c r="AD905" s="23"/>
      <c r="AE905" s="23"/>
      <c r="AF905" s="23">
        <v>801</v>
      </c>
      <c r="AG905" s="23" t="s">
        <v>116</v>
      </c>
      <c r="AH905" s="23" t="s">
        <v>121</v>
      </c>
      <c r="AI905" s="23"/>
      <c r="AJ905" s="23"/>
      <c r="AK905" s="23">
        <v>0</v>
      </c>
      <c r="AL905" s="23"/>
      <c r="AM905" s="23"/>
      <c r="AN905" s="23"/>
      <c r="AV905" s="11" t="s">
        <v>286</v>
      </c>
      <c r="AW905" s="11" t="s">
        <v>286</v>
      </c>
      <c r="AY905" s="23"/>
      <c r="AZ905" s="23"/>
    </row>
    <row r="906" s="11" customFormat="1" spans="1:52">
      <c r="A906" s="23">
        <v>400502</v>
      </c>
      <c r="B906" s="23" t="s">
        <v>1990</v>
      </c>
      <c r="C906" s="23" t="s">
        <v>1991</v>
      </c>
      <c r="D906" s="23">
        <v>1</v>
      </c>
      <c r="E906" s="23">
        <v>1</v>
      </c>
      <c r="F906" s="23">
        <v>1</v>
      </c>
      <c r="G906" s="23">
        <v>1.55</v>
      </c>
      <c r="H906" s="23">
        <v>1.92</v>
      </c>
      <c r="I906" s="23">
        <v>0.37</v>
      </c>
      <c r="J906" s="23" t="s">
        <v>115</v>
      </c>
      <c r="K906" s="23"/>
      <c r="L906" s="23">
        <v>0.266666666666667</v>
      </c>
      <c r="M906" s="23">
        <v>0.533333333333333</v>
      </c>
      <c r="N906" s="23"/>
      <c r="O906" s="23"/>
      <c r="P906" s="23">
        <v>0.133333333333333</v>
      </c>
      <c r="Q906" s="23">
        <v>0.5</v>
      </c>
      <c r="R906" s="23"/>
      <c r="S906" s="23"/>
      <c r="T906" s="23">
        <v>2.4</v>
      </c>
      <c r="U906" s="23">
        <v>0</v>
      </c>
      <c r="V906" s="23">
        <v>-6.4</v>
      </c>
      <c r="W906" s="23">
        <v>5</v>
      </c>
      <c r="X906" s="23">
        <v>-2.425</v>
      </c>
      <c r="Y906" s="23">
        <v>0.891</v>
      </c>
      <c r="Z906" s="23">
        <v>-2.562</v>
      </c>
      <c r="AA906" s="23">
        <v>1</v>
      </c>
      <c r="AB906" s="23">
        <v>0</v>
      </c>
      <c r="AC906" s="23"/>
      <c r="AD906" s="23"/>
      <c r="AE906" s="23"/>
      <c r="AF906" s="23">
        <v>801</v>
      </c>
      <c r="AG906" s="23" t="s">
        <v>116</v>
      </c>
      <c r="AH906" s="23" t="s">
        <v>121</v>
      </c>
      <c r="AI906" s="23"/>
      <c r="AJ906" s="23"/>
      <c r="AK906" s="23">
        <v>0</v>
      </c>
      <c r="AL906" s="23"/>
      <c r="AM906" s="23"/>
      <c r="AN906" s="23"/>
      <c r="AV906" s="11" t="s">
        <v>286</v>
      </c>
      <c r="AW906" s="11" t="s">
        <v>286</v>
      </c>
      <c r="AY906" s="23"/>
      <c r="AZ906" s="23"/>
    </row>
    <row r="907" s="11" customFormat="1" spans="1:52">
      <c r="A907" s="23">
        <v>400503</v>
      </c>
      <c r="B907" s="23" t="s">
        <v>1992</v>
      </c>
      <c r="C907" s="23" t="s">
        <v>1993</v>
      </c>
      <c r="D907" s="23">
        <v>1</v>
      </c>
      <c r="E907" s="23">
        <v>1</v>
      </c>
      <c r="F907" s="23">
        <v>1</v>
      </c>
      <c r="G907" s="23">
        <v>1.55</v>
      </c>
      <c r="H907" s="23">
        <v>1.92</v>
      </c>
      <c r="I907" s="23">
        <v>0.37</v>
      </c>
      <c r="J907" s="23" t="s">
        <v>115</v>
      </c>
      <c r="K907" s="23"/>
      <c r="L907" s="23">
        <v>0.266666666666667</v>
      </c>
      <c r="M907" s="23">
        <v>0.533333333333333</v>
      </c>
      <c r="N907" s="23"/>
      <c r="O907" s="23"/>
      <c r="P907" s="23">
        <v>0.133333333333333</v>
      </c>
      <c r="Q907" s="23">
        <v>0.5</v>
      </c>
      <c r="R907" s="23"/>
      <c r="S907" s="23"/>
      <c r="T907" s="23">
        <v>2.4</v>
      </c>
      <c r="U907" s="23">
        <v>0</v>
      </c>
      <c r="V907" s="23">
        <v>-6.4</v>
      </c>
      <c r="W907" s="23">
        <v>5</v>
      </c>
      <c r="X907" s="23">
        <v>-2.425</v>
      </c>
      <c r="Y907" s="23">
        <v>0.891</v>
      </c>
      <c r="Z907" s="23">
        <v>-2.562</v>
      </c>
      <c r="AA907" s="23">
        <v>1</v>
      </c>
      <c r="AB907" s="23">
        <v>0</v>
      </c>
      <c r="AC907" s="23"/>
      <c r="AD907" s="23"/>
      <c r="AE907" s="23"/>
      <c r="AF907" s="23">
        <v>801</v>
      </c>
      <c r="AG907" s="23" t="s">
        <v>116</v>
      </c>
      <c r="AH907" s="23" t="s">
        <v>121</v>
      </c>
      <c r="AI907" s="23"/>
      <c r="AJ907" s="23"/>
      <c r="AK907" s="23">
        <v>0</v>
      </c>
      <c r="AL907" s="23"/>
      <c r="AM907" s="23"/>
      <c r="AN907" s="23"/>
      <c r="AV907" s="11" t="s">
        <v>286</v>
      </c>
      <c r="AW907" s="11" t="s">
        <v>286</v>
      </c>
      <c r="AY907" s="23"/>
      <c r="AZ907" s="23"/>
    </row>
    <row r="908" s="11" customFormat="1" spans="1:52">
      <c r="A908" s="23">
        <v>400504</v>
      </c>
      <c r="B908" s="23" t="s">
        <v>1994</v>
      </c>
      <c r="C908" s="23" t="s">
        <v>1995</v>
      </c>
      <c r="D908" s="23">
        <v>1</v>
      </c>
      <c r="E908" s="23">
        <v>1</v>
      </c>
      <c r="F908" s="23">
        <v>1</v>
      </c>
      <c r="G908" s="23">
        <v>1.63</v>
      </c>
      <c r="H908" s="23">
        <v>2.1</v>
      </c>
      <c r="I908" s="23">
        <v>0.37</v>
      </c>
      <c r="J908" s="23" t="s">
        <v>115</v>
      </c>
      <c r="K908" s="23"/>
      <c r="L908" s="23">
        <f>3/30</f>
        <v>0.1</v>
      </c>
      <c r="M908" s="23">
        <f t="shared" si="74"/>
        <v>0.566666666666667</v>
      </c>
      <c r="N908" s="23"/>
      <c r="O908" s="23"/>
      <c r="P908" s="23">
        <f>5/30</f>
        <v>0.166666666666667</v>
      </c>
      <c r="Q908" s="23">
        <f>16/30</f>
        <v>0.533333333333333</v>
      </c>
      <c r="R908" s="23"/>
      <c r="S908" s="23"/>
      <c r="T908" s="23">
        <v>2.4</v>
      </c>
      <c r="U908" s="23">
        <v>0</v>
      </c>
      <c r="V908" s="23"/>
      <c r="W908" s="23"/>
      <c r="X908" s="23">
        <v>-2.077</v>
      </c>
      <c r="Y908" s="23">
        <v>0.897</v>
      </c>
      <c r="Z908" s="23">
        <v>-3.08</v>
      </c>
      <c r="AA908" s="23">
        <v>1</v>
      </c>
      <c r="AB908" s="23">
        <v>1</v>
      </c>
      <c r="AC908" s="23">
        <v>1818</v>
      </c>
      <c r="AD908" s="23" t="s">
        <v>275</v>
      </c>
      <c r="AE908" s="23"/>
      <c r="AF908" s="23">
        <v>801</v>
      </c>
      <c r="AG908" s="23" t="s">
        <v>116</v>
      </c>
      <c r="AH908" s="23" t="s">
        <v>200</v>
      </c>
      <c r="AI908" s="23"/>
      <c r="AJ908" s="23"/>
      <c r="AK908" s="23">
        <v>0</v>
      </c>
      <c r="AL908" s="23"/>
      <c r="AM908" s="23"/>
      <c r="AN908" s="23"/>
      <c r="AV908" s="11" t="s">
        <v>286</v>
      </c>
      <c r="AW908" s="11" t="s">
        <v>286</v>
      </c>
      <c r="AY908" s="23">
        <v>1818</v>
      </c>
      <c r="AZ908" s="23" t="s">
        <v>275</v>
      </c>
    </row>
    <row r="909" s="11" customFormat="1" spans="1:52">
      <c r="A909" s="23">
        <v>400901</v>
      </c>
      <c r="B909" s="23" t="s">
        <v>1996</v>
      </c>
      <c r="C909" s="23" t="s">
        <v>1997</v>
      </c>
      <c r="D909" s="23">
        <v>1</v>
      </c>
      <c r="E909" s="23">
        <v>1</v>
      </c>
      <c r="F909" s="23">
        <v>1</v>
      </c>
      <c r="G909" s="23">
        <v>1.5</v>
      </c>
      <c r="H909" s="23">
        <v>1.8</v>
      </c>
      <c r="I909" s="23">
        <v>0.48</v>
      </c>
      <c r="J909" s="23" t="s">
        <v>115</v>
      </c>
      <c r="K909" s="23"/>
      <c r="L909" s="23">
        <v>0.1</v>
      </c>
      <c r="M909" s="23">
        <v>0.5</v>
      </c>
      <c r="N909" s="23"/>
      <c r="O909" s="23"/>
      <c r="P909" s="23">
        <v>0.167</v>
      </c>
      <c r="Q909" s="23">
        <v>0.6</v>
      </c>
      <c r="R909" s="23"/>
      <c r="S909" s="23"/>
      <c r="T909" s="23">
        <v>2.4</v>
      </c>
      <c r="U909" s="23">
        <v>0</v>
      </c>
      <c r="V909" s="23">
        <v>-5.02</v>
      </c>
      <c r="W909" s="23">
        <v>5</v>
      </c>
      <c r="X909" s="23">
        <v>-2.35</v>
      </c>
      <c r="Y909" s="23">
        <v>0.834</v>
      </c>
      <c r="Z909" s="23">
        <v>-2.61</v>
      </c>
      <c r="AA909" s="23">
        <v>1</v>
      </c>
      <c r="AB909" s="23">
        <v>0</v>
      </c>
      <c r="AC909" s="23"/>
      <c r="AD909" s="23"/>
      <c r="AE909" s="23"/>
      <c r="AF909" s="23">
        <v>801</v>
      </c>
      <c r="AG909" s="23" t="s">
        <v>116</v>
      </c>
      <c r="AH909" s="197" t="s">
        <v>200</v>
      </c>
      <c r="AI909" s="23"/>
      <c r="AJ909" s="23"/>
      <c r="AK909" s="23">
        <v>0</v>
      </c>
      <c r="AL909" s="23"/>
      <c r="AM909" s="23"/>
      <c r="AN909" s="23"/>
      <c r="AY909" s="23"/>
      <c r="AZ909" s="23"/>
    </row>
    <row r="910" s="11" customFormat="1" spans="1:52">
      <c r="A910" s="23">
        <v>401701</v>
      </c>
      <c r="B910" s="23" t="s">
        <v>1998</v>
      </c>
      <c r="C910" s="23" t="s">
        <v>1999</v>
      </c>
      <c r="D910" s="23">
        <v>1</v>
      </c>
      <c r="E910" s="23">
        <v>1</v>
      </c>
      <c r="F910" s="23">
        <v>1</v>
      </c>
      <c r="G910" s="23">
        <v>1.8</v>
      </c>
      <c r="H910" s="23">
        <v>2.2</v>
      </c>
      <c r="I910" s="23">
        <v>0.35</v>
      </c>
      <c r="J910" s="23" t="s">
        <v>115</v>
      </c>
      <c r="K910" s="23"/>
      <c r="L910" s="23">
        <v>0.2</v>
      </c>
      <c r="M910" s="23">
        <v>0.633333333333333</v>
      </c>
      <c r="N910" s="23"/>
      <c r="O910" s="23"/>
      <c r="P910" s="23">
        <v>0.166666666666667</v>
      </c>
      <c r="Q910" s="23">
        <v>0.6</v>
      </c>
      <c r="R910" s="23"/>
      <c r="S910" s="23"/>
      <c r="T910" s="23">
        <v>2.4</v>
      </c>
      <c r="U910" s="23">
        <v>0</v>
      </c>
      <c r="V910" s="23">
        <v>-6.8</v>
      </c>
      <c r="W910" s="23">
        <v>5</v>
      </c>
      <c r="X910" s="23">
        <v>-2.189</v>
      </c>
      <c r="Y910" s="23">
        <v>1.078</v>
      </c>
      <c r="Z910" s="23">
        <v>-2.997</v>
      </c>
      <c r="AA910" s="23">
        <v>1</v>
      </c>
      <c r="AB910" s="23">
        <v>1</v>
      </c>
      <c r="AC910" s="23">
        <v>988</v>
      </c>
      <c r="AD910" s="23" t="s">
        <v>153</v>
      </c>
      <c r="AE910" s="23"/>
      <c r="AF910" s="23">
        <v>801</v>
      </c>
      <c r="AG910" s="23" t="s">
        <v>116</v>
      </c>
      <c r="AH910" s="23" t="s">
        <v>121</v>
      </c>
      <c r="AI910" s="23"/>
      <c r="AJ910" s="23"/>
      <c r="AK910" s="23">
        <v>0</v>
      </c>
      <c r="AL910" s="23"/>
      <c r="AM910" s="23"/>
      <c r="AN910" s="23"/>
      <c r="AP910" s="69"/>
      <c r="AY910" s="23">
        <v>988</v>
      </c>
      <c r="AZ910" s="23" t="s">
        <v>153</v>
      </c>
    </row>
    <row r="911" s="11" customFormat="1" spans="1:52">
      <c r="A911" s="23">
        <v>403501</v>
      </c>
      <c r="B911" s="23" t="s">
        <v>2000</v>
      </c>
      <c r="C911" s="23" t="s">
        <v>2001</v>
      </c>
      <c r="D911" s="23">
        <v>1</v>
      </c>
      <c r="E911" s="23">
        <v>1</v>
      </c>
      <c r="F911" s="23">
        <v>1</v>
      </c>
      <c r="G911" s="23">
        <v>2</v>
      </c>
      <c r="H911" s="23">
        <v>2.3</v>
      </c>
      <c r="I911" s="23">
        <v>0.45</v>
      </c>
      <c r="J911" s="23" t="s">
        <v>115</v>
      </c>
      <c r="K911" s="23"/>
      <c r="L911" s="23">
        <v>0.166666666666667</v>
      </c>
      <c r="M911" s="23">
        <v>0.533333333333333</v>
      </c>
      <c r="N911" s="23"/>
      <c r="O911" s="23"/>
      <c r="P911" s="23">
        <v>0.133333333333333</v>
      </c>
      <c r="Q911" s="23">
        <v>0.533333333333333</v>
      </c>
      <c r="R911" s="23"/>
      <c r="S911" s="23"/>
      <c r="T911" s="23">
        <v>2.4</v>
      </c>
      <c r="U911" s="23">
        <v>0</v>
      </c>
      <c r="V911" s="23">
        <v>-7.65</v>
      </c>
      <c r="W911" s="23">
        <v>5</v>
      </c>
      <c r="X911" s="23">
        <v>-2.188</v>
      </c>
      <c r="Y911" s="23">
        <v>1.24</v>
      </c>
      <c r="Z911" s="23">
        <v>-2.778</v>
      </c>
      <c r="AA911" s="23">
        <v>1</v>
      </c>
      <c r="AB911" s="23">
        <v>1</v>
      </c>
      <c r="AC911" s="23">
        <v>798</v>
      </c>
      <c r="AD911" s="23" t="s">
        <v>153</v>
      </c>
      <c r="AE911" s="23"/>
      <c r="AF911" s="23">
        <v>801</v>
      </c>
      <c r="AG911" s="23" t="s">
        <v>116</v>
      </c>
      <c r="AH911" s="197" t="s">
        <v>200</v>
      </c>
      <c r="AI911" s="23"/>
      <c r="AJ911" s="23"/>
      <c r="AK911" s="23">
        <v>0</v>
      </c>
      <c r="AL911" s="23"/>
      <c r="AM911" s="23"/>
      <c r="AN911" s="23"/>
      <c r="AP911" s="198"/>
      <c r="AQ911" s="198"/>
      <c r="AR911" s="198"/>
      <c r="AS911" s="198"/>
      <c r="AT911" s="198"/>
      <c r="AU911" s="198"/>
      <c r="AY911" s="23">
        <v>798</v>
      </c>
      <c r="AZ911" s="23" t="s">
        <v>153</v>
      </c>
    </row>
    <row r="912" s="11" customFormat="1" spans="1:52">
      <c r="A912" s="23">
        <v>404201</v>
      </c>
      <c r="B912" s="23" t="s">
        <v>2002</v>
      </c>
      <c r="C912" s="23" t="s">
        <v>2003</v>
      </c>
      <c r="D912" s="23">
        <v>1</v>
      </c>
      <c r="E912" s="23">
        <v>1</v>
      </c>
      <c r="F912" s="23">
        <v>0.95</v>
      </c>
      <c r="G912" s="23">
        <v>2.02</v>
      </c>
      <c r="H912" s="23">
        <v>2.3</v>
      </c>
      <c r="I912" s="23">
        <v>0.34</v>
      </c>
      <c r="J912" s="23" t="s">
        <v>115</v>
      </c>
      <c r="K912" s="23"/>
      <c r="L912" s="23">
        <v>0.2</v>
      </c>
      <c r="M912" s="23">
        <v>0.666666666666667</v>
      </c>
      <c r="N912" s="23"/>
      <c r="O912" s="23"/>
      <c r="P912" s="23">
        <v>0.166666666666667</v>
      </c>
      <c r="Q912" s="23">
        <v>0.666666666666667</v>
      </c>
      <c r="R912" s="23"/>
      <c r="S912" s="23"/>
      <c r="T912" s="23">
        <v>2.4</v>
      </c>
      <c r="U912" s="23">
        <v>0</v>
      </c>
      <c r="V912" s="23">
        <v>-7.66</v>
      </c>
      <c r="W912" s="23">
        <v>5</v>
      </c>
      <c r="X912" s="23">
        <v>-2.264</v>
      </c>
      <c r="Y912" s="23">
        <v>1.074</v>
      </c>
      <c r="Z912" s="23">
        <v>-2.751</v>
      </c>
      <c r="AA912" s="23">
        <v>0.9</v>
      </c>
      <c r="AB912" s="23">
        <v>1</v>
      </c>
      <c r="AC912" s="23">
        <v>855</v>
      </c>
      <c r="AD912" s="23" t="s">
        <v>153</v>
      </c>
      <c r="AE912" s="23"/>
      <c r="AF912" s="23">
        <v>801</v>
      </c>
      <c r="AG912" s="23" t="s">
        <v>116</v>
      </c>
      <c r="AH912" s="23" t="s">
        <v>200</v>
      </c>
      <c r="AI912" s="23"/>
      <c r="AJ912" s="23"/>
      <c r="AK912" s="23">
        <v>0</v>
      </c>
      <c r="AL912" s="23"/>
      <c r="AM912" s="23"/>
      <c r="AN912" s="23"/>
      <c r="AP912" s="198"/>
      <c r="AQ912" s="198"/>
      <c r="AR912" s="198"/>
      <c r="AS912" s="198"/>
      <c r="AT912" s="198"/>
      <c r="AU912" s="198"/>
      <c r="AY912" s="23">
        <v>4958</v>
      </c>
      <c r="AZ912" s="23" t="s">
        <v>153</v>
      </c>
    </row>
    <row r="913" s="11" customFormat="1" spans="1:52">
      <c r="A913" s="23">
        <v>404501</v>
      </c>
      <c r="B913" s="23" t="s">
        <v>2004</v>
      </c>
      <c r="C913" s="23" t="s">
        <v>2005</v>
      </c>
      <c r="D913" s="23">
        <v>1</v>
      </c>
      <c r="E913" s="23">
        <v>1</v>
      </c>
      <c r="F913" s="23">
        <v>1</v>
      </c>
      <c r="G913" s="23">
        <v>1.78</v>
      </c>
      <c r="H913" s="23">
        <v>1.9</v>
      </c>
      <c r="I913" s="23">
        <v>0.42</v>
      </c>
      <c r="J913" s="23" t="s">
        <v>115</v>
      </c>
      <c r="K913" s="23"/>
      <c r="L913" s="23">
        <v>0.0666666666666667</v>
      </c>
      <c r="M913" s="23">
        <v>0.566666666666667</v>
      </c>
      <c r="N913" s="23"/>
      <c r="O913" s="23"/>
      <c r="P913" s="23">
        <v>0.1</v>
      </c>
      <c r="Q913" s="23">
        <v>0.466666666666667</v>
      </c>
      <c r="R913" s="23"/>
      <c r="S913" s="23"/>
      <c r="T913" s="23">
        <v>2.4</v>
      </c>
      <c r="U913" s="23">
        <v>0</v>
      </c>
      <c r="V913" s="23">
        <v>-6</v>
      </c>
      <c r="W913" s="23">
        <v>5</v>
      </c>
      <c r="X913" s="23">
        <v>-2.38</v>
      </c>
      <c r="Y913" s="23">
        <v>1</v>
      </c>
      <c r="Z913" s="23">
        <v>-2.72</v>
      </c>
      <c r="AA913" s="23">
        <v>1</v>
      </c>
      <c r="AB913" s="23">
        <v>0</v>
      </c>
      <c r="AC913" s="23"/>
      <c r="AD913" s="23"/>
      <c r="AE913" s="23"/>
      <c r="AF913" s="23">
        <v>801</v>
      </c>
      <c r="AG913" s="23" t="s">
        <v>116</v>
      </c>
      <c r="AH913" s="23" t="s">
        <v>121</v>
      </c>
      <c r="AI913" s="23"/>
      <c r="AJ913" s="23"/>
      <c r="AK913" s="23">
        <v>0</v>
      </c>
      <c r="AL913" s="23"/>
      <c r="AM913" s="23"/>
      <c r="AN913" s="23"/>
      <c r="AT913" s="198"/>
      <c r="AU913" s="198"/>
      <c r="AY913" s="23"/>
      <c r="AZ913" s="23"/>
    </row>
    <row r="914" s="11" customFormat="1" spans="1:52">
      <c r="A914" s="23">
        <v>404701</v>
      </c>
      <c r="B914" s="23" t="s">
        <v>2006</v>
      </c>
      <c r="C914" s="23" t="s">
        <v>2007</v>
      </c>
      <c r="D914" s="23">
        <v>1</v>
      </c>
      <c r="E914" s="23">
        <v>1</v>
      </c>
      <c r="F914" s="23">
        <v>1</v>
      </c>
      <c r="G914" s="23">
        <v>1.71</v>
      </c>
      <c r="H914" s="23">
        <v>2.1</v>
      </c>
      <c r="I914" s="23">
        <v>0.4</v>
      </c>
      <c r="J914" s="23" t="s">
        <v>115</v>
      </c>
      <c r="K914" s="23"/>
      <c r="L914" s="23">
        <v>0.133333333333333</v>
      </c>
      <c r="M914" s="23">
        <v>0.766666666666667</v>
      </c>
      <c r="N914" s="23"/>
      <c r="O914" s="23"/>
      <c r="P914" s="23">
        <v>0.133333333333333</v>
      </c>
      <c r="Q914" s="23">
        <v>0.733333333333333</v>
      </c>
      <c r="R914" s="23"/>
      <c r="S914" s="23"/>
      <c r="T914" s="23">
        <v>2.4</v>
      </c>
      <c r="U914" s="23">
        <v>0</v>
      </c>
      <c r="V914" s="23">
        <v>-6.83</v>
      </c>
      <c r="W914" s="23">
        <v>5</v>
      </c>
      <c r="X914" s="23">
        <v>-2.133</v>
      </c>
      <c r="Y914" s="23">
        <v>1.02</v>
      </c>
      <c r="Z914" s="23">
        <v>-3.155</v>
      </c>
      <c r="AA914" s="23">
        <v>1</v>
      </c>
      <c r="AB914" s="23">
        <v>0</v>
      </c>
      <c r="AC914" s="23"/>
      <c r="AD914" s="23"/>
      <c r="AE914" s="23"/>
      <c r="AF914" s="23">
        <v>801</v>
      </c>
      <c r="AG914" s="23" t="s">
        <v>116</v>
      </c>
      <c r="AH914" s="23" t="s">
        <v>121</v>
      </c>
      <c r="AI914" s="23"/>
      <c r="AJ914" s="23"/>
      <c r="AK914" s="23">
        <v>0</v>
      </c>
      <c r="AL914" s="23"/>
      <c r="AM914" s="23"/>
      <c r="AN914" s="23"/>
      <c r="AT914" s="198"/>
      <c r="AU914" s="198"/>
      <c r="AY914" s="23"/>
      <c r="AZ914" s="23"/>
    </row>
    <row r="915" s="11" customFormat="1" spans="1:52">
      <c r="A915" s="23">
        <v>404702</v>
      </c>
      <c r="B915" s="23" t="s">
        <v>2008</v>
      </c>
      <c r="C915" s="23" t="s">
        <v>2009</v>
      </c>
      <c r="D915" s="23">
        <v>1</v>
      </c>
      <c r="E915" s="23">
        <v>1</v>
      </c>
      <c r="F915" s="23">
        <v>1</v>
      </c>
      <c r="G915" s="23">
        <v>1.71</v>
      </c>
      <c r="H915" s="23">
        <v>2.1</v>
      </c>
      <c r="I915" s="23">
        <v>0.4</v>
      </c>
      <c r="J915" s="23" t="s">
        <v>115</v>
      </c>
      <c r="K915" s="23"/>
      <c r="L915" s="23">
        <v>0.133333333333333</v>
      </c>
      <c r="M915" s="23">
        <v>0.766666666666667</v>
      </c>
      <c r="N915" s="23"/>
      <c r="O915" s="23"/>
      <c r="P915" s="23">
        <v>0.133333333333333</v>
      </c>
      <c r="Q915" s="23">
        <v>0.733333333333333</v>
      </c>
      <c r="R915" s="23"/>
      <c r="S915" s="23"/>
      <c r="T915" s="23">
        <v>2.4</v>
      </c>
      <c r="U915" s="23">
        <v>0</v>
      </c>
      <c r="V915" s="23">
        <v>-6.83</v>
      </c>
      <c r="W915" s="23">
        <v>5</v>
      </c>
      <c r="X915" s="23">
        <v>-2.133</v>
      </c>
      <c r="Y915" s="23">
        <v>1.02</v>
      </c>
      <c r="Z915" s="23">
        <v>-3.155</v>
      </c>
      <c r="AA915" s="23">
        <v>1</v>
      </c>
      <c r="AB915" s="23">
        <v>0</v>
      </c>
      <c r="AC915" s="23"/>
      <c r="AD915" s="23"/>
      <c r="AE915" s="23"/>
      <c r="AF915" s="23">
        <v>801</v>
      </c>
      <c r="AG915" s="23" t="s">
        <v>116</v>
      </c>
      <c r="AH915" s="23" t="s">
        <v>121</v>
      </c>
      <c r="AI915" s="23"/>
      <c r="AJ915" s="23"/>
      <c r="AK915" s="23">
        <v>0</v>
      </c>
      <c r="AL915" s="23"/>
      <c r="AM915" s="23"/>
      <c r="AN915" s="23"/>
      <c r="AT915" s="198"/>
      <c r="AU915" s="198"/>
      <c r="AY915" s="23"/>
      <c r="AZ915" s="23"/>
    </row>
    <row r="916" s="11" customFormat="1" spans="1:52">
      <c r="A916" s="23">
        <v>404703</v>
      </c>
      <c r="B916" s="23" t="s">
        <v>2010</v>
      </c>
      <c r="C916" s="23" t="s">
        <v>2011</v>
      </c>
      <c r="D916" s="23">
        <v>1</v>
      </c>
      <c r="E916" s="23">
        <v>1</v>
      </c>
      <c r="F916" s="23">
        <v>1</v>
      </c>
      <c r="G916" s="23">
        <v>1.71</v>
      </c>
      <c r="H916" s="23">
        <v>2.15</v>
      </c>
      <c r="I916" s="23">
        <v>0.4</v>
      </c>
      <c r="J916" s="23" t="s">
        <v>115</v>
      </c>
      <c r="K916" s="23">
        <v>1</v>
      </c>
      <c r="L916" s="23">
        <f>2/30</f>
        <v>0.0666666666666667</v>
      </c>
      <c r="M916" s="23">
        <f>14/30</f>
        <v>0.466666666666667</v>
      </c>
      <c r="N916" s="23">
        <v>1989</v>
      </c>
      <c r="O916" s="23">
        <v>1990</v>
      </c>
      <c r="P916" s="23">
        <f>2/30</f>
        <v>0.0666666666666667</v>
      </c>
      <c r="Q916" s="23">
        <f>15/30</f>
        <v>0.5</v>
      </c>
      <c r="R916" s="23">
        <v>1989</v>
      </c>
      <c r="S916" s="23">
        <v>1990</v>
      </c>
      <c r="T916" s="23">
        <v>2.4</v>
      </c>
      <c r="U916" s="23">
        <v>0</v>
      </c>
      <c r="V916" s="23"/>
      <c r="W916" s="23"/>
      <c r="X916" s="23">
        <v>-2.147</v>
      </c>
      <c r="Y916" s="23">
        <v>1.04</v>
      </c>
      <c r="Z916" s="23">
        <v>-3.011</v>
      </c>
      <c r="AA916" s="23">
        <v>1</v>
      </c>
      <c r="AB916" s="23">
        <v>1</v>
      </c>
      <c r="AC916" s="23">
        <v>1964</v>
      </c>
      <c r="AD916" s="23" t="s">
        <v>275</v>
      </c>
      <c r="AE916" s="23"/>
      <c r="AF916" s="23">
        <v>801</v>
      </c>
      <c r="AG916" s="23" t="s">
        <v>116</v>
      </c>
      <c r="AH916" s="23" t="s">
        <v>200</v>
      </c>
      <c r="AI916" s="23"/>
      <c r="AJ916" s="23"/>
      <c r="AK916" s="23">
        <v>0</v>
      </c>
      <c r="AL916" s="23"/>
      <c r="AM916" s="23"/>
      <c r="AN916" s="23"/>
      <c r="AY916" s="23">
        <v>1964</v>
      </c>
      <c r="AZ916" s="23" t="s">
        <v>275</v>
      </c>
    </row>
    <row r="917" s="11" customFormat="1" spans="1:52">
      <c r="A917" s="23">
        <v>405001</v>
      </c>
      <c r="B917" s="23" t="s">
        <v>2012</v>
      </c>
      <c r="C917" s="23" t="s">
        <v>2013</v>
      </c>
      <c r="D917" s="23">
        <v>1</v>
      </c>
      <c r="E917" s="23">
        <v>1</v>
      </c>
      <c r="F917" s="23">
        <v>1</v>
      </c>
      <c r="G917" s="23">
        <v>1.6</v>
      </c>
      <c r="H917" s="23">
        <v>1.9</v>
      </c>
      <c r="I917" s="23">
        <v>0.43</v>
      </c>
      <c r="J917" s="23" t="s">
        <v>115</v>
      </c>
      <c r="K917" s="23"/>
      <c r="L917" s="23">
        <v>0.2</v>
      </c>
      <c r="M917" s="23">
        <v>0.666666666666667</v>
      </c>
      <c r="N917" s="23"/>
      <c r="O917" s="23"/>
      <c r="P917" s="23">
        <v>0.133333333333333</v>
      </c>
      <c r="Q917" s="23">
        <v>0.633333333333333</v>
      </c>
      <c r="R917" s="23"/>
      <c r="S917" s="23"/>
      <c r="T917" s="23">
        <v>2.4</v>
      </c>
      <c r="U917" s="23">
        <v>0</v>
      </c>
      <c r="V917" s="23">
        <v>-5.66</v>
      </c>
      <c r="W917" s="23">
        <v>5</v>
      </c>
      <c r="X917" s="23">
        <v>-2.43</v>
      </c>
      <c r="Y917" s="23">
        <v>0.97</v>
      </c>
      <c r="Z917" s="23">
        <v>-2.57</v>
      </c>
      <c r="AA917" s="23">
        <v>1</v>
      </c>
      <c r="AB917" s="23">
        <v>1</v>
      </c>
      <c r="AC917" s="23">
        <v>800</v>
      </c>
      <c r="AD917" s="23" t="s">
        <v>153</v>
      </c>
      <c r="AE917" s="23"/>
      <c r="AF917" s="23">
        <v>801</v>
      </c>
      <c r="AG917" s="23" t="s">
        <v>116</v>
      </c>
      <c r="AH917" s="23" t="s">
        <v>121</v>
      </c>
      <c r="AI917" s="23"/>
      <c r="AJ917" s="23"/>
      <c r="AK917" s="23">
        <v>0</v>
      </c>
      <c r="AL917" s="23"/>
      <c r="AM917" s="23"/>
      <c r="AN917" s="23"/>
      <c r="AY917" s="23">
        <v>800</v>
      </c>
      <c r="AZ917" s="23" t="s">
        <v>153</v>
      </c>
    </row>
    <row r="918" s="11" customFormat="1" spans="1:52">
      <c r="A918" s="23">
        <v>405002</v>
      </c>
      <c r="B918" s="23" t="s">
        <v>2014</v>
      </c>
      <c r="C918" s="23" t="s">
        <v>2015</v>
      </c>
      <c r="D918" s="23">
        <v>1</v>
      </c>
      <c r="E918" s="23">
        <v>1</v>
      </c>
      <c r="F918" s="23">
        <v>1</v>
      </c>
      <c r="G918" s="23">
        <v>1.6</v>
      </c>
      <c r="H918" s="23">
        <v>1.9</v>
      </c>
      <c r="I918" s="23">
        <v>0.43</v>
      </c>
      <c r="J918" s="23" t="s">
        <v>115</v>
      </c>
      <c r="K918" s="23"/>
      <c r="L918" s="23">
        <v>0.2</v>
      </c>
      <c r="M918" s="23">
        <v>0.666666666666667</v>
      </c>
      <c r="N918" s="23"/>
      <c r="O918" s="23"/>
      <c r="P918" s="23">
        <v>0.133333333333333</v>
      </c>
      <c r="Q918" s="23">
        <v>0.633333333333333</v>
      </c>
      <c r="R918" s="23"/>
      <c r="S918" s="23"/>
      <c r="T918" s="23">
        <v>2.4</v>
      </c>
      <c r="U918" s="23">
        <v>0</v>
      </c>
      <c r="V918" s="23">
        <v>-5.66</v>
      </c>
      <c r="W918" s="23">
        <v>5</v>
      </c>
      <c r="X918" s="23">
        <v>-2.43</v>
      </c>
      <c r="Y918" s="23">
        <v>0.97</v>
      </c>
      <c r="Z918" s="23">
        <v>-2.57</v>
      </c>
      <c r="AA918" s="23">
        <v>1</v>
      </c>
      <c r="AB918" s="23">
        <v>1</v>
      </c>
      <c r="AC918" s="23">
        <v>800</v>
      </c>
      <c r="AD918" s="23" t="s">
        <v>153</v>
      </c>
      <c r="AE918" s="23"/>
      <c r="AF918" s="23">
        <v>801</v>
      </c>
      <c r="AG918" s="23" t="s">
        <v>116</v>
      </c>
      <c r="AH918" s="23" t="s">
        <v>121</v>
      </c>
      <c r="AI918" s="23"/>
      <c r="AJ918" s="23"/>
      <c r="AK918" s="23">
        <v>0</v>
      </c>
      <c r="AL918" s="23"/>
      <c r="AM918" s="23"/>
      <c r="AN918" s="23"/>
      <c r="AY918" s="23">
        <v>800</v>
      </c>
      <c r="AZ918" s="23" t="s">
        <v>153</v>
      </c>
    </row>
    <row r="919" s="13" customFormat="1" spans="1:52">
      <c r="A919" s="13">
        <v>405003</v>
      </c>
      <c r="B919" s="13" t="s">
        <v>2016</v>
      </c>
      <c r="C919" s="13" t="s">
        <v>2017</v>
      </c>
      <c r="D919" s="13">
        <v>1</v>
      </c>
      <c r="E919" s="13">
        <v>1</v>
      </c>
      <c r="F919" s="13">
        <v>1</v>
      </c>
      <c r="G919" s="13">
        <v>1.6</v>
      </c>
      <c r="H919" s="13">
        <v>1.9</v>
      </c>
      <c r="I919" s="13">
        <v>0.43</v>
      </c>
      <c r="J919" s="13" t="s">
        <v>115</v>
      </c>
      <c r="K919" s="13"/>
      <c r="L919" s="13">
        <v>0.2</v>
      </c>
      <c r="M919" s="13">
        <v>0.666666666666667</v>
      </c>
      <c r="N919" s="13"/>
      <c r="O919" s="13"/>
      <c r="P919" s="13">
        <v>0.133333333333333</v>
      </c>
      <c r="Q919" s="13">
        <v>0.633333333333333</v>
      </c>
      <c r="R919" s="13"/>
      <c r="S919" s="13"/>
      <c r="T919" s="13">
        <v>2.4</v>
      </c>
      <c r="U919" s="13">
        <v>0</v>
      </c>
      <c r="V919" s="13">
        <v>-5.66</v>
      </c>
      <c r="W919" s="13">
        <v>5</v>
      </c>
      <c r="X919" s="13">
        <v>-2.43</v>
      </c>
      <c r="Y919" s="13">
        <v>0.97</v>
      </c>
      <c r="Z919" s="13">
        <v>-2.57</v>
      </c>
      <c r="AA919" s="13">
        <v>1</v>
      </c>
      <c r="AB919" s="13">
        <v>1</v>
      </c>
      <c r="AC919" s="13">
        <v>800</v>
      </c>
      <c r="AD919" s="13" t="s">
        <v>153</v>
      </c>
      <c r="AE919" s="13"/>
      <c r="AF919" s="13">
        <v>801</v>
      </c>
      <c r="AG919" s="13" t="s">
        <v>116</v>
      </c>
      <c r="AH919" s="13" t="s">
        <v>121</v>
      </c>
      <c r="AI919" s="13"/>
      <c r="AJ919" s="13"/>
      <c r="AK919" s="13">
        <v>0</v>
      </c>
      <c r="AL919" s="13"/>
      <c r="AM919" s="13"/>
      <c r="AN919" s="13"/>
      <c r="AY919" s="13">
        <v>800</v>
      </c>
      <c r="AZ919" s="13" t="s">
        <v>153</v>
      </c>
    </row>
    <row r="920" s="11" customFormat="1" spans="1:52">
      <c r="A920" s="23">
        <v>405601</v>
      </c>
      <c r="B920" s="23" t="s">
        <v>2018</v>
      </c>
      <c r="C920" s="23" t="s">
        <v>2019</v>
      </c>
      <c r="D920" s="23">
        <v>1</v>
      </c>
      <c r="E920" s="23">
        <v>1</v>
      </c>
      <c r="F920" s="23">
        <v>1</v>
      </c>
      <c r="G920" s="23">
        <v>2</v>
      </c>
      <c r="H920" s="23">
        <v>2.2</v>
      </c>
      <c r="I920" s="23">
        <v>0.6</v>
      </c>
      <c r="J920" s="23" t="s">
        <v>115</v>
      </c>
      <c r="K920" s="23"/>
      <c r="L920" s="23">
        <v>0.133333333333333</v>
      </c>
      <c r="M920" s="23">
        <v>0.633333333333333</v>
      </c>
      <c r="N920" s="23"/>
      <c r="O920" s="23"/>
      <c r="P920" s="23">
        <v>0.133333333333333</v>
      </c>
      <c r="Q920" s="23">
        <v>0.7</v>
      </c>
      <c r="R920" s="23"/>
      <c r="S920" s="23"/>
      <c r="T920" s="23">
        <v>2.4</v>
      </c>
      <c r="U920" s="23">
        <v>0</v>
      </c>
      <c r="V920" s="23">
        <v>-6.38</v>
      </c>
      <c r="W920" s="23">
        <v>4.5</v>
      </c>
      <c r="X920" s="23">
        <v>-2.3</v>
      </c>
      <c r="Y920" s="23">
        <v>1.01</v>
      </c>
      <c r="Z920" s="23">
        <v>-2.83</v>
      </c>
      <c r="AA920" s="23">
        <v>1</v>
      </c>
      <c r="AB920" s="23">
        <v>1</v>
      </c>
      <c r="AC920" s="23">
        <v>1137</v>
      </c>
      <c r="AD920" s="23" t="s">
        <v>153</v>
      </c>
      <c r="AE920" s="23"/>
      <c r="AF920" s="23">
        <v>801</v>
      </c>
      <c r="AG920" s="23" t="s">
        <v>116</v>
      </c>
      <c r="AH920" s="23" t="s">
        <v>121</v>
      </c>
      <c r="AI920" s="23"/>
      <c r="AJ920" s="23"/>
      <c r="AK920" s="23">
        <v>0</v>
      </c>
      <c r="AL920" s="23"/>
      <c r="AM920" s="23"/>
      <c r="AN920" s="23"/>
      <c r="AY920" s="23">
        <v>1137</v>
      </c>
      <c r="AZ920" s="23" t="s">
        <v>153</v>
      </c>
    </row>
    <row r="921" s="11" customFormat="1" spans="1:52">
      <c r="A921" s="23">
        <v>405602</v>
      </c>
      <c r="B921" s="23" t="s">
        <v>2020</v>
      </c>
      <c r="C921" s="23" t="s">
        <v>2021</v>
      </c>
      <c r="D921" s="23">
        <v>1</v>
      </c>
      <c r="E921" s="23">
        <v>1</v>
      </c>
      <c r="F921" s="23">
        <v>1</v>
      </c>
      <c r="G921" s="23">
        <v>2</v>
      </c>
      <c r="H921" s="23">
        <v>2.2</v>
      </c>
      <c r="I921" s="23">
        <v>0.6</v>
      </c>
      <c r="J921" s="23" t="s">
        <v>115</v>
      </c>
      <c r="K921" s="23"/>
      <c r="L921" s="23">
        <v>0.133333333333333</v>
      </c>
      <c r="M921" s="23">
        <v>0.633333333333333</v>
      </c>
      <c r="N921" s="23"/>
      <c r="O921" s="23"/>
      <c r="P921" s="23">
        <v>0.133333333333333</v>
      </c>
      <c r="Q921" s="23">
        <v>0.7</v>
      </c>
      <c r="R921" s="23"/>
      <c r="S921" s="23"/>
      <c r="T921" s="23">
        <v>2.4</v>
      </c>
      <c r="U921" s="23">
        <v>0</v>
      </c>
      <c r="V921" s="23">
        <v>-6.38</v>
      </c>
      <c r="W921" s="23">
        <v>4.5</v>
      </c>
      <c r="X921" s="23">
        <v>-2.3</v>
      </c>
      <c r="Y921" s="23">
        <v>1.01</v>
      </c>
      <c r="Z921" s="23">
        <v>-2.83</v>
      </c>
      <c r="AA921" s="23">
        <v>1</v>
      </c>
      <c r="AB921" s="23">
        <v>1</v>
      </c>
      <c r="AC921" s="23">
        <v>2515</v>
      </c>
      <c r="AD921" s="23" t="s">
        <v>153</v>
      </c>
      <c r="AE921" s="23"/>
      <c r="AF921" s="23">
        <v>801</v>
      </c>
      <c r="AG921" s="23" t="s">
        <v>116</v>
      </c>
      <c r="AH921" s="23" t="s">
        <v>121</v>
      </c>
      <c r="AI921" s="23"/>
      <c r="AJ921" s="23"/>
      <c r="AK921" s="23">
        <v>0</v>
      </c>
      <c r="AL921" s="23"/>
      <c r="AM921" s="23"/>
      <c r="AN921" s="23"/>
      <c r="AY921" s="23">
        <v>2515</v>
      </c>
      <c r="AZ921" s="23" t="s">
        <v>153</v>
      </c>
    </row>
    <row r="922" s="11" customFormat="1" spans="1:52">
      <c r="A922" s="23">
        <v>407601</v>
      </c>
      <c r="B922" s="23" t="s">
        <v>2022</v>
      </c>
      <c r="C922" s="23" t="s">
        <v>2023</v>
      </c>
      <c r="D922" s="23">
        <v>1</v>
      </c>
      <c r="E922" s="23">
        <v>1</v>
      </c>
      <c r="F922" s="23">
        <v>1</v>
      </c>
      <c r="G922" s="11">
        <v>2.15</v>
      </c>
      <c r="H922" s="11">
        <v>2.55</v>
      </c>
      <c r="I922" s="11">
        <v>0.45</v>
      </c>
      <c r="J922" s="23" t="s">
        <v>115</v>
      </c>
      <c r="K922" s="23"/>
      <c r="L922" s="23">
        <f>3/30</f>
        <v>0.1</v>
      </c>
      <c r="M922" s="23">
        <f>17/30</f>
        <v>0.566666666666667</v>
      </c>
      <c r="N922" s="23"/>
      <c r="O922" s="23"/>
      <c r="P922" s="23">
        <v>0.1</v>
      </c>
      <c r="Q922" s="23">
        <f>17/30</f>
        <v>0.566666666666667</v>
      </c>
      <c r="R922" s="23"/>
      <c r="S922" s="23"/>
      <c r="T922" s="23">
        <v>2.4</v>
      </c>
      <c r="U922" s="23">
        <v>0</v>
      </c>
      <c r="V922" s="23"/>
      <c r="W922" s="23"/>
      <c r="X922" s="23"/>
      <c r="Y922" s="23"/>
      <c r="Z922" s="23"/>
      <c r="AA922" s="23">
        <v>1</v>
      </c>
      <c r="AB922" s="23">
        <v>1</v>
      </c>
      <c r="AC922" s="23">
        <v>2180</v>
      </c>
      <c r="AD922" s="23" t="s">
        <v>275</v>
      </c>
      <c r="AE922" s="23"/>
      <c r="AF922" s="23">
        <v>801</v>
      </c>
      <c r="AG922" s="23" t="s">
        <v>116</v>
      </c>
      <c r="AH922" s="23" t="s">
        <v>300</v>
      </c>
      <c r="AI922" s="23"/>
      <c r="AJ922" s="23"/>
      <c r="AK922" s="23">
        <v>0</v>
      </c>
      <c r="AL922" s="23"/>
      <c r="AM922" s="23"/>
      <c r="AN922" s="23"/>
      <c r="AO922" s="23"/>
      <c r="AP922" s="23">
        <v>4</v>
      </c>
      <c r="AQ922" s="23"/>
      <c r="AR922" s="23"/>
      <c r="AS922" s="23"/>
      <c r="AT922" s="23"/>
      <c r="AU922" s="23"/>
      <c r="AY922" s="23">
        <v>2180</v>
      </c>
      <c r="AZ922" s="23" t="s">
        <v>275</v>
      </c>
    </row>
    <row r="923" s="11" customFormat="1" spans="1:52">
      <c r="A923" s="23">
        <v>405701</v>
      </c>
      <c r="B923" s="23" t="s">
        <v>2024</v>
      </c>
      <c r="C923" s="23" t="s">
        <v>2025</v>
      </c>
      <c r="D923" s="23">
        <v>1</v>
      </c>
      <c r="E923" s="23">
        <v>1</v>
      </c>
      <c r="F923" s="23">
        <v>1</v>
      </c>
      <c r="G923" s="23">
        <v>2</v>
      </c>
      <c r="H923" s="23">
        <v>2.2</v>
      </c>
      <c r="I923" s="23">
        <v>0.6</v>
      </c>
      <c r="J923" s="23" t="s">
        <v>115</v>
      </c>
      <c r="K923" s="23"/>
      <c r="L923" s="23">
        <v>0.133333333333333</v>
      </c>
      <c r="M923" s="23">
        <v>0.633333333333333</v>
      </c>
      <c r="N923" s="23"/>
      <c r="O923" s="23"/>
      <c r="P923" s="23">
        <v>0.133333333333333</v>
      </c>
      <c r="Q923" s="23">
        <v>0.7</v>
      </c>
      <c r="R923" s="23"/>
      <c r="S923" s="23"/>
      <c r="T923" s="23">
        <v>2.4</v>
      </c>
      <c r="U923" s="23">
        <v>0</v>
      </c>
      <c r="V923" s="23">
        <v>-6.38</v>
      </c>
      <c r="W923" s="23">
        <v>4.5</v>
      </c>
      <c r="X923" s="23">
        <v>-2.3</v>
      </c>
      <c r="Y923" s="23">
        <v>1.01</v>
      </c>
      <c r="Z923" s="23">
        <v>-2.83</v>
      </c>
      <c r="AA923" s="23">
        <v>1</v>
      </c>
      <c r="AB923" s="23">
        <v>1</v>
      </c>
      <c r="AC923" s="23">
        <v>1137</v>
      </c>
      <c r="AD923" s="23" t="s">
        <v>153</v>
      </c>
      <c r="AE923" s="23"/>
      <c r="AF923" s="23">
        <v>801</v>
      </c>
      <c r="AG923" s="23" t="s">
        <v>116</v>
      </c>
      <c r="AH923" s="23" t="s">
        <v>121</v>
      </c>
      <c r="AI923" s="23"/>
      <c r="AJ923" s="23"/>
      <c r="AK923" s="23">
        <v>0</v>
      </c>
      <c r="AL923" s="23"/>
      <c r="AM923" s="23"/>
      <c r="AN923" s="23"/>
      <c r="AY923" s="23">
        <v>1137</v>
      </c>
      <c r="AZ923" s="23" t="s">
        <v>153</v>
      </c>
    </row>
    <row r="924" s="11" customFormat="1" spans="1:52">
      <c r="A924" s="23">
        <v>400510</v>
      </c>
      <c r="B924" s="23" t="s">
        <v>2026</v>
      </c>
      <c r="C924" s="23" t="s">
        <v>2027</v>
      </c>
      <c r="D924" s="23">
        <v>1</v>
      </c>
      <c r="E924" s="23">
        <v>1</v>
      </c>
      <c r="F924" s="23">
        <v>1</v>
      </c>
      <c r="G924" s="23">
        <v>1.63</v>
      </c>
      <c r="H924" s="23">
        <v>2.1</v>
      </c>
      <c r="I924" s="23">
        <v>0.37</v>
      </c>
      <c r="J924" s="23" t="s">
        <v>115</v>
      </c>
      <c r="K924" s="23"/>
      <c r="L924" s="23">
        <v>0.1</v>
      </c>
      <c r="M924" s="23">
        <v>0.566666666666667</v>
      </c>
      <c r="N924" s="23"/>
      <c r="O924" s="23"/>
      <c r="P924" s="23">
        <v>0.166666666666667</v>
      </c>
      <c r="Q924" s="23">
        <v>0.533333333333333</v>
      </c>
      <c r="R924" s="23"/>
      <c r="S924" s="23"/>
      <c r="T924" s="23">
        <v>2.4</v>
      </c>
      <c r="U924" s="23">
        <v>0</v>
      </c>
      <c r="V924" s="23"/>
      <c r="W924" s="23"/>
      <c r="X924" s="23">
        <v>-2.077</v>
      </c>
      <c r="Y924" s="23">
        <v>0.897</v>
      </c>
      <c r="Z924" s="23">
        <v>-3.08</v>
      </c>
      <c r="AA924" s="23">
        <v>1</v>
      </c>
      <c r="AB924" s="23">
        <v>1</v>
      </c>
      <c r="AC924" s="23">
        <v>2312</v>
      </c>
      <c r="AD924" s="23" t="s">
        <v>275</v>
      </c>
      <c r="AE924" s="23"/>
      <c r="AF924" s="23">
        <v>801</v>
      </c>
      <c r="AG924" s="23" t="s">
        <v>116</v>
      </c>
      <c r="AH924" s="23" t="s">
        <v>200</v>
      </c>
      <c r="AI924" s="23"/>
      <c r="AJ924" s="23"/>
      <c r="AK924" s="23">
        <v>0</v>
      </c>
      <c r="AL924" s="23"/>
      <c r="AM924" s="23"/>
      <c r="AN924" s="23"/>
      <c r="AV924" s="11" t="s">
        <v>286</v>
      </c>
      <c r="AW924" s="11" t="s">
        <v>286</v>
      </c>
      <c r="AY924" s="23">
        <v>2312</v>
      </c>
      <c r="AZ924" s="23" t="s">
        <v>275</v>
      </c>
    </row>
    <row r="925" s="11" customFormat="1" spans="1:52">
      <c r="A925" s="23">
        <v>406001</v>
      </c>
      <c r="B925" s="23" t="s">
        <v>2028</v>
      </c>
      <c r="C925" s="23" t="s">
        <v>2029</v>
      </c>
      <c r="D925" s="23">
        <v>1</v>
      </c>
      <c r="E925" s="23">
        <v>1</v>
      </c>
      <c r="F925" s="23">
        <v>1</v>
      </c>
      <c r="G925" s="23">
        <v>1.7</v>
      </c>
      <c r="H925" s="23">
        <v>2.1</v>
      </c>
      <c r="I925" s="23">
        <v>0.35</v>
      </c>
      <c r="J925" s="23" t="s">
        <v>115</v>
      </c>
      <c r="K925" s="23"/>
      <c r="L925" s="23">
        <v>0.133333333333333</v>
      </c>
      <c r="M925" s="23">
        <v>0.6</v>
      </c>
      <c r="N925" s="23"/>
      <c r="O925" s="23"/>
      <c r="P925" s="23">
        <v>0.133333333333333</v>
      </c>
      <c r="Q925" s="23">
        <v>0.6</v>
      </c>
      <c r="R925" s="23"/>
      <c r="S925" s="23"/>
      <c r="T925" s="23">
        <v>2.4</v>
      </c>
      <c r="U925" s="23">
        <v>0</v>
      </c>
      <c r="V925" s="23">
        <v>-6.25</v>
      </c>
      <c r="W925" s="23">
        <v>5</v>
      </c>
      <c r="X925" s="23">
        <v>-2.047</v>
      </c>
      <c r="Y925" s="23">
        <v>0.907</v>
      </c>
      <c r="Z925" s="23">
        <v>-3.106</v>
      </c>
      <c r="AA925" s="23">
        <v>1</v>
      </c>
      <c r="AB925" s="23">
        <v>0</v>
      </c>
      <c r="AC925" s="23"/>
      <c r="AD925" s="23"/>
      <c r="AE925" s="23"/>
      <c r="AF925" s="23">
        <v>801</v>
      </c>
      <c r="AG925" s="23" t="s">
        <v>116</v>
      </c>
      <c r="AH925" s="23" t="s">
        <v>121</v>
      </c>
      <c r="AI925" s="23"/>
      <c r="AJ925" s="23"/>
      <c r="AK925" s="23">
        <v>0</v>
      </c>
      <c r="AL925" s="23"/>
      <c r="AM925" s="23"/>
      <c r="AN925" s="23"/>
      <c r="AY925" s="23"/>
      <c r="AZ925" s="23"/>
    </row>
    <row r="926" s="11" customFormat="1" spans="1:52">
      <c r="A926" s="23">
        <v>404502</v>
      </c>
      <c r="B926" s="23" t="s">
        <v>2030</v>
      </c>
      <c r="C926" s="23" t="s">
        <v>2031</v>
      </c>
      <c r="D926" s="23">
        <v>1</v>
      </c>
      <c r="E926" s="23">
        <v>1</v>
      </c>
      <c r="F926" s="23">
        <v>1</v>
      </c>
      <c r="G926" s="23">
        <v>1.78</v>
      </c>
      <c r="H926" s="23">
        <v>1.9</v>
      </c>
      <c r="I926" s="23">
        <v>0.42</v>
      </c>
      <c r="J926" s="23" t="s">
        <v>115</v>
      </c>
      <c r="K926" s="23"/>
      <c r="L926" s="23">
        <v>0.0666666666666667</v>
      </c>
      <c r="M926" s="23">
        <v>0.566666666666667</v>
      </c>
      <c r="N926" s="23"/>
      <c r="O926" s="23"/>
      <c r="P926" s="23">
        <v>0.1</v>
      </c>
      <c r="Q926" s="23">
        <v>0.466666666666667</v>
      </c>
      <c r="R926" s="23"/>
      <c r="S926" s="23"/>
      <c r="T926" s="23">
        <v>2.4</v>
      </c>
      <c r="U926" s="23">
        <v>0</v>
      </c>
      <c r="V926" s="23">
        <v>-6</v>
      </c>
      <c r="W926" s="23">
        <v>5</v>
      </c>
      <c r="X926" s="23">
        <v>-2.38</v>
      </c>
      <c r="Y926" s="23">
        <v>1</v>
      </c>
      <c r="Z926" s="23">
        <v>-2.72</v>
      </c>
      <c r="AA926" s="23">
        <v>1</v>
      </c>
      <c r="AB926" s="23">
        <v>0</v>
      </c>
      <c r="AC926" s="23"/>
      <c r="AD926" s="23"/>
      <c r="AE926" s="23"/>
      <c r="AF926" s="23">
        <v>801</v>
      </c>
      <c r="AG926" s="23" t="s">
        <v>116</v>
      </c>
      <c r="AH926" s="23" t="s">
        <v>121</v>
      </c>
      <c r="AI926" s="23"/>
      <c r="AJ926" s="23"/>
      <c r="AK926" s="23">
        <v>0</v>
      </c>
      <c r="AL926" s="23"/>
      <c r="AM926" s="23"/>
      <c r="AN926" s="23"/>
      <c r="AY926" s="23"/>
      <c r="AZ926" s="23"/>
    </row>
    <row r="927" s="11" customFormat="1" spans="1:52">
      <c r="A927" s="23">
        <v>404704</v>
      </c>
      <c r="B927" s="23" t="s">
        <v>2032</v>
      </c>
      <c r="C927" s="23" t="s">
        <v>2033</v>
      </c>
      <c r="D927" s="23">
        <v>1</v>
      </c>
      <c r="E927" s="23">
        <v>1</v>
      </c>
      <c r="F927" s="23">
        <v>1</v>
      </c>
      <c r="G927" s="23">
        <v>1.71</v>
      </c>
      <c r="H927" s="23">
        <v>2.15</v>
      </c>
      <c r="I927" s="23">
        <v>0.4</v>
      </c>
      <c r="J927" s="23" t="s">
        <v>115</v>
      </c>
      <c r="K927" s="23">
        <v>1</v>
      </c>
      <c r="L927" s="23">
        <f t="shared" ref="L927:L930" si="75">2/30</f>
        <v>0.0666666666666667</v>
      </c>
      <c r="M927" s="23">
        <f t="shared" ref="M927:M930" si="76">14/30</f>
        <v>0.466666666666667</v>
      </c>
      <c r="N927" s="23">
        <v>1989</v>
      </c>
      <c r="O927" s="23">
        <v>1990</v>
      </c>
      <c r="P927" s="23">
        <f>2/30</f>
        <v>0.0666666666666667</v>
      </c>
      <c r="Q927" s="23">
        <f t="shared" ref="Q927:Q930" si="77">15/30</f>
        <v>0.5</v>
      </c>
      <c r="R927" s="23">
        <v>1989</v>
      </c>
      <c r="S927" s="23">
        <v>1990</v>
      </c>
      <c r="T927" s="23">
        <v>2.4</v>
      </c>
      <c r="U927" s="23">
        <v>0</v>
      </c>
      <c r="V927" s="23"/>
      <c r="W927" s="23"/>
      <c r="X927" s="23">
        <v>-2.147</v>
      </c>
      <c r="Y927" s="23">
        <v>1.04</v>
      </c>
      <c r="Z927" s="23">
        <v>-3.011</v>
      </c>
      <c r="AA927" s="23">
        <v>1</v>
      </c>
      <c r="AB927" s="23">
        <v>1</v>
      </c>
      <c r="AC927" s="23">
        <v>2516</v>
      </c>
      <c r="AD927" s="23" t="s">
        <v>275</v>
      </c>
      <c r="AE927" s="23"/>
      <c r="AF927" s="23">
        <v>801</v>
      </c>
      <c r="AG927" s="23" t="s">
        <v>116</v>
      </c>
      <c r="AH927" s="23" t="s">
        <v>200</v>
      </c>
      <c r="AI927" s="23"/>
      <c r="AJ927" s="23"/>
      <c r="AK927" s="23">
        <v>0</v>
      </c>
      <c r="AL927" s="23"/>
      <c r="AM927" s="23"/>
      <c r="AN927" s="23"/>
      <c r="AY927" s="23">
        <v>2516</v>
      </c>
      <c r="AZ927" s="23" t="s">
        <v>275</v>
      </c>
    </row>
    <row r="928" s="11" customFormat="1" spans="1:52">
      <c r="A928" s="23">
        <v>404800</v>
      </c>
      <c r="B928" s="23" t="s">
        <v>2034</v>
      </c>
      <c r="C928" s="23" t="s">
        <v>2035</v>
      </c>
      <c r="D928" s="23">
        <v>1</v>
      </c>
      <c r="E928" s="23">
        <v>1</v>
      </c>
      <c r="F928" s="23">
        <v>0.9</v>
      </c>
      <c r="G928" s="23">
        <v>2.4</v>
      </c>
      <c r="H928" s="23">
        <v>2.8</v>
      </c>
      <c r="I928" s="23">
        <v>0.32</v>
      </c>
      <c r="J928" s="23" t="s">
        <v>115</v>
      </c>
      <c r="K928" s="23"/>
      <c r="L928" s="23">
        <v>0.2</v>
      </c>
      <c r="M928" s="23">
        <v>0.7</v>
      </c>
      <c r="N928" s="23"/>
      <c r="O928" s="23"/>
      <c r="P928" s="23">
        <v>0.233333333333333</v>
      </c>
      <c r="Q928" s="23">
        <v>0.7</v>
      </c>
      <c r="R928" s="23"/>
      <c r="S928" s="23"/>
      <c r="T928" s="23">
        <v>2.4</v>
      </c>
      <c r="U928" s="23">
        <v>0</v>
      </c>
      <c r="V928" s="23"/>
      <c r="W928" s="23"/>
      <c r="X928" s="23"/>
      <c r="Y928" s="23"/>
      <c r="Z928" s="23"/>
      <c r="AA928" s="23">
        <v>0.9</v>
      </c>
      <c r="AB928" s="23"/>
      <c r="AC928" s="23"/>
      <c r="AD928" s="23"/>
      <c r="AE928" s="23"/>
      <c r="AF928" s="23">
        <v>801</v>
      </c>
      <c r="AG928" s="23" t="s">
        <v>116</v>
      </c>
      <c r="AH928" s="23" t="s">
        <v>200</v>
      </c>
      <c r="AI928" s="23">
        <v>3</v>
      </c>
      <c r="AJ928" s="23">
        <v>8</v>
      </c>
      <c r="AK928" s="23">
        <v>0</v>
      </c>
      <c r="AL928" s="23"/>
      <c r="AM928" s="23"/>
      <c r="AN928" s="23"/>
      <c r="AY928" s="23"/>
      <c r="AZ928" s="23"/>
    </row>
    <row r="929" s="11" customFormat="1" spans="1:52">
      <c r="A929" s="23">
        <v>408001</v>
      </c>
      <c r="B929" s="23" t="s">
        <v>2036</v>
      </c>
      <c r="C929" s="23" t="s">
        <v>2037</v>
      </c>
      <c r="D929" s="23">
        <v>1</v>
      </c>
      <c r="E929" s="23">
        <v>1</v>
      </c>
      <c r="F929" s="23">
        <v>1</v>
      </c>
      <c r="G929" s="23">
        <v>1.7</v>
      </c>
      <c r="H929" s="23">
        <v>2.16</v>
      </c>
      <c r="I929" s="23">
        <v>0.3</v>
      </c>
      <c r="J929" s="23" t="s">
        <v>115</v>
      </c>
      <c r="K929" s="23"/>
      <c r="L929" s="23">
        <f t="shared" si="75"/>
        <v>0.0666666666666667</v>
      </c>
      <c r="M929" s="23">
        <f t="shared" si="76"/>
        <v>0.466666666666667</v>
      </c>
      <c r="N929" s="23"/>
      <c r="O929" s="23"/>
      <c r="P929" s="23">
        <f>3/30</f>
        <v>0.1</v>
      </c>
      <c r="Q929" s="23">
        <f t="shared" si="77"/>
        <v>0.5</v>
      </c>
      <c r="R929" s="23"/>
      <c r="S929" s="23"/>
      <c r="T929" s="23">
        <v>2.4</v>
      </c>
      <c r="U929" s="23">
        <v>0</v>
      </c>
      <c r="V929" s="23"/>
      <c r="W929" s="23"/>
      <c r="X929" s="23">
        <v>-2.148</v>
      </c>
      <c r="Y929" s="23">
        <v>0.919</v>
      </c>
      <c r="Z929" s="23">
        <v>-3.053</v>
      </c>
      <c r="AA929" s="23">
        <v>1</v>
      </c>
      <c r="AB929" s="23">
        <v>1</v>
      </c>
      <c r="AC929" s="23">
        <v>2500</v>
      </c>
      <c r="AD929" s="23" t="s">
        <v>153</v>
      </c>
      <c r="AE929" s="23"/>
      <c r="AF929" s="23">
        <v>801</v>
      </c>
      <c r="AG929" s="23" t="s">
        <v>116</v>
      </c>
      <c r="AH929" s="23" t="s">
        <v>200</v>
      </c>
      <c r="AI929" s="23"/>
      <c r="AJ929" s="23"/>
      <c r="AK929" s="23">
        <v>0</v>
      </c>
      <c r="AL929" s="23"/>
      <c r="AM929" s="23"/>
      <c r="AN929" s="23"/>
      <c r="AY929" s="23">
        <v>2500</v>
      </c>
      <c r="AZ929" s="23" t="s">
        <v>153</v>
      </c>
    </row>
    <row r="930" s="11" customFormat="1" spans="1:52">
      <c r="A930" s="23">
        <v>408002</v>
      </c>
      <c r="B930" s="23" t="s">
        <v>2038</v>
      </c>
      <c r="C930" s="23" t="s">
        <v>2039</v>
      </c>
      <c r="D930" s="23">
        <v>1</v>
      </c>
      <c r="E930" s="23">
        <v>1</v>
      </c>
      <c r="F930" s="23">
        <v>1</v>
      </c>
      <c r="G930" s="23">
        <v>1.7</v>
      </c>
      <c r="H930" s="23">
        <v>2.16</v>
      </c>
      <c r="I930" s="23">
        <v>0.3</v>
      </c>
      <c r="J930" s="23" t="s">
        <v>115</v>
      </c>
      <c r="K930" s="23"/>
      <c r="L930" s="23">
        <f t="shared" si="75"/>
        <v>0.0666666666666667</v>
      </c>
      <c r="M930" s="23">
        <f t="shared" si="76"/>
        <v>0.466666666666667</v>
      </c>
      <c r="N930" s="23"/>
      <c r="O930" s="23"/>
      <c r="P930" s="23">
        <f>3/30</f>
        <v>0.1</v>
      </c>
      <c r="Q930" s="23">
        <f t="shared" si="77"/>
        <v>0.5</v>
      </c>
      <c r="R930" s="23"/>
      <c r="S930" s="23"/>
      <c r="T930" s="23">
        <v>2.4</v>
      </c>
      <c r="U930" s="23">
        <v>0</v>
      </c>
      <c r="V930" s="23"/>
      <c r="W930" s="23"/>
      <c r="X930" s="23">
        <v>-2.148</v>
      </c>
      <c r="Y930" s="23">
        <v>0.919</v>
      </c>
      <c r="Z930" s="23">
        <v>-3.053</v>
      </c>
      <c r="AA930" s="23">
        <v>1</v>
      </c>
      <c r="AB930" s="23">
        <v>1</v>
      </c>
      <c r="AC930" s="23">
        <v>2500</v>
      </c>
      <c r="AD930" s="23" t="s">
        <v>153</v>
      </c>
      <c r="AE930" s="23"/>
      <c r="AF930" s="23">
        <v>801</v>
      </c>
      <c r="AG930" s="23" t="s">
        <v>116</v>
      </c>
      <c r="AH930" s="23" t="s">
        <v>200</v>
      </c>
      <c r="AI930" s="23"/>
      <c r="AJ930" s="23"/>
      <c r="AK930" s="23">
        <v>0</v>
      </c>
      <c r="AL930" s="23"/>
      <c r="AM930" s="23"/>
      <c r="AN930" s="23"/>
      <c r="AY930" s="23">
        <v>2500</v>
      </c>
      <c r="AZ930" s="23" t="s">
        <v>153</v>
      </c>
    </row>
    <row r="931" s="11" customFormat="1" spans="1:52">
      <c r="A931" s="23">
        <v>407101</v>
      </c>
      <c r="B931" s="82" t="s">
        <v>2040</v>
      </c>
      <c r="C931" s="23" t="s">
        <v>2041</v>
      </c>
      <c r="D931" s="23">
        <v>1</v>
      </c>
      <c r="E931" s="23">
        <v>1</v>
      </c>
      <c r="F931" s="23">
        <v>1.1</v>
      </c>
      <c r="G931" s="23">
        <v>1.52</v>
      </c>
      <c r="H931" s="23">
        <v>2</v>
      </c>
      <c r="I931" s="23">
        <v>0.43</v>
      </c>
      <c r="J931" s="23" t="s">
        <v>115</v>
      </c>
      <c r="K931" s="23"/>
      <c r="L931" s="23">
        <v>0.0666666666666667</v>
      </c>
      <c r="M931" s="23">
        <v>0.566666666666667</v>
      </c>
      <c r="N931" s="23"/>
      <c r="O931" s="23"/>
      <c r="P931" s="23">
        <v>0.0666666666666667</v>
      </c>
      <c r="Q931" s="23">
        <v>0.566666666666667</v>
      </c>
      <c r="R931" s="23"/>
      <c r="S931" s="23"/>
      <c r="T931" s="23">
        <v>2.4</v>
      </c>
      <c r="U931" s="194">
        <v>0</v>
      </c>
      <c r="V931" s="194"/>
      <c r="W931" s="23"/>
      <c r="X931" s="23"/>
      <c r="Y931" s="23"/>
      <c r="Z931" s="23"/>
      <c r="AA931" s="23"/>
      <c r="AB931" s="23">
        <v>1</v>
      </c>
      <c r="AC931" s="23">
        <v>2039</v>
      </c>
      <c r="AD931" s="23" t="s">
        <v>153</v>
      </c>
      <c r="AE931" s="23"/>
      <c r="AF931" s="23">
        <v>801</v>
      </c>
      <c r="AG931" s="23" t="s">
        <v>116</v>
      </c>
      <c r="AH931" s="23" t="s">
        <v>200</v>
      </c>
      <c r="AI931" s="23">
        <v>3</v>
      </c>
      <c r="AJ931" s="23">
        <v>8</v>
      </c>
      <c r="AK931" s="23">
        <v>0</v>
      </c>
      <c r="AL931" s="23"/>
      <c r="AM931" s="23"/>
      <c r="AN931" s="23"/>
      <c r="AO931" s="198"/>
      <c r="AP931" s="198"/>
      <c r="AQ931" s="198"/>
      <c r="AR931" s="198"/>
      <c r="AS931" s="198"/>
      <c r="AT931" s="198"/>
      <c r="AU931" s="198"/>
      <c r="AV931" s="11" t="s">
        <v>118</v>
      </c>
      <c r="AW931" s="11" t="s">
        <v>118</v>
      </c>
      <c r="AY931" s="23">
        <v>2039</v>
      </c>
      <c r="AZ931" s="23" t="s">
        <v>153</v>
      </c>
    </row>
    <row r="932" s="11" customFormat="1" spans="1:52">
      <c r="A932" s="23">
        <v>407102</v>
      </c>
      <c r="B932" s="82" t="s">
        <v>2042</v>
      </c>
      <c r="C932" s="23" t="s">
        <v>2043</v>
      </c>
      <c r="D932" s="23">
        <v>1</v>
      </c>
      <c r="E932" s="23">
        <v>1</v>
      </c>
      <c r="F932" s="23">
        <v>1.1</v>
      </c>
      <c r="G932" s="23">
        <v>1.52</v>
      </c>
      <c r="H932" s="23">
        <v>2</v>
      </c>
      <c r="I932" s="23">
        <v>0.43</v>
      </c>
      <c r="J932" s="23" t="s">
        <v>115</v>
      </c>
      <c r="K932" s="23"/>
      <c r="L932" s="23">
        <v>0.0666666666666667</v>
      </c>
      <c r="M932" s="23">
        <v>0.566666666666667</v>
      </c>
      <c r="N932" s="23"/>
      <c r="O932" s="23"/>
      <c r="P932" s="23">
        <v>0.0666666666666667</v>
      </c>
      <c r="Q932" s="23">
        <v>0.566666666666667</v>
      </c>
      <c r="R932" s="23"/>
      <c r="S932" s="23"/>
      <c r="T932" s="23">
        <v>2.4</v>
      </c>
      <c r="U932" s="194">
        <v>0</v>
      </c>
      <c r="V932" s="194"/>
      <c r="W932" s="23"/>
      <c r="X932" s="23"/>
      <c r="Y932" s="23"/>
      <c r="Z932" s="23"/>
      <c r="AA932" s="23"/>
      <c r="AB932" s="23">
        <v>1</v>
      </c>
      <c r="AC932" s="23">
        <v>2039</v>
      </c>
      <c r="AD932" s="23" t="s">
        <v>153</v>
      </c>
      <c r="AE932" s="23"/>
      <c r="AF932" s="23">
        <v>801</v>
      </c>
      <c r="AG932" s="23" t="s">
        <v>116</v>
      </c>
      <c r="AH932" s="23" t="s">
        <v>200</v>
      </c>
      <c r="AI932" s="23">
        <v>3</v>
      </c>
      <c r="AJ932" s="23">
        <v>8</v>
      </c>
      <c r="AK932" s="23">
        <v>0</v>
      </c>
      <c r="AL932" s="23"/>
      <c r="AM932" s="23"/>
      <c r="AN932" s="23"/>
      <c r="AO932" s="198"/>
      <c r="AP932" s="198"/>
      <c r="AQ932" s="198"/>
      <c r="AR932" s="198"/>
      <c r="AS932" s="198"/>
      <c r="AT932" s="198"/>
      <c r="AU932" s="198"/>
      <c r="AV932" s="11" t="s">
        <v>118</v>
      </c>
      <c r="AW932" s="11" t="s">
        <v>118</v>
      </c>
      <c r="AY932" s="23">
        <v>2039</v>
      </c>
      <c r="AZ932" s="23" t="s">
        <v>153</v>
      </c>
    </row>
    <row r="933" s="11" customFormat="1" spans="1:52">
      <c r="A933" s="23">
        <v>408401</v>
      </c>
      <c r="B933" s="23" t="s">
        <v>2044</v>
      </c>
      <c r="C933" s="23" t="s">
        <v>2045</v>
      </c>
      <c r="D933" s="23">
        <v>1</v>
      </c>
      <c r="E933" s="23">
        <v>1</v>
      </c>
      <c r="F933" s="23">
        <v>1.04</v>
      </c>
      <c r="G933" s="23">
        <v>1.75</v>
      </c>
      <c r="H933" s="23">
        <v>2.2</v>
      </c>
      <c r="I933" s="23">
        <v>0.35</v>
      </c>
      <c r="J933" s="23" t="s">
        <v>115</v>
      </c>
      <c r="K933" s="23"/>
      <c r="L933" s="23">
        <f t="shared" ref="L933:L936" si="78">5/30</f>
        <v>0.166666666666667</v>
      </c>
      <c r="M933" s="23">
        <v>0.566666666666667</v>
      </c>
      <c r="N933" s="23"/>
      <c r="O933" s="23"/>
      <c r="P933" s="23">
        <v>0.133333333333333</v>
      </c>
      <c r="Q933" s="23">
        <v>0.566666666666667</v>
      </c>
      <c r="R933" s="23"/>
      <c r="S933" s="23"/>
      <c r="T933" s="23">
        <v>2.4</v>
      </c>
      <c r="U933" s="23">
        <v>0</v>
      </c>
      <c r="V933" s="23"/>
      <c r="W933" s="23"/>
      <c r="X933" s="23"/>
      <c r="Y933" s="23"/>
      <c r="Z933" s="23"/>
      <c r="AA933" s="23"/>
      <c r="AB933" s="23">
        <v>1</v>
      </c>
      <c r="AC933" s="23">
        <v>2495</v>
      </c>
      <c r="AD933" s="23" t="s">
        <v>153</v>
      </c>
      <c r="AE933" s="23"/>
      <c r="AF933" s="23">
        <v>801</v>
      </c>
      <c r="AG933" s="23" t="s">
        <v>116</v>
      </c>
      <c r="AH933" s="23" t="s">
        <v>2046</v>
      </c>
      <c r="AI933" s="23"/>
      <c r="AJ933" s="23"/>
      <c r="AK933" s="23">
        <v>0</v>
      </c>
      <c r="AL933" s="23"/>
      <c r="AM933" s="23"/>
      <c r="AN933" s="23"/>
      <c r="AO933" s="23"/>
      <c r="AP933" s="23">
        <v>4</v>
      </c>
      <c r="AQ933" s="23"/>
      <c r="AR933" s="23"/>
      <c r="AS933" s="23"/>
      <c r="AT933" s="23"/>
      <c r="AU933" s="23"/>
      <c r="AY933" s="23">
        <v>2495</v>
      </c>
      <c r="AZ933" s="23" t="s">
        <v>153</v>
      </c>
    </row>
    <row r="934" s="11" customFormat="1" spans="1:52">
      <c r="A934" s="23">
        <v>408402</v>
      </c>
      <c r="B934" s="23" t="s">
        <v>2047</v>
      </c>
      <c r="C934" s="23" t="s">
        <v>2048</v>
      </c>
      <c r="D934" s="23">
        <v>1</v>
      </c>
      <c r="E934" s="23">
        <v>1</v>
      </c>
      <c r="F934" s="23">
        <v>1.04</v>
      </c>
      <c r="G934" s="23">
        <v>1.75</v>
      </c>
      <c r="H934" s="23">
        <v>2.2</v>
      </c>
      <c r="I934" s="23">
        <v>0.35</v>
      </c>
      <c r="J934" s="23" t="s">
        <v>115</v>
      </c>
      <c r="K934" s="23"/>
      <c r="L934" s="23">
        <f t="shared" si="78"/>
        <v>0.166666666666667</v>
      </c>
      <c r="M934" s="23">
        <v>0.566666666666667</v>
      </c>
      <c r="N934" s="23"/>
      <c r="O934" s="23"/>
      <c r="P934" s="23">
        <v>0.133333333333333</v>
      </c>
      <c r="Q934" s="23">
        <v>0.566666666666667</v>
      </c>
      <c r="R934" s="23"/>
      <c r="S934" s="23"/>
      <c r="T934" s="23">
        <v>2.4</v>
      </c>
      <c r="U934" s="23">
        <v>0</v>
      </c>
      <c r="V934" s="23"/>
      <c r="W934" s="23"/>
      <c r="X934" s="23"/>
      <c r="Y934" s="23"/>
      <c r="Z934" s="23"/>
      <c r="AA934" s="23"/>
      <c r="AB934" s="23">
        <v>1</v>
      </c>
      <c r="AC934" s="23">
        <v>2495</v>
      </c>
      <c r="AD934" s="23" t="s">
        <v>153</v>
      </c>
      <c r="AE934" s="23"/>
      <c r="AF934" s="23">
        <v>801</v>
      </c>
      <c r="AG934" s="23" t="s">
        <v>116</v>
      </c>
      <c r="AH934" s="23" t="s">
        <v>2046</v>
      </c>
      <c r="AI934" s="23"/>
      <c r="AJ934" s="23"/>
      <c r="AK934" s="23">
        <v>0</v>
      </c>
      <c r="AL934" s="23"/>
      <c r="AM934" s="23"/>
      <c r="AN934" s="23"/>
      <c r="AO934" s="23"/>
      <c r="AP934" s="23">
        <v>4</v>
      </c>
      <c r="AQ934" s="23"/>
      <c r="AR934" s="23"/>
      <c r="AS934" s="23"/>
      <c r="AT934" s="23"/>
      <c r="AU934" s="23"/>
      <c r="AY934" s="23">
        <v>2495</v>
      </c>
      <c r="AZ934" s="23" t="s">
        <v>153</v>
      </c>
    </row>
    <row r="935" s="11" customFormat="1" spans="1:52">
      <c r="A935" s="23">
        <v>408601</v>
      </c>
      <c r="B935" s="23" t="s">
        <v>2049</v>
      </c>
      <c r="C935" s="82" t="s">
        <v>329</v>
      </c>
      <c r="D935" s="23">
        <v>1</v>
      </c>
      <c r="E935" s="23">
        <v>1</v>
      </c>
      <c r="F935" s="23">
        <v>1.02</v>
      </c>
      <c r="G935" s="23">
        <v>1.63</v>
      </c>
      <c r="H935" s="23">
        <v>2.1</v>
      </c>
      <c r="I935" s="23">
        <v>0.37</v>
      </c>
      <c r="J935" s="23" t="s">
        <v>115</v>
      </c>
      <c r="K935" s="23"/>
      <c r="L935" s="23">
        <f>2/30</f>
        <v>0.0666666666666667</v>
      </c>
      <c r="M935" s="23">
        <f>13/30</f>
        <v>0.433333333333333</v>
      </c>
      <c r="N935" s="23"/>
      <c r="O935" s="23"/>
      <c r="P935" s="23">
        <f>3/30</f>
        <v>0.1</v>
      </c>
      <c r="Q935" s="23">
        <f>13/30</f>
        <v>0.433333333333333</v>
      </c>
      <c r="R935" s="23"/>
      <c r="S935" s="23"/>
      <c r="T935" s="23">
        <v>2.4</v>
      </c>
      <c r="U935" s="23">
        <v>0</v>
      </c>
      <c r="V935" s="194"/>
      <c r="W935" s="194"/>
      <c r="X935" s="23"/>
      <c r="Y935" s="23"/>
      <c r="Z935" s="23"/>
      <c r="AA935" s="23">
        <v>1</v>
      </c>
      <c r="AB935" s="23">
        <v>0</v>
      </c>
      <c r="AC935" s="23"/>
      <c r="AD935" s="23"/>
      <c r="AE935" s="23"/>
      <c r="AF935" s="23">
        <v>801</v>
      </c>
      <c r="AG935" s="23" t="s">
        <v>116</v>
      </c>
      <c r="AH935" s="23" t="s">
        <v>121</v>
      </c>
      <c r="AI935" s="23"/>
      <c r="AJ935" s="23"/>
      <c r="AK935" s="23">
        <v>0</v>
      </c>
      <c r="AL935" s="23"/>
      <c r="AM935" s="23"/>
      <c r="AN935" s="23"/>
      <c r="AO935" s="23"/>
      <c r="AP935" s="198"/>
      <c r="AQ935" s="198"/>
      <c r="AR935" s="198"/>
      <c r="AS935" s="198"/>
      <c r="AT935" s="198"/>
      <c r="AU935" s="198"/>
      <c r="AV935" s="11" t="s">
        <v>286</v>
      </c>
      <c r="AW935" s="11" t="s">
        <v>286</v>
      </c>
      <c r="AY935" s="23"/>
      <c r="AZ935" s="23"/>
    </row>
    <row r="936" s="11" customFormat="1" spans="1:52">
      <c r="A936" s="23">
        <v>408701</v>
      </c>
      <c r="B936" s="23" t="s">
        <v>2050</v>
      </c>
      <c r="C936" s="82" t="s">
        <v>2051</v>
      </c>
      <c r="D936" s="23">
        <v>1</v>
      </c>
      <c r="E936" s="23">
        <v>1</v>
      </c>
      <c r="F936" s="23">
        <v>1</v>
      </c>
      <c r="G936" s="23">
        <v>3.5</v>
      </c>
      <c r="H936" s="23">
        <v>4.12</v>
      </c>
      <c r="I936" s="23">
        <v>1.2</v>
      </c>
      <c r="J936" s="23" t="s">
        <v>115</v>
      </c>
      <c r="K936" s="23"/>
      <c r="L936" s="23">
        <f t="shared" si="78"/>
        <v>0.166666666666667</v>
      </c>
      <c r="M936" s="23">
        <f>19/30</f>
        <v>0.633333333333333</v>
      </c>
      <c r="N936" s="23"/>
      <c r="O936" s="23"/>
      <c r="P936" s="23">
        <f>5/30</f>
        <v>0.166666666666667</v>
      </c>
      <c r="Q936" s="23">
        <f>17/30</f>
        <v>0.566666666666667</v>
      </c>
      <c r="R936" s="23"/>
      <c r="S936" s="23"/>
      <c r="T936" s="23">
        <v>2.4</v>
      </c>
      <c r="U936" s="23">
        <v>0</v>
      </c>
      <c r="V936" s="194"/>
      <c r="W936" s="194"/>
      <c r="X936" s="23"/>
      <c r="Y936" s="23"/>
      <c r="Z936" s="23"/>
      <c r="AA936" s="23"/>
      <c r="AB936" s="11" t="s">
        <v>193</v>
      </c>
      <c r="AC936" s="11" t="s">
        <v>332</v>
      </c>
      <c r="AD936" s="11" t="s">
        <v>333</v>
      </c>
      <c r="AE936" s="23"/>
      <c r="AF936" s="23">
        <v>801</v>
      </c>
      <c r="AG936" s="23" t="s">
        <v>116</v>
      </c>
      <c r="AH936" s="23" t="s">
        <v>200</v>
      </c>
      <c r="AI936" s="23"/>
      <c r="AJ936" s="23"/>
      <c r="AK936" s="23">
        <v>0</v>
      </c>
      <c r="AL936" s="23"/>
      <c r="AM936" s="23"/>
      <c r="AN936" s="23"/>
      <c r="AO936" s="23"/>
      <c r="AP936" s="198"/>
      <c r="AQ936" s="198"/>
      <c r="AR936" s="198"/>
      <c r="AS936" s="198"/>
      <c r="AT936" s="198"/>
      <c r="AU936" s="198"/>
      <c r="AV936" s="11" t="s">
        <v>334</v>
      </c>
      <c r="AW936" s="11" t="s">
        <v>334</v>
      </c>
      <c r="AY936" s="11" t="s">
        <v>332</v>
      </c>
      <c r="AZ936" s="11" t="s">
        <v>333</v>
      </c>
    </row>
    <row r="937" s="11" customFormat="1" spans="1:52">
      <c r="A937" s="23">
        <v>407103</v>
      </c>
      <c r="B937" s="23" t="s">
        <v>2052</v>
      </c>
      <c r="C937" s="82" t="s">
        <v>2053</v>
      </c>
      <c r="D937" s="23">
        <v>1</v>
      </c>
      <c r="E937" s="23">
        <v>1</v>
      </c>
      <c r="F937" s="23">
        <v>1.1</v>
      </c>
      <c r="G937" s="23">
        <v>1.52</v>
      </c>
      <c r="H937" s="23">
        <v>2</v>
      </c>
      <c r="I937" s="23">
        <v>0.43</v>
      </c>
      <c r="J937" s="23" t="s">
        <v>115</v>
      </c>
      <c r="K937" s="23"/>
      <c r="L937" s="23">
        <v>0.0666666666666667</v>
      </c>
      <c r="M937" s="23">
        <v>0.566666666666667</v>
      </c>
      <c r="N937" s="23"/>
      <c r="O937" s="23"/>
      <c r="P937" s="23">
        <v>0.0666666666666667</v>
      </c>
      <c r="Q937" s="23">
        <v>0.566666666666667</v>
      </c>
      <c r="R937" s="23"/>
      <c r="S937" s="23"/>
      <c r="T937" s="23">
        <v>2.4</v>
      </c>
      <c r="U937" s="194">
        <v>0</v>
      </c>
      <c r="V937" s="194"/>
      <c r="W937" s="194"/>
      <c r="X937" s="23"/>
      <c r="Y937" s="23"/>
      <c r="Z937" s="23"/>
      <c r="AA937" s="23"/>
      <c r="AB937" s="23">
        <v>1</v>
      </c>
      <c r="AC937" s="23">
        <v>2039</v>
      </c>
      <c r="AD937" s="23" t="s">
        <v>153</v>
      </c>
      <c r="AE937" s="23"/>
      <c r="AF937" s="23">
        <v>801</v>
      </c>
      <c r="AG937" s="23" t="s">
        <v>116</v>
      </c>
      <c r="AH937" s="23" t="s">
        <v>200</v>
      </c>
      <c r="AI937" s="23">
        <v>3</v>
      </c>
      <c r="AJ937" s="23">
        <v>8</v>
      </c>
      <c r="AK937" s="23">
        <v>0</v>
      </c>
      <c r="AL937" s="23"/>
      <c r="AM937" s="23"/>
      <c r="AN937" s="23"/>
      <c r="AO937" s="23"/>
      <c r="AP937" s="198"/>
      <c r="AQ937" s="198"/>
      <c r="AR937" s="198"/>
      <c r="AS937" s="198"/>
      <c r="AT937" s="198"/>
      <c r="AU937" s="198"/>
      <c r="AV937" s="11" t="s">
        <v>118</v>
      </c>
      <c r="AW937" s="11" t="s">
        <v>118</v>
      </c>
      <c r="AY937" s="23">
        <v>2039</v>
      </c>
      <c r="AZ937" s="23" t="s">
        <v>153</v>
      </c>
    </row>
    <row r="938" s="11" customFormat="1" ht="16.5" spans="1:52">
      <c r="A938" s="23">
        <v>409301</v>
      </c>
      <c r="B938" s="23" t="s">
        <v>2054</v>
      </c>
      <c r="C938" s="82" t="s">
        <v>2055</v>
      </c>
      <c r="D938" s="56">
        <v>1</v>
      </c>
      <c r="E938" s="11">
        <v>1</v>
      </c>
      <c r="F938" s="11">
        <v>0.72</v>
      </c>
      <c r="G938" s="56">
        <v>4.9</v>
      </c>
      <c r="H938" s="56">
        <v>5.5</v>
      </c>
      <c r="I938" s="56">
        <v>0.68</v>
      </c>
      <c r="J938" s="56" t="s">
        <v>115</v>
      </c>
      <c r="K938" s="56"/>
      <c r="L938" s="56">
        <f>4/30</f>
        <v>0.133333333333333</v>
      </c>
      <c r="M938" s="56">
        <f>19/30</f>
        <v>0.633333333333333</v>
      </c>
      <c r="P938" s="56">
        <f>3/30</f>
        <v>0.1</v>
      </c>
      <c r="Q938" s="56">
        <f t="shared" ref="Q938:Q942" si="79">18/30</f>
        <v>0.6</v>
      </c>
      <c r="T938" s="11">
        <v>2.4</v>
      </c>
      <c r="U938" s="65">
        <v>0</v>
      </c>
      <c r="V938" s="65"/>
      <c r="AB938" s="11">
        <v>1</v>
      </c>
      <c r="AC938" s="62">
        <v>2676</v>
      </c>
      <c r="AD938" s="69" t="s">
        <v>153</v>
      </c>
      <c r="AE938" s="69"/>
      <c r="AF938" s="11">
        <v>801</v>
      </c>
      <c r="AG938" s="11" t="s">
        <v>116</v>
      </c>
      <c r="AH938" s="11" t="s">
        <v>2056</v>
      </c>
      <c r="AK938" s="71">
        <v>0</v>
      </c>
      <c r="AP938" s="11">
        <v>4</v>
      </c>
      <c r="AV938" s="11" t="s">
        <v>353</v>
      </c>
      <c r="AW938" s="11" t="s">
        <v>354</v>
      </c>
      <c r="AY938" s="62">
        <v>2676</v>
      </c>
      <c r="AZ938" s="69" t="s">
        <v>153</v>
      </c>
    </row>
    <row r="939" s="11" customFormat="1" spans="1:52">
      <c r="A939" s="23">
        <v>408202</v>
      </c>
      <c r="B939" s="23" t="s">
        <v>2057</v>
      </c>
      <c r="C939" s="82" t="s">
        <v>2058</v>
      </c>
      <c r="D939" s="11">
        <v>1</v>
      </c>
      <c r="E939" s="11">
        <v>1</v>
      </c>
      <c r="F939" s="11">
        <v>1</v>
      </c>
      <c r="G939" s="11">
        <v>2</v>
      </c>
      <c r="H939" s="11">
        <v>2.35</v>
      </c>
      <c r="I939" s="11">
        <v>0.35</v>
      </c>
      <c r="J939" s="11" t="s">
        <v>115</v>
      </c>
      <c r="L939" s="11">
        <f>4/30</f>
        <v>0.133333333333333</v>
      </c>
      <c r="M939" s="11">
        <f>18/30</f>
        <v>0.6</v>
      </c>
      <c r="P939" s="11">
        <f>4/30</f>
        <v>0.133333333333333</v>
      </c>
      <c r="Q939" s="11">
        <f t="shared" si="79"/>
        <v>0.6</v>
      </c>
      <c r="T939" s="71">
        <v>2.4</v>
      </c>
      <c r="U939" s="71">
        <v>0</v>
      </c>
      <c r="V939" s="71"/>
      <c r="W939" s="71"/>
      <c r="X939" s="11">
        <v>-2.142</v>
      </c>
      <c r="Y939" s="11">
        <v>1.098</v>
      </c>
      <c r="Z939" s="11">
        <v>-3.135</v>
      </c>
      <c r="AA939" s="11">
        <v>1</v>
      </c>
      <c r="AB939" s="11">
        <v>1</v>
      </c>
      <c r="AC939" s="11">
        <v>2206</v>
      </c>
      <c r="AD939" s="11" t="s">
        <v>153</v>
      </c>
      <c r="AF939" s="11">
        <v>801</v>
      </c>
      <c r="AG939" s="11" t="s">
        <v>116</v>
      </c>
      <c r="AH939" s="11" t="s">
        <v>200</v>
      </c>
      <c r="AK939" s="11">
        <v>0</v>
      </c>
      <c r="AY939" s="11">
        <v>2206</v>
      </c>
      <c r="AZ939" s="11" t="s">
        <v>153</v>
      </c>
    </row>
    <row r="940" s="11" customFormat="1" spans="1:52">
      <c r="A940" s="23">
        <v>404705</v>
      </c>
      <c r="B940" s="23" t="s">
        <v>2059</v>
      </c>
      <c r="C940" s="82" t="s">
        <v>2060</v>
      </c>
      <c r="D940" s="56">
        <v>1</v>
      </c>
      <c r="E940" s="11">
        <v>1</v>
      </c>
      <c r="F940" s="23">
        <v>1</v>
      </c>
      <c r="G940" s="23">
        <v>1.71</v>
      </c>
      <c r="H940" s="23">
        <v>2.15</v>
      </c>
      <c r="I940" s="23">
        <v>0.4</v>
      </c>
      <c r="J940" s="23" t="s">
        <v>115</v>
      </c>
      <c r="K940" s="23">
        <v>1</v>
      </c>
      <c r="L940" s="23">
        <f>2/30</f>
        <v>0.0666666666666667</v>
      </c>
      <c r="M940" s="23">
        <f>14/30</f>
        <v>0.466666666666667</v>
      </c>
      <c r="N940" s="23">
        <v>1989</v>
      </c>
      <c r="O940" s="23">
        <v>1990</v>
      </c>
      <c r="P940" s="23">
        <f>2/30</f>
        <v>0.0666666666666667</v>
      </c>
      <c r="Q940" s="23">
        <f>15/30</f>
        <v>0.5</v>
      </c>
      <c r="R940" s="23">
        <v>1989</v>
      </c>
      <c r="S940" s="23">
        <v>1990</v>
      </c>
      <c r="T940" s="23">
        <v>2.4</v>
      </c>
      <c r="U940" s="23">
        <v>0</v>
      </c>
      <c r="V940" s="23"/>
      <c r="W940" s="23"/>
      <c r="X940" s="23">
        <v>-2.147</v>
      </c>
      <c r="Y940" s="23">
        <v>1.04</v>
      </c>
      <c r="Z940" s="23">
        <v>-3.011</v>
      </c>
      <c r="AA940" s="23">
        <v>1</v>
      </c>
      <c r="AB940" s="23">
        <v>1</v>
      </c>
      <c r="AC940" s="23">
        <v>1964</v>
      </c>
      <c r="AD940" s="23" t="s">
        <v>275</v>
      </c>
      <c r="AE940" s="23"/>
      <c r="AF940" s="23">
        <v>801</v>
      </c>
      <c r="AG940" s="23" t="s">
        <v>116</v>
      </c>
      <c r="AH940" s="23" t="s">
        <v>200</v>
      </c>
      <c r="AI940" s="23"/>
      <c r="AJ940" s="23"/>
      <c r="AK940" s="23">
        <v>0</v>
      </c>
      <c r="AL940" s="23"/>
      <c r="AM940" s="23"/>
      <c r="AN940" s="23"/>
      <c r="AY940" s="23">
        <v>1964</v>
      </c>
      <c r="AZ940" s="23" t="s">
        <v>275</v>
      </c>
    </row>
    <row r="941" s="11" customFormat="1" spans="1:52">
      <c r="A941" s="23">
        <v>407303</v>
      </c>
      <c r="B941" s="23" t="s">
        <v>2061</v>
      </c>
      <c r="C941" s="82" t="s">
        <v>2062</v>
      </c>
      <c r="D941" s="23">
        <v>1</v>
      </c>
      <c r="E941" s="23">
        <v>1</v>
      </c>
      <c r="F941" s="23">
        <v>1</v>
      </c>
      <c r="G941" s="23">
        <v>1.68</v>
      </c>
      <c r="H941" s="23">
        <v>2.13</v>
      </c>
      <c r="I941" s="23">
        <v>0.33</v>
      </c>
      <c r="J941" s="23" t="s">
        <v>115</v>
      </c>
      <c r="K941" s="23"/>
      <c r="L941" s="23">
        <v>0.166666666666667</v>
      </c>
      <c r="M941" s="23">
        <v>0.666666666666667</v>
      </c>
      <c r="N941" s="23"/>
      <c r="O941" s="23"/>
      <c r="P941" s="23">
        <v>0.166666666666667</v>
      </c>
      <c r="Q941" s="23">
        <v>0.666666666666667</v>
      </c>
      <c r="R941" s="23"/>
      <c r="S941" s="23"/>
      <c r="T941" s="23">
        <v>2.4</v>
      </c>
      <c r="U941" s="23">
        <v>0</v>
      </c>
      <c r="V941" s="23"/>
      <c r="W941" s="23"/>
      <c r="X941" s="23"/>
      <c r="Y941" s="23"/>
      <c r="Z941" s="23"/>
      <c r="AA941" s="23"/>
      <c r="AB941" s="23">
        <v>1</v>
      </c>
      <c r="AC941" s="23">
        <v>2127</v>
      </c>
      <c r="AD941" s="23" t="s">
        <v>275</v>
      </c>
      <c r="AE941" s="23"/>
      <c r="AF941" s="23">
        <v>801</v>
      </c>
      <c r="AG941" s="23" t="s">
        <v>116</v>
      </c>
      <c r="AH941" s="23" t="s">
        <v>200</v>
      </c>
      <c r="AI941" s="23"/>
      <c r="AJ941" s="23"/>
      <c r="AK941" s="23">
        <v>0</v>
      </c>
      <c r="AL941" s="23"/>
      <c r="AM941" s="23"/>
      <c r="AN941" s="23"/>
      <c r="AY941" s="23">
        <v>2127</v>
      </c>
      <c r="AZ941" s="23" t="s">
        <v>275</v>
      </c>
    </row>
    <row r="942" s="11" customFormat="1" spans="1:52">
      <c r="A942" s="23">
        <v>407005</v>
      </c>
      <c r="B942" s="23" t="s">
        <v>2063</v>
      </c>
      <c r="C942" s="82" t="s">
        <v>2064</v>
      </c>
      <c r="D942" s="23">
        <v>1</v>
      </c>
      <c r="E942" s="23">
        <v>1</v>
      </c>
      <c r="F942" s="23">
        <v>1</v>
      </c>
      <c r="G942" s="23">
        <v>1.63</v>
      </c>
      <c r="H942" s="23">
        <v>2</v>
      </c>
      <c r="I942" s="23">
        <v>0.4</v>
      </c>
      <c r="J942" s="23" t="s">
        <v>115</v>
      </c>
      <c r="K942" s="23"/>
      <c r="L942" s="23">
        <f>2/30</f>
        <v>0.0666666666666667</v>
      </c>
      <c r="M942" s="23">
        <f>19/30</f>
        <v>0.633333333333333</v>
      </c>
      <c r="N942" s="23"/>
      <c r="O942" s="23"/>
      <c r="P942" s="23">
        <f>2/30</f>
        <v>0.0666666666666667</v>
      </c>
      <c r="Q942" s="23">
        <f t="shared" si="79"/>
        <v>0.6</v>
      </c>
      <c r="R942" s="23"/>
      <c r="S942" s="23"/>
      <c r="T942" s="23">
        <v>2.4</v>
      </c>
      <c r="U942" s="23">
        <v>0</v>
      </c>
      <c r="V942" s="23"/>
      <c r="W942" s="23"/>
      <c r="X942" s="23">
        <v>-1.898</v>
      </c>
      <c r="Y942" s="23">
        <v>0.864</v>
      </c>
      <c r="Z942" s="23">
        <v>-3.463</v>
      </c>
      <c r="AA942" s="23">
        <v>1</v>
      </c>
      <c r="AB942" s="23">
        <v>1</v>
      </c>
      <c r="AC942" s="23">
        <v>1708</v>
      </c>
      <c r="AD942" s="23" t="s">
        <v>275</v>
      </c>
      <c r="AE942" s="23"/>
      <c r="AF942" s="23">
        <v>801</v>
      </c>
      <c r="AG942" s="23" t="s">
        <v>116</v>
      </c>
      <c r="AH942" s="23" t="s">
        <v>200</v>
      </c>
      <c r="AI942" s="23"/>
      <c r="AJ942" s="23"/>
      <c r="AK942" s="23">
        <v>0</v>
      </c>
      <c r="AL942" s="23"/>
      <c r="AM942" s="23"/>
      <c r="AN942" s="23"/>
      <c r="AR942" s="198"/>
      <c r="AS942" s="198"/>
      <c r="AT942" s="198"/>
      <c r="AU942" s="198"/>
      <c r="AV942" s="11" t="s">
        <v>122</v>
      </c>
      <c r="AW942" s="11" t="s">
        <v>122</v>
      </c>
      <c r="AY942" s="23">
        <v>1708</v>
      </c>
      <c r="AZ942" s="23" t="s">
        <v>275</v>
      </c>
    </row>
    <row r="943" s="11" customFormat="1" spans="1:52">
      <c r="A943" s="23">
        <v>400511</v>
      </c>
      <c r="B943" s="23" t="s">
        <v>2065</v>
      </c>
      <c r="C943" s="82" t="s">
        <v>2066</v>
      </c>
      <c r="D943" s="23">
        <v>1</v>
      </c>
      <c r="E943" s="23">
        <v>1</v>
      </c>
      <c r="F943" s="23">
        <v>1</v>
      </c>
      <c r="G943" s="23">
        <v>1.63</v>
      </c>
      <c r="H943" s="23">
        <v>2.1</v>
      </c>
      <c r="I943" s="23">
        <v>0.37</v>
      </c>
      <c r="J943" s="23" t="s">
        <v>115</v>
      </c>
      <c r="K943" s="23"/>
      <c r="L943" s="23">
        <v>0.1</v>
      </c>
      <c r="M943" s="23">
        <v>0.566666666666667</v>
      </c>
      <c r="N943" s="23"/>
      <c r="O943" s="23"/>
      <c r="P943" s="23">
        <v>0.166666666666667</v>
      </c>
      <c r="Q943" s="23">
        <v>0.533333333333333</v>
      </c>
      <c r="R943" s="23"/>
      <c r="S943" s="23"/>
      <c r="T943" s="23">
        <v>2.4</v>
      </c>
      <c r="U943" s="23">
        <v>0</v>
      </c>
      <c r="V943" s="23"/>
      <c r="W943" s="23"/>
      <c r="X943" s="23">
        <v>-2.077</v>
      </c>
      <c r="Y943" s="23">
        <v>0.897</v>
      </c>
      <c r="Z943" s="23">
        <v>-3.08</v>
      </c>
      <c r="AA943" s="23">
        <v>1</v>
      </c>
      <c r="AB943" s="23">
        <v>1</v>
      </c>
      <c r="AC943" s="23">
        <v>1818</v>
      </c>
      <c r="AD943" s="23" t="s">
        <v>275</v>
      </c>
      <c r="AE943" s="23"/>
      <c r="AF943" s="23">
        <v>801</v>
      </c>
      <c r="AG943" s="23" t="s">
        <v>116</v>
      </c>
      <c r="AH943" s="23" t="s">
        <v>200</v>
      </c>
      <c r="AI943" s="23"/>
      <c r="AJ943" s="23"/>
      <c r="AK943" s="23">
        <v>0</v>
      </c>
      <c r="AL943" s="23"/>
      <c r="AM943" s="23"/>
      <c r="AN943" s="23"/>
      <c r="AV943" s="11" t="s">
        <v>286</v>
      </c>
      <c r="AW943" s="11" t="s">
        <v>286</v>
      </c>
      <c r="AY943" s="23">
        <v>1818</v>
      </c>
      <c r="AZ943" s="23" t="s">
        <v>275</v>
      </c>
    </row>
    <row r="944" s="11" customFormat="1" spans="1:52">
      <c r="A944" s="23">
        <v>408901</v>
      </c>
      <c r="B944" s="23" t="s">
        <v>2067</v>
      </c>
      <c r="C944" s="82" t="s">
        <v>2068</v>
      </c>
      <c r="D944" s="23">
        <v>1</v>
      </c>
      <c r="E944" s="23">
        <v>1</v>
      </c>
      <c r="F944" s="11">
        <v>0.82</v>
      </c>
      <c r="G944" s="23">
        <v>2.65</v>
      </c>
      <c r="H944" s="23">
        <v>3.25</v>
      </c>
      <c r="I944" s="23">
        <v>0.45</v>
      </c>
      <c r="J944" s="23" t="s">
        <v>115</v>
      </c>
      <c r="K944" s="23"/>
      <c r="L944" s="23">
        <v>0.166666666666667</v>
      </c>
      <c r="M944" s="23">
        <v>0.633333333333333</v>
      </c>
      <c r="N944" s="23"/>
      <c r="O944" s="23"/>
      <c r="P944" s="23">
        <v>0.166666666666667</v>
      </c>
      <c r="Q944" s="23">
        <v>0.6</v>
      </c>
      <c r="R944" s="23"/>
      <c r="S944" s="23"/>
      <c r="T944" s="23">
        <v>2.4</v>
      </c>
      <c r="U944" s="23">
        <v>0</v>
      </c>
      <c r="V944" s="23"/>
      <c r="W944" s="23"/>
      <c r="X944" s="23"/>
      <c r="Y944" s="23"/>
      <c r="Z944" s="23"/>
      <c r="AA944" s="23"/>
      <c r="AB944" s="23">
        <v>1</v>
      </c>
      <c r="AC944" s="23">
        <v>2776</v>
      </c>
      <c r="AD944" s="11" t="s">
        <v>153</v>
      </c>
      <c r="AE944" s="23"/>
      <c r="AF944" s="23">
        <v>801</v>
      </c>
      <c r="AG944" s="23" t="s">
        <v>116</v>
      </c>
      <c r="AH944" s="11" t="s">
        <v>200</v>
      </c>
      <c r="AI944" s="23"/>
      <c r="AJ944" s="23"/>
      <c r="AK944" s="23">
        <v>0</v>
      </c>
      <c r="AL944" s="23"/>
      <c r="AM944" s="23"/>
      <c r="AN944" s="23"/>
      <c r="AV944" s="11" t="s">
        <v>343</v>
      </c>
      <c r="AW944" s="11" t="s">
        <v>344</v>
      </c>
      <c r="AY944" s="23">
        <v>4297</v>
      </c>
      <c r="AZ944" s="11" t="s">
        <v>153</v>
      </c>
    </row>
    <row r="945" s="11" customFormat="1" ht="16.5" spans="1:52">
      <c r="A945" s="23">
        <v>409401</v>
      </c>
      <c r="B945" s="23" t="s">
        <v>2069</v>
      </c>
      <c r="C945" s="11" t="s">
        <v>2070</v>
      </c>
      <c r="D945" s="56">
        <v>1</v>
      </c>
      <c r="E945" s="11">
        <v>1</v>
      </c>
      <c r="F945" s="11">
        <v>1</v>
      </c>
      <c r="G945" s="11">
        <v>2.16</v>
      </c>
      <c r="H945" s="56">
        <v>2.58</v>
      </c>
      <c r="I945" s="56">
        <v>0.55</v>
      </c>
      <c r="J945" s="11" t="s">
        <v>115</v>
      </c>
      <c r="K945" s="56"/>
      <c r="L945" s="56">
        <f>3/30</f>
        <v>0.1</v>
      </c>
      <c r="M945" s="56">
        <f>16/30</f>
        <v>0.533333333333333</v>
      </c>
      <c r="P945" s="56">
        <f>3/30</f>
        <v>0.1</v>
      </c>
      <c r="Q945" s="56">
        <f>16/30</f>
        <v>0.533333333333333</v>
      </c>
      <c r="T945" s="11">
        <v>2.4</v>
      </c>
      <c r="U945" s="65">
        <v>0</v>
      </c>
      <c r="V945" s="65"/>
      <c r="AB945" s="11" t="s">
        <v>270</v>
      </c>
      <c r="AC945" s="62" t="s">
        <v>357</v>
      </c>
      <c r="AD945" s="23" t="s">
        <v>358</v>
      </c>
      <c r="AE945" s="69"/>
      <c r="AF945" s="11">
        <v>801</v>
      </c>
      <c r="AG945" s="11" t="s">
        <v>116</v>
      </c>
      <c r="AH945" s="11" t="s">
        <v>324</v>
      </c>
      <c r="AK945" s="71">
        <v>0</v>
      </c>
      <c r="AV945" s="11" t="s">
        <v>122</v>
      </c>
      <c r="AW945" s="11" t="s">
        <v>122</v>
      </c>
      <c r="AY945" s="62">
        <v>4826</v>
      </c>
      <c r="AZ945" s="23" t="s">
        <v>153</v>
      </c>
    </row>
    <row r="946" spans="1:52">
      <c r="A946" s="37">
        <v>407212</v>
      </c>
      <c r="B946" s="37" t="s">
        <v>2071</v>
      </c>
      <c r="C946" s="11" t="s">
        <v>2072</v>
      </c>
      <c r="D946" s="37">
        <v>1</v>
      </c>
      <c r="E946" s="37">
        <v>1</v>
      </c>
      <c r="F946" s="37">
        <v>1</v>
      </c>
      <c r="G946" s="37">
        <v>1.63</v>
      </c>
      <c r="H946" s="37">
        <v>2.1</v>
      </c>
      <c r="I946" s="37">
        <v>0.37</v>
      </c>
      <c r="J946" s="37" t="s">
        <v>115</v>
      </c>
      <c r="K946" s="37"/>
      <c r="L946" s="37">
        <v>0.1</v>
      </c>
      <c r="M946" s="37">
        <v>0.566666666666667</v>
      </c>
      <c r="N946" s="37"/>
      <c r="O946" s="37"/>
      <c r="P946" s="37">
        <v>0.166666666666667</v>
      </c>
      <c r="Q946" s="37">
        <v>0.533333333333333</v>
      </c>
      <c r="R946" s="37"/>
      <c r="S946" s="37"/>
      <c r="T946" s="37">
        <v>2.4</v>
      </c>
      <c r="U946" s="37">
        <v>0</v>
      </c>
      <c r="V946" s="37"/>
      <c r="W946" s="37"/>
      <c r="X946" s="37">
        <v>-2.077</v>
      </c>
      <c r="Y946" s="37">
        <v>0.897</v>
      </c>
      <c r="Z946" s="37">
        <v>-3.08</v>
      </c>
      <c r="AA946" s="37">
        <v>1</v>
      </c>
      <c r="AB946" s="37">
        <v>1</v>
      </c>
      <c r="AC946" s="208">
        <v>1818</v>
      </c>
      <c r="AD946" s="37" t="s">
        <v>275</v>
      </c>
      <c r="AE946" s="37"/>
      <c r="AF946" s="37">
        <v>801</v>
      </c>
      <c r="AG946" s="37" t="s">
        <v>116</v>
      </c>
      <c r="AH946" s="37" t="s">
        <v>200</v>
      </c>
      <c r="AI946" s="37"/>
      <c r="AJ946" s="37"/>
      <c r="AK946" s="37">
        <v>0</v>
      </c>
      <c r="AV946" t="s">
        <v>286</v>
      </c>
      <c r="AW946" t="s">
        <v>286</v>
      </c>
      <c r="AY946" s="208">
        <v>1818</v>
      </c>
      <c r="AZ946" s="37" t="s">
        <v>275</v>
      </c>
    </row>
    <row r="947" spans="1:52">
      <c r="A947" s="37">
        <v>407506</v>
      </c>
      <c r="B947" s="37" t="s">
        <v>2073</v>
      </c>
      <c r="C947" s="11" t="s">
        <v>2074</v>
      </c>
      <c r="D947" s="39">
        <v>1</v>
      </c>
      <c r="E947">
        <v>1</v>
      </c>
      <c r="F947" s="37">
        <v>1</v>
      </c>
      <c r="G947" s="37">
        <v>1.71</v>
      </c>
      <c r="H947" s="37">
        <v>2.15</v>
      </c>
      <c r="I947" s="37">
        <v>0.4</v>
      </c>
      <c r="J947" s="37" t="s">
        <v>115</v>
      </c>
      <c r="K947" s="37">
        <v>1</v>
      </c>
      <c r="L947" s="37">
        <f t="shared" ref="L947:L949" si="80">2/30</f>
        <v>0.0666666666666667</v>
      </c>
      <c r="M947" s="37">
        <f>14/30</f>
        <v>0.466666666666667</v>
      </c>
      <c r="N947" s="37">
        <v>1989</v>
      </c>
      <c r="O947" s="37">
        <v>1990</v>
      </c>
      <c r="P947" s="37">
        <f>2/30</f>
        <v>0.0666666666666667</v>
      </c>
      <c r="Q947" s="37">
        <f>15/30</f>
        <v>0.5</v>
      </c>
      <c r="R947" s="37">
        <v>1989</v>
      </c>
      <c r="S947" s="37">
        <v>1990</v>
      </c>
      <c r="T947" s="37">
        <v>2.4</v>
      </c>
      <c r="U947" s="37">
        <v>0</v>
      </c>
      <c r="V947" s="37"/>
      <c r="W947" s="37"/>
      <c r="X947" s="37">
        <v>-2.147</v>
      </c>
      <c r="Y947" s="37">
        <v>1.04</v>
      </c>
      <c r="Z947" s="37">
        <v>-3.011</v>
      </c>
      <c r="AA947" s="37">
        <v>1</v>
      </c>
      <c r="AB947" s="37">
        <v>1</v>
      </c>
      <c r="AC947" s="208">
        <v>1964</v>
      </c>
      <c r="AD947" s="37" t="s">
        <v>275</v>
      </c>
      <c r="AE947" s="37"/>
      <c r="AF947" s="37">
        <v>801</v>
      </c>
      <c r="AG947" s="37" t="s">
        <v>116</v>
      </c>
      <c r="AH947" s="37" t="s">
        <v>200</v>
      </c>
      <c r="AI947" s="37"/>
      <c r="AJ947" s="37"/>
      <c r="AK947" s="37">
        <v>0</v>
      </c>
      <c r="AL947" s="37"/>
      <c r="AM947" s="37"/>
      <c r="AN947" s="37"/>
      <c r="AY947" s="208">
        <v>1964</v>
      </c>
      <c r="AZ947" s="37" t="s">
        <v>275</v>
      </c>
    </row>
    <row r="948" spans="1:52">
      <c r="A948" s="37">
        <v>407401</v>
      </c>
      <c r="B948" s="37" t="s">
        <v>2075</v>
      </c>
      <c r="C948" s="11" t="s">
        <v>2076</v>
      </c>
      <c r="D948">
        <v>1</v>
      </c>
      <c r="E948">
        <v>1</v>
      </c>
      <c r="F948">
        <v>1</v>
      </c>
      <c r="G948">
        <v>0.85</v>
      </c>
      <c r="H948">
        <v>1.2</v>
      </c>
      <c r="I948">
        <v>0.35</v>
      </c>
      <c r="J948" t="s">
        <v>115</v>
      </c>
      <c r="L948">
        <f t="shared" si="80"/>
        <v>0.0666666666666667</v>
      </c>
      <c r="M948">
        <f>17/30</f>
        <v>0.566666666666667</v>
      </c>
      <c r="P948">
        <f>2/30</f>
        <v>0.0666666666666667</v>
      </c>
      <c r="Q948">
        <f>17/30</f>
        <v>0.566666666666667</v>
      </c>
      <c r="T948" s="9">
        <v>2.4</v>
      </c>
      <c r="U948" s="9">
        <v>0</v>
      </c>
      <c r="V948" s="9"/>
      <c r="W948" s="9"/>
      <c r="X948">
        <v>-2.238</v>
      </c>
      <c r="Y948">
        <v>-0.076</v>
      </c>
      <c r="Z948">
        <v>-2.994</v>
      </c>
      <c r="AA948">
        <v>1</v>
      </c>
      <c r="AB948">
        <v>1</v>
      </c>
      <c r="AC948">
        <v>2161</v>
      </c>
      <c r="AD948" t="s">
        <v>275</v>
      </c>
      <c r="AF948">
        <v>801</v>
      </c>
      <c r="AG948" t="s">
        <v>116</v>
      </c>
      <c r="AH948" t="s">
        <v>200</v>
      </c>
      <c r="AK948">
        <v>0</v>
      </c>
      <c r="AY948">
        <v>2161</v>
      </c>
      <c r="AZ948" t="s">
        <v>275</v>
      </c>
    </row>
    <row r="949" ht="16.5" spans="1:52">
      <c r="A949" s="37">
        <v>409601</v>
      </c>
      <c r="B949" s="37" t="s">
        <v>2077</v>
      </c>
      <c r="C949" s="11" t="s">
        <v>2078</v>
      </c>
      <c r="D949" s="39">
        <v>1</v>
      </c>
      <c r="E949">
        <v>1</v>
      </c>
      <c r="F949">
        <v>1</v>
      </c>
      <c r="G949" s="39">
        <v>1.72</v>
      </c>
      <c r="H949" s="39">
        <v>2.17</v>
      </c>
      <c r="I949" s="39">
        <v>0.37</v>
      </c>
      <c r="J949" s="39" t="s">
        <v>115</v>
      </c>
      <c r="K949" s="39"/>
      <c r="L949" s="39">
        <f t="shared" si="80"/>
        <v>0.0666666666666667</v>
      </c>
      <c r="M949" s="39">
        <f>13/30</f>
        <v>0.433333333333333</v>
      </c>
      <c r="P949" s="39">
        <f>3/30</f>
        <v>0.1</v>
      </c>
      <c r="Q949" s="39">
        <f>16/30</f>
        <v>0.533333333333333</v>
      </c>
      <c r="T949">
        <v>2.4</v>
      </c>
      <c r="U949" s="6">
        <v>0</v>
      </c>
      <c r="V949" s="6"/>
      <c r="AB949">
        <v>1</v>
      </c>
      <c r="AC949" s="62">
        <v>2915</v>
      </c>
      <c r="AD949" t="s">
        <v>153</v>
      </c>
      <c r="AE949" s="52"/>
      <c r="AF949">
        <v>801</v>
      </c>
      <c r="AG949" t="s">
        <v>116</v>
      </c>
      <c r="AH949" t="s">
        <v>200</v>
      </c>
      <c r="AK949" s="9">
        <v>0</v>
      </c>
      <c r="AY949" s="62">
        <v>2915</v>
      </c>
      <c r="AZ949" t="s">
        <v>153</v>
      </c>
    </row>
    <row r="950" s="28" customFormat="1" ht="16.5" spans="1:52">
      <c r="A950" s="28">
        <v>409701</v>
      </c>
      <c r="B950" s="28" t="s">
        <v>2079</v>
      </c>
      <c r="C950" s="14" t="s">
        <v>2080</v>
      </c>
      <c r="D950" s="199">
        <v>1</v>
      </c>
      <c r="E950" s="28">
        <v>1</v>
      </c>
      <c r="F950" s="28">
        <v>1</v>
      </c>
      <c r="G950" s="199">
        <v>1.86</v>
      </c>
      <c r="H950" s="199">
        <v>2.25</v>
      </c>
      <c r="I950" s="28">
        <v>0.4</v>
      </c>
      <c r="J950" s="199" t="s">
        <v>115</v>
      </c>
      <c r="K950" s="199"/>
      <c r="L950" s="199">
        <f>5/30</f>
        <v>0.166666666666667</v>
      </c>
      <c r="M950" s="199">
        <f>17/30</f>
        <v>0.566666666666667</v>
      </c>
      <c r="P950" s="199">
        <f>6/30</f>
        <v>0.2</v>
      </c>
      <c r="Q950" s="199">
        <f>17/30</f>
        <v>0.566666666666667</v>
      </c>
      <c r="T950" s="28">
        <v>2.4</v>
      </c>
      <c r="U950" s="205">
        <v>0</v>
      </c>
      <c r="V950" s="205"/>
      <c r="X950" s="28">
        <v>-2.3</v>
      </c>
      <c r="Y950" s="28">
        <v>1.08</v>
      </c>
      <c r="Z950" s="28">
        <v>-2.81</v>
      </c>
      <c r="AA950" s="28">
        <v>0.85</v>
      </c>
      <c r="AB950" s="28">
        <v>1</v>
      </c>
      <c r="AC950" s="209">
        <v>2949</v>
      </c>
      <c r="AD950" s="28" t="s">
        <v>153</v>
      </c>
      <c r="AE950" s="210"/>
      <c r="AF950" s="28">
        <v>801</v>
      </c>
      <c r="AG950" s="28" t="s">
        <v>116</v>
      </c>
      <c r="AH950" s="28" t="s">
        <v>121</v>
      </c>
      <c r="AK950" s="213">
        <v>0</v>
      </c>
      <c r="AV950" s="28" t="s">
        <v>122</v>
      </c>
      <c r="AW950" s="28" t="s">
        <v>122</v>
      </c>
      <c r="AY950" s="209">
        <v>2949</v>
      </c>
      <c r="AZ950" s="28" t="s">
        <v>153</v>
      </c>
    </row>
    <row r="951" ht="16.5" spans="1:52">
      <c r="A951" s="37">
        <v>409801</v>
      </c>
      <c r="B951" s="37" t="s">
        <v>2081</v>
      </c>
      <c r="C951" s="11" t="s">
        <v>2082</v>
      </c>
      <c r="D951" s="39">
        <v>1</v>
      </c>
      <c r="E951">
        <v>1</v>
      </c>
      <c r="F951">
        <v>1</v>
      </c>
      <c r="G951" s="39">
        <v>1.81</v>
      </c>
      <c r="H951" s="39">
        <v>2.2</v>
      </c>
      <c r="I951">
        <v>0.3</v>
      </c>
      <c r="J951" s="39" t="s">
        <v>115</v>
      </c>
      <c r="K951" s="39"/>
      <c r="L951">
        <f>4/30</f>
        <v>0.133333333333333</v>
      </c>
      <c r="M951" s="39">
        <f>14/30</f>
        <v>0.466666666666667</v>
      </c>
      <c r="P951" s="39">
        <f>3/30</f>
        <v>0.1</v>
      </c>
      <c r="Q951" s="39">
        <f>14/30</f>
        <v>0.466666666666667</v>
      </c>
      <c r="T951">
        <v>2.4</v>
      </c>
      <c r="U951" s="6">
        <v>0</v>
      </c>
      <c r="V951" s="6"/>
      <c r="X951">
        <v>-2.3</v>
      </c>
      <c r="Y951">
        <v>0.8</v>
      </c>
      <c r="Z951">
        <v>-2.81</v>
      </c>
      <c r="AA951">
        <v>0.85</v>
      </c>
      <c r="AB951">
        <v>1</v>
      </c>
      <c r="AC951" s="62">
        <v>2988</v>
      </c>
      <c r="AD951" t="s">
        <v>153</v>
      </c>
      <c r="AE951" s="52"/>
      <c r="AF951">
        <v>801</v>
      </c>
      <c r="AG951" t="s">
        <v>116</v>
      </c>
      <c r="AH951" t="s">
        <v>200</v>
      </c>
      <c r="AK951" s="9">
        <v>0</v>
      </c>
      <c r="AV951" t="s">
        <v>286</v>
      </c>
      <c r="AW951" t="s">
        <v>286</v>
      </c>
      <c r="AY951" s="62">
        <v>2988</v>
      </c>
      <c r="AZ951" t="s">
        <v>153</v>
      </c>
    </row>
    <row r="952" ht="16.5" spans="1:52">
      <c r="A952" s="37">
        <v>409901</v>
      </c>
      <c r="B952" s="37" t="s">
        <v>2083</v>
      </c>
      <c r="C952" s="11" t="s">
        <v>2084</v>
      </c>
      <c r="D952" s="39">
        <v>1</v>
      </c>
      <c r="E952">
        <v>1</v>
      </c>
      <c r="F952">
        <v>1</v>
      </c>
      <c r="G952" s="39">
        <v>2.5</v>
      </c>
      <c r="H952" s="39">
        <v>2.26</v>
      </c>
      <c r="I952">
        <v>0.4</v>
      </c>
      <c r="J952" s="39" t="s">
        <v>115</v>
      </c>
      <c r="K952" s="39"/>
      <c r="L952">
        <f>7/30</f>
        <v>0.233333333333333</v>
      </c>
      <c r="M952" s="39">
        <f>17/30</f>
        <v>0.566666666666667</v>
      </c>
      <c r="P952" s="39">
        <f>6/30</f>
        <v>0.2</v>
      </c>
      <c r="Q952" s="39">
        <f>14/30</f>
        <v>0.466666666666667</v>
      </c>
      <c r="T952">
        <v>2.4</v>
      </c>
      <c r="U952" s="6">
        <v>0</v>
      </c>
      <c r="V952" s="6"/>
      <c r="AB952" t="s">
        <v>2085</v>
      </c>
      <c r="AC952" s="62" t="s">
        <v>2086</v>
      </c>
      <c r="AD952" t="s">
        <v>2087</v>
      </c>
      <c r="AE952" s="52"/>
      <c r="AF952">
        <v>801</v>
      </c>
      <c r="AG952" t="s">
        <v>116</v>
      </c>
      <c r="AH952" t="s">
        <v>200</v>
      </c>
      <c r="AK952" s="9">
        <v>0</v>
      </c>
      <c r="AY952" s="62" t="s">
        <v>2086</v>
      </c>
      <c r="AZ952" t="s">
        <v>2087</v>
      </c>
    </row>
    <row r="953" ht="30" spans="1:52">
      <c r="A953" s="200">
        <v>4010001</v>
      </c>
      <c r="B953" s="37" t="s">
        <v>2088</v>
      </c>
      <c r="C953" s="11" t="s">
        <v>2089</v>
      </c>
      <c r="D953" s="39">
        <v>1</v>
      </c>
      <c r="E953">
        <v>1</v>
      </c>
      <c r="F953">
        <v>1</v>
      </c>
      <c r="G953" s="39">
        <v>1.81</v>
      </c>
      <c r="H953" s="39">
        <v>2.2</v>
      </c>
      <c r="I953">
        <v>0.45</v>
      </c>
      <c r="J953" s="39" t="s">
        <v>115</v>
      </c>
      <c r="K953" s="39">
        <v>1</v>
      </c>
      <c r="L953">
        <f>3/30</f>
        <v>0.1</v>
      </c>
      <c r="M953" s="39">
        <f>20/30</f>
        <v>0.666666666666667</v>
      </c>
      <c r="N953" s="62">
        <v>3083</v>
      </c>
      <c r="O953">
        <v>3083</v>
      </c>
      <c r="P953" s="39">
        <f>3/30</f>
        <v>0.1</v>
      </c>
      <c r="Q953" s="39">
        <f>16/30</f>
        <v>0.533333333333333</v>
      </c>
      <c r="R953" s="62">
        <v>3082</v>
      </c>
      <c r="S953">
        <v>3082</v>
      </c>
      <c r="T953">
        <v>2.4</v>
      </c>
      <c r="U953" s="6">
        <v>0</v>
      </c>
      <c r="V953" s="6"/>
      <c r="X953">
        <v>-2.381</v>
      </c>
      <c r="Y953">
        <v>1.085</v>
      </c>
      <c r="Z953">
        <v>-2.609</v>
      </c>
      <c r="AA953">
        <v>1</v>
      </c>
      <c r="AB953" t="s">
        <v>193</v>
      </c>
      <c r="AC953" s="62" t="s">
        <v>377</v>
      </c>
      <c r="AD953" s="53" t="s">
        <v>378</v>
      </c>
      <c r="AE953" s="52"/>
      <c r="AF953">
        <v>801</v>
      </c>
      <c r="AG953" t="s">
        <v>116</v>
      </c>
      <c r="AH953" t="s">
        <v>324</v>
      </c>
      <c r="AK953" s="9">
        <v>0</v>
      </c>
      <c r="AQ953">
        <v>8</v>
      </c>
      <c r="AR953">
        <v>1734</v>
      </c>
      <c r="AS953">
        <v>0</v>
      </c>
      <c r="AT953">
        <v>1733</v>
      </c>
      <c r="AU953">
        <v>0</v>
      </c>
      <c r="AV953" t="s">
        <v>379</v>
      </c>
      <c r="AW953" t="s">
        <v>379</v>
      </c>
      <c r="AY953" s="62" t="s">
        <v>377</v>
      </c>
      <c r="AZ953" s="53" t="s">
        <v>378</v>
      </c>
    </row>
    <row r="954" ht="16.5" spans="1:52">
      <c r="A954" s="200">
        <v>4010201</v>
      </c>
      <c r="B954" s="37" t="s">
        <v>2090</v>
      </c>
      <c r="C954" s="11" t="s">
        <v>2091</v>
      </c>
      <c r="D954" s="39">
        <v>1</v>
      </c>
      <c r="E954">
        <v>1</v>
      </c>
      <c r="F954">
        <v>1.05</v>
      </c>
      <c r="G954" s="39">
        <v>1.8</v>
      </c>
      <c r="H954" s="39">
        <v>2.25</v>
      </c>
      <c r="I954" s="39">
        <v>0.35</v>
      </c>
      <c r="J954" s="39" t="s">
        <v>115</v>
      </c>
      <c r="K954" s="39"/>
      <c r="L954">
        <v>0.166666666666667</v>
      </c>
      <c r="M954" s="39">
        <v>0.566666666666667</v>
      </c>
      <c r="P954" s="39">
        <v>0.133333333333333</v>
      </c>
      <c r="Q954" s="39">
        <v>0.533333333333333</v>
      </c>
      <c r="T954">
        <v>2.4</v>
      </c>
      <c r="U954" s="6">
        <v>0</v>
      </c>
      <c r="V954" s="6"/>
      <c r="AB954">
        <v>1</v>
      </c>
      <c r="AC954" s="62">
        <v>3103</v>
      </c>
      <c r="AD954" t="s">
        <v>153</v>
      </c>
      <c r="AE954" s="52"/>
      <c r="AF954">
        <v>801</v>
      </c>
      <c r="AG954" t="s">
        <v>116</v>
      </c>
      <c r="AH954" t="s">
        <v>200</v>
      </c>
      <c r="AK954" s="9">
        <v>0</v>
      </c>
      <c r="AP954" s="214">
        <v>4</v>
      </c>
      <c r="AY954" s="62">
        <v>3103</v>
      </c>
      <c r="AZ954" t="s">
        <v>153</v>
      </c>
    </row>
    <row r="955" ht="16.5" spans="1:52">
      <c r="A955" s="200">
        <v>4010101</v>
      </c>
      <c r="B955" s="37" t="s">
        <v>2092</v>
      </c>
      <c r="C955" s="11" t="s">
        <v>2093</v>
      </c>
      <c r="D955" s="39">
        <v>1</v>
      </c>
      <c r="E955">
        <v>1</v>
      </c>
      <c r="F955">
        <v>1</v>
      </c>
      <c r="G955" s="39">
        <v>1.05</v>
      </c>
      <c r="H955" s="39">
        <v>1.5</v>
      </c>
      <c r="I955" s="39">
        <v>0.3</v>
      </c>
      <c r="J955" s="39" t="s">
        <v>115</v>
      </c>
      <c r="K955" s="39"/>
      <c r="L955">
        <f>4/30</f>
        <v>0.133333333333333</v>
      </c>
      <c r="M955" s="39">
        <f>20/30</f>
        <v>0.666666666666667</v>
      </c>
      <c r="P955" s="39">
        <f>5/30</f>
        <v>0.166666666666667</v>
      </c>
      <c r="Q955" s="39">
        <f>18/30</f>
        <v>0.6</v>
      </c>
      <c r="T955">
        <v>2.4</v>
      </c>
      <c r="U955" s="6">
        <v>0</v>
      </c>
      <c r="V955" s="6"/>
      <c r="AB955">
        <v>1</v>
      </c>
      <c r="AC955" s="62">
        <v>3122</v>
      </c>
      <c r="AD955" t="s">
        <v>153</v>
      </c>
      <c r="AE955" s="52"/>
      <c r="AF955">
        <v>801</v>
      </c>
      <c r="AG955" t="s">
        <v>116</v>
      </c>
      <c r="AH955" t="s">
        <v>200</v>
      </c>
      <c r="AK955" s="9">
        <v>0</v>
      </c>
      <c r="AP955" s="214"/>
      <c r="AV955" t="s">
        <v>382</v>
      </c>
      <c r="AW955" t="s">
        <v>382</v>
      </c>
      <c r="AY955" s="62">
        <v>3122</v>
      </c>
      <c r="AZ955" t="s">
        <v>153</v>
      </c>
    </row>
    <row r="956" s="29" customFormat="1" ht="16.5" spans="1:52">
      <c r="A956" s="201">
        <v>4010301</v>
      </c>
      <c r="B956" s="202" t="s">
        <v>2094</v>
      </c>
      <c r="C956" s="20" t="s">
        <v>2095</v>
      </c>
      <c r="D956" s="203">
        <v>1</v>
      </c>
      <c r="E956" s="29">
        <v>1</v>
      </c>
      <c r="F956" s="29">
        <v>1</v>
      </c>
      <c r="G956" s="203">
        <v>2.3</v>
      </c>
      <c r="H956" s="203">
        <v>2.85</v>
      </c>
      <c r="I956" s="203">
        <v>0.35</v>
      </c>
      <c r="J956" s="203" t="s">
        <v>115</v>
      </c>
      <c r="K956" s="203"/>
      <c r="L956" s="29">
        <v>0.133333333333333</v>
      </c>
      <c r="M956" s="203">
        <v>0.5</v>
      </c>
      <c r="P956" s="203">
        <v>0.0666666666666667</v>
      </c>
      <c r="Q956" s="203">
        <v>0.466666666666667</v>
      </c>
      <c r="T956" s="29">
        <v>2.4</v>
      </c>
      <c r="U956" s="206">
        <v>0</v>
      </c>
      <c r="V956" s="206"/>
      <c r="AB956" s="29" t="s">
        <v>2096</v>
      </c>
      <c r="AC956" s="211" t="s">
        <v>2097</v>
      </c>
      <c r="AD956" s="29" t="s">
        <v>2098</v>
      </c>
      <c r="AE956" s="212"/>
      <c r="AF956" s="29">
        <v>801</v>
      </c>
      <c r="AG956" s="29" t="s">
        <v>116</v>
      </c>
      <c r="AH956" s="29" t="s">
        <v>324</v>
      </c>
      <c r="AK956" s="207">
        <v>0</v>
      </c>
      <c r="AV956" s="29" t="s">
        <v>390</v>
      </c>
      <c r="AW956" s="29" t="s">
        <v>390</v>
      </c>
      <c r="AY956" s="62">
        <v>4886</v>
      </c>
      <c r="AZ956" s="11" t="s">
        <v>153</v>
      </c>
    </row>
    <row r="957" s="29" customFormat="1" ht="16.5" spans="1:52">
      <c r="A957" s="201">
        <v>4010501</v>
      </c>
      <c r="B957" s="202" t="s">
        <v>2099</v>
      </c>
      <c r="C957" s="20" t="s">
        <v>2100</v>
      </c>
      <c r="D957" s="203">
        <v>1</v>
      </c>
      <c r="E957" s="29">
        <v>1</v>
      </c>
      <c r="F957" s="29">
        <v>1</v>
      </c>
      <c r="G957" s="203">
        <v>1.75</v>
      </c>
      <c r="H957" s="203">
        <v>1.95</v>
      </c>
      <c r="I957" s="203">
        <v>0.3</v>
      </c>
      <c r="J957" s="203" t="s">
        <v>115</v>
      </c>
      <c r="K957" s="203"/>
      <c r="L957" s="29">
        <v>0.1</v>
      </c>
      <c r="M957" s="203">
        <v>0.533333333333333</v>
      </c>
      <c r="P957" s="203">
        <v>0.0666666666666667</v>
      </c>
      <c r="Q957" s="203">
        <v>0.5</v>
      </c>
      <c r="T957" s="29">
        <v>2.4</v>
      </c>
      <c r="U957" s="206">
        <v>0</v>
      </c>
      <c r="V957" s="206"/>
      <c r="AB957" s="29" t="s">
        <v>395</v>
      </c>
      <c r="AC957" s="211" t="s">
        <v>396</v>
      </c>
      <c r="AD957" s="29" t="s">
        <v>397</v>
      </c>
      <c r="AE957" s="212"/>
      <c r="AF957" s="29">
        <v>801</v>
      </c>
      <c r="AG957" s="29" t="s">
        <v>116</v>
      </c>
      <c r="AH957" s="29" t="s">
        <v>121</v>
      </c>
      <c r="AI957" s="29">
        <v>5</v>
      </c>
      <c r="AJ957" s="29">
        <v>8</v>
      </c>
      <c r="AK957" s="207">
        <v>0</v>
      </c>
      <c r="AV957" s="29" t="s">
        <v>286</v>
      </c>
      <c r="AW957" s="29" t="s">
        <v>286</v>
      </c>
      <c r="AY957" s="211" t="s">
        <v>396</v>
      </c>
      <c r="AZ957" s="29" t="s">
        <v>397</v>
      </c>
    </row>
    <row r="958" s="29" customFormat="1" ht="16.5" spans="1:52">
      <c r="A958" s="20">
        <v>4010601</v>
      </c>
      <c r="B958" s="202" t="s">
        <v>2101</v>
      </c>
      <c r="C958" s="20" t="s">
        <v>2102</v>
      </c>
      <c r="D958" s="203">
        <v>1</v>
      </c>
      <c r="E958" s="29">
        <v>1</v>
      </c>
      <c r="F958" s="29">
        <v>0.9</v>
      </c>
      <c r="G958" s="203">
        <v>2.45</v>
      </c>
      <c r="H958" s="203">
        <v>3</v>
      </c>
      <c r="I958" s="203">
        <v>0.35</v>
      </c>
      <c r="J958" s="203" t="s">
        <v>115</v>
      </c>
      <c r="K958" s="203"/>
      <c r="L958" s="29">
        <v>0.1</v>
      </c>
      <c r="M958" s="203">
        <v>0.533333333333333</v>
      </c>
      <c r="P958" s="203">
        <v>0.133333333333333</v>
      </c>
      <c r="Q958" s="203">
        <v>0.5</v>
      </c>
      <c r="T958" s="29">
        <v>2.4</v>
      </c>
      <c r="U958" s="206">
        <v>0</v>
      </c>
      <c r="V958" s="206"/>
      <c r="AB958" s="29">
        <v>1</v>
      </c>
      <c r="AC958" s="211">
        <v>3297</v>
      </c>
      <c r="AD958" s="29" t="s">
        <v>153</v>
      </c>
      <c r="AE958" s="212"/>
      <c r="AF958" s="29">
        <v>801</v>
      </c>
      <c r="AG958" s="29" t="s">
        <v>116</v>
      </c>
      <c r="AH958" s="29" t="s">
        <v>200</v>
      </c>
      <c r="AK958" s="207">
        <v>0</v>
      </c>
      <c r="AV958" s="29" t="s">
        <v>286</v>
      </c>
      <c r="AW958" s="29" t="s">
        <v>286</v>
      </c>
      <c r="AY958" s="211">
        <v>5043</v>
      </c>
      <c r="AZ958" s="29" t="s">
        <v>153</v>
      </c>
    </row>
    <row r="959" s="29" customFormat="1" ht="16.5" spans="1:52">
      <c r="A959" s="29">
        <v>4010701</v>
      </c>
      <c r="B959" s="29" t="s">
        <v>2103</v>
      </c>
      <c r="C959" s="204" t="s">
        <v>2104</v>
      </c>
      <c r="D959" s="29">
        <v>1</v>
      </c>
      <c r="E959" s="29">
        <v>1</v>
      </c>
      <c r="F959" s="29">
        <v>1.02</v>
      </c>
      <c r="G959" s="29">
        <v>1.63</v>
      </c>
      <c r="H959" s="29">
        <v>2.1</v>
      </c>
      <c r="I959" s="29">
        <v>0.37</v>
      </c>
      <c r="J959" s="29" t="s">
        <v>115</v>
      </c>
      <c r="L959" s="29">
        <v>0.0666666666666667</v>
      </c>
      <c r="M959" s="29">
        <v>0.433333333333333</v>
      </c>
      <c r="P959" s="29">
        <v>0.1</v>
      </c>
      <c r="Q959" s="29">
        <v>0.433333333333333</v>
      </c>
      <c r="T959" s="29">
        <v>2.4</v>
      </c>
      <c r="U959" s="29">
        <v>0</v>
      </c>
      <c r="V959" s="206"/>
      <c r="W959" s="206"/>
      <c r="AB959" s="29" t="s">
        <v>193</v>
      </c>
      <c r="AC959" s="211" t="s">
        <v>401</v>
      </c>
      <c r="AD959" s="29" t="s">
        <v>402</v>
      </c>
      <c r="AF959" s="29">
        <v>801</v>
      </c>
      <c r="AG959" s="29" t="s">
        <v>116</v>
      </c>
      <c r="AH959" s="29" t="s">
        <v>200</v>
      </c>
      <c r="AK959" s="29">
        <v>0</v>
      </c>
      <c r="AV959" s="29" t="s">
        <v>286</v>
      </c>
      <c r="AW959" s="29" t="s">
        <v>286</v>
      </c>
      <c r="AY959" s="211" t="s">
        <v>401</v>
      </c>
      <c r="AZ959" s="29" t="s">
        <v>402</v>
      </c>
    </row>
    <row r="960" s="29" customFormat="1" spans="1:52">
      <c r="A960" s="29">
        <v>4010801</v>
      </c>
      <c r="B960" s="204" t="s">
        <v>2105</v>
      </c>
      <c r="C960" s="20" t="s">
        <v>404</v>
      </c>
      <c r="D960" s="29">
        <v>1</v>
      </c>
      <c r="E960" s="29">
        <v>1</v>
      </c>
      <c r="F960" s="29">
        <v>1</v>
      </c>
      <c r="G960" s="29">
        <v>2.5</v>
      </c>
      <c r="H960" s="29">
        <v>2.95</v>
      </c>
      <c r="I960" s="29">
        <v>0.45</v>
      </c>
      <c r="J960" s="29" t="s">
        <v>115</v>
      </c>
      <c r="L960" s="29">
        <v>0.133333333333333</v>
      </c>
      <c r="M960" s="203">
        <v>0.433333333333333</v>
      </c>
      <c r="P960" s="203">
        <v>0.0666666666666667</v>
      </c>
      <c r="Q960" s="203">
        <v>0.433333333333333</v>
      </c>
      <c r="T960" s="207">
        <v>2.4</v>
      </c>
      <c r="U960" s="207">
        <v>0</v>
      </c>
      <c r="V960" s="207"/>
      <c r="W960" s="207"/>
      <c r="AB960" s="29">
        <v>1</v>
      </c>
      <c r="AC960" s="29">
        <v>3321</v>
      </c>
      <c r="AD960" s="29" t="s">
        <v>153</v>
      </c>
      <c r="AF960" s="29">
        <v>801</v>
      </c>
      <c r="AG960" s="29" t="s">
        <v>116</v>
      </c>
      <c r="AH960" s="29" t="s">
        <v>200</v>
      </c>
      <c r="AK960" s="29">
        <v>0</v>
      </c>
      <c r="AV960" s="29" t="s">
        <v>405</v>
      </c>
      <c r="AW960" s="29" t="s">
        <v>405</v>
      </c>
      <c r="AY960" s="29">
        <v>3321</v>
      </c>
      <c r="AZ960" s="29" t="s">
        <v>153</v>
      </c>
    </row>
    <row r="961" s="29" customFormat="1" spans="1:52">
      <c r="A961" s="29">
        <v>4010901</v>
      </c>
      <c r="B961" s="215" t="s">
        <v>2106</v>
      </c>
      <c r="C961" s="29" t="s">
        <v>407</v>
      </c>
      <c r="D961" s="29">
        <v>1</v>
      </c>
      <c r="E961" s="29">
        <v>1</v>
      </c>
      <c r="F961" s="29">
        <v>1</v>
      </c>
      <c r="G961" s="29">
        <v>1.8</v>
      </c>
      <c r="H961" s="203">
        <v>2.2</v>
      </c>
      <c r="I961" s="203">
        <v>0.3</v>
      </c>
      <c r="J961" s="29" t="s">
        <v>115</v>
      </c>
      <c r="L961" s="29">
        <v>0.0333333333333333</v>
      </c>
      <c r="M961" s="29">
        <v>0.766666666666667</v>
      </c>
      <c r="P961" s="29">
        <v>0.0333333333333333</v>
      </c>
      <c r="Q961" s="29">
        <v>0.766666666666667</v>
      </c>
      <c r="T961" s="29">
        <v>2.4</v>
      </c>
      <c r="U961" s="206">
        <v>0</v>
      </c>
      <c r="V961" s="206"/>
      <c r="AB961" s="29">
        <v>1</v>
      </c>
      <c r="AC961" s="29">
        <v>3348</v>
      </c>
      <c r="AD961" s="29" t="s">
        <v>153</v>
      </c>
      <c r="AF961" s="29">
        <v>801</v>
      </c>
      <c r="AG961" s="29" t="s">
        <v>116</v>
      </c>
      <c r="AH961" s="29" t="s">
        <v>200</v>
      </c>
      <c r="AK961" s="29">
        <v>0</v>
      </c>
      <c r="AY961" s="29">
        <v>3348</v>
      </c>
      <c r="AZ961" s="29" t="s">
        <v>153</v>
      </c>
    </row>
    <row r="962" s="29" customFormat="1" spans="1:52">
      <c r="A962" s="29">
        <v>4011401</v>
      </c>
      <c r="B962" s="215" t="s">
        <v>2107</v>
      </c>
      <c r="C962" s="29" t="s">
        <v>2108</v>
      </c>
      <c r="D962" s="29">
        <v>1</v>
      </c>
      <c r="E962" s="29">
        <v>1</v>
      </c>
      <c r="F962" s="29">
        <v>1</v>
      </c>
      <c r="G962" s="29">
        <v>2.2</v>
      </c>
      <c r="H962" s="203">
        <v>1.82</v>
      </c>
      <c r="I962" s="203">
        <v>0.3</v>
      </c>
      <c r="J962" s="29" t="s">
        <v>115</v>
      </c>
      <c r="L962" s="29">
        <f>4/30</f>
        <v>0.133333333333333</v>
      </c>
      <c r="M962" s="29">
        <f t="shared" ref="M962:M964" si="81">17/30</f>
        <v>0.566666666666667</v>
      </c>
      <c r="P962" s="29">
        <f>2/30</f>
        <v>0.0666666666666667</v>
      </c>
      <c r="Q962" s="29">
        <f t="shared" ref="Q962:Q965" si="82">15/30</f>
        <v>0.5</v>
      </c>
      <c r="T962" s="29">
        <v>2.4</v>
      </c>
      <c r="U962" s="206">
        <v>0</v>
      </c>
      <c r="V962" s="206"/>
      <c r="AB962" s="29">
        <v>1</v>
      </c>
      <c r="AC962" s="29">
        <v>3569</v>
      </c>
      <c r="AD962" s="29" t="s">
        <v>153</v>
      </c>
      <c r="AF962" s="29">
        <v>801</v>
      </c>
      <c r="AG962" s="29" t="s">
        <v>116</v>
      </c>
      <c r="AH962" s="29" t="s">
        <v>324</v>
      </c>
      <c r="AK962" s="29">
        <v>0</v>
      </c>
      <c r="AV962" s="29" t="s">
        <v>286</v>
      </c>
      <c r="AW962" s="29" t="s">
        <v>286</v>
      </c>
      <c r="AY962" s="28">
        <v>4398</v>
      </c>
      <c r="AZ962" s="29" t="s">
        <v>153</v>
      </c>
    </row>
    <row r="963" s="29" customFormat="1" spans="1:52">
      <c r="A963" s="29">
        <v>4011402</v>
      </c>
      <c r="B963" s="215" t="s">
        <v>2109</v>
      </c>
      <c r="C963" s="29" t="s">
        <v>2110</v>
      </c>
      <c r="D963" s="29">
        <v>1</v>
      </c>
      <c r="E963" s="29">
        <v>1</v>
      </c>
      <c r="F963" s="29">
        <v>1</v>
      </c>
      <c r="G963" s="29">
        <v>1.7</v>
      </c>
      <c r="H963" s="29">
        <v>1.84</v>
      </c>
      <c r="I963" s="29">
        <v>0.35</v>
      </c>
      <c r="J963" s="29" t="s">
        <v>115</v>
      </c>
      <c r="L963" s="228">
        <f>2/30</f>
        <v>0.0666666666666667</v>
      </c>
      <c r="M963" s="228">
        <f t="shared" si="81"/>
        <v>0.566666666666667</v>
      </c>
      <c r="N963" s="228"/>
      <c r="O963" s="228"/>
      <c r="P963" s="228">
        <f>3/30</f>
        <v>0.1</v>
      </c>
      <c r="Q963" s="228">
        <f>16/30</f>
        <v>0.533333333333333</v>
      </c>
      <c r="R963" s="228"/>
      <c r="S963" s="228"/>
      <c r="T963" s="207">
        <v>2.4</v>
      </c>
      <c r="U963" s="207">
        <v>0</v>
      </c>
      <c r="V963" s="206"/>
      <c r="AB963" s="29">
        <v>1</v>
      </c>
      <c r="AC963" s="29">
        <v>3569</v>
      </c>
      <c r="AD963" s="29" t="s">
        <v>153</v>
      </c>
      <c r="AF963" s="29">
        <v>801</v>
      </c>
      <c r="AG963" s="29" t="s">
        <v>116</v>
      </c>
      <c r="AH963" s="29" t="s">
        <v>324</v>
      </c>
      <c r="AK963" s="29">
        <v>0</v>
      </c>
      <c r="AP963" s="29">
        <v>4</v>
      </c>
      <c r="AY963" s="28">
        <v>4398</v>
      </c>
      <c r="AZ963" s="29" t="s">
        <v>153</v>
      </c>
    </row>
    <row r="964" s="29" customFormat="1" spans="1:52">
      <c r="A964" s="29">
        <v>4011403</v>
      </c>
      <c r="B964" s="215" t="s">
        <v>2111</v>
      </c>
      <c r="C964" s="29" t="s">
        <v>2112</v>
      </c>
      <c r="D964" s="29">
        <v>1</v>
      </c>
      <c r="E964" s="29">
        <v>1</v>
      </c>
      <c r="F964" s="29">
        <v>1</v>
      </c>
      <c r="G964" s="29">
        <v>2.2</v>
      </c>
      <c r="H964" s="203">
        <v>1.82</v>
      </c>
      <c r="I964" s="203">
        <v>0.3</v>
      </c>
      <c r="J964" s="29" t="s">
        <v>115</v>
      </c>
      <c r="L964" s="29">
        <f>4/30</f>
        <v>0.133333333333333</v>
      </c>
      <c r="M964" s="29">
        <f t="shared" si="81"/>
        <v>0.566666666666667</v>
      </c>
      <c r="P964" s="29">
        <f>2/30</f>
        <v>0.0666666666666667</v>
      </c>
      <c r="Q964" s="29">
        <f t="shared" si="82"/>
        <v>0.5</v>
      </c>
      <c r="T964" s="29">
        <v>2.4</v>
      </c>
      <c r="U964" s="206">
        <v>0</v>
      </c>
      <c r="V964" s="206"/>
      <c r="AB964" s="29">
        <v>1</v>
      </c>
      <c r="AC964" s="29">
        <v>3569</v>
      </c>
      <c r="AD964" s="29" t="s">
        <v>153</v>
      </c>
      <c r="AF964" s="29">
        <v>801</v>
      </c>
      <c r="AG964" s="29" t="s">
        <v>116</v>
      </c>
      <c r="AH964" s="29" t="s">
        <v>324</v>
      </c>
      <c r="AK964" s="29">
        <v>0</v>
      </c>
      <c r="AP964" s="29">
        <v>4</v>
      </c>
      <c r="AY964" s="28">
        <v>4398</v>
      </c>
      <c r="AZ964" s="29" t="s">
        <v>153</v>
      </c>
    </row>
    <row r="965" s="29" customFormat="1" spans="1:52">
      <c r="A965" s="29">
        <v>4011501</v>
      </c>
      <c r="B965" s="204" t="s">
        <v>2113</v>
      </c>
      <c r="C965" s="29" t="s">
        <v>2114</v>
      </c>
      <c r="D965" s="29">
        <v>1</v>
      </c>
      <c r="E965" s="29">
        <v>1</v>
      </c>
      <c r="F965" s="29">
        <v>1</v>
      </c>
      <c r="G965" s="29">
        <v>1.9</v>
      </c>
      <c r="H965" s="29">
        <v>2.5</v>
      </c>
      <c r="I965" s="29">
        <v>0.4</v>
      </c>
      <c r="J965" s="29" t="s">
        <v>115</v>
      </c>
      <c r="L965" s="228">
        <f>2/30</f>
        <v>0.0666666666666667</v>
      </c>
      <c r="M965" s="228">
        <f>14/30</f>
        <v>0.466666666666667</v>
      </c>
      <c r="N965" s="228"/>
      <c r="O965" s="228"/>
      <c r="P965" s="228">
        <f>3/30</f>
        <v>0.1</v>
      </c>
      <c r="Q965" s="228">
        <f t="shared" si="82"/>
        <v>0.5</v>
      </c>
      <c r="R965" s="228"/>
      <c r="S965" s="228"/>
      <c r="T965" s="207">
        <v>2.4</v>
      </c>
      <c r="U965" s="207">
        <v>0</v>
      </c>
      <c r="V965" s="207"/>
      <c r="W965" s="207"/>
      <c r="X965" s="207">
        <v>-2.28</v>
      </c>
      <c r="Y965" s="29">
        <v>0.46</v>
      </c>
      <c r="Z965" s="29">
        <v>-2.64</v>
      </c>
      <c r="AA965" s="29">
        <v>0.8</v>
      </c>
      <c r="AB965" s="28">
        <v>1</v>
      </c>
      <c r="AC965" s="28">
        <v>3650</v>
      </c>
      <c r="AD965" s="8" t="s">
        <v>153</v>
      </c>
      <c r="AF965" s="29">
        <v>801</v>
      </c>
      <c r="AG965" s="29" t="s">
        <v>116</v>
      </c>
      <c r="AH965" s="29" t="s">
        <v>200</v>
      </c>
      <c r="AK965" s="29">
        <v>0</v>
      </c>
      <c r="AP965" s="29">
        <v>4</v>
      </c>
      <c r="AV965" s="29" t="s">
        <v>122</v>
      </c>
      <c r="AW965" s="29" t="s">
        <v>122</v>
      </c>
      <c r="AY965" s="28">
        <v>3650</v>
      </c>
      <c r="AZ965" s="8" t="s">
        <v>153</v>
      </c>
    </row>
    <row r="966" s="29" customFormat="1" spans="1:52">
      <c r="A966" s="29">
        <v>4011601</v>
      </c>
      <c r="B966" s="204" t="s">
        <v>2115</v>
      </c>
      <c r="C966" s="29" t="s">
        <v>2116</v>
      </c>
      <c r="D966" s="29">
        <v>1</v>
      </c>
      <c r="E966" s="29">
        <v>1</v>
      </c>
      <c r="F966" s="29">
        <v>1</v>
      </c>
      <c r="G966" s="29">
        <v>2.2</v>
      </c>
      <c r="H966" s="29">
        <v>2.5</v>
      </c>
      <c r="I966" s="29">
        <v>0.45</v>
      </c>
      <c r="J966" s="29" t="s">
        <v>115</v>
      </c>
      <c r="L966" s="228">
        <f>6/30</f>
        <v>0.2</v>
      </c>
      <c r="M966" s="228">
        <f>17/30</f>
        <v>0.566666666666667</v>
      </c>
      <c r="N966" s="228"/>
      <c r="O966" s="228"/>
      <c r="P966" s="228">
        <f t="shared" ref="P966:P968" si="83">4/30</f>
        <v>0.133333333333333</v>
      </c>
      <c r="Q966" s="228">
        <f>16/30</f>
        <v>0.533333333333333</v>
      </c>
      <c r="R966" s="228"/>
      <c r="S966" s="228"/>
      <c r="T966" s="207">
        <v>2.4</v>
      </c>
      <c r="U966" s="207">
        <v>0</v>
      </c>
      <c r="V966" s="207"/>
      <c r="W966" s="207"/>
      <c r="X966" s="207"/>
      <c r="AB966" s="28">
        <v>1</v>
      </c>
      <c r="AC966" s="28">
        <v>3699</v>
      </c>
      <c r="AD966" s="8" t="s">
        <v>153</v>
      </c>
      <c r="AF966" s="29">
        <v>801</v>
      </c>
      <c r="AG966" s="29" t="s">
        <v>116</v>
      </c>
      <c r="AH966" s="29" t="s">
        <v>200</v>
      </c>
      <c r="AK966" s="29">
        <v>0</v>
      </c>
      <c r="AP966" s="29">
        <v>4</v>
      </c>
      <c r="AV966" s="29" t="s">
        <v>122</v>
      </c>
      <c r="AW966" s="29" t="s">
        <v>122</v>
      </c>
      <c r="AY966" s="28">
        <v>3699</v>
      </c>
      <c r="AZ966" s="8" t="s">
        <v>153</v>
      </c>
    </row>
    <row r="967" s="2" customFormat="1" ht="16.5" spans="1:52">
      <c r="A967" s="2">
        <v>409702</v>
      </c>
      <c r="B967" s="2" t="s">
        <v>2117</v>
      </c>
      <c r="C967" s="17" t="s">
        <v>2118</v>
      </c>
      <c r="D967" s="216">
        <v>1</v>
      </c>
      <c r="E967" s="2">
        <v>1</v>
      </c>
      <c r="F967" s="2">
        <v>1</v>
      </c>
      <c r="G967" s="216">
        <v>1.86</v>
      </c>
      <c r="H967" s="216">
        <v>2.25</v>
      </c>
      <c r="I967" s="2">
        <v>0.4</v>
      </c>
      <c r="J967" s="216" t="s">
        <v>115</v>
      </c>
      <c r="K967" s="216"/>
      <c r="L967" s="216">
        <f t="shared" ref="L967:L971" si="84">3/30</f>
        <v>0.1</v>
      </c>
      <c r="M967" s="216">
        <f>13/30</f>
        <v>0.433333333333333</v>
      </c>
      <c r="P967" s="216">
        <f t="shared" si="83"/>
        <v>0.133333333333333</v>
      </c>
      <c r="Q967" s="216">
        <f>14/30</f>
        <v>0.466666666666667</v>
      </c>
      <c r="T967" s="2">
        <v>2.4</v>
      </c>
      <c r="U967" s="236">
        <v>0</v>
      </c>
      <c r="V967" s="236"/>
      <c r="X967" s="2">
        <v>-2.3</v>
      </c>
      <c r="Y967" s="2">
        <v>1.08</v>
      </c>
      <c r="Z967" s="2">
        <v>-2.81</v>
      </c>
      <c r="AA967" s="2">
        <v>0.85</v>
      </c>
      <c r="AB967" s="2">
        <v>1</v>
      </c>
      <c r="AC967" s="245">
        <v>2949</v>
      </c>
      <c r="AD967" s="2" t="s">
        <v>153</v>
      </c>
      <c r="AE967" s="246"/>
      <c r="AF967" s="2">
        <v>801</v>
      </c>
      <c r="AG967" s="2" t="s">
        <v>116</v>
      </c>
      <c r="AH967" s="2" t="s">
        <v>121</v>
      </c>
      <c r="AK967" s="7">
        <v>0</v>
      </c>
      <c r="AP967" s="2">
        <v>4</v>
      </c>
      <c r="AV967" s="2" t="s">
        <v>122</v>
      </c>
      <c r="AW967" s="2" t="s">
        <v>122</v>
      </c>
      <c r="AY967" s="245">
        <v>2949</v>
      </c>
      <c r="AZ967" s="2" t="s">
        <v>153</v>
      </c>
    </row>
    <row r="968" s="2" customFormat="1" ht="16.5" spans="1:52">
      <c r="A968" s="2">
        <v>4011901</v>
      </c>
      <c r="B968" s="2" t="s">
        <v>2119</v>
      </c>
      <c r="C968" s="17" t="s">
        <v>2120</v>
      </c>
      <c r="D968" s="216">
        <v>1</v>
      </c>
      <c r="E968" s="2">
        <v>1</v>
      </c>
      <c r="F968" s="2">
        <v>0.96</v>
      </c>
      <c r="G968" s="216">
        <v>4.1</v>
      </c>
      <c r="H968" s="216">
        <v>5</v>
      </c>
      <c r="I968" s="2">
        <v>0.7</v>
      </c>
      <c r="J968" s="216" t="s">
        <v>115</v>
      </c>
      <c r="K968" s="216"/>
      <c r="L968" s="4">
        <f>4/30</f>
        <v>0.133333333333333</v>
      </c>
      <c r="M968" s="4">
        <f>15/30</f>
        <v>0.5</v>
      </c>
      <c r="P968" s="4">
        <f t="shared" si="83"/>
        <v>0.133333333333333</v>
      </c>
      <c r="Q968" s="4">
        <f>13/30</f>
        <v>0.433333333333333</v>
      </c>
      <c r="T968" s="2">
        <v>2.4</v>
      </c>
      <c r="U968" s="236">
        <v>0</v>
      </c>
      <c r="V968" s="236"/>
      <c r="AB968" s="2">
        <v>1</v>
      </c>
      <c r="AC968" s="245">
        <v>3854</v>
      </c>
      <c r="AD968" s="2" t="s">
        <v>153</v>
      </c>
      <c r="AE968" s="246"/>
      <c r="AF968" s="2">
        <v>801</v>
      </c>
      <c r="AG968" s="2" t="s">
        <v>116</v>
      </c>
      <c r="AH968" s="2" t="s">
        <v>200</v>
      </c>
      <c r="AK968" s="7">
        <v>0</v>
      </c>
      <c r="AP968" s="2">
        <v>4</v>
      </c>
      <c r="AY968" s="245">
        <v>3854</v>
      </c>
      <c r="AZ968" s="2" t="s">
        <v>153</v>
      </c>
    </row>
    <row r="969" s="2" customFormat="1" spans="1:52">
      <c r="A969" s="2">
        <v>407304</v>
      </c>
      <c r="B969" s="2" t="s">
        <v>1779</v>
      </c>
      <c r="C969" s="17" t="s">
        <v>2121</v>
      </c>
      <c r="D969" s="2">
        <v>1</v>
      </c>
      <c r="E969" s="2">
        <v>1</v>
      </c>
      <c r="F969" s="2">
        <v>1</v>
      </c>
      <c r="G969" s="2">
        <v>1.68</v>
      </c>
      <c r="H969" s="2">
        <v>2.13</v>
      </c>
      <c r="I969" s="2">
        <v>0.33</v>
      </c>
      <c r="J969" s="2" t="s">
        <v>115</v>
      </c>
      <c r="L969" s="2">
        <f>7/30</f>
        <v>0.233333333333333</v>
      </c>
      <c r="M969" s="2">
        <f>18/30</f>
        <v>0.6</v>
      </c>
      <c r="P969" s="2">
        <f>7/30</f>
        <v>0.233333333333333</v>
      </c>
      <c r="Q969" s="2">
        <f>13/30</f>
        <v>0.433333333333333</v>
      </c>
      <c r="T969" s="2">
        <v>2.4</v>
      </c>
      <c r="U969" s="2">
        <v>0</v>
      </c>
      <c r="AB969" s="2">
        <v>1</v>
      </c>
      <c r="AC969" s="2">
        <v>2127</v>
      </c>
      <c r="AD969" s="2" t="s">
        <v>153</v>
      </c>
      <c r="AF969" s="2">
        <v>801</v>
      </c>
      <c r="AG969" s="2" t="s">
        <v>116</v>
      </c>
      <c r="AH969" s="2" t="s">
        <v>200</v>
      </c>
      <c r="AK969" s="2">
        <v>0</v>
      </c>
      <c r="AY969" s="2">
        <v>2127</v>
      </c>
      <c r="AZ969" s="2" t="s">
        <v>153</v>
      </c>
    </row>
    <row r="970" s="2" customFormat="1" spans="1:52">
      <c r="A970" s="2">
        <v>4012101</v>
      </c>
      <c r="B970" s="2" t="s">
        <v>2122</v>
      </c>
      <c r="C970" s="2" t="s">
        <v>2123</v>
      </c>
      <c r="D970" s="2">
        <v>1</v>
      </c>
      <c r="E970" s="2">
        <v>1</v>
      </c>
      <c r="F970" s="2">
        <v>1</v>
      </c>
      <c r="G970" s="2">
        <v>3.2</v>
      </c>
      <c r="H970" s="2">
        <v>4</v>
      </c>
      <c r="I970" s="2">
        <v>0.7</v>
      </c>
      <c r="J970" s="2" t="s">
        <v>115</v>
      </c>
      <c r="L970" s="4">
        <f t="shared" si="84"/>
        <v>0.1</v>
      </c>
      <c r="M970" s="4">
        <f>12/30</f>
        <v>0.4</v>
      </c>
      <c r="N970" s="4"/>
      <c r="O970" s="4"/>
      <c r="P970" s="4">
        <f t="shared" ref="P970:P974" si="85">4/30</f>
        <v>0.133333333333333</v>
      </c>
      <c r="Q970" s="4">
        <f>15/30</f>
        <v>0.5</v>
      </c>
      <c r="R970" s="4"/>
      <c r="S970" s="4"/>
      <c r="T970" s="7">
        <v>2.4</v>
      </c>
      <c r="U970" s="7">
        <v>0</v>
      </c>
      <c r="V970" s="7"/>
      <c r="W970" s="7"/>
      <c r="AB970" s="2">
        <v>1</v>
      </c>
      <c r="AC970" s="2">
        <v>3923</v>
      </c>
      <c r="AD970" s="2" t="s">
        <v>153</v>
      </c>
      <c r="AF970" s="2">
        <v>801</v>
      </c>
      <c r="AG970" s="2" t="s">
        <v>116</v>
      </c>
      <c r="AH970" s="2" t="s">
        <v>200</v>
      </c>
      <c r="AK970" s="2">
        <v>0</v>
      </c>
      <c r="AP970" s="2">
        <v>4</v>
      </c>
      <c r="AV970" s="2" t="s">
        <v>439</v>
      </c>
      <c r="AW970" s="2" t="s">
        <v>440</v>
      </c>
      <c r="AY970" s="2">
        <v>3923</v>
      </c>
      <c r="AZ970" s="2" t="s">
        <v>153</v>
      </c>
    </row>
    <row r="971" s="2" customFormat="1" spans="1:52">
      <c r="A971" s="2">
        <v>4012201</v>
      </c>
      <c r="B971" s="3" t="s">
        <v>2124</v>
      </c>
      <c r="C971" s="2" t="s">
        <v>2125</v>
      </c>
      <c r="D971" s="2">
        <v>1</v>
      </c>
      <c r="E971" s="2">
        <v>1</v>
      </c>
      <c r="F971" s="2">
        <v>1</v>
      </c>
      <c r="G971" s="2">
        <v>3.2</v>
      </c>
      <c r="H971" s="2">
        <v>3</v>
      </c>
      <c r="I971" s="2">
        <v>0.7</v>
      </c>
      <c r="J971" s="2" t="s">
        <v>115</v>
      </c>
      <c r="L971" s="4">
        <f t="shared" si="84"/>
        <v>0.1</v>
      </c>
      <c r="M971" s="4">
        <f>13/30</f>
        <v>0.433333333333333</v>
      </c>
      <c r="N971" s="4"/>
      <c r="O971" s="4"/>
      <c r="P971" s="4">
        <f t="shared" si="85"/>
        <v>0.133333333333333</v>
      </c>
      <c r="Q971" s="4">
        <f>14/30</f>
        <v>0.466666666666667</v>
      </c>
      <c r="R971" s="4"/>
      <c r="S971" s="4"/>
      <c r="T971" s="7">
        <v>2.4</v>
      </c>
      <c r="U971" s="7">
        <v>0</v>
      </c>
      <c r="V971" s="7"/>
      <c r="W971" s="7"/>
      <c r="AB971" s="2">
        <v>1</v>
      </c>
      <c r="AC971" s="2">
        <v>3971</v>
      </c>
      <c r="AD971" s="2" t="s">
        <v>153</v>
      </c>
      <c r="AF971" s="2">
        <v>801</v>
      </c>
      <c r="AG971" s="2" t="s">
        <v>116</v>
      </c>
      <c r="AH971" s="8" t="s">
        <v>324</v>
      </c>
      <c r="AK971" s="2">
        <v>0</v>
      </c>
      <c r="AP971" s="2">
        <v>4</v>
      </c>
      <c r="AY971" s="2">
        <v>4793</v>
      </c>
      <c r="AZ971" s="2" t="s">
        <v>153</v>
      </c>
    </row>
    <row r="972" s="2" customFormat="1" spans="1:52">
      <c r="A972" s="2">
        <v>407104</v>
      </c>
      <c r="B972" s="3" t="s">
        <v>2126</v>
      </c>
      <c r="C972" s="2" t="s">
        <v>2127</v>
      </c>
      <c r="D972" s="2">
        <v>1</v>
      </c>
      <c r="E972" s="2">
        <v>1</v>
      </c>
      <c r="F972" s="2">
        <v>1.1</v>
      </c>
      <c r="G972" s="2">
        <v>1.52</v>
      </c>
      <c r="H972" s="2">
        <v>2</v>
      </c>
      <c r="I972" s="2">
        <v>0.43</v>
      </c>
      <c r="J972" s="2" t="s">
        <v>115</v>
      </c>
      <c r="L972" s="2">
        <v>0.0666666666666667</v>
      </c>
      <c r="M972" s="2">
        <v>0.566666666666667</v>
      </c>
      <c r="P972" s="2">
        <v>0.0666666666666667</v>
      </c>
      <c r="Q972" s="2">
        <v>0.566666666666667</v>
      </c>
      <c r="T972" s="2">
        <v>2.4</v>
      </c>
      <c r="U972" s="236">
        <v>0</v>
      </c>
      <c r="V972" s="236"/>
      <c r="AB972" s="2">
        <v>1</v>
      </c>
      <c r="AC972" s="2">
        <v>2039</v>
      </c>
      <c r="AD972" s="2" t="s">
        <v>153</v>
      </c>
      <c r="AF972" s="2">
        <v>801</v>
      </c>
      <c r="AG972" s="2" t="s">
        <v>116</v>
      </c>
      <c r="AH972" s="2" t="s">
        <v>200</v>
      </c>
      <c r="AI972" s="2">
        <v>3</v>
      </c>
      <c r="AJ972" s="2">
        <v>8</v>
      </c>
      <c r="AK972" s="2">
        <v>0</v>
      </c>
      <c r="AV972" s="2" t="s">
        <v>118</v>
      </c>
      <c r="AW972" s="2" t="s">
        <v>118</v>
      </c>
      <c r="AY972" s="2">
        <v>2039</v>
      </c>
      <c r="AZ972" s="2" t="s">
        <v>153</v>
      </c>
    </row>
    <row r="973" s="2" customFormat="1" spans="1:52">
      <c r="A973" s="2">
        <v>4012301</v>
      </c>
      <c r="B973" s="3" t="s">
        <v>2128</v>
      </c>
      <c r="C973" s="2" t="s">
        <v>2129</v>
      </c>
      <c r="D973" s="2">
        <v>1</v>
      </c>
      <c r="E973" s="2">
        <v>1</v>
      </c>
      <c r="F973" s="2">
        <v>1</v>
      </c>
      <c r="G973" s="2">
        <v>2.6</v>
      </c>
      <c r="H973" s="2">
        <v>3.3</v>
      </c>
      <c r="I973" s="2">
        <v>0.4</v>
      </c>
      <c r="J973" s="2" t="s">
        <v>115</v>
      </c>
      <c r="L973" s="2">
        <f>5/30</f>
        <v>0.166666666666667</v>
      </c>
      <c r="M973" s="2">
        <f>13/30</f>
        <v>0.433333333333333</v>
      </c>
      <c r="P973" s="2">
        <f t="shared" si="85"/>
        <v>0.133333333333333</v>
      </c>
      <c r="Q973" s="2">
        <f>16/30</f>
        <v>0.533333333333333</v>
      </c>
      <c r="T973" s="2">
        <v>2.4</v>
      </c>
      <c r="U973" s="236">
        <v>0</v>
      </c>
      <c r="V973" s="236"/>
      <c r="AB973" s="2">
        <v>1</v>
      </c>
      <c r="AC973" s="2">
        <v>4003</v>
      </c>
      <c r="AD973" s="2" t="s">
        <v>153</v>
      </c>
      <c r="AF973" s="2">
        <v>801</v>
      </c>
      <c r="AG973" s="2" t="s">
        <v>116</v>
      </c>
      <c r="AH973" s="2" t="s">
        <v>200</v>
      </c>
      <c r="AK973" s="2">
        <v>0</v>
      </c>
      <c r="AV973" s="2" t="s">
        <v>447</v>
      </c>
      <c r="AW973" s="2" t="s">
        <v>448</v>
      </c>
      <c r="AY973" s="2">
        <v>4003</v>
      </c>
      <c r="AZ973" s="2" t="s">
        <v>153</v>
      </c>
    </row>
    <row r="974" s="2" customFormat="1" spans="1:52">
      <c r="A974" s="2">
        <v>4012401</v>
      </c>
      <c r="B974" s="3" t="s">
        <v>2130</v>
      </c>
      <c r="C974" s="2" t="s">
        <v>2131</v>
      </c>
      <c r="D974" s="2">
        <v>1</v>
      </c>
      <c r="E974" s="2">
        <v>1</v>
      </c>
      <c r="F974" s="2">
        <v>1</v>
      </c>
      <c r="G974" s="2">
        <v>1.8</v>
      </c>
      <c r="H974" s="2">
        <v>2.5</v>
      </c>
      <c r="I974" s="2">
        <v>0.4</v>
      </c>
      <c r="J974" s="2" t="s">
        <v>115</v>
      </c>
      <c r="L974" s="4">
        <f>3/30</f>
        <v>0.1</v>
      </c>
      <c r="M974" s="4">
        <f>15/30</f>
        <v>0.5</v>
      </c>
      <c r="N974" s="4"/>
      <c r="O974" s="4"/>
      <c r="P974" s="4">
        <f t="shared" si="85"/>
        <v>0.133333333333333</v>
      </c>
      <c r="Q974" s="4">
        <f>17/30</f>
        <v>0.566666666666667</v>
      </c>
      <c r="R974" s="4"/>
      <c r="S974" s="4"/>
      <c r="T974" s="7">
        <v>2.4</v>
      </c>
      <c r="U974" s="7">
        <v>0</v>
      </c>
      <c r="V974" s="7"/>
      <c r="W974" s="7"/>
      <c r="AB974" s="2">
        <v>1</v>
      </c>
      <c r="AC974" s="2">
        <v>4033</v>
      </c>
      <c r="AD974" s="2" t="s">
        <v>153</v>
      </c>
      <c r="AF974" s="2">
        <v>801</v>
      </c>
      <c r="AG974" s="2" t="s">
        <v>116</v>
      </c>
      <c r="AH974" s="2" t="s">
        <v>324</v>
      </c>
      <c r="AK974" s="2">
        <v>0</v>
      </c>
      <c r="AP974" s="2">
        <v>4</v>
      </c>
      <c r="AQ974" s="2">
        <v>8</v>
      </c>
      <c r="AR974" s="2">
        <v>2164</v>
      </c>
      <c r="AS974" s="2">
        <v>0</v>
      </c>
      <c r="AT974" s="2">
        <v>2168</v>
      </c>
      <c r="AU974" s="2">
        <v>0</v>
      </c>
      <c r="AV974" s="2" t="s">
        <v>451</v>
      </c>
      <c r="AW974" s="2" t="s">
        <v>452</v>
      </c>
      <c r="AY974" s="2">
        <v>4033</v>
      </c>
      <c r="AZ974" s="2" t="s">
        <v>153</v>
      </c>
    </row>
    <row r="975" s="2" customFormat="1" spans="1:52">
      <c r="A975" s="2">
        <v>4012501</v>
      </c>
      <c r="B975" s="3" t="s">
        <v>2132</v>
      </c>
      <c r="C975" s="2" t="s">
        <v>2133</v>
      </c>
      <c r="D975" s="2">
        <v>1</v>
      </c>
      <c r="E975" s="2">
        <v>1</v>
      </c>
      <c r="F975" s="2">
        <v>1</v>
      </c>
      <c r="G975" s="2">
        <v>1.8</v>
      </c>
      <c r="H975" s="2">
        <v>2.3</v>
      </c>
      <c r="I975" s="2">
        <v>0.4</v>
      </c>
      <c r="J975" s="2" t="s">
        <v>115</v>
      </c>
      <c r="L975" s="4">
        <f>3/30</f>
        <v>0.1</v>
      </c>
      <c r="M975" s="4">
        <f>16/30</f>
        <v>0.533333333333333</v>
      </c>
      <c r="N975" s="4"/>
      <c r="O975" s="4"/>
      <c r="P975" s="4">
        <f>5/30</f>
        <v>0.166666666666667</v>
      </c>
      <c r="Q975" s="4">
        <f>16/30</f>
        <v>0.533333333333333</v>
      </c>
      <c r="R975" s="4"/>
      <c r="S975" s="4"/>
      <c r="T975" s="7">
        <v>2.4</v>
      </c>
      <c r="U975" s="7">
        <v>0</v>
      </c>
      <c r="V975" s="7"/>
      <c r="W975" s="7"/>
      <c r="AB975" s="2">
        <v>1</v>
      </c>
      <c r="AC975" s="2">
        <v>4066</v>
      </c>
      <c r="AD975" s="2" t="s">
        <v>153</v>
      </c>
      <c r="AF975" s="2">
        <v>801</v>
      </c>
      <c r="AG975" s="2" t="s">
        <v>116</v>
      </c>
      <c r="AH975" s="2" t="s">
        <v>200</v>
      </c>
      <c r="AK975" s="2">
        <v>0</v>
      </c>
      <c r="AP975" s="2">
        <v>4</v>
      </c>
      <c r="AV975" s="2" t="s">
        <v>455</v>
      </c>
      <c r="AW975" s="2" t="s">
        <v>456</v>
      </c>
      <c r="AY975" s="2">
        <v>4066</v>
      </c>
      <c r="AZ975" s="2" t="s">
        <v>153</v>
      </c>
    </row>
    <row r="976" s="2" customFormat="1" spans="1:52">
      <c r="A976" s="2">
        <v>4012601</v>
      </c>
      <c r="B976" s="3" t="s">
        <v>2134</v>
      </c>
      <c r="C976" s="2" t="s">
        <v>2135</v>
      </c>
      <c r="D976" s="2">
        <v>1</v>
      </c>
      <c r="E976" s="2">
        <v>1</v>
      </c>
      <c r="F976" s="2">
        <v>1</v>
      </c>
      <c r="G976" s="2">
        <v>3.5</v>
      </c>
      <c r="H976" s="2">
        <v>4.5</v>
      </c>
      <c r="I976" s="2">
        <v>0.5</v>
      </c>
      <c r="J976" s="2" t="s">
        <v>115</v>
      </c>
      <c r="L976" s="4">
        <f>4/30</f>
        <v>0.133333333333333</v>
      </c>
      <c r="M976" s="4">
        <f>14/30</f>
        <v>0.466666666666667</v>
      </c>
      <c r="N976" s="4"/>
      <c r="O976" s="4"/>
      <c r="P976" s="4">
        <f>4/30</f>
        <v>0.133333333333333</v>
      </c>
      <c r="Q976" s="4">
        <f>14/30</f>
        <v>0.466666666666667</v>
      </c>
      <c r="R976" s="4"/>
      <c r="S976" s="4"/>
      <c r="T976" s="7">
        <v>2.4</v>
      </c>
      <c r="U976" s="7">
        <v>0</v>
      </c>
      <c r="V976" s="7"/>
      <c r="W976" s="7"/>
      <c r="AB976" s="2">
        <v>1</v>
      </c>
      <c r="AC976" s="2">
        <v>4083</v>
      </c>
      <c r="AD976" s="2" t="s">
        <v>153</v>
      </c>
      <c r="AF976" s="2">
        <v>801</v>
      </c>
      <c r="AG976" s="2" t="s">
        <v>116</v>
      </c>
      <c r="AH976" s="2" t="s">
        <v>324</v>
      </c>
      <c r="AK976" s="2">
        <v>0</v>
      </c>
      <c r="AP976" s="2">
        <v>4</v>
      </c>
      <c r="AV976" s="2" t="s">
        <v>459</v>
      </c>
      <c r="AW976" s="2" t="s">
        <v>460</v>
      </c>
      <c r="AY976" s="2">
        <v>4656</v>
      </c>
      <c r="AZ976" s="2" t="s">
        <v>153</v>
      </c>
    </row>
    <row r="977" s="28" customFormat="1" spans="1:52">
      <c r="A977" s="28">
        <v>4012602</v>
      </c>
      <c r="B977" s="217" t="s">
        <v>2136</v>
      </c>
      <c r="C977" s="28" t="s">
        <v>2137</v>
      </c>
      <c r="D977" s="28">
        <v>1</v>
      </c>
      <c r="E977" s="28">
        <v>1</v>
      </c>
      <c r="F977" s="28">
        <v>1</v>
      </c>
      <c r="G977" s="28">
        <v>3.5</v>
      </c>
      <c r="H977" s="28">
        <v>4.5</v>
      </c>
      <c r="I977" s="28">
        <v>0.5</v>
      </c>
      <c r="J977" s="28" t="s">
        <v>115</v>
      </c>
      <c r="L977" s="229">
        <f>4/30</f>
        <v>0.133333333333333</v>
      </c>
      <c r="M977" s="229">
        <f>14/30</f>
        <v>0.466666666666667</v>
      </c>
      <c r="N977" s="229"/>
      <c r="O977" s="229"/>
      <c r="P977" s="229">
        <f>4/30</f>
        <v>0.133333333333333</v>
      </c>
      <c r="Q977" s="229">
        <f>14/30</f>
        <v>0.466666666666667</v>
      </c>
      <c r="R977" s="229"/>
      <c r="S977" s="229"/>
      <c r="T977" s="213">
        <v>2.4</v>
      </c>
      <c r="U977" s="213">
        <v>0</v>
      </c>
      <c r="V977" s="213"/>
      <c r="W977" s="213"/>
      <c r="AB977" s="28">
        <v>1</v>
      </c>
      <c r="AC977" s="28">
        <v>4083</v>
      </c>
      <c r="AD977" s="28" t="s">
        <v>153</v>
      </c>
      <c r="AF977" s="28">
        <v>801</v>
      </c>
      <c r="AG977" s="28" t="s">
        <v>116</v>
      </c>
      <c r="AH977" s="28" t="s">
        <v>324</v>
      </c>
      <c r="AK977" s="28">
        <v>0</v>
      </c>
      <c r="AV977" s="28" t="s">
        <v>459</v>
      </c>
      <c r="AW977" s="28" t="s">
        <v>460</v>
      </c>
      <c r="AY977" s="28">
        <v>4656</v>
      </c>
      <c r="AZ977" s="28" t="s">
        <v>153</v>
      </c>
    </row>
    <row r="978" s="2" customFormat="1" spans="1:52">
      <c r="A978" s="2">
        <v>4012701</v>
      </c>
      <c r="B978" s="3" t="s">
        <v>2138</v>
      </c>
      <c r="C978" s="2" t="s">
        <v>2139</v>
      </c>
      <c r="D978" s="2">
        <v>1</v>
      </c>
      <c r="E978" s="2">
        <v>1</v>
      </c>
      <c r="F978" s="2">
        <v>1</v>
      </c>
      <c r="G978" s="2">
        <v>1.8</v>
      </c>
      <c r="H978" s="2">
        <v>2.1</v>
      </c>
      <c r="I978" s="2">
        <v>0.4</v>
      </c>
      <c r="J978" s="2" t="s">
        <v>115</v>
      </c>
      <c r="L978" s="4">
        <f>3/30</f>
        <v>0.1</v>
      </c>
      <c r="M978" s="4">
        <f>16/30</f>
        <v>0.533333333333333</v>
      </c>
      <c r="N978" s="4"/>
      <c r="O978" s="4"/>
      <c r="P978" s="4">
        <v>0.1</v>
      </c>
      <c r="Q978" s="4">
        <v>0.5</v>
      </c>
      <c r="R978" s="4"/>
      <c r="S978" s="4"/>
      <c r="T978" s="7">
        <v>2.4</v>
      </c>
      <c r="U978" s="7">
        <v>0</v>
      </c>
      <c r="V978" s="7"/>
      <c r="W978" s="7"/>
      <c r="AB978" s="2">
        <v>1</v>
      </c>
      <c r="AC978" s="2">
        <v>4100</v>
      </c>
      <c r="AD978" s="2" t="s">
        <v>153</v>
      </c>
      <c r="AF978" s="2">
        <v>801</v>
      </c>
      <c r="AG978" s="2" t="s">
        <v>116</v>
      </c>
      <c r="AH978" s="2" t="s">
        <v>200</v>
      </c>
      <c r="AK978" s="2">
        <v>0</v>
      </c>
      <c r="AP978" s="2">
        <v>4</v>
      </c>
      <c r="AY978" s="2">
        <v>4100</v>
      </c>
      <c r="AZ978" s="2" t="s">
        <v>153</v>
      </c>
    </row>
    <row r="979" s="2" customFormat="1" spans="1:52">
      <c r="A979" s="2">
        <v>4012901</v>
      </c>
      <c r="B979" s="218" t="s">
        <v>2140</v>
      </c>
      <c r="C979" s="218" t="s">
        <v>2141</v>
      </c>
      <c r="D979" s="2">
        <v>1</v>
      </c>
      <c r="E979" s="2">
        <v>1</v>
      </c>
      <c r="F979" s="2">
        <v>1</v>
      </c>
      <c r="G979" s="2">
        <v>2</v>
      </c>
      <c r="H979" s="216">
        <v>2.4</v>
      </c>
      <c r="I979" s="216">
        <v>0.7</v>
      </c>
      <c r="J979" s="2" t="s">
        <v>115</v>
      </c>
      <c r="L979" s="230">
        <f>6/30</f>
        <v>0.2</v>
      </c>
      <c r="M979" s="230">
        <f>16/30</f>
        <v>0.533333333333333</v>
      </c>
      <c r="P979" s="230">
        <f>4/30</f>
        <v>0.133333333333333</v>
      </c>
      <c r="Q979" s="230">
        <f>15/30</f>
        <v>0.5</v>
      </c>
      <c r="T979" s="2">
        <v>2.4</v>
      </c>
      <c r="U979" s="236">
        <v>0</v>
      </c>
      <c r="V979" s="236"/>
      <c r="AB979" s="7" t="s">
        <v>193</v>
      </c>
      <c r="AC979" s="2" t="s">
        <v>471</v>
      </c>
      <c r="AD979" s="2" t="s">
        <v>472</v>
      </c>
      <c r="AF979" s="2">
        <v>801</v>
      </c>
      <c r="AG979" s="2" t="s">
        <v>116</v>
      </c>
      <c r="AH979" s="2" t="s">
        <v>200</v>
      </c>
      <c r="AK979" s="2">
        <v>0</v>
      </c>
      <c r="AY979" s="2" t="s">
        <v>471</v>
      </c>
      <c r="AZ979" s="2" t="s">
        <v>472</v>
      </c>
    </row>
    <row r="980" s="2" customFormat="1" spans="1:52">
      <c r="A980" s="2">
        <v>4013002</v>
      </c>
      <c r="B980" s="218" t="s">
        <v>2142</v>
      </c>
      <c r="C980" s="218" t="s">
        <v>2143</v>
      </c>
      <c r="D980" s="2">
        <v>1</v>
      </c>
      <c r="E980" s="2">
        <v>1</v>
      </c>
      <c r="F980" s="2">
        <v>1</v>
      </c>
      <c r="G980" s="2">
        <v>2</v>
      </c>
      <c r="H980" s="2">
        <v>2.4</v>
      </c>
      <c r="I980" s="2">
        <v>0.7</v>
      </c>
      <c r="J980" s="2" t="s">
        <v>115</v>
      </c>
      <c r="L980" s="4">
        <f>5/30</f>
        <v>0.166666666666667</v>
      </c>
      <c r="M980" s="4">
        <f>16/30</f>
        <v>0.533333333333333</v>
      </c>
      <c r="P980" s="4">
        <f>5/30</f>
        <v>0.166666666666667</v>
      </c>
      <c r="Q980" s="4">
        <f>15/30</f>
        <v>0.5</v>
      </c>
      <c r="T980" s="2">
        <v>2.4</v>
      </c>
      <c r="U980" s="7">
        <v>0</v>
      </c>
      <c r="V980" s="236"/>
      <c r="AB980" s="7">
        <v>1</v>
      </c>
      <c r="AC980" s="2">
        <v>4173</v>
      </c>
      <c r="AD980" s="2" t="s">
        <v>153</v>
      </c>
      <c r="AF980" s="2">
        <v>801</v>
      </c>
      <c r="AG980" s="2" t="s">
        <v>116</v>
      </c>
      <c r="AH980" s="2" t="s">
        <v>200</v>
      </c>
      <c r="AK980" s="2">
        <v>0</v>
      </c>
      <c r="AV980" s="2" t="s">
        <v>477</v>
      </c>
      <c r="AW980" s="2" t="s">
        <v>478</v>
      </c>
      <c r="AY980" s="2">
        <v>4173</v>
      </c>
      <c r="AZ980" s="2" t="s">
        <v>153</v>
      </c>
    </row>
    <row r="981" s="17" customFormat="1" spans="1:52">
      <c r="A981" s="17">
        <v>4013101</v>
      </c>
      <c r="B981" s="17" t="s">
        <v>2144</v>
      </c>
      <c r="C981" s="17" t="s">
        <v>2145</v>
      </c>
      <c r="D981" s="17">
        <v>1</v>
      </c>
      <c r="E981" s="17">
        <v>1</v>
      </c>
      <c r="F981" s="219">
        <v>1</v>
      </c>
      <c r="G981" s="17">
        <v>3.8</v>
      </c>
      <c r="H981" s="17">
        <v>4.12</v>
      </c>
      <c r="I981" s="17">
        <v>1.2</v>
      </c>
      <c r="J981" s="17" t="s">
        <v>115</v>
      </c>
      <c r="L981" s="88">
        <f>4/30</f>
        <v>0.133333333333333</v>
      </c>
      <c r="M981" s="88">
        <f>17/30</f>
        <v>0.566666666666667</v>
      </c>
      <c r="N981" s="88"/>
      <c r="O981" s="88"/>
      <c r="P981" s="88">
        <f>7/30</f>
        <v>0.233333333333333</v>
      </c>
      <c r="Q981" s="88">
        <f>19/30</f>
        <v>0.633333333333333</v>
      </c>
      <c r="R981" s="88"/>
      <c r="S981" s="88"/>
      <c r="T981" s="90">
        <v>2.4</v>
      </c>
      <c r="U981" s="90">
        <v>0</v>
      </c>
      <c r="V981" s="90"/>
      <c r="W981" s="90"/>
      <c r="X981" s="90"/>
      <c r="Y981" s="90"/>
      <c r="Z981" s="90"/>
      <c r="AA981" s="90"/>
      <c r="AB981" s="90" t="s">
        <v>193</v>
      </c>
      <c r="AC981" s="17" t="s">
        <v>481</v>
      </c>
      <c r="AD981" s="17" t="s">
        <v>482</v>
      </c>
      <c r="AF981" s="17">
        <v>801</v>
      </c>
      <c r="AG981" s="17" t="s">
        <v>116</v>
      </c>
      <c r="AH981" s="17" t="s">
        <v>324</v>
      </c>
      <c r="AK981" s="17">
        <v>0</v>
      </c>
      <c r="AP981" s="17">
        <v>4</v>
      </c>
      <c r="AV981" s="17" t="s">
        <v>483</v>
      </c>
      <c r="AW981" s="17" t="s">
        <v>484</v>
      </c>
      <c r="AY981" s="17" t="s">
        <v>481</v>
      </c>
      <c r="AZ981" s="17" t="s">
        <v>482</v>
      </c>
    </row>
    <row r="982" s="8" customFormat="1" spans="1:52">
      <c r="A982" s="8">
        <v>4013201</v>
      </c>
      <c r="B982" s="220" t="s">
        <v>2146</v>
      </c>
      <c r="C982" s="220" t="s">
        <v>2147</v>
      </c>
      <c r="D982" s="8">
        <v>1</v>
      </c>
      <c r="E982" s="8">
        <v>1</v>
      </c>
      <c r="F982" s="8">
        <v>1</v>
      </c>
      <c r="G982" s="8">
        <v>1.52</v>
      </c>
      <c r="H982" s="8">
        <v>2</v>
      </c>
      <c r="I982" s="8">
        <v>0.43</v>
      </c>
      <c r="J982" s="8" t="s">
        <v>115</v>
      </c>
      <c r="L982" s="8">
        <f>2/30</f>
        <v>0.0666666666666667</v>
      </c>
      <c r="M982" s="8">
        <f>15/30</f>
        <v>0.5</v>
      </c>
      <c r="P982" s="8">
        <f>2/30</f>
        <v>0.0666666666666667</v>
      </c>
      <c r="Q982" s="8">
        <f>16/30</f>
        <v>0.533333333333333</v>
      </c>
      <c r="T982" s="237">
        <v>2.4</v>
      </c>
      <c r="U982" s="237">
        <v>0</v>
      </c>
      <c r="V982" s="237"/>
      <c r="W982" s="237"/>
      <c r="AA982" s="8">
        <v>1</v>
      </c>
      <c r="AB982" s="8">
        <v>1</v>
      </c>
      <c r="AC982" s="8">
        <v>4231</v>
      </c>
      <c r="AD982" s="8" t="s">
        <v>153</v>
      </c>
      <c r="AF982" s="8">
        <v>801</v>
      </c>
      <c r="AG982" s="8" t="s">
        <v>116</v>
      </c>
      <c r="AH982" s="8" t="s">
        <v>200</v>
      </c>
      <c r="AK982" s="8">
        <v>0</v>
      </c>
      <c r="AV982" s="8" t="s">
        <v>118</v>
      </c>
      <c r="AW982" s="8" t="s">
        <v>118</v>
      </c>
      <c r="AY982" s="8">
        <v>4231</v>
      </c>
      <c r="AZ982" s="8" t="s">
        <v>153</v>
      </c>
    </row>
    <row r="983" s="8" customFormat="1" spans="1:52">
      <c r="A983" s="8">
        <v>4013202</v>
      </c>
      <c r="B983" s="220" t="s">
        <v>2148</v>
      </c>
      <c r="C983" s="220" t="s">
        <v>2149</v>
      </c>
      <c r="D983" s="8">
        <v>1</v>
      </c>
      <c r="E983" s="8">
        <v>1</v>
      </c>
      <c r="F983" s="8">
        <v>1</v>
      </c>
      <c r="G983" s="8">
        <v>1.52</v>
      </c>
      <c r="H983" s="8">
        <v>2</v>
      </c>
      <c r="I983" s="8">
        <v>0.43</v>
      </c>
      <c r="J983" s="8" t="s">
        <v>115</v>
      </c>
      <c r="L983" s="8">
        <f>2/30</f>
        <v>0.0666666666666667</v>
      </c>
      <c r="M983" s="8">
        <f>15/30</f>
        <v>0.5</v>
      </c>
      <c r="P983" s="8">
        <f>2/30</f>
        <v>0.0666666666666667</v>
      </c>
      <c r="Q983" s="8">
        <f>16/30</f>
        <v>0.533333333333333</v>
      </c>
      <c r="T983" s="237">
        <v>2.4</v>
      </c>
      <c r="U983" s="237">
        <v>0</v>
      </c>
      <c r="V983" s="237"/>
      <c r="W983" s="237"/>
      <c r="AA983" s="8">
        <v>1</v>
      </c>
      <c r="AB983" s="8">
        <v>1</v>
      </c>
      <c r="AC983" s="8">
        <v>4231</v>
      </c>
      <c r="AD983" s="8" t="s">
        <v>153</v>
      </c>
      <c r="AF983" s="8">
        <v>801</v>
      </c>
      <c r="AG983" s="8" t="s">
        <v>116</v>
      </c>
      <c r="AH983" s="8" t="s">
        <v>200</v>
      </c>
      <c r="AK983" s="8">
        <v>0</v>
      </c>
      <c r="AV983" s="8" t="s">
        <v>118</v>
      </c>
      <c r="AW983" s="8" t="s">
        <v>118</v>
      </c>
      <c r="AY983" s="8">
        <v>4231</v>
      </c>
      <c r="AZ983" s="8" t="s">
        <v>153</v>
      </c>
    </row>
    <row r="984" s="2" customFormat="1" spans="1:52">
      <c r="A984" s="7">
        <v>4013301</v>
      </c>
      <c r="B984" s="2" t="s">
        <v>2150</v>
      </c>
      <c r="C984" s="2" t="s">
        <v>2151</v>
      </c>
      <c r="D984" s="2">
        <v>1</v>
      </c>
      <c r="E984" s="2">
        <v>1</v>
      </c>
      <c r="F984" s="2">
        <v>1</v>
      </c>
      <c r="G984" s="2">
        <v>1.71</v>
      </c>
      <c r="H984" s="2">
        <v>2.15</v>
      </c>
      <c r="I984" s="2">
        <v>0.4</v>
      </c>
      <c r="J984" s="2" t="s">
        <v>115</v>
      </c>
      <c r="L984" s="2">
        <f>2/30</f>
        <v>0.0666666666666667</v>
      </c>
      <c r="M984" s="2">
        <f>14/30</f>
        <v>0.466666666666667</v>
      </c>
      <c r="N984" s="4"/>
      <c r="O984" s="4"/>
      <c r="P984" s="2">
        <f t="shared" ref="P984:P988" si="86">3/30</f>
        <v>0.1</v>
      </c>
      <c r="Q984" s="2">
        <f t="shared" ref="Q984:Q986" si="87">14/30</f>
        <v>0.466666666666667</v>
      </c>
      <c r="R984" s="4"/>
      <c r="S984" s="4"/>
      <c r="T984" s="7">
        <v>2.4</v>
      </c>
      <c r="U984" s="7">
        <v>0</v>
      </c>
      <c r="V984" s="7"/>
      <c r="W984" s="7"/>
      <c r="X984" s="7"/>
      <c r="Y984" s="7"/>
      <c r="Z984" s="7"/>
      <c r="AA984" s="2">
        <v>1</v>
      </c>
      <c r="AB984" s="2">
        <v>1</v>
      </c>
      <c r="AC984" s="2">
        <v>4253</v>
      </c>
      <c r="AD984" s="2" t="s">
        <v>153</v>
      </c>
      <c r="AF984" s="2">
        <v>801</v>
      </c>
      <c r="AG984" s="2" t="s">
        <v>116</v>
      </c>
      <c r="AH984" s="2" t="s">
        <v>200</v>
      </c>
      <c r="AK984" s="2">
        <v>0</v>
      </c>
      <c r="AV984" s="2" t="s">
        <v>122</v>
      </c>
      <c r="AW984" s="2" t="s">
        <v>122</v>
      </c>
      <c r="AY984" s="2">
        <v>4253</v>
      </c>
      <c r="AZ984" s="2" t="s">
        <v>153</v>
      </c>
    </row>
    <row r="985" s="2" customFormat="1" spans="1:52">
      <c r="A985" s="7">
        <v>4013401</v>
      </c>
      <c r="B985" s="3" t="s">
        <v>2152</v>
      </c>
      <c r="C985" s="2" t="s">
        <v>2153</v>
      </c>
      <c r="D985" s="2">
        <v>1</v>
      </c>
      <c r="E985" s="2">
        <v>1</v>
      </c>
      <c r="F985" s="2">
        <v>1</v>
      </c>
      <c r="G985" s="2">
        <v>1.68</v>
      </c>
      <c r="H985" s="2">
        <v>2.13</v>
      </c>
      <c r="I985" s="2">
        <v>0.33</v>
      </c>
      <c r="J985" s="2" t="s">
        <v>115</v>
      </c>
      <c r="L985" s="2">
        <f>5/30</f>
        <v>0.166666666666667</v>
      </c>
      <c r="M985" s="2">
        <f>16/30</f>
        <v>0.533333333333333</v>
      </c>
      <c r="P985" s="2">
        <f t="shared" si="86"/>
        <v>0.1</v>
      </c>
      <c r="Q985" s="2">
        <f t="shared" si="87"/>
        <v>0.466666666666667</v>
      </c>
      <c r="T985" s="7">
        <v>2.4</v>
      </c>
      <c r="U985" s="7">
        <v>0</v>
      </c>
      <c r="V985" s="7"/>
      <c r="W985" s="7"/>
      <c r="X985" s="2">
        <v>-2.158</v>
      </c>
      <c r="Y985" s="2">
        <v>0.948</v>
      </c>
      <c r="Z985" s="2">
        <v>-3.005</v>
      </c>
      <c r="AA985" s="2">
        <v>1</v>
      </c>
      <c r="AB985" s="2" t="s">
        <v>193</v>
      </c>
      <c r="AC985" s="2" t="s">
        <v>491</v>
      </c>
      <c r="AD985" s="2" t="s">
        <v>492</v>
      </c>
      <c r="AF985" s="2">
        <v>801</v>
      </c>
      <c r="AG985" s="2" t="s">
        <v>116</v>
      </c>
      <c r="AH985" s="2" t="s">
        <v>200</v>
      </c>
      <c r="AK985" s="2">
        <v>0</v>
      </c>
      <c r="AQ985" s="2">
        <v>8</v>
      </c>
      <c r="AR985" s="2">
        <v>2240</v>
      </c>
      <c r="AS985" s="2">
        <v>0</v>
      </c>
      <c r="AT985" s="2">
        <v>2240</v>
      </c>
      <c r="AU985" s="2">
        <v>0</v>
      </c>
      <c r="AV985" s="2" t="s">
        <v>289</v>
      </c>
      <c r="AW985" s="2" t="s">
        <v>290</v>
      </c>
      <c r="AY985" s="2" t="s">
        <v>491</v>
      </c>
      <c r="AZ985" s="2" t="s">
        <v>492</v>
      </c>
    </row>
    <row r="986" s="2" customFormat="1" spans="1:52">
      <c r="A986" s="2">
        <v>4013501</v>
      </c>
      <c r="B986" s="2" t="s">
        <v>2154</v>
      </c>
      <c r="C986" s="218" t="s">
        <v>2155</v>
      </c>
      <c r="D986" s="2">
        <v>1</v>
      </c>
      <c r="E986" s="2">
        <v>1</v>
      </c>
      <c r="F986" s="2">
        <v>1</v>
      </c>
      <c r="G986" s="2">
        <v>1.63</v>
      </c>
      <c r="H986" s="2">
        <v>2.1</v>
      </c>
      <c r="I986" s="2">
        <v>0.4</v>
      </c>
      <c r="J986" s="2" t="s">
        <v>115</v>
      </c>
      <c r="L986" s="2">
        <f t="shared" ref="L986:L990" si="88">3/30</f>
        <v>0.1</v>
      </c>
      <c r="M986" s="2">
        <f>16/30</f>
        <v>0.533333333333333</v>
      </c>
      <c r="P986" s="2">
        <f>4/30</f>
        <v>0.133333333333333</v>
      </c>
      <c r="Q986" s="2">
        <f t="shared" si="87"/>
        <v>0.466666666666667</v>
      </c>
      <c r="T986" s="7">
        <v>2.4</v>
      </c>
      <c r="U986" s="7">
        <v>0</v>
      </c>
      <c r="V986" s="7"/>
      <c r="W986" s="7"/>
      <c r="X986" s="2">
        <v>-1.898</v>
      </c>
      <c r="Y986" s="2">
        <v>0.864</v>
      </c>
      <c r="Z986" s="2">
        <v>-3.463</v>
      </c>
      <c r="AA986" s="2">
        <v>1</v>
      </c>
      <c r="AB986" s="2">
        <v>1</v>
      </c>
      <c r="AC986" s="2">
        <v>4315</v>
      </c>
      <c r="AD986" s="2" t="s">
        <v>153</v>
      </c>
      <c r="AF986" s="2">
        <v>801</v>
      </c>
      <c r="AG986" s="2" t="s">
        <v>116</v>
      </c>
      <c r="AH986" s="2" t="s">
        <v>200</v>
      </c>
      <c r="AK986" s="2">
        <v>0</v>
      </c>
      <c r="AV986" s="2" t="s">
        <v>122</v>
      </c>
      <c r="AW986" s="2" t="s">
        <v>122</v>
      </c>
      <c r="AY986" s="2">
        <v>4315</v>
      </c>
      <c r="AZ986" s="2" t="s">
        <v>153</v>
      </c>
    </row>
    <row r="987" s="28" customFormat="1" spans="1:52">
      <c r="A987" s="213">
        <v>4013601</v>
      </c>
      <c r="B987" s="28" t="s">
        <v>2156</v>
      </c>
      <c r="C987" s="28" t="s">
        <v>2157</v>
      </c>
      <c r="D987" s="28">
        <v>1</v>
      </c>
      <c r="E987" s="28">
        <v>1</v>
      </c>
      <c r="F987" s="28">
        <v>1</v>
      </c>
      <c r="G987" s="28">
        <v>0.85</v>
      </c>
      <c r="H987" s="28">
        <v>1.2</v>
      </c>
      <c r="I987" s="28">
        <v>0.35</v>
      </c>
      <c r="J987" s="28" t="s">
        <v>115</v>
      </c>
      <c r="L987" s="28">
        <v>0.166666666666667</v>
      </c>
      <c r="M987" s="28">
        <v>0.566666666666667</v>
      </c>
      <c r="N987" s="229"/>
      <c r="O987" s="229"/>
      <c r="P987" s="28">
        <v>0.166666666666667</v>
      </c>
      <c r="Q987" s="28">
        <v>0.466666666666667</v>
      </c>
      <c r="R987" s="229"/>
      <c r="S987" s="229"/>
      <c r="T987" s="213">
        <v>2.4</v>
      </c>
      <c r="U987" s="213">
        <v>0</v>
      </c>
      <c r="V987" s="213"/>
      <c r="W987" s="213"/>
      <c r="X987" s="28">
        <v>-2.238</v>
      </c>
      <c r="Y987" s="28">
        <v>-0.076</v>
      </c>
      <c r="Z987" s="28">
        <v>-2.994</v>
      </c>
      <c r="AA987" s="28">
        <v>1</v>
      </c>
      <c r="AB987" s="28">
        <v>1</v>
      </c>
      <c r="AC987" s="28">
        <v>4339</v>
      </c>
      <c r="AD987" s="28" t="s">
        <v>153</v>
      </c>
      <c r="AF987" s="28">
        <v>801</v>
      </c>
      <c r="AG987" s="28" t="s">
        <v>116</v>
      </c>
      <c r="AH987" s="28" t="s">
        <v>200</v>
      </c>
      <c r="AK987" s="28">
        <v>0</v>
      </c>
      <c r="AV987" s="28" t="s">
        <v>293</v>
      </c>
      <c r="AW987" s="28" t="s">
        <v>294</v>
      </c>
      <c r="AY987" s="28">
        <v>4339</v>
      </c>
      <c r="AZ987" s="28" t="s">
        <v>153</v>
      </c>
    </row>
    <row r="988" s="28" customFormat="1" spans="1:52">
      <c r="A988" s="213">
        <v>4013701</v>
      </c>
      <c r="B988" s="28" t="s">
        <v>2158</v>
      </c>
      <c r="C988" s="28" t="s">
        <v>2159</v>
      </c>
      <c r="D988" s="28">
        <v>1</v>
      </c>
      <c r="E988" s="28">
        <v>1</v>
      </c>
      <c r="F988" s="28">
        <v>1</v>
      </c>
      <c r="G988" s="28">
        <v>1.65</v>
      </c>
      <c r="H988" s="28">
        <v>2</v>
      </c>
      <c r="I988" s="28">
        <v>0.4</v>
      </c>
      <c r="J988" s="28" t="s">
        <v>115</v>
      </c>
      <c r="L988" s="28">
        <f t="shared" si="88"/>
        <v>0.1</v>
      </c>
      <c r="M988" s="28">
        <f t="shared" ref="M988:M990" si="89">16/30</f>
        <v>0.533333333333333</v>
      </c>
      <c r="N988" s="229"/>
      <c r="O988" s="229"/>
      <c r="P988" s="28">
        <f t="shared" si="86"/>
        <v>0.1</v>
      </c>
      <c r="Q988" s="28">
        <f>15/30</f>
        <v>0.5</v>
      </c>
      <c r="R988" s="229"/>
      <c r="S988" s="229"/>
      <c r="T988" s="213">
        <v>2.4</v>
      </c>
      <c r="U988" s="213">
        <v>0</v>
      </c>
      <c r="V988" s="213"/>
      <c r="W988" s="213"/>
      <c r="X988" s="28">
        <v>-2.05</v>
      </c>
      <c r="Y988" s="28">
        <v>0.88</v>
      </c>
      <c r="Z988" s="28">
        <v>-3.27</v>
      </c>
      <c r="AA988" s="28">
        <v>1</v>
      </c>
      <c r="AB988" s="28">
        <v>1</v>
      </c>
      <c r="AC988" s="28">
        <v>4367</v>
      </c>
      <c r="AD988" s="28" t="s">
        <v>153</v>
      </c>
      <c r="AF988" s="28">
        <v>801</v>
      </c>
      <c r="AG988" s="28" t="s">
        <v>116</v>
      </c>
      <c r="AH988" s="28" t="s">
        <v>200</v>
      </c>
      <c r="AK988" s="28">
        <v>0</v>
      </c>
      <c r="AY988" s="28">
        <v>4367</v>
      </c>
      <c r="AZ988" s="28" t="s">
        <v>153</v>
      </c>
    </row>
    <row r="989" s="28" customFormat="1" spans="1:52">
      <c r="A989" s="213">
        <v>4013801</v>
      </c>
      <c r="B989" s="217" t="s">
        <v>2160</v>
      </c>
      <c r="C989" s="221" t="s">
        <v>2161</v>
      </c>
      <c r="D989" s="28">
        <v>1</v>
      </c>
      <c r="E989" s="28">
        <v>1</v>
      </c>
      <c r="F989" s="28">
        <v>1</v>
      </c>
      <c r="G989" s="28">
        <v>1.63</v>
      </c>
      <c r="H989" s="28">
        <v>2.1</v>
      </c>
      <c r="I989" s="28">
        <v>0.37</v>
      </c>
      <c r="J989" s="28" t="s">
        <v>115</v>
      </c>
      <c r="L989" s="28">
        <f>4/30</f>
        <v>0.133333333333333</v>
      </c>
      <c r="M989" s="28">
        <f t="shared" si="89"/>
        <v>0.533333333333333</v>
      </c>
      <c r="P989" s="28">
        <f>6/30</f>
        <v>0.2</v>
      </c>
      <c r="Q989" s="28">
        <f>15/30</f>
        <v>0.5</v>
      </c>
      <c r="T989" s="213">
        <v>2.4</v>
      </c>
      <c r="U989" s="213">
        <v>0</v>
      </c>
      <c r="V989" s="213"/>
      <c r="W989" s="213"/>
      <c r="X989" s="28">
        <v>-2.077</v>
      </c>
      <c r="Y989" s="28">
        <v>0.897</v>
      </c>
      <c r="Z989" s="28">
        <v>-3.08</v>
      </c>
      <c r="AA989" s="28">
        <v>1</v>
      </c>
      <c r="AB989" s="28">
        <v>1</v>
      </c>
      <c r="AC989" s="28">
        <v>4391</v>
      </c>
      <c r="AD989" s="28" t="s">
        <v>153</v>
      </c>
      <c r="AF989" s="28">
        <v>801</v>
      </c>
      <c r="AG989" s="28" t="s">
        <v>116</v>
      </c>
      <c r="AH989" s="28" t="s">
        <v>200</v>
      </c>
      <c r="AK989" s="28">
        <v>0</v>
      </c>
      <c r="AY989" s="28">
        <v>4391</v>
      </c>
      <c r="AZ989" s="28" t="s">
        <v>153</v>
      </c>
    </row>
    <row r="990" s="28" customFormat="1" spans="1:52">
      <c r="A990" s="28">
        <v>4013901</v>
      </c>
      <c r="B990" s="28" t="s">
        <v>2162</v>
      </c>
      <c r="C990" s="28" t="s">
        <v>2163</v>
      </c>
      <c r="D990" s="28">
        <v>1</v>
      </c>
      <c r="E990" s="28">
        <v>1</v>
      </c>
      <c r="F990" s="28">
        <v>1</v>
      </c>
      <c r="G990" s="28">
        <v>2.15</v>
      </c>
      <c r="H990" s="28">
        <v>2.55</v>
      </c>
      <c r="I990" s="28">
        <v>0.45</v>
      </c>
      <c r="J990" s="28" t="s">
        <v>115</v>
      </c>
      <c r="L990" s="229">
        <f t="shared" si="88"/>
        <v>0.1</v>
      </c>
      <c r="M990" s="229">
        <f t="shared" si="89"/>
        <v>0.533333333333333</v>
      </c>
      <c r="N990" s="229"/>
      <c r="O990" s="229"/>
      <c r="P990" s="229">
        <f>3/30</f>
        <v>0.1</v>
      </c>
      <c r="Q990" s="229">
        <f>16/30</f>
        <v>0.533333333333333</v>
      </c>
      <c r="R990" s="229"/>
      <c r="S990" s="229"/>
      <c r="T990" s="213">
        <v>2.4</v>
      </c>
      <c r="U990" s="213">
        <v>0</v>
      </c>
      <c r="V990" s="213"/>
      <c r="W990" s="213"/>
      <c r="X990" s="28">
        <v>-1.639</v>
      </c>
      <c r="Y990" s="28">
        <v>1.001</v>
      </c>
      <c r="Z990" s="28">
        <v>-3.576</v>
      </c>
      <c r="AA990" s="28">
        <v>0.85</v>
      </c>
      <c r="AB990" s="28">
        <v>1</v>
      </c>
      <c r="AC990" s="28">
        <v>4416</v>
      </c>
      <c r="AD990" s="28" t="s">
        <v>153</v>
      </c>
      <c r="AF990" s="28">
        <v>801</v>
      </c>
      <c r="AG990" s="28" t="s">
        <v>116</v>
      </c>
      <c r="AH990" s="28" t="s">
        <v>200</v>
      </c>
      <c r="AK990" s="28">
        <v>0</v>
      </c>
      <c r="AY990" s="28">
        <v>4416</v>
      </c>
      <c r="AZ990" s="28" t="s">
        <v>153</v>
      </c>
    </row>
    <row r="991" s="30" customFormat="1" spans="1:52">
      <c r="A991" s="30">
        <v>4014001</v>
      </c>
      <c r="B991" s="30" t="s">
        <v>2164</v>
      </c>
      <c r="C991" s="30" t="s">
        <v>2165</v>
      </c>
      <c r="D991" s="30">
        <v>1</v>
      </c>
      <c r="E991" s="30">
        <v>1</v>
      </c>
      <c r="F991" s="30">
        <v>1</v>
      </c>
      <c r="G991" s="30">
        <v>2.4</v>
      </c>
      <c r="H991" s="30">
        <v>2.8</v>
      </c>
      <c r="I991" s="30">
        <v>0.32</v>
      </c>
      <c r="J991" s="30" t="s">
        <v>115</v>
      </c>
      <c r="L991" s="30">
        <f>6/30</f>
        <v>0.2</v>
      </c>
      <c r="M991" s="30">
        <f>19/30</f>
        <v>0.633333333333333</v>
      </c>
      <c r="N991" s="231"/>
      <c r="O991" s="231"/>
      <c r="P991" s="30">
        <f>6/30</f>
        <v>0.2</v>
      </c>
      <c r="Q991" s="30">
        <f>19/30</f>
        <v>0.633333333333333</v>
      </c>
      <c r="R991" s="231"/>
      <c r="S991" s="231"/>
      <c r="T991" s="238">
        <v>2.4</v>
      </c>
      <c r="U991" s="238">
        <v>0</v>
      </c>
      <c r="V991" s="238"/>
      <c r="W991" s="238"/>
      <c r="X991" s="30">
        <v>-1.835</v>
      </c>
      <c r="Y991" s="30">
        <v>1.124</v>
      </c>
      <c r="Z991" s="30">
        <v>-3.612</v>
      </c>
      <c r="AA991" s="30">
        <v>0.9</v>
      </c>
      <c r="AB991" s="238">
        <v>1</v>
      </c>
      <c r="AC991" s="30">
        <v>4561</v>
      </c>
      <c r="AD991" s="30" t="s">
        <v>153</v>
      </c>
      <c r="AF991" s="30">
        <v>801</v>
      </c>
      <c r="AG991" s="30" t="s">
        <v>116</v>
      </c>
      <c r="AH991" s="30" t="s">
        <v>200</v>
      </c>
      <c r="AK991" s="30">
        <v>0</v>
      </c>
      <c r="AV991" s="30" t="s">
        <v>122</v>
      </c>
      <c r="AW991" s="30" t="s">
        <v>118</v>
      </c>
      <c r="AY991" s="30">
        <v>4561</v>
      </c>
      <c r="AZ991" s="30" t="s">
        <v>153</v>
      </c>
    </row>
    <row r="992" s="30" customFormat="1" spans="1:49">
      <c r="A992" s="30">
        <v>400105</v>
      </c>
      <c r="B992" s="222" t="s">
        <v>2166</v>
      </c>
      <c r="C992" s="222" t="s">
        <v>2167</v>
      </c>
      <c r="D992" s="30">
        <v>1</v>
      </c>
      <c r="E992" s="30">
        <v>1</v>
      </c>
      <c r="F992" s="30">
        <v>1</v>
      </c>
      <c r="G992" s="30">
        <v>1.52</v>
      </c>
      <c r="H992" s="30">
        <v>1.68</v>
      </c>
      <c r="I992" s="30">
        <v>0.43</v>
      </c>
      <c r="J992" s="30" t="s">
        <v>115</v>
      </c>
      <c r="L992" s="30">
        <v>0</v>
      </c>
      <c r="M992" s="30">
        <v>0.03</v>
      </c>
      <c r="P992" s="30">
        <v>0</v>
      </c>
      <c r="Q992" s="30">
        <v>0.03</v>
      </c>
      <c r="T992" s="30">
        <v>2.4</v>
      </c>
      <c r="U992" s="239">
        <v>0</v>
      </c>
      <c r="V992" s="239"/>
      <c r="AF992" s="30">
        <v>801</v>
      </c>
      <c r="AG992" s="30" t="s">
        <v>116</v>
      </c>
      <c r="AH992" s="30" t="s">
        <v>200</v>
      </c>
      <c r="AK992" s="30">
        <v>0</v>
      </c>
      <c r="AV992" s="30" t="s">
        <v>118</v>
      </c>
      <c r="AW992" s="30" t="s">
        <v>118</v>
      </c>
    </row>
    <row r="993" s="30" customFormat="1" spans="1:52">
      <c r="A993" s="30">
        <v>4014301</v>
      </c>
      <c r="B993" s="30" t="s">
        <v>2168</v>
      </c>
      <c r="C993" s="30" t="s">
        <v>2169</v>
      </c>
      <c r="D993" s="30">
        <v>1</v>
      </c>
      <c r="E993" s="30">
        <v>1</v>
      </c>
      <c r="F993" s="30">
        <v>1</v>
      </c>
      <c r="G993" s="30">
        <v>2.5</v>
      </c>
      <c r="H993" s="30">
        <v>2.8</v>
      </c>
      <c r="I993" s="30">
        <v>0.4</v>
      </c>
      <c r="J993" s="30" t="s">
        <v>115</v>
      </c>
      <c r="L993" s="231">
        <v>0.133333333333333</v>
      </c>
      <c r="M993" s="231">
        <v>0.533333333333333</v>
      </c>
      <c r="N993" s="231"/>
      <c r="O993" s="231"/>
      <c r="P993" s="231">
        <v>0.133333333333333</v>
      </c>
      <c r="Q993" s="231">
        <v>0.5</v>
      </c>
      <c r="R993" s="231"/>
      <c r="S993" s="231"/>
      <c r="T993" s="30">
        <v>2.4</v>
      </c>
      <c r="U993" s="238">
        <v>0</v>
      </c>
      <c r="V993" s="238"/>
      <c r="W993" s="238"/>
      <c r="X993" s="238"/>
      <c r="Y993" s="238"/>
      <c r="Z993" s="238"/>
      <c r="AA993" s="238"/>
      <c r="AB993" s="238">
        <v>1</v>
      </c>
      <c r="AC993" s="30">
        <v>4623</v>
      </c>
      <c r="AD993" s="30" t="s">
        <v>153</v>
      </c>
      <c r="AF993" s="30">
        <v>801</v>
      </c>
      <c r="AG993" s="30" t="s">
        <v>116</v>
      </c>
      <c r="AH993" s="30" t="s">
        <v>513</v>
      </c>
      <c r="AK993" s="30">
        <v>0</v>
      </c>
      <c r="AV993" s="30" t="s">
        <v>118</v>
      </c>
      <c r="AW993" s="30" t="s">
        <v>118</v>
      </c>
      <c r="AY993" s="30">
        <v>4623</v>
      </c>
      <c r="AZ993" s="30" t="s">
        <v>153</v>
      </c>
    </row>
    <row r="994" s="30" customFormat="1" spans="1:52">
      <c r="A994" s="30">
        <v>4014302</v>
      </c>
      <c r="B994" s="30" t="s">
        <v>2170</v>
      </c>
      <c r="C994" s="30" t="s">
        <v>2171</v>
      </c>
      <c r="D994" s="30">
        <v>1</v>
      </c>
      <c r="E994" s="30">
        <v>1</v>
      </c>
      <c r="F994" s="30">
        <v>1</v>
      </c>
      <c r="G994" s="30">
        <v>2.5</v>
      </c>
      <c r="H994" s="30">
        <v>2.8</v>
      </c>
      <c r="I994" s="30">
        <v>0.4</v>
      </c>
      <c r="J994" s="30" t="s">
        <v>115</v>
      </c>
      <c r="L994" s="231">
        <v>0.133333333333333</v>
      </c>
      <c r="M994" s="231">
        <v>0.533333333333333</v>
      </c>
      <c r="N994" s="231"/>
      <c r="O994" s="231"/>
      <c r="P994" s="231">
        <v>0.133333333333333</v>
      </c>
      <c r="Q994" s="231">
        <v>0.5</v>
      </c>
      <c r="R994" s="231"/>
      <c r="S994" s="231"/>
      <c r="T994" s="30">
        <v>2.4</v>
      </c>
      <c r="U994" s="238">
        <v>0</v>
      </c>
      <c r="V994" s="238"/>
      <c r="W994" s="238"/>
      <c r="X994" s="238"/>
      <c r="Y994" s="238"/>
      <c r="Z994" s="238"/>
      <c r="AA994" s="238"/>
      <c r="AB994" s="238">
        <v>1</v>
      </c>
      <c r="AC994" s="30">
        <v>4623</v>
      </c>
      <c r="AD994" s="30" t="s">
        <v>153</v>
      </c>
      <c r="AF994" s="30">
        <v>801</v>
      </c>
      <c r="AG994" s="30" t="s">
        <v>116</v>
      </c>
      <c r="AH994" s="30" t="s">
        <v>516</v>
      </c>
      <c r="AK994" s="30">
        <v>0</v>
      </c>
      <c r="AV994" s="30" t="s">
        <v>118</v>
      </c>
      <c r="AW994" s="30" t="s">
        <v>118</v>
      </c>
      <c r="AY994" s="30">
        <v>4623</v>
      </c>
      <c r="AZ994" s="30" t="s">
        <v>153</v>
      </c>
    </row>
    <row r="995" s="31" customFormat="1" spans="1:52">
      <c r="A995" s="31">
        <v>4014601</v>
      </c>
      <c r="B995" s="31" t="s">
        <v>2172</v>
      </c>
      <c r="C995" s="31" t="s">
        <v>2173</v>
      </c>
      <c r="D995" s="31">
        <v>1</v>
      </c>
      <c r="E995" s="31">
        <v>1</v>
      </c>
      <c r="F995" s="31">
        <v>1</v>
      </c>
      <c r="G995" s="31">
        <v>2.2</v>
      </c>
      <c r="H995" s="39">
        <v>2.6</v>
      </c>
      <c r="I995" s="39">
        <v>0.55</v>
      </c>
      <c r="J995" s="31" t="s">
        <v>115</v>
      </c>
      <c r="L995" s="232">
        <f>3/30</f>
        <v>0.1</v>
      </c>
      <c r="M995" s="232">
        <f t="shared" ref="M995:M1000" si="90">16/30</f>
        <v>0.533333333333333</v>
      </c>
      <c r="N995" s="232"/>
      <c r="O995" s="232"/>
      <c r="P995" s="232">
        <f t="shared" ref="P995:P1000" si="91">4/30</f>
        <v>0.133333333333333</v>
      </c>
      <c r="Q995" s="232">
        <f t="shared" ref="Q995:Q1000" si="92">16/30</f>
        <v>0.533333333333333</v>
      </c>
      <c r="R995" s="232"/>
      <c r="S995" s="232"/>
      <c r="T995" s="31">
        <v>2.4</v>
      </c>
      <c r="U995" s="240">
        <v>0</v>
      </c>
      <c r="V995" s="240"/>
      <c r="W995" s="240"/>
      <c r="X995" s="9"/>
      <c r="Y995" s="9"/>
      <c r="Z995" s="9"/>
      <c r="AB995" s="240">
        <v>1</v>
      </c>
      <c r="AC995" s="31">
        <v>4715</v>
      </c>
      <c r="AD995" s="31" t="s">
        <v>153</v>
      </c>
      <c r="AF995" s="31">
        <v>801</v>
      </c>
      <c r="AG995" s="31" t="s">
        <v>116</v>
      </c>
      <c r="AH995" s="31" t="s">
        <v>200</v>
      </c>
      <c r="AK995" s="31">
        <v>0</v>
      </c>
      <c r="AP995" s="31">
        <v>4</v>
      </c>
      <c r="AV995" s="31" t="s">
        <v>118</v>
      </c>
      <c r="AW995" s="31" t="s">
        <v>118</v>
      </c>
      <c r="AY995" s="31">
        <v>4715</v>
      </c>
      <c r="AZ995" s="31" t="s">
        <v>153</v>
      </c>
    </row>
    <row r="996" s="28" customFormat="1" spans="1:52">
      <c r="A996" s="31">
        <v>4014701</v>
      </c>
      <c r="B996" s="217" t="s">
        <v>2174</v>
      </c>
      <c r="C996" s="28" t="s">
        <v>2175</v>
      </c>
      <c r="D996" s="28">
        <v>1</v>
      </c>
      <c r="E996" s="28">
        <v>1</v>
      </c>
      <c r="F996" s="28">
        <v>1</v>
      </c>
      <c r="G996" s="28">
        <v>3.2</v>
      </c>
      <c r="H996" s="28">
        <v>3.3</v>
      </c>
      <c r="I996" s="28">
        <v>0.4</v>
      </c>
      <c r="J996" s="28" t="s">
        <v>115</v>
      </c>
      <c r="L996" s="229">
        <f t="shared" ref="L996:L1002" si="93">4/30</f>
        <v>0.133333333333333</v>
      </c>
      <c r="M996" s="229">
        <f>17/30</f>
        <v>0.566666666666667</v>
      </c>
      <c r="N996" s="229"/>
      <c r="O996" s="229"/>
      <c r="P996" s="229">
        <f t="shared" si="91"/>
        <v>0.133333333333333</v>
      </c>
      <c r="Q996" s="229">
        <f>13/30</f>
        <v>0.433333333333333</v>
      </c>
      <c r="R996" s="229"/>
      <c r="S996" s="229"/>
      <c r="T996" s="213">
        <v>2.4</v>
      </c>
      <c r="U996" s="213">
        <v>0</v>
      </c>
      <c r="V996" s="213"/>
      <c r="W996" s="213"/>
      <c r="AB996" s="28">
        <v>1</v>
      </c>
      <c r="AC996" s="28">
        <v>4737</v>
      </c>
      <c r="AD996" s="8" t="s">
        <v>153</v>
      </c>
      <c r="AF996" s="28">
        <v>801</v>
      </c>
      <c r="AG996" s="8" t="s">
        <v>116</v>
      </c>
      <c r="AH996" s="8" t="s">
        <v>200</v>
      </c>
      <c r="AK996" s="28">
        <v>0</v>
      </c>
      <c r="AP996" s="28">
        <v>4</v>
      </c>
      <c r="AV996" s="248" t="s">
        <v>118</v>
      </c>
      <c r="AW996" s="248" t="s">
        <v>118</v>
      </c>
      <c r="AY996" s="28">
        <v>4737</v>
      </c>
      <c r="AZ996" s="8" t="s">
        <v>153</v>
      </c>
    </row>
    <row r="997" s="8" customFormat="1" spans="1:52">
      <c r="A997" s="8">
        <v>4014801</v>
      </c>
      <c r="B997" s="8" t="s">
        <v>2176</v>
      </c>
      <c r="C997" s="8" t="s">
        <v>2177</v>
      </c>
      <c r="D997" s="8">
        <v>1</v>
      </c>
      <c r="E997" s="8">
        <v>1</v>
      </c>
      <c r="F997" s="8">
        <v>1</v>
      </c>
      <c r="G997" s="8">
        <v>2</v>
      </c>
      <c r="H997" s="8">
        <v>2.4</v>
      </c>
      <c r="I997" s="8">
        <v>0.7</v>
      </c>
      <c r="J997" s="8" t="s">
        <v>115</v>
      </c>
      <c r="L997" s="233">
        <f t="shared" si="93"/>
        <v>0.133333333333333</v>
      </c>
      <c r="M997" s="233">
        <f>17/30</f>
        <v>0.566666666666667</v>
      </c>
      <c r="N997" s="233"/>
      <c r="O997" s="233"/>
      <c r="P997" s="233">
        <f t="shared" si="91"/>
        <v>0.133333333333333</v>
      </c>
      <c r="Q997" s="233">
        <f t="shared" si="92"/>
        <v>0.533333333333333</v>
      </c>
      <c r="R997" s="233"/>
      <c r="S997" s="233"/>
      <c r="T997" s="8">
        <v>2.4</v>
      </c>
      <c r="U997" s="237">
        <v>0</v>
      </c>
      <c r="V997" s="237"/>
      <c r="W997" s="237"/>
      <c r="X997" s="237">
        <v>-1.741</v>
      </c>
      <c r="Y997" s="237">
        <v>0.996</v>
      </c>
      <c r="Z997" s="237">
        <v>-3.48</v>
      </c>
      <c r="AA997" s="237">
        <v>0.9</v>
      </c>
      <c r="AB997" s="237">
        <v>1</v>
      </c>
      <c r="AC997" s="8">
        <v>4754</v>
      </c>
      <c r="AD997" s="8" t="s">
        <v>153</v>
      </c>
      <c r="AF997" s="8">
        <v>801</v>
      </c>
      <c r="AG997" s="8" t="s">
        <v>116</v>
      </c>
      <c r="AH997" s="8" t="s">
        <v>200</v>
      </c>
      <c r="AK997" s="8">
        <v>0</v>
      </c>
      <c r="AP997" s="8">
        <v>4</v>
      </c>
      <c r="AV997" s="8" t="s">
        <v>118</v>
      </c>
      <c r="AW997" s="8" t="s">
        <v>118</v>
      </c>
      <c r="AY997" s="8">
        <v>4754</v>
      </c>
      <c r="AZ997" s="8" t="s">
        <v>153</v>
      </c>
    </row>
    <row r="998" s="8" customFormat="1" spans="1:52">
      <c r="A998" s="8">
        <v>4014901</v>
      </c>
      <c r="B998" s="8" t="s">
        <v>2178</v>
      </c>
      <c r="C998" s="8" t="s">
        <v>2179</v>
      </c>
      <c r="D998" s="8">
        <v>1</v>
      </c>
      <c r="E998" s="8">
        <v>1</v>
      </c>
      <c r="F998" s="8">
        <v>1</v>
      </c>
      <c r="G998" s="8">
        <v>1.55</v>
      </c>
      <c r="H998" s="8">
        <v>1.92</v>
      </c>
      <c r="I998" s="8">
        <v>0.37</v>
      </c>
      <c r="J998" s="8" t="s">
        <v>115</v>
      </c>
      <c r="L998" s="8">
        <f t="shared" si="93"/>
        <v>0.133333333333333</v>
      </c>
      <c r="M998" s="8">
        <f t="shared" si="90"/>
        <v>0.533333333333333</v>
      </c>
      <c r="P998" s="8">
        <f t="shared" si="91"/>
        <v>0.133333333333333</v>
      </c>
      <c r="Q998" s="8">
        <f t="shared" si="92"/>
        <v>0.533333333333333</v>
      </c>
      <c r="T998" s="8">
        <v>2.4</v>
      </c>
      <c r="U998" s="241">
        <v>0</v>
      </c>
      <c r="V998" s="241">
        <v>-6.4</v>
      </c>
      <c r="W998" s="8">
        <v>5</v>
      </c>
      <c r="X998" s="8">
        <v>-2.425</v>
      </c>
      <c r="Y998" s="8">
        <v>0.891</v>
      </c>
      <c r="Z998" s="8">
        <v>-2.562</v>
      </c>
      <c r="AA998" s="8">
        <v>1</v>
      </c>
      <c r="AB998" s="8">
        <v>1</v>
      </c>
      <c r="AC998" s="8">
        <v>4817</v>
      </c>
      <c r="AD998" s="8" t="s">
        <v>153</v>
      </c>
      <c r="AF998" s="8">
        <v>801</v>
      </c>
      <c r="AG998" s="8" t="s">
        <v>116</v>
      </c>
      <c r="AH998" s="8" t="s">
        <v>200</v>
      </c>
      <c r="AK998" s="8">
        <v>0</v>
      </c>
      <c r="AY998" s="8">
        <v>4817</v>
      </c>
      <c r="AZ998" s="8" t="s">
        <v>153</v>
      </c>
    </row>
    <row r="999" s="8" customFormat="1" spans="1:52">
      <c r="A999" s="8">
        <v>4014902</v>
      </c>
      <c r="B999" s="8" t="s">
        <v>2180</v>
      </c>
      <c r="C999" s="8" t="s">
        <v>2181</v>
      </c>
      <c r="D999" s="8">
        <v>1</v>
      </c>
      <c r="E999" s="8">
        <v>1</v>
      </c>
      <c r="F999" s="8">
        <v>1</v>
      </c>
      <c r="G999" s="8">
        <v>1.55</v>
      </c>
      <c r="H999" s="8">
        <v>1.92</v>
      </c>
      <c r="I999" s="8">
        <v>0.37</v>
      </c>
      <c r="J999" s="8" t="s">
        <v>115</v>
      </c>
      <c r="L999" s="8">
        <f t="shared" si="93"/>
        <v>0.133333333333333</v>
      </c>
      <c r="M999" s="8">
        <f t="shared" si="90"/>
        <v>0.533333333333333</v>
      </c>
      <c r="P999" s="8">
        <f t="shared" si="91"/>
        <v>0.133333333333333</v>
      </c>
      <c r="Q999" s="8">
        <f t="shared" si="92"/>
        <v>0.533333333333333</v>
      </c>
      <c r="T999" s="8">
        <v>2.4</v>
      </c>
      <c r="U999" s="241">
        <v>0</v>
      </c>
      <c r="V999" s="241">
        <v>-6.4</v>
      </c>
      <c r="W999" s="8">
        <v>5</v>
      </c>
      <c r="X999" s="8">
        <v>-2.425</v>
      </c>
      <c r="Y999" s="8">
        <v>0.891</v>
      </c>
      <c r="Z999" s="8">
        <v>-2.562</v>
      </c>
      <c r="AA999" s="8">
        <v>1</v>
      </c>
      <c r="AB999" s="8">
        <v>1</v>
      </c>
      <c r="AC999" s="8">
        <v>4817</v>
      </c>
      <c r="AD999" s="8" t="s">
        <v>153</v>
      </c>
      <c r="AF999" s="8">
        <v>801</v>
      </c>
      <c r="AG999" s="8" t="s">
        <v>116</v>
      </c>
      <c r="AH999" s="8" t="s">
        <v>200</v>
      </c>
      <c r="AK999" s="8">
        <v>0</v>
      </c>
      <c r="AP999" s="8">
        <v>4</v>
      </c>
      <c r="AY999" s="8">
        <v>4817</v>
      </c>
      <c r="AZ999" s="8" t="s">
        <v>153</v>
      </c>
    </row>
    <row r="1000" s="8" customFormat="1" spans="1:52">
      <c r="A1000" s="8">
        <v>4014903</v>
      </c>
      <c r="B1000" s="8" t="s">
        <v>2182</v>
      </c>
      <c r="C1000" s="8" t="s">
        <v>2183</v>
      </c>
      <c r="D1000" s="8">
        <v>1</v>
      </c>
      <c r="E1000" s="8">
        <v>1</v>
      </c>
      <c r="F1000" s="8">
        <v>1</v>
      </c>
      <c r="G1000" s="8">
        <v>1.55</v>
      </c>
      <c r="H1000" s="8">
        <v>1.92</v>
      </c>
      <c r="I1000" s="8">
        <v>0.37</v>
      </c>
      <c r="J1000" s="8" t="s">
        <v>115</v>
      </c>
      <c r="L1000" s="8">
        <f t="shared" si="93"/>
        <v>0.133333333333333</v>
      </c>
      <c r="M1000" s="8">
        <f t="shared" si="90"/>
        <v>0.533333333333333</v>
      </c>
      <c r="P1000" s="8">
        <f t="shared" si="91"/>
        <v>0.133333333333333</v>
      </c>
      <c r="Q1000" s="8">
        <f t="shared" si="92"/>
        <v>0.533333333333333</v>
      </c>
      <c r="T1000" s="8">
        <v>2.4</v>
      </c>
      <c r="U1000" s="241">
        <v>0</v>
      </c>
      <c r="V1000" s="241">
        <v>-6.4</v>
      </c>
      <c r="W1000" s="8">
        <v>5</v>
      </c>
      <c r="X1000" s="8">
        <v>-2.425</v>
      </c>
      <c r="Y1000" s="8">
        <v>0.891</v>
      </c>
      <c r="Z1000" s="8">
        <v>-2.562</v>
      </c>
      <c r="AA1000" s="8">
        <v>1</v>
      </c>
      <c r="AB1000" s="8">
        <v>1</v>
      </c>
      <c r="AC1000" s="8">
        <v>4817</v>
      </c>
      <c r="AD1000" s="8" t="s">
        <v>153</v>
      </c>
      <c r="AF1000" s="8">
        <v>801</v>
      </c>
      <c r="AG1000" s="8" t="s">
        <v>116</v>
      </c>
      <c r="AH1000" s="8" t="s">
        <v>200</v>
      </c>
      <c r="AK1000" s="8">
        <v>0</v>
      </c>
      <c r="AP1000" s="8">
        <v>4</v>
      </c>
      <c r="AY1000" s="8">
        <v>4817</v>
      </c>
      <c r="AZ1000" s="8" t="s">
        <v>153</v>
      </c>
    </row>
    <row r="1001" s="13" customFormat="1" spans="1:52">
      <c r="A1001" s="66">
        <v>4015001</v>
      </c>
      <c r="B1001" s="57" t="s">
        <v>2184</v>
      </c>
      <c r="C1001" s="13" t="s">
        <v>2185</v>
      </c>
      <c r="D1001" s="13">
        <v>1</v>
      </c>
      <c r="E1001" s="13">
        <v>1</v>
      </c>
      <c r="F1001" s="13">
        <v>1</v>
      </c>
      <c r="G1001" s="13">
        <v>1.52</v>
      </c>
      <c r="H1001" s="13">
        <v>2</v>
      </c>
      <c r="I1001" s="13">
        <v>0.43</v>
      </c>
      <c r="J1001" s="13" t="s">
        <v>115</v>
      </c>
      <c r="L1001" s="13">
        <f t="shared" si="93"/>
        <v>0.133333333333333</v>
      </c>
      <c r="M1001" s="13">
        <f>15/30</f>
        <v>0.5</v>
      </c>
      <c r="P1001" s="13">
        <f>2/30</f>
        <v>0.0666666666666667</v>
      </c>
      <c r="Q1001" s="13">
        <f>15/30</f>
        <v>0.5</v>
      </c>
      <c r="T1001" s="66">
        <v>2.4</v>
      </c>
      <c r="U1001" s="66">
        <v>0</v>
      </c>
      <c r="V1001" s="66"/>
      <c r="W1001" s="66"/>
      <c r="X1001" s="13">
        <v>-2.06</v>
      </c>
      <c r="Y1001" s="13">
        <v>0.82</v>
      </c>
      <c r="Z1001" s="13">
        <v>-3.29</v>
      </c>
      <c r="AA1001" s="13">
        <v>1</v>
      </c>
      <c r="AB1001" s="13">
        <v>1</v>
      </c>
      <c r="AC1001" s="13">
        <v>4873</v>
      </c>
      <c r="AD1001" s="13" t="s">
        <v>153</v>
      </c>
      <c r="AF1001" s="13">
        <v>801</v>
      </c>
      <c r="AG1001" s="13" t="s">
        <v>116</v>
      </c>
      <c r="AH1001" s="28" t="s">
        <v>324</v>
      </c>
      <c r="AK1001" s="13">
        <v>0</v>
      </c>
      <c r="AP1001" s="13">
        <v>4</v>
      </c>
      <c r="AV1001" s="13" t="s">
        <v>118</v>
      </c>
      <c r="AW1001" s="13" t="s">
        <v>118</v>
      </c>
      <c r="AY1001" s="13">
        <v>4873</v>
      </c>
      <c r="AZ1001" s="13" t="s">
        <v>153</v>
      </c>
    </row>
    <row r="1002" s="18" customFormat="1" spans="1:52">
      <c r="A1002" s="79">
        <v>4015101</v>
      </c>
      <c r="B1002" s="80" t="s">
        <v>2186</v>
      </c>
      <c r="C1002" s="18" t="s">
        <v>2187</v>
      </c>
      <c r="D1002" s="18">
        <v>1</v>
      </c>
      <c r="E1002" s="18">
        <v>1</v>
      </c>
      <c r="F1002" s="18">
        <v>1</v>
      </c>
      <c r="G1002" s="18">
        <v>1.52</v>
      </c>
      <c r="H1002" s="18">
        <v>2</v>
      </c>
      <c r="I1002" s="18">
        <v>0.43</v>
      </c>
      <c r="J1002" s="18" t="s">
        <v>115</v>
      </c>
      <c r="L1002" s="18">
        <f t="shared" si="93"/>
        <v>0.133333333333333</v>
      </c>
      <c r="M1002" s="18">
        <f>18/30</f>
        <v>0.6</v>
      </c>
      <c r="P1002" s="18">
        <f>4/30</f>
        <v>0.133333333333333</v>
      </c>
      <c r="Q1002" s="18">
        <f>18/30</f>
        <v>0.6</v>
      </c>
      <c r="T1002" s="79">
        <v>2.4</v>
      </c>
      <c r="U1002" s="79">
        <v>0</v>
      </c>
      <c r="V1002" s="79"/>
      <c r="W1002" s="79"/>
      <c r="X1002" s="18">
        <v>-2.06</v>
      </c>
      <c r="Y1002" s="18">
        <v>0.82</v>
      </c>
      <c r="Z1002" s="18">
        <v>-3.29</v>
      </c>
      <c r="AA1002" s="18">
        <v>1</v>
      </c>
      <c r="AB1002" s="18">
        <v>1</v>
      </c>
      <c r="AC1002" s="18">
        <v>4924</v>
      </c>
      <c r="AD1002" s="18" t="s">
        <v>153</v>
      </c>
      <c r="AF1002" s="18">
        <v>801</v>
      </c>
      <c r="AG1002" s="18" t="s">
        <v>116</v>
      </c>
      <c r="AH1002" s="95" t="s">
        <v>324</v>
      </c>
      <c r="AK1002" s="18">
        <v>0</v>
      </c>
      <c r="AP1002" s="18">
        <v>4</v>
      </c>
      <c r="AV1002" s="18" t="s">
        <v>118</v>
      </c>
      <c r="AW1002" s="18" t="s">
        <v>118</v>
      </c>
      <c r="AY1002" s="18">
        <v>4924</v>
      </c>
      <c r="AZ1002" s="18" t="s">
        <v>153</v>
      </c>
    </row>
    <row r="1003" s="29" customFormat="1" ht="16.5" spans="1:52">
      <c r="A1003" s="201">
        <v>4010302</v>
      </c>
      <c r="B1003" s="202" t="s">
        <v>2188</v>
      </c>
      <c r="C1003" s="20" t="s">
        <v>2095</v>
      </c>
      <c r="D1003" s="203">
        <v>1</v>
      </c>
      <c r="E1003" s="29">
        <v>1</v>
      </c>
      <c r="F1003" s="29">
        <v>1</v>
      </c>
      <c r="G1003" s="203">
        <v>2.3</v>
      </c>
      <c r="H1003" s="203">
        <v>2.85</v>
      </c>
      <c r="I1003" s="203">
        <v>0.35</v>
      </c>
      <c r="J1003" s="203" t="s">
        <v>115</v>
      </c>
      <c r="K1003" s="203"/>
      <c r="L1003" s="29">
        <v>0.133333333333333</v>
      </c>
      <c r="M1003" s="203">
        <v>0.5</v>
      </c>
      <c r="P1003" s="203">
        <v>0.0666666666666667</v>
      </c>
      <c r="Q1003" s="203">
        <v>0.466666666666667</v>
      </c>
      <c r="T1003" s="29">
        <v>2.4</v>
      </c>
      <c r="U1003" s="206">
        <v>0</v>
      </c>
      <c r="V1003" s="206"/>
      <c r="AB1003" s="29">
        <v>1</v>
      </c>
      <c r="AC1003" s="211">
        <v>3151</v>
      </c>
      <c r="AD1003" s="29" t="s">
        <v>153</v>
      </c>
      <c r="AE1003" s="212"/>
      <c r="AF1003" s="29">
        <v>801</v>
      </c>
      <c r="AG1003" s="29" t="s">
        <v>116</v>
      </c>
      <c r="AH1003" s="29" t="s">
        <v>324</v>
      </c>
      <c r="AK1003" s="207">
        <v>0</v>
      </c>
      <c r="AV1003" s="29" t="s">
        <v>390</v>
      </c>
      <c r="AW1003" s="29" t="s">
        <v>390</v>
      </c>
      <c r="AY1003" s="62">
        <v>4886</v>
      </c>
      <c r="AZ1003" s="11" t="s">
        <v>153</v>
      </c>
    </row>
    <row r="1004" s="2" customFormat="1" spans="1:52">
      <c r="A1004" s="2">
        <v>4015201</v>
      </c>
      <c r="B1004" s="3" t="s">
        <v>2189</v>
      </c>
      <c r="C1004" s="2" t="s">
        <v>2190</v>
      </c>
      <c r="D1004" s="2">
        <v>1</v>
      </c>
      <c r="E1004" s="2">
        <v>1</v>
      </c>
      <c r="F1004" s="2">
        <v>1</v>
      </c>
      <c r="G1004" s="2">
        <v>1.55</v>
      </c>
      <c r="H1004" s="2">
        <v>1.92</v>
      </c>
      <c r="I1004" s="2">
        <v>0.37</v>
      </c>
      <c r="J1004" s="2" t="s">
        <v>115</v>
      </c>
      <c r="L1004" s="4">
        <v>0.166666666666667</v>
      </c>
      <c r="M1004" s="4">
        <v>0.6</v>
      </c>
      <c r="N1004" s="4"/>
      <c r="O1004" s="4"/>
      <c r="P1004" s="4">
        <v>0.166666666666667</v>
      </c>
      <c r="Q1004" s="4">
        <v>0.7</v>
      </c>
      <c r="R1004" s="4"/>
      <c r="S1004" s="4"/>
      <c r="T1004" s="7">
        <v>2.4</v>
      </c>
      <c r="U1004" s="7">
        <v>0</v>
      </c>
      <c r="V1004" s="7"/>
      <c r="W1004" s="7"/>
      <c r="X1004" s="2">
        <v>-2.158</v>
      </c>
      <c r="Y1004" s="2">
        <v>0.948</v>
      </c>
      <c r="Z1004" s="2">
        <v>-3.005</v>
      </c>
      <c r="AA1004" s="2">
        <v>1</v>
      </c>
      <c r="AB1004" s="2">
        <v>1</v>
      </c>
      <c r="AC1004" s="2">
        <v>4977</v>
      </c>
      <c r="AD1004" s="2" t="s">
        <v>153</v>
      </c>
      <c r="AF1004" s="2">
        <v>801</v>
      </c>
      <c r="AG1004" s="2" t="s">
        <v>116</v>
      </c>
      <c r="AH1004" s="2" t="s">
        <v>200</v>
      </c>
      <c r="AK1004" s="2">
        <v>0</v>
      </c>
      <c r="AV1004" s="2" t="s">
        <v>118</v>
      </c>
      <c r="AW1004" s="2" t="s">
        <v>118</v>
      </c>
      <c r="AY1004" s="2">
        <v>4977</v>
      </c>
      <c r="AZ1004" s="2" t="s">
        <v>153</v>
      </c>
    </row>
    <row r="1005" s="2" customFormat="1" spans="1:52">
      <c r="A1005" s="2">
        <v>4015202</v>
      </c>
      <c r="B1005" s="3" t="s">
        <v>2191</v>
      </c>
      <c r="C1005" s="2" t="s">
        <v>2192</v>
      </c>
      <c r="D1005" s="2">
        <v>1</v>
      </c>
      <c r="E1005" s="2">
        <v>1</v>
      </c>
      <c r="F1005" s="2">
        <v>1</v>
      </c>
      <c r="G1005" s="2">
        <v>1.55</v>
      </c>
      <c r="H1005" s="2">
        <v>1.92</v>
      </c>
      <c r="I1005" s="2">
        <v>0.37</v>
      </c>
      <c r="J1005" s="2" t="s">
        <v>115</v>
      </c>
      <c r="L1005" s="4">
        <v>0.166666666666667</v>
      </c>
      <c r="M1005" s="4">
        <v>0.6</v>
      </c>
      <c r="N1005" s="4"/>
      <c r="O1005" s="4"/>
      <c r="P1005" s="4">
        <v>0.166666666666667</v>
      </c>
      <c r="Q1005" s="4">
        <v>0.7</v>
      </c>
      <c r="R1005" s="4"/>
      <c r="S1005" s="4"/>
      <c r="T1005" s="7">
        <v>2.4</v>
      </c>
      <c r="U1005" s="7">
        <v>0</v>
      </c>
      <c r="V1005" s="7"/>
      <c r="W1005" s="7"/>
      <c r="X1005" s="2">
        <v>-2.158</v>
      </c>
      <c r="Y1005" s="2">
        <v>0.948</v>
      </c>
      <c r="Z1005" s="2">
        <v>-3.005</v>
      </c>
      <c r="AA1005" s="2">
        <v>1</v>
      </c>
      <c r="AB1005" s="2">
        <v>1</v>
      </c>
      <c r="AC1005" s="2">
        <v>4977</v>
      </c>
      <c r="AD1005" s="2" t="s">
        <v>153</v>
      </c>
      <c r="AF1005" s="2">
        <v>801</v>
      </c>
      <c r="AG1005" s="2" t="s">
        <v>116</v>
      </c>
      <c r="AH1005" s="2" t="s">
        <v>200</v>
      </c>
      <c r="AK1005" s="2">
        <v>0</v>
      </c>
      <c r="AP1005" s="18">
        <v>4</v>
      </c>
      <c r="AV1005" s="2" t="s">
        <v>118</v>
      </c>
      <c r="AW1005" s="2" t="s">
        <v>118</v>
      </c>
      <c r="AY1005" s="2">
        <v>4977</v>
      </c>
      <c r="AZ1005" s="2" t="s">
        <v>153</v>
      </c>
    </row>
    <row r="1006" s="29" customFormat="1" spans="1:52">
      <c r="A1006" s="29">
        <v>4015301</v>
      </c>
      <c r="B1006" s="204" t="s">
        <v>2193</v>
      </c>
      <c r="C1006" s="29" t="s">
        <v>2194</v>
      </c>
      <c r="D1006" s="29">
        <v>1</v>
      </c>
      <c r="E1006" s="29">
        <v>1</v>
      </c>
      <c r="F1006" s="29">
        <v>1</v>
      </c>
      <c r="G1006" s="29">
        <v>1.55</v>
      </c>
      <c r="H1006" s="29">
        <v>1.92</v>
      </c>
      <c r="I1006" s="29">
        <v>0.37</v>
      </c>
      <c r="J1006" s="29" t="s">
        <v>115</v>
      </c>
      <c r="L1006" s="228">
        <v>0.166666666666667</v>
      </c>
      <c r="M1006" s="228">
        <v>0.6</v>
      </c>
      <c r="N1006" s="228"/>
      <c r="O1006" s="228"/>
      <c r="P1006" s="228">
        <v>0.166666666666667</v>
      </c>
      <c r="Q1006" s="228">
        <v>0.7</v>
      </c>
      <c r="R1006" s="228"/>
      <c r="S1006" s="228"/>
      <c r="T1006" s="207">
        <v>2.4</v>
      </c>
      <c r="U1006" s="207">
        <v>0</v>
      </c>
      <c r="V1006" s="207"/>
      <c r="W1006" s="207"/>
      <c r="X1006" s="29">
        <v>-2.158</v>
      </c>
      <c r="Y1006" s="29">
        <v>0.948</v>
      </c>
      <c r="Z1006" s="29">
        <v>-3.005</v>
      </c>
      <c r="AA1006" s="29">
        <v>1</v>
      </c>
      <c r="AB1006" s="29" t="s">
        <v>193</v>
      </c>
      <c r="AC1006" s="29" t="s">
        <v>536</v>
      </c>
      <c r="AD1006" s="29" t="s">
        <v>537</v>
      </c>
      <c r="AF1006" s="29">
        <v>801</v>
      </c>
      <c r="AG1006" s="29" t="s">
        <v>116</v>
      </c>
      <c r="AH1006" s="29" t="s">
        <v>200</v>
      </c>
      <c r="AK1006" s="29">
        <v>0</v>
      </c>
      <c r="AV1006" s="29" t="s">
        <v>118</v>
      </c>
      <c r="AW1006" s="29" t="s">
        <v>118</v>
      </c>
      <c r="AY1006" s="29" t="s">
        <v>536</v>
      </c>
      <c r="AZ1006" s="29" t="s">
        <v>537</v>
      </c>
    </row>
    <row r="1007" s="29" customFormat="1" spans="1:52">
      <c r="A1007" s="29">
        <v>4015302</v>
      </c>
      <c r="B1007" s="204" t="s">
        <v>2195</v>
      </c>
      <c r="C1007" s="29" t="s">
        <v>2196</v>
      </c>
      <c r="D1007" s="29">
        <v>1</v>
      </c>
      <c r="E1007" s="29">
        <v>1</v>
      </c>
      <c r="F1007" s="29">
        <v>1</v>
      </c>
      <c r="G1007" s="29">
        <v>1.55</v>
      </c>
      <c r="H1007" s="29">
        <v>1.92</v>
      </c>
      <c r="I1007" s="29">
        <v>0.37</v>
      </c>
      <c r="J1007" s="29" t="s">
        <v>115</v>
      </c>
      <c r="L1007" s="228">
        <v>0.166666666666667</v>
      </c>
      <c r="M1007" s="228">
        <v>0.6</v>
      </c>
      <c r="N1007" s="228"/>
      <c r="O1007" s="228"/>
      <c r="P1007" s="228">
        <v>0.166666666666667</v>
      </c>
      <c r="Q1007" s="228">
        <v>0.7</v>
      </c>
      <c r="R1007" s="228"/>
      <c r="S1007" s="228"/>
      <c r="T1007" s="207">
        <v>2.4</v>
      </c>
      <c r="U1007" s="207">
        <v>0</v>
      </c>
      <c r="V1007" s="207"/>
      <c r="W1007" s="207"/>
      <c r="X1007" s="29">
        <v>-2.158</v>
      </c>
      <c r="Y1007" s="29">
        <v>0.948</v>
      </c>
      <c r="Z1007" s="29">
        <v>-3.005</v>
      </c>
      <c r="AA1007" s="29">
        <v>1</v>
      </c>
      <c r="AB1007" s="29" t="s">
        <v>193</v>
      </c>
      <c r="AC1007" s="29" t="s">
        <v>536</v>
      </c>
      <c r="AD1007" s="29" t="s">
        <v>537</v>
      </c>
      <c r="AF1007" s="29">
        <v>801</v>
      </c>
      <c r="AG1007" s="29" t="s">
        <v>116</v>
      </c>
      <c r="AH1007" s="29" t="s">
        <v>200</v>
      </c>
      <c r="AK1007" s="29">
        <v>0</v>
      </c>
      <c r="AV1007" s="29" t="s">
        <v>118</v>
      </c>
      <c r="AW1007" s="29" t="s">
        <v>118</v>
      </c>
      <c r="AY1007" s="29" t="s">
        <v>536</v>
      </c>
      <c r="AZ1007" s="29" t="s">
        <v>537</v>
      </c>
    </row>
    <row r="1008" s="32" customFormat="1" spans="1:52">
      <c r="A1008" s="32">
        <v>4015303</v>
      </c>
      <c r="B1008" s="223" t="s">
        <v>2197</v>
      </c>
      <c r="C1008" s="32" t="s">
        <v>2198</v>
      </c>
      <c r="D1008" s="32">
        <v>1</v>
      </c>
      <c r="E1008" s="32">
        <v>1</v>
      </c>
      <c r="F1008" s="32">
        <v>1</v>
      </c>
      <c r="G1008" s="32">
        <v>1.55</v>
      </c>
      <c r="H1008" s="32">
        <v>1.92</v>
      </c>
      <c r="I1008" s="32">
        <v>0.37</v>
      </c>
      <c r="J1008" s="32" t="s">
        <v>115</v>
      </c>
      <c r="L1008" s="234">
        <v>0.166666666666667</v>
      </c>
      <c r="M1008" s="234">
        <v>0.6</v>
      </c>
      <c r="N1008" s="234"/>
      <c r="O1008" s="234"/>
      <c r="P1008" s="234">
        <v>0.166666666666667</v>
      </c>
      <c r="Q1008" s="234">
        <v>0.7</v>
      </c>
      <c r="R1008" s="234"/>
      <c r="S1008" s="234"/>
      <c r="T1008" s="242">
        <v>2.4</v>
      </c>
      <c r="U1008" s="242">
        <v>0</v>
      </c>
      <c r="V1008" s="242"/>
      <c r="W1008" s="242"/>
      <c r="X1008" s="32">
        <v>-2.158</v>
      </c>
      <c r="Y1008" s="32">
        <v>0.948</v>
      </c>
      <c r="Z1008" s="32">
        <v>-3.005</v>
      </c>
      <c r="AA1008" s="32">
        <v>1</v>
      </c>
      <c r="AB1008" s="32" t="s">
        <v>193</v>
      </c>
      <c r="AC1008" s="32" t="s">
        <v>536</v>
      </c>
      <c r="AD1008" s="32" t="s">
        <v>537</v>
      </c>
      <c r="AF1008" s="32">
        <v>801</v>
      </c>
      <c r="AG1008" s="32" t="s">
        <v>116</v>
      </c>
      <c r="AH1008" s="32" t="s">
        <v>200</v>
      </c>
      <c r="AK1008" s="32">
        <v>0</v>
      </c>
      <c r="AP1008" s="32">
        <v>4</v>
      </c>
      <c r="AV1008" s="32" t="s">
        <v>118</v>
      </c>
      <c r="AW1008" s="32" t="s">
        <v>118</v>
      </c>
      <c r="AY1008" s="32" t="s">
        <v>536</v>
      </c>
      <c r="AZ1008" s="32" t="s">
        <v>537</v>
      </c>
    </row>
    <row r="1009" s="32" customFormat="1" spans="1:52">
      <c r="A1009" s="32">
        <v>4015304</v>
      </c>
      <c r="B1009" s="223" t="s">
        <v>2199</v>
      </c>
      <c r="C1009" s="32" t="s">
        <v>2200</v>
      </c>
      <c r="D1009" s="32">
        <v>1</v>
      </c>
      <c r="E1009" s="32">
        <v>1</v>
      </c>
      <c r="F1009" s="32">
        <v>1</v>
      </c>
      <c r="G1009" s="32">
        <v>1.55</v>
      </c>
      <c r="H1009" s="32">
        <v>1.92</v>
      </c>
      <c r="I1009" s="32">
        <v>0.37</v>
      </c>
      <c r="J1009" s="32" t="s">
        <v>115</v>
      </c>
      <c r="L1009" s="234">
        <v>0.166666666666667</v>
      </c>
      <c r="M1009" s="234">
        <v>0.6</v>
      </c>
      <c r="N1009" s="234"/>
      <c r="O1009" s="234"/>
      <c r="P1009" s="234">
        <v>0.166666666666667</v>
      </c>
      <c r="Q1009" s="234">
        <v>0.7</v>
      </c>
      <c r="R1009" s="234"/>
      <c r="S1009" s="234"/>
      <c r="T1009" s="242">
        <v>2.4</v>
      </c>
      <c r="U1009" s="242">
        <v>0</v>
      </c>
      <c r="V1009" s="242"/>
      <c r="W1009" s="242"/>
      <c r="X1009" s="32">
        <v>-2.158</v>
      </c>
      <c r="Y1009" s="32">
        <v>0.948</v>
      </c>
      <c r="Z1009" s="32">
        <v>-3.005</v>
      </c>
      <c r="AA1009" s="32">
        <v>1</v>
      </c>
      <c r="AB1009" s="32" t="s">
        <v>193</v>
      </c>
      <c r="AC1009" s="32" t="s">
        <v>536</v>
      </c>
      <c r="AD1009" s="32" t="s">
        <v>537</v>
      </c>
      <c r="AF1009" s="32">
        <v>801</v>
      </c>
      <c r="AG1009" s="32" t="s">
        <v>116</v>
      </c>
      <c r="AH1009" s="32" t="s">
        <v>200</v>
      </c>
      <c r="AK1009" s="32">
        <v>0</v>
      </c>
      <c r="AP1009" s="32">
        <v>4</v>
      </c>
      <c r="AV1009" s="32" t="s">
        <v>118</v>
      </c>
      <c r="AW1009" s="32" t="s">
        <v>118</v>
      </c>
      <c r="AY1009" s="32" t="s">
        <v>536</v>
      </c>
      <c r="AZ1009" s="32" t="s">
        <v>537</v>
      </c>
    </row>
    <row r="1010" s="32" customFormat="1" spans="1:52">
      <c r="A1010" s="32">
        <v>4015305</v>
      </c>
      <c r="B1010" s="223" t="s">
        <v>2201</v>
      </c>
      <c r="C1010" s="32" t="s">
        <v>2202</v>
      </c>
      <c r="D1010" s="32">
        <v>1</v>
      </c>
      <c r="E1010" s="32">
        <v>1</v>
      </c>
      <c r="F1010" s="32">
        <v>1</v>
      </c>
      <c r="G1010" s="32">
        <v>1.55</v>
      </c>
      <c r="H1010" s="32">
        <v>1.92</v>
      </c>
      <c r="I1010" s="32">
        <v>0.37</v>
      </c>
      <c r="J1010" s="32" t="s">
        <v>115</v>
      </c>
      <c r="L1010" s="234">
        <v>0.166666666666667</v>
      </c>
      <c r="M1010" s="234">
        <v>0.6</v>
      </c>
      <c r="N1010" s="234"/>
      <c r="O1010" s="234"/>
      <c r="P1010" s="234">
        <v>0.166666666666667</v>
      </c>
      <c r="Q1010" s="234">
        <v>0.7</v>
      </c>
      <c r="R1010" s="234"/>
      <c r="S1010" s="234"/>
      <c r="T1010" s="242">
        <v>2.4</v>
      </c>
      <c r="U1010" s="242">
        <v>0</v>
      </c>
      <c r="V1010" s="242"/>
      <c r="W1010" s="242"/>
      <c r="X1010" s="32">
        <v>-2.158</v>
      </c>
      <c r="Y1010" s="32">
        <v>0.948</v>
      </c>
      <c r="Z1010" s="32">
        <v>-3.005</v>
      </c>
      <c r="AA1010" s="32">
        <v>1</v>
      </c>
      <c r="AB1010" s="32" t="s">
        <v>193</v>
      </c>
      <c r="AC1010" s="32" t="s">
        <v>536</v>
      </c>
      <c r="AD1010" s="32" t="s">
        <v>537</v>
      </c>
      <c r="AF1010" s="32">
        <v>801</v>
      </c>
      <c r="AG1010" s="32" t="s">
        <v>116</v>
      </c>
      <c r="AH1010" s="32" t="s">
        <v>200</v>
      </c>
      <c r="AK1010" s="32">
        <v>0</v>
      </c>
      <c r="AP1010" s="32">
        <v>4</v>
      </c>
      <c r="AV1010" s="32" t="s">
        <v>118</v>
      </c>
      <c r="AW1010" s="32" t="s">
        <v>118</v>
      </c>
      <c r="AY1010" s="32" t="s">
        <v>536</v>
      </c>
      <c r="AZ1010" s="32" t="s">
        <v>537</v>
      </c>
    </row>
    <row r="1011" s="2" customFormat="1" spans="1:52">
      <c r="A1011" s="32">
        <v>4012102</v>
      </c>
      <c r="B1011" s="2" t="s">
        <v>2203</v>
      </c>
      <c r="C1011" s="2" t="s">
        <v>2123</v>
      </c>
      <c r="D1011" s="2">
        <v>1</v>
      </c>
      <c r="E1011" s="2">
        <v>1</v>
      </c>
      <c r="F1011" s="2">
        <v>1</v>
      </c>
      <c r="G1011" s="2">
        <v>3.2</v>
      </c>
      <c r="H1011" s="2">
        <v>4</v>
      </c>
      <c r="I1011" s="2">
        <v>0.7</v>
      </c>
      <c r="J1011" s="2" t="s">
        <v>115</v>
      </c>
      <c r="L1011" s="4">
        <v>0.1</v>
      </c>
      <c r="M1011" s="4">
        <v>0.4</v>
      </c>
      <c r="N1011" s="4"/>
      <c r="O1011" s="4"/>
      <c r="P1011" s="4">
        <v>0.133333333333333</v>
      </c>
      <c r="Q1011" s="4">
        <v>0.5</v>
      </c>
      <c r="R1011" s="4"/>
      <c r="S1011" s="4"/>
      <c r="T1011" s="7">
        <v>2.4</v>
      </c>
      <c r="U1011" s="7">
        <v>0</v>
      </c>
      <c r="V1011" s="7"/>
      <c r="W1011" s="7"/>
      <c r="AB1011" s="2">
        <v>1</v>
      </c>
      <c r="AC1011" s="2">
        <v>3923</v>
      </c>
      <c r="AD1011" s="2" t="s">
        <v>153</v>
      </c>
      <c r="AF1011" s="2">
        <v>801</v>
      </c>
      <c r="AG1011" s="2" t="s">
        <v>116</v>
      </c>
      <c r="AH1011" s="2" t="s">
        <v>200</v>
      </c>
      <c r="AK1011" s="2">
        <v>0</v>
      </c>
      <c r="AP1011" s="2">
        <v>4</v>
      </c>
      <c r="AV1011" s="2" t="s">
        <v>439</v>
      </c>
      <c r="AW1011" s="2" t="s">
        <v>440</v>
      </c>
      <c r="AY1011" s="2">
        <v>3923</v>
      </c>
      <c r="AZ1011" s="2" t="s">
        <v>153</v>
      </c>
    </row>
    <row r="1012" s="2" customFormat="1" spans="1:52">
      <c r="A1012" s="32">
        <v>4012202</v>
      </c>
      <c r="B1012" s="3" t="s">
        <v>2204</v>
      </c>
      <c r="C1012" s="2" t="s">
        <v>2125</v>
      </c>
      <c r="D1012" s="2">
        <v>1</v>
      </c>
      <c r="E1012" s="2">
        <v>1</v>
      </c>
      <c r="F1012" s="2">
        <v>1</v>
      </c>
      <c r="G1012" s="2">
        <v>3.2</v>
      </c>
      <c r="H1012" s="2">
        <v>3</v>
      </c>
      <c r="I1012" s="2">
        <v>0.7</v>
      </c>
      <c r="J1012" s="2" t="s">
        <v>115</v>
      </c>
      <c r="L1012" s="4">
        <v>0.1</v>
      </c>
      <c r="M1012" s="4">
        <v>0.433333333333333</v>
      </c>
      <c r="N1012" s="4"/>
      <c r="O1012" s="4"/>
      <c r="P1012" s="4">
        <v>0.133333333333333</v>
      </c>
      <c r="Q1012" s="4">
        <v>0.466666666666667</v>
      </c>
      <c r="R1012" s="4"/>
      <c r="S1012" s="4"/>
      <c r="T1012" s="7">
        <v>2.4</v>
      </c>
      <c r="U1012" s="7">
        <v>0</v>
      </c>
      <c r="V1012" s="7"/>
      <c r="W1012" s="7"/>
      <c r="AB1012" s="2">
        <v>1</v>
      </c>
      <c r="AC1012" s="2">
        <v>3971</v>
      </c>
      <c r="AD1012" s="2" t="s">
        <v>153</v>
      </c>
      <c r="AF1012" s="2">
        <v>801</v>
      </c>
      <c r="AG1012" s="2" t="s">
        <v>116</v>
      </c>
      <c r="AH1012" s="8" t="s">
        <v>324</v>
      </c>
      <c r="AK1012" s="2">
        <v>0</v>
      </c>
      <c r="AP1012" s="2">
        <v>4</v>
      </c>
      <c r="AY1012" s="2">
        <v>4793</v>
      </c>
      <c r="AZ1012" s="2" t="s">
        <v>153</v>
      </c>
    </row>
    <row r="1013" s="2" customFormat="1" spans="1:52">
      <c r="A1013" s="32">
        <v>4012603</v>
      </c>
      <c r="B1013" s="3" t="s">
        <v>2205</v>
      </c>
      <c r="C1013" s="2" t="s">
        <v>2135</v>
      </c>
      <c r="D1013" s="2">
        <v>1</v>
      </c>
      <c r="E1013" s="2">
        <v>1</v>
      </c>
      <c r="F1013" s="2">
        <v>1</v>
      </c>
      <c r="G1013" s="2">
        <v>3.5</v>
      </c>
      <c r="H1013" s="2">
        <v>4.5</v>
      </c>
      <c r="I1013" s="2">
        <v>0.5</v>
      </c>
      <c r="J1013" s="2" t="s">
        <v>115</v>
      </c>
      <c r="L1013" s="4">
        <v>0.133333333333333</v>
      </c>
      <c r="M1013" s="4">
        <v>0.466666666666667</v>
      </c>
      <c r="N1013" s="4"/>
      <c r="O1013" s="4"/>
      <c r="P1013" s="4">
        <v>0.133333333333333</v>
      </c>
      <c r="Q1013" s="4">
        <v>0.466666666666667</v>
      </c>
      <c r="R1013" s="4"/>
      <c r="S1013" s="4"/>
      <c r="T1013" s="7">
        <v>2.4</v>
      </c>
      <c r="U1013" s="7">
        <v>0</v>
      </c>
      <c r="V1013" s="7"/>
      <c r="W1013" s="7"/>
      <c r="AB1013" s="2">
        <v>1</v>
      </c>
      <c r="AC1013" s="2">
        <v>4083</v>
      </c>
      <c r="AD1013" s="2" t="s">
        <v>153</v>
      </c>
      <c r="AF1013" s="2">
        <v>801</v>
      </c>
      <c r="AG1013" s="2" t="s">
        <v>116</v>
      </c>
      <c r="AH1013" s="2" t="s">
        <v>324</v>
      </c>
      <c r="AK1013" s="2">
        <v>0</v>
      </c>
      <c r="AP1013" s="2">
        <v>4</v>
      </c>
      <c r="AV1013" s="2" t="s">
        <v>459</v>
      </c>
      <c r="AW1013" s="2" t="s">
        <v>460</v>
      </c>
      <c r="AY1013" s="2">
        <v>4656</v>
      </c>
      <c r="AZ1013" s="2" t="s">
        <v>153</v>
      </c>
    </row>
    <row r="1014" s="29" customFormat="1" spans="1:52">
      <c r="A1014" s="29">
        <v>4011902</v>
      </c>
      <c r="B1014" s="215" t="s">
        <v>2206</v>
      </c>
      <c r="C1014" s="215" t="s">
        <v>2207</v>
      </c>
      <c r="D1014" s="29">
        <v>0</v>
      </c>
      <c r="E1014" s="29">
        <v>1</v>
      </c>
      <c r="F1014" s="29">
        <v>0.96</v>
      </c>
      <c r="G1014" s="203">
        <v>4.1</v>
      </c>
      <c r="H1014" s="203">
        <v>5</v>
      </c>
      <c r="I1014" s="203">
        <v>0.7</v>
      </c>
      <c r="J1014" s="29" t="s">
        <v>115</v>
      </c>
      <c r="L1014" s="29">
        <v>0.133333333333333</v>
      </c>
      <c r="M1014" s="29">
        <v>0.5</v>
      </c>
      <c r="P1014" s="29">
        <v>0.133333333333333</v>
      </c>
      <c r="Q1014" s="29">
        <v>0.433333333333333</v>
      </c>
      <c r="T1014" s="29">
        <v>2.4</v>
      </c>
      <c r="U1014" s="206">
        <v>0</v>
      </c>
      <c r="V1014" s="206"/>
      <c r="AB1014" s="29">
        <v>1</v>
      </c>
      <c r="AC1014" s="29">
        <v>3854</v>
      </c>
      <c r="AD1014" s="29" t="s">
        <v>153</v>
      </c>
      <c r="AF1014" s="29">
        <v>801</v>
      </c>
      <c r="AG1014" s="29" t="s">
        <v>116</v>
      </c>
      <c r="AH1014" s="29" t="s">
        <v>200</v>
      </c>
      <c r="AK1014" s="29">
        <v>0</v>
      </c>
      <c r="AP1014" s="29">
        <v>4</v>
      </c>
      <c r="AY1014" s="29">
        <v>3854</v>
      </c>
      <c r="AZ1014" s="29" t="s">
        <v>153</v>
      </c>
    </row>
    <row r="1015" s="28" customFormat="1" spans="1:52">
      <c r="A1015" s="28">
        <v>4015401</v>
      </c>
      <c r="B1015" s="221" t="s">
        <v>2208</v>
      </c>
      <c r="C1015" s="221" t="s">
        <v>2209</v>
      </c>
      <c r="D1015" s="28">
        <v>1</v>
      </c>
      <c r="E1015" s="28">
        <v>1</v>
      </c>
      <c r="F1015" s="28">
        <v>1</v>
      </c>
      <c r="G1015" s="28">
        <v>1.55</v>
      </c>
      <c r="H1015" s="28">
        <v>1.92</v>
      </c>
      <c r="I1015" s="28">
        <v>0.37</v>
      </c>
      <c r="J1015" s="28" t="s">
        <v>115</v>
      </c>
      <c r="L1015" s="229">
        <v>0.166666666666667</v>
      </c>
      <c r="M1015" s="229">
        <v>0.6</v>
      </c>
      <c r="N1015" s="229"/>
      <c r="O1015" s="229"/>
      <c r="P1015" s="229">
        <v>0.166666666666667</v>
      </c>
      <c r="Q1015" s="229">
        <v>0.7</v>
      </c>
      <c r="R1015" s="229"/>
      <c r="S1015" s="229"/>
      <c r="T1015" s="213">
        <v>2.4</v>
      </c>
      <c r="U1015" s="213">
        <v>0</v>
      </c>
      <c r="V1015" s="213"/>
      <c r="W1015" s="213"/>
      <c r="X1015" s="28">
        <v>-2.158</v>
      </c>
      <c r="Y1015" s="28">
        <v>0.948</v>
      </c>
      <c r="Z1015" s="28">
        <v>-3.005</v>
      </c>
      <c r="AA1015" s="28">
        <v>1</v>
      </c>
      <c r="AB1015" s="28">
        <v>1</v>
      </c>
      <c r="AC1015" s="28">
        <v>5067</v>
      </c>
      <c r="AD1015" s="28" t="s">
        <v>153</v>
      </c>
      <c r="AF1015" s="28">
        <v>801</v>
      </c>
      <c r="AG1015" s="28" t="s">
        <v>116</v>
      </c>
      <c r="AH1015" s="28" t="s">
        <v>200</v>
      </c>
      <c r="AK1015" s="28">
        <v>0</v>
      </c>
      <c r="AV1015" s="28" t="s">
        <v>118</v>
      </c>
      <c r="AW1015" s="28" t="s">
        <v>118</v>
      </c>
      <c r="AY1015" s="28">
        <v>5067</v>
      </c>
      <c r="AZ1015" s="28" t="s">
        <v>153</v>
      </c>
    </row>
    <row r="1016" s="28" customFormat="1" spans="1:52">
      <c r="A1016" s="28">
        <v>4015402</v>
      </c>
      <c r="B1016" s="221" t="s">
        <v>2210</v>
      </c>
      <c r="C1016" s="221" t="s">
        <v>2211</v>
      </c>
      <c r="D1016" s="28">
        <v>1</v>
      </c>
      <c r="E1016" s="28">
        <v>1</v>
      </c>
      <c r="F1016" s="28">
        <v>1</v>
      </c>
      <c r="G1016" s="28">
        <v>1.55</v>
      </c>
      <c r="H1016" s="28">
        <v>1.92</v>
      </c>
      <c r="I1016" s="28">
        <v>0.37</v>
      </c>
      <c r="J1016" s="28" t="s">
        <v>115</v>
      </c>
      <c r="L1016" s="229">
        <v>0.166666666666667</v>
      </c>
      <c r="M1016" s="229">
        <v>0.6</v>
      </c>
      <c r="N1016" s="229"/>
      <c r="O1016" s="229"/>
      <c r="P1016" s="229">
        <v>0.166666666666667</v>
      </c>
      <c r="Q1016" s="229">
        <v>0.7</v>
      </c>
      <c r="R1016" s="229"/>
      <c r="S1016" s="229"/>
      <c r="T1016" s="213">
        <v>2.4</v>
      </c>
      <c r="U1016" s="213">
        <v>0</v>
      </c>
      <c r="V1016" s="213"/>
      <c r="W1016" s="213"/>
      <c r="X1016" s="28">
        <v>-2.158</v>
      </c>
      <c r="Y1016" s="28">
        <v>0.948</v>
      </c>
      <c r="Z1016" s="28">
        <v>-3.005</v>
      </c>
      <c r="AA1016" s="28">
        <v>1</v>
      </c>
      <c r="AB1016" s="28">
        <v>1</v>
      </c>
      <c r="AC1016" s="28">
        <v>5067</v>
      </c>
      <c r="AD1016" s="28" t="s">
        <v>153</v>
      </c>
      <c r="AF1016" s="28">
        <v>801</v>
      </c>
      <c r="AG1016" s="28" t="s">
        <v>116</v>
      </c>
      <c r="AH1016" s="28" t="s">
        <v>200</v>
      </c>
      <c r="AK1016" s="28">
        <v>0</v>
      </c>
      <c r="AV1016" s="28" t="s">
        <v>118</v>
      </c>
      <c r="AW1016" s="28" t="s">
        <v>118</v>
      </c>
      <c r="AY1016" s="28">
        <v>5067</v>
      </c>
      <c r="AZ1016" s="28" t="s">
        <v>153</v>
      </c>
    </row>
    <row r="1017" s="28" customFormat="1" spans="1:52">
      <c r="A1017" s="28">
        <v>4015403</v>
      </c>
      <c r="B1017" s="221" t="s">
        <v>2212</v>
      </c>
      <c r="C1017" s="221" t="s">
        <v>2213</v>
      </c>
      <c r="D1017" s="28">
        <v>1</v>
      </c>
      <c r="E1017" s="28">
        <v>1</v>
      </c>
      <c r="F1017" s="28">
        <v>1</v>
      </c>
      <c r="G1017" s="28">
        <v>1.55</v>
      </c>
      <c r="H1017" s="28">
        <v>1.92</v>
      </c>
      <c r="I1017" s="28">
        <v>0.37</v>
      </c>
      <c r="J1017" s="28" t="s">
        <v>115</v>
      </c>
      <c r="L1017" s="229">
        <v>0.166666666666667</v>
      </c>
      <c r="M1017" s="229">
        <v>0.6</v>
      </c>
      <c r="N1017" s="229"/>
      <c r="O1017" s="229"/>
      <c r="P1017" s="229">
        <v>0.166666666666667</v>
      </c>
      <c r="Q1017" s="229">
        <v>0.7</v>
      </c>
      <c r="R1017" s="229"/>
      <c r="S1017" s="229"/>
      <c r="T1017" s="213">
        <v>2.4</v>
      </c>
      <c r="U1017" s="213">
        <v>0</v>
      </c>
      <c r="V1017" s="213"/>
      <c r="W1017" s="213"/>
      <c r="X1017" s="28">
        <v>-2.158</v>
      </c>
      <c r="Y1017" s="28">
        <v>0.948</v>
      </c>
      <c r="Z1017" s="28">
        <v>-3.005</v>
      </c>
      <c r="AA1017" s="28">
        <v>1</v>
      </c>
      <c r="AB1017" s="28">
        <v>1</v>
      </c>
      <c r="AC1017" s="28">
        <v>5067</v>
      </c>
      <c r="AD1017" s="28" t="s">
        <v>153</v>
      </c>
      <c r="AF1017" s="28">
        <v>801</v>
      </c>
      <c r="AG1017" s="28" t="s">
        <v>116</v>
      </c>
      <c r="AH1017" s="28" t="s">
        <v>200</v>
      </c>
      <c r="AK1017" s="28">
        <v>0</v>
      </c>
      <c r="AP1017" s="28">
        <v>4</v>
      </c>
      <c r="AV1017" s="28" t="s">
        <v>118</v>
      </c>
      <c r="AW1017" s="28" t="s">
        <v>118</v>
      </c>
      <c r="AY1017" s="28">
        <v>5067</v>
      </c>
      <c r="AZ1017" s="28" t="s">
        <v>153</v>
      </c>
    </row>
    <row r="1018" s="28" customFormat="1" spans="1:52">
      <c r="A1018" s="28">
        <v>4015404</v>
      </c>
      <c r="B1018" s="221" t="s">
        <v>2212</v>
      </c>
      <c r="C1018" s="221" t="s">
        <v>2214</v>
      </c>
      <c r="D1018" s="28">
        <v>1</v>
      </c>
      <c r="E1018" s="28">
        <v>1</v>
      </c>
      <c r="F1018" s="28">
        <v>1</v>
      </c>
      <c r="G1018" s="28">
        <v>1.55</v>
      </c>
      <c r="H1018" s="28">
        <v>1.92</v>
      </c>
      <c r="I1018" s="28">
        <v>0.37</v>
      </c>
      <c r="J1018" s="28" t="s">
        <v>115</v>
      </c>
      <c r="L1018" s="229">
        <v>0.166666666666667</v>
      </c>
      <c r="M1018" s="229">
        <v>0.6</v>
      </c>
      <c r="N1018" s="229"/>
      <c r="O1018" s="229"/>
      <c r="P1018" s="229">
        <v>0.166666666666667</v>
      </c>
      <c r="Q1018" s="229">
        <v>0.7</v>
      </c>
      <c r="R1018" s="229"/>
      <c r="S1018" s="229"/>
      <c r="T1018" s="213">
        <v>2.4</v>
      </c>
      <c r="U1018" s="213">
        <v>0</v>
      </c>
      <c r="V1018" s="213"/>
      <c r="W1018" s="213"/>
      <c r="X1018" s="28">
        <v>-2.158</v>
      </c>
      <c r="Y1018" s="28">
        <v>0.948</v>
      </c>
      <c r="Z1018" s="28">
        <v>-3.005</v>
      </c>
      <c r="AA1018" s="28">
        <v>1</v>
      </c>
      <c r="AB1018" s="28">
        <v>1</v>
      </c>
      <c r="AC1018" s="28">
        <v>5067</v>
      </c>
      <c r="AD1018" s="28" t="s">
        <v>153</v>
      </c>
      <c r="AF1018" s="28">
        <v>801</v>
      </c>
      <c r="AG1018" s="28" t="s">
        <v>116</v>
      </c>
      <c r="AH1018" s="28" t="s">
        <v>200</v>
      </c>
      <c r="AK1018" s="28">
        <v>0</v>
      </c>
      <c r="AP1018" s="28">
        <v>4</v>
      </c>
      <c r="AV1018" s="28" t="s">
        <v>118</v>
      </c>
      <c r="AW1018" s="28" t="s">
        <v>118</v>
      </c>
      <c r="AY1018" s="28">
        <v>5067</v>
      </c>
      <c r="AZ1018" s="28" t="s">
        <v>153</v>
      </c>
    </row>
    <row r="1019" s="33" customFormat="1" spans="1:52">
      <c r="A1019" s="33">
        <v>4015501</v>
      </c>
      <c r="B1019" s="224" t="s">
        <v>2215</v>
      </c>
      <c r="C1019" s="224" t="s">
        <v>2216</v>
      </c>
      <c r="D1019" s="21">
        <v>1</v>
      </c>
      <c r="E1019" s="21">
        <v>1</v>
      </c>
      <c r="F1019" s="21">
        <v>1</v>
      </c>
      <c r="G1019" s="21">
        <v>1.55</v>
      </c>
      <c r="H1019" s="21">
        <v>1.92</v>
      </c>
      <c r="I1019" s="21">
        <v>0.37</v>
      </c>
      <c r="J1019" s="21" t="s">
        <v>115</v>
      </c>
      <c r="K1019" s="21"/>
      <c r="L1019" s="21">
        <f>4/30</f>
        <v>0.133333333333333</v>
      </c>
      <c r="M1019" s="21">
        <f>16/30</f>
        <v>0.533333333333333</v>
      </c>
      <c r="N1019" s="21"/>
      <c r="O1019" s="21"/>
      <c r="P1019" s="21">
        <v>0.133333333333333</v>
      </c>
      <c r="Q1019" s="21">
        <v>0.533333333333333</v>
      </c>
      <c r="R1019" s="21"/>
      <c r="S1019" s="21"/>
      <c r="T1019" s="21">
        <v>2.4</v>
      </c>
      <c r="U1019" s="92">
        <v>0</v>
      </c>
      <c r="V1019" s="92"/>
      <c r="W1019" s="21"/>
      <c r="X1019" s="21">
        <v>-2.425</v>
      </c>
      <c r="Y1019" s="21">
        <v>0.891</v>
      </c>
      <c r="Z1019" s="21">
        <v>-2.562</v>
      </c>
      <c r="AA1019" s="21">
        <v>1</v>
      </c>
      <c r="AB1019" s="21">
        <v>1</v>
      </c>
      <c r="AC1019" s="21">
        <v>5090</v>
      </c>
      <c r="AD1019" s="21" t="s">
        <v>153</v>
      </c>
      <c r="AE1019" s="21"/>
      <c r="AF1019" s="21">
        <v>801</v>
      </c>
      <c r="AG1019" s="21" t="s">
        <v>116</v>
      </c>
      <c r="AH1019" s="21" t="s">
        <v>200</v>
      </c>
      <c r="AI1019" s="21"/>
      <c r="AJ1019" s="21"/>
      <c r="AK1019" s="21">
        <v>0</v>
      </c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 t="s">
        <v>118</v>
      </c>
      <c r="AW1019" s="21" t="s">
        <v>118</v>
      </c>
      <c r="AX1019" s="21"/>
      <c r="AY1019" s="21">
        <v>5090</v>
      </c>
      <c r="AZ1019" s="21" t="s">
        <v>153</v>
      </c>
    </row>
    <row r="1020" s="33" customFormat="1" spans="1:52">
      <c r="A1020" s="33">
        <v>4015502</v>
      </c>
      <c r="B1020" s="224" t="s">
        <v>2217</v>
      </c>
      <c r="C1020" s="224" t="s">
        <v>2218</v>
      </c>
      <c r="D1020" s="21">
        <v>1</v>
      </c>
      <c r="E1020" s="21">
        <v>1</v>
      </c>
      <c r="F1020" s="21">
        <v>1</v>
      </c>
      <c r="G1020" s="21">
        <v>1.55</v>
      </c>
      <c r="H1020" s="21">
        <v>1.92</v>
      </c>
      <c r="I1020" s="21">
        <v>0.37</v>
      </c>
      <c r="J1020" s="21" t="s">
        <v>115</v>
      </c>
      <c r="K1020" s="21"/>
      <c r="L1020" s="21">
        <f>4/30</f>
        <v>0.133333333333333</v>
      </c>
      <c r="M1020" s="21">
        <f>16/30</f>
        <v>0.533333333333333</v>
      </c>
      <c r="N1020" s="21"/>
      <c r="O1020" s="21"/>
      <c r="P1020" s="21">
        <v>0.133333333333333</v>
      </c>
      <c r="Q1020" s="21">
        <v>0.533333333333333</v>
      </c>
      <c r="R1020" s="21"/>
      <c r="S1020" s="21"/>
      <c r="T1020" s="21">
        <v>2.4</v>
      </c>
      <c r="U1020" s="92">
        <v>0</v>
      </c>
      <c r="V1020" s="92"/>
      <c r="W1020" s="21"/>
      <c r="X1020" s="21">
        <v>-2.425</v>
      </c>
      <c r="Y1020" s="21">
        <v>0.891</v>
      </c>
      <c r="Z1020" s="21">
        <v>-2.562</v>
      </c>
      <c r="AA1020" s="21">
        <v>1</v>
      </c>
      <c r="AB1020" s="21">
        <v>1</v>
      </c>
      <c r="AC1020" s="21">
        <v>5090</v>
      </c>
      <c r="AD1020" s="21" t="s">
        <v>153</v>
      </c>
      <c r="AE1020" s="21"/>
      <c r="AF1020" s="21">
        <v>801</v>
      </c>
      <c r="AG1020" s="21" t="s">
        <v>116</v>
      </c>
      <c r="AH1020" s="21" t="s">
        <v>200</v>
      </c>
      <c r="AI1020" s="21"/>
      <c r="AJ1020" s="21"/>
      <c r="AK1020" s="21">
        <v>0</v>
      </c>
      <c r="AL1020" s="21"/>
      <c r="AM1020" s="21"/>
      <c r="AN1020" s="21"/>
      <c r="AO1020" s="21"/>
      <c r="AP1020" s="21">
        <v>4</v>
      </c>
      <c r="AQ1020" s="21"/>
      <c r="AR1020" s="21"/>
      <c r="AS1020" s="21"/>
      <c r="AT1020" s="21"/>
      <c r="AU1020" s="21"/>
      <c r="AV1020" s="21" t="s">
        <v>118</v>
      </c>
      <c r="AW1020" s="21" t="s">
        <v>118</v>
      </c>
      <c r="AX1020" s="21"/>
      <c r="AY1020" s="21">
        <v>5090</v>
      </c>
      <c r="AZ1020" s="21" t="s">
        <v>153</v>
      </c>
    </row>
    <row r="1021" s="34" customFormat="1" spans="1:52">
      <c r="A1021" s="34">
        <v>4003601</v>
      </c>
      <c r="B1021" s="225" t="s">
        <v>2219</v>
      </c>
      <c r="C1021" s="34" t="s">
        <v>2220</v>
      </c>
      <c r="D1021" s="34">
        <v>1</v>
      </c>
      <c r="E1021" s="34">
        <v>1</v>
      </c>
      <c r="F1021" s="34">
        <v>1</v>
      </c>
      <c r="G1021" s="34">
        <v>2.25</v>
      </c>
      <c r="H1021" s="226">
        <v>2.5</v>
      </c>
      <c r="I1021" s="226">
        <v>0.5</v>
      </c>
      <c r="J1021" s="34" t="s">
        <v>115</v>
      </c>
      <c r="K1021" s="226">
        <v>1</v>
      </c>
      <c r="L1021" s="235">
        <v>0.1</v>
      </c>
      <c r="M1021" s="235">
        <v>0.9</v>
      </c>
      <c r="N1021" s="235">
        <v>785</v>
      </c>
      <c r="O1021" s="235">
        <v>784</v>
      </c>
      <c r="P1021" s="235">
        <v>0.1</v>
      </c>
      <c r="Q1021" s="235">
        <v>0.9</v>
      </c>
      <c r="R1021" s="235">
        <v>785</v>
      </c>
      <c r="S1021" s="235">
        <v>784</v>
      </c>
      <c r="T1021" s="243">
        <v>2.4</v>
      </c>
      <c r="U1021" s="244">
        <v>0</v>
      </c>
      <c r="V1021" s="243">
        <v>-7.64</v>
      </c>
      <c r="W1021" s="34">
        <v>5</v>
      </c>
      <c r="X1021" s="34">
        <v>-2.06</v>
      </c>
      <c r="Y1021" s="34">
        <v>1.12</v>
      </c>
      <c r="Z1021" s="34">
        <v>-3.24</v>
      </c>
      <c r="AA1021" s="34">
        <v>0.8</v>
      </c>
      <c r="AB1021" s="34">
        <v>1</v>
      </c>
      <c r="AC1021" s="34">
        <v>695</v>
      </c>
      <c r="AD1021" s="247" t="s">
        <v>153</v>
      </c>
      <c r="AE1021" s="247"/>
      <c r="AF1021" s="34">
        <v>801</v>
      </c>
      <c r="AG1021" s="34" t="s">
        <v>116</v>
      </c>
      <c r="AH1021" s="34" t="s">
        <v>121</v>
      </c>
      <c r="AI1021" s="34">
        <v>3</v>
      </c>
      <c r="AJ1021" s="34">
        <v>0</v>
      </c>
      <c r="AK1021" s="34">
        <v>0</v>
      </c>
      <c r="AP1021" s="247"/>
      <c r="AV1021" s="34" t="s">
        <v>204</v>
      </c>
      <c r="AW1021" s="34" t="s">
        <v>204</v>
      </c>
      <c r="AY1021" s="34">
        <v>695</v>
      </c>
      <c r="AZ1021" s="247" t="s">
        <v>153</v>
      </c>
    </row>
    <row r="1022" s="34" customFormat="1" spans="1:52">
      <c r="A1022" s="34">
        <v>4003602</v>
      </c>
      <c r="B1022" s="225" t="s">
        <v>2221</v>
      </c>
      <c r="C1022" s="34" t="s">
        <v>2222</v>
      </c>
      <c r="D1022" s="34">
        <v>1</v>
      </c>
      <c r="E1022" s="34">
        <v>1</v>
      </c>
      <c r="F1022" s="34">
        <v>1</v>
      </c>
      <c r="G1022" s="34">
        <v>2.25</v>
      </c>
      <c r="H1022" s="226">
        <v>2.5</v>
      </c>
      <c r="I1022" s="226">
        <v>0.5</v>
      </c>
      <c r="J1022" s="34" t="s">
        <v>115</v>
      </c>
      <c r="K1022" s="226">
        <v>1</v>
      </c>
      <c r="L1022" s="235">
        <v>0.1</v>
      </c>
      <c r="M1022" s="235">
        <v>0.9</v>
      </c>
      <c r="N1022" s="235">
        <v>785</v>
      </c>
      <c r="O1022" s="235">
        <v>784</v>
      </c>
      <c r="P1022" s="235">
        <v>0.1</v>
      </c>
      <c r="Q1022" s="235">
        <v>0.9</v>
      </c>
      <c r="R1022" s="235">
        <v>785</v>
      </c>
      <c r="S1022" s="235">
        <v>784</v>
      </c>
      <c r="T1022" s="243">
        <v>2.4</v>
      </c>
      <c r="U1022" s="244">
        <v>0</v>
      </c>
      <c r="V1022" s="243">
        <v>-7.64</v>
      </c>
      <c r="W1022" s="34">
        <v>5</v>
      </c>
      <c r="X1022" s="34">
        <v>-2.06</v>
      </c>
      <c r="Y1022" s="34">
        <v>1.12</v>
      </c>
      <c r="Z1022" s="34">
        <v>-3.24</v>
      </c>
      <c r="AA1022" s="34">
        <v>0.8</v>
      </c>
      <c r="AB1022" s="34">
        <v>1</v>
      </c>
      <c r="AC1022" s="34">
        <v>695</v>
      </c>
      <c r="AD1022" s="247" t="s">
        <v>153</v>
      </c>
      <c r="AE1022" s="247"/>
      <c r="AF1022" s="34">
        <v>801</v>
      </c>
      <c r="AG1022" s="34" t="s">
        <v>116</v>
      </c>
      <c r="AH1022" s="34" t="s">
        <v>121</v>
      </c>
      <c r="AK1022" s="34">
        <v>0</v>
      </c>
      <c r="AP1022" s="247">
        <v>4</v>
      </c>
      <c r="AV1022" s="34" t="s">
        <v>204</v>
      </c>
      <c r="AW1022" s="34" t="s">
        <v>204</v>
      </c>
      <c r="AY1022" s="34">
        <v>695</v>
      </c>
      <c r="AZ1022" s="247" t="s">
        <v>153</v>
      </c>
    </row>
    <row r="1023" s="30" customFormat="1" spans="1:52">
      <c r="A1023" s="30">
        <v>4015601</v>
      </c>
      <c r="B1023" s="222" t="s">
        <v>2223</v>
      </c>
      <c r="C1023" s="222" t="s">
        <v>2224</v>
      </c>
      <c r="D1023" s="30">
        <v>1</v>
      </c>
      <c r="E1023" s="30">
        <v>1</v>
      </c>
      <c r="F1023" s="30">
        <v>1</v>
      </c>
      <c r="G1023" s="227">
        <v>3.1</v>
      </c>
      <c r="H1023" s="227">
        <v>3.15</v>
      </c>
      <c r="I1023" s="227">
        <v>0.4</v>
      </c>
      <c r="J1023" s="30" t="s">
        <v>115</v>
      </c>
      <c r="L1023" s="30">
        <v>0.133333333333333</v>
      </c>
      <c r="M1023" s="30">
        <v>0.533333333333333</v>
      </c>
      <c r="P1023" s="30">
        <v>0.133333333333333</v>
      </c>
      <c r="Q1023" s="30">
        <v>0.533333333333333</v>
      </c>
      <c r="T1023" s="30">
        <v>2.4</v>
      </c>
      <c r="U1023" s="239">
        <v>0</v>
      </c>
      <c r="V1023" s="239"/>
      <c r="X1023" s="30">
        <v>-1.98</v>
      </c>
      <c r="Y1023" s="30">
        <v>0.88</v>
      </c>
      <c r="Z1023" s="30">
        <v>-3.39</v>
      </c>
      <c r="AA1023" s="30">
        <v>0.6</v>
      </c>
      <c r="AB1023" s="30">
        <v>1</v>
      </c>
      <c r="AC1023" s="30">
        <v>5130</v>
      </c>
      <c r="AD1023" s="30" t="s">
        <v>153</v>
      </c>
      <c r="AF1023" s="30">
        <v>801</v>
      </c>
      <c r="AG1023" s="30" t="s">
        <v>116</v>
      </c>
      <c r="AH1023" s="30" t="s">
        <v>200</v>
      </c>
      <c r="AK1023" s="30">
        <v>0</v>
      </c>
      <c r="AP1023" s="30">
        <v>4</v>
      </c>
      <c r="AV1023" s="30" t="s">
        <v>118</v>
      </c>
      <c r="AW1023" s="30" t="s">
        <v>118</v>
      </c>
      <c r="AY1023" s="30">
        <v>5130</v>
      </c>
      <c r="AZ1023" s="30" t="s">
        <v>153</v>
      </c>
    </row>
    <row r="1024" s="23" customFormat="1" spans="1:52">
      <c r="A1024" s="29">
        <v>4015701</v>
      </c>
      <c r="B1024" s="82" t="s">
        <v>2225</v>
      </c>
      <c r="C1024" s="23" t="s">
        <v>2226</v>
      </c>
      <c r="D1024" s="23">
        <v>1</v>
      </c>
      <c r="E1024" s="23">
        <v>1</v>
      </c>
      <c r="F1024" s="23">
        <v>1</v>
      </c>
      <c r="G1024" s="23">
        <v>2.5</v>
      </c>
      <c r="H1024" s="23">
        <v>2.8</v>
      </c>
      <c r="I1024" s="23">
        <v>0.45</v>
      </c>
      <c r="J1024" s="23" t="s">
        <v>115</v>
      </c>
      <c r="L1024" s="89">
        <f>2/30</f>
        <v>0.0666666666666667</v>
      </c>
      <c r="M1024" s="89">
        <f>15/30</f>
        <v>0.5</v>
      </c>
      <c r="N1024" s="89"/>
      <c r="O1024" s="89"/>
      <c r="P1024" s="89">
        <f>4/30</f>
        <v>0.133333333333333</v>
      </c>
      <c r="Q1024" s="89">
        <f>15/30</f>
        <v>0.5</v>
      </c>
      <c r="R1024" s="89"/>
      <c r="S1024" s="89"/>
      <c r="T1024" s="94">
        <v>2.4</v>
      </c>
      <c r="U1024" s="94">
        <v>0</v>
      </c>
      <c r="V1024" s="94"/>
      <c r="W1024" s="94"/>
      <c r="X1024" s="94">
        <v>-1.75</v>
      </c>
      <c r="Y1024" s="23">
        <v>1.07</v>
      </c>
      <c r="Z1024" s="23">
        <v>-3.46</v>
      </c>
      <c r="AA1024" s="23">
        <v>0.8</v>
      </c>
      <c r="AB1024" s="23">
        <v>1</v>
      </c>
      <c r="AC1024" s="23">
        <v>5158</v>
      </c>
      <c r="AD1024" s="23" t="s">
        <v>153</v>
      </c>
      <c r="AF1024" s="23">
        <v>801</v>
      </c>
      <c r="AG1024" s="23" t="s">
        <v>116</v>
      </c>
      <c r="AH1024" s="23" t="s">
        <v>200</v>
      </c>
      <c r="AK1024" s="23">
        <v>0</v>
      </c>
      <c r="AV1024" s="23" t="s">
        <v>118</v>
      </c>
      <c r="AW1024" s="23" t="s">
        <v>118</v>
      </c>
      <c r="AY1024" s="23">
        <v>5158</v>
      </c>
      <c r="AZ1024" s="23" t="s">
        <v>153</v>
      </c>
    </row>
    <row r="1025" s="33" customFormat="1" spans="1:52">
      <c r="A1025" s="33">
        <v>407801</v>
      </c>
      <c r="B1025" s="224" t="s">
        <v>2227</v>
      </c>
      <c r="C1025" s="224" t="s">
        <v>2228</v>
      </c>
      <c r="D1025" s="21">
        <v>1</v>
      </c>
      <c r="E1025" s="21">
        <v>1</v>
      </c>
      <c r="F1025" s="21">
        <v>1</v>
      </c>
      <c r="G1025" s="21">
        <v>2.35</v>
      </c>
      <c r="H1025" s="21">
        <v>2.66</v>
      </c>
      <c r="I1025" s="21">
        <v>0.45</v>
      </c>
      <c r="J1025" s="21" t="s">
        <v>115</v>
      </c>
      <c r="K1025" s="21"/>
      <c r="L1025" s="21">
        <v>0.0666666666666667</v>
      </c>
      <c r="M1025" s="21">
        <v>0.533333333333333</v>
      </c>
      <c r="N1025" s="21">
        <v>1844</v>
      </c>
      <c r="O1025" s="21">
        <v>1845</v>
      </c>
      <c r="P1025" s="21">
        <v>0.133333333333333</v>
      </c>
      <c r="Q1025" s="21">
        <v>0.5</v>
      </c>
      <c r="R1025" s="21">
        <v>1847</v>
      </c>
      <c r="S1025" s="21">
        <v>1845</v>
      </c>
      <c r="T1025" s="21">
        <v>2.4</v>
      </c>
      <c r="U1025" s="92">
        <v>0</v>
      </c>
      <c r="V1025" s="92"/>
      <c r="W1025" s="21"/>
      <c r="X1025" s="21">
        <v>-1.644</v>
      </c>
      <c r="Y1025" s="21">
        <v>1.2</v>
      </c>
      <c r="Z1025" s="21">
        <v>-3.685</v>
      </c>
      <c r="AA1025" s="21">
        <v>0.9</v>
      </c>
      <c r="AB1025" s="21" t="s">
        <v>270</v>
      </c>
      <c r="AC1025" s="21" t="s">
        <v>2229</v>
      </c>
      <c r="AD1025" s="21" t="s">
        <v>307</v>
      </c>
      <c r="AE1025" s="21"/>
      <c r="AF1025" s="21">
        <v>801</v>
      </c>
      <c r="AG1025" s="21" t="s">
        <v>116</v>
      </c>
      <c r="AH1025" s="21" t="s">
        <v>200</v>
      </c>
      <c r="AI1025" s="21"/>
      <c r="AJ1025" s="21"/>
      <c r="AK1025" s="21">
        <v>0</v>
      </c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 t="s">
        <v>2229</v>
      </c>
      <c r="AZ1025" s="21" t="s">
        <v>307</v>
      </c>
    </row>
    <row r="1026" spans="1:52">
      <c r="A1026" s="1">
        <v>30001</v>
      </c>
      <c r="B1026" s="249" t="s">
        <v>2230</v>
      </c>
      <c r="C1026" s="249" t="s">
        <v>2231</v>
      </c>
      <c r="D1026" s="1">
        <v>1</v>
      </c>
      <c r="E1026" s="1"/>
      <c r="F1026" s="1">
        <v>1</v>
      </c>
      <c r="G1026" s="250">
        <v>3.4</v>
      </c>
      <c r="H1026" s="250">
        <v>2.9</v>
      </c>
      <c r="I1026" s="250">
        <v>0.5</v>
      </c>
      <c r="J1026" s="1" t="s">
        <v>115</v>
      </c>
      <c r="K1026" s="1"/>
      <c r="L1026" s="1">
        <v>0.2</v>
      </c>
      <c r="M1026" s="1">
        <v>0.633333333333333</v>
      </c>
      <c r="N1026" s="1"/>
      <c r="O1026" s="1"/>
      <c r="P1026" s="1">
        <v>0.166666666666667</v>
      </c>
      <c r="Q1026" s="1">
        <v>0.6</v>
      </c>
      <c r="R1026" s="1"/>
      <c r="S1026" s="1"/>
      <c r="T1026" s="1">
        <v>2.4</v>
      </c>
      <c r="U1026" s="5"/>
      <c r="V1026" s="5"/>
      <c r="W1026" s="1"/>
      <c r="X1026" s="1"/>
      <c r="Y1026" s="1"/>
      <c r="Z1026" s="1"/>
      <c r="AA1026" s="1"/>
      <c r="AB1026" s="1"/>
      <c r="AC1026" s="30"/>
      <c r="AD1026" s="1"/>
      <c r="AE1026" s="1"/>
      <c r="AF1026" s="1">
        <v>801</v>
      </c>
      <c r="AG1026" s="1" t="s">
        <v>116</v>
      </c>
      <c r="AH1026" s="1"/>
      <c r="AI1026" s="1"/>
      <c r="AJ1026" s="1"/>
      <c r="AK1026" s="1">
        <v>0</v>
      </c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Y1026" s="271"/>
      <c r="AZ1026" s="1"/>
    </row>
    <row r="1027" spans="1:52">
      <c r="A1027" s="1">
        <v>30002</v>
      </c>
      <c r="B1027" s="251" t="s">
        <v>2232</v>
      </c>
      <c r="C1027" s="1" t="s">
        <v>2233</v>
      </c>
      <c r="D1027" s="1">
        <v>1</v>
      </c>
      <c r="E1027" s="1"/>
      <c r="F1027" s="1">
        <v>1</v>
      </c>
      <c r="G1027" s="250">
        <v>2.35</v>
      </c>
      <c r="H1027" s="250">
        <v>2.55</v>
      </c>
      <c r="I1027" s="250">
        <v>0.75</v>
      </c>
      <c r="J1027" s="1" t="s">
        <v>115</v>
      </c>
      <c r="K1027" s="1"/>
      <c r="L1027">
        <v>0.1</v>
      </c>
      <c r="M1027">
        <v>0.566666666666667</v>
      </c>
      <c r="N1027" s="1"/>
      <c r="O1027" s="1"/>
      <c r="P1027">
        <v>0.133333333333333</v>
      </c>
      <c r="Q1027">
        <v>0.533333333333333</v>
      </c>
      <c r="R1027" s="1"/>
      <c r="S1027" s="1"/>
      <c r="T1027" s="1">
        <v>2.4</v>
      </c>
      <c r="U1027" s="5">
        <v>0</v>
      </c>
      <c r="V1027" s="5">
        <v>-5.64</v>
      </c>
      <c r="W1027" s="1">
        <v>3.5</v>
      </c>
      <c r="X1027" s="1">
        <v>-1.15</v>
      </c>
      <c r="Y1027" s="1">
        <v>0.99</v>
      </c>
      <c r="Z1027" s="1">
        <v>-4.88</v>
      </c>
      <c r="AA1027" s="1">
        <v>0.85</v>
      </c>
      <c r="AB1027" s="1">
        <v>0</v>
      </c>
      <c r="AC1027" s="1"/>
      <c r="AD1027" s="1"/>
      <c r="AE1027" s="1"/>
      <c r="AF1027" s="1">
        <v>801</v>
      </c>
      <c r="AG1027" s="1" t="s">
        <v>116</v>
      </c>
      <c r="AH1027" s="1"/>
      <c r="AI1027" s="1"/>
      <c r="AJ1027" s="1"/>
      <c r="AK1027" s="39">
        <v>1</v>
      </c>
      <c r="AL1027" s="11">
        <v>300040</v>
      </c>
      <c r="AM1027" s="1"/>
      <c r="AN1027" s="1"/>
      <c r="AO1027" s="1"/>
      <c r="AP1027" s="1"/>
      <c r="AQ1027" s="1"/>
      <c r="AR1027" s="1"/>
      <c r="AS1027" s="1"/>
      <c r="AT1027" s="1"/>
      <c r="AU1027" s="1"/>
      <c r="AY1027" s="1"/>
      <c r="AZ1027" s="1"/>
    </row>
    <row r="1028" spans="1:52">
      <c r="A1028" s="1">
        <v>30003</v>
      </c>
      <c r="B1028" s="251" t="s">
        <v>2234</v>
      </c>
      <c r="C1028" s="1" t="s">
        <v>2235</v>
      </c>
      <c r="D1028" s="1">
        <v>1</v>
      </c>
      <c r="E1028" s="1">
        <v>1</v>
      </c>
      <c r="F1028" s="1">
        <v>1</v>
      </c>
      <c r="G1028" s="250">
        <v>1.7</v>
      </c>
      <c r="H1028" s="250">
        <v>2</v>
      </c>
      <c r="I1028" s="250">
        <v>0.5</v>
      </c>
      <c r="J1028" s="1" t="s">
        <v>115</v>
      </c>
      <c r="K1028" s="1"/>
      <c r="L1028">
        <v>0</v>
      </c>
      <c r="M1028">
        <v>0.4</v>
      </c>
      <c r="N1028" s="1"/>
      <c r="O1028" s="1"/>
      <c r="P1028">
        <v>0.166666666666667</v>
      </c>
      <c r="Q1028">
        <v>0.666666666666667</v>
      </c>
      <c r="R1028" s="1"/>
      <c r="S1028" s="1"/>
      <c r="T1028" s="1">
        <v>2.4</v>
      </c>
      <c r="U1028" s="5">
        <v>0</v>
      </c>
      <c r="V1028" s="5">
        <v>-6.6</v>
      </c>
      <c r="W1028" s="1">
        <v>5</v>
      </c>
      <c r="X1028" s="1">
        <v>-2.27</v>
      </c>
      <c r="Y1028" s="1">
        <v>1</v>
      </c>
      <c r="Z1028" s="1">
        <v>-2.93</v>
      </c>
      <c r="AA1028" s="1">
        <v>1</v>
      </c>
      <c r="AB1028" s="1"/>
      <c r="AC1028" s="1"/>
      <c r="AD1028" s="1"/>
      <c r="AE1028" s="1"/>
      <c r="AF1028" s="1"/>
      <c r="AG1028" s="1"/>
      <c r="AH1028" s="1" t="s">
        <v>121</v>
      </c>
      <c r="AI1028" s="1"/>
      <c r="AJ1028" s="1"/>
      <c r="AK1028" s="1">
        <v>0</v>
      </c>
      <c r="AL1028" s="1"/>
      <c r="AM1028" s="1"/>
      <c r="AN1028" s="1"/>
      <c r="AO1028" s="1"/>
      <c r="AY1028" s="1"/>
      <c r="AZ1028" s="1"/>
    </row>
    <row r="1029" spans="1:52">
      <c r="A1029" s="1">
        <v>30004</v>
      </c>
      <c r="B1029" s="251" t="s">
        <v>2236</v>
      </c>
      <c r="C1029" s="1" t="s">
        <v>2237</v>
      </c>
      <c r="D1029" s="1">
        <v>1</v>
      </c>
      <c r="E1029" s="1"/>
      <c r="F1029" s="1">
        <v>1</v>
      </c>
      <c r="G1029" s="250">
        <v>1.7</v>
      </c>
      <c r="H1029" s="250">
        <v>2</v>
      </c>
      <c r="I1029" s="250">
        <v>0.4</v>
      </c>
      <c r="J1029" s="1" t="s">
        <v>115</v>
      </c>
      <c r="K1029" s="1"/>
      <c r="L1029">
        <v>0</v>
      </c>
      <c r="M1029">
        <v>0.4</v>
      </c>
      <c r="N1029" s="1"/>
      <c r="O1029" s="1"/>
      <c r="P1029">
        <v>0.166666666666667</v>
      </c>
      <c r="Q1029">
        <v>0.666666666666667</v>
      </c>
      <c r="R1029" s="1"/>
      <c r="S1029" s="1"/>
      <c r="T1029" s="1">
        <v>2.4</v>
      </c>
      <c r="U1029" s="5">
        <v>0</v>
      </c>
      <c r="V1029" s="5">
        <v>-6.6</v>
      </c>
      <c r="W1029" s="1">
        <v>5</v>
      </c>
      <c r="X1029" s="1">
        <v>-2.27</v>
      </c>
      <c r="Y1029" s="1">
        <v>1</v>
      </c>
      <c r="Z1029" s="1">
        <v>-2.93</v>
      </c>
      <c r="AA1029" s="1">
        <v>1</v>
      </c>
      <c r="AB1029" s="1"/>
      <c r="AC1029" s="1"/>
      <c r="AD1029" s="1"/>
      <c r="AE1029" s="1"/>
      <c r="AF1029" s="1"/>
      <c r="AG1029" s="1"/>
      <c r="AH1029" s="1"/>
      <c r="AI1029" s="1"/>
      <c r="AJ1029" s="1"/>
      <c r="AK1029" s="1">
        <v>1</v>
      </c>
      <c r="AL1029" s="1">
        <v>1164</v>
      </c>
      <c r="AM1029" s="1"/>
      <c r="AN1029" s="1"/>
      <c r="AO1029" s="1"/>
      <c r="AY1029" s="1"/>
      <c r="AZ1029" s="1"/>
    </row>
    <row r="1030" spans="1:52">
      <c r="A1030" s="252">
        <v>30005</v>
      </c>
      <c r="B1030" s="253" t="s">
        <v>2238</v>
      </c>
      <c r="C1030" s="254" t="s">
        <v>252</v>
      </c>
      <c r="D1030" s="255">
        <v>1</v>
      </c>
      <c r="E1030" s="255"/>
      <c r="F1030" s="255">
        <v>0.9</v>
      </c>
      <c r="G1030" s="255">
        <v>3.4</v>
      </c>
      <c r="H1030" s="255">
        <v>4.3</v>
      </c>
      <c r="I1030" s="255">
        <v>0.6</v>
      </c>
      <c r="J1030" s="255" t="s">
        <v>115</v>
      </c>
      <c r="K1030" s="255"/>
      <c r="L1030" s="255">
        <v>0.0666666666666667</v>
      </c>
      <c r="M1030" s="255">
        <v>0.433333333333333</v>
      </c>
      <c r="N1030" s="255"/>
      <c r="O1030" s="255"/>
      <c r="P1030" s="255">
        <v>0.1</v>
      </c>
      <c r="Q1030" s="255">
        <v>0.533333333333333</v>
      </c>
      <c r="R1030" s="255"/>
      <c r="S1030" s="255"/>
      <c r="T1030" s="252">
        <v>2.4</v>
      </c>
      <c r="U1030" s="252">
        <v>0</v>
      </c>
      <c r="V1030" s="252"/>
      <c r="W1030" s="252"/>
      <c r="X1030" s="255"/>
      <c r="Y1030" s="255"/>
      <c r="Z1030" s="255"/>
      <c r="AA1030" s="255"/>
      <c r="AB1030" s="255"/>
      <c r="AC1030" s="255"/>
      <c r="AD1030" s="255"/>
      <c r="AE1030" s="255"/>
      <c r="AF1030" s="255"/>
      <c r="AG1030" s="255"/>
      <c r="AH1030" s="255"/>
      <c r="AI1030" s="255"/>
      <c r="AJ1030" s="255"/>
      <c r="AK1030" s="255">
        <v>0</v>
      </c>
      <c r="AL1030" s="255"/>
      <c r="AM1030" s="255"/>
      <c r="AN1030" s="255"/>
      <c r="AO1030" s="255"/>
      <c r="AP1030" s="255"/>
      <c r="AQ1030" s="255"/>
      <c r="AR1030" s="255"/>
      <c r="AS1030" s="255"/>
      <c r="AT1030" s="255"/>
      <c r="AU1030" s="255"/>
      <c r="AY1030" s="255"/>
      <c r="AZ1030" s="255"/>
    </row>
    <row r="1031" spans="1:52">
      <c r="A1031" s="252">
        <v>30006</v>
      </c>
      <c r="B1031" s="253" t="s">
        <v>2239</v>
      </c>
      <c r="C1031" s="254" t="s">
        <v>2240</v>
      </c>
      <c r="D1031" s="255">
        <v>0</v>
      </c>
      <c r="E1031" s="255"/>
      <c r="F1031" s="255">
        <v>1</v>
      </c>
      <c r="G1031" s="255">
        <v>1.7</v>
      </c>
      <c r="H1031" s="255">
        <v>1.7</v>
      </c>
      <c r="I1031" s="255">
        <v>0.5</v>
      </c>
      <c r="J1031" s="255" t="s">
        <v>115</v>
      </c>
      <c r="K1031" s="255"/>
      <c r="L1031" s="255">
        <v>0.0666666666666667</v>
      </c>
      <c r="M1031" s="255">
        <v>0.666666666666667</v>
      </c>
      <c r="N1031" s="255"/>
      <c r="O1031" s="255"/>
      <c r="P1031" s="255">
        <v>0.0666666666666667</v>
      </c>
      <c r="Q1031" s="255">
        <v>0.633333333333333</v>
      </c>
      <c r="R1031" s="255"/>
      <c r="S1031" s="255"/>
      <c r="T1031" s="252">
        <v>2.4</v>
      </c>
      <c r="U1031" s="252">
        <v>0</v>
      </c>
      <c r="V1031" s="252"/>
      <c r="W1031" s="252"/>
      <c r="X1031" s="255"/>
      <c r="Y1031" s="255"/>
      <c r="Z1031" s="255"/>
      <c r="AA1031" s="255"/>
      <c r="AB1031" s="255"/>
      <c r="AC1031" s="255"/>
      <c r="AD1031" s="255"/>
      <c r="AE1031" s="255"/>
      <c r="AF1031" s="255"/>
      <c r="AG1031" s="255"/>
      <c r="AH1031" s="255" t="s">
        <v>2241</v>
      </c>
      <c r="AI1031" s="255"/>
      <c r="AJ1031" s="255"/>
      <c r="AK1031" s="255">
        <v>0</v>
      </c>
      <c r="AL1031" s="255"/>
      <c r="AM1031" s="255"/>
      <c r="AN1031" s="255"/>
      <c r="AO1031" s="255"/>
      <c r="AP1031" s="255"/>
      <c r="AQ1031" s="255"/>
      <c r="AR1031" s="255"/>
      <c r="AS1031" s="255"/>
      <c r="AT1031" s="255"/>
      <c r="AU1031" s="255"/>
      <c r="AY1031" s="255"/>
      <c r="AZ1031" s="255"/>
    </row>
    <row r="1032" spans="1:52">
      <c r="A1032" s="252">
        <v>30007</v>
      </c>
      <c r="B1032" s="253" t="s">
        <v>2242</v>
      </c>
      <c r="C1032" s="254" t="s">
        <v>2243</v>
      </c>
      <c r="D1032" s="255"/>
      <c r="E1032" s="255"/>
      <c r="F1032" s="255">
        <v>1</v>
      </c>
      <c r="G1032" s="255">
        <v>1.7</v>
      </c>
      <c r="H1032" s="255">
        <v>1.7</v>
      </c>
      <c r="I1032" s="255">
        <v>0.5</v>
      </c>
      <c r="J1032" s="255" t="s">
        <v>115</v>
      </c>
      <c r="K1032" s="255"/>
      <c r="L1032" s="255">
        <v>0.0666666666666667</v>
      </c>
      <c r="M1032" s="255">
        <v>0.666666666666667</v>
      </c>
      <c r="N1032" s="255"/>
      <c r="O1032" s="255"/>
      <c r="P1032" s="255">
        <v>0.0666666666666667</v>
      </c>
      <c r="Q1032" s="255">
        <v>0.633333333333333</v>
      </c>
      <c r="R1032" s="255"/>
      <c r="S1032" s="255"/>
      <c r="T1032" s="252">
        <v>2.4</v>
      </c>
      <c r="U1032" s="252">
        <v>0</v>
      </c>
      <c r="V1032" s="252"/>
      <c r="W1032" s="252"/>
      <c r="X1032" s="255"/>
      <c r="Y1032" s="255"/>
      <c r="Z1032" s="255"/>
      <c r="AA1032" s="255"/>
      <c r="AB1032" s="255"/>
      <c r="AC1032" s="255"/>
      <c r="AD1032" s="255"/>
      <c r="AE1032" s="255"/>
      <c r="AF1032" s="255"/>
      <c r="AG1032" s="255"/>
      <c r="AH1032" s="255"/>
      <c r="AI1032" s="255"/>
      <c r="AJ1032" s="255"/>
      <c r="AK1032" s="255">
        <v>0</v>
      </c>
      <c r="AL1032" s="255"/>
      <c r="AM1032" s="255"/>
      <c r="AN1032" s="255"/>
      <c r="AO1032" s="255"/>
      <c r="AP1032" s="255"/>
      <c r="AQ1032" s="255"/>
      <c r="AR1032" s="255"/>
      <c r="AS1032" s="255"/>
      <c r="AT1032" s="255"/>
      <c r="AU1032" s="255"/>
      <c r="AY1032" s="255"/>
      <c r="AZ1032" s="255"/>
    </row>
    <row r="1033" spans="1:52">
      <c r="A1033" s="252">
        <v>30008</v>
      </c>
      <c r="B1033" s="253" t="s">
        <v>2244</v>
      </c>
      <c r="C1033" s="254" t="s">
        <v>2245</v>
      </c>
      <c r="D1033" s="255">
        <v>0</v>
      </c>
      <c r="E1033" s="255"/>
      <c r="F1033" s="255">
        <v>1</v>
      </c>
      <c r="G1033" s="255">
        <v>1.7</v>
      </c>
      <c r="H1033" s="255">
        <v>1.7</v>
      </c>
      <c r="I1033" s="255">
        <v>0.5</v>
      </c>
      <c r="J1033" s="255" t="s">
        <v>115</v>
      </c>
      <c r="K1033" s="255"/>
      <c r="L1033" s="255">
        <v>0.0666666666666667</v>
      </c>
      <c r="M1033" s="255">
        <v>0.666666666666667</v>
      </c>
      <c r="N1033" s="255"/>
      <c r="O1033" s="255"/>
      <c r="P1033" s="255">
        <v>0.0666666666666667</v>
      </c>
      <c r="Q1033" s="255">
        <v>0.633333333333333</v>
      </c>
      <c r="R1033" s="255"/>
      <c r="S1033" s="255"/>
      <c r="T1033" s="252">
        <v>2.4</v>
      </c>
      <c r="U1033" s="252">
        <v>0</v>
      </c>
      <c r="V1033" s="252"/>
      <c r="W1033" s="252"/>
      <c r="X1033" s="255"/>
      <c r="Y1033" s="255"/>
      <c r="Z1033" s="255"/>
      <c r="AA1033" s="255"/>
      <c r="AB1033" s="255"/>
      <c r="AC1033" s="255"/>
      <c r="AD1033" s="255"/>
      <c r="AE1033" s="255"/>
      <c r="AF1033" s="255"/>
      <c r="AG1033" s="255"/>
      <c r="AH1033" s="255"/>
      <c r="AI1033" s="255"/>
      <c r="AJ1033" s="255"/>
      <c r="AK1033" s="255">
        <v>0</v>
      </c>
      <c r="AL1033" s="255"/>
      <c r="AM1033" s="255"/>
      <c r="AN1033" s="255"/>
      <c r="AO1033" s="255"/>
      <c r="AP1033" s="255"/>
      <c r="AQ1033" s="255"/>
      <c r="AR1033" s="255"/>
      <c r="AS1033" s="255"/>
      <c r="AT1033" s="255"/>
      <c r="AU1033" s="255"/>
      <c r="AY1033" s="255"/>
      <c r="AZ1033" s="255"/>
    </row>
    <row r="1034" spans="1:52">
      <c r="A1034" s="252">
        <v>30009</v>
      </c>
      <c r="B1034" s="253" t="s">
        <v>2246</v>
      </c>
      <c r="C1034" s="254" t="s">
        <v>2247</v>
      </c>
      <c r="D1034" s="255">
        <v>1</v>
      </c>
      <c r="E1034" s="255"/>
      <c r="F1034" s="255">
        <v>0.85</v>
      </c>
      <c r="G1034" s="255">
        <v>2.8</v>
      </c>
      <c r="H1034" s="255">
        <v>2.8</v>
      </c>
      <c r="I1034" s="255">
        <v>0.35</v>
      </c>
      <c r="J1034" s="255" t="s">
        <v>115</v>
      </c>
      <c r="K1034" s="255"/>
      <c r="L1034" s="255">
        <v>0.0333333333333333</v>
      </c>
      <c r="M1034" s="255">
        <v>0.5</v>
      </c>
      <c r="N1034" s="255"/>
      <c r="O1034" s="255"/>
      <c r="P1034" s="255">
        <v>0.0333333333333333</v>
      </c>
      <c r="Q1034" s="255">
        <v>0.533333333333333</v>
      </c>
      <c r="R1034" s="255"/>
      <c r="S1034" s="255"/>
      <c r="T1034" s="252">
        <v>2.4</v>
      </c>
      <c r="U1034" s="252">
        <v>0</v>
      </c>
      <c r="V1034" s="252"/>
      <c r="W1034" s="252"/>
      <c r="X1034" s="255"/>
      <c r="Y1034" s="255"/>
      <c r="Z1034" s="255"/>
      <c r="AA1034" s="255"/>
      <c r="AB1034" s="255"/>
      <c r="AC1034" s="255"/>
      <c r="AD1034" s="255"/>
      <c r="AE1034" s="255"/>
      <c r="AF1034" s="255"/>
      <c r="AG1034" s="255"/>
      <c r="AH1034" s="255"/>
      <c r="AI1034" s="255"/>
      <c r="AJ1034" s="255"/>
      <c r="AK1034" s="255">
        <v>0</v>
      </c>
      <c r="AL1034" s="255"/>
      <c r="AM1034" s="255"/>
      <c r="AN1034" s="255"/>
      <c r="AO1034" s="255"/>
      <c r="AP1034" s="255"/>
      <c r="AQ1034" s="255"/>
      <c r="AR1034" s="255"/>
      <c r="AS1034" s="255"/>
      <c r="AT1034" s="255"/>
      <c r="AU1034" s="255"/>
      <c r="AY1034" s="255"/>
      <c r="AZ1034" s="255"/>
    </row>
    <row r="1035" spans="1:52">
      <c r="A1035" s="252">
        <v>30010</v>
      </c>
      <c r="B1035" s="253" t="s">
        <v>2248</v>
      </c>
      <c r="C1035" s="254" t="s">
        <v>2249</v>
      </c>
      <c r="D1035" s="255">
        <v>0</v>
      </c>
      <c r="E1035" s="255"/>
      <c r="F1035" s="255">
        <v>1</v>
      </c>
      <c r="G1035" s="255">
        <v>1.7</v>
      </c>
      <c r="H1035" s="255">
        <v>1.7</v>
      </c>
      <c r="I1035" s="255">
        <v>0.5</v>
      </c>
      <c r="J1035" s="255" t="s">
        <v>115</v>
      </c>
      <c r="K1035" s="255"/>
      <c r="L1035" s="255">
        <v>0.0666666666666667</v>
      </c>
      <c r="M1035" s="255">
        <v>0.666666666666667</v>
      </c>
      <c r="N1035" s="255"/>
      <c r="O1035" s="255"/>
      <c r="P1035" s="255">
        <v>0.0666666666666667</v>
      </c>
      <c r="Q1035" s="255">
        <v>0.633333333333333</v>
      </c>
      <c r="R1035" s="255"/>
      <c r="S1035" s="255"/>
      <c r="T1035" s="252">
        <v>2.4</v>
      </c>
      <c r="U1035" s="252">
        <v>0</v>
      </c>
      <c r="V1035" s="252"/>
      <c r="W1035" s="252"/>
      <c r="X1035" s="255"/>
      <c r="Y1035" s="255"/>
      <c r="Z1035" s="255"/>
      <c r="AA1035" s="255"/>
      <c r="AB1035" s="255" t="s">
        <v>2250</v>
      </c>
      <c r="AC1035" s="255" t="s">
        <v>2251</v>
      </c>
      <c r="AD1035" s="255" t="s">
        <v>2252</v>
      </c>
      <c r="AE1035" s="255"/>
      <c r="AF1035" s="255"/>
      <c r="AG1035" s="255"/>
      <c r="AH1035" s="255"/>
      <c r="AI1035" s="255"/>
      <c r="AJ1035" s="255"/>
      <c r="AK1035" s="255">
        <v>0</v>
      </c>
      <c r="AL1035" s="255"/>
      <c r="AM1035" s="255"/>
      <c r="AN1035" s="255"/>
      <c r="AO1035" s="255"/>
      <c r="AP1035" s="255"/>
      <c r="AQ1035" s="255"/>
      <c r="AR1035" s="255"/>
      <c r="AS1035" s="255"/>
      <c r="AT1035" s="255"/>
      <c r="AU1035" s="255"/>
      <c r="AY1035" s="255" t="s">
        <v>2251</v>
      </c>
      <c r="AZ1035" s="255" t="s">
        <v>2252</v>
      </c>
    </row>
    <row r="1036" spans="1:52">
      <c r="A1036" s="252">
        <v>30011</v>
      </c>
      <c r="B1036" s="253" t="s">
        <v>2253</v>
      </c>
      <c r="C1036" s="254" t="s">
        <v>2254</v>
      </c>
      <c r="D1036" s="255">
        <v>1</v>
      </c>
      <c r="E1036" s="255"/>
      <c r="F1036" s="255">
        <v>1</v>
      </c>
      <c r="G1036" s="255">
        <v>1.7</v>
      </c>
      <c r="H1036" s="255">
        <v>1.7</v>
      </c>
      <c r="I1036" s="255">
        <v>0.5</v>
      </c>
      <c r="J1036" s="255" t="s">
        <v>115</v>
      </c>
      <c r="K1036" s="255"/>
      <c r="L1036" s="255">
        <v>0.0666666666666667</v>
      </c>
      <c r="M1036" s="255">
        <v>0.666666666666667</v>
      </c>
      <c r="N1036" s="255"/>
      <c r="O1036" s="255"/>
      <c r="P1036" s="255">
        <v>0.0666666666666667</v>
      </c>
      <c r="Q1036" s="255">
        <v>0.633333333333333</v>
      </c>
      <c r="R1036" s="255"/>
      <c r="S1036" s="255"/>
      <c r="T1036" s="252">
        <v>2.4</v>
      </c>
      <c r="U1036" s="252">
        <v>0</v>
      </c>
      <c r="V1036" s="252"/>
      <c r="W1036" s="252"/>
      <c r="X1036" s="255"/>
      <c r="Y1036" s="255"/>
      <c r="Z1036" s="255"/>
      <c r="AA1036" s="255"/>
      <c r="AB1036" s="255">
        <v>1</v>
      </c>
      <c r="AC1036" s="255">
        <v>1428</v>
      </c>
      <c r="AD1036" s="255" t="s">
        <v>153</v>
      </c>
      <c r="AE1036" s="255"/>
      <c r="AF1036" s="255"/>
      <c r="AG1036" s="255"/>
      <c r="AH1036" s="255"/>
      <c r="AI1036" s="255"/>
      <c r="AJ1036" s="255"/>
      <c r="AK1036" s="255">
        <v>0</v>
      </c>
      <c r="AL1036" s="255"/>
      <c r="AM1036" s="255"/>
      <c r="AN1036" s="255"/>
      <c r="AO1036" s="255"/>
      <c r="AP1036" s="255"/>
      <c r="AQ1036" s="255"/>
      <c r="AR1036" s="255"/>
      <c r="AS1036" s="255"/>
      <c r="AT1036" s="255"/>
      <c r="AU1036" s="255"/>
      <c r="AY1036" s="255">
        <v>1428</v>
      </c>
      <c r="AZ1036" s="255" t="s">
        <v>153</v>
      </c>
    </row>
    <row r="1037" spans="1:52">
      <c r="A1037" s="252">
        <v>30012</v>
      </c>
      <c r="B1037" s="253" t="s">
        <v>2255</v>
      </c>
      <c r="C1037" s="253" t="s">
        <v>2256</v>
      </c>
      <c r="D1037" s="255">
        <v>1</v>
      </c>
      <c r="E1037" s="255"/>
      <c r="F1037" s="255">
        <v>1</v>
      </c>
      <c r="G1037" s="255">
        <v>2.1</v>
      </c>
      <c r="H1037">
        <v>2.16</v>
      </c>
      <c r="I1037">
        <v>0.4</v>
      </c>
      <c r="J1037" s="255" t="s">
        <v>115</v>
      </c>
      <c r="K1037" s="255"/>
      <c r="L1037" s="255">
        <v>0.0666666666666667</v>
      </c>
      <c r="M1037" s="255">
        <v>0.666666666666667</v>
      </c>
      <c r="N1037" s="255"/>
      <c r="O1037" s="255"/>
      <c r="P1037" s="255">
        <v>0.0666666666666667</v>
      </c>
      <c r="Q1037" s="255">
        <v>0.633333333333333</v>
      </c>
      <c r="R1037" s="255"/>
      <c r="S1037" s="255"/>
      <c r="T1037" s="252">
        <v>2.4</v>
      </c>
      <c r="U1037" s="252">
        <v>0</v>
      </c>
      <c r="V1037" s="252"/>
      <c r="W1037" s="252"/>
      <c r="X1037" s="255"/>
      <c r="Y1037" s="255"/>
      <c r="Z1037" s="255"/>
      <c r="AA1037" s="255"/>
      <c r="AB1037" s="255"/>
      <c r="AC1037" s="255"/>
      <c r="AD1037" s="255"/>
      <c r="AE1037" s="255"/>
      <c r="AF1037" s="255"/>
      <c r="AG1037" s="255"/>
      <c r="AH1037" s="255"/>
      <c r="AI1037" s="255"/>
      <c r="AJ1037" s="255"/>
      <c r="AK1037" s="255">
        <v>0</v>
      </c>
      <c r="AL1037" s="255"/>
      <c r="AM1037" s="255"/>
      <c r="AN1037" s="255"/>
      <c r="AO1037" s="255"/>
      <c r="AP1037" s="255"/>
      <c r="AQ1037" s="255"/>
      <c r="AR1037" s="255"/>
      <c r="AS1037" s="255"/>
      <c r="AT1037" s="255"/>
      <c r="AU1037" s="255"/>
      <c r="AY1037" s="255"/>
      <c r="AZ1037" s="255"/>
    </row>
    <row r="1038" spans="1:52">
      <c r="A1038" s="252">
        <v>30013</v>
      </c>
      <c r="B1038" s="253" t="s">
        <v>2257</v>
      </c>
      <c r="C1038" s="253" t="s">
        <v>2258</v>
      </c>
      <c r="D1038" s="255">
        <v>0</v>
      </c>
      <c r="E1038" s="255"/>
      <c r="F1038" s="255">
        <v>1</v>
      </c>
      <c r="G1038" s="255">
        <v>2.1</v>
      </c>
      <c r="H1038" s="255">
        <v>2.1</v>
      </c>
      <c r="I1038" s="255">
        <v>0.4</v>
      </c>
      <c r="J1038" s="255" t="s">
        <v>115</v>
      </c>
      <c r="K1038" s="255"/>
      <c r="L1038" s="255">
        <v>0.0666666666666667</v>
      </c>
      <c r="M1038" s="255">
        <v>0.666666666666667</v>
      </c>
      <c r="N1038" s="255"/>
      <c r="O1038" s="255"/>
      <c r="P1038" s="255">
        <v>0.0666666666666667</v>
      </c>
      <c r="Q1038" s="255">
        <v>0.633333333333333</v>
      </c>
      <c r="R1038" s="255"/>
      <c r="S1038" s="255"/>
      <c r="T1038" s="252">
        <v>2.4</v>
      </c>
      <c r="U1038" s="252">
        <v>0</v>
      </c>
      <c r="V1038" s="252"/>
      <c r="W1038" s="252"/>
      <c r="X1038" s="255"/>
      <c r="Y1038" s="255"/>
      <c r="Z1038" s="255"/>
      <c r="AA1038" s="255"/>
      <c r="AB1038" s="255"/>
      <c r="AC1038" s="255"/>
      <c r="AD1038" s="255"/>
      <c r="AE1038" s="255"/>
      <c r="AF1038" s="255"/>
      <c r="AG1038" s="255"/>
      <c r="AH1038" s="255"/>
      <c r="AI1038" s="255"/>
      <c r="AJ1038" s="255"/>
      <c r="AK1038" s="255">
        <v>0</v>
      </c>
      <c r="AL1038" s="255"/>
      <c r="AM1038" s="255"/>
      <c r="AN1038" s="255"/>
      <c r="AO1038" s="255"/>
      <c r="AP1038" s="255"/>
      <c r="AQ1038" s="255"/>
      <c r="AR1038" s="255"/>
      <c r="AS1038" s="255"/>
      <c r="AT1038" s="255"/>
      <c r="AU1038" s="255"/>
      <c r="AY1038" s="255"/>
      <c r="AZ1038" s="255"/>
    </row>
    <row r="1039" spans="1:52">
      <c r="A1039" s="252">
        <v>30014</v>
      </c>
      <c r="B1039" s="253" t="s">
        <v>2259</v>
      </c>
      <c r="C1039" s="253" t="s">
        <v>2260</v>
      </c>
      <c r="D1039" s="255">
        <v>0</v>
      </c>
      <c r="E1039" s="255"/>
      <c r="F1039" s="255">
        <v>1</v>
      </c>
      <c r="G1039" s="255">
        <v>1</v>
      </c>
      <c r="H1039" s="255">
        <v>1</v>
      </c>
      <c r="I1039" s="255">
        <v>1</v>
      </c>
      <c r="J1039" s="255"/>
      <c r="K1039" s="255"/>
      <c r="L1039" s="255"/>
      <c r="M1039" s="255"/>
      <c r="N1039" s="255"/>
      <c r="O1039" s="255"/>
      <c r="P1039" s="255"/>
      <c r="Q1039" s="255"/>
      <c r="R1039" s="255"/>
      <c r="S1039" s="255"/>
      <c r="T1039" s="252"/>
      <c r="U1039" s="252"/>
      <c r="V1039" s="252"/>
      <c r="W1039" s="252"/>
      <c r="X1039" s="255"/>
      <c r="Y1039" s="255"/>
      <c r="Z1039" s="255"/>
      <c r="AA1039" s="255"/>
      <c r="AB1039" s="255"/>
      <c r="AC1039" s="255"/>
      <c r="AD1039" s="255"/>
      <c r="AE1039" s="255"/>
      <c r="AF1039" s="255"/>
      <c r="AG1039" s="255"/>
      <c r="AH1039" s="255"/>
      <c r="AI1039" s="255"/>
      <c r="AJ1039" s="255"/>
      <c r="AK1039" s="255"/>
      <c r="AL1039" s="255"/>
      <c r="AM1039" s="255"/>
      <c r="AN1039" s="255"/>
      <c r="AO1039" s="255"/>
      <c r="AP1039" s="255"/>
      <c r="AQ1039" s="255"/>
      <c r="AR1039" s="255"/>
      <c r="AS1039" s="255"/>
      <c r="AT1039" s="255"/>
      <c r="AU1039" s="255"/>
      <c r="AY1039" s="255"/>
      <c r="AZ1039" s="255"/>
    </row>
    <row r="1040" spans="1:52">
      <c r="A1040" s="252">
        <v>30015</v>
      </c>
      <c r="B1040" s="253" t="s">
        <v>2261</v>
      </c>
      <c r="C1040" s="253" t="s">
        <v>2262</v>
      </c>
      <c r="D1040" s="252">
        <v>0</v>
      </c>
      <c r="E1040" s="252"/>
      <c r="F1040" s="252">
        <v>1</v>
      </c>
      <c r="G1040" s="252">
        <v>1.65</v>
      </c>
      <c r="H1040" s="252">
        <v>2</v>
      </c>
      <c r="I1040" s="252">
        <v>0.4</v>
      </c>
      <c r="J1040" s="253" t="s">
        <v>115</v>
      </c>
      <c r="K1040" s="252"/>
      <c r="L1040" s="252">
        <f>2/30</f>
        <v>0.0666666666666667</v>
      </c>
      <c r="M1040" s="252">
        <f>19/30</f>
        <v>0.633333333333333</v>
      </c>
      <c r="N1040" s="252"/>
      <c r="O1040" s="252"/>
      <c r="P1040" s="252">
        <f>2/30</f>
        <v>0.0666666666666667</v>
      </c>
      <c r="Q1040" s="252">
        <f>18/30</f>
        <v>0.6</v>
      </c>
      <c r="R1040" s="252"/>
      <c r="S1040" s="252"/>
      <c r="T1040" s="252">
        <v>2.4</v>
      </c>
      <c r="U1040" s="252">
        <v>0</v>
      </c>
      <c r="V1040" s="252"/>
      <c r="W1040" s="252"/>
      <c r="X1040" s="252"/>
      <c r="Y1040" s="252"/>
      <c r="Z1040" s="252"/>
      <c r="AA1040" s="252"/>
      <c r="AB1040" s="252"/>
      <c r="AC1040" s="252"/>
      <c r="AD1040" s="252"/>
      <c r="AE1040" s="252"/>
      <c r="AF1040" s="252"/>
      <c r="AG1040" s="252"/>
      <c r="AH1040" s="252"/>
      <c r="AI1040" s="252"/>
      <c r="AJ1040" s="252"/>
      <c r="AK1040" s="252">
        <v>0</v>
      </c>
      <c r="AL1040" s="252"/>
      <c r="AM1040" s="252"/>
      <c r="AN1040" s="252"/>
      <c r="AO1040" s="252"/>
      <c r="AP1040" s="252"/>
      <c r="AQ1040" s="252"/>
      <c r="AR1040" s="252"/>
      <c r="AS1040" s="252"/>
      <c r="AT1040" s="252"/>
      <c r="AU1040" s="252"/>
      <c r="AY1040" s="252"/>
      <c r="AZ1040" s="252"/>
    </row>
    <row r="1041" spans="1:52">
      <c r="A1041" s="252">
        <v>30016</v>
      </c>
      <c r="B1041" s="253" t="s">
        <v>2263</v>
      </c>
      <c r="C1041" s="254" t="s">
        <v>2264</v>
      </c>
      <c r="D1041" s="255">
        <v>0</v>
      </c>
      <c r="E1041" s="255"/>
      <c r="F1041" s="255">
        <v>1</v>
      </c>
      <c r="G1041" s="255">
        <v>1.7</v>
      </c>
      <c r="H1041" s="255">
        <v>1.7</v>
      </c>
      <c r="I1041" s="255">
        <v>0.5</v>
      </c>
      <c r="J1041" s="255" t="s">
        <v>115</v>
      </c>
      <c r="K1041" s="255"/>
      <c r="L1041" s="255">
        <v>0.0666666666666667</v>
      </c>
      <c r="M1041" s="255">
        <v>0.666666666666667</v>
      </c>
      <c r="N1041" s="255"/>
      <c r="O1041" s="255"/>
      <c r="P1041" s="255">
        <v>0.0666666666666667</v>
      </c>
      <c r="Q1041" s="255">
        <v>0.633333333333333</v>
      </c>
      <c r="R1041" s="255"/>
      <c r="S1041" s="255"/>
      <c r="T1041" s="252">
        <v>2.4</v>
      </c>
      <c r="U1041" s="252">
        <v>0</v>
      </c>
      <c r="V1041" s="252"/>
      <c r="W1041" s="252"/>
      <c r="X1041" s="255"/>
      <c r="Y1041" s="255"/>
      <c r="Z1041" s="255"/>
      <c r="AA1041" s="255"/>
      <c r="AB1041" s="255"/>
      <c r="AC1041" s="255"/>
      <c r="AD1041" s="255"/>
      <c r="AE1041" s="255"/>
      <c r="AF1041" s="255"/>
      <c r="AG1041" s="255"/>
      <c r="AH1041" s="255"/>
      <c r="AI1041" s="255"/>
      <c r="AJ1041" s="255"/>
      <c r="AK1041" s="255">
        <v>0</v>
      </c>
      <c r="AL1041" s="255"/>
      <c r="AM1041" s="255"/>
      <c r="AN1041" s="255"/>
      <c r="AO1041" s="255"/>
      <c r="AP1041" s="255"/>
      <c r="AQ1041" s="255"/>
      <c r="AR1041" s="255"/>
      <c r="AS1041" s="255"/>
      <c r="AT1041" s="255"/>
      <c r="AU1041" s="255"/>
      <c r="AY1041" s="255"/>
      <c r="AZ1041" s="255"/>
    </row>
    <row r="1042" ht="16.5" spans="1:52">
      <c r="A1042" s="252">
        <v>30017</v>
      </c>
      <c r="B1042" s="253" t="s">
        <v>2265</v>
      </c>
      <c r="C1042" s="254" t="s">
        <v>2266</v>
      </c>
      <c r="D1042" s="255">
        <v>0</v>
      </c>
      <c r="E1042" s="255"/>
      <c r="F1042" s="255">
        <v>1</v>
      </c>
      <c r="G1042" s="255">
        <v>1.7</v>
      </c>
      <c r="H1042" s="255">
        <v>1.7</v>
      </c>
      <c r="I1042" s="255">
        <v>0.5</v>
      </c>
      <c r="J1042" s="255" t="s">
        <v>115</v>
      </c>
      <c r="K1042" s="255"/>
      <c r="L1042" s="255">
        <v>0.0666666666666667</v>
      </c>
      <c r="M1042" s="255">
        <v>0.666666666666667</v>
      </c>
      <c r="N1042" s="255"/>
      <c r="O1042" s="255"/>
      <c r="P1042" s="255">
        <v>0.0666666666666667</v>
      </c>
      <c r="Q1042" s="255">
        <v>0.633333333333333</v>
      </c>
      <c r="R1042" s="255"/>
      <c r="S1042" s="255"/>
      <c r="T1042" s="252">
        <v>2.4</v>
      </c>
      <c r="U1042" s="252">
        <v>0</v>
      </c>
      <c r="V1042" s="252"/>
      <c r="W1042" s="252"/>
      <c r="X1042" s="255"/>
      <c r="Y1042" s="255"/>
      <c r="Z1042" s="255"/>
      <c r="AA1042" s="255"/>
      <c r="AB1042" s="255">
        <v>1</v>
      </c>
      <c r="AC1042" s="62">
        <v>1802</v>
      </c>
      <c r="AD1042" s="255" t="s">
        <v>153</v>
      </c>
      <c r="AE1042" s="255"/>
      <c r="AF1042" s="255"/>
      <c r="AG1042" s="255"/>
      <c r="AH1042" s="255"/>
      <c r="AI1042" s="255"/>
      <c r="AJ1042" s="255"/>
      <c r="AK1042" s="255">
        <v>0</v>
      </c>
      <c r="AL1042" s="255"/>
      <c r="AM1042" s="255"/>
      <c r="AN1042" s="255"/>
      <c r="AO1042" s="255"/>
      <c r="AP1042" s="255"/>
      <c r="AQ1042" s="255"/>
      <c r="AR1042" s="255"/>
      <c r="AS1042" s="255"/>
      <c r="AT1042" s="255"/>
      <c r="AU1042" s="255"/>
      <c r="AY1042" s="62">
        <v>1802</v>
      </c>
      <c r="AZ1042" s="255" t="s">
        <v>153</v>
      </c>
    </row>
    <row r="1043" ht="16.5" spans="1:52">
      <c r="A1043" s="252">
        <v>30018</v>
      </c>
      <c r="B1043" s="253" t="s">
        <v>2267</v>
      </c>
      <c r="C1043" s="254" t="s">
        <v>2268</v>
      </c>
      <c r="D1043" s="255">
        <v>0</v>
      </c>
      <c r="E1043" s="255"/>
      <c r="F1043" s="255">
        <v>1</v>
      </c>
      <c r="G1043" s="255">
        <v>1.7</v>
      </c>
      <c r="H1043" s="255">
        <v>1.7</v>
      </c>
      <c r="I1043" s="255">
        <v>0.5</v>
      </c>
      <c r="J1043" s="255" t="s">
        <v>115</v>
      </c>
      <c r="K1043" s="255"/>
      <c r="L1043" s="255">
        <v>0.0666666666666667</v>
      </c>
      <c r="M1043" s="255">
        <v>0.666666666666667</v>
      </c>
      <c r="N1043" s="255"/>
      <c r="O1043" s="255"/>
      <c r="P1043" s="255">
        <v>0.0666666666666667</v>
      </c>
      <c r="Q1043" s="255">
        <v>0.633333333333333</v>
      </c>
      <c r="R1043" s="255"/>
      <c r="S1043" s="255"/>
      <c r="T1043" s="252">
        <v>2.4</v>
      </c>
      <c r="U1043" s="252">
        <v>0</v>
      </c>
      <c r="V1043" s="252"/>
      <c r="W1043" s="252"/>
      <c r="X1043" s="255"/>
      <c r="Y1043" s="255"/>
      <c r="Z1043" s="255"/>
      <c r="AA1043" s="255"/>
      <c r="AB1043" s="255">
        <v>1</v>
      </c>
      <c r="AC1043" s="62">
        <v>1803</v>
      </c>
      <c r="AD1043" s="255" t="s">
        <v>153</v>
      </c>
      <c r="AE1043" s="255"/>
      <c r="AF1043" s="255"/>
      <c r="AG1043" s="255"/>
      <c r="AH1043" s="255"/>
      <c r="AI1043" s="255"/>
      <c r="AJ1043" s="255"/>
      <c r="AK1043" s="255">
        <v>0</v>
      </c>
      <c r="AL1043" s="255"/>
      <c r="AM1043" s="255"/>
      <c r="AN1043" s="255"/>
      <c r="AO1043" s="255"/>
      <c r="AP1043" s="255"/>
      <c r="AQ1043" s="255"/>
      <c r="AR1043" s="255"/>
      <c r="AS1043" s="255"/>
      <c r="AT1043" s="255"/>
      <c r="AU1043" s="255"/>
      <c r="AY1043" s="62">
        <v>1803</v>
      </c>
      <c r="AZ1043" s="255" t="s">
        <v>153</v>
      </c>
    </row>
    <row r="1044" ht="16.5" spans="1:52">
      <c r="A1044" s="252">
        <v>30019</v>
      </c>
      <c r="B1044" s="253" t="s">
        <v>2269</v>
      </c>
      <c r="C1044" s="254" t="s">
        <v>2270</v>
      </c>
      <c r="D1044" s="255">
        <v>0</v>
      </c>
      <c r="E1044" s="255"/>
      <c r="F1044" s="255">
        <v>1</v>
      </c>
      <c r="G1044" s="255">
        <v>1.7</v>
      </c>
      <c r="H1044" s="255">
        <v>1.7</v>
      </c>
      <c r="I1044" s="255">
        <v>0.5</v>
      </c>
      <c r="J1044" s="255" t="s">
        <v>115</v>
      </c>
      <c r="K1044" s="255"/>
      <c r="L1044" s="255">
        <v>0.0666666666666667</v>
      </c>
      <c r="M1044" s="255">
        <v>0.666666666666667</v>
      </c>
      <c r="N1044" s="255"/>
      <c r="O1044" s="255"/>
      <c r="P1044" s="255">
        <v>0.0666666666666667</v>
      </c>
      <c r="Q1044" s="255">
        <v>0.633333333333333</v>
      </c>
      <c r="R1044" s="255"/>
      <c r="S1044" s="255"/>
      <c r="T1044" s="252">
        <v>2.4</v>
      </c>
      <c r="U1044" s="252">
        <v>0</v>
      </c>
      <c r="V1044" s="252"/>
      <c r="W1044" s="252"/>
      <c r="X1044" s="255"/>
      <c r="Y1044" s="255"/>
      <c r="Z1044" s="255"/>
      <c r="AA1044" s="255"/>
      <c r="AB1044" s="255">
        <v>1</v>
      </c>
      <c r="AC1044" s="62">
        <v>1804</v>
      </c>
      <c r="AD1044" s="255" t="s">
        <v>153</v>
      </c>
      <c r="AE1044" s="255"/>
      <c r="AF1044" s="255"/>
      <c r="AG1044" s="255"/>
      <c r="AH1044" s="255"/>
      <c r="AI1044" s="255"/>
      <c r="AJ1044" s="255"/>
      <c r="AK1044" s="255">
        <v>0</v>
      </c>
      <c r="AL1044" s="255"/>
      <c r="AM1044" s="255"/>
      <c r="AN1044" s="255"/>
      <c r="AO1044" s="255"/>
      <c r="AP1044" s="255"/>
      <c r="AQ1044" s="255"/>
      <c r="AR1044" s="255"/>
      <c r="AS1044" s="255"/>
      <c r="AT1044" s="255"/>
      <c r="AU1044" s="255"/>
      <c r="AY1044" s="62">
        <v>1804</v>
      </c>
      <c r="AZ1044" s="255" t="s">
        <v>153</v>
      </c>
    </row>
    <row r="1045" ht="16.5" spans="1:52">
      <c r="A1045" s="252">
        <v>30020</v>
      </c>
      <c r="B1045" s="253" t="s">
        <v>2271</v>
      </c>
      <c r="C1045" s="254" t="s">
        <v>2272</v>
      </c>
      <c r="D1045" s="255">
        <v>0</v>
      </c>
      <c r="E1045" s="255"/>
      <c r="F1045" s="255">
        <v>1</v>
      </c>
      <c r="G1045" s="255">
        <v>1.7</v>
      </c>
      <c r="H1045" s="255">
        <v>1.7</v>
      </c>
      <c r="I1045" s="255">
        <v>0.5</v>
      </c>
      <c r="J1045" s="255" t="s">
        <v>115</v>
      </c>
      <c r="K1045" s="255"/>
      <c r="L1045" s="255">
        <v>0.0666666666666667</v>
      </c>
      <c r="M1045" s="255">
        <v>0.666666666666667</v>
      </c>
      <c r="N1045" s="255"/>
      <c r="O1045" s="255"/>
      <c r="P1045" s="255">
        <v>0.0666666666666667</v>
      </c>
      <c r="Q1045" s="255">
        <v>0.633333333333333</v>
      </c>
      <c r="R1045" s="255"/>
      <c r="S1045" s="255"/>
      <c r="T1045" s="252">
        <v>2.4</v>
      </c>
      <c r="U1045" s="252">
        <v>0</v>
      </c>
      <c r="V1045" s="252"/>
      <c r="W1045" s="252"/>
      <c r="X1045" s="255"/>
      <c r="Y1045" s="255"/>
      <c r="Z1045" s="255"/>
      <c r="AA1045" s="255"/>
      <c r="AB1045" s="255"/>
      <c r="AC1045" s="62"/>
      <c r="AD1045" s="255"/>
      <c r="AE1045" s="255"/>
      <c r="AF1045" s="255"/>
      <c r="AG1045" s="255"/>
      <c r="AH1045" s="255"/>
      <c r="AI1045" s="255"/>
      <c r="AJ1045" s="255"/>
      <c r="AK1045" s="255">
        <v>0</v>
      </c>
      <c r="AL1045" s="255"/>
      <c r="AM1045" s="255"/>
      <c r="AN1045" s="255"/>
      <c r="AO1045" s="255"/>
      <c r="AP1045" s="255"/>
      <c r="AQ1045" s="255"/>
      <c r="AR1045" s="255"/>
      <c r="AS1045" s="255"/>
      <c r="AT1045" s="255"/>
      <c r="AU1045" s="255"/>
      <c r="AY1045" s="62"/>
      <c r="AZ1045" s="255"/>
    </row>
    <row r="1046" ht="16.5" spans="1:52">
      <c r="A1046" s="252">
        <v>30026</v>
      </c>
      <c r="B1046" s="253" t="s">
        <v>2273</v>
      </c>
      <c r="C1046" s="254" t="s">
        <v>2274</v>
      </c>
      <c r="D1046" s="255">
        <v>0</v>
      </c>
      <c r="E1046" s="255"/>
      <c r="F1046" s="255">
        <v>1</v>
      </c>
      <c r="G1046" s="255">
        <v>1.7</v>
      </c>
      <c r="H1046" s="255">
        <v>1.7</v>
      </c>
      <c r="I1046" s="255">
        <v>0.5</v>
      </c>
      <c r="J1046" s="255" t="s">
        <v>115</v>
      </c>
      <c r="K1046" s="255"/>
      <c r="L1046" s="255">
        <v>0.0666666666666667</v>
      </c>
      <c r="M1046" s="255">
        <v>0.666666666666667</v>
      </c>
      <c r="N1046" s="255"/>
      <c r="O1046" s="255"/>
      <c r="P1046" s="255">
        <v>0.0666666666666667</v>
      </c>
      <c r="Q1046" s="255">
        <v>0.633333333333333</v>
      </c>
      <c r="R1046" s="255"/>
      <c r="S1046" s="255"/>
      <c r="T1046" s="252">
        <v>2.4</v>
      </c>
      <c r="U1046" s="252">
        <v>0</v>
      </c>
      <c r="V1046" s="252"/>
      <c r="W1046" s="252"/>
      <c r="X1046" s="255"/>
      <c r="Y1046" s="255"/>
      <c r="Z1046" s="255"/>
      <c r="AA1046" s="255"/>
      <c r="AB1046" s="255">
        <v>1</v>
      </c>
      <c r="AC1046" s="62">
        <v>1933</v>
      </c>
      <c r="AD1046" s="255" t="s">
        <v>153</v>
      </c>
      <c r="AE1046" s="255"/>
      <c r="AF1046" s="255"/>
      <c r="AG1046" s="255"/>
      <c r="AH1046" s="255"/>
      <c r="AI1046" s="255"/>
      <c r="AJ1046" s="255"/>
      <c r="AK1046" s="255">
        <v>0</v>
      </c>
      <c r="AL1046" s="255"/>
      <c r="AM1046" s="255"/>
      <c r="AN1046" s="255"/>
      <c r="AO1046" s="255"/>
      <c r="AP1046" s="255"/>
      <c r="AQ1046" s="255"/>
      <c r="AR1046" s="255"/>
      <c r="AS1046" s="255"/>
      <c r="AT1046" s="255"/>
      <c r="AU1046" s="255"/>
      <c r="AY1046" s="62">
        <v>1933</v>
      </c>
      <c r="AZ1046" s="255" t="s">
        <v>153</v>
      </c>
    </row>
    <row r="1047" spans="1:52">
      <c r="A1047" s="252">
        <v>30027</v>
      </c>
      <c r="B1047" s="253" t="s">
        <v>2275</v>
      </c>
      <c r="C1047" s="254" t="s">
        <v>2276</v>
      </c>
      <c r="D1047" s="255">
        <v>1</v>
      </c>
      <c r="E1047" s="255"/>
      <c r="F1047" s="255">
        <v>1</v>
      </c>
      <c r="G1047" s="255">
        <v>3.2</v>
      </c>
      <c r="H1047" s="255">
        <v>3.2</v>
      </c>
      <c r="I1047" s="255">
        <v>0.6</v>
      </c>
      <c r="J1047" s="255" t="s">
        <v>253</v>
      </c>
      <c r="K1047" s="255"/>
      <c r="L1047" s="255">
        <v>0.0666666666666667</v>
      </c>
      <c r="M1047" s="255">
        <v>0.633333333333333</v>
      </c>
      <c r="N1047" s="255"/>
      <c r="O1047" s="255"/>
      <c r="P1047" s="255">
        <v>0.0666666666666667</v>
      </c>
      <c r="Q1047" s="255">
        <v>0.633333333333333</v>
      </c>
      <c r="R1047" s="255"/>
      <c r="S1047" s="255"/>
      <c r="T1047" s="252">
        <v>2.4</v>
      </c>
      <c r="U1047" s="252">
        <v>0</v>
      </c>
      <c r="V1047" s="252"/>
      <c r="W1047" s="252"/>
      <c r="X1047" s="255"/>
      <c r="Y1047" s="255"/>
      <c r="Z1047" s="255"/>
      <c r="AA1047" s="255"/>
      <c r="AB1047" s="255"/>
      <c r="AC1047" s="255"/>
      <c r="AD1047" s="255"/>
      <c r="AE1047" s="255"/>
      <c r="AF1047" s="255"/>
      <c r="AG1047" s="255"/>
      <c r="AH1047" s="255"/>
      <c r="AI1047" s="255"/>
      <c r="AJ1047" s="255"/>
      <c r="AK1047" s="255">
        <v>0</v>
      </c>
      <c r="AL1047" s="255"/>
      <c r="AM1047" s="255"/>
      <c r="AN1047" s="255"/>
      <c r="AO1047" s="255"/>
      <c r="AP1047" s="255"/>
      <c r="AQ1047" s="255"/>
      <c r="AR1047" s="255"/>
      <c r="AS1047" s="255"/>
      <c r="AT1047" s="255"/>
      <c r="AU1047" s="255"/>
      <c r="AV1047" t="s">
        <v>2277</v>
      </c>
      <c r="AW1047" t="s">
        <v>2277</v>
      </c>
      <c r="AY1047" s="255"/>
      <c r="AZ1047" s="255"/>
    </row>
    <row r="1048" spans="1:52">
      <c r="A1048" s="252">
        <v>30028</v>
      </c>
      <c r="B1048" s="253" t="s">
        <v>2278</v>
      </c>
      <c r="C1048" s="254" t="s">
        <v>2279</v>
      </c>
      <c r="D1048" s="255">
        <v>0</v>
      </c>
      <c r="E1048" s="255"/>
      <c r="F1048" s="255">
        <v>1</v>
      </c>
      <c r="G1048" s="255">
        <v>1.7</v>
      </c>
      <c r="H1048" s="255">
        <v>1.7</v>
      </c>
      <c r="I1048" s="255">
        <v>0.5</v>
      </c>
      <c r="J1048" s="255" t="s">
        <v>115</v>
      </c>
      <c r="K1048" s="255"/>
      <c r="L1048" s="255">
        <v>0.0666666666666667</v>
      </c>
      <c r="M1048" s="255">
        <v>0.666666666666667</v>
      </c>
      <c r="N1048" s="255"/>
      <c r="O1048" s="255"/>
      <c r="P1048" s="255">
        <v>0.0666666666666667</v>
      </c>
      <c r="Q1048" s="255">
        <v>0.666666666666667</v>
      </c>
      <c r="R1048" s="255"/>
      <c r="S1048" s="255"/>
      <c r="T1048" s="252">
        <v>2.4</v>
      </c>
      <c r="U1048" s="252">
        <v>0</v>
      </c>
      <c r="V1048" s="252"/>
      <c r="W1048" s="252"/>
      <c r="X1048" s="255"/>
      <c r="Y1048" s="255"/>
      <c r="Z1048" s="255"/>
      <c r="AA1048" s="255"/>
      <c r="AB1048" s="255"/>
      <c r="AC1048" s="255"/>
      <c r="AD1048" s="255"/>
      <c r="AE1048" s="255"/>
      <c r="AF1048" s="255"/>
      <c r="AG1048" s="255"/>
      <c r="AH1048" s="255"/>
      <c r="AI1048" s="255"/>
      <c r="AJ1048" s="255"/>
      <c r="AK1048" s="255">
        <v>0</v>
      </c>
      <c r="AL1048" s="255"/>
      <c r="AM1048" s="255"/>
      <c r="AN1048" s="255"/>
      <c r="AO1048" s="255"/>
      <c r="AP1048" s="255"/>
      <c r="AQ1048" s="255"/>
      <c r="AR1048" s="255"/>
      <c r="AS1048" s="255"/>
      <c r="AT1048" s="255"/>
      <c r="AU1048" s="255"/>
      <c r="AY1048" s="255"/>
      <c r="AZ1048" s="255"/>
    </row>
    <row r="1049" spans="1:52">
      <c r="A1049" s="252">
        <v>30029</v>
      </c>
      <c r="B1049" s="253" t="s">
        <v>2280</v>
      </c>
      <c r="C1049" s="254" t="s">
        <v>2281</v>
      </c>
      <c r="D1049" s="255">
        <v>1</v>
      </c>
      <c r="E1049" s="255"/>
      <c r="F1049" s="255">
        <v>1</v>
      </c>
      <c r="G1049" s="255">
        <v>3.2</v>
      </c>
      <c r="H1049" s="255">
        <v>3.2</v>
      </c>
      <c r="I1049" s="255">
        <v>0.6</v>
      </c>
      <c r="J1049" s="255" t="s">
        <v>253</v>
      </c>
      <c r="K1049" s="255"/>
      <c r="L1049" s="255">
        <v>0.0666666666666667</v>
      </c>
      <c r="M1049" s="255">
        <v>0.633333333333333</v>
      </c>
      <c r="N1049" s="255"/>
      <c r="O1049" s="255"/>
      <c r="P1049" s="255">
        <v>0.0666666666666667</v>
      </c>
      <c r="Q1049" s="255">
        <v>0.633333333333333</v>
      </c>
      <c r="R1049" s="255"/>
      <c r="S1049" s="255"/>
      <c r="T1049" s="252">
        <v>2.4</v>
      </c>
      <c r="U1049" s="252">
        <v>0</v>
      </c>
      <c r="V1049" s="252"/>
      <c r="W1049" s="252"/>
      <c r="X1049" s="255"/>
      <c r="Y1049" s="255"/>
      <c r="Z1049" s="255"/>
      <c r="AA1049" s="255"/>
      <c r="AB1049" s="255"/>
      <c r="AC1049" s="255"/>
      <c r="AD1049" s="255"/>
      <c r="AE1049" s="255"/>
      <c r="AF1049" s="255"/>
      <c r="AG1049" s="255"/>
      <c r="AH1049" s="255"/>
      <c r="AI1049" s="255"/>
      <c r="AJ1049" s="255"/>
      <c r="AK1049" s="255">
        <v>0</v>
      </c>
      <c r="AL1049" s="255"/>
      <c r="AM1049" s="255"/>
      <c r="AN1049" s="255"/>
      <c r="AO1049" s="255"/>
      <c r="AP1049" s="255"/>
      <c r="AQ1049" s="255"/>
      <c r="AR1049" s="255"/>
      <c r="AS1049" s="255"/>
      <c r="AT1049" s="255"/>
      <c r="AU1049" s="255"/>
      <c r="AV1049" t="s">
        <v>2277</v>
      </c>
      <c r="AW1049" t="s">
        <v>2277</v>
      </c>
      <c r="AY1049" s="255"/>
      <c r="AZ1049" s="255"/>
    </row>
    <row r="1050" spans="1:52">
      <c r="A1050" s="252">
        <v>30030</v>
      </c>
      <c r="B1050" s="253" t="s">
        <v>2282</v>
      </c>
      <c r="C1050" s="254" t="s">
        <v>2283</v>
      </c>
      <c r="D1050" s="255">
        <v>1</v>
      </c>
      <c r="E1050" s="255">
        <v>1</v>
      </c>
      <c r="F1050" s="255">
        <v>1</v>
      </c>
      <c r="G1050" s="255">
        <v>2.7</v>
      </c>
      <c r="H1050" s="255">
        <v>1.7</v>
      </c>
      <c r="I1050" s="255">
        <v>0.5</v>
      </c>
      <c r="J1050" s="255" t="s">
        <v>115</v>
      </c>
      <c r="K1050" s="255"/>
      <c r="L1050" s="255">
        <v>0.0666666666666667</v>
      </c>
      <c r="M1050" s="255">
        <v>0.633333333333333</v>
      </c>
      <c r="N1050" s="255"/>
      <c r="O1050" s="255"/>
      <c r="P1050" s="255">
        <v>0.0666666666666667</v>
      </c>
      <c r="Q1050" s="255">
        <v>0.633333333333333</v>
      </c>
      <c r="R1050" s="255"/>
      <c r="S1050" s="255"/>
      <c r="T1050" s="252">
        <v>2.4</v>
      </c>
      <c r="U1050" s="252">
        <v>0</v>
      </c>
      <c r="V1050" s="252"/>
      <c r="W1050" s="252"/>
      <c r="X1050" s="255"/>
      <c r="Y1050" s="255"/>
      <c r="Z1050" s="255"/>
      <c r="AA1050" s="255"/>
      <c r="AB1050" s="255"/>
      <c r="AC1050" s="255"/>
      <c r="AD1050" s="255"/>
      <c r="AE1050" s="255"/>
      <c r="AF1050" s="255"/>
      <c r="AG1050" s="255"/>
      <c r="AH1050" s="255"/>
      <c r="AI1050" s="255"/>
      <c r="AJ1050" s="255"/>
      <c r="AK1050" s="255">
        <v>0</v>
      </c>
      <c r="AL1050" s="255"/>
      <c r="AM1050" s="255"/>
      <c r="AN1050" s="255"/>
      <c r="AO1050" s="255"/>
      <c r="AP1050" s="255">
        <v>4</v>
      </c>
      <c r="AQ1050" s="255"/>
      <c r="AR1050" s="255"/>
      <c r="AS1050" s="255"/>
      <c r="AT1050" s="255"/>
      <c r="AU1050" s="255"/>
      <c r="AY1050" s="255"/>
      <c r="AZ1050" s="255"/>
    </row>
    <row r="1051" spans="1:52">
      <c r="A1051" s="252">
        <v>30031</v>
      </c>
      <c r="B1051" s="253" t="s">
        <v>2284</v>
      </c>
      <c r="C1051" s="254" t="s">
        <v>2285</v>
      </c>
      <c r="D1051" s="255">
        <v>1</v>
      </c>
      <c r="E1051" s="255"/>
      <c r="F1051" s="255">
        <v>1</v>
      </c>
      <c r="G1051" s="255">
        <v>2.2</v>
      </c>
      <c r="H1051" s="255">
        <v>5</v>
      </c>
      <c r="I1051" s="255">
        <v>0.8</v>
      </c>
      <c r="J1051" s="255" t="s">
        <v>1504</v>
      </c>
      <c r="K1051" s="255"/>
      <c r="L1051">
        <v>0.133333333333333</v>
      </c>
      <c r="M1051">
        <v>0.633333333333333</v>
      </c>
      <c r="N1051" s="255"/>
      <c r="O1051" s="255"/>
      <c r="P1051">
        <v>0.166666666666667</v>
      </c>
      <c r="Q1051">
        <v>0.633333333333333</v>
      </c>
      <c r="R1051" s="255"/>
      <c r="S1051" s="255"/>
      <c r="T1051" s="252">
        <v>2.4</v>
      </c>
      <c r="U1051" s="252">
        <v>0</v>
      </c>
      <c r="V1051" s="252"/>
      <c r="W1051" s="252"/>
      <c r="X1051" s="255"/>
      <c r="Y1051" s="255"/>
      <c r="Z1051" s="255"/>
      <c r="AA1051" s="255"/>
      <c r="AB1051" s="255"/>
      <c r="AC1051" s="255"/>
      <c r="AD1051" s="255"/>
      <c r="AE1051" s="255"/>
      <c r="AF1051" s="255"/>
      <c r="AG1051" s="255"/>
      <c r="AH1051" s="255"/>
      <c r="AI1051" s="255"/>
      <c r="AJ1051" s="255"/>
      <c r="AK1051" s="255">
        <v>0</v>
      </c>
      <c r="AL1051" s="255"/>
      <c r="AM1051" s="255"/>
      <c r="AN1051" s="255"/>
      <c r="AO1051" s="255"/>
      <c r="AP1051" s="255"/>
      <c r="AQ1051" s="255"/>
      <c r="AR1051" s="255"/>
      <c r="AS1051" s="255"/>
      <c r="AT1051" s="255"/>
      <c r="AU1051" s="255"/>
      <c r="AY1051" s="255"/>
      <c r="AZ1051" s="255"/>
    </row>
    <row r="1052" spans="1:52">
      <c r="A1052" s="252">
        <v>30032</v>
      </c>
      <c r="B1052" s="253" t="s">
        <v>2286</v>
      </c>
      <c r="C1052" s="254" t="s">
        <v>2287</v>
      </c>
      <c r="D1052" s="255">
        <v>0</v>
      </c>
      <c r="E1052" s="255"/>
      <c r="F1052" s="255">
        <v>1</v>
      </c>
      <c r="G1052" s="255">
        <v>2.2</v>
      </c>
      <c r="H1052" s="255">
        <v>2.2</v>
      </c>
      <c r="I1052" s="255">
        <v>1</v>
      </c>
      <c r="J1052" s="255" t="s">
        <v>115</v>
      </c>
      <c r="K1052" s="255"/>
      <c r="L1052" s="255">
        <v>0.0666666666666667</v>
      </c>
      <c r="M1052" s="255">
        <v>0.633333333333333</v>
      </c>
      <c r="N1052" s="255"/>
      <c r="O1052" s="255"/>
      <c r="P1052" s="255">
        <v>0.0666666666666667</v>
      </c>
      <c r="Q1052" s="255">
        <v>0.633333333333333</v>
      </c>
      <c r="R1052" s="255"/>
      <c r="S1052" s="255"/>
      <c r="T1052" s="252">
        <v>2.4</v>
      </c>
      <c r="U1052" s="252">
        <v>0</v>
      </c>
      <c r="V1052" s="252"/>
      <c r="W1052" s="252"/>
      <c r="X1052" s="255"/>
      <c r="Y1052" s="255"/>
      <c r="Z1052" s="255"/>
      <c r="AA1052" s="255"/>
      <c r="AB1052" s="255"/>
      <c r="AC1052" s="255"/>
      <c r="AD1052" s="255"/>
      <c r="AE1052" s="255"/>
      <c r="AF1052" s="255"/>
      <c r="AG1052" s="255"/>
      <c r="AH1052" s="255"/>
      <c r="AI1052" s="255"/>
      <c r="AJ1052" s="255"/>
      <c r="AK1052" s="255">
        <v>0</v>
      </c>
      <c r="AL1052" s="255"/>
      <c r="AM1052" s="255"/>
      <c r="AN1052" s="255"/>
      <c r="AO1052" s="255"/>
      <c r="AP1052" s="255"/>
      <c r="AQ1052" s="255"/>
      <c r="AR1052" s="255"/>
      <c r="AS1052" s="255"/>
      <c r="AT1052" s="255"/>
      <c r="AU1052" s="255"/>
      <c r="AY1052" s="255"/>
      <c r="AZ1052" s="255"/>
    </row>
    <row r="1053" spans="1:52">
      <c r="A1053" s="252">
        <v>30033</v>
      </c>
      <c r="B1053" s="253" t="s">
        <v>2288</v>
      </c>
      <c r="C1053" s="254" t="s">
        <v>2289</v>
      </c>
      <c r="D1053" s="255">
        <v>0</v>
      </c>
      <c r="E1053" s="255">
        <v>1</v>
      </c>
      <c r="F1053" s="255">
        <v>1</v>
      </c>
      <c r="G1053" s="255">
        <v>2.33</v>
      </c>
      <c r="H1053" s="255">
        <v>1.7</v>
      </c>
      <c r="I1053" s="255">
        <v>0.5</v>
      </c>
      <c r="J1053" s="255" t="s">
        <v>115</v>
      </c>
      <c r="K1053" s="255"/>
      <c r="L1053" s="255">
        <v>0.0666666666666667</v>
      </c>
      <c r="M1053" s="255">
        <v>0.633333333333333</v>
      </c>
      <c r="N1053" s="255"/>
      <c r="O1053" s="255"/>
      <c r="P1053" s="255">
        <v>0.0666666666666667</v>
      </c>
      <c r="Q1053" s="255">
        <v>0.633333333333333</v>
      </c>
      <c r="R1053" s="255"/>
      <c r="S1053" s="255"/>
      <c r="T1053" s="252">
        <v>2.4</v>
      </c>
      <c r="U1053" s="252">
        <v>0</v>
      </c>
      <c r="V1053" s="252"/>
      <c r="W1053" s="252"/>
      <c r="X1053" s="255"/>
      <c r="Y1053" s="255"/>
      <c r="Z1053" s="255"/>
      <c r="AA1053" s="255"/>
      <c r="AB1053" s="255"/>
      <c r="AC1053" s="255"/>
      <c r="AD1053" s="255"/>
      <c r="AE1053" s="255"/>
      <c r="AF1053" s="255"/>
      <c r="AG1053" s="255"/>
      <c r="AH1053" s="255"/>
      <c r="AI1053" s="255"/>
      <c r="AJ1053" s="255"/>
      <c r="AK1053" s="255">
        <v>0</v>
      </c>
      <c r="AL1053" s="255"/>
      <c r="AM1053" s="255"/>
      <c r="AN1053" s="255"/>
      <c r="AO1053" s="255"/>
      <c r="AP1053" s="255">
        <v>4</v>
      </c>
      <c r="AQ1053" s="255"/>
      <c r="AR1053" s="255"/>
      <c r="AS1053" s="255"/>
      <c r="AT1053" s="255"/>
      <c r="AU1053" s="255"/>
      <c r="AY1053" s="255"/>
      <c r="AZ1053" s="255"/>
    </row>
    <row r="1054" spans="1:52">
      <c r="A1054" s="256">
        <v>30034</v>
      </c>
      <c r="B1054" s="257" t="s">
        <v>2290</v>
      </c>
      <c r="C1054" s="258" t="s">
        <v>2291</v>
      </c>
      <c r="D1054" s="259">
        <v>0</v>
      </c>
      <c r="E1054" s="259"/>
      <c r="F1054" s="259">
        <v>1</v>
      </c>
      <c r="G1054" s="259">
        <v>1.7</v>
      </c>
      <c r="H1054" s="259">
        <v>1.7</v>
      </c>
      <c r="I1054" s="259">
        <v>0.5</v>
      </c>
      <c r="J1054" s="259" t="s">
        <v>115</v>
      </c>
      <c r="K1054" s="259"/>
      <c r="L1054" s="259">
        <v>0.0666666666666667</v>
      </c>
      <c r="M1054" s="259">
        <v>0.666666666666667</v>
      </c>
      <c r="N1054" s="259"/>
      <c r="O1054" s="259"/>
      <c r="P1054" s="259">
        <v>0.0666666666666667</v>
      </c>
      <c r="Q1054" s="259">
        <v>0.633333333333333</v>
      </c>
      <c r="R1054" s="259"/>
      <c r="S1054" s="259"/>
      <c r="T1054" s="256">
        <v>2.4</v>
      </c>
      <c r="U1054" s="256">
        <v>0</v>
      </c>
      <c r="V1054" s="256"/>
      <c r="W1054" s="256"/>
      <c r="X1054" s="259"/>
      <c r="Y1054" s="259"/>
      <c r="Z1054" s="259"/>
      <c r="AA1054" s="259"/>
      <c r="AB1054">
        <v>0</v>
      </c>
      <c r="AC1054">
        <v>2303</v>
      </c>
      <c r="AD1054" t="s">
        <v>153</v>
      </c>
      <c r="AE1054" s="259"/>
      <c r="AF1054" s="259"/>
      <c r="AG1054" s="259"/>
      <c r="AH1054" s="259"/>
      <c r="AI1054" s="259"/>
      <c r="AJ1054" s="259"/>
      <c r="AK1054" s="259">
        <v>0</v>
      </c>
      <c r="AL1054" s="259"/>
      <c r="AM1054" s="259"/>
      <c r="AN1054" s="259"/>
      <c r="AO1054" s="259"/>
      <c r="AP1054" s="259"/>
      <c r="AQ1054" s="259"/>
      <c r="AR1054" s="259"/>
      <c r="AS1054" s="259"/>
      <c r="AT1054" s="259"/>
      <c r="AU1054" s="259"/>
      <c r="AY1054">
        <v>2303</v>
      </c>
      <c r="AZ1054" t="s">
        <v>153</v>
      </c>
    </row>
    <row r="1055" spans="1:49">
      <c r="A1055" s="256">
        <v>30035</v>
      </c>
      <c r="B1055" s="257" t="s">
        <v>2292</v>
      </c>
      <c r="C1055" s="258" t="s">
        <v>2293</v>
      </c>
      <c r="D1055" s="259">
        <v>1</v>
      </c>
      <c r="E1055" s="259"/>
      <c r="F1055" s="12">
        <v>1</v>
      </c>
      <c r="G1055">
        <v>3.5</v>
      </c>
      <c r="H1055">
        <v>6.1</v>
      </c>
      <c r="I1055">
        <v>2.6</v>
      </c>
      <c r="J1055" s="259" t="s">
        <v>2294</v>
      </c>
      <c r="K1055" s="259"/>
      <c r="L1055" s="259">
        <f t="shared" ref="L1055:L1061" si="94">5/30</f>
        <v>0.166666666666667</v>
      </c>
      <c r="M1055" s="259">
        <f t="shared" ref="M1055:M1063" si="95">19/30</f>
        <v>0.633333333333333</v>
      </c>
      <c r="N1055" s="259"/>
      <c r="O1055" s="259"/>
      <c r="P1055" s="259">
        <f t="shared" ref="P1055:P1061" si="96">5/30</f>
        <v>0.166666666666667</v>
      </c>
      <c r="Q1055" s="259">
        <f t="shared" ref="Q1055:Q1061" si="97">18/30</f>
        <v>0.6</v>
      </c>
      <c r="R1055" s="259"/>
      <c r="S1055" s="259"/>
      <c r="T1055" s="256">
        <v>2.4</v>
      </c>
      <c r="U1055" s="256">
        <v>0</v>
      </c>
      <c r="V1055" s="256"/>
      <c r="W1055" s="256"/>
      <c r="X1055" s="259"/>
      <c r="Y1055" s="259"/>
      <c r="Z1055" s="259"/>
      <c r="AA1055" s="259"/>
      <c r="AE1055" s="259"/>
      <c r="AF1055" s="259"/>
      <c r="AG1055" s="259"/>
      <c r="AH1055" s="259"/>
      <c r="AI1055" s="259"/>
      <c r="AJ1055" s="259"/>
      <c r="AK1055" s="259">
        <v>0</v>
      </c>
      <c r="AL1055" s="259"/>
      <c r="AM1055" s="259"/>
      <c r="AN1055" s="259"/>
      <c r="AO1055" s="259"/>
      <c r="AP1055" s="259"/>
      <c r="AQ1055" s="259"/>
      <c r="AR1055" s="259"/>
      <c r="AS1055" s="259"/>
      <c r="AT1055" s="259"/>
      <c r="AU1055" s="259"/>
      <c r="AV1055" t="s">
        <v>2295</v>
      </c>
      <c r="AW1055" t="s">
        <v>2296</v>
      </c>
    </row>
    <row r="1056" spans="1:52">
      <c r="A1056" s="259">
        <v>30036</v>
      </c>
      <c r="B1056" s="259" t="s">
        <v>2297</v>
      </c>
      <c r="C1056" s="259" t="s">
        <v>2298</v>
      </c>
      <c r="D1056" s="259">
        <v>1</v>
      </c>
      <c r="E1056" s="259">
        <v>0</v>
      </c>
      <c r="F1056" s="259">
        <v>1</v>
      </c>
      <c r="G1056" s="259">
        <v>4</v>
      </c>
      <c r="H1056" s="259">
        <v>3.5</v>
      </c>
      <c r="I1056" s="259">
        <v>0.65</v>
      </c>
      <c r="J1056" s="255" t="s">
        <v>115</v>
      </c>
      <c r="K1056" s="259"/>
      <c r="L1056" s="259">
        <f t="shared" ref="L1056:L1058" si="98">2/30</f>
        <v>0.0666666666666667</v>
      </c>
      <c r="M1056" s="259">
        <f t="shared" ref="M1056:M1058" si="99">14/30</f>
        <v>0.466666666666667</v>
      </c>
      <c r="N1056" s="259"/>
      <c r="O1056" s="259"/>
      <c r="P1056" s="259">
        <f t="shared" ref="P1056:P1058" si="100">2/30</f>
        <v>0.0666666666666667</v>
      </c>
      <c r="Q1056" s="259">
        <f t="shared" ref="Q1056:Q1058" si="101">16/30</f>
        <v>0.533333333333333</v>
      </c>
      <c r="R1056" s="259"/>
      <c r="S1056" s="259"/>
      <c r="T1056" s="259">
        <v>2.4</v>
      </c>
      <c r="U1056" s="259">
        <v>0</v>
      </c>
      <c r="V1056" s="259"/>
      <c r="W1056" s="259"/>
      <c r="X1056" s="259"/>
      <c r="Y1056" s="259"/>
      <c r="Z1056" s="259"/>
      <c r="AA1056" s="259"/>
      <c r="AB1056" s="259"/>
      <c r="AC1056" s="259"/>
      <c r="AD1056" s="259"/>
      <c r="AE1056" s="259"/>
      <c r="AF1056" s="259"/>
      <c r="AG1056" s="259"/>
      <c r="AH1056" s="259"/>
      <c r="AI1056" s="259"/>
      <c r="AJ1056" s="259"/>
      <c r="AK1056" s="259">
        <v>0</v>
      </c>
      <c r="AL1056" s="259"/>
      <c r="AM1056" s="259"/>
      <c r="AN1056" s="259"/>
      <c r="AO1056" s="259"/>
      <c r="AP1056" s="259"/>
      <c r="AQ1056" s="259"/>
      <c r="AR1056" s="259"/>
      <c r="AS1056" s="259"/>
      <c r="AT1056" s="259"/>
      <c r="AU1056" s="259"/>
      <c r="AY1056" s="259"/>
      <c r="AZ1056" s="259"/>
    </row>
    <row r="1057" spans="1:52">
      <c r="A1057" s="259">
        <v>30037</v>
      </c>
      <c r="B1057" s="259" t="s">
        <v>2299</v>
      </c>
      <c r="C1057" s="259" t="s">
        <v>2300</v>
      </c>
      <c r="D1057" s="259">
        <v>1</v>
      </c>
      <c r="E1057" s="259">
        <v>0</v>
      </c>
      <c r="F1057">
        <v>0.82</v>
      </c>
      <c r="G1057" s="259">
        <v>3</v>
      </c>
      <c r="H1057" s="259">
        <v>3.6</v>
      </c>
      <c r="I1057" s="259">
        <v>0.65</v>
      </c>
      <c r="J1057" s="259" t="s">
        <v>115</v>
      </c>
      <c r="K1057" s="259"/>
      <c r="L1057" s="259">
        <f t="shared" si="98"/>
        <v>0.0666666666666667</v>
      </c>
      <c r="M1057" s="259">
        <f t="shared" si="99"/>
        <v>0.466666666666667</v>
      </c>
      <c r="N1057" s="259"/>
      <c r="O1057" s="259"/>
      <c r="P1057" s="259">
        <f t="shared" si="100"/>
        <v>0.0666666666666667</v>
      </c>
      <c r="Q1057" s="259">
        <f t="shared" si="101"/>
        <v>0.533333333333333</v>
      </c>
      <c r="R1057" s="259"/>
      <c r="S1057" s="259"/>
      <c r="T1057" s="259">
        <v>2.4</v>
      </c>
      <c r="U1057" s="259">
        <v>0</v>
      </c>
      <c r="V1057" s="259"/>
      <c r="W1057" s="259"/>
      <c r="X1057" s="259"/>
      <c r="Y1057" s="259"/>
      <c r="Z1057" s="259"/>
      <c r="AA1057" s="259"/>
      <c r="AB1057" s="259"/>
      <c r="AC1057" s="259"/>
      <c r="AD1057" s="259"/>
      <c r="AE1057" s="259"/>
      <c r="AF1057" s="259"/>
      <c r="AG1057" s="259"/>
      <c r="AH1057" s="259"/>
      <c r="AI1057" s="259"/>
      <c r="AJ1057" s="259"/>
      <c r="AK1057" s="259">
        <v>0</v>
      </c>
      <c r="AL1057" s="259"/>
      <c r="AM1057" s="259"/>
      <c r="AN1057" s="259"/>
      <c r="AO1057" s="259"/>
      <c r="AP1057" s="259"/>
      <c r="AQ1057" s="259"/>
      <c r="AR1057" s="259"/>
      <c r="AS1057" s="259"/>
      <c r="AT1057" s="259"/>
      <c r="AU1057" s="259"/>
      <c r="AY1057" s="259"/>
      <c r="AZ1057" s="259"/>
    </row>
    <row r="1058" spans="1:52">
      <c r="A1058" s="259">
        <v>30038</v>
      </c>
      <c r="B1058" s="259" t="s">
        <v>2301</v>
      </c>
      <c r="C1058" s="259" t="s">
        <v>2302</v>
      </c>
      <c r="D1058" s="259">
        <v>0</v>
      </c>
      <c r="E1058" s="259">
        <v>0</v>
      </c>
      <c r="F1058" s="259">
        <v>1</v>
      </c>
      <c r="G1058" s="259">
        <v>3</v>
      </c>
      <c r="H1058" s="259">
        <v>3</v>
      </c>
      <c r="I1058" s="259">
        <v>0.65</v>
      </c>
      <c r="J1058" s="259" t="s">
        <v>115</v>
      </c>
      <c r="K1058" s="259"/>
      <c r="L1058" s="259">
        <f t="shared" si="98"/>
        <v>0.0666666666666667</v>
      </c>
      <c r="M1058" s="259">
        <f t="shared" si="99"/>
        <v>0.466666666666667</v>
      </c>
      <c r="N1058" s="259"/>
      <c r="O1058" s="259"/>
      <c r="P1058" s="259">
        <f t="shared" si="100"/>
        <v>0.0666666666666667</v>
      </c>
      <c r="Q1058" s="259">
        <f t="shared" si="101"/>
        <v>0.533333333333333</v>
      </c>
      <c r="R1058" s="259"/>
      <c r="S1058" s="259"/>
      <c r="T1058" s="259">
        <v>2.4</v>
      </c>
      <c r="U1058" s="259">
        <v>0</v>
      </c>
      <c r="V1058" s="259"/>
      <c r="W1058" s="259"/>
      <c r="X1058" s="259"/>
      <c r="Y1058" s="259"/>
      <c r="Z1058" s="259"/>
      <c r="AA1058" s="259"/>
      <c r="AB1058" s="259"/>
      <c r="AC1058" s="259"/>
      <c r="AD1058" s="259"/>
      <c r="AE1058" s="259"/>
      <c r="AF1058" s="259"/>
      <c r="AG1058" s="259"/>
      <c r="AH1058" s="259"/>
      <c r="AI1058" s="259"/>
      <c r="AJ1058" s="259"/>
      <c r="AK1058" s="259">
        <v>0</v>
      </c>
      <c r="AL1058" s="259"/>
      <c r="AM1058" s="259"/>
      <c r="AN1058" s="259"/>
      <c r="AO1058" s="259"/>
      <c r="AP1058" s="259"/>
      <c r="AQ1058" s="259"/>
      <c r="AR1058" s="259"/>
      <c r="AS1058" s="259"/>
      <c r="AT1058" s="259"/>
      <c r="AU1058" s="259"/>
      <c r="AY1058" s="259"/>
      <c r="AZ1058" s="259"/>
    </row>
    <row r="1059" spans="1:49">
      <c r="A1059" s="259">
        <v>30039</v>
      </c>
      <c r="B1059" s="259" t="s">
        <v>2303</v>
      </c>
      <c r="C1059" s="259" t="s">
        <v>2304</v>
      </c>
      <c r="D1059" s="259">
        <v>1</v>
      </c>
      <c r="E1059" s="259"/>
      <c r="F1059" s="12">
        <v>1</v>
      </c>
      <c r="G1059">
        <v>3.5</v>
      </c>
      <c r="H1059">
        <v>6.1</v>
      </c>
      <c r="I1059">
        <v>2.6</v>
      </c>
      <c r="J1059" s="259" t="s">
        <v>2294</v>
      </c>
      <c r="K1059" s="259"/>
      <c r="L1059" s="259">
        <f t="shared" si="94"/>
        <v>0.166666666666667</v>
      </c>
      <c r="M1059" s="259">
        <f t="shared" si="95"/>
        <v>0.633333333333333</v>
      </c>
      <c r="N1059" s="259"/>
      <c r="O1059" s="259"/>
      <c r="P1059" s="259">
        <f t="shared" si="96"/>
        <v>0.166666666666667</v>
      </c>
      <c r="Q1059" s="259">
        <f t="shared" si="97"/>
        <v>0.6</v>
      </c>
      <c r="R1059" s="259"/>
      <c r="S1059" s="259"/>
      <c r="T1059" s="256">
        <v>2.4</v>
      </c>
      <c r="U1059" s="256">
        <v>0</v>
      </c>
      <c r="V1059" s="256"/>
      <c r="W1059" s="256"/>
      <c r="X1059" s="259"/>
      <c r="Y1059" s="259"/>
      <c r="Z1059" s="259"/>
      <c r="AA1059" s="259"/>
      <c r="AE1059" s="259"/>
      <c r="AF1059" s="259"/>
      <c r="AG1059" s="259"/>
      <c r="AH1059" s="259"/>
      <c r="AI1059" s="259"/>
      <c r="AJ1059" s="259"/>
      <c r="AK1059" s="259">
        <v>0</v>
      </c>
      <c r="AL1059" s="259"/>
      <c r="AM1059" s="259"/>
      <c r="AN1059" s="259"/>
      <c r="AO1059" s="259"/>
      <c r="AP1059" s="259"/>
      <c r="AQ1059" s="259"/>
      <c r="AR1059" s="259"/>
      <c r="AS1059" s="259"/>
      <c r="AT1059" s="259"/>
      <c r="AU1059" s="259"/>
      <c r="AV1059" t="s">
        <v>2295</v>
      </c>
      <c r="AW1059" t="s">
        <v>2296</v>
      </c>
    </row>
    <row r="1060" spans="1:52">
      <c r="A1060" s="259">
        <v>30040</v>
      </c>
      <c r="B1060" s="259" t="s">
        <v>1797</v>
      </c>
      <c r="C1060" s="259" t="s">
        <v>2305</v>
      </c>
      <c r="D1060" s="259">
        <v>0</v>
      </c>
      <c r="E1060" s="259">
        <v>0</v>
      </c>
      <c r="F1060" s="259">
        <v>1</v>
      </c>
      <c r="G1060">
        <v>1</v>
      </c>
      <c r="H1060">
        <v>1</v>
      </c>
      <c r="I1060">
        <v>1</v>
      </c>
      <c r="J1060" s="259" t="s">
        <v>115</v>
      </c>
      <c r="K1060" s="259"/>
      <c r="L1060" s="259">
        <f t="shared" si="94"/>
        <v>0.166666666666667</v>
      </c>
      <c r="M1060" s="259">
        <f t="shared" si="95"/>
        <v>0.633333333333333</v>
      </c>
      <c r="N1060" s="259"/>
      <c r="O1060" s="259"/>
      <c r="P1060" s="259">
        <f t="shared" si="96"/>
        <v>0.166666666666667</v>
      </c>
      <c r="Q1060" s="259">
        <f t="shared" si="97"/>
        <v>0.6</v>
      </c>
      <c r="R1060" s="259"/>
      <c r="S1060" s="259"/>
      <c r="T1060" s="256">
        <v>2.4</v>
      </c>
      <c r="U1060" s="256">
        <v>0</v>
      </c>
      <c r="V1060" s="256"/>
      <c r="W1060" s="256"/>
      <c r="X1060" s="259"/>
      <c r="Y1060" s="259"/>
      <c r="Z1060" s="259"/>
      <c r="AA1060" s="259"/>
      <c r="AB1060">
        <v>0</v>
      </c>
      <c r="AC1060">
        <v>2603</v>
      </c>
      <c r="AD1060" t="s">
        <v>2306</v>
      </c>
      <c r="AE1060" s="259"/>
      <c r="AF1060" s="259"/>
      <c r="AG1060" s="259"/>
      <c r="AH1060" s="259"/>
      <c r="AI1060" s="259"/>
      <c r="AJ1060" s="259"/>
      <c r="AK1060" s="259"/>
      <c r="AL1060" s="259"/>
      <c r="AM1060" s="259"/>
      <c r="AN1060" s="259"/>
      <c r="AO1060" s="259"/>
      <c r="AP1060" s="259"/>
      <c r="AQ1060" s="259"/>
      <c r="AR1060" s="259"/>
      <c r="AS1060" s="259"/>
      <c r="AT1060" s="259"/>
      <c r="AU1060" s="259"/>
      <c r="AY1060">
        <v>2603</v>
      </c>
      <c r="AZ1060" t="s">
        <v>2306</v>
      </c>
    </row>
    <row r="1061" spans="1:52">
      <c r="A1061" s="259">
        <v>30041</v>
      </c>
      <c r="B1061" s="259" t="s">
        <v>2307</v>
      </c>
      <c r="C1061" s="259" t="s">
        <v>2308</v>
      </c>
      <c r="D1061" s="259">
        <v>0</v>
      </c>
      <c r="E1061" s="259">
        <v>0</v>
      </c>
      <c r="F1061" s="259">
        <v>1</v>
      </c>
      <c r="G1061">
        <v>1</v>
      </c>
      <c r="H1061">
        <v>1</v>
      </c>
      <c r="I1061">
        <v>1</v>
      </c>
      <c r="J1061" s="259" t="s">
        <v>115</v>
      </c>
      <c r="K1061" s="259"/>
      <c r="L1061" s="259">
        <f t="shared" si="94"/>
        <v>0.166666666666667</v>
      </c>
      <c r="M1061" s="259">
        <f t="shared" si="95"/>
        <v>0.633333333333333</v>
      </c>
      <c r="N1061" s="259"/>
      <c r="O1061" s="259"/>
      <c r="P1061" s="259">
        <f t="shared" si="96"/>
        <v>0.166666666666667</v>
      </c>
      <c r="Q1061" s="259">
        <f t="shared" si="97"/>
        <v>0.6</v>
      </c>
      <c r="R1061" s="259"/>
      <c r="S1061" s="259"/>
      <c r="T1061" s="256">
        <v>2.4</v>
      </c>
      <c r="U1061" s="256">
        <v>0</v>
      </c>
      <c r="V1061" s="256"/>
      <c r="W1061" s="256"/>
      <c r="X1061" s="259"/>
      <c r="Y1061" s="259"/>
      <c r="Z1061" s="259"/>
      <c r="AA1061" s="259"/>
      <c r="AB1061">
        <v>0</v>
      </c>
      <c r="AC1061">
        <v>2602</v>
      </c>
      <c r="AD1061" t="s">
        <v>2309</v>
      </c>
      <c r="AE1061" s="259"/>
      <c r="AF1061" s="259"/>
      <c r="AG1061" s="259"/>
      <c r="AH1061" s="259"/>
      <c r="AI1061" s="259"/>
      <c r="AJ1061" s="259"/>
      <c r="AK1061" s="259"/>
      <c r="AL1061" s="259"/>
      <c r="AM1061" s="259"/>
      <c r="AN1061" s="259"/>
      <c r="AO1061" s="259"/>
      <c r="AP1061" s="259"/>
      <c r="AQ1061" s="259"/>
      <c r="AR1061" s="259"/>
      <c r="AS1061" s="259"/>
      <c r="AT1061" s="259"/>
      <c r="AU1061" s="259"/>
      <c r="AY1061">
        <v>2602</v>
      </c>
      <c r="AZ1061" t="s">
        <v>2309</v>
      </c>
    </row>
    <row r="1062" spans="1:47">
      <c r="A1062" s="259">
        <v>30042</v>
      </c>
      <c r="B1062" s="259" t="s">
        <v>2310</v>
      </c>
      <c r="C1062" s="259" t="s">
        <v>2311</v>
      </c>
      <c r="D1062" s="259">
        <v>1</v>
      </c>
      <c r="E1062" s="259"/>
      <c r="F1062" s="259">
        <v>1</v>
      </c>
      <c r="G1062" s="39">
        <v>1.8</v>
      </c>
      <c r="H1062" s="39">
        <v>2.25</v>
      </c>
      <c r="I1062" s="39">
        <v>0.5</v>
      </c>
      <c r="J1062" s="259" t="s">
        <v>115</v>
      </c>
      <c r="K1062" s="259"/>
      <c r="L1062" s="259">
        <f>2/30</f>
        <v>0.0666666666666667</v>
      </c>
      <c r="M1062" s="259">
        <f t="shared" si="95"/>
        <v>0.633333333333333</v>
      </c>
      <c r="N1062" s="259"/>
      <c r="O1062" s="259"/>
      <c r="P1062" s="259">
        <f>2/30</f>
        <v>0.0666666666666667</v>
      </c>
      <c r="Q1062" s="259">
        <f>17/30</f>
        <v>0.566666666666667</v>
      </c>
      <c r="R1062" s="259"/>
      <c r="S1062" s="259"/>
      <c r="T1062" s="256">
        <v>2.4</v>
      </c>
      <c r="U1062" s="256">
        <v>0</v>
      </c>
      <c r="V1062" s="256"/>
      <c r="W1062" s="256"/>
      <c r="X1062" s="259"/>
      <c r="Y1062" s="259"/>
      <c r="Z1062" s="259"/>
      <c r="AA1062" s="259"/>
      <c r="AE1062" s="259"/>
      <c r="AF1062" s="259"/>
      <c r="AG1062" s="259"/>
      <c r="AH1062" s="259"/>
      <c r="AI1062" s="259"/>
      <c r="AJ1062" s="259"/>
      <c r="AK1062" s="259">
        <v>0</v>
      </c>
      <c r="AL1062" s="259"/>
      <c r="AM1062" s="259"/>
      <c r="AN1062" s="259"/>
      <c r="AO1062" s="259"/>
      <c r="AP1062" s="259"/>
      <c r="AQ1062" s="259"/>
      <c r="AR1062" s="259"/>
      <c r="AS1062" s="259"/>
      <c r="AT1062" s="259"/>
      <c r="AU1062" s="259"/>
    </row>
    <row r="1063" spans="1:47">
      <c r="A1063" s="259">
        <v>30043</v>
      </c>
      <c r="B1063" s="259" t="s">
        <v>2312</v>
      </c>
      <c r="C1063" s="259" t="s">
        <v>2313</v>
      </c>
      <c r="D1063" s="259">
        <v>0</v>
      </c>
      <c r="E1063" s="259">
        <v>1</v>
      </c>
      <c r="F1063" s="259">
        <v>1</v>
      </c>
      <c r="G1063">
        <v>5</v>
      </c>
      <c r="H1063">
        <v>6.1</v>
      </c>
      <c r="I1063">
        <v>2.6</v>
      </c>
      <c r="J1063" s="259" t="s">
        <v>115</v>
      </c>
      <c r="K1063" s="259"/>
      <c r="L1063" s="259">
        <f>5/30</f>
        <v>0.166666666666667</v>
      </c>
      <c r="M1063" s="259">
        <f t="shared" si="95"/>
        <v>0.633333333333333</v>
      </c>
      <c r="N1063" s="259"/>
      <c r="O1063" s="259"/>
      <c r="P1063" s="259">
        <f>5/30</f>
        <v>0.166666666666667</v>
      </c>
      <c r="Q1063" s="259">
        <f>18/30</f>
        <v>0.6</v>
      </c>
      <c r="R1063" s="259"/>
      <c r="S1063" s="259"/>
      <c r="T1063" s="256">
        <v>2.4</v>
      </c>
      <c r="U1063" s="256">
        <v>0</v>
      </c>
      <c r="V1063" s="256"/>
      <c r="W1063" s="256"/>
      <c r="X1063" s="259"/>
      <c r="Y1063" s="259"/>
      <c r="Z1063" s="259"/>
      <c r="AA1063" s="259"/>
      <c r="AE1063" s="259"/>
      <c r="AF1063" s="259"/>
      <c r="AG1063" s="259"/>
      <c r="AH1063" s="259" t="s">
        <v>2314</v>
      </c>
      <c r="AI1063" s="259"/>
      <c r="AJ1063" s="259"/>
      <c r="AK1063" s="259">
        <v>0</v>
      </c>
      <c r="AL1063" s="259"/>
      <c r="AM1063" s="259"/>
      <c r="AN1063" s="259"/>
      <c r="AO1063" s="259"/>
      <c r="AP1063" s="268">
        <v>4</v>
      </c>
      <c r="AQ1063" s="259"/>
      <c r="AR1063" s="259"/>
      <c r="AS1063" s="259"/>
      <c r="AT1063" s="259"/>
      <c r="AU1063" s="259"/>
    </row>
    <row r="1064" spans="1:47">
      <c r="A1064" s="259">
        <v>30044</v>
      </c>
      <c r="B1064" s="259" t="s">
        <v>2315</v>
      </c>
      <c r="C1064" s="259" t="s">
        <v>2316</v>
      </c>
      <c r="D1064" s="259">
        <v>1</v>
      </c>
      <c r="E1064" s="259">
        <v>0</v>
      </c>
      <c r="F1064">
        <v>0.82</v>
      </c>
      <c r="G1064">
        <v>3</v>
      </c>
      <c r="H1064">
        <v>3.65</v>
      </c>
      <c r="I1064">
        <v>0.65</v>
      </c>
      <c r="J1064" s="259" t="s">
        <v>115</v>
      </c>
      <c r="K1064" s="259"/>
      <c r="L1064" s="259">
        <v>0.0666666666666667</v>
      </c>
      <c r="M1064" s="259">
        <v>0.466666666666667</v>
      </c>
      <c r="N1064" s="259"/>
      <c r="O1064" s="259"/>
      <c r="P1064" s="259">
        <v>0.0666666666666667</v>
      </c>
      <c r="Q1064" s="259">
        <v>0.533333333333333</v>
      </c>
      <c r="R1064" s="259"/>
      <c r="S1064" s="259"/>
      <c r="T1064" s="256">
        <v>2.4</v>
      </c>
      <c r="U1064" s="256">
        <v>0</v>
      </c>
      <c r="V1064" s="256"/>
      <c r="W1064" s="256"/>
      <c r="X1064" s="259"/>
      <c r="Y1064" s="259"/>
      <c r="Z1064" s="259"/>
      <c r="AA1064" s="259"/>
      <c r="AE1064" s="259"/>
      <c r="AF1064" s="259"/>
      <c r="AG1064" s="259"/>
      <c r="AH1064" s="259"/>
      <c r="AI1064" s="259"/>
      <c r="AJ1064" s="259"/>
      <c r="AK1064" s="259">
        <v>0</v>
      </c>
      <c r="AL1064" s="259"/>
      <c r="AM1064" s="259"/>
      <c r="AN1064" s="259"/>
      <c r="AO1064" s="259"/>
      <c r="AP1064" s="268"/>
      <c r="AQ1064" s="259"/>
      <c r="AR1064" s="259"/>
      <c r="AS1064" s="259"/>
      <c r="AT1064" s="259"/>
      <c r="AU1064" s="259"/>
    </row>
    <row r="1065" spans="1:52">
      <c r="A1065" s="259">
        <v>30045</v>
      </c>
      <c r="B1065" s="259" t="s">
        <v>2317</v>
      </c>
      <c r="C1065" s="259" t="s">
        <v>2318</v>
      </c>
      <c r="D1065" s="255">
        <v>0</v>
      </c>
      <c r="E1065" s="255"/>
      <c r="F1065" s="255">
        <v>1</v>
      </c>
      <c r="G1065" s="255">
        <v>1.7</v>
      </c>
      <c r="H1065" s="255">
        <v>1.7</v>
      </c>
      <c r="I1065" s="255">
        <v>0.5</v>
      </c>
      <c r="J1065" s="255" t="s">
        <v>115</v>
      </c>
      <c r="K1065" s="259"/>
      <c r="L1065" s="255">
        <v>0.0666666666666667</v>
      </c>
      <c r="M1065" s="255">
        <v>0.666666666666667</v>
      </c>
      <c r="N1065" s="255"/>
      <c r="O1065" s="255"/>
      <c r="P1065" s="255">
        <v>0.0666666666666667</v>
      </c>
      <c r="Q1065" s="255">
        <v>0.633333333333333</v>
      </c>
      <c r="R1065" s="255"/>
      <c r="S1065" s="255"/>
      <c r="T1065" s="252">
        <v>2.4</v>
      </c>
      <c r="U1065" s="252">
        <v>0</v>
      </c>
      <c r="V1065" s="252"/>
      <c r="W1065" s="252"/>
      <c r="X1065" s="255"/>
      <c r="Y1065" s="255"/>
      <c r="Z1065" s="255"/>
      <c r="AA1065" s="255"/>
      <c r="AB1065" s="255"/>
      <c r="AC1065" s="255"/>
      <c r="AD1065" s="255"/>
      <c r="AE1065" s="255"/>
      <c r="AF1065" s="255"/>
      <c r="AG1065" s="255"/>
      <c r="AH1065" s="255" t="s">
        <v>2241</v>
      </c>
      <c r="AI1065" s="255"/>
      <c r="AJ1065" s="255"/>
      <c r="AK1065" s="255">
        <v>0</v>
      </c>
      <c r="AL1065" s="255"/>
      <c r="AM1065" s="255"/>
      <c r="AN1065" s="255"/>
      <c r="AO1065" s="255"/>
      <c r="AP1065" s="255"/>
      <c r="AQ1065" s="255"/>
      <c r="AR1065" s="259"/>
      <c r="AS1065" s="259"/>
      <c r="AT1065" s="259"/>
      <c r="AU1065" s="259"/>
      <c r="AY1065" s="255"/>
      <c r="AZ1065" s="255"/>
    </row>
    <row r="1066" spans="1:52">
      <c r="A1066" s="259">
        <v>30046</v>
      </c>
      <c r="B1066" s="259" t="s">
        <v>2319</v>
      </c>
      <c r="C1066" s="259" t="s">
        <v>2320</v>
      </c>
      <c r="D1066" s="255">
        <v>0</v>
      </c>
      <c r="E1066" s="255">
        <v>1</v>
      </c>
      <c r="F1066" s="255">
        <v>1</v>
      </c>
      <c r="G1066" s="255">
        <v>1.7</v>
      </c>
      <c r="H1066" s="255">
        <v>1.7</v>
      </c>
      <c r="I1066" s="255">
        <v>0.5</v>
      </c>
      <c r="J1066" s="255" t="s">
        <v>115</v>
      </c>
      <c r="K1066" s="259"/>
      <c r="L1066" s="255">
        <v>0.0666666666666667</v>
      </c>
      <c r="M1066" s="255">
        <v>0.666666666666667</v>
      </c>
      <c r="N1066" s="255"/>
      <c r="O1066" s="255"/>
      <c r="P1066" s="255">
        <v>0.0666666666666667</v>
      </c>
      <c r="Q1066" s="255">
        <v>0.633333333333333</v>
      </c>
      <c r="R1066" s="255"/>
      <c r="S1066" s="255"/>
      <c r="T1066" s="252">
        <v>2.4</v>
      </c>
      <c r="U1066" s="252">
        <v>0</v>
      </c>
      <c r="V1066" s="252"/>
      <c r="W1066" s="252"/>
      <c r="X1066" s="255"/>
      <c r="Y1066" s="255"/>
      <c r="Z1066" s="255"/>
      <c r="AA1066" s="255"/>
      <c r="AB1066" s="255"/>
      <c r="AC1066" s="255"/>
      <c r="AD1066" s="255"/>
      <c r="AE1066" s="255"/>
      <c r="AF1066" s="255"/>
      <c r="AG1066" s="255"/>
      <c r="AH1066" s="255" t="s">
        <v>2321</v>
      </c>
      <c r="AI1066" s="255"/>
      <c r="AJ1066" s="255"/>
      <c r="AK1066" s="255">
        <v>0</v>
      </c>
      <c r="AL1066" s="255"/>
      <c r="AM1066" s="255"/>
      <c r="AN1066" s="255"/>
      <c r="AO1066" s="255"/>
      <c r="AP1066" s="255"/>
      <c r="AQ1066" s="255"/>
      <c r="AR1066" s="259"/>
      <c r="AS1066" s="259"/>
      <c r="AT1066" s="259"/>
      <c r="AU1066" s="259"/>
      <c r="AY1066" s="255"/>
      <c r="AZ1066" s="255"/>
    </row>
    <row r="1067" spans="1:52">
      <c r="A1067" s="259">
        <v>30047</v>
      </c>
      <c r="B1067" s="259" t="s">
        <v>2322</v>
      </c>
      <c r="C1067" s="259" t="s">
        <v>2323</v>
      </c>
      <c r="D1067" s="255">
        <v>0</v>
      </c>
      <c r="E1067" s="255"/>
      <c r="F1067" s="255">
        <v>1</v>
      </c>
      <c r="G1067" s="255">
        <v>1.7</v>
      </c>
      <c r="H1067" s="255">
        <v>1.7</v>
      </c>
      <c r="I1067" s="255">
        <v>0.5</v>
      </c>
      <c r="J1067" s="255" t="s">
        <v>115</v>
      </c>
      <c r="K1067" s="259"/>
      <c r="L1067" s="255">
        <v>0.0666666666666667</v>
      </c>
      <c r="M1067" s="255">
        <v>0.666666666666667</v>
      </c>
      <c r="N1067" s="255"/>
      <c r="O1067" s="255"/>
      <c r="P1067" s="255">
        <v>0.0666666666666667</v>
      </c>
      <c r="Q1067" s="255">
        <v>0.633333333333333</v>
      </c>
      <c r="R1067" s="255"/>
      <c r="S1067" s="255"/>
      <c r="T1067" s="252">
        <v>2.4</v>
      </c>
      <c r="U1067" s="252">
        <v>0</v>
      </c>
      <c r="V1067" s="252"/>
      <c r="W1067" s="252"/>
      <c r="X1067" s="255"/>
      <c r="Y1067" s="255"/>
      <c r="Z1067" s="255"/>
      <c r="AA1067" s="255"/>
      <c r="AB1067" s="255"/>
      <c r="AC1067" s="255"/>
      <c r="AD1067" s="255"/>
      <c r="AE1067" s="255"/>
      <c r="AF1067" s="255"/>
      <c r="AG1067" s="255"/>
      <c r="AH1067" s="255"/>
      <c r="AI1067" s="255"/>
      <c r="AJ1067" s="255"/>
      <c r="AK1067" s="255">
        <v>0</v>
      </c>
      <c r="AL1067" s="255"/>
      <c r="AM1067" s="255"/>
      <c r="AN1067" s="255"/>
      <c r="AO1067" s="255"/>
      <c r="AP1067" s="255"/>
      <c r="AQ1067" s="255"/>
      <c r="AR1067" s="259"/>
      <c r="AS1067" s="259"/>
      <c r="AT1067" s="259"/>
      <c r="AU1067" s="259"/>
      <c r="AY1067" s="255"/>
      <c r="AZ1067" s="255"/>
    </row>
    <row r="1068" spans="1:52">
      <c r="A1068" s="259">
        <v>30048</v>
      </c>
      <c r="B1068" s="253" t="s">
        <v>2324</v>
      </c>
      <c r="C1068" s="254" t="s">
        <v>2325</v>
      </c>
      <c r="D1068" s="255">
        <v>0</v>
      </c>
      <c r="E1068" s="255">
        <v>0</v>
      </c>
      <c r="F1068" s="255">
        <v>1</v>
      </c>
      <c r="G1068" s="255">
        <v>1.7</v>
      </c>
      <c r="H1068" s="255">
        <v>1.7</v>
      </c>
      <c r="I1068" s="255">
        <v>0.5</v>
      </c>
      <c r="J1068" s="255" t="s">
        <v>115</v>
      </c>
      <c r="K1068" s="255"/>
      <c r="L1068" s="255">
        <v>0.0666666666666667</v>
      </c>
      <c r="M1068" s="255">
        <v>0.666666666666667</v>
      </c>
      <c r="N1068" s="255"/>
      <c r="O1068" s="255"/>
      <c r="P1068" s="255">
        <v>0.0666666666666667</v>
      </c>
      <c r="Q1068" s="255">
        <v>0.633333333333333</v>
      </c>
      <c r="R1068" s="255"/>
      <c r="S1068" s="255"/>
      <c r="T1068" s="252">
        <v>2.4</v>
      </c>
      <c r="U1068" s="252">
        <v>0</v>
      </c>
      <c r="V1068" s="252"/>
      <c r="W1068" s="252"/>
      <c r="X1068" s="255"/>
      <c r="Y1068" s="255"/>
      <c r="Z1068" s="255"/>
      <c r="AA1068" s="255"/>
      <c r="AB1068" s="255"/>
      <c r="AC1068" s="255"/>
      <c r="AD1068" s="255"/>
      <c r="AE1068" s="255"/>
      <c r="AF1068" s="255"/>
      <c r="AG1068" s="255"/>
      <c r="AH1068" s="255" t="s">
        <v>2241</v>
      </c>
      <c r="AI1068" s="255"/>
      <c r="AJ1068" s="255"/>
      <c r="AK1068" s="255">
        <v>0</v>
      </c>
      <c r="AL1068" s="255"/>
      <c r="AM1068" s="255"/>
      <c r="AN1068" s="255"/>
      <c r="AO1068" s="255"/>
      <c r="AP1068" s="255"/>
      <c r="AQ1068" s="255"/>
      <c r="AR1068" s="255"/>
      <c r="AS1068" s="255"/>
      <c r="AT1068" s="255"/>
      <c r="AU1068" s="255"/>
      <c r="AY1068" s="255"/>
      <c r="AZ1068" s="255"/>
    </row>
    <row r="1069" ht="16.5" spans="1:52">
      <c r="A1069" s="260">
        <v>30049</v>
      </c>
      <c r="B1069" s="261" t="s">
        <v>2326</v>
      </c>
      <c r="C1069" s="260" t="s">
        <v>2327</v>
      </c>
      <c r="D1069" s="260">
        <v>1</v>
      </c>
      <c r="E1069" s="260"/>
      <c r="F1069" s="260">
        <v>1</v>
      </c>
      <c r="G1069" s="262">
        <v>1.8</v>
      </c>
      <c r="H1069" s="262">
        <v>2.25</v>
      </c>
      <c r="I1069" s="262">
        <v>0.5</v>
      </c>
      <c r="J1069" s="260" t="s">
        <v>115</v>
      </c>
      <c r="K1069" s="260">
        <v>1</v>
      </c>
      <c r="L1069" s="260">
        <v>0.1</v>
      </c>
      <c r="M1069" s="260">
        <f>18/30</f>
        <v>0.6</v>
      </c>
      <c r="N1069" s="260">
        <v>3097</v>
      </c>
      <c r="O1069" s="260">
        <v>3097</v>
      </c>
      <c r="P1069" s="260">
        <v>0.1</v>
      </c>
      <c r="Q1069" s="260">
        <v>0.6</v>
      </c>
      <c r="R1069" s="260">
        <v>3098</v>
      </c>
      <c r="S1069" s="260">
        <v>3098</v>
      </c>
      <c r="T1069" s="260">
        <v>2.4</v>
      </c>
      <c r="U1069" s="266">
        <v>0</v>
      </c>
      <c r="V1069" s="266"/>
      <c r="W1069" s="260"/>
      <c r="X1069" s="260"/>
      <c r="Y1069" s="260"/>
      <c r="Z1069" s="260"/>
      <c r="AA1069" s="260"/>
      <c r="AB1069" s="260"/>
      <c r="AC1069" s="260"/>
      <c r="AD1069" s="260"/>
      <c r="AE1069" s="260"/>
      <c r="AF1069" s="260">
        <v>801</v>
      </c>
      <c r="AG1069" s="260" t="s">
        <v>116</v>
      </c>
      <c r="AH1069" s="260"/>
      <c r="AI1069" s="260"/>
      <c r="AJ1069" s="260"/>
      <c r="AK1069" s="260">
        <v>0</v>
      </c>
      <c r="AL1069" s="260"/>
      <c r="AM1069" s="260"/>
      <c r="AN1069" s="260"/>
      <c r="AO1069" s="260"/>
      <c r="AP1069" s="260"/>
      <c r="AQ1069" s="260"/>
      <c r="AR1069" s="260"/>
      <c r="AS1069" s="260"/>
      <c r="AT1069" s="260"/>
      <c r="AU1069" s="260"/>
      <c r="AV1069" t="s">
        <v>379</v>
      </c>
      <c r="AW1069" t="s">
        <v>379</v>
      </c>
      <c r="AY1069" s="260"/>
      <c r="AZ1069" s="260"/>
    </row>
    <row r="1070" ht="16.5" spans="1:52">
      <c r="A1070" s="260">
        <v>30050</v>
      </c>
      <c r="B1070" s="261" t="s">
        <v>2328</v>
      </c>
      <c r="C1070" s="260" t="s">
        <v>2329</v>
      </c>
      <c r="D1070" s="260">
        <v>0</v>
      </c>
      <c r="E1070" s="260">
        <v>0</v>
      </c>
      <c r="F1070" s="255">
        <v>1</v>
      </c>
      <c r="G1070" s="255">
        <v>2.7</v>
      </c>
      <c r="H1070" s="255">
        <v>1.7</v>
      </c>
      <c r="I1070" s="255">
        <v>0.5</v>
      </c>
      <c r="J1070" s="255" t="s">
        <v>115</v>
      </c>
      <c r="K1070" s="260"/>
      <c r="L1070" s="255">
        <v>0.0666666666666667</v>
      </c>
      <c r="M1070" s="255">
        <v>0.0666666666666667</v>
      </c>
      <c r="N1070" s="255"/>
      <c r="O1070" s="255"/>
      <c r="P1070" s="255">
        <v>0.0666666666666667</v>
      </c>
      <c r="Q1070" s="255">
        <v>0.633333333333333</v>
      </c>
      <c r="R1070" s="260"/>
      <c r="S1070" s="260"/>
      <c r="T1070" s="260">
        <v>2.4</v>
      </c>
      <c r="U1070" s="266">
        <v>0</v>
      </c>
      <c r="V1070" s="266"/>
      <c r="W1070" s="260"/>
      <c r="X1070" s="260"/>
      <c r="Y1070" s="260"/>
      <c r="Z1070" s="260"/>
      <c r="AA1070" s="260"/>
      <c r="AB1070" s="260"/>
      <c r="AC1070" s="260"/>
      <c r="AD1070" s="260"/>
      <c r="AE1070" s="260"/>
      <c r="AF1070" s="260"/>
      <c r="AG1070" s="260"/>
      <c r="AH1070" s="260" t="s">
        <v>2314</v>
      </c>
      <c r="AI1070" s="260"/>
      <c r="AJ1070" s="260"/>
      <c r="AK1070" s="260">
        <v>0</v>
      </c>
      <c r="AL1070" s="260"/>
      <c r="AM1070" s="260"/>
      <c r="AN1070" s="260"/>
      <c r="AO1070" s="260"/>
      <c r="AP1070" s="269">
        <v>4</v>
      </c>
      <c r="AQ1070" s="260"/>
      <c r="AR1070" s="260"/>
      <c r="AS1070" s="260"/>
      <c r="AT1070" s="260"/>
      <c r="AU1070" s="260"/>
      <c r="AY1070" s="260"/>
      <c r="AZ1070" s="260"/>
    </row>
    <row r="1071" ht="16.5" spans="1:52">
      <c r="A1071" s="260">
        <v>30051</v>
      </c>
      <c r="B1071" s="261" t="s">
        <v>2330</v>
      </c>
      <c r="C1071" s="260" t="s">
        <v>2331</v>
      </c>
      <c r="D1071" s="260">
        <v>0</v>
      </c>
      <c r="E1071" s="260">
        <v>0</v>
      </c>
      <c r="F1071">
        <v>1</v>
      </c>
      <c r="G1071" s="39">
        <v>0.6</v>
      </c>
      <c r="H1071" s="39">
        <v>1</v>
      </c>
      <c r="I1071" s="39">
        <v>0.3</v>
      </c>
      <c r="J1071" s="39" t="s">
        <v>115</v>
      </c>
      <c r="K1071" s="39"/>
      <c r="L1071">
        <f>2/30</f>
        <v>0.0666666666666667</v>
      </c>
      <c r="M1071" s="39">
        <f>11/30</f>
        <v>0.366666666666667</v>
      </c>
      <c r="P1071" s="39">
        <v>0.1</v>
      </c>
      <c r="Q1071" s="39">
        <v>0.533333333333333</v>
      </c>
      <c r="T1071">
        <v>2.4</v>
      </c>
      <c r="U1071">
        <v>0</v>
      </c>
      <c r="W1071" s="260"/>
      <c r="X1071" s="260"/>
      <c r="Y1071" s="260"/>
      <c r="Z1071" s="260"/>
      <c r="AA1071" s="260"/>
      <c r="AB1071" s="260"/>
      <c r="AC1071" s="260"/>
      <c r="AD1071" s="260"/>
      <c r="AE1071" s="260"/>
      <c r="AF1071" s="260"/>
      <c r="AG1071" s="260"/>
      <c r="AH1071" s="260"/>
      <c r="AI1071" s="260"/>
      <c r="AJ1071" s="260"/>
      <c r="AK1071" s="260">
        <v>0</v>
      </c>
      <c r="AL1071" s="260"/>
      <c r="AM1071" s="260"/>
      <c r="AN1071" s="260"/>
      <c r="AO1071" s="260"/>
      <c r="AP1071" s="269"/>
      <c r="AQ1071" s="260"/>
      <c r="AR1071" s="260"/>
      <c r="AS1071" s="260"/>
      <c r="AT1071" s="260"/>
      <c r="AU1071" s="260"/>
      <c r="AY1071" s="260"/>
      <c r="AZ1071" s="260"/>
    </row>
    <row r="1072" ht="16.5" spans="1:52">
      <c r="A1072" s="260">
        <v>30052</v>
      </c>
      <c r="B1072" s="261" t="s">
        <v>2332</v>
      </c>
      <c r="C1072" s="260" t="s">
        <v>2333</v>
      </c>
      <c r="D1072" s="260">
        <v>0</v>
      </c>
      <c r="E1072" s="260">
        <v>0</v>
      </c>
      <c r="F1072">
        <v>1</v>
      </c>
      <c r="G1072" s="39">
        <v>0.6</v>
      </c>
      <c r="H1072" s="39">
        <v>1</v>
      </c>
      <c r="I1072" s="39">
        <v>0.3</v>
      </c>
      <c r="J1072" s="39" t="s">
        <v>115</v>
      </c>
      <c r="K1072" s="39"/>
      <c r="L1072">
        <f>2/30</f>
        <v>0.0666666666666667</v>
      </c>
      <c r="M1072" s="39">
        <f>11/30</f>
        <v>0.366666666666667</v>
      </c>
      <c r="P1072" s="39">
        <v>0.1</v>
      </c>
      <c r="Q1072" s="39">
        <v>0.533333333333333</v>
      </c>
      <c r="T1072">
        <v>2.4</v>
      </c>
      <c r="U1072" s="266">
        <v>0</v>
      </c>
      <c r="V1072" s="266"/>
      <c r="W1072" s="260"/>
      <c r="X1072" s="260"/>
      <c r="Y1072" s="260"/>
      <c r="Z1072" s="260"/>
      <c r="AA1072" s="260"/>
      <c r="AB1072" s="260"/>
      <c r="AC1072" s="260"/>
      <c r="AD1072" s="260"/>
      <c r="AE1072" s="260"/>
      <c r="AF1072" s="260"/>
      <c r="AG1072" s="260"/>
      <c r="AH1072" s="260"/>
      <c r="AI1072" s="260"/>
      <c r="AJ1072" s="260"/>
      <c r="AK1072" s="260">
        <v>0</v>
      </c>
      <c r="AL1072" s="260"/>
      <c r="AM1072" s="260"/>
      <c r="AN1072" s="260"/>
      <c r="AO1072" s="260"/>
      <c r="AP1072" s="269"/>
      <c r="AQ1072" s="260"/>
      <c r="AR1072" s="260"/>
      <c r="AS1072" s="260"/>
      <c r="AT1072" s="260"/>
      <c r="AU1072" s="260"/>
      <c r="AY1072" s="260"/>
      <c r="AZ1072" s="260"/>
    </row>
    <row r="1073" ht="16.5" spans="1:52">
      <c r="A1073" s="260">
        <v>30053</v>
      </c>
      <c r="B1073" s="261" t="s">
        <v>2334</v>
      </c>
      <c r="C1073" s="260" t="s">
        <v>2335</v>
      </c>
      <c r="D1073" s="260">
        <v>1</v>
      </c>
      <c r="E1073" s="260"/>
      <c r="F1073">
        <v>1</v>
      </c>
      <c r="G1073" s="39">
        <v>1.9</v>
      </c>
      <c r="H1073" s="39">
        <v>2.25</v>
      </c>
      <c r="I1073" s="39">
        <v>0.3</v>
      </c>
      <c r="J1073" s="39" t="s">
        <v>115</v>
      </c>
      <c r="K1073" s="39">
        <v>1</v>
      </c>
      <c r="L1073">
        <v>0.1</v>
      </c>
      <c r="M1073" s="39">
        <v>0.533333333333333</v>
      </c>
      <c r="N1073">
        <v>3265</v>
      </c>
      <c r="O1073">
        <v>3266</v>
      </c>
      <c r="P1073" s="39">
        <v>0.1</v>
      </c>
      <c r="Q1073" s="39">
        <v>0.5</v>
      </c>
      <c r="R1073">
        <v>3265</v>
      </c>
      <c r="S1073">
        <v>3266</v>
      </c>
      <c r="T1073">
        <v>2.4</v>
      </c>
      <c r="U1073" s="266">
        <v>0</v>
      </c>
      <c r="V1073" s="266"/>
      <c r="W1073" s="260"/>
      <c r="X1073" s="260"/>
      <c r="Y1073" s="260"/>
      <c r="Z1073" s="260"/>
      <c r="AA1073" s="260"/>
      <c r="AB1073" s="260"/>
      <c r="AC1073" s="260"/>
      <c r="AD1073" s="260"/>
      <c r="AE1073" s="260"/>
      <c r="AF1073" s="260"/>
      <c r="AG1073" s="260"/>
      <c r="AH1073" s="260"/>
      <c r="AI1073" s="260"/>
      <c r="AJ1073" s="260"/>
      <c r="AK1073" s="260">
        <v>0</v>
      </c>
      <c r="AL1073" s="260"/>
      <c r="AM1073" s="260"/>
      <c r="AN1073" s="260"/>
      <c r="AO1073" s="260"/>
      <c r="AP1073" s="269"/>
      <c r="AQ1073" s="260"/>
      <c r="AR1073" s="260"/>
      <c r="AS1073" s="260"/>
      <c r="AT1073" s="260"/>
      <c r="AU1073" s="260"/>
      <c r="AV1073" t="s">
        <v>204</v>
      </c>
      <c r="AW1073" t="s">
        <v>204</v>
      </c>
      <c r="AY1073" s="260"/>
      <c r="AZ1073" s="260"/>
    </row>
    <row r="1074" ht="16.5" spans="1:52">
      <c r="A1074" s="260">
        <v>30054</v>
      </c>
      <c r="B1074" s="261" t="s">
        <v>2336</v>
      </c>
      <c r="C1074" s="260" t="s">
        <v>2337</v>
      </c>
      <c r="D1074" s="260">
        <v>0</v>
      </c>
      <c r="E1074" s="260">
        <v>0</v>
      </c>
      <c r="F1074">
        <v>1</v>
      </c>
      <c r="G1074" s="39">
        <v>1.5</v>
      </c>
      <c r="H1074" s="39">
        <v>1.5</v>
      </c>
      <c r="I1074" s="39">
        <v>0.2</v>
      </c>
      <c r="J1074" s="39" t="s">
        <v>275</v>
      </c>
      <c r="K1074" s="39"/>
      <c r="L1074">
        <v>0.1</v>
      </c>
      <c r="M1074" s="39">
        <v>0.533333333333333</v>
      </c>
      <c r="P1074" s="39">
        <v>0.1</v>
      </c>
      <c r="Q1074" s="39">
        <v>0.5</v>
      </c>
      <c r="T1074">
        <v>2.4</v>
      </c>
      <c r="U1074" s="266">
        <v>0</v>
      </c>
      <c r="V1074" s="266"/>
      <c r="W1074" s="260"/>
      <c r="X1074" s="260"/>
      <c r="Y1074" s="260"/>
      <c r="Z1074" s="260"/>
      <c r="AA1074" s="260"/>
      <c r="AB1074" s="260"/>
      <c r="AC1074" s="260"/>
      <c r="AD1074" s="260"/>
      <c r="AE1074" s="260"/>
      <c r="AF1074" s="260"/>
      <c r="AG1074" s="260"/>
      <c r="AH1074" s="260"/>
      <c r="AI1074" s="260"/>
      <c r="AJ1074" s="260"/>
      <c r="AK1074" s="260">
        <v>0</v>
      </c>
      <c r="AL1074" s="260"/>
      <c r="AM1074" s="260"/>
      <c r="AN1074" s="260"/>
      <c r="AO1074" s="260"/>
      <c r="AP1074" s="269"/>
      <c r="AQ1074" s="260"/>
      <c r="AR1074" s="260"/>
      <c r="AS1074" s="260"/>
      <c r="AT1074" s="260"/>
      <c r="AU1074" s="260"/>
      <c r="AY1074" s="260"/>
      <c r="AZ1074" s="260"/>
    </row>
    <row r="1075" ht="16.5" spans="1:52">
      <c r="A1075" s="260">
        <v>30055</v>
      </c>
      <c r="B1075" s="261" t="s">
        <v>2336</v>
      </c>
      <c r="C1075" s="260" t="s">
        <v>2338</v>
      </c>
      <c r="D1075" s="260">
        <v>0</v>
      </c>
      <c r="E1075" s="260">
        <v>0</v>
      </c>
      <c r="F1075">
        <v>1</v>
      </c>
      <c r="G1075" s="39">
        <v>1.5</v>
      </c>
      <c r="H1075" s="39">
        <v>2</v>
      </c>
      <c r="I1075" s="39">
        <v>0.2</v>
      </c>
      <c r="J1075" s="39" t="s">
        <v>275</v>
      </c>
      <c r="K1075" s="39"/>
      <c r="L1075">
        <v>0.1</v>
      </c>
      <c r="M1075" s="39">
        <v>0.533333333333333</v>
      </c>
      <c r="P1075" s="39">
        <v>0.1</v>
      </c>
      <c r="Q1075" s="39">
        <v>0.5</v>
      </c>
      <c r="T1075">
        <v>2.4</v>
      </c>
      <c r="U1075" s="266">
        <v>0</v>
      </c>
      <c r="V1075" s="266"/>
      <c r="W1075" s="260"/>
      <c r="X1075" s="260"/>
      <c r="Y1075" s="260"/>
      <c r="Z1075" s="260"/>
      <c r="AA1075" s="260"/>
      <c r="AB1075" s="260"/>
      <c r="AC1075" s="260"/>
      <c r="AD1075" s="260"/>
      <c r="AE1075" s="260"/>
      <c r="AF1075" s="260"/>
      <c r="AG1075" s="260"/>
      <c r="AH1075" s="260"/>
      <c r="AI1075" s="260"/>
      <c r="AJ1075" s="260"/>
      <c r="AK1075" s="260">
        <v>0</v>
      </c>
      <c r="AL1075" s="260"/>
      <c r="AM1075" s="260"/>
      <c r="AN1075" s="260"/>
      <c r="AO1075" s="260"/>
      <c r="AP1075" s="269"/>
      <c r="AQ1075" s="260"/>
      <c r="AR1075" s="260"/>
      <c r="AS1075" s="260"/>
      <c r="AT1075" s="260"/>
      <c r="AU1075" s="260"/>
      <c r="AY1075" s="260"/>
      <c r="AZ1075" s="260"/>
    </row>
    <row r="1076" ht="16.5" spans="1:49">
      <c r="A1076" s="260">
        <v>30056</v>
      </c>
      <c r="B1076" s="263" t="s">
        <v>2339</v>
      </c>
      <c r="C1076" t="s">
        <v>2340</v>
      </c>
      <c r="D1076">
        <v>1</v>
      </c>
      <c r="E1076">
        <v>0</v>
      </c>
      <c r="F1076">
        <v>1</v>
      </c>
      <c r="G1076" s="39">
        <v>1</v>
      </c>
      <c r="H1076" s="39">
        <v>3.7</v>
      </c>
      <c r="I1076">
        <v>0.5</v>
      </c>
      <c r="J1076" s="39" t="s">
        <v>115</v>
      </c>
      <c r="L1076">
        <f>3/30</f>
        <v>0.1</v>
      </c>
      <c r="M1076">
        <f>16/30</f>
        <v>0.533333333333333</v>
      </c>
      <c r="P1076">
        <f>2/30</f>
        <v>0.0666666666666667</v>
      </c>
      <c r="Q1076">
        <f>16/30</f>
        <v>0.533333333333333</v>
      </c>
      <c r="T1076">
        <v>2.4</v>
      </c>
      <c r="U1076" s="6">
        <v>0</v>
      </c>
      <c r="V1076" s="6"/>
      <c r="AK1076">
        <v>0</v>
      </c>
      <c r="AV1076" t="s">
        <v>2341</v>
      </c>
      <c r="AW1076" t="s">
        <v>2341</v>
      </c>
    </row>
    <row r="1077" ht="16.5" spans="1:49">
      <c r="A1077" s="260">
        <v>30057</v>
      </c>
      <c r="B1077" s="263" t="s">
        <v>2342</v>
      </c>
      <c r="C1077" t="s">
        <v>2343</v>
      </c>
      <c r="D1077">
        <v>1</v>
      </c>
      <c r="E1077">
        <v>0</v>
      </c>
      <c r="F1077">
        <v>1</v>
      </c>
      <c r="G1077" s="39">
        <v>1</v>
      </c>
      <c r="H1077" s="39">
        <v>3.8</v>
      </c>
      <c r="I1077">
        <v>0.55</v>
      </c>
      <c r="J1077" s="39" t="s">
        <v>115</v>
      </c>
      <c r="L1077">
        <f>2/30</f>
        <v>0.0666666666666667</v>
      </c>
      <c r="M1077">
        <f>16/30</f>
        <v>0.533333333333333</v>
      </c>
      <c r="P1077">
        <f>2/30</f>
        <v>0.0666666666666667</v>
      </c>
      <c r="Q1077">
        <f>16/30</f>
        <v>0.533333333333333</v>
      </c>
      <c r="T1077">
        <v>2.4</v>
      </c>
      <c r="U1077" s="6">
        <v>0</v>
      </c>
      <c r="V1077" s="6"/>
      <c r="AK1077">
        <v>0</v>
      </c>
      <c r="AV1077" t="s">
        <v>2341</v>
      </c>
      <c r="AW1077" t="s">
        <v>2341</v>
      </c>
    </row>
    <row r="1078" ht="16.5" spans="1:52">
      <c r="A1078" s="260">
        <v>30058</v>
      </c>
      <c r="B1078" s="263" t="s">
        <v>2344</v>
      </c>
      <c r="C1078" t="s">
        <v>2345</v>
      </c>
      <c r="D1078">
        <v>0</v>
      </c>
      <c r="E1078">
        <v>0</v>
      </c>
      <c r="F1078">
        <v>1</v>
      </c>
      <c r="G1078" s="39">
        <v>2.2</v>
      </c>
      <c r="H1078" s="39">
        <v>1.84</v>
      </c>
      <c r="I1078">
        <v>0.5</v>
      </c>
      <c r="J1078" s="39" t="s">
        <v>115</v>
      </c>
      <c r="L1078" s="255">
        <v>0.0666666666666667</v>
      </c>
      <c r="M1078" s="255">
        <v>0.0666666666666667</v>
      </c>
      <c r="N1078" s="255"/>
      <c r="O1078" s="255"/>
      <c r="P1078" s="255">
        <v>0.0666666666666667</v>
      </c>
      <c r="Q1078" s="255">
        <v>0.633333333333333</v>
      </c>
      <c r="R1078" s="260"/>
      <c r="S1078" s="260"/>
      <c r="T1078" s="260">
        <v>2.4</v>
      </c>
      <c r="U1078" s="266">
        <v>0</v>
      </c>
      <c r="V1078" s="266"/>
      <c r="W1078" s="260"/>
      <c r="X1078" s="260"/>
      <c r="Y1078" s="260"/>
      <c r="Z1078" s="260"/>
      <c r="AA1078" s="260"/>
      <c r="AB1078" s="260"/>
      <c r="AC1078" s="260"/>
      <c r="AD1078" s="260"/>
      <c r="AE1078" s="260"/>
      <c r="AF1078" s="260"/>
      <c r="AG1078" s="260"/>
      <c r="AH1078" s="260" t="s">
        <v>2314</v>
      </c>
      <c r="AI1078" s="260"/>
      <c r="AJ1078" s="260"/>
      <c r="AK1078" s="260">
        <v>0</v>
      </c>
      <c r="AL1078" s="260"/>
      <c r="AM1078" s="260"/>
      <c r="AN1078" s="260"/>
      <c r="AO1078" s="260"/>
      <c r="AP1078" s="269">
        <v>4</v>
      </c>
      <c r="AQ1078" s="260"/>
      <c r="AR1078" s="260"/>
      <c r="AS1078" s="260"/>
      <c r="AT1078" s="260"/>
      <c r="AU1078" s="260"/>
      <c r="AY1078" s="260"/>
      <c r="AZ1078" s="260"/>
    </row>
    <row r="1079" ht="16.5" spans="1:52">
      <c r="A1079" s="260">
        <v>30059</v>
      </c>
      <c r="B1079" s="263" t="s">
        <v>2346</v>
      </c>
      <c r="C1079" t="s">
        <v>2347</v>
      </c>
      <c r="D1079">
        <v>0</v>
      </c>
      <c r="E1079">
        <v>1</v>
      </c>
      <c r="F1079">
        <v>1</v>
      </c>
      <c r="G1079" s="39">
        <v>2.7</v>
      </c>
      <c r="H1079" s="39">
        <v>1.5</v>
      </c>
      <c r="I1079">
        <v>0.5</v>
      </c>
      <c r="J1079" s="39" t="s">
        <v>115</v>
      </c>
      <c r="L1079" s="255">
        <v>0.0666666666666667</v>
      </c>
      <c r="M1079" s="255">
        <v>0.633333333333333</v>
      </c>
      <c r="N1079" s="255"/>
      <c r="O1079" s="255"/>
      <c r="P1079" s="255">
        <v>0.0666666666666667</v>
      </c>
      <c r="Q1079" s="255">
        <v>0.633333333333333</v>
      </c>
      <c r="R1079" s="260"/>
      <c r="S1079" s="260"/>
      <c r="T1079" s="260">
        <v>2.4</v>
      </c>
      <c r="U1079" s="266">
        <v>0</v>
      </c>
      <c r="V1079" s="266"/>
      <c r="W1079" s="260"/>
      <c r="X1079" s="260"/>
      <c r="Y1079" s="260"/>
      <c r="Z1079" s="260"/>
      <c r="AA1079" s="260"/>
      <c r="AB1079" s="260"/>
      <c r="AC1079" s="260"/>
      <c r="AD1079" s="260"/>
      <c r="AE1079" s="260"/>
      <c r="AF1079" s="260"/>
      <c r="AG1079" s="260"/>
      <c r="AH1079" s="260" t="s">
        <v>2314</v>
      </c>
      <c r="AI1079" s="260"/>
      <c r="AJ1079" s="260"/>
      <c r="AK1079" s="260">
        <v>0</v>
      </c>
      <c r="AL1079" s="260"/>
      <c r="AM1079" s="260"/>
      <c r="AN1079" s="260"/>
      <c r="AO1079" s="260"/>
      <c r="AP1079" s="269">
        <v>4</v>
      </c>
      <c r="AQ1079" s="260"/>
      <c r="AR1079" s="260"/>
      <c r="AS1079" s="260"/>
      <c r="AT1079" s="260"/>
      <c r="AU1079" s="260"/>
      <c r="AY1079" s="260"/>
      <c r="AZ1079" s="260"/>
    </row>
    <row r="1080" ht="16.5" spans="1:52">
      <c r="A1080" s="260">
        <v>30060</v>
      </c>
      <c r="B1080" s="263" t="s">
        <v>2348</v>
      </c>
      <c r="C1080" t="s">
        <v>2349</v>
      </c>
      <c r="D1080">
        <v>1</v>
      </c>
      <c r="E1080">
        <v>0</v>
      </c>
      <c r="F1080">
        <v>1</v>
      </c>
      <c r="G1080" s="39">
        <v>1.5</v>
      </c>
      <c r="H1080" s="39">
        <v>2</v>
      </c>
      <c r="I1080">
        <v>0.5</v>
      </c>
      <c r="J1080" s="39" t="s">
        <v>115</v>
      </c>
      <c r="L1080" s="255">
        <v>0.0666666666666667</v>
      </c>
      <c r="M1080" s="255">
        <v>0.633333333333333</v>
      </c>
      <c r="N1080" s="255"/>
      <c r="O1080" s="255"/>
      <c r="P1080" s="255">
        <v>0.0666666666666667</v>
      </c>
      <c r="Q1080" s="255">
        <v>0.633333333333333</v>
      </c>
      <c r="R1080" s="260"/>
      <c r="S1080" s="260"/>
      <c r="T1080" s="260">
        <v>2.4</v>
      </c>
      <c r="U1080" s="266">
        <v>0</v>
      </c>
      <c r="V1080" s="266"/>
      <c r="W1080" s="260"/>
      <c r="X1080" s="260"/>
      <c r="Y1080" s="260"/>
      <c r="Z1080" s="260"/>
      <c r="AA1080" s="260"/>
      <c r="AB1080" s="260"/>
      <c r="AC1080" s="260"/>
      <c r="AD1080" s="260"/>
      <c r="AE1080" s="260"/>
      <c r="AF1080" s="260"/>
      <c r="AG1080" s="260"/>
      <c r="AH1080" s="260"/>
      <c r="AI1080" s="260"/>
      <c r="AJ1080" s="260"/>
      <c r="AK1080" s="260">
        <v>0</v>
      </c>
      <c r="AL1080" s="260"/>
      <c r="AM1080" s="260"/>
      <c r="AN1080" s="260"/>
      <c r="AO1080" s="260"/>
      <c r="AP1080" s="269"/>
      <c r="AQ1080" s="260"/>
      <c r="AR1080" s="260"/>
      <c r="AS1080" s="260"/>
      <c r="AT1080" s="260"/>
      <c r="AU1080" s="260"/>
      <c r="AY1080" s="260"/>
      <c r="AZ1080" s="260"/>
    </row>
    <row r="1081" s="35" customFormat="1" ht="16.5" spans="1:42">
      <c r="A1081" s="35">
        <v>30061</v>
      </c>
      <c r="B1081" s="264" t="s">
        <v>2350</v>
      </c>
      <c r="C1081" s="35" t="s">
        <v>2351</v>
      </c>
      <c r="D1081" s="35">
        <v>1</v>
      </c>
      <c r="E1081" s="35">
        <v>0</v>
      </c>
      <c r="F1081" s="35">
        <v>1</v>
      </c>
      <c r="G1081" s="265">
        <v>2</v>
      </c>
      <c r="H1081" s="265">
        <v>7</v>
      </c>
      <c r="I1081" s="35">
        <v>0.5</v>
      </c>
      <c r="J1081" s="265" t="s">
        <v>115</v>
      </c>
      <c r="L1081" s="35">
        <v>0</v>
      </c>
      <c r="M1081" s="35">
        <v>0</v>
      </c>
      <c r="P1081" s="35">
        <v>0</v>
      </c>
      <c r="Q1081" s="35">
        <v>0</v>
      </c>
      <c r="T1081" s="35">
        <v>2.4</v>
      </c>
      <c r="U1081" s="267">
        <v>0</v>
      </c>
      <c r="V1081" s="267"/>
      <c r="AK1081" s="35">
        <v>0</v>
      </c>
      <c r="AP1081" s="270"/>
    </row>
    <row r="1082" ht="16.5" spans="1:52">
      <c r="A1082" s="260">
        <v>30062</v>
      </c>
      <c r="B1082" s="263" t="s">
        <v>2352</v>
      </c>
      <c r="C1082" t="s">
        <v>2353</v>
      </c>
      <c r="D1082">
        <v>1</v>
      </c>
      <c r="F1082">
        <v>1</v>
      </c>
      <c r="G1082" s="39">
        <v>2.4</v>
      </c>
      <c r="H1082" s="39">
        <v>2.82</v>
      </c>
      <c r="I1082">
        <v>0.55</v>
      </c>
      <c r="J1082" s="39" t="s">
        <v>115</v>
      </c>
      <c r="L1082" s="255">
        <f t="shared" ref="L1082:L1084" si="102">6/30</f>
        <v>0.2</v>
      </c>
      <c r="M1082" s="255">
        <f t="shared" ref="M1082:M1084" si="103">17/30</f>
        <v>0.566666666666667</v>
      </c>
      <c r="N1082" s="255"/>
      <c r="O1082" s="255"/>
      <c r="P1082" s="255">
        <f t="shared" ref="P1082:P1084" si="104">3/30</f>
        <v>0.1</v>
      </c>
      <c r="Q1082" s="255">
        <f t="shared" ref="Q1082:Q1084" si="105">16/30</f>
        <v>0.533333333333333</v>
      </c>
      <c r="R1082" s="260"/>
      <c r="S1082" s="260"/>
      <c r="T1082" s="260">
        <v>2.4</v>
      </c>
      <c r="U1082" s="266">
        <v>0</v>
      </c>
      <c r="V1082" s="266"/>
      <c r="W1082" s="260"/>
      <c r="X1082" s="260"/>
      <c r="Y1082" s="260"/>
      <c r="Z1082" s="260"/>
      <c r="AA1082" s="260"/>
      <c r="AB1082" s="260"/>
      <c r="AC1082" s="260"/>
      <c r="AD1082" s="260"/>
      <c r="AE1082" s="260"/>
      <c r="AF1082" s="260"/>
      <c r="AG1082" s="260"/>
      <c r="AH1082" s="260"/>
      <c r="AI1082" s="260"/>
      <c r="AJ1082" s="260"/>
      <c r="AK1082" s="260">
        <v>0</v>
      </c>
      <c r="AL1082" s="260"/>
      <c r="AM1082" s="260"/>
      <c r="AN1082" s="260"/>
      <c r="AO1082" s="260"/>
      <c r="AP1082" s="269"/>
      <c r="AQ1082" s="260"/>
      <c r="AR1082" s="260"/>
      <c r="AS1082" s="260"/>
      <c r="AT1082" s="260"/>
      <c r="AU1082" s="260"/>
      <c r="AV1082" t="s">
        <v>122</v>
      </c>
      <c r="AW1082" t="s">
        <v>122</v>
      </c>
      <c r="AY1082" s="260"/>
      <c r="AZ1082" s="260"/>
    </row>
    <row r="1083" ht="16.5" spans="1:52">
      <c r="A1083" s="260">
        <v>30063</v>
      </c>
      <c r="B1083" s="263" t="s">
        <v>2354</v>
      </c>
      <c r="C1083" t="s">
        <v>2355</v>
      </c>
      <c r="D1083">
        <v>1</v>
      </c>
      <c r="E1083">
        <v>0</v>
      </c>
      <c r="F1083">
        <v>1</v>
      </c>
      <c r="G1083" s="39">
        <v>3</v>
      </c>
      <c r="H1083" s="39">
        <v>6.1</v>
      </c>
      <c r="I1083">
        <v>2</v>
      </c>
      <c r="J1083" s="39" t="s">
        <v>115</v>
      </c>
      <c r="L1083" s="255">
        <f t="shared" si="102"/>
        <v>0.2</v>
      </c>
      <c r="M1083" s="255">
        <f t="shared" si="103"/>
        <v>0.566666666666667</v>
      </c>
      <c r="N1083" s="255"/>
      <c r="O1083" s="255"/>
      <c r="P1083" s="255">
        <f t="shared" si="104"/>
        <v>0.1</v>
      </c>
      <c r="Q1083" s="255">
        <f t="shared" si="105"/>
        <v>0.533333333333333</v>
      </c>
      <c r="R1083" s="260"/>
      <c r="S1083" s="260"/>
      <c r="T1083" s="260">
        <v>2.4</v>
      </c>
      <c r="U1083" s="266">
        <v>0</v>
      </c>
      <c r="V1083" s="266"/>
      <c r="W1083" s="260"/>
      <c r="X1083" s="260"/>
      <c r="Y1083" s="260"/>
      <c r="Z1083" s="260"/>
      <c r="AA1083" s="260"/>
      <c r="AB1083" s="260"/>
      <c r="AC1083" s="260"/>
      <c r="AD1083" s="260"/>
      <c r="AE1083" s="260"/>
      <c r="AF1083" s="260"/>
      <c r="AG1083" s="260"/>
      <c r="AH1083" s="260" t="s">
        <v>2314</v>
      </c>
      <c r="AI1083" s="260"/>
      <c r="AJ1083" s="260"/>
      <c r="AK1083" s="260">
        <v>0</v>
      </c>
      <c r="AL1083" s="260"/>
      <c r="AM1083" s="260"/>
      <c r="AN1083" s="260"/>
      <c r="AO1083" s="260"/>
      <c r="AP1083" s="269">
        <v>4</v>
      </c>
      <c r="AQ1083" s="260"/>
      <c r="AR1083" s="260"/>
      <c r="AS1083" s="260"/>
      <c r="AT1083" s="260"/>
      <c r="AU1083" s="260"/>
      <c r="AV1083" t="s">
        <v>122</v>
      </c>
      <c r="AW1083" t="s">
        <v>122</v>
      </c>
      <c r="AY1083" s="260"/>
      <c r="AZ1083" s="260"/>
    </row>
    <row r="1084" ht="16.5" spans="1:52">
      <c r="A1084" s="260">
        <v>30064</v>
      </c>
      <c r="B1084" s="263" t="s">
        <v>2356</v>
      </c>
      <c r="C1084" t="s">
        <v>2357</v>
      </c>
      <c r="D1084">
        <v>1</v>
      </c>
      <c r="E1084">
        <v>0</v>
      </c>
      <c r="F1084">
        <v>1</v>
      </c>
      <c r="G1084" s="39">
        <v>3</v>
      </c>
      <c r="H1084" s="39">
        <v>6.1</v>
      </c>
      <c r="I1084">
        <v>2</v>
      </c>
      <c r="J1084" s="39" t="s">
        <v>115</v>
      </c>
      <c r="L1084" s="255">
        <f t="shared" si="102"/>
        <v>0.2</v>
      </c>
      <c r="M1084" s="255">
        <f t="shared" si="103"/>
        <v>0.566666666666667</v>
      </c>
      <c r="N1084" s="255"/>
      <c r="O1084" s="255"/>
      <c r="P1084" s="255">
        <f t="shared" si="104"/>
        <v>0.1</v>
      </c>
      <c r="Q1084" s="255">
        <f t="shared" si="105"/>
        <v>0.533333333333333</v>
      </c>
      <c r="R1084" s="260"/>
      <c r="S1084" s="260"/>
      <c r="T1084" s="260">
        <v>2.4</v>
      </c>
      <c r="U1084" s="266">
        <v>0</v>
      </c>
      <c r="V1084" s="266"/>
      <c r="W1084" s="260"/>
      <c r="X1084" s="260"/>
      <c r="Y1084" s="260"/>
      <c r="Z1084" s="260"/>
      <c r="AA1084" s="260"/>
      <c r="AB1084" s="260"/>
      <c r="AC1084" s="260"/>
      <c r="AD1084" s="260"/>
      <c r="AE1084" s="260"/>
      <c r="AF1084" s="260"/>
      <c r="AG1084" s="260"/>
      <c r="AH1084" s="260" t="s">
        <v>2314</v>
      </c>
      <c r="AI1084" s="260"/>
      <c r="AJ1084" s="260"/>
      <c r="AK1084" s="260">
        <v>0</v>
      </c>
      <c r="AL1084" s="260"/>
      <c r="AM1084" s="260"/>
      <c r="AN1084" s="260"/>
      <c r="AO1084" s="260"/>
      <c r="AP1084" s="269">
        <v>4</v>
      </c>
      <c r="AQ1084" s="260"/>
      <c r="AR1084" s="260"/>
      <c r="AS1084" s="260"/>
      <c r="AT1084" s="260"/>
      <c r="AU1084" s="260"/>
      <c r="AV1084" t="s">
        <v>122</v>
      </c>
      <c r="AW1084" t="s">
        <v>122</v>
      </c>
      <c r="AY1084" s="260"/>
      <c r="AZ1084" s="260"/>
    </row>
    <row r="1085" ht="16.5" spans="1:52">
      <c r="A1085" s="260">
        <v>30065</v>
      </c>
      <c r="B1085" s="263" t="s">
        <v>1951</v>
      </c>
      <c r="C1085" t="s">
        <v>2358</v>
      </c>
      <c r="D1085">
        <v>1</v>
      </c>
      <c r="E1085">
        <v>0</v>
      </c>
      <c r="F1085">
        <v>1</v>
      </c>
      <c r="G1085" s="39">
        <v>2.4</v>
      </c>
      <c r="H1085" s="39">
        <v>2.4</v>
      </c>
      <c r="I1085">
        <v>0.7</v>
      </c>
      <c r="J1085" t="s">
        <v>115</v>
      </c>
      <c r="L1085">
        <v>0.2</v>
      </c>
      <c r="M1085">
        <v>0.566666666666667</v>
      </c>
      <c r="N1085" s="255"/>
      <c r="O1085" s="255"/>
      <c r="P1085">
        <v>0.166666666666667</v>
      </c>
      <c r="Q1085">
        <v>0.6</v>
      </c>
      <c r="R1085" s="260"/>
      <c r="S1085" s="260"/>
      <c r="T1085" s="260">
        <v>2.4</v>
      </c>
      <c r="U1085" s="266">
        <v>0</v>
      </c>
      <c r="V1085" s="266"/>
      <c r="W1085" s="260"/>
      <c r="X1085" s="260"/>
      <c r="Y1085" s="260"/>
      <c r="Z1085" s="260"/>
      <c r="AA1085" s="260"/>
      <c r="AB1085" s="260"/>
      <c r="AC1085" s="260"/>
      <c r="AD1085" s="260"/>
      <c r="AE1085" s="260"/>
      <c r="AH1085" s="260" t="s">
        <v>2314</v>
      </c>
      <c r="AI1085" s="260"/>
      <c r="AJ1085" s="260"/>
      <c r="AK1085" s="260">
        <v>0</v>
      </c>
      <c r="AL1085" s="260"/>
      <c r="AM1085" s="260"/>
      <c r="AN1085" s="260"/>
      <c r="AO1085" s="260"/>
      <c r="AP1085" s="269">
        <v>4</v>
      </c>
      <c r="AQ1085" s="260"/>
      <c r="AR1085" s="260"/>
      <c r="AS1085" s="260"/>
      <c r="AT1085" s="260"/>
      <c r="AU1085" s="260"/>
      <c r="AY1085" s="260"/>
      <c r="AZ1085" s="260"/>
    </row>
    <row r="1086" s="2" customFormat="1" spans="1:49">
      <c r="A1086" s="2">
        <v>30066</v>
      </c>
      <c r="B1086" s="3" t="s">
        <v>2359</v>
      </c>
      <c r="C1086" s="2" t="s">
        <v>2360</v>
      </c>
      <c r="D1086" s="2">
        <v>1</v>
      </c>
      <c r="E1086" s="2">
        <v>1</v>
      </c>
      <c r="F1086" s="2">
        <v>1</v>
      </c>
      <c r="G1086" s="2">
        <v>5</v>
      </c>
      <c r="H1086" s="2">
        <v>4.6</v>
      </c>
      <c r="I1086" s="2">
        <v>0.7</v>
      </c>
      <c r="J1086" s="2" t="s">
        <v>115</v>
      </c>
      <c r="L1086" s="4">
        <v>0.1</v>
      </c>
      <c r="M1086" s="4">
        <v>0.5</v>
      </c>
      <c r="N1086" s="4"/>
      <c r="O1086" s="4"/>
      <c r="P1086" s="4">
        <v>0.1</v>
      </c>
      <c r="Q1086" s="4">
        <v>0.5</v>
      </c>
      <c r="R1086" s="4"/>
      <c r="S1086" s="4"/>
      <c r="T1086" s="7">
        <v>2.4</v>
      </c>
      <c r="U1086" s="7">
        <v>0</v>
      </c>
      <c r="V1086" s="7"/>
      <c r="W1086" s="7"/>
      <c r="AH1086" s="2" t="s">
        <v>2361</v>
      </c>
      <c r="AK1086" s="2">
        <v>0</v>
      </c>
      <c r="AP1086" s="2">
        <v>4</v>
      </c>
      <c r="AV1086" s="2" t="s">
        <v>433</v>
      </c>
      <c r="AW1086" s="2" t="s">
        <v>434</v>
      </c>
    </row>
    <row r="1087" s="2" customFormat="1" spans="1:49">
      <c r="A1087" s="2">
        <v>30067</v>
      </c>
      <c r="B1087" s="3" t="s">
        <v>2362</v>
      </c>
      <c r="C1087" s="2" t="s">
        <v>2363</v>
      </c>
      <c r="D1087" s="2">
        <v>1</v>
      </c>
      <c r="F1087" s="2">
        <v>0.9</v>
      </c>
      <c r="G1087" s="2">
        <v>3.4</v>
      </c>
      <c r="H1087" s="2">
        <v>4.3</v>
      </c>
      <c r="I1087" s="2">
        <v>0.6</v>
      </c>
      <c r="J1087" s="2" t="s">
        <v>115</v>
      </c>
      <c r="K1087" s="2">
        <v>1</v>
      </c>
      <c r="L1087" s="4">
        <f>3/30</f>
        <v>0.1</v>
      </c>
      <c r="M1087" s="4">
        <f>13/30</f>
        <v>0.433333333333333</v>
      </c>
      <c r="N1087" s="4">
        <v>3772</v>
      </c>
      <c r="O1087" s="4">
        <v>3771</v>
      </c>
      <c r="P1087" s="4">
        <f>4/30</f>
        <v>0.133333333333333</v>
      </c>
      <c r="Q1087" s="4">
        <f>15/30</f>
        <v>0.5</v>
      </c>
      <c r="R1087" s="4">
        <v>3771</v>
      </c>
      <c r="S1087" s="4">
        <v>3772</v>
      </c>
      <c r="T1087" s="7">
        <v>2.4</v>
      </c>
      <c r="U1087" s="7">
        <v>0</v>
      </c>
      <c r="V1087" s="7"/>
      <c r="W1087" s="7"/>
      <c r="AK1087" s="2">
        <v>0</v>
      </c>
      <c r="AV1087" s="2" t="s">
        <v>2364</v>
      </c>
      <c r="AW1087" s="2" t="s">
        <v>2365</v>
      </c>
    </row>
    <row r="1088" s="2" customFormat="1" spans="1:42">
      <c r="A1088" s="2">
        <v>30068</v>
      </c>
      <c r="B1088" s="3" t="s">
        <v>2366</v>
      </c>
      <c r="C1088" s="2" t="s">
        <v>2367</v>
      </c>
      <c r="D1088" s="2">
        <v>0</v>
      </c>
      <c r="E1088" s="2">
        <v>1</v>
      </c>
      <c r="F1088" s="2">
        <v>1</v>
      </c>
      <c r="G1088" s="2">
        <v>5</v>
      </c>
      <c r="H1088" s="2">
        <v>6</v>
      </c>
      <c r="I1088" s="2">
        <v>0.7</v>
      </c>
      <c r="J1088" s="2" t="s">
        <v>115</v>
      </c>
      <c r="L1088" s="4">
        <v>0.1</v>
      </c>
      <c r="M1088" s="4">
        <v>0.5</v>
      </c>
      <c r="N1088" s="4"/>
      <c r="O1088" s="4"/>
      <c r="P1088" s="4">
        <v>0.1</v>
      </c>
      <c r="Q1088" s="4">
        <v>0.5</v>
      </c>
      <c r="R1088" s="4"/>
      <c r="S1088" s="4"/>
      <c r="T1088" s="7">
        <v>2.4</v>
      </c>
      <c r="U1088" s="7">
        <v>0</v>
      </c>
      <c r="V1088" s="7"/>
      <c r="W1088" s="7"/>
      <c r="AH1088" s="2" t="s">
        <v>2361</v>
      </c>
      <c r="AK1088" s="2">
        <v>0</v>
      </c>
      <c r="AP1088" s="2">
        <v>4</v>
      </c>
    </row>
    <row r="1089" s="2" customFormat="1" spans="1:42">
      <c r="A1089" s="2">
        <v>30069</v>
      </c>
      <c r="B1089" s="3" t="s">
        <v>2368</v>
      </c>
      <c r="C1089" s="2" t="s">
        <v>2369</v>
      </c>
      <c r="D1089" s="2">
        <v>1</v>
      </c>
      <c r="E1089" s="2">
        <v>1</v>
      </c>
      <c r="F1089" s="2">
        <v>1</v>
      </c>
      <c r="G1089" s="2">
        <v>3.5</v>
      </c>
      <c r="H1089" s="2">
        <v>3</v>
      </c>
      <c r="I1089" s="2">
        <v>0.7</v>
      </c>
      <c r="J1089" s="2" t="s">
        <v>115</v>
      </c>
      <c r="L1089" s="4">
        <v>0.1</v>
      </c>
      <c r="M1089" s="4">
        <v>0.5</v>
      </c>
      <c r="N1089" s="4"/>
      <c r="O1089" s="4"/>
      <c r="P1089" s="4">
        <v>0.1</v>
      </c>
      <c r="Q1089" s="4">
        <v>0.5</v>
      </c>
      <c r="R1089" s="4"/>
      <c r="S1089" s="4"/>
      <c r="T1089" s="7">
        <v>2.4</v>
      </c>
      <c r="U1089" s="7">
        <v>0</v>
      </c>
      <c r="V1089" s="7"/>
      <c r="W1089" s="7"/>
      <c r="AH1089" s="2" t="s">
        <v>2314</v>
      </c>
      <c r="AK1089" s="2">
        <v>0</v>
      </c>
      <c r="AP1089" s="2">
        <v>4</v>
      </c>
    </row>
    <row r="1090" s="2" customFormat="1" spans="1:42">
      <c r="A1090" s="2">
        <v>30070</v>
      </c>
      <c r="B1090" s="3" t="s">
        <v>2370</v>
      </c>
      <c r="C1090" s="2" t="s">
        <v>2371</v>
      </c>
      <c r="D1090" s="2">
        <v>0</v>
      </c>
      <c r="E1090" s="2">
        <v>1</v>
      </c>
      <c r="F1090" s="2">
        <v>1</v>
      </c>
      <c r="G1090" s="2">
        <v>3.5</v>
      </c>
      <c r="H1090" s="2">
        <v>3</v>
      </c>
      <c r="I1090" s="2">
        <v>0.7</v>
      </c>
      <c r="J1090" s="2" t="s">
        <v>115</v>
      </c>
      <c r="L1090" s="4">
        <v>0.1</v>
      </c>
      <c r="M1090" s="4">
        <v>0.5</v>
      </c>
      <c r="N1090" s="4"/>
      <c r="O1090" s="4"/>
      <c r="P1090" s="4">
        <v>0.1</v>
      </c>
      <c r="Q1090" s="4">
        <v>0.5</v>
      </c>
      <c r="R1090" s="4"/>
      <c r="S1090" s="4"/>
      <c r="T1090" s="7">
        <v>2.4</v>
      </c>
      <c r="U1090" s="7">
        <v>0</v>
      </c>
      <c r="V1090" s="7"/>
      <c r="W1090" s="7"/>
      <c r="AH1090" s="2" t="s">
        <v>2314</v>
      </c>
      <c r="AK1090" s="2">
        <v>0</v>
      </c>
      <c r="AP1090" s="2">
        <v>4</v>
      </c>
    </row>
    <row r="1091" s="2" customFormat="1" spans="1:37">
      <c r="A1091" s="2">
        <v>30071</v>
      </c>
      <c r="B1091" s="3" t="s">
        <v>2372</v>
      </c>
      <c r="C1091" s="2" t="s">
        <v>2373</v>
      </c>
      <c r="D1091" s="2">
        <v>1</v>
      </c>
      <c r="E1091" s="2">
        <v>0</v>
      </c>
      <c r="F1091" s="2">
        <v>1</v>
      </c>
      <c r="G1091" s="2">
        <v>3</v>
      </c>
      <c r="H1091" s="2">
        <v>3</v>
      </c>
      <c r="I1091" s="2">
        <v>0.4</v>
      </c>
      <c r="J1091" s="2" t="s">
        <v>115</v>
      </c>
      <c r="L1091" s="4">
        <v>0.1</v>
      </c>
      <c r="M1091" s="4">
        <v>0.5</v>
      </c>
      <c r="N1091" s="4"/>
      <c r="O1091" s="4"/>
      <c r="P1091" s="4">
        <v>0.1</v>
      </c>
      <c r="Q1091" s="4">
        <v>0.5</v>
      </c>
      <c r="R1091" s="4"/>
      <c r="S1091" s="4"/>
      <c r="T1091" s="7">
        <v>2.4</v>
      </c>
      <c r="U1091" s="7">
        <v>0</v>
      </c>
      <c r="V1091" s="7"/>
      <c r="W1091" s="7"/>
      <c r="AK1091" s="2">
        <v>0</v>
      </c>
    </row>
    <row r="1092" s="2" customFormat="1" spans="1:42">
      <c r="A1092" s="2">
        <v>30072</v>
      </c>
      <c r="B1092" s="3" t="s">
        <v>2372</v>
      </c>
      <c r="C1092" s="2" t="s">
        <v>2374</v>
      </c>
      <c r="D1092" s="2">
        <v>0</v>
      </c>
      <c r="E1092" s="2">
        <v>1</v>
      </c>
      <c r="F1092" s="2">
        <v>1</v>
      </c>
      <c r="G1092" s="2">
        <v>2.3</v>
      </c>
      <c r="H1092" s="2">
        <v>3</v>
      </c>
      <c r="I1092" s="2">
        <v>0.4</v>
      </c>
      <c r="J1092" s="2" t="s">
        <v>115</v>
      </c>
      <c r="L1092" s="4">
        <v>0.1</v>
      </c>
      <c r="M1092" s="4">
        <v>0.5</v>
      </c>
      <c r="N1092" s="4"/>
      <c r="O1092" s="4"/>
      <c r="P1092" s="4">
        <v>0.1</v>
      </c>
      <c r="Q1092" s="4">
        <v>0.5</v>
      </c>
      <c r="R1092" s="4"/>
      <c r="S1092" s="4"/>
      <c r="T1092" s="7">
        <v>2.4</v>
      </c>
      <c r="U1092" s="7">
        <v>0</v>
      </c>
      <c r="V1092" s="7"/>
      <c r="W1092" s="7"/>
      <c r="AH1092" s="2" t="s">
        <v>2314</v>
      </c>
      <c r="AK1092" s="2">
        <v>0</v>
      </c>
      <c r="AP1092" s="2">
        <v>4</v>
      </c>
    </row>
    <row r="1093" s="2" customFormat="1" spans="1:37">
      <c r="A1093" s="2">
        <v>30073</v>
      </c>
      <c r="B1093" s="3" t="s">
        <v>2375</v>
      </c>
      <c r="C1093" s="2" t="s">
        <v>2376</v>
      </c>
      <c r="D1093" s="2">
        <v>1</v>
      </c>
      <c r="E1093" s="2">
        <v>0</v>
      </c>
      <c r="F1093" s="2">
        <v>1</v>
      </c>
      <c r="G1093" s="2">
        <v>1</v>
      </c>
      <c r="H1093" s="2">
        <v>1</v>
      </c>
      <c r="I1093" s="2">
        <v>0.4</v>
      </c>
      <c r="J1093" s="2" t="s">
        <v>115</v>
      </c>
      <c r="L1093" s="4">
        <v>0.1</v>
      </c>
      <c r="M1093" s="4">
        <v>0.5</v>
      </c>
      <c r="N1093" s="4"/>
      <c r="O1093" s="4"/>
      <c r="P1093" s="4">
        <v>0.1</v>
      </c>
      <c r="Q1093" s="4">
        <v>0.5</v>
      </c>
      <c r="R1093" s="4"/>
      <c r="S1093" s="4"/>
      <c r="T1093" s="7">
        <v>2.4</v>
      </c>
      <c r="U1093" s="7">
        <v>0</v>
      </c>
      <c r="V1093" s="7"/>
      <c r="W1093" s="7"/>
      <c r="AK1093" s="2">
        <v>0</v>
      </c>
    </row>
    <row r="1094" s="2" customFormat="1" spans="1:42">
      <c r="A1094" s="2">
        <v>30074</v>
      </c>
      <c r="B1094" s="3" t="s">
        <v>2375</v>
      </c>
      <c r="C1094" s="2" t="s">
        <v>2377</v>
      </c>
      <c r="D1094" s="2">
        <v>0</v>
      </c>
      <c r="E1094" s="2">
        <v>1</v>
      </c>
      <c r="F1094" s="2">
        <v>1</v>
      </c>
      <c r="G1094" s="2">
        <v>3.8</v>
      </c>
      <c r="H1094" s="2">
        <v>1</v>
      </c>
      <c r="I1094" s="2">
        <v>0.4</v>
      </c>
      <c r="J1094" s="2" t="s">
        <v>115</v>
      </c>
      <c r="L1094" s="4">
        <v>0.1</v>
      </c>
      <c r="M1094" s="4">
        <v>0.5</v>
      </c>
      <c r="N1094" s="4"/>
      <c r="O1094" s="4"/>
      <c r="P1094" s="4">
        <v>0.1</v>
      </c>
      <c r="Q1094" s="4">
        <v>0.5</v>
      </c>
      <c r="R1094" s="4"/>
      <c r="S1094" s="4"/>
      <c r="T1094" s="7">
        <v>2.4</v>
      </c>
      <c r="U1094" s="7">
        <v>0</v>
      </c>
      <c r="V1094" s="7"/>
      <c r="W1094" s="7"/>
      <c r="AH1094" s="2" t="s">
        <v>2314</v>
      </c>
      <c r="AK1094" s="2">
        <v>0</v>
      </c>
      <c r="AP1094" s="2">
        <v>4</v>
      </c>
    </row>
    <row r="1095" s="2" customFormat="1" spans="1:42">
      <c r="A1095" s="2">
        <v>30075</v>
      </c>
      <c r="B1095" s="3" t="s">
        <v>2378</v>
      </c>
      <c r="C1095" s="2" t="s">
        <v>2379</v>
      </c>
      <c r="D1095" s="2">
        <v>1</v>
      </c>
      <c r="E1095" s="2">
        <v>1</v>
      </c>
      <c r="F1095" s="2">
        <v>1</v>
      </c>
      <c r="G1095" s="2">
        <v>2.4</v>
      </c>
      <c r="H1095" s="2">
        <v>1</v>
      </c>
      <c r="I1095" s="2">
        <v>0.4</v>
      </c>
      <c r="J1095" s="2" t="s">
        <v>115</v>
      </c>
      <c r="L1095" s="4">
        <v>0.1</v>
      </c>
      <c r="M1095" s="4">
        <v>0.5</v>
      </c>
      <c r="N1095" s="4"/>
      <c r="O1095" s="4"/>
      <c r="P1095" s="4">
        <v>0.1</v>
      </c>
      <c r="Q1095" s="4">
        <v>0.5</v>
      </c>
      <c r="R1095" s="4"/>
      <c r="S1095" s="4"/>
      <c r="T1095" s="7">
        <v>2.4</v>
      </c>
      <c r="U1095" s="7">
        <v>0</v>
      </c>
      <c r="V1095" s="7"/>
      <c r="W1095" s="7"/>
      <c r="AH1095" s="2" t="s">
        <v>2314</v>
      </c>
      <c r="AK1095" s="2">
        <v>0</v>
      </c>
      <c r="AP1095" s="2">
        <v>4</v>
      </c>
    </row>
    <row r="1096" s="2" customFormat="1" spans="1:42">
      <c r="A1096" s="2">
        <v>30076</v>
      </c>
      <c r="B1096" s="3" t="s">
        <v>2380</v>
      </c>
      <c r="C1096" s="2" t="s">
        <v>2381</v>
      </c>
      <c r="D1096" s="2">
        <v>1</v>
      </c>
      <c r="E1096" s="2">
        <v>1</v>
      </c>
      <c r="F1096" s="2">
        <v>1</v>
      </c>
      <c r="G1096" s="2">
        <v>3.5</v>
      </c>
      <c r="H1096" s="2">
        <v>1</v>
      </c>
      <c r="I1096" s="2">
        <v>0.4</v>
      </c>
      <c r="J1096" s="2" t="s">
        <v>115</v>
      </c>
      <c r="L1096" s="4">
        <v>0.1</v>
      </c>
      <c r="M1096" s="4">
        <v>0.5</v>
      </c>
      <c r="N1096" s="4"/>
      <c r="O1096" s="4"/>
      <c r="P1096" s="4">
        <v>0.1</v>
      </c>
      <c r="Q1096" s="4">
        <v>0.5</v>
      </c>
      <c r="R1096" s="4"/>
      <c r="S1096" s="4"/>
      <c r="T1096" s="7">
        <v>2.4</v>
      </c>
      <c r="U1096" s="7">
        <v>0</v>
      </c>
      <c r="V1096" s="7"/>
      <c r="W1096" s="7"/>
      <c r="AH1096" s="2" t="s">
        <v>2314</v>
      </c>
      <c r="AK1096" s="2">
        <v>0</v>
      </c>
      <c r="AP1096" s="2">
        <v>4</v>
      </c>
    </row>
    <row r="1097" s="2" customFormat="1" spans="1:42">
      <c r="A1097" s="2">
        <v>30077</v>
      </c>
      <c r="B1097" s="2" t="s">
        <v>2382</v>
      </c>
      <c r="C1097" s="2" t="s">
        <v>2383</v>
      </c>
      <c r="D1097" s="2">
        <v>1</v>
      </c>
      <c r="E1097" s="2">
        <v>0</v>
      </c>
      <c r="F1097" s="2">
        <v>1</v>
      </c>
      <c r="G1097" s="2">
        <v>3.5</v>
      </c>
      <c r="H1097" s="2">
        <v>1</v>
      </c>
      <c r="I1097" s="2">
        <v>2</v>
      </c>
      <c r="J1097" s="2" t="s">
        <v>115</v>
      </c>
      <c r="L1097" s="230">
        <v>0.1</v>
      </c>
      <c r="M1097" s="230">
        <v>0.5</v>
      </c>
      <c r="P1097" s="230">
        <v>0.1</v>
      </c>
      <c r="Q1097" s="230">
        <v>0.5</v>
      </c>
      <c r="T1097" s="2">
        <v>2.4</v>
      </c>
      <c r="U1097" s="236">
        <v>0</v>
      </c>
      <c r="V1097" s="236"/>
      <c r="AH1097" s="2" t="s">
        <v>2314</v>
      </c>
      <c r="AK1097" s="2">
        <v>0</v>
      </c>
      <c r="AP1097" s="2">
        <v>4</v>
      </c>
    </row>
    <row r="1098" s="17" customFormat="1" spans="1:49">
      <c r="A1098" s="17">
        <v>30078</v>
      </c>
      <c r="B1098" s="17" t="s">
        <v>2384</v>
      </c>
      <c r="C1098" s="17" t="s">
        <v>2385</v>
      </c>
      <c r="D1098" s="17">
        <v>1</v>
      </c>
      <c r="E1098" s="17">
        <v>0</v>
      </c>
      <c r="F1098" s="219">
        <v>1</v>
      </c>
      <c r="G1098" s="17">
        <v>4.4</v>
      </c>
      <c r="H1098" s="17">
        <v>4.12</v>
      </c>
      <c r="I1098" s="17">
        <v>1.2</v>
      </c>
      <c r="J1098" s="17" t="s">
        <v>115</v>
      </c>
      <c r="L1098" s="2">
        <f>4/30</f>
        <v>0.133333333333333</v>
      </c>
      <c r="M1098" s="2">
        <f>16/30</f>
        <v>0.533333333333333</v>
      </c>
      <c r="P1098" s="2">
        <f>7/30</f>
        <v>0.233333333333333</v>
      </c>
      <c r="Q1098" s="2">
        <f>18/30</f>
        <v>0.6</v>
      </c>
      <c r="T1098" s="90">
        <v>2.4</v>
      </c>
      <c r="U1098" s="90">
        <v>0</v>
      </c>
      <c r="V1098" s="281"/>
      <c r="AH1098" s="2"/>
      <c r="AK1098" s="17">
        <v>0</v>
      </c>
      <c r="AV1098" s="17" t="s">
        <v>483</v>
      </c>
      <c r="AW1098" s="17" t="s">
        <v>484</v>
      </c>
    </row>
    <row r="1099" s="17" customFormat="1" spans="1:28">
      <c r="A1099" s="17">
        <v>30079</v>
      </c>
      <c r="B1099" s="17" t="s">
        <v>2386</v>
      </c>
      <c r="C1099" s="17" t="s">
        <v>2387</v>
      </c>
      <c r="D1099" s="17">
        <v>0</v>
      </c>
      <c r="E1099" s="17">
        <v>0</v>
      </c>
      <c r="F1099" s="17">
        <v>1</v>
      </c>
      <c r="G1099" s="17">
        <v>1</v>
      </c>
      <c r="H1099" s="17">
        <v>1</v>
      </c>
      <c r="I1099" s="17">
        <v>1</v>
      </c>
      <c r="J1099" s="17" t="s">
        <v>115</v>
      </c>
      <c r="L1099" s="17">
        <v>0.666666</v>
      </c>
      <c r="M1099" s="17">
        <v>0.666666</v>
      </c>
      <c r="P1099" s="17">
        <v>0.666666</v>
      </c>
      <c r="Q1099" s="17">
        <v>0.666666</v>
      </c>
      <c r="T1099" s="90">
        <v>2.4</v>
      </c>
      <c r="U1099" s="90">
        <v>0</v>
      </c>
      <c r="V1099" s="90"/>
      <c r="W1099" s="90"/>
      <c r="AB1099" s="17">
        <v>0</v>
      </c>
    </row>
    <row r="1100" s="17" customFormat="1" spans="1:28">
      <c r="A1100" s="17">
        <v>30080</v>
      </c>
      <c r="B1100" s="17" t="s">
        <v>2388</v>
      </c>
      <c r="C1100" s="17" t="s">
        <v>2389</v>
      </c>
      <c r="D1100" s="17">
        <v>0</v>
      </c>
      <c r="E1100" s="17">
        <v>0</v>
      </c>
      <c r="F1100" s="17">
        <v>1</v>
      </c>
      <c r="G1100" s="17">
        <v>1</v>
      </c>
      <c r="H1100" s="17">
        <v>1</v>
      </c>
      <c r="I1100" s="17">
        <v>1</v>
      </c>
      <c r="J1100" s="17" t="s">
        <v>115</v>
      </c>
      <c r="L1100" s="17">
        <v>0.666666</v>
      </c>
      <c r="M1100" s="17">
        <v>0.666666</v>
      </c>
      <c r="P1100" s="17">
        <v>0.666666</v>
      </c>
      <c r="Q1100" s="17">
        <v>0.666666</v>
      </c>
      <c r="T1100" s="90">
        <v>2.4</v>
      </c>
      <c r="U1100" s="90">
        <v>0</v>
      </c>
      <c r="V1100" s="90"/>
      <c r="W1100" s="90"/>
      <c r="AB1100" s="17">
        <v>0</v>
      </c>
    </row>
    <row r="1101" s="2" customFormat="1" spans="1:49">
      <c r="A1101" s="17">
        <v>30081</v>
      </c>
      <c r="B1101" s="17" t="s">
        <v>2390</v>
      </c>
      <c r="C1101" s="2" t="s">
        <v>2391</v>
      </c>
      <c r="D1101" s="2">
        <v>1</v>
      </c>
      <c r="E1101" s="2">
        <v>1</v>
      </c>
      <c r="F1101" s="272">
        <v>1</v>
      </c>
      <c r="G1101" s="2">
        <v>3.8</v>
      </c>
      <c r="H1101" s="2">
        <v>4.12</v>
      </c>
      <c r="I1101" s="2">
        <v>1.2</v>
      </c>
      <c r="J1101" s="2" t="s">
        <v>115</v>
      </c>
      <c r="L1101" s="4">
        <f>4/30</f>
        <v>0.133333333333333</v>
      </c>
      <c r="M1101" s="4">
        <f>17/30</f>
        <v>0.566666666666667</v>
      </c>
      <c r="N1101" s="4"/>
      <c r="O1101" s="4"/>
      <c r="P1101" s="4">
        <f>7/30</f>
        <v>0.233333333333333</v>
      </c>
      <c r="Q1101" s="4">
        <f>19/30</f>
        <v>0.633333333333333</v>
      </c>
      <c r="R1101" s="4"/>
      <c r="S1101" s="4"/>
      <c r="T1101" s="7">
        <v>2.4</v>
      </c>
      <c r="U1101" s="7">
        <v>0</v>
      </c>
      <c r="V1101" s="7"/>
      <c r="W1101" s="7"/>
      <c r="X1101" s="7"/>
      <c r="Y1101" s="7"/>
      <c r="Z1101" s="7"/>
      <c r="AA1101" s="7"/>
      <c r="AB1101" s="7"/>
      <c r="AH1101" s="2" t="s">
        <v>2314</v>
      </c>
      <c r="AK1101" s="2">
        <v>0</v>
      </c>
      <c r="AP1101" s="2">
        <v>4</v>
      </c>
      <c r="AV1101" s="2" t="s">
        <v>483</v>
      </c>
      <c r="AW1101" s="2" t="s">
        <v>484</v>
      </c>
    </row>
    <row r="1102" s="2" customFormat="1" spans="1:37">
      <c r="A1102" s="17">
        <v>30082</v>
      </c>
      <c r="B1102" s="2" t="s">
        <v>2392</v>
      </c>
      <c r="C1102" s="2" t="s">
        <v>2393</v>
      </c>
      <c r="D1102" s="2">
        <v>1</v>
      </c>
      <c r="F1102" s="2">
        <v>1</v>
      </c>
      <c r="G1102" s="2">
        <v>3.2</v>
      </c>
      <c r="H1102" s="2">
        <v>3.2</v>
      </c>
      <c r="I1102" s="2">
        <v>0.6</v>
      </c>
      <c r="J1102" s="2" t="s">
        <v>253</v>
      </c>
      <c r="L1102" s="2">
        <f t="shared" ref="L1102:L1105" si="106">3/30</f>
        <v>0.1</v>
      </c>
      <c r="M1102" s="2">
        <f>17/30</f>
        <v>0.566666666666667</v>
      </c>
      <c r="P1102" s="2">
        <f>5/30</f>
        <v>0.166666666666667</v>
      </c>
      <c r="Q1102" s="2">
        <f>17/30</f>
        <v>0.566666666666667</v>
      </c>
      <c r="T1102" s="7">
        <v>2.4</v>
      </c>
      <c r="U1102" s="7">
        <v>0</v>
      </c>
      <c r="V1102" s="7"/>
      <c r="W1102" s="7"/>
      <c r="AK1102" s="2">
        <v>0</v>
      </c>
    </row>
    <row r="1103" s="2" customFormat="1" spans="1:49">
      <c r="A1103" s="17">
        <v>30083</v>
      </c>
      <c r="B1103" s="2" t="s">
        <v>2394</v>
      </c>
      <c r="C1103" s="2" t="s">
        <v>2395</v>
      </c>
      <c r="D1103" s="2">
        <v>1</v>
      </c>
      <c r="E1103" s="2">
        <v>0</v>
      </c>
      <c r="F1103" s="2">
        <v>1</v>
      </c>
      <c r="G1103" s="2">
        <v>1.63</v>
      </c>
      <c r="H1103" s="2">
        <v>2.1</v>
      </c>
      <c r="I1103" s="2">
        <v>0.4</v>
      </c>
      <c r="J1103" s="2" t="s">
        <v>115</v>
      </c>
      <c r="L1103" s="2">
        <f t="shared" si="106"/>
        <v>0.1</v>
      </c>
      <c r="M1103" s="2">
        <f t="shared" ref="M1103:M1107" si="107">16/30</f>
        <v>0.533333333333333</v>
      </c>
      <c r="P1103" s="2">
        <f>4/30</f>
        <v>0.133333333333333</v>
      </c>
      <c r="Q1103" s="2">
        <f>14/30</f>
        <v>0.466666666666667</v>
      </c>
      <c r="T1103" s="7">
        <v>2.4</v>
      </c>
      <c r="U1103" s="7">
        <v>0</v>
      </c>
      <c r="V1103" s="7"/>
      <c r="W1103" s="7"/>
      <c r="AK1103" s="2">
        <v>0</v>
      </c>
      <c r="AV1103" s="2" t="s">
        <v>122</v>
      </c>
      <c r="AW1103" s="2" t="s">
        <v>122</v>
      </c>
    </row>
    <row r="1104" s="2" customFormat="1" spans="1:49">
      <c r="A1104" s="17">
        <v>30084</v>
      </c>
      <c r="B1104" s="2" t="s">
        <v>2396</v>
      </c>
      <c r="C1104" s="2" t="s">
        <v>2397</v>
      </c>
      <c r="D1104" s="2">
        <v>1</v>
      </c>
      <c r="E1104" s="2">
        <v>0</v>
      </c>
      <c r="F1104" s="2">
        <v>1</v>
      </c>
      <c r="G1104" s="2">
        <v>1.63</v>
      </c>
      <c r="H1104" s="2">
        <v>2.1</v>
      </c>
      <c r="I1104" s="2">
        <v>0.4</v>
      </c>
      <c r="J1104" s="2" t="s">
        <v>115</v>
      </c>
      <c r="L1104" s="2">
        <f t="shared" si="106"/>
        <v>0.1</v>
      </c>
      <c r="M1104" s="2">
        <f t="shared" si="107"/>
        <v>0.533333333333333</v>
      </c>
      <c r="P1104" s="2">
        <f>4/30</f>
        <v>0.133333333333333</v>
      </c>
      <c r="Q1104" s="2">
        <f>14/30</f>
        <v>0.466666666666667</v>
      </c>
      <c r="T1104" s="7">
        <v>2.4</v>
      </c>
      <c r="U1104" s="7">
        <v>0</v>
      </c>
      <c r="V1104" s="7"/>
      <c r="W1104" s="7"/>
      <c r="AK1104" s="2">
        <v>0</v>
      </c>
      <c r="AV1104" s="2" t="s">
        <v>122</v>
      </c>
      <c r="AW1104" s="2" t="s">
        <v>122</v>
      </c>
    </row>
    <row r="1105" s="2" customFormat="1" spans="1:49">
      <c r="A1105" s="17">
        <v>30085</v>
      </c>
      <c r="B1105" s="2" t="s">
        <v>2398</v>
      </c>
      <c r="C1105" s="2" t="s">
        <v>2399</v>
      </c>
      <c r="D1105" s="2">
        <v>1</v>
      </c>
      <c r="E1105" s="2">
        <v>0</v>
      </c>
      <c r="F1105" s="2">
        <v>1</v>
      </c>
      <c r="G1105" s="216">
        <v>4.5</v>
      </c>
      <c r="H1105" s="216">
        <v>1.6</v>
      </c>
      <c r="I1105" s="216">
        <v>0.5</v>
      </c>
      <c r="J1105" s="2" t="s">
        <v>115</v>
      </c>
      <c r="L1105" s="2">
        <f t="shared" si="106"/>
        <v>0.1</v>
      </c>
      <c r="M1105" s="2">
        <f>20/30</f>
        <v>0.666666666666667</v>
      </c>
      <c r="P1105" s="2">
        <f>5/30</f>
        <v>0.166666666666667</v>
      </c>
      <c r="Q1105" s="2">
        <f>16/30</f>
        <v>0.533333333333333</v>
      </c>
      <c r="T1105" s="7">
        <v>2.4</v>
      </c>
      <c r="U1105" s="7">
        <v>0</v>
      </c>
      <c r="V1105" s="236"/>
      <c r="AK1105" s="2">
        <v>0</v>
      </c>
      <c r="AV1105" s="2" t="s">
        <v>509</v>
      </c>
      <c r="AW1105" s="2" t="s">
        <v>510</v>
      </c>
    </row>
    <row r="1106" s="2" customFormat="1" spans="1:37">
      <c r="A1106" s="17">
        <v>30086</v>
      </c>
      <c r="B1106" s="2" t="s">
        <v>2400</v>
      </c>
      <c r="C1106" s="2" t="s">
        <v>2401</v>
      </c>
      <c r="D1106" s="2">
        <v>1</v>
      </c>
      <c r="F1106" s="2">
        <v>1</v>
      </c>
      <c r="G1106" s="216">
        <v>1.5</v>
      </c>
      <c r="H1106" s="216">
        <v>1.93</v>
      </c>
      <c r="I1106" s="216">
        <v>0.5</v>
      </c>
      <c r="U1106" s="236"/>
      <c r="V1106" s="236"/>
      <c r="AK1106" s="2">
        <v>0</v>
      </c>
    </row>
    <row r="1107" s="2" customFormat="1" spans="1:37">
      <c r="A1107" s="17">
        <v>30087</v>
      </c>
      <c r="B1107" s="2" t="s">
        <v>2402</v>
      </c>
      <c r="C1107" s="2" t="s">
        <v>2403</v>
      </c>
      <c r="D1107" s="2">
        <v>1</v>
      </c>
      <c r="F1107" s="2">
        <v>1</v>
      </c>
      <c r="G1107" s="2">
        <v>2.2</v>
      </c>
      <c r="H1107" s="2">
        <v>5</v>
      </c>
      <c r="I1107" s="2">
        <v>0.8</v>
      </c>
      <c r="J1107" s="2" t="s">
        <v>1504</v>
      </c>
      <c r="L1107" s="4">
        <f>5/30</f>
        <v>0.166666666666667</v>
      </c>
      <c r="M1107" s="4">
        <f>18/30</f>
        <v>0.6</v>
      </c>
      <c r="P1107" s="4">
        <f>6/30</f>
        <v>0.2</v>
      </c>
      <c r="Q1107" s="4">
        <f>18/30</f>
        <v>0.6</v>
      </c>
      <c r="T1107" s="7">
        <v>2.4</v>
      </c>
      <c r="U1107" s="7">
        <v>0</v>
      </c>
      <c r="V1107" s="236"/>
      <c r="AK1107" s="2">
        <v>0</v>
      </c>
    </row>
    <row r="1108" s="2" customFormat="1" spans="1:49">
      <c r="A1108" s="2">
        <v>30088</v>
      </c>
      <c r="B1108" s="2" t="s">
        <v>2404</v>
      </c>
      <c r="C1108" s="2" t="s">
        <v>2405</v>
      </c>
      <c r="D1108" s="2">
        <v>1</v>
      </c>
      <c r="F1108" s="2">
        <v>1</v>
      </c>
      <c r="G1108" s="2">
        <v>3.7</v>
      </c>
      <c r="H1108" s="2">
        <v>3.5</v>
      </c>
      <c r="I1108" s="2">
        <v>1.2</v>
      </c>
      <c r="J1108" s="2" t="s">
        <v>115</v>
      </c>
      <c r="L1108" s="2">
        <f>7/30</f>
        <v>0.233333333333333</v>
      </c>
      <c r="M1108" s="2">
        <f>20/30</f>
        <v>0.666666666666667</v>
      </c>
      <c r="P1108" s="2">
        <f>6/30</f>
        <v>0.2</v>
      </c>
      <c r="Q1108" s="2">
        <f>20/30</f>
        <v>0.666666666666667</v>
      </c>
      <c r="T1108" s="2">
        <v>2.4</v>
      </c>
      <c r="U1108" s="236">
        <v>0</v>
      </c>
      <c r="V1108" s="236"/>
      <c r="AK1108" s="2">
        <v>0</v>
      </c>
      <c r="AV1108" s="2" t="s">
        <v>509</v>
      </c>
      <c r="AW1108" s="2" t="s">
        <v>510</v>
      </c>
    </row>
    <row r="1109" s="2" customFormat="1" spans="1:37">
      <c r="A1109" s="2">
        <v>30089</v>
      </c>
      <c r="B1109" s="3" t="s">
        <v>2406</v>
      </c>
      <c r="C1109" s="2" t="s">
        <v>2407</v>
      </c>
      <c r="D1109" s="2">
        <v>1</v>
      </c>
      <c r="E1109" s="2">
        <v>0</v>
      </c>
      <c r="F1109" s="2">
        <v>1</v>
      </c>
      <c r="G1109" s="2">
        <v>2.4</v>
      </c>
      <c r="H1109" s="2">
        <v>1</v>
      </c>
      <c r="I1109" s="2">
        <v>0.4</v>
      </c>
      <c r="J1109" s="2" t="s">
        <v>115</v>
      </c>
      <c r="L1109" s="4">
        <v>0.1</v>
      </c>
      <c r="M1109" s="4">
        <v>0.5</v>
      </c>
      <c r="N1109" s="4"/>
      <c r="O1109" s="4"/>
      <c r="P1109" s="4">
        <v>0.1</v>
      </c>
      <c r="Q1109" s="4">
        <v>0.5</v>
      </c>
      <c r="R1109" s="4"/>
      <c r="S1109" s="4"/>
      <c r="T1109" s="7">
        <v>2.4</v>
      </c>
      <c r="U1109" s="7">
        <v>0</v>
      </c>
      <c r="V1109" s="7"/>
      <c r="W1109" s="7"/>
      <c r="AK1109" s="2">
        <v>0</v>
      </c>
    </row>
    <row r="1110" s="2" customFormat="1" spans="1:37">
      <c r="A1110" s="2">
        <v>30090</v>
      </c>
      <c r="B1110" s="3" t="s">
        <v>2408</v>
      </c>
      <c r="C1110" s="2" t="s">
        <v>2409</v>
      </c>
      <c r="D1110" s="2">
        <v>1</v>
      </c>
      <c r="E1110" s="2">
        <v>0</v>
      </c>
      <c r="F1110" s="2">
        <v>1</v>
      </c>
      <c r="G1110" s="2">
        <v>2.4</v>
      </c>
      <c r="H1110" s="2">
        <v>1</v>
      </c>
      <c r="I1110" s="2">
        <v>0.4</v>
      </c>
      <c r="J1110" s="2" t="s">
        <v>115</v>
      </c>
      <c r="L1110" s="4">
        <v>0.1</v>
      </c>
      <c r="M1110" s="4">
        <v>0.5</v>
      </c>
      <c r="N1110" s="4"/>
      <c r="O1110" s="4"/>
      <c r="P1110" s="4">
        <v>0.1</v>
      </c>
      <c r="Q1110" s="4">
        <v>0.5</v>
      </c>
      <c r="R1110" s="4"/>
      <c r="S1110" s="4"/>
      <c r="T1110" s="7">
        <v>2.4</v>
      </c>
      <c r="U1110" s="7">
        <v>0</v>
      </c>
      <c r="V1110" s="7"/>
      <c r="W1110" s="7"/>
      <c r="AK1110" s="2">
        <v>0</v>
      </c>
    </row>
    <row r="1111" s="2" customFormat="1" spans="1:42">
      <c r="A1111" s="2">
        <v>30091</v>
      </c>
      <c r="B1111" s="3" t="s">
        <v>2410</v>
      </c>
      <c r="C1111" s="2" t="s">
        <v>2411</v>
      </c>
      <c r="D1111" s="2">
        <v>0</v>
      </c>
      <c r="E1111" s="2">
        <v>1</v>
      </c>
      <c r="F1111" s="2">
        <v>1</v>
      </c>
      <c r="G1111" s="2">
        <v>3.5</v>
      </c>
      <c r="H1111" s="216">
        <v>2.6</v>
      </c>
      <c r="I1111" s="216">
        <v>0.55</v>
      </c>
      <c r="J1111" s="2" t="s">
        <v>115</v>
      </c>
      <c r="L1111" s="4">
        <v>0.1</v>
      </c>
      <c r="M1111" s="4">
        <v>0.5</v>
      </c>
      <c r="N1111" s="4"/>
      <c r="O1111" s="4"/>
      <c r="P1111" s="4">
        <v>0.1</v>
      </c>
      <c r="Q1111" s="4">
        <v>0.5</v>
      </c>
      <c r="R1111" s="4"/>
      <c r="S1111" s="4"/>
      <c r="T1111" s="7">
        <v>2.4</v>
      </c>
      <c r="U1111" s="7">
        <v>0</v>
      </c>
      <c r="V1111" s="7"/>
      <c r="W1111" s="7"/>
      <c r="AH1111" s="2" t="s">
        <v>2314</v>
      </c>
      <c r="AK1111" s="2">
        <v>0</v>
      </c>
      <c r="AP1111" s="2">
        <v>4</v>
      </c>
    </row>
    <row r="1112" s="2" customFormat="1" spans="1:37">
      <c r="A1112" s="2">
        <v>30092</v>
      </c>
      <c r="B1112" s="3" t="s">
        <v>2412</v>
      </c>
      <c r="C1112" s="2" t="s">
        <v>2413</v>
      </c>
      <c r="D1112" s="2">
        <v>1</v>
      </c>
      <c r="E1112" s="2">
        <v>0</v>
      </c>
      <c r="F1112" s="2">
        <v>1</v>
      </c>
      <c r="G1112" s="2">
        <v>2.6</v>
      </c>
      <c r="H1112" s="2">
        <v>3.3</v>
      </c>
      <c r="I1112" s="2">
        <v>0.4</v>
      </c>
      <c r="J1112" s="2" t="s">
        <v>115</v>
      </c>
      <c r="L1112" s="4">
        <f>4/30</f>
        <v>0.133333333333333</v>
      </c>
      <c r="M1112" s="4">
        <f>17/30</f>
        <v>0.566666666666667</v>
      </c>
      <c r="N1112" s="4"/>
      <c r="O1112" s="4"/>
      <c r="P1112" s="4">
        <f>4/30</f>
        <v>0.133333333333333</v>
      </c>
      <c r="Q1112" s="4">
        <f>13/30</f>
        <v>0.433333333333333</v>
      </c>
      <c r="R1112" s="4"/>
      <c r="S1112" s="4"/>
      <c r="T1112" s="7">
        <v>2.4</v>
      </c>
      <c r="U1112" s="7">
        <v>0</v>
      </c>
      <c r="V1112" s="7"/>
      <c r="W1112" s="7"/>
      <c r="AK1112" s="2">
        <v>0</v>
      </c>
    </row>
    <row r="1113" s="2" customFormat="1" spans="1:42">
      <c r="A1113" s="2">
        <v>30093</v>
      </c>
      <c r="B1113" s="3" t="s">
        <v>2412</v>
      </c>
      <c r="C1113" s="2" t="s">
        <v>2414</v>
      </c>
      <c r="D1113" s="2">
        <v>0</v>
      </c>
      <c r="E1113" s="2">
        <v>1</v>
      </c>
      <c r="F1113" s="2">
        <v>1</v>
      </c>
      <c r="G1113" s="2">
        <v>2.6</v>
      </c>
      <c r="H1113" s="2">
        <v>3.3</v>
      </c>
      <c r="I1113" s="2">
        <v>0.4</v>
      </c>
      <c r="J1113" s="2" t="s">
        <v>115</v>
      </c>
      <c r="L1113" s="4">
        <f>4/30</f>
        <v>0.133333333333333</v>
      </c>
      <c r="M1113" s="4">
        <f>17/30</f>
        <v>0.566666666666667</v>
      </c>
      <c r="N1113" s="4"/>
      <c r="O1113" s="4"/>
      <c r="P1113" s="4">
        <f>4/30</f>
        <v>0.133333333333333</v>
      </c>
      <c r="Q1113" s="4">
        <f>13/30</f>
        <v>0.433333333333333</v>
      </c>
      <c r="R1113" s="4"/>
      <c r="S1113" s="4"/>
      <c r="T1113" s="7">
        <v>2.4</v>
      </c>
      <c r="U1113" s="7">
        <v>0</v>
      </c>
      <c r="V1113" s="7"/>
      <c r="W1113" s="7"/>
      <c r="AH1113" s="2" t="s">
        <v>2314</v>
      </c>
      <c r="AK1113" s="2">
        <v>0</v>
      </c>
      <c r="AP1113" s="2">
        <v>4</v>
      </c>
    </row>
    <row r="1114" s="2" customFormat="1" spans="1:37">
      <c r="A1114" s="2">
        <v>30094</v>
      </c>
      <c r="B1114" s="3" t="s">
        <v>2415</v>
      </c>
      <c r="C1114" s="2" t="s">
        <v>2416</v>
      </c>
      <c r="D1114" s="2">
        <v>1</v>
      </c>
      <c r="E1114" s="2">
        <v>0</v>
      </c>
      <c r="F1114" s="2">
        <v>1</v>
      </c>
      <c r="G1114" s="2">
        <v>3.5</v>
      </c>
      <c r="H1114" s="2">
        <v>3</v>
      </c>
      <c r="I1114" s="2">
        <v>0.7</v>
      </c>
      <c r="J1114" s="2" t="s">
        <v>115</v>
      </c>
      <c r="L1114" s="4">
        <v>0.1</v>
      </c>
      <c r="M1114" s="4">
        <v>0.5</v>
      </c>
      <c r="N1114" s="4"/>
      <c r="O1114" s="4"/>
      <c r="P1114" s="4">
        <v>0.1</v>
      </c>
      <c r="Q1114" s="4">
        <v>0.5</v>
      </c>
      <c r="R1114" s="4"/>
      <c r="S1114" s="4"/>
      <c r="T1114" s="7">
        <v>2.4</v>
      </c>
      <c r="U1114" s="7">
        <v>0</v>
      </c>
      <c r="V1114" s="7"/>
      <c r="W1114" s="7"/>
      <c r="AK1114" s="2">
        <v>0</v>
      </c>
    </row>
    <row r="1115" s="2" customFormat="1" spans="1:49">
      <c r="A1115" s="2">
        <v>30095</v>
      </c>
      <c r="B1115" s="3" t="s">
        <v>2417</v>
      </c>
      <c r="C1115" s="17" t="s">
        <v>2418</v>
      </c>
      <c r="D1115" s="2">
        <v>1</v>
      </c>
      <c r="E1115" s="2">
        <v>0</v>
      </c>
      <c r="F1115" s="2">
        <v>1</v>
      </c>
      <c r="G1115" s="2">
        <v>2</v>
      </c>
      <c r="H1115" s="2">
        <v>2.4</v>
      </c>
      <c r="I1115" s="2">
        <v>0.7</v>
      </c>
      <c r="J1115" s="2" t="s">
        <v>115</v>
      </c>
      <c r="L1115" s="2">
        <v>0.133333333333333</v>
      </c>
      <c r="M1115" s="2">
        <v>0.633333333333333</v>
      </c>
      <c r="P1115" s="2">
        <v>0.166666666666667</v>
      </c>
      <c r="Q1115" s="2">
        <v>0.633333333333333</v>
      </c>
      <c r="T1115" s="7">
        <v>2.4</v>
      </c>
      <c r="U1115" s="7">
        <v>0</v>
      </c>
      <c r="V1115" s="7"/>
      <c r="W1115" s="7"/>
      <c r="AK1115" s="2">
        <v>0</v>
      </c>
      <c r="AV1115" s="2" t="s">
        <v>118</v>
      </c>
      <c r="AW1115" s="2" t="s">
        <v>118</v>
      </c>
    </row>
    <row r="1116" s="2" customFormat="1" spans="1:37">
      <c r="A1116" s="2">
        <v>30096</v>
      </c>
      <c r="B1116" s="3" t="s">
        <v>2419</v>
      </c>
      <c r="C1116" s="17" t="s">
        <v>2420</v>
      </c>
      <c r="F1116" s="2">
        <v>1</v>
      </c>
      <c r="G1116" s="2">
        <v>1.7</v>
      </c>
      <c r="H1116" s="2">
        <v>1.7</v>
      </c>
      <c r="I1116" s="2">
        <v>0.5</v>
      </c>
      <c r="J1116" s="2" t="s">
        <v>115</v>
      </c>
      <c r="L1116" s="2">
        <v>0.0666666666666667</v>
      </c>
      <c r="M1116" s="2">
        <v>0.666666666666667</v>
      </c>
      <c r="P1116" s="2">
        <v>0.0666666666666667</v>
      </c>
      <c r="Q1116" s="2">
        <v>0.633333333333333</v>
      </c>
      <c r="T1116" s="7">
        <v>2.4</v>
      </c>
      <c r="U1116" s="7">
        <v>0</v>
      </c>
      <c r="V1116" s="7"/>
      <c r="W1116" s="7"/>
      <c r="AK1116" s="2">
        <v>0</v>
      </c>
    </row>
    <row r="1117" s="2" customFormat="1" spans="1:49">
      <c r="A1117" s="2">
        <v>30097</v>
      </c>
      <c r="B1117" s="3" t="s">
        <v>2417</v>
      </c>
      <c r="C1117" s="17" t="s">
        <v>2421</v>
      </c>
      <c r="D1117" s="2">
        <v>0</v>
      </c>
      <c r="E1117" s="2">
        <v>1</v>
      </c>
      <c r="F1117" s="2">
        <v>1</v>
      </c>
      <c r="G1117" s="2">
        <v>2</v>
      </c>
      <c r="H1117" s="2">
        <v>2.4</v>
      </c>
      <c r="I1117" s="2">
        <v>0.7</v>
      </c>
      <c r="J1117" s="2" t="s">
        <v>115</v>
      </c>
      <c r="L1117" s="2">
        <v>0.133333333333333</v>
      </c>
      <c r="M1117" s="2">
        <v>0.633333333333333</v>
      </c>
      <c r="P1117" s="2">
        <v>0.166666666666667</v>
      </c>
      <c r="Q1117" s="2">
        <v>0.633333333333333</v>
      </c>
      <c r="T1117" s="7">
        <v>2.4</v>
      </c>
      <c r="U1117" s="7">
        <v>0</v>
      </c>
      <c r="V1117" s="7"/>
      <c r="W1117" s="7"/>
      <c r="AH1117" s="2" t="s">
        <v>2422</v>
      </c>
      <c r="AK1117" s="2">
        <v>0</v>
      </c>
      <c r="AP1117" s="2">
        <v>4</v>
      </c>
      <c r="AV1117" s="2" t="s">
        <v>118</v>
      </c>
      <c r="AW1117" s="2" t="s">
        <v>118</v>
      </c>
    </row>
    <row r="1118" s="2" customFormat="1" spans="1:37">
      <c r="A1118" s="2">
        <v>30098</v>
      </c>
      <c r="B1118" s="3" t="s">
        <v>2423</v>
      </c>
      <c r="C1118" s="2" t="s">
        <v>2424</v>
      </c>
      <c r="D1118" s="2">
        <v>1</v>
      </c>
      <c r="E1118" s="2">
        <v>0</v>
      </c>
      <c r="F1118" s="2">
        <v>1</v>
      </c>
      <c r="G1118" s="2">
        <v>3.1</v>
      </c>
      <c r="H1118" s="2">
        <v>1.7</v>
      </c>
      <c r="I1118" s="2">
        <v>1</v>
      </c>
      <c r="J1118" s="2" t="s">
        <v>115</v>
      </c>
      <c r="L1118" s="4">
        <v>0.1</v>
      </c>
      <c r="M1118" s="4">
        <v>0.5</v>
      </c>
      <c r="N1118" s="4"/>
      <c r="O1118" s="4"/>
      <c r="P1118" s="4">
        <v>0.1</v>
      </c>
      <c r="Q1118" s="4">
        <v>0.5</v>
      </c>
      <c r="R1118" s="4"/>
      <c r="S1118" s="4"/>
      <c r="T1118" s="7">
        <v>2.4</v>
      </c>
      <c r="U1118" s="7">
        <v>0</v>
      </c>
      <c r="V1118" s="7"/>
      <c r="W1118" s="7"/>
      <c r="AK1118" s="2">
        <v>0</v>
      </c>
    </row>
    <row r="1119" s="36" customFormat="1" spans="1:37">
      <c r="A1119" s="36">
        <v>30099</v>
      </c>
      <c r="B1119" s="273" t="s">
        <v>2425</v>
      </c>
      <c r="C1119" s="36" t="s">
        <v>2426</v>
      </c>
      <c r="D1119" s="36">
        <v>1</v>
      </c>
      <c r="E1119" s="36">
        <v>0</v>
      </c>
      <c r="F1119" s="36">
        <v>1</v>
      </c>
      <c r="G1119" s="36">
        <v>1.71</v>
      </c>
      <c r="H1119" s="274">
        <v>2.1</v>
      </c>
      <c r="I1119" s="274">
        <v>0.4</v>
      </c>
      <c r="J1119" s="36" t="s">
        <v>115</v>
      </c>
      <c r="L1119" s="36">
        <f>4/30</f>
        <v>0.133333333333333</v>
      </c>
      <c r="M1119" s="36">
        <f>16/30</f>
        <v>0.533333333333333</v>
      </c>
      <c r="N1119" s="274"/>
      <c r="O1119" s="274"/>
      <c r="P1119" s="36">
        <f>4/30</f>
        <v>0.133333333333333</v>
      </c>
      <c r="Q1119" s="36">
        <f>16/30</f>
        <v>0.533333333333333</v>
      </c>
      <c r="R1119" s="274"/>
      <c r="S1119" s="274"/>
      <c r="T1119" s="282">
        <v>2.4</v>
      </c>
      <c r="U1119" s="282">
        <v>0</v>
      </c>
      <c r="V1119" s="282"/>
      <c r="W1119" s="282"/>
      <c r="AK1119" s="36">
        <v>0</v>
      </c>
    </row>
    <row r="1120" s="8" customFormat="1" spans="1:49">
      <c r="A1120" s="8">
        <v>30100</v>
      </c>
      <c r="B1120" s="275" t="s">
        <v>2427</v>
      </c>
      <c r="C1120" s="13" t="s">
        <v>2428</v>
      </c>
      <c r="D1120" s="8">
        <v>0</v>
      </c>
      <c r="E1120" s="8">
        <v>1</v>
      </c>
      <c r="F1120" s="8">
        <v>1</v>
      </c>
      <c r="G1120" s="8">
        <v>0.8525</v>
      </c>
      <c r="H1120" s="8">
        <v>1.056</v>
      </c>
      <c r="I1120" s="8">
        <v>0.37</v>
      </c>
      <c r="J1120" s="8" t="s">
        <v>115</v>
      </c>
      <c r="L1120" s="8">
        <v>0.133333333333333</v>
      </c>
      <c r="M1120" s="8">
        <v>0.633333333333333</v>
      </c>
      <c r="P1120" s="8">
        <v>0.166666666666667</v>
      </c>
      <c r="Q1120" s="8">
        <v>0.633333333333333</v>
      </c>
      <c r="T1120" s="237">
        <v>2.4</v>
      </c>
      <c r="U1120" s="237">
        <v>0</v>
      </c>
      <c r="V1120" s="237"/>
      <c r="W1120" s="237"/>
      <c r="AH1120" s="8" t="s">
        <v>2314</v>
      </c>
      <c r="AK1120" s="8">
        <v>0</v>
      </c>
      <c r="AP1120" s="8">
        <v>4</v>
      </c>
      <c r="AV1120" s="8" t="s">
        <v>118</v>
      </c>
      <c r="AW1120" s="8" t="s">
        <v>118</v>
      </c>
    </row>
    <row r="1121" s="8" customFormat="1" spans="1:49">
      <c r="A1121" s="8">
        <v>30101</v>
      </c>
      <c r="B1121" s="275" t="s">
        <v>2429</v>
      </c>
      <c r="C1121" s="13" t="s">
        <v>2430</v>
      </c>
      <c r="D1121" s="8">
        <v>0</v>
      </c>
      <c r="E1121" s="8">
        <v>1</v>
      </c>
      <c r="F1121" s="8">
        <v>1</v>
      </c>
      <c r="G1121" s="8">
        <v>0.8525</v>
      </c>
      <c r="H1121" s="8">
        <v>1.056</v>
      </c>
      <c r="I1121" s="8">
        <v>0.37</v>
      </c>
      <c r="J1121" s="8" t="s">
        <v>115</v>
      </c>
      <c r="L1121" s="8">
        <v>0.133333333333333</v>
      </c>
      <c r="M1121" s="8">
        <v>0.633333333333333</v>
      </c>
      <c r="P1121" s="8">
        <v>0.166666666666667</v>
      </c>
      <c r="Q1121" s="8">
        <v>0.633333333333333</v>
      </c>
      <c r="T1121" s="237">
        <v>2.4</v>
      </c>
      <c r="U1121" s="237">
        <v>0</v>
      </c>
      <c r="V1121" s="237"/>
      <c r="W1121" s="237"/>
      <c r="AH1121" s="8" t="s">
        <v>2314</v>
      </c>
      <c r="AK1121" s="8">
        <v>0</v>
      </c>
      <c r="AP1121" s="8">
        <v>4</v>
      </c>
      <c r="AV1121" s="8" t="s">
        <v>118</v>
      </c>
      <c r="AW1121" s="8" t="s">
        <v>118</v>
      </c>
    </row>
    <row r="1122" s="13" customFormat="1" spans="1:49">
      <c r="A1122" s="8">
        <v>30102</v>
      </c>
      <c r="B1122" s="57" t="s">
        <v>2431</v>
      </c>
      <c r="C1122" s="13" t="s">
        <v>2185</v>
      </c>
      <c r="D1122" s="13">
        <v>1</v>
      </c>
      <c r="E1122" s="13">
        <v>1</v>
      </c>
      <c r="F1122" s="13">
        <v>1</v>
      </c>
      <c r="G1122" s="13">
        <v>1.82</v>
      </c>
      <c r="H1122" s="13">
        <v>2</v>
      </c>
      <c r="I1122" s="13">
        <v>0.43</v>
      </c>
      <c r="J1122" s="13" t="s">
        <v>115</v>
      </c>
      <c r="L1122" s="13">
        <f>4/30</f>
        <v>0.133333333333333</v>
      </c>
      <c r="M1122" s="13">
        <f>15/30</f>
        <v>0.5</v>
      </c>
      <c r="P1122" s="13">
        <f>2/30</f>
        <v>0.0666666666666667</v>
      </c>
      <c r="Q1122" s="13">
        <f>15/30</f>
        <v>0.5</v>
      </c>
      <c r="T1122" s="66">
        <v>2.4</v>
      </c>
      <c r="U1122" s="66">
        <v>0</v>
      </c>
      <c r="V1122" s="66"/>
      <c r="W1122" s="66"/>
      <c r="AH1122" s="8" t="s">
        <v>2314</v>
      </c>
      <c r="AK1122" s="13">
        <v>0</v>
      </c>
      <c r="AP1122" s="13">
        <v>4</v>
      </c>
      <c r="AV1122" s="13" t="s">
        <v>118</v>
      </c>
      <c r="AW1122" s="13" t="s">
        <v>118</v>
      </c>
    </row>
    <row r="1123" s="18" customFormat="1" spans="1:49">
      <c r="A1123" s="95">
        <v>30103</v>
      </c>
      <c r="B1123" s="80" t="s">
        <v>2432</v>
      </c>
      <c r="C1123" s="18" t="s">
        <v>2433</v>
      </c>
      <c r="D1123" s="18">
        <v>0</v>
      </c>
      <c r="E1123" s="18">
        <v>1</v>
      </c>
      <c r="F1123" s="18">
        <v>1</v>
      </c>
      <c r="G1123" s="18">
        <v>1.82</v>
      </c>
      <c r="H1123" s="18">
        <v>3</v>
      </c>
      <c r="I1123" s="18">
        <v>0.43</v>
      </c>
      <c r="J1123" s="18" t="s">
        <v>115</v>
      </c>
      <c r="L1123" s="18">
        <f>2/30</f>
        <v>0.0666666666666667</v>
      </c>
      <c r="M1123" s="18">
        <f>21/30</f>
        <v>0.7</v>
      </c>
      <c r="P1123" s="18">
        <f>1/30</f>
        <v>0.0333333333333333</v>
      </c>
      <c r="Q1123" s="18">
        <f>22/30</f>
        <v>0.733333333333333</v>
      </c>
      <c r="T1123" s="79">
        <v>2.4</v>
      </c>
      <c r="U1123" s="79">
        <v>0</v>
      </c>
      <c r="V1123" s="79"/>
      <c r="W1123" s="79"/>
      <c r="AH1123" s="95" t="s">
        <v>2314</v>
      </c>
      <c r="AK1123" s="18">
        <v>0</v>
      </c>
      <c r="AP1123" s="18">
        <v>4</v>
      </c>
      <c r="AV1123" s="18" t="s">
        <v>2434</v>
      </c>
      <c r="AW1123" s="18" t="s">
        <v>2434</v>
      </c>
    </row>
    <row r="1124" s="18" customFormat="1" spans="1:49">
      <c r="A1124" s="95">
        <v>30104</v>
      </c>
      <c r="B1124" s="80" t="s">
        <v>2432</v>
      </c>
      <c r="C1124" s="18" t="s">
        <v>2435</v>
      </c>
      <c r="D1124" s="18">
        <v>1</v>
      </c>
      <c r="E1124" s="18">
        <v>1</v>
      </c>
      <c r="F1124" s="18">
        <v>1</v>
      </c>
      <c r="G1124" s="18">
        <v>1.82</v>
      </c>
      <c r="H1124" s="18">
        <v>3</v>
      </c>
      <c r="I1124" s="18">
        <v>0.43</v>
      </c>
      <c r="J1124" s="18" t="s">
        <v>115</v>
      </c>
      <c r="L1124" s="18">
        <f>2/30</f>
        <v>0.0666666666666667</v>
      </c>
      <c r="M1124" s="18">
        <f>21/30</f>
        <v>0.7</v>
      </c>
      <c r="P1124" s="18">
        <f>1/30</f>
        <v>0.0333333333333333</v>
      </c>
      <c r="Q1124" s="18">
        <f>22/30</f>
        <v>0.733333333333333</v>
      </c>
      <c r="T1124" s="79">
        <v>2.4</v>
      </c>
      <c r="U1124" s="79">
        <v>0</v>
      </c>
      <c r="V1124" s="79"/>
      <c r="W1124" s="79"/>
      <c r="AH1124" s="95"/>
      <c r="AK1124" s="18">
        <v>0</v>
      </c>
      <c r="AP1124" s="18">
        <v>4</v>
      </c>
      <c r="AV1124" s="18" t="s">
        <v>2434</v>
      </c>
      <c r="AW1124" s="18" t="s">
        <v>2434</v>
      </c>
    </row>
    <row r="1125" s="19" customFormat="1" spans="1:49">
      <c r="A1125" s="81">
        <v>30105</v>
      </c>
      <c r="B1125" s="276" t="s">
        <v>2436</v>
      </c>
      <c r="C1125" s="19" t="s">
        <v>2437</v>
      </c>
      <c r="D1125" s="19">
        <v>1</v>
      </c>
      <c r="E1125" s="19">
        <v>0</v>
      </c>
      <c r="F1125" s="19">
        <v>1</v>
      </c>
      <c r="G1125" s="19">
        <v>3.4</v>
      </c>
      <c r="H1125" s="19">
        <v>2.9</v>
      </c>
      <c r="I1125" s="19">
        <v>0.5</v>
      </c>
      <c r="J1125" s="19" t="s">
        <v>115</v>
      </c>
      <c r="L1125" s="19">
        <v>0.166666666666667</v>
      </c>
      <c r="M1125" s="19">
        <v>0.566666666666667</v>
      </c>
      <c r="P1125" s="19">
        <v>0.166666666666667</v>
      </c>
      <c r="Q1125" s="19">
        <v>0.533333333333333</v>
      </c>
      <c r="T1125" s="283">
        <v>2.4</v>
      </c>
      <c r="U1125" s="283">
        <v>0</v>
      </c>
      <c r="V1125" s="283"/>
      <c r="W1125" s="283"/>
      <c r="AH1125" s="81"/>
      <c r="AK1125" s="19">
        <v>0</v>
      </c>
      <c r="AV1125" s="19" t="s">
        <v>118</v>
      </c>
      <c r="AW1125" s="19" t="s">
        <v>118</v>
      </c>
    </row>
    <row r="1126" s="19" customFormat="1" spans="1:49">
      <c r="A1126" s="81">
        <v>30106</v>
      </c>
      <c r="B1126" s="276" t="s">
        <v>2436</v>
      </c>
      <c r="C1126" s="19" t="s">
        <v>2438</v>
      </c>
      <c r="D1126" s="19">
        <v>1</v>
      </c>
      <c r="E1126" s="19">
        <v>0</v>
      </c>
      <c r="F1126" s="19">
        <v>1</v>
      </c>
      <c r="G1126" s="19">
        <v>3.4</v>
      </c>
      <c r="H1126" s="19">
        <v>2.9</v>
      </c>
      <c r="I1126" s="19">
        <v>0.5</v>
      </c>
      <c r="J1126" s="19" t="s">
        <v>115</v>
      </c>
      <c r="L1126" s="19">
        <v>0.166666666666667</v>
      </c>
      <c r="M1126" s="19">
        <v>0.566666666666667</v>
      </c>
      <c r="P1126" s="19">
        <v>0.166666666666667</v>
      </c>
      <c r="Q1126" s="19">
        <v>0.533333333333333</v>
      </c>
      <c r="T1126" s="283">
        <v>2.4</v>
      </c>
      <c r="U1126" s="283">
        <v>0</v>
      </c>
      <c r="V1126" s="283"/>
      <c r="W1126" s="283"/>
      <c r="AH1126" s="81" t="s">
        <v>2314</v>
      </c>
      <c r="AK1126" s="19">
        <v>0</v>
      </c>
      <c r="AP1126" s="19">
        <v>4</v>
      </c>
      <c r="AV1126" s="19" t="s">
        <v>118</v>
      </c>
      <c r="AW1126" s="19" t="s">
        <v>118</v>
      </c>
    </row>
    <row r="1127" s="37" customFormat="1" spans="1:49">
      <c r="A1127" s="37">
        <v>30107</v>
      </c>
      <c r="B1127" s="37" t="s">
        <v>2439</v>
      </c>
      <c r="C1127" s="37" t="s">
        <v>2440</v>
      </c>
      <c r="D1127" s="37">
        <v>1</v>
      </c>
      <c r="E1127" s="37">
        <v>0</v>
      </c>
      <c r="F1127" s="37">
        <v>1</v>
      </c>
      <c r="G1127" s="37">
        <v>1.82</v>
      </c>
      <c r="H1127" s="37">
        <v>3</v>
      </c>
      <c r="I1127" s="37">
        <v>0.43</v>
      </c>
      <c r="J1127" s="37" t="s">
        <v>115</v>
      </c>
      <c r="L1127" s="37">
        <f t="shared" ref="L1127:L1132" si="108">4/30</f>
        <v>0.133333333333333</v>
      </c>
      <c r="M1127" s="37">
        <f t="shared" ref="M1127:M1132" si="109">17/30</f>
        <v>0.566666666666667</v>
      </c>
      <c r="P1127" s="37">
        <f t="shared" ref="P1127:P1132" si="110">2/30</f>
        <v>0.0666666666666667</v>
      </c>
      <c r="Q1127" s="37">
        <f t="shared" ref="Q1127:Q1132" si="111">27/30</f>
        <v>0.9</v>
      </c>
      <c r="T1127" s="37">
        <v>2.4</v>
      </c>
      <c r="U1127" s="284">
        <v>0</v>
      </c>
      <c r="V1127" s="284"/>
      <c r="AK1127" s="37">
        <v>0</v>
      </c>
      <c r="AV1127" s="37" t="s">
        <v>118</v>
      </c>
      <c r="AW1127" s="37" t="s">
        <v>118</v>
      </c>
    </row>
    <row r="1128" s="37" customFormat="1" spans="1:49">
      <c r="A1128" s="37">
        <v>30108</v>
      </c>
      <c r="B1128" s="37" t="s">
        <v>2441</v>
      </c>
      <c r="C1128" s="37" t="s">
        <v>2442</v>
      </c>
      <c r="D1128" s="37">
        <v>1</v>
      </c>
      <c r="E1128" s="37">
        <v>0</v>
      </c>
      <c r="F1128" s="37">
        <v>1</v>
      </c>
      <c r="H1128" s="37">
        <v>3</v>
      </c>
      <c r="I1128" s="37">
        <v>0.43</v>
      </c>
      <c r="J1128" s="37" t="s">
        <v>115</v>
      </c>
      <c r="L1128" s="37">
        <f t="shared" si="108"/>
        <v>0.133333333333333</v>
      </c>
      <c r="M1128" s="37">
        <f t="shared" si="109"/>
        <v>0.566666666666667</v>
      </c>
      <c r="P1128" s="37">
        <f t="shared" si="110"/>
        <v>0.0666666666666667</v>
      </c>
      <c r="Q1128" s="37">
        <f t="shared" si="111"/>
        <v>0.9</v>
      </c>
      <c r="T1128" s="37">
        <v>2.4</v>
      </c>
      <c r="U1128" s="284">
        <v>0</v>
      </c>
      <c r="AK1128" s="37">
        <v>0</v>
      </c>
      <c r="AV1128" s="37" t="s">
        <v>118</v>
      </c>
      <c r="AW1128" s="37" t="s">
        <v>118</v>
      </c>
    </row>
    <row r="1129" s="37" customFormat="1" spans="1:49">
      <c r="A1129" s="37">
        <v>30109</v>
      </c>
      <c r="B1129" s="37" t="s">
        <v>2443</v>
      </c>
      <c r="C1129" s="37" t="s">
        <v>2444</v>
      </c>
      <c r="D1129" s="37">
        <v>1</v>
      </c>
      <c r="E1129" s="37">
        <v>0</v>
      </c>
      <c r="F1129" s="37">
        <v>1</v>
      </c>
      <c r="G1129" s="37">
        <v>1.82</v>
      </c>
      <c r="H1129" s="37">
        <v>3</v>
      </c>
      <c r="I1129" s="37">
        <v>0.43</v>
      </c>
      <c r="J1129" s="37" t="s">
        <v>115</v>
      </c>
      <c r="L1129" s="37">
        <f t="shared" si="108"/>
        <v>0.133333333333333</v>
      </c>
      <c r="M1129" s="37">
        <f t="shared" si="109"/>
        <v>0.566666666666667</v>
      </c>
      <c r="P1129" s="37">
        <f t="shared" si="110"/>
        <v>0.0666666666666667</v>
      </c>
      <c r="Q1129" s="37">
        <f t="shared" si="111"/>
        <v>0.9</v>
      </c>
      <c r="T1129" s="37">
        <v>2.4</v>
      </c>
      <c r="U1129" s="284">
        <v>0</v>
      </c>
      <c r="V1129" s="284"/>
      <c r="AK1129" s="37">
        <v>0</v>
      </c>
      <c r="AV1129" s="37" t="s">
        <v>118</v>
      </c>
      <c r="AW1129" s="37" t="s">
        <v>118</v>
      </c>
    </row>
    <row r="1130" s="37" customFormat="1" spans="1:49">
      <c r="A1130" s="37">
        <v>30110</v>
      </c>
      <c r="B1130" s="37" t="s">
        <v>2445</v>
      </c>
      <c r="C1130" s="37" t="s">
        <v>2446</v>
      </c>
      <c r="D1130" s="37">
        <v>1</v>
      </c>
      <c r="E1130" s="37">
        <v>0</v>
      </c>
      <c r="F1130" s="37">
        <v>1</v>
      </c>
      <c r="H1130" s="37">
        <v>3</v>
      </c>
      <c r="I1130" s="37">
        <v>0.43</v>
      </c>
      <c r="J1130" s="37" t="s">
        <v>115</v>
      </c>
      <c r="L1130" s="37">
        <f t="shared" si="108"/>
        <v>0.133333333333333</v>
      </c>
      <c r="M1130" s="37">
        <f t="shared" si="109"/>
        <v>0.566666666666667</v>
      </c>
      <c r="P1130" s="37">
        <f t="shared" si="110"/>
        <v>0.0666666666666667</v>
      </c>
      <c r="Q1130" s="37">
        <f t="shared" si="111"/>
        <v>0.9</v>
      </c>
      <c r="T1130" s="37">
        <v>2.4</v>
      </c>
      <c r="U1130" s="284">
        <v>0</v>
      </c>
      <c r="AK1130" s="37">
        <v>0</v>
      </c>
      <c r="AV1130" s="37" t="s">
        <v>118</v>
      </c>
      <c r="AW1130" s="37" t="s">
        <v>118</v>
      </c>
    </row>
    <row r="1131" s="37" customFormat="1" spans="1:49">
      <c r="A1131" s="37">
        <v>30111</v>
      </c>
      <c r="B1131" s="37" t="s">
        <v>2447</v>
      </c>
      <c r="C1131" s="37" t="s">
        <v>2448</v>
      </c>
      <c r="D1131" s="37">
        <v>1</v>
      </c>
      <c r="E1131" s="37">
        <v>0</v>
      </c>
      <c r="F1131" s="37">
        <v>1</v>
      </c>
      <c r="G1131" s="37">
        <v>1.82</v>
      </c>
      <c r="H1131" s="37">
        <v>3</v>
      </c>
      <c r="I1131" s="37">
        <v>0.43</v>
      </c>
      <c r="J1131" s="37" t="s">
        <v>115</v>
      </c>
      <c r="L1131" s="37">
        <f t="shared" si="108"/>
        <v>0.133333333333333</v>
      </c>
      <c r="M1131" s="37">
        <f t="shared" si="109"/>
        <v>0.566666666666667</v>
      </c>
      <c r="P1131" s="37">
        <f t="shared" si="110"/>
        <v>0.0666666666666667</v>
      </c>
      <c r="Q1131" s="37">
        <f t="shared" si="111"/>
        <v>0.9</v>
      </c>
      <c r="T1131" s="37">
        <v>2.4</v>
      </c>
      <c r="U1131" s="284">
        <v>0</v>
      </c>
      <c r="V1131" s="284"/>
      <c r="AK1131" s="37">
        <v>0</v>
      </c>
      <c r="AV1131" s="37" t="s">
        <v>118</v>
      </c>
      <c r="AW1131" s="37" t="s">
        <v>118</v>
      </c>
    </row>
    <row r="1132" s="37" customFormat="1" spans="1:49">
      <c r="A1132" s="37">
        <v>30112</v>
      </c>
      <c r="B1132" s="37" t="s">
        <v>2449</v>
      </c>
      <c r="C1132" s="37" t="s">
        <v>2450</v>
      </c>
      <c r="D1132" s="37">
        <v>1</v>
      </c>
      <c r="E1132" s="37">
        <v>0</v>
      </c>
      <c r="F1132" s="37">
        <v>1</v>
      </c>
      <c r="H1132" s="37">
        <v>3</v>
      </c>
      <c r="I1132" s="37">
        <v>0.43</v>
      </c>
      <c r="J1132" s="37" t="s">
        <v>115</v>
      </c>
      <c r="L1132" s="37">
        <f t="shared" si="108"/>
        <v>0.133333333333333</v>
      </c>
      <c r="M1132" s="37">
        <f t="shared" si="109"/>
        <v>0.566666666666667</v>
      </c>
      <c r="P1132" s="37">
        <f t="shared" si="110"/>
        <v>0.0666666666666667</v>
      </c>
      <c r="Q1132" s="37">
        <f t="shared" si="111"/>
        <v>0.9</v>
      </c>
      <c r="T1132" s="37">
        <v>2.4</v>
      </c>
      <c r="U1132" s="284">
        <v>0</v>
      </c>
      <c r="AK1132" s="37">
        <v>0</v>
      </c>
      <c r="AV1132" s="37" t="s">
        <v>118</v>
      </c>
      <c r="AW1132" s="37" t="s">
        <v>118</v>
      </c>
    </row>
    <row r="1133" s="32" customFormat="1" spans="1:49">
      <c r="A1133" s="28">
        <v>30113</v>
      </c>
      <c r="B1133" s="32" t="s">
        <v>2451</v>
      </c>
      <c r="C1133" s="32" t="s">
        <v>2452</v>
      </c>
      <c r="D1133" s="32">
        <v>0</v>
      </c>
      <c r="E1133" s="32">
        <v>1</v>
      </c>
      <c r="F1133" s="32">
        <v>1</v>
      </c>
      <c r="G1133" s="32">
        <v>3.4</v>
      </c>
      <c r="H1133" s="32">
        <v>2.9</v>
      </c>
      <c r="I1133" s="32">
        <v>0.5</v>
      </c>
      <c r="J1133" s="32" t="s">
        <v>115</v>
      </c>
      <c r="L1133" s="32">
        <v>0.166666666666667</v>
      </c>
      <c r="M1133" s="32">
        <v>0.566666666666667</v>
      </c>
      <c r="P1133" s="32">
        <v>0.166666666666667</v>
      </c>
      <c r="Q1133" s="32">
        <v>0.533333333333333</v>
      </c>
      <c r="T1133" s="32">
        <v>2.4</v>
      </c>
      <c r="U1133" s="285">
        <v>0</v>
      </c>
      <c r="AH1133" s="32" t="s">
        <v>2314</v>
      </c>
      <c r="AK1133" s="32">
        <v>0</v>
      </c>
      <c r="AP1133" s="32">
        <v>4</v>
      </c>
      <c r="AV1133" s="32" t="s">
        <v>118</v>
      </c>
      <c r="AW1133" s="32" t="s">
        <v>118</v>
      </c>
    </row>
    <row r="1134" s="32" customFormat="1" spans="1:49">
      <c r="A1134" s="32">
        <v>30114</v>
      </c>
      <c r="B1134" s="32" t="s">
        <v>2453</v>
      </c>
      <c r="C1134" s="32" t="s">
        <v>2454</v>
      </c>
      <c r="D1134" s="32">
        <v>1</v>
      </c>
      <c r="E1134" s="32">
        <v>1</v>
      </c>
      <c r="F1134" s="32">
        <v>1</v>
      </c>
      <c r="G1134" s="32">
        <v>3.4</v>
      </c>
      <c r="H1134" s="32">
        <v>2.9</v>
      </c>
      <c r="I1134" s="32">
        <v>0.5</v>
      </c>
      <c r="J1134" s="32" t="s">
        <v>115</v>
      </c>
      <c r="L1134" s="32">
        <v>0.166666666666667</v>
      </c>
      <c r="M1134" s="32">
        <v>0.566666666666667</v>
      </c>
      <c r="P1134" s="32">
        <v>0.166666666666667</v>
      </c>
      <c r="Q1134" s="32">
        <v>0.533333333333333</v>
      </c>
      <c r="T1134" s="32">
        <v>2.4</v>
      </c>
      <c r="U1134" s="285">
        <v>0</v>
      </c>
      <c r="AH1134" s="32" t="s">
        <v>2314</v>
      </c>
      <c r="AK1134" s="32">
        <v>0</v>
      </c>
      <c r="AP1134" s="32">
        <v>4</v>
      </c>
      <c r="AV1134" s="32" t="s">
        <v>118</v>
      </c>
      <c r="AW1134" s="32" t="s">
        <v>118</v>
      </c>
    </row>
    <row r="1135" s="32" customFormat="1" spans="1:49">
      <c r="A1135" s="32">
        <v>30115</v>
      </c>
      <c r="B1135" s="32" t="s">
        <v>2455</v>
      </c>
      <c r="C1135" s="32" t="s">
        <v>2456</v>
      </c>
      <c r="D1135" s="32">
        <v>1</v>
      </c>
      <c r="E1135" s="32">
        <v>1</v>
      </c>
      <c r="F1135" s="32">
        <v>1</v>
      </c>
      <c r="G1135" s="32">
        <v>3.4</v>
      </c>
      <c r="H1135" s="32">
        <v>2.9</v>
      </c>
      <c r="I1135" s="32">
        <v>0.5</v>
      </c>
      <c r="J1135" s="32" t="s">
        <v>115</v>
      </c>
      <c r="L1135" s="32">
        <v>0.166666666666667</v>
      </c>
      <c r="M1135" s="32">
        <v>0.566666666666667</v>
      </c>
      <c r="P1135" s="32">
        <v>0.166666666666667</v>
      </c>
      <c r="Q1135" s="32">
        <v>0.533333333333333</v>
      </c>
      <c r="T1135" s="32">
        <v>2.4</v>
      </c>
      <c r="U1135" s="285">
        <v>0</v>
      </c>
      <c r="AH1135" s="32" t="s">
        <v>2314</v>
      </c>
      <c r="AK1135" s="32">
        <v>0</v>
      </c>
      <c r="AP1135" s="32">
        <v>4</v>
      </c>
      <c r="AV1135" s="32" t="s">
        <v>118</v>
      </c>
      <c r="AW1135" s="32" t="s">
        <v>118</v>
      </c>
    </row>
    <row r="1136" s="2" customFormat="1" spans="1:42">
      <c r="A1136" s="32">
        <v>30116</v>
      </c>
      <c r="B1136" s="3" t="s">
        <v>2457</v>
      </c>
      <c r="C1136" s="277" t="s">
        <v>2458</v>
      </c>
      <c r="D1136" s="2">
        <v>0</v>
      </c>
      <c r="E1136" s="2">
        <v>1</v>
      </c>
      <c r="F1136" s="2">
        <v>0.9</v>
      </c>
      <c r="G1136" s="2">
        <v>3.9</v>
      </c>
      <c r="H1136" s="2">
        <v>3</v>
      </c>
      <c r="I1136" s="2">
        <v>0.7</v>
      </c>
      <c r="J1136" s="2" t="s">
        <v>115</v>
      </c>
      <c r="L1136" s="4">
        <v>0.1</v>
      </c>
      <c r="M1136" s="4">
        <v>0.5</v>
      </c>
      <c r="N1136" s="4"/>
      <c r="O1136" s="4"/>
      <c r="P1136" s="4">
        <v>0.1</v>
      </c>
      <c r="Q1136" s="4">
        <v>0.5</v>
      </c>
      <c r="R1136" s="4"/>
      <c r="S1136" s="4"/>
      <c r="T1136" s="7">
        <v>2.4</v>
      </c>
      <c r="U1136" s="7">
        <v>0</v>
      </c>
      <c r="V1136" s="7"/>
      <c r="W1136" s="7"/>
      <c r="AH1136" s="2" t="s">
        <v>2314</v>
      </c>
      <c r="AK1136" s="2">
        <v>0</v>
      </c>
      <c r="AP1136" s="2">
        <v>4</v>
      </c>
    </row>
    <row r="1137" s="2" customFormat="1" spans="1:42">
      <c r="A1137" s="32">
        <v>30117</v>
      </c>
      <c r="B1137" s="3" t="s">
        <v>2423</v>
      </c>
      <c r="C1137" s="277" t="s">
        <v>2459</v>
      </c>
      <c r="D1137" s="2">
        <v>0</v>
      </c>
      <c r="E1137" s="2">
        <v>1</v>
      </c>
      <c r="F1137" s="2">
        <v>1</v>
      </c>
      <c r="G1137" s="2">
        <v>3.8</v>
      </c>
      <c r="H1137" s="2">
        <v>3</v>
      </c>
      <c r="I1137" s="2">
        <v>0.7</v>
      </c>
      <c r="J1137" s="2" t="s">
        <v>115</v>
      </c>
      <c r="L1137" s="4">
        <v>0.1</v>
      </c>
      <c r="M1137" s="4">
        <v>0.5</v>
      </c>
      <c r="N1137" s="4"/>
      <c r="O1137" s="4"/>
      <c r="P1137" s="4">
        <v>0.1</v>
      </c>
      <c r="Q1137" s="4">
        <v>0.5</v>
      </c>
      <c r="R1137" s="4"/>
      <c r="S1137" s="4"/>
      <c r="T1137" s="7">
        <v>2.4</v>
      </c>
      <c r="U1137" s="7">
        <v>0</v>
      </c>
      <c r="V1137" s="7"/>
      <c r="W1137" s="7"/>
      <c r="AH1137" s="2" t="s">
        <v>2314</v>
      </c>
      <c r="AK1137" s="2">
        <v>0</v>
      </c>
      <c r="AP1137" s="2">
        <v>4</v>
      </c>
    </row>
    <row r="1138" s="2" customFormat="1" spans="1:42">
      <c r="A1138" s="32">
        <v>30118</v>
      </c>
      <c r="B1138" s="3" t="s">
        <v>2406</v>
      </c>
      <c r="C1138" s="277" t="s">
        <v>2460</v>
      </c>
      <c r="D1138" s="2">
        <v>0</v>
      </c>
      <c r="E1138" s="2">
        <v>1</v>
      </c>
      <c r="F1138" s="2">
        <v>1</v>
      </c>
      <c r="G1138" s="2">
        <v>3.8</v>
      </c>
      <c r="H1138" s="2">
        <v>1</v>
      </c>
      <c r="I1138" s="2">
        <v>0.4</v>
      </c>
      <c r="J1138" s="2" t="s">
        <v>115</v>
      </c>
      <c r="L1138" s="4">
        <v>0.1</v>
      </c>
      <c r="M1138" s="4">
        <v>0.5</v>
      </c>
      <c r="N1138" s="4"/>
      <c r="O1138" s="4"/>
      <c r="P1138" s="4">
        <v>0.1</v>
      </c>
      <c r="Q1138" s="4">
        <v>0.5</v>
      </c>
      <c r="R1138" s="4"/>
      <c r="S1138" s="4"/>
      <c r="T1138" s="7">
        <v>2.4</v>
      </c>
      <c r="U1138" s="7">
        <v>0</v>
      </c>
      <c r="V1138" s="7"/>
      <c r="W1138" s="7"/>
      <c r="AH1138" s="2" t="s">
        <v>2314</v>
      </c>
      <c r="AK1138" s="2">
        <v>0</v>
      </c>
      <c r="AP1138" s="2">
        <v>4</v>
      </c>
    </row>
    <row r="1139" customFormat="1" spans="1:47">
      <c r="A1139" s="32">
        <v>30119</v>
      </c>
      <c r="B1139" s="3" t="s">
        <v>2461</v>
      </c>
      <c r="C1139" s="277" t="s">
        <v>2462</v>
      </c>
      <c r="D1139" s="259">
        <v>0</v>
      </c>
      <c r="E1139" s="259">
        <v>1</v>
      </c>
      <c r="F1139" s="259">
        <v>1</v>
      </c>
      <c r="G1139">
        <v>5</v>
      </c>
      <c r="H1139">
        <v>6.1</v>
      </c>
      <c r="I1139">
        <v>2.6</v>
      </c>
      <c r="J1139" s="259" t="s">
        <v>115</v>
      </c>
      <c r="K1139" s="259"/>
      <c r="L1139" s="259">
        <f>5/30</f>
        <v>0.166666666666667</v>
      </c>
      <c r="M1139" s="259">
        <f>19/30</f>
        <v>0.633333333333333</v>
      </c>
      <c r="N1139" s="259"/>
      <c r="O1139" s="259"/>
      <c r="P1139" s="259">
        <f>5/30</f>
        <v>0.166666666666667</v>
      </c>
      <c r="Q1139" s="259">
        <f>18/30</f>
        <v>0.6</v>
      </c>
      <c r="R1139" s="259"/>
      <c r="S1139" s="259"/>
      <c r="T1139" s="256">
        <v>2.4</v>
      </c>
      <c r="U1139" s="256">
        <v>0</v>
      </c>
      <c r="V1139" s="256"/>
      <c r="W1139" s="256"/>
      <c r="X1139" s="259"/>
      <c r="Y1139" s="259"/>
      <c r="Z1139" s="259"/>
      <c r="AA1139" s="259"/>
      <c r="AE1139" s="259"/>
      <c r="AF1139" s="259"/>
      <c r="AG1139" s="259"/>
      <c r="AH1139" s="259" t="s">
        <v>2314</v>
      </c>
      <c r="AI1139" s="259"/>
      <c r="AJ1139" s="259"/>
      <c r="AK1139" s="259">
        <v>0</v>
      </c>
      <c r="AL1139" s="259"/>
      <c r="AM1139" s="259"/>
      <c r="AN1139" s="259"/>
      <c r="AO1139" s="259"/>
      <c r="AP1139" s="268">
        <v>4</v>
      </c>
      <c r="AQ1139" s="259"/>
      <c r="AR1139" s="259"/>
      <c r="AS1139" s="259"/>
      <c r="AT1139" s="259"/>
      <c r="AU1139" s="259"/>
    </row>
    <row r="1140" s="8" customFormat="1" spans="1:49">
      <c r="A1140" s="8">
        <v>30120</v>
      </c>
      <c r="B1140" s="275" t="s">
        <v>2463</v>
      </c>
      <c r="C1140" s="13" t="s">
        <v>2464</v>
      </c>
      <c r="D1140" s="8">
        <v>1</v>
      </c>
      <c r="E1140" s="8">
        <v>0</v>
      </c>
      <c r="F1140" s="8">
        <v>1</v>
      </c>
      <c r="G1140" s="8">
        <v>3.4</v>
      </c>
      <c r="H1140" s="8">
        <v>2.9</v>
      </c>
      <c r="I1140" s="8">
        <v>0.5</v>
      </c>
      <c r="J1140" s="8" t="s">
        <v>115</v>
      </c>
      <c r="L1140" s="8">
        <v>0.166666666666667</v>
      </c>
      <c r="M1140" s="8">
        <v>0.566666666666667</v>
      </c>
      <c r="P1140" s="8">
        <v>0.166666666666667</v>
      </c>
      <c r="Q1140" s="8">
        <v>0.533333333333333</v>
      </c>
      <c r="T1140" s="237">
        <v>2.4</v>
      </c>
      <c r="U1140" s="237">
        <v>0</v>
      </c>
      <c r="V1140" s="237"/>
      <c r="W1140" s="237"/>
      <c r="AK1140" s="8">
        <v>0</v>
      </c>
      <c r="AV1140" s="8" t="s">
        <v>118</v>
      </c>
      <c r="AW1140" s="8" t="s">
        <v>118</v>
      </c>
    </row>
    <row r="1141" s="8" customFormat="1" spans="1:49">
      <c r="A1141" s="8">
        <v>30121</v>
      </c>
      <c r="B1141" s="275" t="s">
        <v>2463</v>
      </c>
      <c r="C1141" s="13" t="s">
        <v>2465</v>
      </c>
      <c r="D1141" s="8">
        <v>1</v>
      </c>
      <c r="E1141" s="8">
        <v>1</v>
      </c>
      <c r="F1141" s="8">
        <v>1</v>
      </c>
      <c r="G1141" s="8">
        <v>3.4</v>
      </c>
      <c r="H1141" s="8">
        <v>2.9</v>
      </c>
      <c r="I1141" s="8">
        <v>0.5</v>
      </c>
      <c r="J1141" s="8" t="s">
        <v>115</v>
      </c>
      <c r="L1141" s="8">
        <v>0.166666666666667</v>
      </c>
      <c r="M1141" s="8">
        <v>0.566666666666667</v>
      </c>
      <c r="P1141" s="8">
        <v>0.166666666666667</v>
      </c>
      <c r="Q1141" s="8">
        <v>0.533333333333333</v>
      </c>
      <c r="T1141" s="237">
        <v>2.4</v>
      </c>
      <c r="U1141" s="237">
        <v>0</v>
      </c>
      <c r="V1141" s="237"/>
      <c r="W1141" s="237"/>
      <c r="AH1141" s="8" t="s">
        <v>2314</v>
      </c>
      <c r="AK1141" s="8">
        <v>0</v>
      </c>
      <c r="AP1141" s="8">
        <v>4</v>
      </c>
      <c r="AV1141" s="8" t="s">
        <v>118</v>
      </c>
      <c r="AW1141" s="8" t="s">
        <v>118</v>
      </c>
    </row>
    <row r="1142" s="13" customFormat="1" spans="1:49">
      <c r="A1142" s="13">
        <v>30122</v>
      </c>
      <c r="B1142" s="57" t="s">
        <v>2466</v>
      </c>
      <c r="C1142" s="13" t="s">
        <v>2467</v>
      </c>
      <c r="D1142" s="13">
        <v>1</v>
      </c>
      <c r="E1142" s="13">
        <v>0</v>
      </c>
      <c r="F1142" s="13">
        <v>1</v>
      </c>
      <c r="G1142" s="13">
        <v>1.82</v>
      </c>
      <c r="H1142" s="13">
        <v>3</v>
      </c>
      <c r="I1142" s="13">
        <v>0.43</v>
      </c>
      <c r="J1142" s="13" t="s">
        <v>115</v>
      </c>
      <c r="K1142" s="13">
        <v>1</v>
      </c>
      <c r="L1142" s="13">
        <f t="shared" ref="L1142:L1147" si="112">4/30</f>
        <v>0.133333333333333</v>
      </c>
      <c r="M1142" s="13">
        <f t="shared" ref="M1142:M1145" si="113">17/30</f>
        <v>0.566666666666667</v>
      </c>
      <c r="P1142" s="13">
        <f t="shared" ref="P1142:P1145" si="114">2/30</f>
        <v>0.0666666666666667</v>
      </c>
      <c r="Q1142" s="13">
        <f t="shared" ref="Q1142:Q1145" si="115">27/30</f>
        <v>0.9</v>
      </c>
      <c r="T1142" s="13">
        <v>2.4</v>
      </c>
      <c r="U1142" s="127">
        <v>0</v>
      </c>
      <c r="V1142" s="127"/>
      <c r="AK1142" s="13">
        <v>0</v>
      </c>
      <c r="AV1142" s="13" t="s">
        <v>118</v>
      </c>
      <c r="AW1142" s="13" t="s">
        <v>118</v>
      </c>
    </row>
    <row r="1143" s="13" customFormat="1" spans="1:49">
      <c r="A1143" s="13">
        <v>30123</v>
      </c>
      <c r="B1143" s="57" t="s">
        <v>2468</v>
      </c>
      <c r="C1143" s="13" t="s">
        <v>2469</v>
      </c>
      <c r="D1143" s="13">
        <v>1</v>
      </c>
      <c r="E1143" s="13">
        <v>0</v>
      </c>
      <c r="F1143" s="13">
        <v>1</v>
      </c>
      <c r="G1143" s="13">
        <v>1.82</v>
      </c>
      <c r="H1143" s="13">
        <v>3</v>
      </c>
      <c r="I1143" s="13">
        <v>0.43</v>
      </c>
      <c r="J1143" s="13" t="s">
        <v>115</v>
      </c>
      <c r="K1143" s="13">
        <v>1</v>
      </c>
      <c r="L1143" s="13">
        <f t="shared" si="112"/>
        <v>0.133333333333333</v>
      </c>
      <c r="M1143" s="13">
        <f t="shared" si="113"/>
        <v>0.566666666666667</v>
      </c>
      <c r="P1143" s="13">
        <f t="shared" si="114"/>
        <v>0.0666666666666667</v>
      </c>
      <c r="Q1143" s="13">
        <f t="shared" si="115"/>
        <v>0.9</v>
      </c>
      <c r="T1143" s="13">
        <v>2.4</v>
      </c>
      <c r="U1143" s="127">
        <v>0</v>
      </c>
      <c r="V1143" s="127"/>
      <c r="AK1143" s="13">
        <v>0</v>
      </c>
      <c r="AV1143" s="13" t="s">
        <v>118</v>
      </c>
      <c r="AW1143" s="13" t="s">
        <v>118</v>
      </c>
    </row>
    <row r="1144" s="13" customFormat="1" spans="1:49">
      <c r="A1144" s="13">
        <v>30124</v>
      </c>
      <c r="B1144" s="57" t="s">
        <v>2470</v>
      </c>
      <c r="C1144" s="13" t="s">
        <v>2471</v>
      </c>
      <c r="D1144" s="13">
        <v>1</v>
      </c>
      <c r="E1144" s="13">
        <v>0</v>
      </c>
      <c r="F1144" s="13">
        <v>1</v>
      </c>
      <c r="G1144" s="13">
        <v>1.82</v>
      </c>
      <c r="H1144" s="13">
        <v>3</v>
      </c>
      <c r="I1144" s="13">
        <v>0.43</v>
      </c>
      <c r="J1144" s="13" t="s">
        <v>115</v>
      </c>
      <c r="K1144" s="13">
        <v>1</v>
      </c>
      <c r="L1144" s="13">
        <f t="shared" si="112"/>
        <v>0.133333333333333</v>
      </c>
      <c r="M1144" s="13">
        <f t="shared" si="113"/>
        <v>0.566666666666667</v>
      </c>
      <c r="P1144" s="13">
        <f t="shared" si="114"/>
        <v>0.0666666666666667</v>
      </c>
      <c r="Q1144" s="13">
        <f t="shared" si="115"/>
        <v>0.9</v>
      </c>
      <c r="T1144" s="13">
        <v>2.4</v>
      </c>
      <c r="U1144" s="127">
        <v>0</v>
      </c>
      <c r="V1144" s="127"/>
      <c r="AK1144" s="13">
        <v>0</v>
      </c>
      <c r="AV1144" s="13" t="s">
        <v>118</v>
      </c>
      <c r="AW1144" s="13" t="s">
        <v>118</v>
      </c>
    </row>
    <row r="1145" s="13" customFormat="1" spans="1:49">
      <c r="A1145" s="13">
        <v>30125</v>
      </c>
      <c r="B1145" s="57" t="s">
        <v>2472</v>
      </c>
      <c r="C1145" s="13" t="s">
        <v>2473</v>
      </c>
      <c r="D1145" s="13">
        <v>1</v>
      </c>
      <c r="E1145" s="13">
        <v>1</v>
      </c>
      <c r="F1145" s="13">
        <v>1</v>
      </c>
      <c r="G1145" s="13">
        <v>1.82</v>
      </c>
      <c r="H1145" s="13">
        <v>3</v>
      </c>
      <c r="I1145" s="13">
        <v>0.43</v>
      </c>
      <c r="J1145" s="13" t="s">
        <v>115</v>
      </c>
      <c r="L1145" s="13">
        <f t="shared" si="112"/>
        <v>0.133333333333333</v>
      </c>
      <c r="M1145" s="13">
        <f t="shared" si="113"/>
        <v>0.566666666666667</v>
      </c>
      <c r="P1145" s="13">
        <f t="shared" si="114"/>
        <v>0.0666666666666667</v>
      </c>
      <c r="Q1145" s="13">
        <f t="shared" si="115"/>
        <v>0.9</v>
      </c>
      <c r="T1145" s="13">
        <v>2.4</v>
      </c>
      <c r="U1145" s="127">
        <v>0</v>
      </c>
      <c r="V1145" s="127"/>
      <c r="AK1145" s="13">
        <v>0</v>
      </c>
      <c r="AP1145" s="13">
        <v>4</v>
      </c>
      <c r="AV1145" s="13" t="s">
        <v>118</v>
      </c>
      <c r="AW1145" s="13" t="s">
        <v>118</v>
      </c>
    </row>
    <row r="1146" s="21" customFormat="1" spans="1:52">
      <c r="A1146" s="21">
        <v>30126</v>
      </c>
      <c r="B1146" s="278" t="s">
        <v>2474</v>
      </c>
      <c r="C1146" s="21" t="s">
        <v>2475</v>
      </c>
      <c r="D1146" s="21">
        <v>1</v>
      </c>
      <c r="E1146" s="21">
        <v>0</v>
      </c>
      <c r="F1146" s="21">
        <v>1</v>
      </c>
      <c r="G1146" s="21">
        <v>1.55</v>
      </c>
      <c r="H1146" s="21">
        <v>1.92</v>
      </c>
      <c r="I1146" s="21">
        <v>0.37</v>
      </c>
      <c r="J1146" s="21" t="s">
        <v>115</v>
      </c>
      <c r="L1146" s="21">
        <f t="shared" si="112"/>
        <v>0.133333333333333</v>
      </c>
      <c r="M1146" s="21">
        <f>16/30</f>
        <v>0.533333333333333</v>
      </c>
      <c r="P1146" s="21">
        <v>0.133333333333333</v>
      </c>
      <c r="Q1146" s="21">
        <v>0.533333333333333</v>
      </c>
      <c r="T1146" s="21">
        <v>2.4</v>
      </c>
      <c r="U1146" s="92">
        <v>0</v>
      </c>
      <c r="V1146" s="92"/>
      <c r="X1146" s="21">
        <v>-2.425</v>
      </c>
      <c r="Y1146" s="21">
        <v>0.891</v>
      </c>
      <c r="Z1146" s="21">
        <v>-2.562</v>
      </c>
      <c r="AA1146" s="21">
        <v>1</v>
      </c>
      <c r="AB1146" s="21">
        <v>1</v>
      </c>
      <c r="AD1146" s="21" t="s">
        <v>153</v>
      </c>
      <c r="AF1146" s="21">
        <v>801</v>
      </c>
      <c r="AG1146" s="21" t="s">
        <v>116</v>
      </c>
      <c r="AH1146" s="21" t="s">
        <v>200</v>
      </c>
      <c r="AK1146" s="21">
        <v>0</v>
      </c>
      <c r="AV1146" s="21" t="s">
        <v>118</v>
      </c>
      <c r="AW1146" s="21" t="s">
        <v>118</v>
      </c>
      <c r="AZ1146" s="21" t="s">
        <v>153</v>
      </c>
    </row>
    <row r="1147" s="21" customFormat="1" spans="1:52">
      <c r="A1147" s="21">
        <v>30127</v>
      </c>
      <c r="B1147" s="278" t="s">
        <v>2474</v>
      </c>
      <c r="C1147" s="21" t="s">
        <v>2476</v>
      </c>
      <c r="D1147" s="21">
        <v>1</v>
      </c>
      <c r="E1147" s="21">
        <v>1</v>
      </c>
      <c r="F1147" s="21">
        <v>1</v>
      </c>
      <c r="G1147" s="21">
        <v>1.55</v>
      </c>
      <c r="H1147" s="21">
        <v>1.92</v>
      </c>
      <c r="I1147" s="21">
        <v>0.37</v>
      </c>
      <c r="J1147" s="21" t="s">
        <v>115</v>
      </c>
      <c r="L1147" s="21">
        <f t="shared" si="112"/>
        <v>0.133333333333333</v>
      </c>
      <c r="M1147" s="21">
        <f>16/30</f>
        <v>0.533333333333333</v>
      </c>
      <c r="P1147" s="21">
        <v>0.133333333333333</v>
      </c>
      <c r="Q1147" s="21">
        <v>0.533333333333333</v>
      </c>
      <c r="T1147" s="21">
        <v>2.4</v>
      </c>
      <c r="U1147" s="92">
        <v>0</v>
      </c>
      <c r="V1147" s="92"/>
      <c r="X1147" s="21">
        <v>-2.425</v>
      </c>
      <c r="Y1147" s="21">
        <v>0.891</v>
      </c>
      <c r="Z1147" s="21">
        <v>-2.562</v>
      </c>
      <c r="AA1147" s="21">
        <v>1</v>
      </c>
      <c r="AB1147" s="21">
        <v>1</v>
      </c>
      <c r="AD1147" s="21" t="s">
        <v>153</v>
      </c>
      <c r="AF1147" s="21">
        <v>801</v>
      </c>
      <c r="AG1147" s="21" t="s">
        <v>116</v>
      </c>
      <c r="AH1147" s="21" t="s">
        <v>200</v>
      </c>
      <c r="AK1147" s="21">
        <v>0</v>
      </c>
      <c r="AP1147" s="21">
        <v>4</v>
      </c>
      <c r="AV1147" s="21" t="s">
        <v>118</v>
      </c>
      <c r="AW1147" s="21" t="s">
        <v>118</v>
      </c>
      <c r="AZ1147" s="21" t="s">
        <v>153</v>
      </c>
    </row>
    <row r="1148" s="34" customFormat="1" ht="16.5" spans="1:42">
      <c r="A1148" s="34">
        <v>30128</v>
      </c>
      <c r="B1148" s="279" t="s">
        <v>2477</v>
      </c>
      <c r="C1148" s="34" t="s">
        <v>2478</v>
      </c>
      <c r="D1148" s="34">
        <v>1</v>
      </c>
      <c r="E1148" s="34">
        <v>0</v>
      </c>
      <c r="F1148" s="34">
        <v>1</v>
      </c>
      <c r="G1148" s="226">
        <v>1.5</v>
      </c>
      <c r="H1148" s="226">
        <v>2</v>
      </c>
      <c r="I1148" s="34">
        <v>0.5</v>
      </c>
      <c r="J1148" s="226" t="s">
        <v>115</v>
      </c>
      <c r="L1148" s="34">
        <v>0.0666666666666667</v>
      </c>
      <c r="M1148" s="34">
        <v>0.633333333333333</v>
      </c>
      <c r="P1148" s="34">
        <v>0.0666666666666667</v>
      </c>
      <c r="Q1148" s="34">
        <v>0.633333333333333</v>
      </c>
      <c r="T1148" s="34">
        <v>1.667</v>
      </c>
      <c r="U1148" s="244">
        <v>0</v>
      </c>
      <c r="V1148" s="244"/>
      <c r="AK1148" s="34">
        <v>0</v>
      </c>
      <c r="AP1148" s="286"/>
    </row>
    <row r="1149" s="34" customFormat="1" spans="1:52">
      <c r="A1149" s="34">
        <v>30129</v>
      </c>
      <c r="B1149" s="225" t="s">
        <v>2479</v>
      </c>
      <c r="C1149" s="34" t="s">
        <v>2480</v>
      </c>
      <c r="D1149" s="34">
        <v>1</v>
      </c>
      <c r="E1149" s="34">
        <v>1</v>
      </c>
      <c r="F1149" s="34">
        <v>1</v>
      </c>
      <c r="G1149" s="34">
        <v>4</v>
      </c>
      <c r="H1149" s="226">
        <v>4</v>
      </c>
      <c r="I1149" s="226">
        <v>0.5</v>
      </c>
      <c r="J1149" s="34" t="s">
        <v>115</v>
      </c>
      <c r="K1149" s="226">
        <v>1</v>
      </c>
      <c r="L1149" s="235">
        <v>0.1</v>
      </c>
      <c r="M1149" s="235">
        <v>0.9</v>
      </c>
      <c r="N1149" s="235">
        <v>785</v>
      </c>
      <c r="O1149" s="235">
        <v>784</v>
      </c>
      <c r="P1149" s="235">
        <v>0.1</v>
      </c>
      <c r="Q1149" s="235">
        <v>0.9</v>
      </c>
      <c r="R1149" s="235">
        <v>785</v>
      </c>
      <c r="S1149" s="235">
        <v>784</v>
      </c>
      <c r="T1149" s="243">
        <v>2.4</v>
      </c>
      <c r="U1149" s="244">
        <v>0</v>
      </c>
      <c r="V1149" s="243">
        <v>-7.64</v>
      </c>
      <c r="W1149" s="34">
        <v>5</v>
      </c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8" t="s">
        <v>2314</v>
      </c>
      <c r="AI1149" s="13"/>
      <c r="AJ1149" s="13"/>
      <c r="AK1149" s="13">
        <v>0</v>
      </c>
      <c r="AL1149" s="13"/>
      <c r="AM1149" s="13"/>
      <c r="AN1149" s="13"/>
      <c r="AO1149" s="13"/>
      <c r="AP1149" s="13">
        <v>4</v>
      </c>
      <c r="AQ1149" s="13"/>
      <c r="AR1149" s="13"/>
      <c r="AS1149" s="13"/>
      <c r="AT1149" s="13"/>
      <c r="AU1149" s="13"/>
      <c r="AV1149" s="34" t="s">
        <v>204</v>
      </c>
      <c r="AW1149" s="34" t="s">
        <v>204</v>
      </c>
      <c r="AZ1149" s="247"/>
    </row>
    <row r="1150" s="30" customFormat="1" spans="1:49">
      <c r="A1150" s="22">
        <v>30130</v>
      </c>
      <c r="B1150" s="30" t="s">
        <v>2481</v>
      </c>
      <c r="C1150" s="30" t="s">
        <v>2482</v>
      </c>
      <c r="D1150" s="30">
        <v>1</v>
      </c>
      <c r="E1150" s="30">
        <v>1</v>
      </c>
      <c r="F1150" s="30">
        <v>1</v>
      </c>
      <c r="G1150" s="30">
        <v>3.8</v>
      </c>
      <c r="H1150" s="30">
        <v>3.1</v>
      </c>
      <c r="I1150" s="30">
        <v>0.43</v>
      </c>
      <c r="J1150" s="30" t="s">
        <v>115</v>
      </c>
      <c r="L1150" s="30">
        <v>0.133333333333333</v>
      </c>
      <c r="M1150" s="30">
        <v>0.5</v>
      </c>
      <c r="P1150" s="30">
        <v>0.0666666666666667</v>
      </c>
      <c r="Q1150" s="30">
        <v>0.5</v>
      </c>
      <c r="T1150" s="30">
        <v>2.4</v>
      </c>
      <c r="U1150" s="239">
        <v>0</v>
      </c>
      <c r="V1150" s="239"/>
      <c r="AH1150" s="30" t="s">
        <v>2314</v>
      </c>
      <c r="AK1150" s="30">
        <v>0</v>
      </c>
      <c r="AP1150" s="30">
        <v>4</v>
      </c>
      <c r="AV1150" s="30" t="s">
        <v>118</v>
      </c>
      <c r="AW1150" s="30" t="s">
        <v>118</v>
      </c>
    </row>
    <row r="1151" spans="1:42">
      <c r="A1151">
        <v>6001</v>
      </c>
      <c r="B1151" t="s">
        <v>2483</v>
      </c>
      <c r="C1151" s="280" t="s">
        <v>2484</v>
      </c>
      <c r="D1151">
        <v>1</v>
      </c>
      <c r="E1151">
        <v>1</v>
      </c>
      <c r="F1151">
        <v>1</v>
      </c>
      <c r="G1151">
        <v>0.9</v>
      </c>
      <c r="H1151">
        <v>1</v>
      </c>
      <c r="I1151">
        <v>1</v>
      </c>
      <c r="U1151" s="6"/>
      <c r="V1151" s="6"/>
      <c r="AP1151">
        <v>1</v>
      </c>
    </row>
    <row r="1152" spans="1:42">
      <c r="A1152">
        <v>6002</v>
      </c>
      <c r="B1152" t="s">
        <v>2485</v>
      </c>
      <c r="C1152" s="280" t="s">
        <v>2486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U1152" s="6"/>
      <c r="V1152" s="6"/>
      <c r="AP1152">
        <v>1</v>
      </c>
    </row>
    <row r="1153" spans="1:42">
      <c r="A1153">
        <v>6003</v>
      </c>
      <c r="B1153" t="s">
        <v>2487</v>
      </c>
      <c r="C1153" s="280" t="s">
        <v>2488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U1153" s="6"/>
      <c r="V1153" s="6"/>
      <c r="AP1153">
        <v>1</v>
      </c>
    </row>
    <row r="1154" spans="1:42">
      <c r="A1154">
        <v>6004</v>
      </c>
      <c r="B1154" t="s">
        <v>2489</v>
      </c>
      <c r="C1154" s="280" t="s">
        <v>2490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U1154" s="6"/>
      <c r="V1154" s="6"/>
      <c r="AP1154">
        <v>1</v>
      </c>
    </row>
    <row r="1155" spans="1:42">
      <c r="A1155">
        <v>6005</v>
      </c>
      <c r="B1155" t="s">
        <v>2491</v>
      </c>
      <c r="C1155" s="280" t="s">
        <v>2492</v>
      </c>
      <c r="D1155">
        <v>1</v>
      </c>
      <c r="E1155">
        <v>1</v>
      </c>
      <c r="F1155">
        <v>1</v>
      </c>
      <c r="G1155">
        <v>0.9</v>
      </c>
      <c r="H1155">
        <v>1</v>
      </c>
      <c r="I1155">
        <v>1</v>
      </c>
      <c r="U1155" s="6"/>
      <c r="V1155" s="6"/>
      <c r="AP1155">
        <v>1</v>
      </c>
    </row>
    <row r="1156" spans="1:42">
      <c r="A1156">
        <v>6006</v>
      </c>
      <c r="B1156" t="s">
        <v>2493</v>
      </c>
      <c r="C1156" s="280" t="s">
        <v>2494</v>
      </c>
      <c r="D1156">
        <v>1</v>
      </c>
      <c r="E1156">
        <v>1</v>
      </c>
      <c r="F1156">
        <v>1</v>
      </c>
      <c r="G1156">
        <v>0.8</v>
      </c>
      <c r="H1156">
        <v>1</v>
      </c>
      <c r="I1156">
        <v>1</v>
      </c>
      <c r="U1156" s="6"/>
      <c r="V1156" s="6"/>
      <c r="AP1156">
        <v>1</v>
      </c>
    </row>
    <row r="1157" spans="1:42">
      <c r="A1157">
        <v>6007</v>
      </c>
      <c r="B1157" t="s">
        <v>2495</v>
      </c>
      <c r="C1157" s="280" t="s">
        <v>2496</v>
      </c>
      <c r="D1157">
        <v>1</v>
      </c>
      <c r="E1157">
        <v>1</v>
      </c>
      <c r="F1157">
        <v>1</v>
      </c>
      <c r="G1157">
        <v>1.3</v>
      </c>
      <c r="H1157">
        <v>1</v>
      </c>
      <c r="I1157">
        <v>1</v>
      </c>
      <c r="U1157" s="6"/>
      <c r="V1157" s="6"/>
      <c r="AP1157">
        <v>1</v>
      </c>
    </row>
    <row r="1158" spans="1:42">
      <c r="A1158">
        <v>6008</v>
      </c>
      <c r="B1158" t="s">
        <v>2497</v>
      </c>
      <c r="C1158" s="280" t="s">
        <v>2498</v>
      </c>
      <c r="D1158">
        <v>1</v>
      </c>
      <c r="E1158">
        <v>1</v>
      </c>
      <c r="F1158">
        <v>1</v>
      </c>
      <c r="G1158">
        <v>0.9</v>
      </c>
      <c r="H1158">
        <v>1</v>
      </c>
      <c r="I1158">
        <v>1</v>
      </c>
      <c r="U1158" s="6"/>
      <c r="V1158" s="6"/>
      <c r="AP1158">
        <v>1</v>
      </c>
    </row>
    <row r="1159" spans="1:42">
      <c r="A1159">
        <v>6009</v>
      </c>
      <c r="B1159" t="s">
        <v>2499</v>
      </c>
      <c r="C1159" s="280" t="s">
        <v>2500</v>
      </c>
      <c r="D1159">
        <v>1</v>
      </c>
      <c r="E1159">
        <v>1</v>
      </c>
      <c r="F1159">
        <v>1</v>
      </c>
      <c r="G1159">
        <v>0.85</v>
      </c>
      <c r="H1159">
        <v>1</v>
      </c>
      <c r="I1159">
        <v>1</v>
      </c>
      <c r="U1159" s="6"/>
      <c r="V1159" s="6"/>
      <c r="AP1159">
        <v>1</v>
      </c>
    </row>
    <row r="1160" spans="1:42">
      <c r="A1160">
        <v>6010</v>
      </c>
      <c r="B1160" t="s">
        <v>2501</v>
      </c>
      <c r="C1160" s="280" t="s">
        <v>2502</v>
      </c>
      <c r="D1160">
        <v>1</v>
      </c>
      <c r="E1160">
        <v>1</v>
      </c>
      <c r="F1160">
        <v>1</v>
      </c>
      <c r="G1160">
        <v>0.7</v>
      </c>
      <c r="H1160">
        <v>1</v>
      </c>
      <c r="I1160">
        <v>1</v>
      </c>
      <c r="U1160" s="6"/>
      <c r="V1160" s="6"/>
      <c r="AP1160">
        <v>1</v>
      </c>
    </row>
    <row r="1161" spans="1:42">
      <c r="A1161">
        <v>6011</v>
      </c>
      <c r="B1161" t="s">
        <v>2503</v>
      </c>
      <c r="C1161" s="280" t="s">
        <v>2488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U1161" s="6"/>
      <c r="V1161" s="6"/>
      <c r="AP1161">
        <v>1</v>
      </c>
    </row>
    <row r="1162" spans="1:42">
      <c r="A1162">
        <v>6012</v>
      </c>
      <c r="B1162" t="s">
        <v>2504</v>
      </c>
      <c r="C1162" s="280" t="s">
        <v>2505</v>
      </c>
      <c r="D1162">
        <v>1</v>
      </c>
      <c r="E1162">
        <v>1</v>
      </c>
      <c r="F1162">
        <v>1</v>
      </c>
      <c r="G1162">
        <v>0.7</v>
      </c>
      <c r="H1162">
        <v>1</v>
      </c>
      <c r="I1162">
        <v>1</v>
      </c>
      <c r="U1162" s="6"/>
      <c r="V1162" s="6"/>
      <c r="AP1162">
        <v>1</v>
      </c>
    </row>
    <row r="1163" spans="1:42">
      <c r="A1163">
        <v>6013</v>
      </c>
      <c r="B1163" t="s">
        <v>2506</v>
      </c>
      <c r="C1163" s="280" t="s">
        <v>2507</v>
      </c>
      <c r="F1163">
        <v>1</v>
      </c>
      <c r="G1163">
        <v>1</v>
      </c>
      <c r="H1163">
        <v>1</v>
      </c>
      <c r="I1163">
        <v>1</v>
      </c>
      <c r="U1163" s="6"/>
      <c r="V1163" s="6"/>
      <c r="AP1163">
        <v>1</v>
      </c>
    </row>
    <row r="1164" spans="1:42">
      <c r="A1164">
        <v>6014</v>
      </c>
      <c r="B1164" t="s">
        <v>2508</v>
      </c>
      <c r="C1164" s="280" t="s">
        <v>2509</v>
      </c>
      <c r="F1164">
        <v>1</v>
      </c>
      <c r="G1164">
        <v>1</v>
      </c>
      <c r="H1164">
        <v>1</v>
      </c>
      <c r="I1164">
        <v>1</v>
      </c>
      <c r="U1164" s="6"/>
      <c r="V1164" s="6"/>
      <c r="AP1164">
        <v>1</v>
      </c>
    </row>
    <row r="1165" spans="1:42">
      <c r="A1165">
        <v>6015</v>
      </c>
      <c r="B1165" t="s">
        <v>2510</v>
      </c>
      <c r="C1165" s="280" t="s">
        <v>2511</v>
      </c>
      <c r="F1165">
        <v>1</v>
      </c>
      <c r="G1165">
        <v>1</v>
      </c>
      <c r="H1165">
        <v>1</v>
      </c>
      <c r="I1165">
        <v>1</v>
      </c>
      <c r="U1165" s="6"/>
      <c r="V1165" s="6"/>
      <c r="AP1165">
        <v>1</v>
      </c>
    </row>
    <row r="1166" spans="1:42">
      <c r="A1166">
        <v>6016</v>
      </c>
      <c r="B1166" t="s">
        <v>2512</v>
      </c>
      <c r="C1166" s="280" t="s">
        <v>2513</v>
      </c>
      <c r="F1166">
        <v>1</v>
      </c>
      <c r="G1166">
        <v>1</v>
      </c>
      <c r="H1166">
        <v>1</v>
      </c>
      <c r="I1166">
        <v>1</v>
      </c>
      <c r="U1166" s="6"/>
      <c r="V1166" s="6"/>
      <c r="AP1166">
        <v>1</v>
      </c>
    </row>
    <row r="1167" spans="1:42">
      <c r="A1167">
        <v>6017</v>
      </c>
      <c r="B1167" t="s">
        <v>2514</v>
      </c>
      <c r="C1167" s="280" t="s">
        <v>2515</v>
      </c>
      <c r="F1167">
        <v>1</v>
      </c>
      <c r="G1167">
        <v>1</v>
      </c>
      <c r="H1167">
        <v>1</v>
      </c>
      <c r="I1167">
        <v>1</v>
      </c>
      <c r="U1167" s="6"/>
      <c r="V1167" s="6"/>
      <c r="AP1167">
        <v>1</v>
      </c>
    </row>
    <row r="1168" spans="1:42">
      <c r="A1168">
        <v>6018</v>
      </c>
      <c r="B1168" t="s">
        <v>2516</v>
      </c>
      <c r="C1168" s="280" t="s">
        <v>2517</v>
      </c>
      <c r="F1168">
        <v>1</v>
      </c>
      <c r="G1168">
        <v>1</v>
      </c>
      <c r="H1168">
        <v>1</v>
      </c>
      <c r="I1168">
        <v>1</v>
      </c>
      <c r="U1168" s="6"/>
      <c r="V1168" s="6"/>
      <c r="AP1168">
        <v>1</v>
      </c>
    </row>
    <row r="1169" spans="1:42">
      <c r="A1169">
        <v>6019</v>
      </c>
      <c r="B1169" t="s">
        <v>2518</v>
      </c>
      <c r="C1169" s="280" t="s">
        <v>2519</v>
      </c>
      <c r="F1169">
        <v>1</v>
      </c>
      <c r="G1169">
        <v>1</v>
      </c>
      <c r="H1169">
        <v>1</v>
      </c>
      <c r="I1169">
        <v>1</v>
      </c>
      <c r="U1169" s="6"/>
      <c r="V1169" s="6"/>
      <c r="AP1169">
        <v>1</v>
      </c>
    </row>
    <row r="1170" spans="1:42">
      <c r="A1170">
        <v>6020</v>
      </c>
      <c r="B1170" t="s">
        <v>2520</v>
      </c>
      <c r="C1170" s="280" t="s">
        <v>2521</v>
      </c>
      <c r="F1170">
        <v>1</v>
      </c>
      <c r="G1170">
        <v>1</v>
      </c>
      <c r="H1170">
        <v>1</v>
      </c>
      <c r="I1170">
        <v>1</v>
      </c>
      <c r="U1170" s="6"/>
      <c r="V1170" s="6"/>
      <c r="AP1170">
        <v>1</v>
      </c>
    </row>
    <row r="1171" spans="1:42">
      <c r="A1171">
        <v>6021</v>
      </c>
      <c r="B1171" t="s">
        <v>2522</v>
      </c>
      <c r="C1171" s="280" t="s">
        <v>2523</v>
      </c>
      <c r="F1171">
        <v>1</v>
      </c>
      <c r="G1171">
        <v>1</v>
      </c>
      <c r="H1171">
        <v>1</v>
      </c>
      <c r="I1171">
        <v>1</v>
      </c>
      <c r="U1171" s="6"/>
      <c r="V1171" s="6"/>
      <c r="AP1171">
        <v>1</v>
      </c>
    </row>
    <row r="1172" spans="1:42">
      <c r="A1172">
        <v>6022</v>
      </c>
      <c r="B1172" t="s">
        <v>2524</v>
      </c>
      <c r="C1172" s="280" t="s">
        <v>2525</v>
      </c>
      <c r="F1172">
        <v>1</v>
      </c>
      <c r="G1172">
        <v>1</v>
      </c>
      <c r="H1172">
        <v>1</v>
      </c>
      <c r="I1172">
        <v>1</v>
      </c>
      <c r="U1172" s="6"/>
      <c r="V1172" s="6"/>
      <c r="AP1172">
        <v>1</v>
      </c>
    </row>
    <row r="1173" spans="1:42">
      <c r="A1173">
        <v>6023</v>
      </c>
      <c r="B1173" t="s">
        <v>2526</v>
      </c>
      <c r="C1173" s="280" t="s">
        <v>2511</v>
      </c>
      <c r="F1173">
        <v>1</v>
      </c>
      <c r="G1173">
        <v>1</v>
      </c>
      <c r="H1173">
        <v>1</v>
      </c>
      <c r="I1173">
        <v>1</v>
      </c>
      <c r="U1173" s="6"/>
      <c r="V1173" s="6"/>
      <c r="AP1173">
        <v>1</v>
      </c>
    </row>
    <row r="1174" spans="1:42">
      <c r="A1174">
        <v>6024</v>
      </c>
      <c r="B1174" t="s">
        <v>2527</v>
      </c>
      <c r="C1174" s="280" t="s">
        <v>2528</v>
      </c>
      <c r="F1174">
        <v>1</v>
      </c>
      <c r="G1174">
        <v>1</v>
      </c>
      <c r="H1174">
        <v>1</v>
      </c>
      <c r="I1174">
        <v>1</v>
      </c>
      <c r="U1174" s="6"/>
      <c r="V1174" s="6"/>
      <c r="AP1174">
        <v>1</v>
      </c>
    </row>
    <row r="1175" spans="1:42">
      <c r="A1175">
        <v>6101</v>
      </c>
      <c r="B1175" t="s">
        <v>2529</v>
      </c>
      <c r="C1175" t="s">
        <v>2530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U1175" s="6"/>
      <c r="V1175" s="6"/>
      <c r="AP1175">
        <v>1</v>
      </c>
    </row>
    <row r="1176" spans="1:42">
      <c r="A1176">
        <v>6102</v>
      </c>
      <c r="B1176" t="s">
        <v>2531</v>
      </c>
      <c r="C1176" t="s">
        <v>2532</v>
      </c>
      <c r="D1176">
        <v>1</v>
      </c>
      <c r="E1176">
        <v>1</v>
      </c>
      <c r="F1176">
        <v>1</v>
      </c>
      <c r="G1176">
        <v>0.9</v>
      </c>
      <c r="H1176">
        <v>1</v>
      </c>
      <c r="I1176">
        <v>1</v>
      </c>
      <c r="U1176" s="6"/>
      <c r="V1176" s="6"/>
      <c r="AP1176">
        <v>1</v>
      </c>
    </row>
    <row r="1177" spans="1:42">
      <c r="A1177">
        <v>6103</v>
      </c>
      <c r="B1177" t="s">
        <v>2533</v>
      </c>
      <c r="C1177" t="s">
        <v>2534</v>
      </c>
      <c r="D1177">
        <v>1</v>
      </c>
      <c r="E1177">
        <v>1</v>
      </c>
      <c r="F1177">
        <v>1</v>
      </c>
      <c r="G1177">
        <v>0.8</v>
      </c>
      <c r="H1177">
        <v>1</v>
      </c>
      <c r="I1177">
        <v>1</v>
      </c>
      <c r="U1177" s="6"/>
      <c r="V1177" s="6"/>
      <c r="AP1177">
        <v>1</v>
      </c>
    </row>
    <row r="1178" spans="1:42">
      <c r="A1178">
        <v>6104</v>
      </c>
      <c r="B1178" t="s">
        <v>2535</v>
      </c>
      <c r="C1178" t="s">
        <v>2536</v>
      </c>
      <c r="D1178">
        <v>1</v>
      </c>
      <c r="E1178">
        <v>1</v>
      </c>
      <c r="F1178">
        <v>1</v>
      </c>
      <c r="G1178">
        <v>0.8</v>
      </c>
      <c r="H1178">
        <v>1</v>
      </c>
      <c r="I1178">
        <v>1</v>
      </c>
      <c r="U1178" s="6"/>
      <c r="V1178" s="6"/>
      <c r="AP1178">
        <v>1</v>
      </c>
    </row>
    <row r="1179" spans="1:42">
      <c r="A1179">
        <v>6105</v>
      </c>
      <c r="B1179" t="s">
        <v>2537</v>
      </c>
      <c r="C1179" t="s">
        <v>2538</v>
      </c>
      <c r="D1179">
        <v>1</v>
      </c>
      <c r="E1179">
        <v>1</v>
      </c>
      <c r="F1179">
        <v>1</v>
      </c>
      <c r="G1179">
        <v>0.8</v>
      </c>
      <c r="H1179">
        <v>1</v>
      </c>
      <c r="I1179">
        <v>1</v>
      </c>
      <c r="U1179" s="6"/>
      <c r="V1179" s="6"/>
      <c r="AP1179">
        <v>1</v>
      </c>
    </row>
    <row r="1180" spans="1:42">
      <c r="A1180">
        <v>6106</v>
      </c>
      <c r="B1180" t="s">
        <v>2539</v>
      </c>
      <c r="C1180" t="s">
        <v>2540</v>
      </c>
      <c r="D1180">
        <v>1</v>
      </c>
      <c r="E1180">
        <v>1</v>
      </c>
      <c r="F1180">
        <v>1</v>
      </c>
      <c r="G1180">
        <v>0.9</v>
      </c>
      <c r="H1180">
        <v>1</v>
      </c>
      <c r="I1180">
        <v>1</v>
      </c>
      <c r="U1180" s="6"/>
      <c r="V1180" s="6"/>
      <c r="AP1180">
        <v>1</v>
      </c>
    </row>
    <row r="1181" spans="1:42">
      <c r="A1181">
        <v>6107</v>
      </c>
      <c r="B1181" t="s">
        <v>2541</v>
      </c>
      <c r="C1181" t="s">
        <v>2542</v>
      </c>
      <c r="D1181">
        <v>1</v>
      </c>
      <c r="E1181">
        <v>1</v>
      </c>
      <c r="F1181">
        <v>1</v>
      </c>
      <c r="G1181">
        <v>0.8</v>
      </c>
      <c r="H1181">
        <v>1</v>
      </c>
      <c r="I1181">
        <v>1</v>
      </c>
      <c r="U1181" s="6"/>
      <c r="V1181" s="6"/>
      <c r="AP1181">
        <v>1</v>
      </c>
    </row>
    <row r="1182" spans="1:42">
      <c r="A1182">
        <v>6110</v>
      </c>
      <c r="B1182" t="s">
        <v>2543</v>
      </c>
      <c r="C1182" t="s">
        <v>2544</v>
      </c>
      <c r="D1182">
        <v>1</v>
      </c>
      <c r="E1182">
        <v>1</v>
      </c>
      <c r="F1182">
        <v>1</v>
      </c>
      <c r="G1182">
        <v>1.1</v>
      </c>
      <c r="H1182">
        <v>1</v>
      </c>
      <c r="I1182">
        <v>1</v>
      </c>
      <c r="U1182" s="6"/>
      <c r="V1182" s="6"/>
      <c r="AP1182">
        <v>1</v>
      </c>
    </row>
    <row r="1183" spans="1:42">
      <c r="A1183">
        <v>6111</v>
      </c>
      <c r="B1183" t="s">
        <v>2545</v>
      </c>
      <c r="C1183" t="s">
        <v>1535</v>
      </c>
      <c r="D1183">
        <v>1</v>
      </c>
      <c r="E1183">
        <v>1</v>
      </c>
      <c r="F1183">
        <v>1</v>
      </c>
      <c r="G1183">
        <v>1.3</v>
      </c>
      <c r="H1183">
        <v>1</v>
      </c>
      <c r="I1183">
        <v>1</v>
      </c>
      <c r="U1183" s="6"/>
      <c r="V1183" s="6"/>
      <c r="AP1183">
        <v>1</v>
      </c>
    </row>
    <row r="1184" spans="1:42">
      <c r="A1184">
        <v>6115</v>
      </c>
      <c r="B1184" t="s">
        <v>2546</v>
      </c>
      <c r="C1184" t="s">
        <v>2547</v>
      </c>
      <c r="D1184">
        <v>1</v>
      </c>
      <c r="E1184">
        <v>1</v>
      </c>
      <c r="F1184">
        <v>1</v>
      </c>
      <c r="G1184">
        <v>1.3</v>
      </c>
      <c r="H1184">
        <v>1</v>
      </c>
      <c r="I1184">
        <v>1</v>
      </c>
      <c r="U1184" s="6"/>
      <c r="V1184" s="6"/>
      <c r="AP1184">
        <v>1</v>
      </c>
    </row>
    <row r="1185" spans="1:42">
      <c r="A1185">
        <v>6116</v>
      </c>
      <c r="B1185" t="s">
        <v>2548</v>
      </c>
      <c r="C1185" t="s">
        <v>2549</v>
      </c>
      <c r="D1185">
        <v>1</v>
      </c>
      <c r="E1185">
        <v>1</v>
      </c>
      <c r="F1185">
        <v>1</v>
      </c>
      <c r="G1185">
        <v>1.3</v>
      </c>
      <c r="H1185">
        <v>1</v>
      </c>
      <c r="I1185">
        <v>1</v>
      </c>
      <c r="U1185" s="6"/>
      <c r="V1185" s="6"/>
      <c r="AP1185">
        <v>1</v>
      </c>
    </row>
    <row r="1186" spans="1:42">
      <c r="A1186">
        <v>6117</v>
      </c>
      <c r="B1186" t="s">
        <v>2550</v>
      </c>
      <c r="C1186" t="s">
        <v>2551</v>
      </c>
      <c r="D1186">
        <v>1</v>
      </c>
      <c r="E1186">
        <v>1</v>
      </c>
      <c r="F1186">
        <v>1</v>
      </c>
      <c r="G1186">
        <v>1.3</v>
      </c>
      <c r="H1186">
        <v>1</v>
      </c>
      <c r="I1186">
        <v>1</v>
      </c>
      <c r="U1186" s="6"/>
      <c r="V1186" s="6"/>
      <c r="AP1186">
        <v>1</v>
      </c>
    </row>
    <row r="1187" spans="1:42">
      <c r="A1187">
        <v>6118</v>
      </c>
      <c r="B1187" t="s">
        <v>2552</v>
      </c>
      <c r="C1187" t="s">
        <v>2553</v>
      </c>
      <c r="D1187">
        <v>1</v>
      </c>
      <c r="E1187">
        <v>1</v>
      </c>
      <c r="F1187">
        <v>1</v>
      </c>
      <c r="G1187">
        <v>1.3</v>
      </c>
      <c r="H1187">
        <v>1</v>
      </c>
      <c r="I1187">
        <v>1</v>
      </c>
      <c r="U1187" s="6"/>
      <c r="V1187" s="6"/>
      <c r="AP1187">
        <v>1</v>
      </c>
    </row>
    <row r="1188" spans="1:42">
      <c r="A1188">
        <v>6119</v>
      </c>
      <c r="B1188" t="s">
        <v>2554</v>
      </c>
      <c r="C1188" t="s">
        <v>2555</v>
      </c>
      <c r="D1188">
        <v>1</v>
      </c>
      <c r="E1188">
        <v>1</v>
      </c>
      <c r="F1188">
        <v>1</v>
      </c>
      <c r="G1188">
        <v>1.3</v>
      </c>
      <c r="H1188">
        <v>1</v>
      </c>
      <c r="I1188">
        <v>1</v>
      </c>
      <c r="U1188" s="6"/>
      <c r="V1188" s="6"/>
      <c r="AP1188">
        <v>1</v>
      </c>
    </row>
    <row r="1189" spans="1:42">
      <c r="A1189">
        <v>6120</v>
      </c>
      <c r="B1189" t="s">
        <v>2556</v>
      </c>
      <c r="C1189" t="s">
        <v>2557</v>
      </c>
      <c r="D1189">
        <v>1</v>
      </c>
      <c r="E1189">
        <v>1</v>
      </c>
      <c r="F1189">
        <v>1</v>
      </c>
      <c r="G1189">
        <v>1.3</v>
      </c>
      <c r="H1189">
        <v>1</v>
      </c>
      <c r="I1189">
        <v>1</v>
      </c>
      <c r="U1189" s="6"/>
      <c r="V1189" s="6"/>
      <c r="AP1189">
        <v>1</v>
      </c>
    </row>
    <row r="1190" spans="1:42">
      <c r="A1190">
        <v>6121</v>
      </c>
      <c r="B1190" t="s">
        <v>2558</v>
      </c>
      <c r="C1190" t="s">
        <v>2559</v>
      </c>
      <c r="D1190">
        <v>1</v>
      </c>
      <c r="E1190">
        <v>1</v>
      </c>
      <c r="F1190">
        <v>1</v>
      </c>
      <c r="G1190">
        <v>1.3</v>
      </c>
      <c r="H1190">
        <v>1</v>
      </c>
      <c r="I1190">
        <v>1</v>
      </c>
      <c r="U1190" s="6"/>
      <c r="V1190" s="6"/>
      <c r="AP1190">
        <v>1</v>
      </c>
    </row>
    <row r="1191" spans="1:22">
      <c r="A1191">
        <v>6124</v>
      </c>
      <c r="B1191" t="s">
        <v>2560</v>
      </c>
      <c r="C1191" t="s">
        <v>2561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U1191" s="6"/>
      <c r="V1191" s="6"/>
    </row>
    <row r="1192" spans="1:22">
      <c r="A1192">
        <v>6125</v>
      </c>
      <c r="B1192" t="s">
        <v>2562</v>
      </c>
      <c r="C1192" t="s">
        <v>2563</v>
      </c>
      <c r="D1192">
        <v>1</v>
      </c>
      <c r="E1192">
        <v>1</v>
      </c>
      <c r="F1192">
        <v>1</v>
      </c>
      <c r="G1192">
        <v>1.3</v>
      </c>
      <c r="H1192">
        <v>1</v>
      </c>
      <c r="I1192">
        <v>1</v>
      </c>
      <c r="U1192" s="6"/>
      <c r="V1192" s="6"/>
    </row>
    <row r="1193" spans="1:22">
      <c r="A1193">
        <v>6126</v>
      </c>
      <c r="B1193" t="s">
        <v>2564</v>
      </c>
      <c r="C1193" t="s">
        <v>2565</v>
      </c>
      <c r="D1193">
        <v>1</v>
      </c>
      <c r="E1193">
        <v>1</v>
      </c>
      <c r="F1193">
        <v>1</v>
      </c>
      <c r="G1193">
        <v>1.3</v>
      </c>
      <c r="H1193">
        <v>1</v>
      </c>
      <c r="I1193">
        <v>1</v>
      </c>
      <c r="U1193" s="6"/>
      <c r="V1193" s="6"/>
    </row>
    <row r="1194" spans="1:22">
      <c r="A1194">
        <v>6127</v>
      </c>
      <c r="B1194" t="s">
        <v>2566</v>
      </c>
      <c r="C1194" t="s">
        <v>2567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U1194" s="6"/>
      <c r="V1194" s="6"/>
    </row>
    <row r="1195" spans="1:42">
      <c r="A1195">
        <v>6201</v>
      </c>
      <c r="B1195" t="s">
        <v>2568</v>
      </c>
      <c r="C1195" s="280" t="s">
        <v>2569</v>
      </c>
      <c r="F1195">
        <v>1</v>
      </c>
      <c r="G1195">
        <v>1</v>
      </c>
      <c r="H1195">
        <v>1</v>
      </c>
      <c r="I1195">
        <v>1</v>
      </c>
      <c r="U1195" s="6"/>
      <c r="V1195" s="6"/>
      <c r="AP1195">
        <v>1</v>
      </c>
    </row>
    <row r="1196" spans="1:42">
      <c r="A1196">
        <v>6202</v>
      </c>
      <c r="B1196" t="s">
        <v>2570</v>
      </c>
      <c r="C1196" s="280" t="s">
        <v>2571</v>
      </c>
      <c r="F1196">
        <v>1</v>
      </c>
      <c r="G1196">
        <v>1</v>
      </c>
      <c r="H1196">
        <v>1</v>
      </c>
      <c r="I1196">
        <v>1</v>
      </c>
      <c r="U1196" s="6"/>
      <c r="V1196" s="6"/>
      <c r="AP1196">
        <v>1</v>
      </c>
    </row>
    <row r="1197" spans="1:42">
      <c r="A1197">
        <v>6203</v>
      </c>
      <c r="B1197" t="s">
        <v>2572</v>
      </c>
      <c r="C1197" s="280" t="s">
        <v>2573</v>
      </c>
      <c r="F1197">
        <v>1</v>
      </c>
      <c r="G1197">
        <v>1</v>
      </c>
      <c r="H1197">
        <v>1</v>
      </c>
      <c r="I1197">
        <v>1</v>
      </c>
      <c r="U1197" s="6"/>
      <c r="V1197" s="6"/>
      <c r="AP1197">
        <v>1</v>
      </c>
    </row>
    <row r="1198" spans="1:42">
      <c r="A1198">
        <v>6204</v>
      </c>
      <c r="B1198" t="s">
        <v>2574</v>
      </c>
      <c r="C1198" s="280" t="s">
        <v>2575</v>
      </c>
      <c r="F1198">
        <v>1</v>
      </c>
      <c r="G1198">
        <v>1</v>
      </c>
      <c r="H1198">
        <v>1</v>
      </c>
      <c r="I1198">
        <v>1</v>
      </c>
      <c r="U1198" s="6"/>
      <c r="V1198" s="6"/>
      <c r="AP1198">
        <v>1</v>
      </c>
    </row>
    <row r="1199" spans="1:42">
      <c r="A1199">
        <v>6205</v>
      </c>
      <c r="B1199" t="s">
        <v>2576</v>
      </c>
      <c r="C1199" s="280" t="s">
        <v>2577</v>
      </c>
      <c r="F1199">
        <v>1</v>
      </c>
      <c r="G1199">
        <v>1</v>
      </c>
      <c r="H1199">
        <v>1</v>
      </c>
      <c r="I1199">
        <v>1</v>
      </c>
      <c r="U1199" s="6"/>
      <c r="V1199" s="6"/>
      <c r="AP1199">
        <v>1</v>
      </c>
    </row>
    <row r="1200" spans="1:42">
      <c r="A1200">
        <v>6206</v>
      </c>
      <c r="B1200" t="s">
        <v>2578</v>
      </c>
      <c r="C1200" s="280" t="s">
        <v>2579</v>
      </c>
      <c r="F1200">
        <v>1</v>
      </c>
      <c r="G1200">
        <v>1</v>
      </c>
      <c r="H1200">
        <v>1</v>
      </c>
      <c r="I1200">
        <v>1</v>
      </c>
      <c r="U1200" s="6"/>
      <c r="V1200" s="6"/>
      <c r="AP1200">
        <v>1</v>
      </c>
    </row>
    <row r="1201" spans="1:42">
      <c r="A1201">
        <v>6207</v>
      </c>
      <c r="B1201" t="s">
        <v>2580</v>
      </c>
      <c r="C1201" s="280" t="s">
        <v>2581</v>
      </c>
      <c r="F1201">
        <v>1</v>
      </c>
      <c r="G1201">
        <v>1</v>
      </c>
      <c r="H1201">
        <v>1</v>
      </c>
      <c r="I1201">
        <v>1</v>
      </c>
      <c r="U1201" s="6"/>
      <c r="V1201" s="6"/>
      <c r="AP1201">
        <v>1</v>
      </c>
    </row>
    <row r="1202" spans="1:22">
      <c r="A1202">
        <v>6208</v>
      </c>
      <c r="B1202" t="s">
        <v>2582</v>
      </c>
      <c r="C1202" t="s">
        <v>2583</v>
      </c>
      <c r="F1202">
        <v>1</v>
      </c>
      <c r="H1202">
        <v>1</v>
      </c>
      <c r="I1202">
        <v>1</v>
      </c>
      <c r="U1202" s="6"/>
      <c r="V1202" s="6"/>
    </row>
    <row r="1203" spans="1:22">
      <c r="A1203">
        <v>6209</v>
      </c>
      <c r="B1203" t="s">
        <v>2584</v>
      </c>
      <c r="C1203" t="s">
        <v>2583</v>
      </c>
      <c r="F1203">
        <v>1</v>
      </c>
      <c r="H1203">
        <v>1</v>
      </c>
      <c r="I1203">
        <v>1</v>
      </c>
      <c r="U1203" s="6"/>
      <c r="V1203" s="6"/>
    </row>
    <row r="1204" spans="1:42">
      <c r="A1204">
        <v>6210</v>
      </c>
      <c r="B1204" t="s">
        <v>2585</v>
      </c>
      <c r="C1204" s="280" t="s">
        <v>2586</v>
      </c>
      <c r="F1204">
        <v>1</v>
      </c>
      <c r="G1204">
        <v>1</v>
      </c>
      <c r="H1204">
        <v>1</v>
      </c>
      <c r="I1204">
        <v>1</v>
      </c>
      <c r="U1204" s="6"/>
      <c r="V1204" s="6"/>
      <c r="AP1204">
        <v>1</v>
      </c>
    </row>
    <row r="1205" spans="1:42">
      <c r="A1205">
        <v>6211</v>
      </c>
      <c r="B1205" t="s">
        <v>2587</v>
      </c>
      <c r="C1205" s="280" t="s">
        <v>2588</v>
      </c>
      <c r="F1205">
        <v>1</v>
      </c>
      <c r="G1205">
        <v>1</v>
      </c>
      <c r="H1205">
        <v>1</v>
      </c>
      <c r="I1205">
        <v>1</v>
      </c>
      <c r="U1205" s="6"/>
      <c r="V1205" s="6"/>
      <c r="AP1205">
        <v>1</v>
      </c>
    </row>
    <row r="1206" spans="1:22">
      <c r="A1206">
        <v>6212</v>
      </c>
      <c r="B1206" t="s">
        <v>2589</v>
      </c>
      <c r="C1206" t="s">
        <v>2590</v>
      </c>
      <c r="F1206">
        <v>1</v>
      </c>
      <c r="G1206">
        <v>1</v>
      </c>
      <c r="H1206">
        <v>1</v>
      </c>
      <c r="I1206">
        <v>1</v>
      </c>
      <c r="U1206" s="6"/>
      <c r="V1206" s="6"/>
    </row>
    <row r="1207" spans="1:42">
      <c r="A1207">
        <v>6213</v>
      </c>
      <c r="B1207" t="s">
        <v>2591</v>
      </c>
      <c r="C1207" t="s">
        <v>2592</v>
      </c>
      <c r="F1207">
        <v>1</v>
      </c>
      <c r="G1207">
        <v>1.2</v>
      </c>
      <c r="H1207">
        <v>1</v>
      </c>
      <c r="I1207">
        <v>1</v>
      </c>
      <c r="U1207" s="6"/>
      <c r="V1207" s="6"/>
      <c r="AP1207">
        <v>1</v>
      </c>
    </row>
    <row r="1208" spans="1:42">
      <c r="A1208">
        <v>6214</v>
      </c>
      <c r="B1208" t="s">
        <v>2593</v>
      </c>
      <c r="C1208" t="s">
        <v>2594</v>
      </c>
      <c r="F1208">
        <v>1</v>
      </c>
      <c r="G1208">
        <v>1</v>
      </c>
      <c r="H1208">
        <v>1</v>
      </c>
      <c r="I1208">
        <v>1</v>
      </c>
      <c r="U1208" s="6"/>
      <c r="V1208" s="6"/>
      <c r="AP1208">
        <v>1</v>
      </c>
    </row>
    <row r="1209" spans="1:22">
      <c r="A1209">
        <v>6215</v>
      </c>
      <c r="B1209" t="s">
        <v>2595</v>
      </c>
      <c r="C1209" s="280" t="s">
        <v>2596</v>
      </c>
      <c r="F1209">
        <v>1</v>
      </c>
      <c r="G1209">
        <v>1</v>
      </c>
      <c r="H1209">
        <v>1</v>
      </c>
      <c r="I1209">
        <v>1</v>
      </c>
      <c r="U1209" s="6"/>
      <c r="V1209" s="6"/>
    </row>
    <row r="1210" spans="1:22">
      <c r="A1210">
        <v>6216</v>
      </c>
      <c r="B1210" t="s">
        <v>2597</v>
      </c>
      <c r="C1210" t="s">
        <v>2549</v>
      </c>
      <c r="F1210">
        <v>1</v>
      </c>
      <c r="G1210">
        <v>1</v>
      </c>
      <c r="H1210">
        <v>1</v>
      </c>
      <c r="I1210">
        <v>1</v>
      </c>
      <c r="U1210" s="6"/>
      <c r="V1210" s="6"/>
    </row>
    <row r="1211" spans="1:22">
      <c r="A1211">
        <v>6217</v>
      </c>
      <c r="B1211" t="s">
        <v>2598</v>
      </c>
      <c r="C1211" t="s">
        <v>2551</v>
      </c>
      <c r="F1211">
        <v>1</v>
      </c>
      <c r="G1211">
        <v>1</v>
      </c>
      <c r="H1211">
        <v>1</v>
      </c>
      <c r="I1211">
        <v>1</v>
      </c>
      <c r="U1211" s="6"/>
      <c r="V1211" s="6"/>
    </row>
    <row r="1212" spans="1:22">
      <c r="A1212">
        <v>6218</v>
      </c>
      <c r="B1212" t="s">
        <v>2599</v>
      </c>
      <c r="C1212" t="s">
        <v>2553</v>
      </c>
      <c r="F1212">
        <v>1</v>
      </c>
      <c r="G1212">
        <v>1</v>
      </c>
      <c r="H1212">
        <v>1</v>
      </c>
      <c r="I1212">
        <v>1</v>
      </c>
      <c r="U1212" s="6"/>
      <c r="V1212" s="6"/>
    </row>
    <row r="1213" spans="1:22">
      <c r="A1213">
        <v>6219</v>
      </c>
      <c r="B1213" t="s">
        <v>2600</v>
      </c>
      <c r="C1213" t="s">
        <v>2555</v>
      </c>
      <c r="F1213">
        <v>1</v>
      </c>
      <c r="G1213">
        <v>1</v>
      </c>
      <c r="H1213">
        <v>1</v>
      </c>
      <c r="I1213">
        <v>1</v>
      </c>
      <c r="U1213" s="6"/>
      <c r="V1213" s="6"/>
    </row>
    <row r="1214" spans="1:22">
      <c r="A1214">
        <v>6220</v>
      </c>
      <c r="B1214" t="s">
        <v>2601</v>
      </c>
      <c r="C1214" t="s">
        <v>2557</v>
      </c>
      <c r="F1214">
        <v>1</v>
      </c>
      <c r="G1214">
        <v>1</v>
      </c>
      <c r="H1214">
        <v>1</v>
      </c>
      <c r="I1214">
        <v>1</v>
      </c>
      <c r="U1214" s="6"/>
      <c r="V1214" s="6"/>
    </row>
    <row r="1215" spans="1:22">
      <c r="A1215">
        <v>6221</v>
      </c>
      <c r="B1215" t="s">
        <v>2602</v>
      </c>
      <c r="C1215" t="s">
        <v>2559</v>
      </c>
      <c r="F1215">
        <v>1</v>
      </c>
      <c r="G1215">
        <v>1</v>
      </c>
      <c r="H1215">
        <v>1</v>
      </c>
      <c r="I1215">
        <v>1</v>
      </c>
      <c r="U1215" s="6"/>
      <c r="V1215" s="6"/>
    </row>
    <row r="1216" spans="1:22">
      <c r="A1216">
        <v>6222</v>
      </c>
      <c r="B1216" t="s">
        <v>2603</v>
      </c>
      <c r="C1216" t="s">
        <v>2604</v>
      </c>
      <c r="F1216">
        <v>1</v>
      </c>
      <c r="G1216">
        <v>0.5</v>
      </c>
      <c r="H1216">
        <v>1</v>
      </c>
      <c r="I1216">
        <v>1</v>
      </c>
      <c r="U1216" s="6"/>
      <c r="V1216" s="6"/>
    </row>
    <row r="1217" spans="1:22">
      <c r="A1217">
        <v>6223</v>
      </c>
      <c r="B1217" t="s">
        <v>2605</v>
      </c>
      <c r="C1217" t="s">
        <v>2606</v>
      </c>
      <c r="F1217">
        <v>1</v>
      </c>
      <c r="G1217">
        <v>1</v>
      </c>
      <c r="H1217">
        <v>1</v>
      </c>
      <c r="I1217">
        <v>1</v>
      </c>
      <c r="U1217" s="6"/>
      <c r="V1217" s="6"/>
    </row>
    <row r="1218" spans="1:22">
      <c r="A1218">
        <v>6224</v>
      </c>
      <c r="B1218" t="s">
        <v>2607</v>
      </c>
      <c r="C1218" s="280" t="s">
        <v>2608</v>
      </c>
      <c r="F1218">
        <v>1</v>
      </c>
      <c r="G1218">
        <v>1</v>
      </c>
      <c r="H1218">
        <v>1</v>
      </c>
      <c r="I1218">
        <v>1</v>
      </c>
      <c r="U1218" s="6"/>
      <c r="V1218" s="6"/>
    </row>
    <row r="1219" spans="1:22">
      <c r="A1219">
        <v>6225</v>
      </c>
      <c r="B1219" t="s">
        <v>2609</v>
      </c>
      <c r="C1219" s="280" t="s">
        <v>2610</v>
      </c>
      <c r="F1219">
        <v>1</v>
      </c>
      <c r="G1219">
        <v>1</v>
      </c>
      <c r="H1219">
        <v>1</v>
      </c>
      <c r="I1219">
        <v>1</v>
      </c>
      <c r="U1219" s="6"/>
      <c r="V1219" s="6"/>
    </row>
    <row r="1220" spans="1:22">
      <c r="A1220">
        <v>6226</v>
      </c>
      <c r="B1220" t="s">
        <v>2611</v>
      </c>
      <c r="C1220" t="s">
        <v>2612</v>
      </c>
      <c r="F1220">
        <v>1</v>
      </c>
      <c r="G1220">
        <v>1</v>
      </c>
      <c r="H1220">
        <v>1</v>
      </c>
      <c r="I1220">
        <v>1</v>
      </c>
      <c r="U1220" s="6"/>
      <c r="V1220" s="6"/>
    </row>
    <row r="1221" spans="1:22">
      <c r="A1221">
        <v>6227</v>
      </c>
      <c r="B1221" t="s">
        <v>2613</v>
      </c>
      <c r="C1221" t="s">
        <v>2614</v>
      </c>
      <c r="F1221">
        <v>1</v>
      </c>
      <c r="G1221">
        <v>1</v>
      </c>
      <c r="H1221">
        <v>1</v>
      </c>
      <c r="I1221">
        <v>1</v>
      </c>
      <c r="U1221" s="6"/>
      <c r="V1221" s="6"/>
    </row>
    <row r="1222" spans="1:22">
      <c r="A1222">
        <v>6228</v>
      </c>
      <c r="B1222" t="s">
        <v>2615</v>
      </c>
      <c r="C1222" t="s">
        <v>2616</v>
      </c>
      <c r="F1222">
        <v>1</v>
      </c>
      <c r="G1222">
        <v>1</v>
      </c>
      <c r="H1222">
        <v>1</v>
      </c>
      <c r="I1222">
        <v>1</v>
      </c>
      <c r="U1222" s="6"/>
      <c r="V1222" s="6"/>
    </row>
    <row r="1223" spans="1:22">
      <c r="A1223">
        <v>6229</v>
      </c>
      <c r="B1223" t="s">
        <v>2617</v>
      </c>
      <c r="C1223" t="s">
        <v>2618</v>
      </c>
      <c r="F1223">
        <v>1</v>
      </c>
      <c r="G1223">
        <v>1</v>
      </c>
      <c r="H1223">
        <v>1</v>
      </c>
      <c r="I1223">
        <v>1</v>
      </c>
      <c r="U1223" s="6"/>
      <c r="V1223" s="6"/>
    </row>
    <row r="1224" spans="1:22">
      <c r="A1224">
        <v>6230</v>
      </c>
      <c r="B1224" t="s">
        <v>2619</v>
      </c>
      <c r="C1224" t="s">
        <v>2620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U1224" s="6"/>
      <c r="V1224" s="6"/>
    </row>
    <row r="1225" customFormat="1" spans="1:42">
      <c r="A1225">
        <v>6231</v>
      </c>
      <c r="B1225" t="s">
        <v>2621</v>
      </c>
      <c r="C1225" t="s">
        <v>2622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U1225" s="6"/>
      <c r="V1225" s="6"/>
      <c r="AP1225">
        <v>1</v>
      </c>
    </row>
    <row r="1226" customFormat="1" spans="1:42">
      <c r="A1226">
        <v>6232</v>
      </c>
      <c r="B1226" t="s">
        <v>2623</v>
      </c>
      <c r="C1226" t="s">
        <v>2624</v>
      </c>
      <c r="F1226">
        <v>1</v>
      </c>
      <c r="G1226">
        <v>1</v>
      </c>
      <c r="H1226">
        <v>1</v>
      </c>
      <c r="I1226">
        <v>1</v>
      </c>
      <c r="U1226" s="6"/>
      <c r="V1226" s="6"/>
      <c r="AP1226">
        <v>1</v>
      </c>
    </row>
    <row r="1227" spans="1:37">
      <c r="A1227">
        <v>80001</v>
      </c>
      <c r="B1227" s="287" t="s">
        <v>1189</v>
      </c>
      <c r="C1227" s="287" t="s">
        <v>2625</v>
      </c>
      <c r="D1227">
        <v>0</v>
      </c>
      <c r="F1227">
        <v>1</v>
      </c>
      <c r="G1227">
        <v>1.8</v>
      </c>
      <c r="H1227">
        <v>1.8</v>
      </c>
      <c r="I1227">
        <v>0.28</v>
      </c>
      <c r="L1227" s="39"/>
      <c r="U1227" s="6"/>
      <c r="V1227" s="6"/>
      <c r="AF1227">
        <v>801</v>
      </c>
      <c r="AG1227" t="s">
        <v>116</v>
      </c>
      <c r="AK1227" s="10">
        <v>0</v>
      </c>
    </row>
    <row r="1228" spans="1:52">
      <c r="A1228">
        <v>80002</v>
      </c>
      <c r="B1228" s="287" t="s">
        <v>729</v>
      </c>
      <c r="C1228" s="287" t="s">
        <v>2626</v>
      </c>
      <c r="D1228" s="39">
        <v>1</v>
      </c>
      <c r="E1228" s="39"/>
      <c r="F1228" s="39">
        <v>1</v>
      </c>
      <c r="G1228" s="39">
        <v>1.71</v>
      </c>
      <c r="H1228" s="39">
        <v>1.9</v>
      </c>
      <c r="I1228" s="39">
        <v>0.35</v>
      </c>
      <c r="J1228" s="39" t="s">
        <v>115</v>
      </c>
      <c r="K1228" s="39"/>
      <c r="L1228" s="39">
        <v>0.1</v>
      </c>
      <c r="M1228">
        <v>0.466666666666667</v>
      </c>
      <c r="P1228" s="39">
        <v>0.0666666666666667</v>
      </c>
      <c r="Q1228">
        <v>0.466666666666667</v>
      </c>
      <c r="T1228">
        <v>2.4</v>
      </c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>
        <v>801</v>
      </c>
      <c r="AG1228" t="s">
        <v>116</v>
      </c>
      <c r="AH1228" s="10"/>
      <c r="AI1228" s="10"/>
      <c r="AJ1228" s="10"/>
      <c r="AK1228" s="10">
        <v>0</v>
      </c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Y1228" s="10"/>
      <c r="AZ1228" s="10"/>
    </row>
    <row r="1229" spans="1:37">
      <c r="A1229">
        <v>80003</v>
      </c>
      <c r="B1229" s="287" t="s">
        <v>1313</v>
      </c>
      <c r="C1229" s="287" t="s">
        <v>2627</v>
      </c>
      <c r="D1229">
        <v>0</v>
      </c>
      <c r="F1229">
        <v>1</v>
      </c>
      <c r="G1229" s="39">
        <v>1.6</v>
      </c>
      <c r="H1229" s="39">
        <v>1.6</v>
      </c>
      <c r="I1229" s="39">
        <v>0.5</v>
      </c>
      <c r="U1229" s="6"/>
      <c r="V1229" s="6"/>
      <c r="AF1229">
        <v>801</v>
      </c>
      <c r="AG1229" t="s">
        <v>116</v>
      </c>
      <c r="AK1229" s="10">
        <v>0</v>
      </c>
    </row>
    <row r="1230" spans="1:37">
      <c r="A1230">
        <v>80004</v>
      </c>
      <c r="B1230" s="287" t="s">
        <v>1307</v>
      </c>
      <c r="C1230" s="287" t="s">
        <v>2628</v>
      </c>
      <c r="D1230">
        <v>0</v>
      </c>
      <c r="F1230">
        <v>1</v>
      </c>
      <c r="G1230" s="39">
        <v>1.6</v>
      </c>
      <c r="H1230" s="39">
        <v>1.6</v>
      </c>
      <c r="I1230" s="39">
        <v>0.5</v>
      </c>
      <c r="U1230" s="6"/>
      <c r="V1230" s="6"/>
      <c r="AF1230">
        <v>801</v>
      </c>
      <c r="AG1230" t="s">
        <v>116</v>
      </c>
      <c r="AK1230" s="10">
        <v>0</v>
      </c>
    </row>
    <row r="1231" spans="1:37">
      <c r="A1231">
        <v>80005</v>
      </c>
      <c r="B1231" s="287" t="s">
        <v>1197</v>
      </c>
      <c r="C1231" s="287" t="s">
        <v>2629</v>
      </c>
      <c r="D1231">
        <v>0</v>
      </c>
      <c r="F1231">
        <v>1</v>
      </c>
      <c r="G1231">
        <v>1.8</v>
      </c>
      <c r="H1231">
        <v>1.8</v>
      </c>
      <c r="I1231">
        <v>0.28</v>
      </c>
      <c r="U1231" s="6"/>
      <c r="V1231" s="6"/>
      <c r="AF1231">
        <v>801</v>
      </c>
      <c r="AG1231" t="s">
        <v>116</v>
      </c>
      <c r="AK1231" s="10">
        <v>0</v>
      </c>
    </row>
    <row r="1232" spans="1:37">
      <c r="A1232">
        <v>80006</v>
      </c>
      <c r="B1232" s="287" t="s">
        <v>1303</v>
      </c>
      <c r="C1232" s="287" t="s">
        <v>2630</v>
      </c>
      <c r="D1232">
        <v>0</v>
      </c>
      <c r="F1232">
        <v>1</v>
      </c>
      <c r="G1232" s="39">
        <v>1.6</v>
      </c>
      <c r="H1232" s="39">
        <v>1.6</v>
      </c>
      <c r="I1232" s="39">
        <v>0.5</v>
      </c>
      <c r="U1232" s="6"/>
      <c r="V1232" s="6"/>
      <c r="AF1232">
        <v>801</v>
      </c>
      <c r="AG1232" t="s">
        <v>116</v>
      </c>
      <c r="AK1232" s="10">
        <v>0</v>
      </c>
    </row>
    <row r="1233" spans="1:37">
      <c r="A1233">
        <v>80007</v>
      </c>
      <c r="B1233" s="287" t="s">
        <v>1315</v>
      </c>
      <c r="C1233" s="287" t="s">
        <v>1316</v>
      </c>
      <c r="D1233">
        <v>0</v>
      </c>
      <c r="F1233">
        <v>1</v>
      </c>
      <c r="G1233">
        <v>1.7</v>
      </c>
      <c r="H1233">
        <v>1.7</v>
      </c>
      <c r="I1233">
        <v>0.5</v>
      </c>
      <c r="U1233" s="6"/>
      <c r="V1233" s="6"/>
      <c r="AF1233">
        <v>801</v>
      </c>
      <c r="AG1233" t="s">
        <v>116</v>
      </c>
      <c r="AK1233">
        <v>0</v>
      </c>
    </row>
    <row r="1234" spans="1:37">
      <c r="A1234">
        <v>80008</v>
      </c>
      <c r="B1234" s="287" t="s">
        <v>1305</v>
      </c>
      <c r="C1234" s="287" t="s">
        <v>2631</v>
      </c>
      <c r="D1234">
        <v>0</v>
      </c>
      <c r="F1234">
        <v>1</v>
      </c>
      <c r="G1234" s="39">
        <v>1.6</v>
      </c>
      <c r="H1234" s="39">
        <v>1.6</v>
      </c>
      <c r="I1234" s="39">
        <v>0.5</v>
      </c>
      <c r="U1234" s="6"/>
      <c r="V1234" s="6"/>
      <c r="AF1234">
        <v>801</v>
      </c>
      <c r="AG1234" t="s">
        <v>116</v>
      </c>
      <c r="AK1234" s="10">
        <v>0</v>
      </c>
    </row>
    <row r="1235" spans="1:37">
      <c r="A1235">
        <v>80009</v>
      </c>
      <c r="B1235" s="287" t="s">
        <v>1301</v>
      </c>
      <c r="C1235" s="287" t="s">
        <v>2632</v>
      </c>
      <c r="D1235">
        <v>0</v>
      </c>
      <c r="F1235">
        <v>1</v>
      </c>
      <c r="G1235" s="39">
        <v>1.6</v>
      </c>
      <c r="H1235" s="39">
        <v>1.6</v>
      </c>
      <c r="I1235" s="39">
        <v>0.5</v>
      </c>
      <c r="U1235" s="6"/>
      <c r="V1235" s="6"/>
      <c r="AF1235">
        <v>801</v>
      </c>
      <c r="AG1235" t="s">
        <v>116</v>
      </c>
      <c r="AK1235" s="10">
        <v>0</v>
      </c>
    </row>
    <row r="1236" spans="1:37">
      <c r="A1236">
        <v>80010</v>
      </c>
      <c r="B1236" s="287" t="s">
        <v>1367</v>
      </c>
      <c r="C1236" s="287" t="s">
        <v>2633</v>
      </c>
      <c r="D1236">
        <v>0</v>
      </c>
      <c r="F1236">
        <v>1</v>
      </c>
      <c r="G1236" s="39">
        <v>1.6</v>
      </c>
      <c r="H1236" s="39">
        <v>1.6</v>
      </c>
      <c r="I1236" s="39">
        <v>0.5</v>
      </c>
      <c r="P1236" s="6"/>
      <c r="Q1236" s="6"/>
      <c r="R1236" s="6"/>
      <c r="S1236" s="6"/>
      <c r="U1236" s="6"/>
      <c r="AK1236" s="10">
        <v>0</v>
      </c>
    </row>
    <row r="1237" spans="1:37">
      <c r="A1237">
        <v>80011</v>
      </c>
      <c r="B1237" s="287" t="s">
        <v>1285</v>
      </c>
      <c r="C1237" s="287" t="s">
        <v>2634</v>
      </c>
      <c r="D1237">
        <v>0</v>
      </c>
      <c r="F1237">
        <v>1</v>
      </c>
      <c r="G1237" s="39">
        <v>1.6</v>
      </c>
      <c r="H1237" s="39">
        <v>1.6</v>
      </c>
      <c r="I1237" s="39">
        <v>0.5</v>
      </c>
      <c r="U1237" s="6"/>
      <c r="V1237" s="6"/>
      <c r="AF1237">
        <v>801</v>
      </c>
      <c r="AG1237" t="s">
        <v>116</v>
      </c>
      <c r="AK1237" s="10">
        <v>0</v>
      </c>
    </row>
    <row r="1238" spans="1:37">
      <c r="A1238">
        <v>80012</v>
      </c>
      <c r="B1238" s="287" t="s">
        <v>1242</v>
      </c>
      <c r="C1238" s="287" t="s">
        <v>2635</v>
      </c>
      <c r="D1238">
        <v>0</v>
      </c>
      <c r="F1238">
        <v>1</v>
      </c>
      <c r="G1238" s="39">
        <v>1.6</v>
      </c>
      <c r="H1238" s="39">
        <v>1.6</v>
      </c>
      <c r="I1238" s="39">
        <v>0.5</v>
      </c>
      <c r="U1238" s="6"/>
      <c r="V1238" s="6"/>
      <c r="AF1238">
        <v>801</v>
      </c>
      <c r="AG1238" t="s">
        <v>116</v>
      </c>
      <c r="AK1238" s="10">
        <v>0</v>
      </c>
    </row>
    <row r="1239" spans="1:37">
      <c r="A1239">
        <v>80013</v>
      </c>
      <c r="B1239" s="287" t="s">
        <v>1254</v>
      </c>
      <c r="C1239" s="287" t="s">
        <v>2636</v>
      </c>
      <c r="D1239">
        <v>0</v>
      </c>
      <c r="F1239">
        <v>1</v>
      </c>
      <c r="G1239" s="39">
        <v>1.6</v>
      </c>
      <c r="H1239" s="39">
        <v>1.6</v>
      </c>
      <c r="I1239" s="39">
        <v>0.5</v>
      </c>
      <c r="U1239" s="6"/>
      <c r="V1239" s="6"/>
      <c r="AF1239">
        <v>801</v>
      </c>
      <c r="AG1239" t="s">
        <v>116</v>
      </c>
      <c r="AK1239" s="10">
        <v>0</v>
      </c>
    </row>
    <row r="1240" spans="1:37">
      <c r="A1240">
        <v>80014</v>
      </c>
      <c r="B1240" s="287" t="s">
        <v>1297</v>
      </c>
      <c r="C1240" s="287" t="s">
        <v>2637</v>
      </c>
      <c r="D1240">
        <v>0</v>
      </c>
      <c r="F1240">
        <v>1</v>
      </c>
      <c r="G1240" s="39">
        <v>1.6</v>
      </c>
      <c r="H1240" s="39">
        <v>1.6</v>
      </c>
      <c r="I1240" s="39">
        <v>0.5</v>
      </c>
      <c r="U1240" s="6"/>
      <c r="V1240" s="6"/>
      <c r="AF1240">
        <v>801</v>
      </c>
      <c r="AG1240" t="s">
        <v>116</v>
      </c>
      <c r="AK1240" s="10">
        <v>0</v>
      </c>
    </row>
    <row r="1241" spans="1:42">
      <c r="A1241">
        <v>80015</v>
      </c>
      <c r="B1241" s="10" t="s">
        <v>2638</v>
      </c>
      <c r="C1241" s="280" t="s">
        <v>2639</v>
      </c>
      <c r="D1241">
        <v>0</v>
      </c>
      <c r="F1241">
        <v>1</v>
      </c>
      <c r="G1241">
        <v>1.7</v>
      </c>
      <c r="H1241">
        <v>1.7</v>
      </c>
      <c r="I1241">
        <v>0.5</v>
      </c>
      <c r="L1241" s="43"/>
      <c r="M1241" s="43"/>
      <c r="O1241" s="43"/>
      <c r="P1241" s="43"/>
      <c r="Q1241" s="43"/>
      <c r="S1241" s="43"/>
      <c r="T1241" s="9"/>
      <c r="U1241" s="6"/>
      <c r="V1241" s="9"/>
      <c r="W1241" s="9"/>
      <c r="AD1241" s="52"/>
      <c r="AE1241" s="52"/>
      <c r="AP1241">
        <v>2</v>
      </c>
    </row>
    <row r="1242" spans="1:42">
      <c r="A1242">
        <v>80016</v>
      </c>
      <c r="B1242" s="10" t="s">
        <v>2640</v>
      </c>
      <c r="C1242" s="280" t="s">
        <v>2641</v>
      </c>
      <c r="D1242">
        <v>0</v>
      </c>
      <c r="F1242">
        <v>1</v>
      </c>
      <c r="G1242">
        <v>1.7</v>
      </c>
      <c r="H1242">
        <v>1.7</v>
      </c>
      <c r="I1242">
        <v>0.5</v>
      </c>
      <c r="L1242" s="43"/>
      <c r="M1242" s="43"/>
      <c r="O1242" s="43"/>
      <c r="P1242" s="43"/>
      <c r="Q1242" s="43"/>
      <c r="S1242" s="43"/>
      <c r="T1242" s="9"/>
      <c r="U1242" s="6"/>
      <c r="V1242" s="9"/>
      <c r="W1242" s="9"/>
      <c r="AD1242" s="52"/>
      <c r="AE1242" s="52"/>
      <c r="AP1242">
        <v>2</v>
      </c>
    </row>
    <row r="1243" spans="1:42">
      <c r="A1243">
        <v>80017</v>
      </c>
      <c r="B1243" s="10" t="s">
        <v>2642</v>
      </c>
      <c r="C1243" s="280" t="s">
        <v>2643</v>
      </c>
      <c r="D1243">
        <v>0</v>
      </c>
      <c r="F1243">
        <v>1</v>
      </c>
      <c r="G1243">
        <v>1.7</v>
      </c>
      <c r="H1243">
        <v>1.7</v>
      </c>
      <c r="I1243">
        <v>0.5</v>
      </c>
      <c r="L1243" s="43"/>
      <c r="M1243" s="43"/>
      <c r="O1243" s="43"/>
      <c r="P1243" s="43"/>
      <c r="Q1243" s="43"/>
      <c r="S1243" s="43"/>
      <c r="T1243" s="9"/>
      <c r="U1243" s="6"/>
      <c r="V1243" s="9"/>
      <c r="W1243" s="9"/>
      <c r="AD1243" s="52"/>
      <c r="AE1243" s="52"/>
      <c r="AP1243">
        <v>2</v>
      </c>
    </row>
    <row r="1244" spans="1:42">
      <c r="A1244">
        <v>80018</v>
      </c>
      <c r="B1244" s="10" t="s">
        <v>2644</v>
      </c>
      <c r="C1244" s="280" t="s">
        <v>2645</v>
      </c>
      <c r="D1244">
        <v>0</v>
      </c>
      <c r="F1244">
        <v>1</v>
      </c>
      <c r="G1244">
        <v>1.7</v>
      </c>
      <c r="H1244">
        <v>1.7</v>
      </c>
      <c r="I1244">
        <v>0.5</v>
      </c>
      <c r="L1244" s="43"/>
      <c r="M1244" s="43"/>
      <c r="O1244" s="43"/>
      <c r="P1244" s="43"/>
      <c r="Q1244" s="43"/>
      <c r="S1244" s="43"/>
      <c r="T1244" s="9"/>
      <c r="U1244" s="6"/>
      <c r="V1244" s="9"/>
      <c r="W1244" s="9"/>
      <c r="AD1244" s="52"/>
      <c r="AE1244" s="52"/>
      <c r="AP1244">
        <v>2</v>
      </c>
    </row>
    <row r="1245" spans="1:42">
      <c r="A1245">
        <v>80019</v>
      </c>
      <c r="B1245" s="10" t="s">
        <v>2646</v>
      </c>
      <c r="C1245" s="280" t="s">
        <v>2647</v>
      </c>
      <c r="D1245">
        <v>0</v>
      </c>
      <c r="F1245">
        <v>1</v>
      </c>
      <c r="G1245">
        <v>1.7</v>
      </c>
      <c r="H1245">
        <v>1.7</v>
      </c>
      <c r="I1245">
        <v>0.5</v>
      </c>
      <c r="L1245" s="43"/>
      <c r="M1245" s="43"/>
      <c r="O1245" s="43"/>
      <c r="P1245" s="43"/>
      <c r="Q1245" s="43"/>
      <c r="S1245" s="43"/>
      <c r="T1245" s="9"/>
      <c r="U1245" s="6"/>
      <c r="V1245" s="9"/>
      <c r="W1245" s="9"/>
      <c r="AD1245" s="52"/>
      <c r="AE1245" s="52"/>
      <c r="AP1245">
        <v>2</v>
      </c>
    </row>
    <row r="1246" spans="1:37">
      <c r="A1246">
        <v>110001</v>
      </c>
      <c r="B1246" t="s">
        <v>2648</v>
      </c>
      <c r="C1246" t="s">
        <v>2649</v>
      </c>
      <c r="D1246">
        <v>0</v>
      </c>
      <c r="F1246">
        <v>0.5</v>
      </c>
      <c r="G1246">
        <v>9</v>
      </c>
      <c r="H1246">
        <v>1</v>
      </c>
      <c r="I1246">
        <v>1</v>
      </c>
      <c r="U1246" s="6"/>
      <c r="V1246" s="6"/>
      <c r="AK1246">
        <v>0</v>
      </c>
    </row>
    <row r="1247" spans="1:42">
      <c r="A1247">
        <v>80020</v>
      </c>
      <c r="B1247" t="s">
        <v>2650</v>
      </c>
      <c r="C1247" s="288" t="s">
        <v>2651</v>
      </c>
      <c r="D1247">
        <v>0</v>
      </c>
      <c r="F1247">
        <v>1</v>
      </c>
      <c r="G1247">
        <v>1.7</v>
      </c>
      <c r="H1247">
        <v>1.7</v>
      </c>
      <c r="I1247">
        <v>0.5</v>
      </c>
      <c r="L1247" s="43"/>
      <c r="M1247" s="43"/>
      <c r="O1247" s="43"/>
      <c r="P1247" s="43"/>
      <c r="Q1247" s="43"/>
      <c r="S1247" s="43"/>
      <c r="T1247" s="9"/>
      <c r="U1247" s="6"/>
      <c r="V1247" s="9"/>
      <c r="W1247" s="9"/>
      <c r="AD1247" s="52"/>
      <c r="AE1247" s="52"/>
      <c r="AP1247">
        <v>2</v>
      </c>
    </row>
    <row r="1248" spans="1:42">
      <c r="A1248">
        <v>80021</v>
      </c>
      <c r="B1248" t="s">
        <v>2652</v>
      </c>
      <c r="C1248" s="288" t="s">
        <v>2653</v>
      </c>
      <c r="D1248">
        <v>0</v>
      </c>
      <c r="F1248">
        <v>1</v>
      </c>
      <c r="G1248">
        <v>1.7</v>
      </c>
      <c r="H1248">
        <v>1.7</v>
      </c>
      <c r="I1248">
        <v>0.5</v>
      </c>
      <c r="L1248" s="43"/>
      <c r="M1248" s="43"/>
      <c r="O1248" s="43"/>
      <c r="P1248" s="43"/>
      <c r="Q1248" s="43"/>
      <c r="S1248" s="43"/>
      <c r="T1248" s="9"/>
      <c r="U1248" s="6"/>
      <c r="V1248" s="9"/>
      <c r="W1248" s="9"/>
      <c r="AD1248" s="52"/>
      <c r="AE1248" s="52"/>
      <c r="AP1248">
        <v>2</v>
      </c>
    </row>
    <row r="1249" spans="1:42">
      <c r="A1249">
        <v>80022</v>
      </c>
      <c r="B1249" t="s">
        <v>2638</v>
      </c>
      <c r="C1249" t="s">
        <v>2654</v>
      </c>
      <c r="D1249">
        <v>0</v>
      </c>
      <c r="F1249">
        <v>1</v>
      </c>
      <c r="G1249">
        <v>1.7</v>
      </c>
      <c r="H1249">
        <v>1.7</v>
      </c>
      <c r="I1249">
        <v>0.5</v>
      </c>
      <c r="L1249" s="43"/>
      <c r="M1249" s="43"/>
      <c r="O1249" s="43"/>
      <c r="P1249" s="43"/>
      <c r="Q1249" s="43"/>
      <c r="S1249" s="43"/>
      <c r="T1249" s="9"/>
      <c r="U1249" s="6"/>
      <c r="V1249" s="9"/>
      <c r="W1249" s="9"/>
      <c r="AD1249" s="52"/>
      <c r="AE1249" s="52"/>
      <c r="AP1249">
        <v>2</v>
      </c>
    </row>
    <row r="1250" spans="1:42">
      <c r="A1250">
        <v>80023</v>
      </c>
      <c r="B1250" t="s">
        <v>2655</v>
      </c>
      <c r="C1250" s="288" t="s">
        <v>2656</v>
      </c>
      <c r="D1250">
        <v>0</v>
      </c>
      <c r="F1250">
        <v>1</v>
      </c>
      <c r="G1250">
        <v>1.7</v>
      </c>
      <c r="H1250">
        <v>1.7</v>
      </c>
      <c r="I1250">
        <v>0.5</v>
      </c>
      <c r="L1250" s="43"/>
      <c r="M1250" s="43"/>
      <c r="O1250" s="43"/>
      <c r="P1250" s="43"/>
      <c r="Q1250" s="43"/>
      <c r="S1250" s="43"/>
      <c r="T1250" s="9"/>
      <c r="U1250" s="6"/>
      <c r="V1250" s="9"/>
      <c r="W1250" s="9"/>
      <c r="AD1250" s="52"/>
      <c r="AE1250" s="52"/>
      <c r="AP1250">
        <v>2</v>
      </c>
    </row>
    <row r="1251" spans="1:9">
      <c r="A1251">
        <v>6128</v>
      </c>
      <c r="B1251" t="s">
        <v>1595</v>
      </c>
      <c r="C1251" t="s">
        <v>2657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</row>
    <row r="1273" spans="31:31">
      <c r="AE1273" t="s">
        <v>548</v>
      </c>
    </row>
  </sheetData>
  <autoFilter xmlns:etc="http://www.wps.cn/officeDocument/2017/etCustomData" ref="A6:XFD1251" etc:filterBottomFollowUsedRange="0">
    <extLst/>
  </autoFilter>
  <conditionalFormatting sqref="A78">
    <cfRule type="duplicateValues" dxfId="0" priority="202"/>
  </conditionalFormatting>
  <conditionalFormatting sqref="B78">
    <cfRule type="duplicateValues" dxfId="0" priority="201"/>
  </conditionalFormatting>
  <conditionalFormatting sqref="A80">
    <cfRule type="duplicateValues" dxfId="0" priority="221"/>
  </conditionalFormatting>
  <conditionalFormatting sqref="B80">
    <cfRule type="duplicateValues" dxfId="0" priority="220"/>
  </conditionalFormatting>
  <conditionalFormatting sqref="A81">
    <cfRule type="duplicateValues" dxfId="0" priority="194"/>
  </conditionalFormatting>
  <conditionalFormatting sqref="B81">
    <cfRule type="duplicateValues" dxfId="0" priority="193"/>
  </conditionalFormatting>
  <conditionalFormatting sqref="A89">
    <cfRule type="duplicateValues" dxfId="0" priority="182"/>
  </conditionalFormatting>
  <conditionalFormatting sqref="B89">
    <cfRule type="duplicateValues" dxfId="0" priority="181"/>
  </conditionalFormatting>
  <conditionalFormatting sqref="A93">
    <cfRule type="duplicateValues" dxfId="0" priority="165"/>
  </conditionalFormatting>
  <conditionalFormatting sqref="B93">
    <cfRule type="duplicateValues" dxfId="0" priority="164"/>
  </conditionalFormatting>
  <conditionalFormatting sqref="A137">
    <cfRule type="duplicateValues" dxfId="0" priority="104"/>
  </conditionalFormatting>
  <conditionalFormatting sqref="B137">
    <cfRule type="duplicateValues" dxfId="0" priority="103"/>
  </conditionalFormatting>
  <conditionalFormatting sqref="A143">
    <cfRule type="duplicateValues" dxfId="0" priority="76"/>
  </conditionalFormatting>
  <conditionalFormatting sqref="B143">
    <cfRule type="duplicateValues" dxfId="0" priority="75"/>
  </conditionalFormatting>
  <conditionalFormatting sqref="B150">
    <cfRule type="duplicateValues" dxfId="0" priority="60"/>
  </conditionalFormatting>
  <conditionalFormatting sqref="B151">
    <cfRule type="duplicateValues" dxfId="0" priority="58"/>
  </conditionalFormatting>
  <conditionalFormatting sqref="B154">
    <cfRule type="duplicateValues" dxfId="0" priority="43"/>
  </conditionalFormatting>
  <conditionalFormatting sqref="A155">
    <cfRule type="duplicateValues" dxfId="0" priority="35"/>
  </conditionalFormatting>
  <conditionalFormatting sqref="B155">
    <cfRule type="duplicateValues" dxfId="0" priority="34"/>
  </conditionalFormatting>
  <conditionalFormatting sqref="A156">
    <cfRule type="duplicateValues" dxfId="0" priority="27"/>
  </conditionalFormatting>
  <conditionalFormatting sqref="B156">
    <cfRule type="duplicateValues" dxfId="0" priority="26"/>
  </conditionalFormatting>
  <conditionalFormatting sqref="A162">
    <cfRule type="duplicateValues" dxfId="0" priority="4"/>
  </conditionalFormatting>
  <conditionalFormatting sqref="B162">
    <cfRule type="duplicateValues" dxfId="0" priority="3"/>
  </conditionalFormatting>
  <conditionalFormatting sqref="B247">
    <cfRule type="duplicateValues" dxfId="0" priority="277"/>
  </conditionalFormatting>
  <conditionalFormatting sqref="B281">
    <cfRule type="duplicateValues" dxfId="0" priority="281"/>
  </conditionalFormatting>
  <conditionalFormatting sqref="B282">
    <cfRule type="duplicateValues" dxfId="0" priority="280"/>
  </conditionalFormatting>
  <conditionalFormatting sqref="B283">
    <cfRule type="duplicateValues" dxfId="0" priority="279"/>
  </conditionalFormatting>
  <conditionalFormatting sqref="B289">
    <cfRule type="duplicateValues" dxfId="0" priority="275"/>
  </conditionalFormatting>
  <conditionalFormatting sqref="A345">
    <cfRule type="duplicateValues" dxfId="0" priority="229"/>
  </conditionalFormatting>
  <conditionalFormatting sqref="A364">
    <cfRule type="duplicateValues" dxfId="0" priority="190"/>
  </conditionalFormatting>
  <conditionalFormatting sqref="A377">
    <cfRule type="duplicateValues" dxfId="0" priority="178"/>
  </conditionalFormatting>
  <conditionalFormatting sqref="A446">
    <cfRule type="duplicateValues" dxfId="0" priority="307"/>
    <cfRule type="duplicateValues" dxfId="0" priority="308"/>
  </conditionalFormatting>
  <conditionalFormatting sqref="B446">
    <cfRule type="duplicateValues" dxfId="0" priority="309"/>
  </conditionalFormatting>
  <conditionalFormatting sqref="A447">
    <cfRule type="duplicateValues" dxfId="0" priority="310"/>
    <cfRule type="duplicateValues" dxfId="0" priority="311"/>
  </conditionalFormatting>
  <conditionalFormatting sqref="B447">
    <cfRule type="duplicateValues" dxfId="0" priority="312"/>
  </conditionalFormatting>
  <conditionalFormatting sqref="A448">
    <cfRule type="duplicateValues" dxfId="0" priority="313"/>
    <cfRule type="duplicateValues" dxfId="0" priority="314"/>
  </conditionalFormatting>
  <conditionalFormatting sqref="B448">
    <cfRule type="duplicateValues" dxfId="0" priority="315"/>
  </conditionalFormatting>
  <conditionalFormatting sqref="A491">
    <cfRule type="duplicateValues" dxfId="0" priority="141"/>
  </conditionalFormatting>
  <conditionalFormatting sqref="B491">
    <cfRule type="duplicateValues" dxfId="0" priority="142"/>
  </conditionalFormatting>
  <conditionalFormatting sqref="B551">
    <cfRule type="duplicateValues" dxfId="0" priority="285"/>
  </conditionalFormatting>
  <conditionalFormatting sqref="B552">
    <cfRule type="duplicateValues" dxfId="0" priority="284"/>
  </conditionalFormatting>
  <conditionalFormatting sqref="B586">
    <cfRule type="duplicateValues" dxfId="0" priority="272"/>
  </conditionalFormatting>
  <conditionalFormatting sqref="B589">
    <cfRule type="duplicateValues" dxfId="0" priority="271"/>
  </conditionalFormatting>
  <conditionalFormatting sqref="B609">
    <cfRule type="duplicateValues" dxfId="0" priority="255"/>
  </conditionalFormatting>
  <conditionalFormatting sqref="B629">
    <cfRule type="duplicateValues" dxfId="0" priority="243"/>
  </conditionalFormatting>
  <conditionalFormatting sqref="A647">
    <cfRule type="duplicateValues" dxfId="0" priority="232"/>
  </conditionalFormatting>
  <conditionalFormatting sqref="A650">
    <cfRule type="duplicateValues" dxfId="0" priority="230"/>
  </conditionalFormatting>
  <conditionalFormatting sqref="B680">
    <cfRule type="duplicateValues" dxfId="0" priority="218"/>
  </conditionalFormatting>
  <conditionalFormatting sqref="B681">
    <cfRule type="duplicateValues" dxfId="0" priority="217"/>
  </conditionalFormatting>
  <conditionalFormatting sqref="B682">
    <cfRule type="duplicateValues" dxfId="0" priority="216"/>
  </conditionalFormatting>
  <conditionalFormatting sqref="B683">
    <cfRule type="duplicateValues" dxfId="0" priority="215"/>
  </conditionalFormatting>
  <conditionalFormatting sqref="B686">
    <cfRule type="duplicateValues" dxfId="0" priority="214"/>
  </conditionalFormatting>
  <conditionalFormatting sqref="B687">
    <cfRule type="duplicateValues" dxfId="0" priority="213"/>
  </conditionalFormatting>
  <conditionalFormatting sqref="B688">
    <cfRule type="duplicateValues" dxfId="0" priority="212"/>
  </conditionalFormatting>
  <conditionalFormatting sqref="B689">
    <cfRule type="duplicateValues" dxfId="0" priority="211"/>
  </conditionalFormatting>
  <conditionalFormatting sqref="B690">
    <cfRule type="duplicateValues" dxfId="0" priority="210"/>
  </conditionalFormatting>
  <conditionalFormatting sqref="B691">
    <cfRule type="duplicateValues" dxfId="0" priority="208"/>
  </conditionalFormatting>
  <conditionalFormatting sqref="C694">
    <cfRule type="duplicateValues" dxfId="0" priority="305"/>
  </conditionalFormatting>
  <conditionalFormatting sqref="A696">
    <cfRule type="duplicateValues" dxfId="0" priority="207"/>
  </conditionalFormatting>
  <conditionalFormatting sqref="A699">
    <cfRule type="duplicateValues" dxfId="0" priority="203"/>
  </conditionalFormatting>
  <conditionalFormatting sqref="A791">
    <cfRule type="duplicateValues" dxfId="0" priority="145"/>
    <cfRule type="duplicateValues" dxfId="0" priority="320"/>
  </conditionalFormatting>
  <conditionalFormatting sqref="B791">
    <cfRule type="duplicateValues" dxfId="0" priority="292"/>
  </conditionalFormatting>
  <conditionalFormatting sqref="A792">
    <cfRule type="duplicateValues" dxfId="0" priority="321"/>
    <cfRule type="duplicateValues" dxfId="0" priority="322"/>
  </conditionalFormatting>
  <conditionalFormatting sqref="B792">
    <cfRule type="duplicateValues" dxfId="0" priority="323"/>
  </conditionalFormatting>
  <conditionalFormatting sqref="A793">
    <cfRule type="duplicateValues" dxfId="0" priority="324"/>
    <cfRule type="duplicateValues" dxfId="0" priority="325"/>
  </conditionalFormatting>
  <conditionalFormatting sqref="B793">
    <cfRule type="duplicateValues" dxfId="0" priority="326"/>
  </conditionalFormatting>
  <conditionalFormatting sqref="A794">
    <cfRule type="duplicateValues" dxfId="0" priority="327"/>
    <cfRule type="duplicateValues" dxfId="0" priority="328"/>
  </conditionalFormatting>
  <conditionalFormatting sqref="B794">
    <cfRule type="duplicateValues" dxfId="0" priority="329"/>
  </conditionalFormatting>
  <conditionalFormatting sqref="A795">
    <cfRule type="duplicateValues" dxfId="0" priority="332"/>
    <cfRule type="duplicateValues" dxfId="0" priority="333"/>
  </conditionalFormatting>
  <conditionalFormatting sqref="B795">
    <cfRule type="duplicateValues" dxfId="0" priority="334"/>
  </conditionalFormatting>
  <conditionalFormatting sqref="B798">
    <cfRule type="duplicateValues" dxfId="0" priority="116"/>
    <cfRule type="duplicateValues" dxfId="0" priority="119"/>
  </conditionalFormatting>
  <conditionalFormatting sqref="B799">
    <cfRule type="duplicateValues" dxfId="0" priority="111"/>
    <cfRule type="duplicateValues" dxfId="0" priority="114"/>
  </conditionalFormatting>
  <conditionalFormatting sqref="B839">
    <cfRule type="duplicateValues" dxfId="0" priority="288"/>
  </conditionalFormatting>
  <conditionalFormatting sqref="B858">
    <cfRule type="duplicateValues" dxfId="0" priority="290"/>
  </conditionalFormatting>
  <conditionalFormatting sqref="B859">
    <cfRule type="duplicateValues" dxfId="0" priority="289"/>
  </conditionalFormatting>
  <conditionalFormatting sqref="B860">
    <cfRule type="duplicateValues" dxfId="0" priority="287"/>
  </conditionalFormatting>
  <conditionalFormatting sqref="B862">
    <cfRule type="duplicateValues" dxfId="0" priority="268"/>
  </conditionalFormatting>
  <conditionalFormatting sqref="B880">
    <cfRule type="duplicateValues" dxfId="0" priority="274"/>
  </conditionalFormatting>
  <conditionalFormatting sqref="B881">
    <cfRule type="duplicateValues" dxfId="0" priority="269"/>
  </conditionalFormatting>
  <conditionalFormatting sqref="B885">
    <cfRule type="duplicateValues" dxfId="0" priority="219"/>
  </conditionalFormatting>
  <conditionalFormatting sqref="A895">
    <cfRule type="duplicateValues" dxfId="0" priority="199"/>
  </conditionalFormatting>
  <conditionalFormatting sqref="B895">
    <cfRule type="duplicateValues" dxfId="0" priority="200"/>
  </conditionalFormatting>
  <conditionalFormatting sqref="A897">
    <cfRule type="duplicateValues" dxfId="0" priority="226"/>
  </conditionalFormatting>
  <conditionalFormatting sqref="A931">
    <cfRule type="duplicateValues" dxfId="0" priority="179"/>
  </conditionalFormatting>
  <conditionalFormatting sqref="B931">
    <cfRule type="duplicateValues" dxfId="0" priority="180"/>
  </conditionalFormatting>
  <conditionalFormatting sqref="A932">
    <cfRule type="duplicateValues" dxfId="0" priority="176"/>
  </conditionalFormatting>
  <conditionalFormatting sqref="B932">
    <cfRule type="duplicateValues" dxfId="0" priority="177"/>
  </conditionalFormatting>
  <conditionalFormatting sqref="AY933:AZ933">
    <cfRule type="duplicateValues" dxfId="0" priority="99"/>
  </conditionalFormatting>
  <conditionalFormatting sqref="AY934:AZ934">
    <cfRule type="duplicateValues" dxfId="0" priority="98"/>
  </conditionalFormatting>
  <conditionalFormatting sqref="A935">
    <cfRule type="duplicateValues" dxfId="0" priority="171"/>
  </conditionalFormatting>
  <conditionalFormatting sqref="B935">
    <cfRule type="duplicateValues" dxfId="0" priority="167"/>
  </conditionalFormatting>
  <conditionalFormatting sqref="C935">
    <cfRule type="duplicateValues" dxfId="0" priority="169"/>
  </conditionalFormatting>
  <conditionalFormatting sqref="B938">
    <cfRule type="duplicateValues" dxfId="0" priority="161"/>
  </conditionalFormatting>
  <conditionalFormatting sqref="B939">
    <cfRule type="duplicateValues" dxfId="0" priority="160"/>
  </conditionalFormatting>
  <conditionalFormatting sqref="B940">
    <cfRule type="duplicateValues" dxfId="0" priority="159"/>
  </conditionalFormatting>
  <conditionalFormatting sqref="B941">
    <cfRule type="duplicateValues" dxfId="0" priority="158"/>
  </conditionalFormatting>
  <conditionalFormatting sqref="A947">
    <cfRule type="duplicateValues" dxfId="0" priority="155"/>
  </conditionalFormatting>
  <conditionalFormatting sqref="B985">
    <cfRule type="duplicateValues" dxfId="0" priority="86"/>
  </conditionalFormatting>
  <conditionalFormatting sqref="B986">
    <cfRule type="duplicateValues" dxfId="0" priority="84"/>
  </conditionalFormatting>
  <conditionalFormatting sqref="A987">
    <cfRule type="duplicateValues" dxfId="0" priority="80"/>
  </conditionalFormatting>
  <conditionalFormatting sqref="B987">
    <cfRule type="duplicateValues" dxfId="0" priority="79"/>
  </conditionalFormatting>
  <conditionalFormatting sqref="A988">
    <cfRule type="duplicateValues" dxfId="0" priority="78"/>
  </conditionalFormatting>
  <conditionalFormatting sqref="B988">
    <cfRule type="duplicateValues" dxfId="0" priority="77"/>
  </conditionalFormatting>
  <conditionalFormatting sqref="A989">
    <cfRule type="duplicateValues" dxfId="0" priority="74"/>
  </conditionalFormatting>
  <conditionalFormatting sqref="B989">
    <cfRule type="duplicateValues" dxfId="0" priority="73"/>
  </conditionalFormatting>
  <conditionalFormatting sqref="A992">
    <cfRule type="duplicateValues" dxfId="0" priority="67"/>
  </conditionalFormatting>
  <conditionalFormatting sqref="B992">
    <cfRule type="duplicateValues" dxfId="0" priority="66"/>
  </conditionalFormatting>
  <conditionalFormatting sqref="A993">
    <cfRule type="duplicateValues" dxfId="0" priority="65"/>
  </conditionalFormatting>
  <conditionalFormatting sqref="B993">
    <cfRule type="duplicateValues" dxfId="0" priority="64"/>
  </conditionalFormatting>
  <conditionalFormatting sqref="A994">
    <cfRule type="duplicateValues" dxfId="0" priority="63"/>
  </conditionalFormatting>
  <conditionalFormatting sqref="B994">
    <cfRule type="duplicateValues" dxfId="0" priority="62"/>
  </conditionalFormatting>
  <conditionalFormatting sqref="A995">
    <cfRule type="duplicateValues" dxfId="0" priority="51"/>
  </conditionalFormatting>
  <conditionalFormatting sqref="B995">
    <cfRule type="duplicateValues" dxfId="0" priority="50"/>
  </conditionalFormatting>
  <conditionalFormatting sqref="A996">
    <cfRule type="duplicateValues" dxfId="0" priority="45"/>
  </conditionalFormatting>
  <conditionalFormatting sqref="A997">
    <cfRule type="duplicateValues" dxfId="0" priority="44"/>
  </conditionalFormatting>
  <conditionalFormatting sqref="B998">
    <cfRule type="duplicateValues" dxfId="0" priority="40"/>
  </conditionalFormatting>
  <conditionalFormatting sqref="B999">
    <cfRule type="duplicateValues" dxfId="0" priority="38"/>
  </conditionalFormatting>
  <conditionalFormatting sqref="B1000">
    <cfRule type="duplicateValues" dxfId="0" priority="36"/>
  </conditionalFormatting>
  <conditionalFormatting sqref="A1001">
    <cfRule type="duplicateValues" dxfId="0" priority="33"/>
  </conditionalFormatting>
  <conditionalFormatting sqref="B1001">
    <cfRule type="duplicateValues" dxfId="0" priority="32"/>
  </conditionalFormatting>
  <conditionalFormatting sqref="A1002">
    <cfRule type="duplicateValues" dxfId="0" priority="25"/>
  </conditionalFormatting>
  <conditionalFormatting sqref="B1002">
    <cfRule type="duplicateValues" dxfId="0" priority="22"/>
  </conditionalFormatting>
  <conditionalFormatting sqref="B1011">
    <cfRule type="duplicateValues" dxfId="0" priority="13"/>
  </conditionalFormatting>
  <conditionalFormatting sqref="A1021">
    <cfRule type="duplicateValues" dxfId="0" priority="9"/>
  </conditionalFormatting>
  <conditionalFormatting sqref="B1021">
    <cfRule type="duplicateValues" dxfId="0" priority="10"/>
  </conditionalFormatting>
  <conditionalFormatting sqref="A1024">
    <cfRule type="duplicateValues" dxfId="0" priority="1"/>
  </conditionalFormatting>
  <conditionalFormatting sqref="B1024">
    <cfRule type="duplicateValues" dxfId="0" priority="2"/>
  </conditionalFormatting>
  <conditionalFormatting sqref="B1026">
    <cfRule type="duplicateValues" dxfId="0" priority="286"/>
  </conditionalFormatting>
  <conditionalFormatting sqref="B1027">
    <cfRule type="duplicateValues" dxfId="0" priority="278"/>
  </conditionalFormatting>
  <conditionalFormatting sqref="B1028">
    <cfRule type="duplicateValues" dxfId="0" priority="282"/>
  </conditionalFormatting>
  <conditionalFormatting sqref="A1029">
    <cfRule type="duplicateValues" dxfId="0" priority="265"/>
  </conditionalFormatting>
  <conditionalFormatting sqref="B1029">
    <cfRule type="duplicateValues" dxfId="0" priority="266"/>
  </conditionalFormatting>
  <conditionalFormatting sqref="A1032">
    <cfRule type="duplicateValues" dxfId="0" priority="251"/>
  </conditionalFormatting>
  <conditionalFormatting sqref="B1032">
    <cfRule type="duplicateValues" dxfId="0" priority="252"/>
  </conditionalFormatting>
  <conditionalFormatting sqref="A1033">
    <cfRule type="duplicateValues" dxfId="0" priority="249"/>
  </conditionalFormatting>
  <conditionalFormatting sqref="B1033">
    <cfRule type="duplicateValues" dxfId="0" priority="250"/>
  </conditionalFormatting>
  <conditionalFormatting sqref="B1040:AU1040">
    <cfRule type="duplicateValues" dxfId="0" priority="228"/>
  </conditionalFormatting>
  <conditionalFormatting sqref="AY1040:AZ1040">
    <cfRule type="duplicateValues" dxfId="0" priority="100"/>
  </conditionalFormatting>
  <conditionalFormatting sqref="B1046">
    <cfRule type="duplicateValues" dxfId="0" priority="206"/>
  </conditionalFormatting>
  <conditionalFormatting sqref="B1122">
    <cfRule type="duplicateValues" dxfId="0" priority="30"/>
  </conditionalFormatting>
  <conditionalFormatting sqref="B1123">
    <cfRule type="duplicateValues" dxfId="0" priority="21"/>
  </conditionalFormatting>
  <conditionalFormatting sqref="B1126">
    <cfRule type="duplicateValues" dxfId="0" priority="16"/>
  </conditionalFormatting>
  <conditionalFormatting sqref="B1127">
    <cfRule type="duplicateValues" dxfId="0" priority="14"/>
  </conditionalFormatting>
  <conditionalFormatting sqref="A1149">
    <cfRule type="duplicateValues" dxfId="0" priority="5"/>
  </conditionalFormatting>
  <conditionalFormatting sqref="B1194">
    <cfRule type="duplicateValues" dxfId="0" priority="149"/>
  </conditionalFormatting>
  <conditionalFormatting sqref="A1251">
    <cfRule type="duplicateValues" dxfId="0" priority="49"/>
  </conditionalFormatting>
  <conditionalFormatting sqref="A66:A71">
    <cfRule type="duplicateValues" dxfId="0" priority="261"/>
  </conditionalFormatting>
  <conditionalFormatting sqref="A72:A75">
    <cfRule type="duplicateValues" dxfId="0" priority="233"/>
  </conditionalFormatting>
  <conditionalFormatting sqref="A90:A91">
    <cfRule type="duplicateValues" dxfId="0" priority="189"/>
  </conditionalFormatting>
  <conditionalFormatting sqref="A139:A140">
    <cfRule type="duplicateValues" dxfId="0" priority="92"/>
  </conditionalFormatting>
  <conditionalFormatting sqref="A141:A142">
    <cfRule type="duplicateValues" dxfId="0" priority="83"/>
  </conditionalFormatting>
  <conditionalFormatting sqref="A144:A154">
    <cfRule type="duplicateValues" dxfId="0" priority="72"/>
  </conditionalFormatting>
  <conditionalFormatting sqref="A159:A161">
    <cfRule type="duplicateValues" dxfId="0" priority="12"/>
  </conditionalFormatting>
  <conditionalFormatting sqref="A320:A344">
    <cfRule type="duplicateValues" dxfId="0" priority="239"/>
  </conditionalFormatting>
  <conditionalFormatting sqref="A346:A358">
    <cfRule type="duplicateValues" dxfId="0" priority="306"/>
  </conditionalFormatting>
  <conditionalFormatting sqref="A359:A360">
    <cfRule type="duplicateValues" dxfId="0" priority="195"/>
  </conditionalFormatting>
  <conditionalFormatting sqref="A379:A384">
    <cfRule type="duplicateValues" dxfId="0" priority="172"/>
  </conditionalFormatting>
  <conditionalFormatting sqref="A409:A417">
    <cfRule type="duplicateValues" dxfId="0" priority="136"/>
  </conditionalFormatting>
  <conditionalFormatting sqref="A419:A445">
    <cfRule type="duplicateValues" dxfId="0" priority="135"/>
  </conditionalFormatting>
  <conditionalFormatting sqref="A449:A472">
    <cfRule type="duplicateValues" dxfId="0" priority="317"/>
    <cfRule type="duplicateValues" dxfId="0" priority="318"/>
  </conditionalFormatting>
  <conditionalFormatting sqref="A639:A646">
    <cfRule type="duplicateValues" dxfId="0" priority="235"/>
  </conditionalFormatting>
  <conditionalFormatting sqref="A648:A649">
    <cfRule type="duplicateValues" dxfId="0" priority="231"/>
  </conditionalFormatting>
  <conditionalFormatting sqref="A680:A695">
    <cfRule type="duplicateValues" dxfId="0" priority="304"/>
  </conditionalFormatting>
  <conditionalFormatting sqref="A712:A756">
    <cfRule type="duplicateValues" dxfId="0" priority="316"/>
  </conditionalFormatting>
  <conditionalFormatting sqref="A796:A805">
    <cfRule type="duplicateValues" dxfId="0" priority="127"/>
    <cfRule type="duplicateValues" dxfId="0" priority="129"/>
    <cfRule type="duplicateValues" dxfId="0" priority="130"/>
  </conditionalFormatting>
  <conditionalFormatting sqref="A806:A832">
    <cfRule type="duplicateValues" dxfId="0" priority="95"/>
    <cfRule type="duplicateValues" dxfId="0" priority="96"/>
    <cfRule type="duplicateValues" dxfId="0" priority="97"/>
  </conditionalFormatting>
  <conditionalFormatting sqref="A887:A891">
    <cfRule type="duplicateValues" dxfId="0" priority="153"/>
  </conditionalFormatting>
  <conditionalFormatting sqref="A898:A899">
    <cfRule type="duplicateValues" dxfId="0" priority="227"/>
  </conditionalFormatting>
  <conditionalFormatting sqref="A936:A937">
    <cfRule type="duplicateValues" dxfId="0" priority="170"/>
  </conditionalFormatting>
  <conditionalFormatting sqref="A938:A939">
    <cfRule type="duplicateValues" dxfId="0" priority="157"/>
  </conditionalFormatting>
  <conditionalFormatting sqref="A940:A942">
    <cfRule type="duplicateValues" dxfId="0" priority="163"/>
  </conditionalFormatting>
  <conditionalFormatting sqref="A985:A986">
    <cfRule type="duplicateValues" dxfId="0" priority="87"/>
  </conditionalFormatting>
  <conditionalFormatting sqref="A990:A991">
    <cfRule type="duplicateValues" dxfId="0" priority="70"/>
  </conditionalFormatting>
  <conditionalFormatting sqref="A998:A1000">
    <cfRule type="duplicateValues" dxfId="0" priority="41"/>
  </conditionalFormatting>
  <conditionalFormatting sqref="A1022:A1023">
    <cfRule type="duplicateValues" dxfId="0" priority="7"/>
  </conditionalFormatting>
  <conditionalFormatting sqref="A1030:A1031">
    <cfRule type="duplicateValues" dxfId="0" priority="259"/>
  </conditionalFormatting>
  <conditionalFormatting sqref="A1034:A1035">
    <cfRule type="duplicateValues" dxfId="0" priority="247"/>
  </conditionalFormatting>
  <conditionalFormatting sqref="A1036:A1053">
    <cfRule type="duplicateValues" dxfId="0" priority="301"/>
  </conditionalFormatting>
  <conditionalFormatting sqref="A1054:A1055">
    <cfRule type="duplicateValues" dxfId="0" priority="192"/>
  </conditionalFormatting>
  <conditionalFormatting sqref="A1227:A1240">
    <cfRule type="duplicateValues" dxfId="0" priority="198"/>
  </conditionalFormatting>
  <conditionalFormatting sqref="A1241:A1245">
    <cfRule type="duplicateValues" dxfId="0" priority="143"/>
  </conditionalFormatting>
  <conditionalFormatting sqref="A1247:A1250">
    <cfRule type="duplicateValues" dxfId="0" priority="125"/>
  </conditionalFormatting>
  <conditionalFormatting sqref="B62:B65">
    <cfRule type="duplicateValues" dxfId="0" priority="297"/>
  </conditionalFormatting>
  <conditionalFormatting sqref="B66:B71">
    <cfRule type="duplicateValues" dxfId="0" priority="262"/>
  </conditionalFormatting>
  <conditionalFormatting sqref="B72:B75">
    <cfRule type="duplicateValues" dxfId="0" priority="234"/>
  </conditionalFormatting>
  <conditionalFormatting sqref="B90:B91">
    <cfRule type="duplicateValues" dxfId="0" priority="188"/>
  </conditionalFormatting>
  <conditionalFormatting sqref="B139:B140">
    <cfRule type="duplicateValues" dxfId="0" priority="91"/>
  </conditionalFormatting>
  <conditionalFormatting sqref="B141:B142">
    <cfRule type="duplicateValues" dxfId="0" priority="82"/>
  </conditionalFormatting>
  <conditionalFormatting sqref="B144:B149">
    <cfRule type="duplicateValues" dxfId="0" priority="71"/>
  </conditionalFormatting>
  <conditionalFormatting sqref="B159:B161">
    <cfRule type="duplicateValues" dxfId="0" priority="11"/>
  </conditionalFormatting>
  <conditionalFormatting sqref="B248:B249">
    <cfRule type="duplicateValues" dxfId="0" priority="291"/>
  </conditionalFormatting>
  <conditionalFormatting sqref="B284:B288">
    <cfRule type="duplicateValues" dxfId="0" priority="276"/>
  </conditionalFormatting>
  <conditionalFormatting sqref="B290:B300">
    <cfRule type="duplicateValues" dxfId="0" priority="264"/>
  </conditionalFormatting>
  <conditionalFormatting sqref="B301:B315">
    <cfRule type="duplicateValues" dxfId="0" priority="258"/>
  </conditionalFormatting>
  <conditionalFormatting sqref="B416:B417">
    <cfRule type="duplicateValues" dxfId="0" priority="137"/>
  </conditionalFormatting>
  <conditionalFormatting sqref="B419:B445">
    <cfRule type="duplicateValues" dxfId="0" priority="134"/>
  </conditionalFormatting>
  <conditionalFormatting sqref="B449:B472">
    <cfRule type="duplicateValues" dxfId="0" priority="319"/>
  </conditionalFormatting>
  <conditionalFormatting sqref="B500:B549">
    <cfRule type="duplicateValues" dxfId="0" priority="293"/>
  </conditionalFormatting>
  <conditionalFormatting sqref="B553:B560">
    <cfRule type="duplicateValues" dxfId="0" priority="294"/>
  </conditionalFormatting>
  <conditionalFormatting sqref="B561:B567">
    <cfRule type="duplicateValues" dxfId="0" priority="283"/>
  </conditionalFormatting>
  <conditionalFormatting sqref="B591:B608">
    <cfRule type="duplicateValues" dxfId="0" priority="270"/>
  </conditionalFormatting>
  <conditionalFormatting sqref="B610:B614">
    <cfRule type="duplicateValues" dxfId="0" priority="253"/>
  </conditionalFormatting>
  <conditionalFormatting sqref="B615:B616">
    <cfRule type="duplicateValues" dxfId="0" priority="298"/>
  </conditionalFormatting>
  <conditionalFormatting sqref="B618:B628">
    <cfRule type="duplicateValues" dxfId="0" priority="246"/>
  </conditionalFormatting>
  <conditionalFormatting sqref="B630:B631">
    <cfRule type="duplicateValues" dxfId="0" priority="241"/>
  </conditionalFormatting>
  <conditionalFormatting sqref="B632:B638">
    <cfRule type="duplicateValues" dxfId="0" priority="300"/>
  </conditionalFormatting>
  <conditionalFormatting sqref="B639:B643">
    <cfRule type="duplicateValues" dxfId="0" priority="236"/>
  </conditionalFormatting>
  <conditionalFormatting sqref="B684:B685">
    <cfRule type="duplicateValues" dxfId="0" priority="209"/>
  </conditionalFormatting>
  <conditionalFormatting sqref="B692:B694">
    <cfRule type="duplicateValues" dxfId="0" priority="303"/>
  </conditionalFormatting>
  <conditionalFormatting sqref="B796:B797">
    <cfRule type="duplicateValues" dxfId="0" priority="128"/>
    <cfRule type="duplicateValues" dxfId="0" priority="131"/>
  </conditionalFormatting>
  <conditionalFormatting sqref="B800:B805">
    <cfRule type="duplicateValues" dxfId="0" priority="106"/>
    <cfRule type="duplicateValues" dxfId="0" priority="109"/>
  </conditionalFormatting>
  <conditionalFormatting sqref="B806:B832">
    <cfRule type="duplicateValues" dxfId="0" priority="93"/>
    <cfRule type="duplicateValues" dxfId="0" priority="94"/>
  </conditionalFormatting>
  <conditionalFormatting sqref="B882:B884">
    <cfRule type="duplicateValues" dxfId="0" priority="238"/>
  </conditionalFormatting>
  <conditionalFormatting sqref="B936:B937">
    <cfRule type="duplicateValues" dxfId="0" priority="166"/>
  </conditionalFormatting>
  <conditionalFormatting sqref="B942:B951">
    <cfRule type="duplicateValues" dxfId="0" priority="156"/>
  </conditionalFormatting>
  <conditionalFormatting sqref="B952:B953">
    <cfRule type="duplicateValues" dxfId="0" priority="150"/>
  </conditionalFormatting>
  <conditionalFormatting sqref="B954:B955">
    <cfRule type="duplicateValues" dxfId="0" priority="147"/>
  </conditionalFormatting>
  <conditionalFormatting sqref="B967:B970">
    <cfRule type="duplicateValues" dxfId="0" priority="132"/>
  </conditionalFormatting>
  <conditionalFormatting sqref="B990:B991">
    <cfRule type="duplicateValues" dxfId="0" priority="69"/>
  </conditionalFormatting>
  <conditionalFormatting sqref="B1022:B1023">
    <cfRule type="duplicateValues" dxfId="0" priority="8"/>
  </conditionalFormatting>
  <conditionalFormatting sqref="B1030:B1031">
    <cfRule type="duplicateValues" dxfId="0" priority="260"/>
  </conditionalFormatting>
  <conditionalFormatting sqref="B1034:B1035">
    <cfRule type="duplicateValues" dxfId="0" priority="248"/>
  </conditionalFormatting>
  <conditionalFormatting sqref="B1036:B1039">
    <cfRule type="duplicateValues" dxfId="0" priority="240"/>
  </conditionalFormatting>
  <conditionalFormatting sqref="B1041:B1045">
    <cfRule type="duplicateValues" dxfId="0" priority="222"/>
  </conditionalFormatting>
  <conditionalFormatting sqref="B1047:B1053">
    <cfRule type="duplicateValues" dxfId="0" priority="204"/>
  </conditionalFormatting>
  <conditionalFormatting sqref="B1054:B1055">
    <cfRule type="duplicateValues" dxfId="0" priority="191"/>
  </conditionalFormatting>
  <conditionalFormatting sqref="B1068:B1069">
    <cfRule type="duplicateValues" dxfId="0" priority="152"/>
  </conditionalFormatting>
  <conditionalFormatting sqref="B1070:B1075">
    <cfRule type="duplicateValues" dxfId="0" priority="148"/>
  </conditionalFormatting>
  <conditionalFormatting sqref="B1103:B1104">
    <cfRule type="duplicateValues" dxfId="0" priority="85"/>
  </conditionalFormatting>
  <conditionalFormatting sqref="B1105:B1106">
    <cfRule type="duplicateValues" dxfId="0" priority="81"/>
  </conditionalFormatting>
  <conditionalFormatting sqref="B1107:B1108">
    <cfRule type="duplicateValues" dxfId="0" priority="68"/>
  </conditionalFormatting>
  <conditionalFormatting sqref="B1124:B1125">
    <cfRule type="duplicateValues" dxfId="0" priority="20"/>
  </conditionalFormatting>
  <conditionalFormatting sqref="B1149:B1150">
    <cfRule type="duplicateValues" dxfId="0" priority="6"/>
  </conditionalFormatting>
  <conditionalFormatting sqref="B1187:B1190">
    <cfRule type="duplicateValues" dxfId="0" priority="186"/>
  </conditionalFormatting>
  <conditionalFormatting sqref="B1191:B1193">
    <cfRule type="duplicateValues" dxfId="0" priority="187"/>
  </conditionalFormatting>
  <conditionalFormatting sqref="B1212:B1215">
    <cfRule type="duplicateValues" dxfId="0" priority="185"/>
  </conditionalFormatting>
  <conditionalFormatting sqref="B1220:B1226">
    <cfRule type="duplicateValues" dxfId="0" priority="151"/>
  </conditionalFormatting>
  <conditionalFormatting sqref="B1241:B1245">
    <cfRule type="duplicateValues" dxfId="0" priority="144"/>
  </conditionalFormatting>
  <conditionalFormatting sqref="C936:C937">
    <cfRule type="duplicateValues" dxfId="0" priority="168"/>
  </conditionalFormatting>
  <conditionalFormatting sqref="C938:C944">
    <cfRule type="duplicateValues" dxfId="0" priority="162"/>
  </conditionalFormatting>
  <conditionalFormatting sqref="C1037:C1039">
    <cfRule type="duplicateValues" dxfId="0" priority="237"/>
  </conditionalFormatting>
  <conditionalFormatting sqref="A7:A65 A163:A289 A615 A473:A490 A612 A892:A894 A866:A867 A834:A861 A869:A886 A863:A864 A896 A492:A608 A1151:A1226 A1246 A1026:A1028">
    <cfRule type="duplicateValues" dxfId="0" priority="273"/>
  </conditionalFormatting>
  <conditionalFormatting sqref="B7:B61 B163:B246 B418 B248:B280 B492:B499 B550 B863:B864 B866:B868 B840:B857 B833:B838 B861 B772:B795 B473:B490 B1163:B1186 B1246 B1195:B1211 B1216:B1219">
    <cfRule type="duplicateValues" dxfId="0" priority="331"/>
  </conditionalFormatting>
  <conditionalFormatting sqref="A76:A77 A79 A82:A88">
    <cfRule type="duplicateValues" dxfId="0" priority="225"/>
  </conditionalFormatting>
  <conditionalFormatting sqref="B76:B77 B79 B82:B88">
    <cfRule type="duplicateValues" dxfId="0" priority="224"/>
  </conditionalFormatting>
  <conditionalFormatting sqref="A92 A94">
    <cfRule type="duplicateValues" dxfId="0" priority="184"/>
  </conditionalFormatting>
  <conditionalFormatting sqref="B92 B94">
    <cfRule type="duplicateValues" dxfId="0" priority="183"/>
  </conditionalFormatting>
  <conditionalFormatting sqref="A290:A300 A303">
    <cfRule type="duplicateValues" dxfId="0" priority="263"/>
  </conditionalFormatting>
  <conditionalFormatting sqref="A301:A302 A304:A319">
    <cfRule type="duplicateValues" dxfId="0" priority="257"/>
  </conditionalFormatting>
  <conditionalFormatting sqref="A361:A363 A365:A376">
    <cfRule type="duplicateValues" dxfId="0" priority="196"/>
  </conditionalFormatting>
  <conditionalFormatting sqref="A378 A385:A393">
    <cfRule type="duplicateValues" dxfId="0" priority="174"/>
  </conditionalFormatting>
  <conditionalFormatting sqref="A394:A408 A418">
    <cfRule type="duplicateValues" dxfId="0" priority="154"/>
  </conditionalFormatting>
  <conditionalFormatting sqref="B576:B585 B587:B588 B590">
    <cfRule type="duplicateValues" dxfId="0" priority="296"/>
  </conditionalFormatting>
  <conditionalFormatting sqref="A609 A611 A614 A616">
    <cfRule type="duplicateValues" dxfId="0" priority="256"/>
  </conditionalFormatting>
  <conditionalFormatting sqref="A610 A613">
    <cfRule type="duplicateValues" dxfId="0" priority="254"/>
  </conditionalFormatting>
  <conditionalFormatting sqref="A625 A623 A621 A619 A617 A627:A629">
    <cfRule type="duplicateValues" dxfId="0" priority="245"/>
  </conditionalFormatting>
  <conditionalFormatting sqref="A618 A620 A622 A624 A626">
    <cfRule type="duplicateValues" dxfId="0" priority="244"/>
  </conditionalFormatting>
  <conditionalFormatting sqref="A630:A631 A633 A635:A638">
    <cfRule type="duplicateValues" dxfId="0" priority="242"/>
  </conditionalFormatting>
  <conditionalFormatting sqref="A632 A634">
    <cfRule type="duplicateValues" dxfId="0" priority="299"/>
  </conditionalFormatting>
  <conditionalFormatting sqref="A651:A676 A678">
    <cfRule type="duplicateValues" dxfId="0" priority="302"/>
  </conditionalFormatting>
  <conditionalFormatting sqref="A677 A679">
    <cfRule type="duplicateValues" dxfId="0" priority="223"/>
  </conditionalFormatting>
  <conditionalFormatting sqref="A697:A698 A700:A711">
    <cfRule type="duplicateValues" dxfId="0" priority="205"/>
  </conditionalFormatting>
  <conditionalFormatting sqref="A757:A795 A833">
    <cfRule type="duplicateValues" dxfId="0" priority="330"/>
  </conditionalFormatting>
  <conditionalFormatting sqref="A862 A865 A868">
    <cfRule type="duplicateValues" dxfId="0" priority="267"/>
  </conditionalFormatting>
  <conditionalFormatting sqref="B869:B879 B892:B894">
    <cfRule type="duplicateValues" dxfId="0" priority="295"/>
  </conditionalFormatting>
  <conditionalFormatting sqref="A933:AA933 AC933:AU933">
    <cfRule type="duplicateValues" dxfId="0" priority="175"/>
  </conditionalFormatting>
  <conditionalFormatting sqref="A934:C934 AC934:AU934 F934:AA934">
    <cfRule type="duplicateValues" dxfId="0" priority="173"/>
  </conditionalFormatting>
  <conditionalFormatting sqref="B1227:C1240">
    <cfRule type="duplicateValues" dxfId="0" priority="197"/>
  </conditionalFormatting>
  <hyperlinks>
    <hyperlink ref="B807" r:id="rId3" display="pudding001_weapon02@story068_08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K13"/>
  <sheetViews>
    <sheetView workbookViewId="0">
      <selection activeCell="AG140" sqref="AG140"/>
    </sheetView>
  </sheetViews>
  <sheetFormatPr defaultColWidth="9" defaultRowHeight="15"/>
  <cols>
    <col min="1" max="1" width="24.5047619047619" customWidth="1"/>
  </cols>
  <sheetData>
    <row r="4" spans="1:1">
      <c r="A4" t="s">
        <v>2658</v>
      </c>
    </row>
    <row r="5" spans="1:2">
      <c r="A5" t="s">
        <v>2659</v>
      </c>
      <c r="B5" t="s">
        <v>2660</v>
      </c>
    </row>
    <row r="6" spans="1:2">
      <c r="A6" t="s">
        <v>2661</v>
      </c>
      <c r="B6" t="s">
        <v>2662</v>
      </c>
    </row>
    <row r="7" spans="1:2">
      <c r="A7" t="s">
        <v>2663</v>
      </c>
      <c r="B7" t="s">
        <v>2664</v>
      </c>
    </row>
    <row r="12" spans="1:37">
      <c r="A12" s="9">
        <v>86</v>
      </c>
      <c r="B12" s="10" t="s">
        <v>330</v>
      </c>
      <c r="C12" s="11" t="s">
        <v>331</v>
      </c>
      <c r="D12">
        <v>1</v>
      </c>
      <c r="E12">
        <v>1</v>
      </c>
      <c r="F12" s="12">
        <v>0.85</v>
      </c>
      <c r="G12">
        <v>6</v>
      </c>
      <c r="H12">
        <v>6</v>
      </c>
      <c r="I12">
        <v>1.2</v>
      </c>
      <c r="J12" t="s">
        <v>115</v>
      </c>
      <c r="L12">
        <f>2/30</f>
        <v>0.0666666666666667</v>
      </c>
      <c r="M12">
        <f>18/30</f>
        <v>0.6</v>
      </c>
      <c r="P12">
        <f>2/30</f>
        <v>0.0666666666666667</v>
      </c>
      <c r="Q12">
        <f>18/30</f>
        <v>0.6</v>
      </c>
      <c r="T12" s="9">
        <v>2.4</v>
      </c>
      <c r="U12" s="9">
        <v>0</v>
      </c>
      <c r="V12" s="9"/>
      <c r="W12" s="9"/>
      <c r="AF12">
        <v>801</v>
      </c>
      <c r="AG12" t="s">
        <v>116</v>
      </c>
      <c r="AH12" t="s">
        <v>200</v>
      </c>
      <c r="AK12">
        <v>0</v>
      </c>
    </row>
    <row r="13" spans="1:1">
      <c r="A13" t="s">
        <v>2665</v>
      </c>
    </row>
  </sheetData>
  <conditionalFormatting sqref="A12">
    <cfRule type="duplicateValues" dxfId="0" priority="2"/>
  </conditionalFormatting>
  <conditionalFormatting sqref="B12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5"/>
  <sheetViews>
    <sheetView workbookViewId="0">
      <selection activeCell="A13" sqref="$A13:$XFD15"/>
    </sheetView>
  </sheetViews>
  <sheetFormatPr defaultColWidth="9" defaultRowHeight="15"/>
  <sheetData>
    <row r="1" s="1" customFormat="1" spans="1:22">
      <c r="A1" s="1">
        <v>30002</v>
      </c>
      <c r="B1" s="1" t="s">
        <v>2666</v>
      </c>
      <c r="C1" s="1" t="s">
        <v>2667</v>
      </c>
      <c r="D1" s="1">
        <v>1</v>
      </c>
      <c r="F1" s="1">
        <v>1</v>
      </c>
      <c r="G1" s="1">
        <v>2.5</v>
      </c>
      <c r="H1" s="1">
        <v>2.5</v>
      </c>
      <c r="I1" s="1">
        <v>0.5</v>
      </c>
      <c r="J1" s="1" t="s">
        <v>115</v>
      </c>
      <c r="L1" s="1">
        <v>0.133333333333333</v>
      </c>
      <c r="M1" s="1">
        <v>0.733333333333333</v>
      </c>
      <c r="P1" s="1">
        <v>0.166666666666667</v>
      </c>
      <c r="Q1" s="1">
        <v>0.733333333333333</v>
      </c>
      <c r="T1" s="1">
        <v>2.4</v>
      </c>
      <c r="U1" s="5"/>
      <c r="V1" s="5"/>
    </row>
    <row r="3" spans="1:32">
      <c r="A3">
        <v>3027</v>
      </c>
      <c r="B3" t="s">
        <v>2668</v>
      </c>
      <c r="C3" t="s">
        <v>2669</v>
      </c>
      <c r="D3">
        <v>0</v>
      </c>
      <c r="F3">
        <v>1</v>
      </c>
      <c r="U3" s="6"/>
      <c r="V3" s="6"/>
      <c r="AE3">
        <v>801</v>
      </c>
      <c r="AF3" t="s">
        <v>116</v>
      </c>
    </row>
    <row r="13" s="2" customFormat="1" spans="1:52">
      <c r="A13" s="2">
        <v>4012101</v>
      </c>
      <c r="B13" s="2" t="s">
        <v>2122</v>
      </c>
      <c r="C13" s="2" t="s">
        <v>2123</v>
      </c>
      <c r="D13" s="2">
        <v>1</v>
      </c>
      <c r="E13" s="2">
        <v>1</v>
      </c>
      <c r="F13" s="2">
        <v>1</v>
      </c>
      <c r="G13" s="2">
        <v>3.2</v>
      </c>
      <c r="H13" s="2">
        <v>4</v>
      </c>
      <c r="I13" s="2">
        <v>0.7</v>
      </c>
      <c r="J13" s="2" t="s">
        <v>115</v>
      </c>
      <c r="L13" s="4">
        <v>0.1</v>
      </c>
      <c r="M13" s="4">
        <v>0.4</v>
      </c>
      <c r="N13" s="4"/>
      <c r="O13" s="4"/>
      <c r="P13" s="4">
        <v>0.133333333333333</v>
      </c>
      <c r="Q13" s="4">
        <v>0.5</v>
      </c>
      <c r="R13" s="4"/>
      <c r="S13" s="4"/>
      <c r="T13" s="7">
        <v>2.4</v>
      </c>
      <c r="U13" s="7">
        <v>0</v>
      </c>
      <c r="V13" s="7"/>
      <c r="W13" s="7"/>
      <c r="AB13" s="2">
        <v>1</v>
      </c>
      <c r="AC13" s="2">
        <v>3923</v>
      </c>
      <c r="AD13" s="2" t="s">
        <v>153</v>
      </c>
      <c r="AF13" s="2">
        <v>801</v>
      </c>
      <c r="AG13" s="2" t="s">
        <v>116</v>
      </c>
      <c r="AH13" s="2" t="s">
        <v>200</v>
      </c>
      <c r="AK13" s="2">
        <v>0</v>
      </c>
      <c r="AP13" s="2">
        <v>4</v>
      </c>
      <c r="AV13" s="2" t="s">
        <v>439</v>
      </c>
      <c r="AW13" s="2" t="s">
        <v>440</v>
      </c>
      <c r="AY13" s="2">
        <v>3923</v>
      </c>
      <c r="AZ13" s="2" t="s">
        <v>153</v>
      </c>
    </row>
    <row r="14" s="2" customFormat="1" spans="1:52">
      <c r="A14" s="2">
        <v>4012201</v>
      </c>
      <c r="B14" s="3" t="s">
        <v>2124</v>
      </c>
      <c r="C14" s="2" t="s">
        <v>2125</v>
      </c>
      <c r="D14" s="2">
        <v>1</v>
      </c>
      <c r="E14" s="2">
        <v>1</v>
      </c>
      <c r="F14" s="2">
        <v>1</v>
      </c>
      <c r="G14" s="2">
        <v>3.2</v>
      </c>
      <c r="H14" s="2">
        <v>3</v>
      </c>
      <c r="I14" s="2">
        <v>0.7</v>
      </c>
      <c r="J14" s="2" t="s">
        <v>115</v>
      </c>
      <c r="L14" s="4">
        <v>0.1</v>
      </c>
      <c r="M14" s="4">
        <v>0.433333333333333</v>
      </c>
      <c r="N14" s="4"/>
      <c r="O14" s="4"/>
      <c r="P14" s="4">
        <v>0.133333333333333</v>
      </c>
      <c r="Q14" s="4">
        <v>0.466666666666667</v>
      </c>
      <c r="R14" s="4"/>
      <c r="S14" s="4"/>
      <c r="T14" s="7">
        <v>2.4</v>
      </c>
      <c r="U14" s="7">
        <v>0</v>
      </c>
      <c r="V14" s="7"/>
      <c r="W14" s="7"/>
      <c r="AB14" s="2">
        <v>1</v>
      </c>
      <c r="AC14" s="2">
        <v>3971</v>
      </c>
      <c r="AD14" s="2" t="s">
        <v>153</v>
      </c>
      <c r="AF14" s="2">
        <v>801</v>
      </c>
      <c r="AG14" s="2" t="s">
        <v>116</v>
      </c>
      <c r="AH14" s="8" t="s">
        <v>324</v>
      </c>
      <c r="AK14" s="2">
        <v>0</v>
      </c>
      <c r="AP14" s="2">
        <v>4</v>
      </c>
      <c r="AY14" s="2">
        <v>4793</v>
      </c>
      <c r="AZ14" s="2" t="s">
        <v>153</v>
      </c>
    </row>
    <row r="15" s="2" customFormat="1" spans="1:52">
      <c r="A15" s="2">
        <v>4012601</v>
      </c>
      <c r="B15" s="3" t="s">
        <v>2134</v>
      </c>
      <c r="C15" s="2" t="s">
        <v>2135</v>
      </c>
      <c r="D15" s="2">
        <v>1</v>
      </c>
      <c r="E15" s="2">
        <v>1</v>
      </c>
      <c r="F15" s="2">
        <v>1</v>
      </c>
      <c r="G15" s="2">
        <v>3.5</v>
      </c>
      <c r="H15" s="2">
        <v>4.5</v>
      </c>
      <c r="I15" s="2">
        <v>0.5</v>
      </c>
      <c r="J15" s="2" t="s">
        <v>115</v>
      </c>
      <c r="L15" s="4">
        <v>0.133333333333333</v>
      </c>
      <c r="M15" s="4">
        <v>0.466666666666667</v>
      </c>
      <c r="N15" s="4"/>
      <c r="O15" s="4"/>
      <c r="P15" s="4">
        <v>0.133333333333333</v>
      </c>
      <c r="Q15" s="4">
        <v>0.466666666666667</v>
      </c>
      <c r="R15" s="4"/>
      <c r="S15" s="4"/>
      <c r="T15" s="7">
        <v>2.4</v>
      </c>
      <c r="U15" s="7">
        <v>0</v>
      </c>
      <c r="V15" s="7"/>
      <c r="W15" s="7"/>
      <c r="AB15" s="2">
        <v>1</v>
      </c>
      <c r="AC15" s="2">
        <v>4083</v>
      </c>
      <c r="AD15" s="2" t="s">
        <v>153</v>
      </c>
      <c r="AF15" s="2">
        <v>801</v>
      </c>
      <c r="AG15" s="2" t="s">
        <v>116</v>
      </c>
      <c r="AH15" s="2" t="s">
        <v>324</v>
      </c>
      <c r="AK15" s="2">
        <v>0</v>
      </c>
      <c r="AP15" s="2">
        <v>4</v>
      </c>
      <c r="AV15" s="2" t="s">
        <v>459</v>
      </c>
      <c r="AW15" s="2" t="s">
        <v>460</v>
      </c>
      <c r="AY15" s="2">
        <v>4656</v>
      </c>
      <c r="AZ15" s="2" t="s">
        <v>153</v>
      </c>
    </row>
  </sheetData>
  <conditionalFormatting sqref="B1">
    <cfRule type="duplicateValues" dxfId="0" priority="3"/>
  </conditionalFormatting>
  <conditionalFormatting sqref="B3">
    <cfRule type="duplicateValues" dxfId="0" priority="2"/>
  </conditionalFormatting>
  <conditionalFormatting sqref="B13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WPS_1638872795</cp:lastModifiedBy>
  <dcterms:created xsi:type="dcterms:W3CDTF">2016-10-21T06:21:00Z</dcterms:created>
  <cp:lastPrinted>2020-01-07T13:25:00Z</cp:lastPrinted>
  <dcterms:modified xsi:type="dcterms:W3CDTF">2026-02-06T08:41:42Z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KSOReadingLayout">
    <vt:bool>true</vt:bool>
  </property>
  <property fmtid="{D5CDD505-2E9C-101B-9397-08002B2CF9AE}" pid="4" name="ICV">
    <vt:lpwstr>D27B13E1C2B242E38F16B8EFAFBDAAC3</vt:lpwstr>
  </property>
</Properties>
</file>