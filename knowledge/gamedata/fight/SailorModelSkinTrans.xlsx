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50"/>
  </bookViews>
  <sheets>
    <sheet name="Sheet1" sheetId="1" r:id="rId1"/>
  </sheets>
  <definedNames>
    <definedName name="_xlnm._FilterDatabase" localSheetId="0" hidden="1">Sheet1!$A$6:$M$1219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sz val="9"/>
            <rFont val="宋体"/>
            <charset val="134"/>
          </rPr>
          <t>该表用于修改动画过程中的模型部件替换
该列：序号顺延</t>
        </r>
      </text>
    </commen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动画ID，关联SailorModelAnimation的动画ID
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被替换的部件MSID，关联SailorModelSkin表的MSID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替换的部件MSID，关联SailorModelSkin表的MSID
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替换模式：全时段替换or挑时间替换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替换起始时间点
（替换起始帧数除以30）</t>
        </r>
      </text>
    </comment>
    <comment ref="G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替换持续时长
（持续的帧数除以30）</t>
        </r>
      </text>
    </comment>
  </commentList>
</comments>
</file>

<file path=xl/sharedStrings.xml><?xml version="1.0" encoding="utf-8"?>
<sst xmlns="http://schemas.openxmlformats.org/spreadsheetml/2006/main" count="748" uniqueCount="241">
  <si>
    <t>EmptyKey-A2</t>
  </si>
  <si>
    <t>EmptyKey-B2</t>
  </si>
  <si>
    <t>EmptyKey-C2</t>
  </si>
  <si>
    <t>EmptyKey-D2</t>
  </si>
  <si>
    <t>0:全动作变 1:挑时间变</t>
  </si>
  <si>
    <t>EmptyKey-F2</t>
  </si>
  <si>
    <t>EmptyKey-G2</t>
  </si>
  <si>
    <t>EmptyKey-H2</t>
  </si>
  <si>
    <t>EmptyKey-I2</t>
  </si>
  <si>
    <t>EmptyKey-J2</t>
  </si>
  <si>
    <t>EmptyKey-K2</t>
  </si>
  <si>
    <t>EmptyKey-L2</t>
  </si>
  <si>
    <t>EmptyKey-M2</t>
  </si>
  <si>
    <r>
      <rPr>
        <sz val="11"/>
        <color theme="1"/>
        <rFont val="宋体"/>
        <charset val="134"/>
      </rPr>
      <t>M</t>
    </r>
    <r>
      <rPr>
        <sz val="11"/>
        <color theme="1"/>
        <rFont val="宋体"/>
        <charset val="134"/>
      </rPr>
      <t>STId</t>
    </r>
  </si>
  <si>
    <t>MAId</t>
  </si>
  <si>
    <t>FromMSId</t>
  </si>
  <si>
    <t>ToMSId</t>
  </si>
  <si>
    <t>IsTransSpecifyTime</t>
  </si>
  <si>
    <t>TransStartTime</t>
  </si>
  <si>
    <t>TransDuration</t>
  </si>
  <si>
    <t>LowMSId</t>
  </si>
  <si>
    <t>LowToMSId</t>
  </si>
  <si>
    <t>LowIsTransSpecifyTime</t>
  </si>
  <si>
    <t>LowTransStartTime</t>
  </si>
  <si>
    <t>LowTransDuration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</si>
  <si>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</si>
  <si>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int</t>
  </si>
  <si>
    <t>double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</si>
  <si>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</si>
  <si>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</si>
  <si>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</si>
  <si>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MSTId</t>
  </si>
  <si>
    <t>1920</t>
  </si>
  <si>
    <t>1922</t>
  </si>
  <si>
    <t>1923</t>
  </si>
  <si>
    <t>1924</t>
  </si>
  <si>
    <t>7007</t>
  </si>
  <si>
    <t>7008</t>
  </si>
  <si>
    <t>40020207</t>
  </si>
  <si>
    <t>40020208</t>
  </si>
  <si>
    <t>40020307</t>
  </si>
  <si>
    <t>40020308</t>
  </si>
  <si>
    <t>3001507</t>
  </si>
  <si>
    <t>3001508</t>
  </si>
  <si>
    <t>山治唐装</t>
  </si>
  <si>
    <t>40730309</t>
  </si>
  <si>
    <t>40730302</t>
  </si>
  <si>
    <t>40730303</t>
  </si>
  <si>
    <t>40730304</t>
  </si>
  <si>
    <t>40730305</t>
  </si>
  <si>
    <t>40730306</t>
  </si>
  <si>
    <t>40730307</t>
  </si>
  <si>
    <t>40730308</t>
  </si>
  <si>
    <t>40700506</t>
  </si>
  <si>
    <t>40700507</t>
  </si>
  <si>
    <t>40700508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</si>
  <si>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</si>
  <si>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</si>
  <si>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</si>
  <si>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</si>
  <si>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</si>
  <si>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</si>
  <si>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</si>
  <si>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</si>
  <si>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</si>
  <si>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</si>
  <si>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</si>
  <si>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</si>
  <si>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</si>
  <si>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</si>
  <si>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</si>
  <si>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</si>
  <si>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</si>
  <si>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</si>
  <si>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</si>
  <si>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</si>
  <si>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</si>
  <si>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</si>
  <si>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</si>
  <si>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5207</t>
  </si>
  <si>
    <t>226821</t>
  </si>
  <si>
    <t>226822</t>
  </si>
  <si>
    <t>226823</t>
  </si>
  <si>
    <t>226824</t>
  </si>
  <si>
    <t>226825</t>
  </si>
  <si>
    <t>226826</t>
  </si>
  <si>
    <t>226827</t>
  </si>
  <si>
    <t>226828</t>
  </si>
  <si>
    <t>226829</t>
  </si>
  <si>
    <t>226830</t>
  </si>
  <si>
    <t>226831</t>
  </si>
  <si>
    <t>226832</t>
  </si>
  <si>
    <t>226833</t>
  </si>
  <si>
    <t>226834</t>
  </si>
  <si>
    <t>226835</t>
  </si>
  <si>
    <t>226836</t>
  </si>
  <si>
    <t>22682100</t>
  </si>
  <si>
    <t>22682200</t>
  </si>
  <si>
    <t>22682300</t>
  </si>
  <si>
    <t>22682400</t>
  </si>
  <si>
    <t>22682500</t>
  </si>
  <si>
    <t>22682600</t>
  </si>
  <si>
    <t>22682700</t>
  </si>
  <si>
    <t>22682800</t>
  </si>
  <si>
    <t>22682900</t>
  </si>
  <si>
    <t>22683000</t>
  </si>
  <si>
    <t>22683100</t>
  </si>
  <si>
    <t>22683200</t>
  </si>
  <si>
    <t>22683400</t>
  </si>
  <si>
    <t>22683500</t>
  </si>
  <si>
    <t>22680100</t>
  </si>
  <si>
    <t>22680300</t>
  </si>
  <si>
    <t>401030106</t>
  </si>
  <si>
    <t>11308</t>
  </si>
  <si>
    <t>401140106</t>
  </si>
  <si>
    <t>401140107</t>
  </si>
  <si>
    <t>401140105</t>
  </si>
  <si>
    <t>401140206</t>
  </si>
  <si>
    <t>401140207</t>
  </si>
  <si>
    <t>401140205</t>
  </si>
  <si>
    <t>401140306</t>
  </si>
  <si>
    <t>401140307</t>
  </si>
  <si>
    <t>401140305</t>
  </si>
  <si>
    <t>11501</t>
  </si>
  <si>
    <t>4</t>
  </si>
  <si>
    <t>11502</t>
  </si>
  <si>
    <t>3.03333333333333</t>
  </si>
  <si>
    <t>11503</t>
  </si>
  <si>
    <t>5.96666666666667</t>
  </si>
  <si>
    <t>11504</t>
  </si>
  <si>
    <t>4.73333333333333</t>
  </si>
  <si>
    <t>11505</t>
  </si>
  <si>
    <t>2.2</t>
  </si>
  <si>
    <t>11506</t>
  </si>
  <si>
    <t>1.28333333333333</t>
  </si>
  <si>
    <t>11507</t>
  </si>
  <si>
    <t>11508</t>
  </si>
  <si>
    <t>2.66666666666667</t>
  </si>
  <si>
    <t>11509</t>
  </si>
  <si>
    <t>9.1</t>
  </si>
  <si>
    <t>11510</t>
  </si>
  <si>
    <t>13.9</t>
  </si>
  <si>
    <t>11511</t>
  </si>
  <si>
    <t>11.7666666666667</t>
  </si>
  <si>
    <t>11535</t>
  </si>
  <si>
    <t>10000000.1</t>
  </si>
  <si>
    <t>11539</t>
  </si>
  <si>
    <t>0.9</t>
  </si>
  <si>
    <t>11540</t>
  </si>
  <si>
    <t>11520</t>
  </si>
  <si>
    <t>6.16666666666667</t>
  </si>
  <si>
    <t>11522</t>
  </si>
  <si>
    <t>3.36666666666667</t>
  </si>
  <si>
    <t>11523</t>
  </si>
  <si>
    <t>3.4</t>
  </si>
  <si>
    <t>11524</t>
  </si>
  <si>
    <t>3.43333333333333</t>
  </si>
  <si>
    <t>1.43333333333333</t>
  </si>
  <si>
    <t>2.1</t>
  </si>
  <si>
    <t>1.76666666666667</t>
  </si>
  <si>
    <t>401150120</t>
  </si>
  <si>
    <t>401150122</t>
  </si>
  <si>
    <t>401150123</t>
  </si>
  <si>
    <t>401150124</t>
  </si>
  <si>
    <t>401150101</t>
  </si>
  <si>
    <t>401150102</t>
  </si>
  <si>
    <t>401150103</t>
  </si>
  <si>
    <t>401150104</t>
  </si>
  <si>
    <t>401150105</t>
  </si>
  <si>
    <t>401150106</t>
  </si>
  <si>
    <t>401150107</t>
  </si>
  <si>
    <t>401150108</t>
  </si>
  <si>
    <t>401150109</t>
  </si>
  <si>
    <t>401150110</t>
  </si>
  <si>
    <t>401150111</t>
  </si>
  <si>
    <t>401150135</t>
  </si>
  <si>
    <t>401150139</t>
  </si>
  <si>
    <t>401150140</t>
  </si>
  <si>
    <t>401150141</t>
  </si>
  <si>
    <t>401150142</t>
  </si>
  <si>
    <t>401150143</t>
  </si>
  <si>
    <t>401150144</t>
  </si>
  <si>
    <t>401150145</t>
  </si>
  <si>
    <t>401150146</t>
  </si>
  <si>
    <t>401150147</t>
  </si>
  <si>
    <t>401150148</t>
  </si>
  <si>
    <t>401150149</t>
  </si>
  <si>
    <t>13108</t>
  </si>
  <si>
    <t>13104</t>
  </si>
  <si>
    <t>401320101</t>
  </si>
  <si>
    <t>401320102</t>
  </si>
  <si>
    <t>401320104</t>
  </si>
  <si>
    <t>401320106</t>
  </si>
  <si>
    <t>401320103</t>
  </si>
  <si>
    <t>401320105</t>
  </si>
  <si>
    <t>11408</t>
  </si>
  <si>
    <t>401140108</t>
  </si>
  <si>
    <t>401140208</t>
  </si>
  <si>
    <t>401140308</t>
  </si>
  <si>
    <t>401390104</t>
  </si>
  <si>
    <t>401390105</t>
  </si>
  <si>
    <t>401320201</t>
  </si>
  <si>
    <t>401320202</t>
  </si>
  <si>
    <t>401320204</t>
  </si>
  <si>
    <t>401320206</t>
  </si>
  <si>
    <t>401320203</t>
  </si>
  <si>
    <t>401320205</t>
  </si>
  <si>
    <t>401030113</t>
  </si>
  <si>
    <t>404201010</t>
  </si>
  <si>
    <t>404201011</t>
  </si>
  <si>
    <t>404201012</t>
  </si>
  <si>
    <t>3006616</t>
  </si>
  <si>
    <t>401530103</t>
  </si>
  <si>
    <t>401530104</t>
  </si>
  <si>
    <t>401530203</t>
  </si>
  <si>
    <t>401530204</t>
  </si>
  <si>
    <t>401530303</t>
  </si>
  <si>
    <t>401530304</t>
  </si>
  <si>
    <t>401530403</t>
  </si>
  <si>
    <t>401530404</t>
  </si>
  <si>
    <t>401530503</t>
  </si>
  <si>
    <t>401530504</t>
  </si>
  <si>
    <t>3010705</t>
  </si>
  <si>
    <t>3010706</t>
  </si>
  <si>
    <t>3010904</t>
  </si>
  <si>
    <t>3010905</t>
  </si>
  <si>
    <t>3010906</t>
  </si>
  <si>
    <t>3011001</t>
  </si>
  <si>
    <t>3011002</t>
  </si>
  <si>
    <t>3011104</t>
  </si>
  <si>
    <t>3011105</t>
  </si>
  <si>
    <t>3011106</t>
  </si>
  <si>
    <t>3011201</t>
  </si>
  <si>
    <t>3011202</t>
  </si>
  <si>
    <t>3012602</t>
  </si>
  <si>
    <t>40780101</t>
  </si>
  <si>
    <t>40780102</t>
  </si>
  <si>
    <t>40780103</t>
  </si>
  <si>
    <t>40780105</t>
  </si>
  <si>
    <t>40780106</t>
  </si>
  <si>
    <t>40780108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</si>
</sst>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7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28" borderId="7">
      <alignment vertical="center"/>
    </xf>
    <xf numFmtId="0" fontId="12" fillId="29" borderId="8">
      <alignment vertical="center"/>
    </xf>
    <xf numFmtId="0" fontId="13" fillId="29" borderId="7">
      <alignment vertical="center"/>
    </xf>
    <xf numFmtId="0" fontId="14" fillId="30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  <xf numFmtId="0" fontId="20" fillId="38" borderId="0">
      <alignment vertical="center"/>
    </xf>
    <xf numFmtId="0" fontId="21" fillId="39" borderId="0">
      <alignment vertical="center"/>
    </xf>
    <xf numFmtId="0" fontId="21" fillId="40" borderId="0">
      <alignment vertical="center"/>
    </xf>
    <xf numFmtId="0" fontId="20" fillId="41" borderId="0">
      <alignment vertical="center"/>
    </xf>
    <xf numFmtId="0" fontId="20" fillId="42" borderId="0">
      <alignment vertical="center"/>
    </xf>
    <xf numFmtId="0" fontId="21" fillId="43" borderId="0">
      <alignment vertical="center"/>
    </xf>
    <xf numFmtId="0" fontId="21" fillId="44" borderId="0">
      <alignment vertical="center"/>
    </xf>
    <xf numFmtId="0" fontId="20" fillId="45" borderId="0">
      <alignment vertical="center"/>
    </xf>
    <xf numFmtId="0" fontId="20" fillId="12" borderId="0">
      <alignment vertical="center"/>
    </xf>
    <xf numFmtId="0" fontId="21" fillId="46" borderId="0">
      <alignment vertical="center"/>
    </xf>
    <xf numFmtId="0" fontId="21" fillId="47" borderId="0">
      <alignment vertical="center"/>
    </xf>
    <xf numFmtId="0" fontId="20" fillId="48" borderId="0">
      <alignment vertical="center"/>
    </xf>
    <xf numFmtId="0" fontId="20" fillId="49" borderId="0">
      <alignment vertical="center"/>
    </xf>
    <xf numFmtId="0" fontId="21" fillId="50" borderId="0">
      <alignment vertical="center"/>
    </xf>
    <xf numFmtId="0" fontId="21" fillId="51" borderId="0">
      <alignment vertical="center"/>
    </xf>
    <xf numFmtId="0" fontId="20" fillId="52" borderId="0">
      <alignment vertical="center"/>
    </xf>
    <xf numFmtId="0" fontId="20" fillId="53" borderId="0">
      <alignment vertical="center"/>
    </xf>
    <xf numFmtId="0" fontId="21" fillId="54" borderId="0">
      <alignment vertical="center"/>
    </xf>
    <xf numFmtId="0" fontId="21" fillId="55" borderId="0">
      <alignment vertical="center"/>
    </xf>
    <xf numFmtId="0" fontId="20" fillId="56" borderId="0">
      <alignment vertical="center"/>
    </xf>
  </cellStyleXfs>
  <cellXfs count="64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/>
    </xf>
    <xf numFmtId="49" fontId="0" fillId="0" borderId="1" xfId="0" applyNumberFormat="1" applyFont="1" applyFill="1" applyBorder="1" applyAlignment="1" applyProtection="1">
      <alignment horizontal="right" vertical="center"/>
    </xf>
    <xf numFmtId="49" fontId="0" fillId="3" borderId="1" xfId="0" applyNumberFormat="1" applyFont="1" applyFill="1" applyBorder="1" applyAlignment="1" applyProtection="1">
      <alignment vertical="center"/>
    </xf>
    <xf numFmtId="49" fontId="0" fillId="1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13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49" fontId="0" fillId="0" borderId="1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2" fillId="4" borderId="0" xfId="0" applyNumberFormat="1" applyFont="1" applyFill="1" applyBorder="1" applyAlignment="1" applyProtection="1">
      <alignment vertical="center"/>
    </xf>
    <xf numFmtId="0" fontId="2" fillId="5" borderId="0" xfId="0" applyNumberFormat="1" applyFont="1" applyFill="1" applyBorder="1" applyAlignment="1" applyProtection="1">
      <alignment vertical="center"/>
    </xf>
    <xf numFmtId="49" fontId="0" fillId="6" borderId="1" xfId="0" applyNumberFormat="1" applyFont="1" applyFill="1" applyBorder="1" applyAlignment="1" applyProtection="1">
      <alignment horizontal="right" vertical="center"/>
    </xf>
    <xf numFmtId="0" fontId="0" fillId="16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49" fontId="0" fillId="5" borderId="1" xfId="0" applyNumberFormat="1" applyFont="1" applyFill="1" applyBorder="1" applyAlignment="1" applyProtection="1">
      <alignment vertical="center"/>
    </xf>
    <xf numFmtId="49" fontId="0" fillId="8" borderId="1" xfId="0" applyNumberFormat="1" applyFont="1" applyFill="1" applyBorder="1" applyAlignment="1" applyProtection="1">
      <alignment vertical="center"/>
    </xf>
    <xf numFmtId="49" fontId="0" fillId="9" borderId="1" xfId="0" applyNumberFormat="1" applyFont="1" applyFill="1" applyBorder="1" applyAlignment="1" applyProtection="1">
      <alignment vertical="center"/>
    </xf>
    <xf numFmtId="49" fontId="0" fillId="10" borderId="1" xfId="0" applyNumberFormat="1" applyFont="1" applyFill="1" applyBorder="1" applyAlignment="1" applyProtection="1">
      <alignment vertical="center"/>
    </xf>
    <xf numFmtId="49" fontId="0" fillId="17" borderId="1" xfId="0" applyNumberFormat="1" applyFont="1" applyFill="1" applyBorder="1" applyAlignment="1" applyProtection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2" fillId="20" borderId="0" xfId="0" applyNumberFormat="1" applyFont="1" applyFill="1" applyBorder="1" applyAlignment="1" applyProtection="1">
      <alignment vertical="center"/>
    </xf>
    <xf numFmtId="0" fontId="2" fillId="16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2" fillId="21" borderId="2" xfId="0" applyNumberFormat="1" applyFont="1" applyFill="1" applyBorder="1" applyAlignment="1" applyProtection="1">
      <alignment vertical="center"/>
    </xf>
    <xf numFmtId="0" fontId="1" fillId="2" borderId="0" xfId="0" applyNumberFormat="1" applyFont="1" applyFill="1" applyBorder="1" applyAlignment="1" applyProtection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0" fontId="0" fillId="3" borderId="0" xfId="0" applyFill="1" applyAlignment="1" applyProtection="1">
      <alignment vertical="center"/>
    </xf>
    <xf numFmtId="49" fontId="0" fillId="3" borderId="1" xfId="0" applyNumberFormat="1" applyFill="1" applyBorder="1" applyAlignment="1" applyProtection="1">
      <alignment vertical="center"/>
    </xf>
    <xf numFmtId="49" fontId="0" fillId="7" borderId="1" xfId="0" applyNumberFormat="1" applyFill="1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49" fontId="0" fillId="9" borderId="1" xfId="0" applyNumberFormat="1" applyFill="1" applyBorder="1" applyAlignment="1" applyProtection="1">
      <alignment vertical="center"/>
    </xf>
    <xf numFmtId="49" fontId="0" fillId="22" borderId="1" xfId="0" applyNumberFormat="1" applyFill="1" applyBorder="1" applyAlignment="1" applyProtection="1">
      <alignment vertical="center"/>
    </xf>
    <xf numFmtId="0" fontId="0" fillId="23" borderId="1" xfId="0" applyFill="1" applyBorder="1" applyAlignment="1" applyProtection="1">
      <alignment horizontal="left" vertical="center"/>
    </xf>
    <xf numFmtId="49" fontId="0" fillId="24" borderId="1" xfId="0" applyNumberFormat="1" applyFill="1" applyBorder="1" applyAlignment="1" applyProtection="1">
      <alignment vertical="center"/>
    </xf>
    <xf numFmtId="0" fontId="0" fillId="7" borderId="2" xfId="0" applyFill="1" applyBorder="1" applyAlignment="1" applyProtection="1">
      <alignment horizontal="left" vertical="center"/>
    </xf>
    <xf numFmtId="0" fontId="0" fillId="22" borderId="2" xfId="0" applyFill="1" applyBorder="1" applyAlignment="1" applyProtection="1">
      <alignment horizontal="left" vertical="center"/>
    </xf>
    <xf numFmtId="0" fontId="0" fillId="22" borderId="2" xfId="0" applyFont="1" applyFill="1" applyBorder="1" applyAlignment="1" applyProtection="1">
      <alignment horizontal="left" vertical="center"/>
    </xf>
    <xf numFmtId="0" fontId="0" fillId="23" borderId="1" xfId="0" applyFont="1" applyFill="1" applyBorder="1" applyAlignment="1" applyProtection="1">
      <alignment horizontal="left" vertical="center"/>
    </xf>
    <xf numFmtId="0" fontId="0" fillId="25" borderId="0" xfId="0" applyFill="1" applyAlignment="1" applyProtection="1">
      <alignment vertical="center"/>
    </xf>
    <xf numFmtId="0" fontId="0" fillId="2" borderId="0" xfId="0" applyFill="1" applyAlignment="1" applyProtection="1">
      <alignment vertical="center"/>
    </xf>
    <xf numFmtId="0" fontId="1" fillId="8" borderId="0" xfId="0" applyNumberFormat="1" applyFont="1" applyFill="1" applyBorder="1" applyAlignment="1" applyProtection="1">
      <alignment vertical="center"/>
    </xf>
    <xf numFmtId="0" fontId="0" fillId="8" borderId="3" xfId="0" applyNumberFormat="1" applyFont="1" applyFill="1" applyBorder="1" applyAlignment="1" applyProtection="1">
      <alignment vertical="center"/>
    </xf>
    <xf numFmtId="0" fontId="0" fillId="4" borderId="3" xfId="0" applyNumberFormat="1" applyFont="1" applyFill="1" applyBorder="1" applyAlignment="1" applyProtection="1">
      <alignment vertical="center"/>
    </xf>
    <xf numFmtId="0" fontId="0" fillId="26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colors>
    <mruColors>
      <color rgb="0033D8E3"/>
      <color rgb="00FF0000"/>
      <color rgb="00FFBD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9"/>
  <sheetViews>
    <sheetView tabSelected="1" zoomScale="115" zoomScaleNormal="115" workbookViewId="0">
      <pane ySplit="6" topLeftCell="A1199" activePane="bottomLeft" state="frozen"/>
      <selection/>
      <selection pane="bottomLeft" activeCell="I1212" sqref="I1212"/>
    </sheetView>
  </sheetViews>
  <sheetFormatPr defaultColWidth="9" defaultRowHeight="15"/>
  <cols>
    <col min="1" max="4" width="15.8285714285714" customWidth="1"/>
    <col min="5" max="5" width="19.752380952381" customWidth="1"/>
    <col min="6" max="6" width="16.752380952381" customWidth="1"/>
    <col min="7" max="7" width="16.8380952380952" customWidth="1"/>
    <col min="8" max="8" width="19.3333333333333" customWidth="1"/>
    <col min="9" max="9" width="11.247619047619" customWidth="1"/>
    <col min="12" max="12" width="39.752380952381" customWidth="1"/>
    <col min="13" max="13" width="18.3333333333333" customWidth="1"/>
    <col min="14" max="14" width="21.8380952380952" customWidth="1"/>
    <col min="15" max="15" width="19.5809523809524" customWidth="1"/>
    <col min="16" max="21" width="18.5047619047619" customWidth="1"/>
  </cols>
  <sheetData>
    <row r="1" spans="1:4">
      <c r="A1">
        <v>7</v>
      </c>
      <c r="B1">
        <v>1</v>
      </c>
      <c r="C1">
        <v>9999</v>
      </c>
      <c r="D1">
        <v>12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</row>
    <row r="4" spans="1:12">
      <c r="A4" t="s">
        <v>25</v>
      </c>
      <c r="B4" t="s">
        <v>26</v>
      </c>
      <c r="C4" t="s">
        <v>26</v>
      </c>
      <c r="D4" t="s">
        <v>26</v>
      </c>
      <c r="E4" t="s">
        <v>26</v>
      </c>
      <c r="F4" t="s">
        <v>27</v>
      </c>
      <c r="G4" t="s">
        <v>27</v>
      </c>
      <c r="H4" t="s">
        <v>26</v>
      </c>
      <c r="I4" t="s">
        <v>26</v>
      </c>
      <c r="J4" t="s">
        <v>26</v>
      </c>
      <c r="K4" t="s">
        <v>27</v>
      </c>
      <c r="L4" t="s">
        <v>27</v>
      </c>
    </row>
    <row r="5" spans="1:12">
      <c r="A5" t="s">
        <v>28</v>
      </c>
      <c r="B5" t="s">
        <v>29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</row>
    <row r="6" spans="1:1">
      <c r="A6" t="s">
        <v>31</v>
      </c>
    </row>
    <row r="7" spans="1:4">
      <c r="A7">
        <v>1</v>
      </c>
      <c r="B7">
        <v>103</v>
      </c>
      <c r="C7">
        <v>3</v>
      </c>
      <c r="D7">
        <v>4</v>
      </c>
    </row>
    <row r="8" spans="1:4">
      <c r="A8">
        <v>2</v>
      </c>
      <c r="B8">
        <v>104</v>
      </c>
      <c r="C8">
        <v>3</v>
      </c>
      <c r="D8">
        <v>4</v>
      </c>
    </row>
    <row r="9" spans="1:4">
      <c r="A9">
        <v>3</v>
      </c>
      <c r="B9">
        <v>601</v>
      </c>
      <c r="C9">
        <v>19</v>
      </c>
      <c r="D9">
        <v>21</v>
      </c>
    </row>
    <row r="10" spans="1:4">
      <c r="A10">
        <v>4</v>
      </c>
      <c r="B10">
        <v>602</v>
      </c>
      <c r="C10">
        <v>19</v>
      </c>
      <c r="D10">
        <v>21</v>
      </c>
    </row>
    <row r="11" spans="1:4">
      <c r="A11">
        <v>5</v>
      </c>
      <c r="B11">
        <v>604</v>
      </c>
      <c r="C11">
        <v>19</v>
      </c>
      <c r="D11">
        <v>21</v>
      </c>
    </row>
    <row r="12" spans="1:4">
      <c r="A12">
        <v>6</v>
      </c>
      <c r="B12">
        <v>606</v>
      </c>
      <c r="C12">
        <v>22</v>
      </c>
      <c r="D12">
        <v>23</v>
      </c>
    </row>
    <row r="13" spans="1:4">
      <c r="A13">
        <v>7</v>
      </c>
      <c r="B13">
        <v>607</v>
      </c>
      <c r="C13">
        <v>19</v>
      </c>
      <c r="D13">
        <v>20</v>
      </c>
    </row>
    <row r="14" spans="1:4">
      <c r="A14">
        <v>8</v>
      </c>
      <c r="B14">
        <v>608</v>
      </c>
      <c r="C14">
        <v>19</v>
      </c>
      <c r="D14">
        <v>21</v>
      </c>
    </row>
    <row r="15" spans="1:4">
      <c r="A15">
        <v>9</v>
      </c>
      <c r="B15">
        <v>1207</v>
      </c>
      <c r="C15">
        <v>44</v>
      </c>
      <c r="D15">
        <v>45</v>
      </c>
    </row>
    <row r="16" spans="1:4">
      <c r="A16">
        <v>10</v>
      </c>
      <c r="B16">
        <v>1208</v>
      </c>
      <c r="C16">
        <v>44</v>
      </c>
      <c r="D16">
        <v>45</v>
      </c>
    </row>
    <row r="17" spans="1:4">
      <c r="A17">
        <v>11</v>
      </c>
      <c r="B17">
        <v>2802</v>
      </c>
      <c r="C17">
        <v>97</v>
      </c>
      <c r="D17">
        <v>98</v>
      </c>
    </row>
    <row r="18" spans="1:4">
      <c r="A18">
        <v>12</v>
      </c>
      <c r="B18">
        <v>2803</v>
      </c>
      <c r="C18">
        <v>93</v>
      </c>
      <c r="D18">
        <v>94</v>
      </c>
    </row>
    <row r="19" spans="1:4">
      <c r="A19">
        <v>13</v>
      </c>
      <c r="B19">
        <v>2804</v>
      </c>
      <c r="C19">
        <v>97</v>
      </c>
      <c r="D19">
        <v>98</v>
      </c>
    </row>
    <row r="20" spans="1:4">
      <c r="A20">
        <v>14</v>
      </c>
      <c r="B20">
        <v>2805</v>
      </c>
      <c r="C20">
        <v>97</v>
      </c>
      <c r="D20">
        <v>98</v>
      </c>
    </row>
    <row r="21" spans="1:4">
      <c r="A21">
        <v>15</v>
      </c>
      <c r="B21">
        <v>2807</v>
      </c>
      <c r="C21">
        <v>97</v>
      </c>
      <c r="D21">
        <v>98</v>
      </c>
    </row>
    <row r="22" spans="1:4">
      <c r="A22">
        <v>16</v>
      </c>
      <c r="B22">
        <v>2808</v>
      </c>
      <c r="C22">
        <v>97</v>
      </c>
      <c r="D22">
        <v>98</v>
      </c>
    </row>
    <row r="23" s="1" customFormat="1" spans="1:7">
      <c r="A23" s="1">
        <v>17</v>
      </c>
      <c r="B23" s="12" t="s">
        <v>32</v>
      </c>
      <c r="C23" s="1">
        <v>63</v>
      </c>
      <c r="D23" s="1">
        <v>0</v>
      </c>
      <c r="E23" s="1">
        <v>0</v>
      </c>
      <c r="F23" s="1">
        <v>0</v>
      </c>
      <c r="G23" s="1">
        <f>18/30</f>
        <v>0.6</v>
      </c>
    </row>
    <row r="24" s="1" customFormat="1" spans="1:7">
      <c r="A24" s="1">
        <v>19</v>
      </c>
      <c r="B24" s="12" t="s">
        <v>33</v>
      </c>
      <c r="C24" s="1">
        <v>63</v>
      </c>
      <c r="D24" s="1">
        <v>0</v>
      </c>
      <c r="E24" s="1">
        <v>0</v>
      </c>
      <c r="F24" s="1">
        <v>0</v>
      </c>
      <c r="G24" s="1">
        <f>60/30</f>
        <v>2</v>
      </c>
    </row>
    <row r="25" s="1" customFormat="1" spans="1:7">
      <c r="A25" s="1">
        <v>20</v>
      </c>
      <c r="B25" s="12" t="s">
        <v>34</v>
      </c>
      <c r="C25" s="1">
        <v>63</v>
      </c>
      <c r="D25" s="1">
        <v>0</v>
      </c>
      <c r="E25" s="1">
        <v>0</v>
      </c>
      <c r="F25" s="1">
        <v>0</v>
      </c>
      <c r="G25" s="1">
        <f>32/30</f>
        <v>1.06666666666667</v>
      </c>
    </row>
    <row r="26" s="1" customFormat="1" spans="1:7">
      <c r="A26" s="1">
        <v>21</v>
      </c>
      <c r="B26" s="12" t="s">
        <v>35</v>
      </c>
      <c r="C26" s="1">
        <v>63</v>
      </c>
      <c r="D26" s="1">
        <v>0</v>
      </c>
      <c r="E26" s="1">
        <v>0</v>
      </c>
      <c r="F26" s="1">
        <v>0</v>
      </c>
      <c r="G26" s="1">
        <f>105/30</f>
        <v>3.5</v>
      </c>
    </row>
    <row r="27" s="1" customFormat="1" spans="1:7">
      <c r="A27" s="1">
        <v>22</v>
      </c>
      <c r="B27" s="12">
        <v>1925</v>
      </c>
      <c r="C27" s="1">
        <v>63</v>
      </c>
      <c r="D27" s="1">
        <v>0</v>
      </c>
      <c r="E27" s="1">
        <v>0</v>
      </c>
      <c r="F27" s="1">
        <v>0</v>
      </c>
      <c r="G27" s="1">
        <f>60/30</f>
        <v>2</v>
      </c>
    </row>
    <row r="28" spans="1:7">
      <c r="A28">
        <v>26</v>
      </c>
      <c r="B28">
        <v>1406</v>
      </c>
      <c r="C28">
        <v>141</v>
      </c>
      <c r="D28">
        <v>142</v>
      </c>
      <c r="E28">
        <v>1</v>
      </c>
      <c r="F28">
        <v>3.83333333333333</v>
      </c>
      <c r="G28">
        <v>5.4</v>
      </c>
    </row>
    <row r="29" spans="1:7">
      <c r="A29">
        <v>27</v>
      </c>
      <c r="B29">
        <v>4604</v>
      </c>
      <c r="C29">
        <v>217</v>
      </c>
      <c r="D29">
        <v>219</v>
      </c>
      <c r="E29">
        <v>1</v>
      </c>
      <c r="F29">
        <v>1</v>
      </c>
      <c r="G29">
        <v>0.95</v>
      </c>
    </row>
    <row r="30" spans="1:7">
      <c r="A30">
        <v>28</v>
      </c>
      <c r="B30">
        <v>4607</v>
      </c>
      <c r="C30">
        <v>216</v>
      </c>
      <c r="D30">
        <v>218</v>
      </c>
      <c r="E30">
        <v>1</v>
      </c>
      <c r="F30">
        <v>0.5</v>
      </c>
      <c r="G30">
        <v>2.46666666666667</v>
      </c>
    </row>
    <row r="31" spans="1:7">
      <c r="A31">
        <v>29</v>
      </c>
      <c r="B31">
        <v>4606</v>
      </c>
      <c r="C31">
        <v>216</v>
      </c>
      <c r="D31">
        <v>218</v>
      </c>
      <c r="E31">
        <v>1</v>
      </c>
      <c r="F31">
        <v>0.9</v>
      </c>
      <c r="G31">
        <v>5.43333333333333</v>
      </c>
    </row>
    <row r="32" s="1" customFormat="1" spans="1:5">
      <c r="A32" s="1">
        <v>30</v>
      </c>
      <c r="B32" s="1">
        <v>1926</v>
      </c>
      <c r="C32" s="1">
        <v>63</v>
      </c>
      <c r="D32" s="1">
        <v>62</v>
      </c>
      <c r="E32" s="1">
        <v>0</v>
      </c>
    </row>
    <row r="33" s="1" customFormat="1" spans="1:5">
      <c r="A33" s="1">
        <v>31</v>
      </c>
      <c r="B33" s="1">
        <v>1927</v>
      </c>
      <c r="C33" s="1">
        <v>63</v>
      </c>
      <c r="D33" s="1">
        <v>62</v>
      </c>
      <c r="E33" s="1">
        <v>0</v>
      </c>
    </row>
    <row r="34" spans="1:5">
      <c r="A34">
        <v>32</v>
      </c>
      <c r="B34">
        <v>305</v>
      </c>
      <c r="D34">
        <v>481</v>
      </c>
      <c r="E34">
        <v>0</v>
      </c>
    </row>
    <row r="35" spans="1:7">
      <c r="A35">
        <v>33</v>
      </c>
      <c r="B35">
        <v>5203</v>
      </c>
      <c r="C35">
        <v>0</v>
      </c>
      <c r="D35">
        <v>487</v>
      </c>
      <c r="E35">
        <v>1</v>
      </c>
      <c r="F35">
        <f>10/30</f>
        <v>0.333333333333333</v>
      </c>
      <c r="G35">
        <f>50/30</f>
        <v>1.66666666666667</v>
      </c>
    </row>
    <row r="36" spans="1:5">
      <c r="A36">
        <v>34</v>
      </c>
      <c r="B36">
        <v>1605</v>
      </c>
      <c r="D36">
        <v>503</v>
      </c>
      <c r="E36">
        <v>0</v>
      </c>
    </row>
    <row r="37" spans="1:5">
      <c r="A37">
        <v>35</v>
      </c>
      <c r="B37">
        <v>1621</v>
      </c>
      <c r="D37">
        <v>503</v>
      </c>
      <c r="E37">
        <v>0</v>
      </c>
    </row>
    <row r="38" spans="1:5">
      <c r="A38">
        <v>36</v>
      </c>
      <c r="B38">
        <v>40030105</v>
      </c>
      <c r="D38">
        <v>622</v>
      </c>
      <c r="E38">
        <v>0</v>
      </c>
    </row>
    <row r="39" spans="1:7">
      <c r="A39">
        <v>37</v>
      </c>
      <c r="B39">
        <v>6401</v>
      </c>
      <c r="C39">
        <v>849</v>
      </c>
      <c r="D39">
        <v>850</v>
      </c>
      <c r="E39">
        <v>1</v>
      </c>
      <c r="F39">
        <v>1.3</v>
      </c>
      <c r="G39">
        <v>1.7</v>
      </c>
    </row>
    <row r="40" spans="1:7">
      <c r="A40">
        <v>38</v>
      </c>
      <c r="B40">
        <v>6403</v>
      </c>
      <c r="C40">
        <v>849</v>
      </c>
      <c r="D40">
        <v>850</v>
      </c>
      <c r="E40">
        <v>1</v>
      </c>
      <c r="F40">
        <v>0.133333333333333</v>
      </c>
      <c r="G40">
        <v>1.7</v>
      </c>
    </row>
    <row r="41" spans="1:7">
      <c r="A41">
        <v>39</v>
      </c>
      <c r="B41">
        <v>6404</v>
      </c>
      <c r="C41">
        <v>849</v>
      </c>
      <c r="D41">
        <v>850</v>
      </c>
      <c r="E41">
        <v>1</v>
      </c>
      <c r="F41">
        <v>0.466666666666667</v>
      </c>
      <c r="G41">
        <v>1.2</v>
      </c>
    </row>
    <row r="42" spans="1:7">
      <c r="A42">
        <v>40</v>
      </c>
      <c r="B42">
        <v>6405</v>
      </c>
      <c r="C42">
        <v>849</v>
      </c>
      <c r="D42">
        <v>850</v>
      </c>
      <c r="E42">
        <v>1</v>
      </c>
      <c r="F42">
        <v>0.4</v>
      </c>
      <c r="G42">
        <v>1.8</v>
      </c>
    </row>
    <row r="43" spans="1:5">
      <c r="A43">
        <v>41</v>
      </c>
      <c r="B43">
        <v>6320</v>
      </c>
      <c r="C43">
        <v>0</v>
      </c>
      <c r="D43">
        <v>881</v>
      </c>
      <c r="E43">
        <v>0</v>
      </c>
    </row>
    <row r="44" spans="1:5">
      <c r="A44">
        <v>42</v>
      </c>
      <c r="B44">
        <v>6322</v>
      </c>
      <c r="C44">
        <v>0</v>
      </c>
      <c r="D44">
        <v>881</v>
      </c>
      <c r="E44">
        <v>0</v>
      </c>
    </row>
    <row r="45" spans="1:7">
      <c r="A45">
        <v>43</v>
      </c>
      <c r="B45">
        <v>6603</v>
      </c>
      <c r="C45">
        <v>882</v>
      </c>
      <c r="D45">
        <v>887</v>
      </c>
      <c r="E45">
        <v>1</v>
      </c>
      <c r="F45">
        <f>19/30</f>
        <v>0.633333333333333</v>
      </c>
      <c r="G45">
        <f>35/30</f>
        <v>1.16666666666667</v>
      </c>
    </row>
    <row r="46" spans="1:7">
      <c r="A46">
        <v>44</v>
      </c>
      <c r="B46">
        <v>6604</v>
      </c>
      <c r="C46">
        <v>882</v>
      </c>
      <c r="D46">
        <v>887</v>
      </c>
      <c r="E46">
        <v>1</v>
      </c>
      <c r="F46">
        <f>7/30</f>
        <v>0.233333333333333</v>
      </c>
      <c r="G46">
        <f>43/30</f>
        <v>1.43333333333333</v>
      </c>
    </row>
    <row r="47" spans="1:7">
      <c r="A47">
        <v>45</v>
      </c>
      <c r="B47">
        <v>6606</v>
      </c>
      <c r="C47">
        <v>882</v>
      </c>
      <c r="D47">
        <v>887</v>
      </c>
      <c r="E47">
        <v>1</v>
      </c>
      <c r="F47">
        <f>43/30</f>
        <v>1.43333333333333</v>
      </c>
      <c r="G47">
        <f>232/30</f>
        <v>7.73333333333333</v>
      </c>
    </row>
    <row r="48" spans="1:7">
      <c r="A48">
        <v>46</v>
      </c>
      <c r="B48">
        <v>6606</v>
      </c>
      <c r="C48">
        <v>886</v>
      </c>
      <c r="D48">
        <v>884</v>
      </c>
      <c r="E48">
        <v>1</v>
      </c>
      <c r="F48">
        <f>43/30</f>
        <v>1.43333333333333</v>
      </c>
      <c r="G48">
        <f>232/30</f>
        <v>7.73333333333333</v>
      </c>
    </row>
    <row r="49" spans="1:7">
      <c r="A49">
        <v>47</v>
      </c>
      <c r="B49">
        <v>6607</v>
      </c>
      <c r="C49">
        <v>882</v>
      </c>
      <c r="D49">
        <v>887</v>
      </c>
      <c r="E49">
        <v>1</v>
      </c>
      <c r="F49">
        <f>5/30</f>
        <v>0.166666666666667</v>
      </c>
      <c r="G49">
        <f>195/30</f>
        <v>6.5</v>
      </c>
    </row>
    <row r="50" spans="1:7">
      <c r="A50">
        <v>48</v>
      </c>
      <c r="B50">
        <v>6607</v>
      </c>
      <c r="C50">
        <v>886</v>
      </c>
      <c r="D50">
        <v>884</v>
      </c>
      <c r="E50">
        <v>1</v>
      </c>
      <c r="F50">
        <f>5/30</f>
        <v>0.166666666666667</v>
      </c>
      <c r="G50">
        <f>195/30</f>
        <v>6.5</v>
      </c>
    </row>
    <row r="51" spans="1:7">
      <c r="A51">
        <v>49</v>
      </c>
      <c r="B51">
        <v>6608</v>
      </c>
      <c r="C51">
        <v>882</v>
      </c>
      <c r="D51">
        <v>887</v>
      </c>
      <c r="E51">
        <v>1</v>
      </c>
      <c r="F51">
        <f>1/30</f>
        <v>0.0333333333333333</v>
      </c>
      <c r="G51">
        <f>225/30</f>
        <v>7.5</v>
      </c>
    </row>
    <row r="52" spans="1:5">
      <c r="A52">
        <v>50</v>
      </c>
      <c r="B52">
        <v>116308</v>
      </c>
      <c r="D52">
        <v>788</v>
      </c>
      <c r="E52">
        <v>0</v>
      </c>
    </row>
    <row r="53" spans="1:5">
      <c r="A53">
        <v>51</v>
      </c>
      <c r="B53">
        <v>118205</v>
      </c>
      <c r="D53">
        <v>916</v>
      </c>
      <c r="E53">
        <v>0</v>
      </c>
    </row>
    <row r="54" spans="1:5">
      <c r="A54">
        <v>52</v>
      </c>
      <c r="B54">
        <v>118205</v>
      </c>
      <c r="D54">
        <v>917</v>
      </c>
      <c r="E54">
        <v>0</v>
      </c>
    </row>
    <row r="55" spans="1:7">
      <c r="A55">
        <v>53</v>
      </c>
      <c r="B55" s="13" t="s">
        <v>36</v>
      </c>
      <c r="C55">
        <v>983</v>
      </c>
      <c r="D55">
        <v>0</v>
      </c>
      <c r="E55">
        <v>1</v>
      </c>
      <c r="F55">
        <v>0</v>
      </c>
      <c r="G55">
        <v>8.16666666666667</v>
      </c>
    </row>
    <row r="56" spans="1:7">
      <c r="A56">
        <v>54</v>
      </c>
      <c r="B56" s="13" t="s">
        <v>37</v>
      </c>
      <c r="C56">
        <v>981</v>
      </c>
      <c r="D56">
        <v>984</v>
      </c>
      <c r="E56">
        <v>1</v>
      </c>
      <c r="F56">
        <v>0</v>
      </c>
      <c r="G56">
        <v>11.3333333333333</v>
      </c>
    </row>
    <row r="57" spans="1:7">
      <c r="A57">
        <v>55</v>
      </c>
      <c r="B57" s="13" t="s">
        <v>37</v>
      </c>
      <c r="C57">
        <v>982</v>
      </c>
      <c r="D57">
        <v>0</v>
      </c>
      <c r="E57">
        <v>1</v>
      </c>
      <c r="F57">
        <v>0</v>
      </c>
      <c r="G57">
        <v>11.3333333333333</v>
      </c>
    </row>
    <row r="58" spans="1:7">
      <c r="A58">
        <v>56</v>
      </c>
      <c r="B58" s="13" t="s">
        <v>37</v>
      </c>
      <c r="C58">
        <v>983</v>
      </c>
      <c r="D58">
        <v>986</v>
      </c>
      <c r="E58">
        <v>1</v>
      </c>
      <c r="F58">
        <v>0</v>
      </c>
      <c r="G58">
        <v>11.3333333333333</v>
      </c>
    </row>
    <row r="59" spans="1:7">
      <c r="A59">
        <v>57</v>
      </c>
      <c r="B59" s="14" t="s">
        <v>38</v>
      </c>
      <c r="C59">
        <v>989</v>
      </c>
      <c r="D59">
        <v>0</v>
      </c>
      <c r="E59">
        <v>1</v>
      </c>
      <c r="F59">
        <v>0</v>
      </c>
      <c r="G59">
        <v>8.16666666666667</v>
      </c>
    </row>
    <row r="60" spans="1:7">
      <c r="A60">
        <v>58</v>
      </c>
      <c r="B60" s="14" t="s">
        <v>39</v>
      </c>
      <c r="C60">
        <v>987</v>
      </c>
      <c r="D60">
        <v>990</v>
      </c>
      <c r="E60">
        <v>1</v>
      </c>
      <c r="F60">
        <v>0</v>
      </c>
      <c r="G60">
        <v>11.3333333333333</v>
      </c>
    </row>
    <row r="61" spans="1:7">
      <c r="A61">
        <v>59</v>
      </c>
      <c r="B61" s="14" t="s">
        <v>39</v>
      </c>
      <c r="C61">
        <v>988</v>
      </c>
      <c r="D61">
        <v>0</v>
      </c>
      <c r="E61">
        <v>1</v>
      </c>
      <c r="F61">
        <v>0</v>
      </c>
      <c r="G61">
        <v>11.3333333333333</v>
      </c>
    </row>
    <row r="62" spans="1:7">
      <c r="A62">
        <v>60</v>
      </c>
      <c r="B62" s="14" t="s">
        <v>39</v>
      </c>
      <c r="C62">
        <v>989</v>
      </c>
      <c r="D62">
        <v>992</v>
      </c>
      <c r="E62">
        <v>1</v>
      </c>
      <c r="F62">
        <v>0</v>
      </c>
      <c r="G62">
        <v>11.3333333333333</v>
      </c>
    </row>
    <row r="63" spans="1:7">
      <c r="A63">
        <v>61</v>
      </c>
      <c r="B63" s="15" t="s">
        <v>40</v>
      </c>
      <c r="C63">
        <v>1006</v>
      </c>
      <c r="D63">
        <v>0</v>
      </c>
      <c r="E63">
        <v>1</v>
      </c>
      <c r="F63">
        <v>0</v>
      </c>
      <c r="G63">
        <v>8.16666666666667</v>
      </c>
    </row>
    <row r="64" spans="1:7">
      <c r="A64">
        <v>62</v>
      </c>
      <c r="B64" s="15" t="s">
        <v>41</v>
      </c>
      <c r="C64">
        <v>1004</v>
      </c>
      <c r="D64">
        <v>1007</v>
      </c>
      <c r="E64">
        <v>1</v>
      </c>
      <c r="F64">
        <v>0</v>
      </c>
      <c r="G64">
        <v>11.3333333333333</v>
      </c>
    </row>
    <row r="65" spans="1:7">
      <c r="A65">
        <v>63</v>
      </c>
      <c r="B65" s="15" t="s">
        <v>41</v>
      </c>
      <c r="C65">
        <v>1005</v>
      </c>
      <c r="D65">
        <v>0</v>
      </c>
      <c r="E65">
        <v>1</v>
      </c>
      <c r="F65">
        <v>0</v>
      </c>
      <c r="G65">
        <v>11.3333333333333</v>
      </c>
    </row>
    <row r="66" spans="1:7">
      <c r="A66">
        <v>64</v>
      </c>
      <c r="B66" s="15" t="s">
        <v>41</v>
      </c>
      <c r="C66">
        <v>1006</v>
      </c>
      <c r="D66">
        <v>1009</v>
      </c>
      <c r="E66">
        <v>1</v>
      </c>
      <c r="F66">
        <v>0</v>
      </c>
      <c r="G66">
        <v>11.3333333333333</v>
      </c>
    </row>
    <row r="67" spans="1:7">
      <c r="A67">
        <v>65</v>
      </c>
      <c r="B67">
        <v>7006</v>
      </c>
      <c r="C67">
        <v>981</v>
      </c>
      <c r="D67">
        <v>0</v>
      </c>
      <c r="E67">
        <v>1</v>
      </c>
      <c r="F67">
        <f>34/30</f>
        <v>1.13333333333333</v>
      </c>
      <c r="G67">
        <f t="shared" ref="G67:G69" si="0">366/30</f>
        <v>12.2</v>
      </c>
    </row>
    <row r="68" spans="1:7">
      <c r="A68">
        <v>66</v>
      </c>
      <c r="B68">
        <v>40020206</v>
      </c>
      <c r="C68">
        <v>987</v>
      </c>
      <c r="D68">
        <v>0</v>
      </c>
      <c r="E68">
        <v>1</v>
      </c>
      <c r="F68">
        <f>34/30</f>
        <v>1.13333333333333</v>
      </c>
      <c r="G68">
        <f t="shared" si="0"/>
        <v>12.2</v>
      </c>
    </row>
    <row r="69" spans="1:7">
      <c r="A69">
        <v>67</v>
      </c>
      <c r="B69">
        <v>40020306</v>
      </c>
      <c r="C69">
        <v>1004</v>
      </c>
      <c r="D69">
        <v>0</v>
      </c>
      <c r="E69">
        <v>1</v>
      </c>
      <c r="F69">
        <f>34/30</f>
        <v>1.13333333333333</v>
      </c>
      <c r="G69">
        <f t="shared" si="0"/>
        <v>12.2</v>
      </c>
    </row>
    <row r="70" spans="1:7">
      <c r="A70">
        <v>68</v>
      </c>
      <c r="B70" s="16" t="s">
        <v>42</v>
      </c>
      <c r="C70" s="17">
        <v>1048</v>
      </c>
      <c r="D70">
        <v>0</v>
      </c>
      <c r="E70">
        <v>1</v>
      </c>
      <c r="F70">
        <v>0</v>
      </c>
      <c r="G70">
        <v>8.16666666666667</v>
      </c>
    </row>
    <row r="71" spans="1:7">
      <c r="A71">
        <v>69</v>
      </c>
      <c r="B71" s="16" t="s">
        <v>43</v>
      </c>
      <c r="C71">
        <v>1046</v>
      </c>
      <c r="D71">
        <v>1049</v>
      </c>
      <c r="E71">
        <v>1</v>
      </c>
      <c r="F71">
        <v>0</v>
      </c>
      <c r="G71">
        <v>11.3333333333333</v>
      </c>
    </row>
    <row r="72" spans="1:7">
      <c r="A72">
        <v>70</v>
      </c>
      <c r="B72" s="16" t="s">
        <v>43</v>
      </c>
      <c r="C72">
        <v>1047</v>
      </c>
      <c r="D72">
        <v>0</v>
      </c>
      <c r="E72">
        <v>1</v>
      </c>
      <c r="F72">
        <v>0</v>
      </c>
      <c r="G72">
        <v>11.3333333333333</v>
      </c>
    </row>
    <row r="73" spans="1:7">
      <c r="A73">
        <v>71</v>
      </c>
      <c r="B73" s="16" t="s">
        <v>43</v>
      </c>
      <c r="C73">
        <v>1048</v>
      </c>
      <c r="D73">
        <v>1051</v>
      </c>
      <c r="E73">
        <v>1</v>
      </c>
      <c r="F73">
        <v>0</v>
      </c>
      <c r="G73">
        <v>11.3333333333333</v>
      </c>
    </row>
    <row r="74" spans="1:7">
      <c r="A74">
        <v>72</v>
      </c>
      <c r="B74" s="16">
        <v>3001506</v>
      </c>
      <c r="C74">
        <v>1046</v>
      </c>
      <c r="D74">
        <v>0</v>
      </c>
      <c r="E74">
        <v>1</v>
      </c>
      <c r="F74">
        <v>1.13333333333333</v>
      </c>
      <c r="G74">
        <v>12.2</v>
      </c>
    </row>
    <row r="75" spans="1:7">
      <c r="A75">
        <v>73</v>
      </c>
      <c r="B75">
        <v>7801</v>
      </c>
      <c r="C75">
        <v>1063</v>
      </c>
      <c r="D75">
        <v>1064</v>
      </c>
      <c r="E75">
        <v>1</v>
      </c>
      <c r="F75">
        <f>34/30</f>
        <v>1.13333333333333</v>
      </c>
      <c r="G75">
        <f>56/30-34/30</f>
        <v>0.733333333333333</v>
      </c>
    </row>
    <row r="76" spans="1:7">
      <c r="A76">
        <v>74</v>
      </c>
      <c r="B76">
        <v>7802</v>
      </c>
      <c r="C76">
        <v>1063</v>
      </c>
      <c r="D76">
        <v>1064</v>
      </c>
      <c r="E76">
        <v>1</v>
      </c>
      <c r="F76">
        <v>0.266666666666667</v>
      </c>
      <c r="G76">
        <f>49/30-F76</f>
        <v>1.36666666666667</v>
      </c>
    </row>
    <row r="77" spans="1:7">
      <c r="A77">
        <v>75</v>
      </c>
      <c r="B77">
        <v>7803</v>
      </c>
      <c r="C77">
        <v>1063</v>
      </c>
      <c r="D77">
        <v>1064</v>
      </c>
      <c r="E77">
        <v>1</v>
      </c>
      <c r="F77">
        <f>25/30</f>
        <v>0.833333333333333</v>
      </c>
      <c r="G77">
        <f>79/30-F77</f>
        <v>1.8</v>
      </c>
    </row>
    <row r="78" spans="1:7">
      <c r="A78">
        <v>76</v>
      </c>
      <c r="B78">
        <v>7805</v>
      </c>
      <c r="C78">
        <v>1063</v>
      </c>
      <c r="D78">
        <v>1064</v>
      </c>
      <c r="E78">
        <v>1</v>
      </c>
      <c r="F78">
        <f>31/30</f>
        <v>1.03333333333333</v>
      </c>
      <c r="G78">
        <f>57/30-F78</f>
        <v>0.866666666666666</v>
      </c>
    </row>
    <row r="79" spans="1:7">
      <c r="A79">
        <v>77</v>
      </c>
      <c r="B79">
        <v>7806</v>
      </c>
      <c r="C79">
        <v>1063</v>
      </c>
      <c r="D79">
        <v>1064</v>
      </c>
      <c r="E79">
        <v>1</v>
      </c>
      <c r="F79">
        <f>42/30</f>
        <v>1.4</v>
      </c>
      <c r="G79">
        <f>158/30-F79</f>
        <v>3.86666666666667</v>
      </c>
    </row>
    <row r="80" spans="1:7">
      <c r="A80">
        <v>78</v>
      </c>
      <c r="B80">
        <v>7808</v>
      </c>
      <c r="C80">
        <v>1063</v>
      </c>
      <c r="D80">
        <v>1064</v>
      </c>
      <c r="E80">
        <v>1</v>
      </c>
      <c r="F80">
        <v>3.36666666666667</v>
      </c>
      <c r="G80">
        <f>246/30-F80</f>
        <v>4.83333333333333</v>
      </c>
    </row>
    <row r="81" spans="1:7">
      <c r="A81">
        <v>79</v>
      </c>
      <c r="B81">
        <v>40020406</v>
      </c>
      <c r="C81">
        <v>1075</v>
      </c>
      <c r="D81">
        <v>0</v>
      </c>
      <c r="E81">
        <v>1</v>
      </c>
      <c r="F81">
        <f>34/30</f>
        <v>1.13333333333333</v>
      </c>
      <c r="G81">
        <f>366/30</f>
        <v>12.2</v>
      </c>
    </row>
    <row r="82" spans="1:7">
      <c r="A82">
        <v>80</v>
      </c>
      <c r="B82">
        <v>40020407</v>
      </c>
      <c r="C82">
        <v>1077</v>
      </c>
      <c r="D82">
        <v>0</v>
      </c>
      <c r="E82">
        <v>1</v>
      </c>
      <c r="F82">
        <v>0</v>
      </c>
      <c r="G82">
        <v>8.16666666666667</v>
      </c>
    </row>
    <row r="83" spans="1:7">
      <c r="A83">
        <v>81</v>
      </c>
      <c r="B83">
        <v>40020408</v>
      </c>
      <c r="C83">
        <v>1075</v>
      </c>
      <c r="D83">
        <v>1078</v>
      </c>
      <c r="E83">
        <v>1</v>
      </c>
      <c r="F83">
        <v>0</v>
      </c>
      <c r="G83">
        <v>11.3333333333333</v>
      </c>
    </row>
    <row r="84" spans="1:7">
      <c r="A84">
        <v>82</v>
      </c>
      <c r="B84">
        <v>40020408</v>
      </c>
      <c r="C84">
        <v>1076</v>
      </c>
      <c r="D84">
        <v>0</v>
      </c>
      <c r="E84">
        <v>1</v>
      </c>
      <c r="F84">
        <v>0</v>
      </c>
      <c r="G84">
        <v>11.3333333333333</v>
      </c>
    </row>
    <row r="85" spans="1:7">
      <c r="A85">
        <v>83</v>
      </c>
      <c r="B85">
        <v>40020408</v>
      </c>
      <c r="C85">
        <v>1077</v>
      </c>
      <c r="D85">
        <v>1080</v>
      </c>
      <c r="E85">
        <v>1</v>
      </c>
      <c r="F85">
        <v>0</v>
      </c>
      <c r="G85">
        <v>11.3333333333333</v>
      </c>
    </row>
    <row r="86" spans="1:7">
      <c r="A86">
        <v>84</v>
      </c>
      <c r="B86">
        <v>7102</v>
      </c>
      <c r="C86">
        <v>1164</v>
      </c>
      <c r="D86">
        <v>1162</v>
      </c>
      <c r="E86">
        <v>1</v>
      </c>
      <c r="F86">
        <v>0.433333333333333</v>
      </c>
      <c r="G86">
        <v>1.5</v>
      </c>
    </row>
    <row r="87" spans="1:7">
      <c r="A87">
        <v>85</v>
      </c>
      <c r="B87">
        <v>7103</v>
      </c>
      <c r="C87">
        <v>1164</v>
      </c>
      <c r="D87">
        <v>1162</v>
      </c>
      <c r="E87">
        <v>1</v>
      </c>
      <c r="F87">
        <v>0.633333333333333</v>
      </c>
      <c r="G87">
        <v>1.7</v>
      </c>
    </row>
    <row r="88" spans="1:7">
      <c r="A88">
        <v>86</v>
      </c>
      <c r="B88">
        <v>7104</v>
      </c>
      <c r="C88">
        <v>1164</v>
      </c>
      <c r="D88">
        <v>1163</v>
      </c>
      <c r="E88">
        <v>1</v>
      </c>
      <c r="F88">
        <v>0.433333333333333</v>
      </c>
      <c r="G88">
        <v>0.4</v>
      </c>
    </row>
    <row r="89" spans="1:7">
      <c r="A89">
        <v>87</v>
      </c>
      <c r="B89">
        <v>7104</v>
      </c>
      <c r="C89">
        <v>1164</v>
      </c>
      <c r="D89">
        <v>1162</v>
      </c>
      <c r="E89">
        <v>1</v>
      </c>
      <c r="F89">
        <v>0.833333333333333</v>
      </c>
      <c r="G89">
        <v>1.66666666666667</v>
      </c>
    </row>
    <row r="90" spans="1:7">
      <c r="A90">
        <v>88</v>
      </c>
      <c r="B90">
        <v>7105</v>
      </c>
      <c r="C90">
        <v>0</v>
      </c>
      <c r="D90">
        <v>1163</v>
      </c>
      <c r="E90">
        <v>1</v>
      </c>
      <c r="F90">
        <v>1.1</v>
      </c>
      <c r="G90">
        <v>5.06666666666667</v>
      </c>
    </row>
    <row r="91" spans="1:7">
      <c r="A91">
        <v>89</v>
      </c>
      <c r="B91">
        <v>40010302</v>
      </c>
      <c r="C91">
        <v>1195</v>
      </c>
      <c r="D91">
        <v>1192</v>
      </c>
      <c r="E91">
        <v>1</v>
      </c>
      <c r="F91">
        <v>0.433333333333333</v>
      </c>
      <c r="G91">
        <v>1.5</v>
      </c>
    </row>
    <row r="92" spans="1:7">
      <c r="A92">
        <v>90</v>
      </c>
      <c r="B92">
        <v>40010303</v>
      </c>
      <c r="C92">
        <v>1195</v>
      </c>
      <c r="D92">
        <v>1192</v>
      </c>
      <c r="E92">
        <v>1</v>
      </c>
      <c r="F92">
        <v>0.633333333333333</v>
      </c>
      <c r="G92">
        <v>1.7</v>
      </c>
    </row>
    <row r="93" spans="1:7">
      <c r="A93">
        <v>91</v>
      </c>
      <c r="B93">
        <v>40010304</v>
      </c>
      <c r="C93">
        <v>1195</v>
      </c>
      <c r="D93">
        <v>1193</v>
      </c>
      <c r="E93">
        <v>1</v>
      </c>
      <c r="F93">
        <v>0.433333333333333</v>
      </c>
      <c r="G93">
        <v>0.4</v>
      </c>
    </row>
    <row r="94" spans="1:7">
      <c r="A94">
        <v>92</v>
      </c>
      <c r="B94">
        <v>40010304</v>
      </c>
      <c r="C94">
        <v>1195</v>
      </c>
      <c r="D94">
        <v>1192</v>
      </c>
      <c r="E94">
        <v>1</v>
      </c>
      <c r="F94">
        <v>0.833333333333333</v>
      </c>
      <c r="G94">
        <v>1.66666666666667</v>
      </c>
    </row>
    <row r="95" spans="1:7">
      <c r="A95">
        <v>93</v>
      </c>
      <c r="B95">
        <v>40010305</v>
      </c>
      <c r="C95">
        <v>0</v>
      </c>
      <c r="D95">
        <v>1193</v>
      </c>
      <c r="E95">
        <v>1</v>
      </c>
      <c r="F95">
        <v>1.1</v>
      </c>
      <c r="G95">
        <v>5.06666666666667</v>
      </c>
    </row>
    <row r="96" spans="1:7">
      <c r="A96">
        <v>94</v>
      </c>
      <c r="B96">
        <v>7903</v>
      </c>
      <c r="C96">
        <v>0</v>
      </c>
      <c r="D96">
        <v>1174</v>
      </c>
      <c r="E96">
        <v>1</v>
      </c>
      <c r="F96">
        <f>3/30</f>
        <v>0.1</v>
      </c>
      <c r="G96">
        <f>47/30</f>
        <v>1.56666666666667</v>
      </c>
    </row>
    <row r="97" spans="1:7">
      <c r="A97">
        <v>95</v>
      </c>
      <c r="B97">
        <v>7904</v>
      </c>
      <c r="C97">
        <v>0</v>
      </c>
      <c r="D97">
        <v>1174</v>
      </c>
      <c r="E97">
        <v>1</v>
      </c>
      <c r="F97">
        <f>5/30</f>
        <v>0.166666666666667</v>
      </c>
      <c r="G97">
        <f>52/30</f>
        <v>1.73333333333333</v>
      </c>
    </row>
    <row r="98" spans="1:7">
      <c r="A98">
        <v>96</v>
      </c>
      <c r="B98">
        <v>7905</v>
      </c>
      <c r="C98">
        <v>0</v>
      </c>
      <c r="D98">
        <v>1174</v>
      </c>
      <c r="E98">
        <v>1</v>
      </c>
      <c r="F98">
        <f>3/30</f>
        <v>0.1</v>
      </c>
      <c r="G98">
        <f>58/30</f>
        <v>1.93333333333333</v>
      </c>
    </row>
    <row r="99" spans="1:7">
      <c r="A99">
        <v>97</v>
      </c>
      <c r="B99">
        <v>7906</v>
      </c>
      <c r="C99">
        <v>0</v>
      </c>
      <c r="D99">
        <v>1174</v>
      </c>
      <c r="E99">
        <v>1</v>
      </c>
      <c r="F99">
        <f>1/30</f>
        <v>0.0333333333333333</v>
      </c>
      <c r="G99">
        <f>168/30</f>
        <v>5.6</v>
      </c>
    </row>
    <row r="100" spans="1:7">
      <c r="A100">
        <v>98</v>
      </c>
      <c r="B100">
        <v>7907</v>
      </c>
      <c r="C100">
        <v>0</v>
      </c>
      <c r="D100">
        <v>1174</v>
      </c>
      <c r="E100">
        <v>1</v>
      </c>
      <c r="F100">
        <f>1/30</f>
        <v>0.0333333333333333</v>
      </c>
      <c r="G100">
        <f>131/30</f>
        <v>4.36666666666667</v>
      </c>
    </row>
    <row r="101" spans="1:7">
      <c r="A101">
        <v>99</v>
      </c>
      <c r="B101">
        <v>7908</v>
      </c>
      <c r="C101">
        <v>0</v>
      </c>
      <c r="D101">
        <v>1174</v>
      </c>
      <c r="E101">
        <v>1</v>
      </c>
      <c r="F101">
        <f>1/30</f>
        <v>0.0333333333333333</v>
      </c>
      <c r="G101">
        <f>229/30</f>
        <v>7.63333333333333</v>
      </c>
    </row>
    <row r="102" spans="1:7">
      <c r="A102">
        <v>100</v>
      </c>
      <c r="B102">
        <v>7320</v>
      </c>
      <c r="C102">
        <v>0</v>
      </c>
      <c r="D102">
        <v>1025</v>
      </c>
      <c r="E102">
        <v>1</v>
      </c>
      <c r="F102">
        <f>33/30</f>
        <v>1.1</v>
      </c>
      <c r="G102">
        <f>24/30</f>
        <v>0.8</v>
      </c>
    </row>
    <row r="103" s="2" customFormat="1" spans="1:7">
      <c r="A103" s="2">
        <v>101</v>
      </c>
      <c r="B103" s="2">
        <v>7302</v>
      </c>
      <c r="C103" s="2">
        <v>0</v>
      </c>
      <c r="D103" s="2">
        <v>1214</v>
      </c>
      <c r="E103" s="2">
        <v>1</v>
      </c>
      <c r="F103" s="2">
        <f>8/30</f>
        <v>0.266666666666667</v>
      </c>
      <c r="G103" s="2">
        <f>22/30</f>
        <v>0.733333333333333</v>
      </c>
    </row>
    <row r="104" s="2" customFormat="1" spans="1:7">
      <c r="A104" s="2">
        <v>102</v>
      </c>
      <c r="B104" s="2">
        <v>7302</v>
      </c>
      <c r="C104" s="2">
        <v>0</v>
      </c>
      <c r="D104" s="2">
        <v>1025</v>
      </c>
      <c r="E104" s="2">
        <v>1</v>
      </c>
      <c r="F104" s="2">
        <f>35/30</f>
        <v>1.16666666666667</v>
      </c>
      <c r="G104" s="2">
        <f>14/30</f>
        <v>0.466666666666667</v>
      </c>
    </row>
    <row r="105" s="3" customFormat="1" spans="1:7">
      <c r="A105" s="3">
        <v>103</v>
      </c>
      <c r="B105" s="3">
        <v>7303</v>
      </c>
      <c r="C105" s="3">
        <v>0</v>
      </c>
      <c r="D105" s="3">
        <v>1214</v>
      </c>
      <c r="E105" s="3">
        <v>1</v>
      </c>
      <c r="F105" s="3">
        <f>10/30</f>
        <v>0.333333333333333</v>
      </c>
      <c r="G105" s="3">
        <f>11/30</f>
        <v>0.366666666666667</v>
      </c>
    </row>
    <row r="106" s="3" customFormat="1" spans="1:7">
      <c r="A106" s="3">
        <v>104</v>
      </c>
      <c r="B106" s="3">
        <v>7303</v>
      </c>
      <c r="C106" s="3">
        <v>0</v>
      </c>
      <c r="D106" s="3">
        <v>1025</v>
      </c>
      <c r="E106" s="3">
        <v>1</v>
      </c>
      <c r="F106" s="3">
        <f>35/30</f>
        <v>1.16666666666667</v>
      </c>
      <c r="G106" s="3">
        <f>17/30</f>
        <v>0.566666666666667</v>
      </c>
    </row>
    <row r="107" s="2" customFormat="1" spans="1:7">
      <c r="A107" s="2">
        <v>105</v>
      </c>
      <c r="B107" s="2">
        <v>7304</v>
      </c>
      <c r="C107" s="2">
        <v>0</v>
      </c>
      <c r="D107" s="2">
        <v>1214</v>
      </c>
      <c r="E107" s="2">
        <v>1</v>
      </c>
      <c r="F107" s="2">
        <f>13/30</f>
        <v>0.433333333333333</v>
      </c>
      <c r="G107" s="2">
        <f>31/30</f>
        <v>1.03333333333333</v>
      </c>
    </row>
    <row r="108" s="2" customFormat="1" spans="1:7">
      <c r="A108" s="2">
        <v>106</v>
      </c>
      <c r="B108" s="2">
        <v>7304</v>
      </c>
      <c r="C108" s="2">
        <v>0</v>
      </c>
      <c r="D108" s="2">
        <v>1025</v>
      </c>
      <c r="E108" s="2">
        <v>1</v>
      </c>
      <c r="F108" s="2">
        <f>13/30</f>
        <v>0.433333333333333</v>
      </c>
      <c r="G108" s="2">
        <f>31/30</f>
        <v>1.03333333333333</v>
      </c>
    </row>
    <row r="109" s="3" customFormat="1" spans="1:7">
      <c r="A109" s="3">
        <v>107</v>
      </c>
      <c r="B109" s="3">
        <v>7305</v>
      </c>
      <c r="C109" s="3">
        <v>0</v>
      </c>
      <c r="D109" s="3">
        <v>1025</v>
      </c>
      <c r="E109" s="3">
        <v>1</v>
      </c>
      <c r="F109" s="3">
        <f>12/30</f>
        <v>0.4</v>
      </c>
      <c r="G109" s="3">
        <f>29/30</f>
        <v>0.966666666666667</v>
      </c>
    </row>
    <row r="110" spans="1:7">
      <c r="A110">
        <v>108</v>
      </c>
      <c r="B110">
        <v>7306</v>
      </c>
      <c r="C110">
        <v>0</v>
      </c>
      <c r="D110">
        <v>1025</v>
      </c>
      <c r="E110">
        <v>1</v>
      </c>
      <c r="F110">
        <f>39/30</f>
        <v>1.3</v>
      </c>
      <c r="G110">
        <f>171/30</f>
        <v>5.7</v>
      </c>
    </row>
    <row r="111" spans="1:7">
      <c r="A111">
        <v>109</v>
      </c>
      <c r="B111">
        <v>7307</v>
      </c>
      <c r="C111">
        <v>0</v>
      </c>
      <c r="D111">
        <v>1025</v>
      </c>
      <c r="E111">
        <v>1</v>
      </c>
      <c r="F111">
        <f>1/30</f>
        <v>0.0333333333333333</v>
      </c>
      <c r="G111">
        <f>259/30</f>
        <v>8.63333333333333</v>
      </c>
    </row>
    <row r="112" spans="1:7">
      <c r="A112">
        <v>110</v>
      </c>
      <c r="B112">
        <v>7307</v>
      </c>
      <c r="C112">
        <v>0</v>
      </c>
      <c r="D112">
        <v>1214</v>
      </c>
      <c r="E112">
        <v>1</v>
      </c>
      <c r="F112">
        <f>105/30</f>
        <v>3.5</v>
      </c>
      <c r="G112">
        <f>155/30</f>
        <v>5.16666666666667</v>
      </c>
    </row>
    <row r="113" spans="1:7">
      <c r="A113">
        <v>111</v>
      </c>
      <c r="B113">
        <v>7308</v>
      </c>
      <c r="C113">
        <v>0</v>
      </c>
      <c r="D113">
        <v>1025</v>
      </c>
      <c r="E113">
        <v>1</v>
      </c>
      <c r="F113">
        <f>56/30</f>
        <v>1.86666666666667</v>
      </c>
      <c r="G113">
        <f>112/30</f>
        <v>3.73333333333333</v>
      </c>
    </row>
    <row r="114" spans="1:13">
      <c r="A114">
        <v>112</v>
      </c>
      <c r="B114">
        <v>40030209</v>
      </c>
      <c r="C114">
        <v>0</v>
      </c>
      <c r="D114">
        <v>1234</v>
      </c>
      <c r="E114">
        <v>1</v>
      </c>
      <c r="F114">
        <v>1.1</v>
      </c>
      <c r="G114">
        <v>0.8</v>
      </c>
      <c r="M114" t="s">
        <v>44</v>
      </c>
    </row>
    <row r="115" spans="1:7">
      <c r="A115">
        <v>113</v>
      </c>
      <c r="B115">
        <v>40030202</v>
      </c>
      <c r="C115">
        <v>0</v>
      </c>
      <c r="D115">
        <v>1235</v>
      </c>
      <c r="E115">
        <v>1</v>
      </c>
      <c r="F115">
        <v>0.266666666666667</v>
      </c>
      <c r="G115">
        <v>0.733333333333333</v>
      </c>
    </row>
    <row r="116" spans="1:7">
      <c r="A116">
        <v>114</v>
      </c>
      <c r="B116">
        <v>40030202</v>
      </c>
      <c r="C116">
        <v>0</v>
      </c>
      <c r="D116">
        <v>1234</v>
      </c>
      <c r="E116">
        <v>1</v>
      </c>
      <c r="F116">
        <v>1.16666666666667</v>
      </c>
      <c r="G116">
        <v>0.466666666666667</v>
      </c>
    </row>
    <row r="117" spans="1:7">
      <c r="A117">
        <v>115</v>
      </c>
      <c r="B117">
        <v>40030203</v>
      </c>
      <c r="C117">
        <v>0</v>
      </c>
      <c r="D117">
        <v>1235</v>
      </c>
      <c r="E117">
        <v>1</v>
      </c>
      <c r="F117">
        <v>0.333333333333333</v>
      </c>
      <c r="G117">
        <v>0.366666666666667</v>
      </c>
    </row>
    <row r="118" spans="1:7">
      <c r="A118">
        <v>116</v>
      </c>
      <c r="B118">
        <v>40030203</v>
      </c>
      <c r="C118">
        <v>0</v>
      </c>
      <c r="D118">
        <v>1234</v>
      </c>
      <c r="E118">
        <v>1</v>
      </c>
      <c r="F118">
        <v>1.16666666666667</v>
      </c>
      <c r="G118">
        <v>0.566666666666667</v>
      </c>
    </row>
    <row r="119" spans="1:7">
      <c r="A119">
        <v>117</v>
      </c>
      <c r="B119">
        <v>40030204</v>
      </c>
      <c r="C119">
        <v>0</v>
      </c>
      <c r="D119">
        <v>1235</v>
      </c>
      <c r="E119">
        <v>1</v>
      </c>
      <c r="F119">
        <v>0.433333333333333</v>
      </c>
      <c r="G119">
        <v>1.03333333333333</v>
      </c>
    </row>
    <row r="120" spans="1:7">
      <c r="A120">
        <v>118</v>
      </c>
      <c r="B120">
        <v>40030204</v>
      </c>
      <c r="C120">
        <v>0</v>
      </c>
      <c r="D120">
        <v>1234</v>
      </c>
      <c r="E120">
        <v>1</v>
      </c>
      <c r="F120">
        <v>0.433333333333333</v>
      </c>
      <c r="G120">
        <v>1.03333333333333</v>
      </c>
    </row>
    <row r="121" spans="1:7">
      <c r="A121">
        <v>119</v>
      </c>
      <c r="B121">
        <v>40030205</v>
      </c>
      <c r="C121">
        <v>0</v>
      </c>
      <c r="D121">
        <v>1234</v>
      </c>
      <c r="E121">
        <v>1</v>
      </c>
      <c r="F121">
        <v>0.4</v>
      </c>
      <c r="G121">
        <v>0.966666666666667</v>
      </c>
    </row>
    <row r="122" spans="1:7">
      <c r="A122">
        <v>120</v>
      </c>
      <c r="B122">
        <v>40030206</v>
      </c>
      <c r="C122">
        <v>0</v>
      </c>
      <c r="D122">
        <v>1234</v>
      </c>
      <c r="E122">
        <v>1</v>
      </c>
      <c r="F122">
        <v>1.3</v>
      </c>
      <c r="G122">
        <v>5.7</v>
      </c>
    </row>
    <row r="123" spans="1:7">
      <c r="A123">
        <v>121</v>
      </c>
      <c r="B123">
        <v>40030207</v>
      </c>
      <c r="C123">
        <v>0</v>
      </c>
      <c r="D123">
        <v>1234</v>
      </c>
      <c r="E123">
        <v>1</v>
      </c>
      <c r="F123">
        <v>0.0333333333333333</v>
      </c>
      <c r="G123">
        <v>8.63333333333333</v>
      </c>
    </row>
    <row r="124" spans="1:7">
      <c r="A124">
        <v>122</v>
      </c>
      <c r="B124">
        <v>40030207</v>
      </c>
      <c r="C124">
        <v>0</v>
      </c>
      <c r="D124">
        <v>1235</v>
      </c>
      <c r="E124">
        <v>1</v>
      </c>
      <c r="F124">
        <v>3.5</v>
      </c>
      <c r="G124">
        <v>5.16666666666667</v>
      </c>
    </row>
    <row r="125" spans="1:7">
      <c r="A125">
        <v>123</v>
      </c>
      <c r="B125">
        <v>40030208</v>
      </c>
      <c r="C125">
        <v>0</v>
      </c>
      <c r="D125">
        <v>1234</v>
      </c>
      <c r="E125">
        <v>1</v>
      </c>
      <c r="F125">
        <v>1.86666666666667</v>
      </c>
      <c r="G125">
        <f>112/30</f>
        <v>3.73333333333333</v>
      </c>
    </row>
    <row r="126" spans="1:7">
      <c r="A126">
        <v>124</v>
      </c>
      <c r="B126">
        <v>8420</v>
      </c>
      <c r="C126">
        <v>0</v>
      </c>
      <c r="D126">
        <v>1318</v>
      </c>
      <c r="E126">
        <v>1</v>
      </c>
      <c r="F126">
        <f>2/30</f>
        <v>0.0666666666666667</v>
      </c>
      <c r="G126">
        <f>100/30</f>
        <v>3.33333333333333</v>
      </c>
    </row>
    <row r="127" spans="1:7">
      <c r="A127">
        <v>125</v>
      </c>
      <c r="B127">
        <v>8302</v>
      </c>
      <c r="C127">
        <v>0</v>
      </c>
      <c r="D127">
        <v>1227</v>
      </c>
      <c r="E127">
        <v>1</v>
      </c>
      <c r="G127">
        <f t="shared" ref="G127:G131" si="1">34/30</f>
        <v>1.13333333333333</v>
      </c>
    </row>
    <row r="128" spans="1:7">
      <c r="A128">
        <v>126</v>
      </c>
      <c r="B128">
        <v>8302</v>
      </c>
      <c r="C128">
        <v>0</v>
      </c>
      <c r="D128">
        <v>1228</v>
      </c>
      <c r="E128">
        <v>1</v>
      </c>
      <c r="F128">
        <f t="shared" ref="F128:F131" si="2">30/30</f>
        <v>1</v>
      </c>
      <c r="G128">
        <f t="shared" si="1"/>
        <v>1.13333333333333</v>
      </c>
    </row>
    <row r="129" spans="1:7">
      <c r="A129">
        <v>127</v>
      </c>
      <c r="B129">
        <v>8302</v>
      </c>
      <c r="C129">
        <v>0</v>
      </c>
      <c r="D129">
        <v>1229</v>
      </c>
      <c r="E129">
        <v>1</v>
      </c>
      <c r="F129">
        <f t="shared" si="2"/>
        <v>1</v>
      </c>
      <c r="G129">
        <f t="shared" si="1"/>
        <v>1.13333333333333</v>
      </c>
    </row>
    <row r="130" spans="1:7">
      <c r="A130">
        <v>128</v>
      </c>
      <c r="B130">
        <v>8302</v>
      </c>
      <c r="C130">
        <v>0</v>
      </c>
      <c r="D130">
        <v>1230</v>
      </c>
      <c r="E130">
        <v>1</v>
      </c>
      <c r="F130">
        <f t="shared" si="2"/>
        <v>1</v>
      </c>
      <c r="G130">
        <f t="shared" si="1"/>
        <v>1.13333333333333</v>
      </c>
    </row>
    <row r="131" spans="1:7">
      <c r="A131">
        <v>129</v>
      </c>
      <c r="B131">
        <v>8302</v>
      </c>
      <c r="C131">
        <v>0</v>
      </c>
      <c r="D131">
        <v>1231</v>
      </c>
      <c r="E131">
        <v>1</v>
      </c>
      <c r="F131">
        <f t="shared" si="2"/>
        <v>1</v>
      </c>
      <c r="G131">
        <f t="shared" si="1"/>
        <v>1.13333333333333</v>
      </c>
    </row>
    <row r="132" spans="1:7">
      <c r="A132">
        <v>130</v>
      </c>
      <c r="B132">
        <v>8601</v>
      </c>
      <c r="C132">
        <v>1336</v>
      </c>
      <c r="D132">
        <v>0</v>
      </c>
      <c r="E132">
        <v>1</v>
      </c>
      <c r="F132">
        <f>10/30</f>
        <v>0.333333333333333</v>
      </c>
      <c r="G132">
        <f>21/30</f>
        <v>0.7</v>
      </c>
    </row>
    <row r="133" spans="1:7">
      <c r="A133">
        <v>131</v>
      </c>
      <c r="B133">
        <v>8604</v>
      </c>
      <c r="C133">
        <v>1334</v>
      </c>
      <c r="D133">
        <v>1343</v>
      </c>
      <c r="E133">
        <v>1</v>
      </c>
      <c r="F133">
        <f t="shared" ref="F133:F135" si="3">16/30</f>
        <v>0.533333333333333</v>
      </c>
      <c r="G133">
        <f t="shared" ref="G133:G135" si="4">23/30</f>
        <v>0.766666666666667</v>
      </c>
    </row>
    <row r="134" spans="1:7">
      <c r="A134">
        <v>132</v>
      </c>
      <c r="B134">
        <v>8604</v>
      </c>
      <c r="C134">
        <v>1336</v>
      </c>
      <c r="D134">
        <v>0</v>
      </c>
      <c r="E134">
        <v>1</v>
      </c>
      <c r="F134">
        <f t="shared" si="3"/>
        <v>0.533333333333333</v>
      </c>
      <c r="G134">
        <f t="shared" si="4"/>
        <v>0.766666666666667</v>
      </c>
    </row>
    <row r="135" spans="1:7">
      <c r="A135">
        <v>133</v>
      </c>
      <c r="B135">
        <v>8604</v>
      </c>
      <c r="C135">
        <v>1338</v>
      </c>
      <c r="D135">
        <v>0</v>
      </c>
      <c r="E135">
        <v>1</v>
      </c>
      <c r="F135">
        <f t="shared" si="3"/>
        <v>0.533333333333333</v>
      </c>
      <c r="G135">
        <f t="shared" si="4"/>
        <v>0.766666666666667</v>
      </c>
    </row>
    <row r="136" spans="1:7">
      <c r="A136">
        <v>134</v>
      </c>
      <c r="B136">
        <v>8605</v>
      </c>
      <c r="C136">
        <v>1334</v>
      </c>
      <c r="D136">
        <v>1343</v>
      </c>
      <c r="E136">
        <v>1</v>
      </c>
      <c r="F136">
        <f t="shared" ref="F136:F138" si="5">22/30</f>
        <v>0.733333333333333</v>
      </c>
      <c r="G136">
        <f t="shared" ref="G136:G138" si="6">36/30</f>
        <v>1.2</v>
      </c>
    </row>
    <row r="137" spans="1:7">
      <c r="A137">
        <v>135</v>
      </c>
      <c r="B137">
        <v>8605</v>
      </c>
      <c r="C137">
        <v>1336</v>
      </c>
      <c r="D137">
        <v>0</v>
      </c>
      <c r="E137">
        <v>1</v>
      </c>
      <c r="F137">
        <f t="shared" si="5"/>
        <v>0.733333333333333</v>
      </c>
      <c r="G137">
        <f t="shared" si="6"/>
        <v>1.2</v>
      </c>
    </row>
    <row r="138" spans="1:7">
      <c r="A138">
        <v>136</v>
      </c>
      <c r="B138">
        <v>8605</v>
      </c>
      <c r="C138">
        <v>1338</v>
      </c>
      <c r="D138">
        <v>0</v>
      </c>
      <c r="E138">
        <v>1</v>
      </c>
      <c r="F138">
        <f t="shared" si="5"/>
        <v>0.733333333333333</v>
      </c>
      <c r="G138">
        <f t="shared" si="6"/>
        <v>1.2</v>
      </c>
    </row>
    <row r="139" spans="1:7">
      <c r="A139">
        <v>137</v>
      </c>
      <c r="B139">
        <v>8608</v>
      </c>
      <c r="C139">
        <v>1334</v>
      </c>
      <c r="D139">
        <v>1340</v>
      </c>
      <c r="E139">
        <v>1</v>
      </c>
      <c r="F139">
        <f t="shared" ref="F139:F141" si="7">84/30</f>
        <v>2.8</v>
      </c>
      <c r="G139">
        <v>4.2</v>
      </c>
    </row>
    <row r="140" spans="1:7">
      <c r="A140">
        <v>138</v>
      </c>
      <c r="B140">
        <v>8608</v>
      </c>
      <c r="C140">
        <v>1336</v>
      </c>
      <c r="D140">
        <v>1344</v>
      </c>
      <c r="E140">
        <v>1</v>
      </c>
      <c r="F140">
        <f t="shared" si="7"/>
        <v>2.8</v>
      </c>
      <c r="G140">
        <v>4.2</v>
      </c>
    </row>
    <row r="141" spans="1:7">
      <c r="A141">
        <v>139</v>
      </c>
      <c r="B141">
        <v>8608</v>
      </c>
      <c r="C141">
        <v>1338</v>
      </c>
      <c r="D141">
        <v>0</v>
      </c>
      <c r="E141">
        <v>1</v>
      </c>
      <c r="F141">
        <f t="shared" si="7"/>
        <v>2.8</v>
      </c>
      <c r="G141">
        <v>4.2</v>
      </c>
    </row>
    <row r="142" spans="1:7">
      <c r="A142">
        <v>140</v>
      </c>
      <c r="B142">
        <v>40710102</v>
      </c>
      <c r="C142">
        <v>1373</v>
      </c>
      <c r="D142">
        <v>1370</v>
      </c>
      <c r="E142">
        <v>1</v>
      </c>
      <c r="F142">
        <v>0.433333333333333</v>
      </c>
      <c r="G142">
        <v>1.5</v>
      </c>
    </row>
    <row r="143" spans="1:7">
      <c r="A143">
        <v>141</v>
      </c>
      <c r="B143">
        <v>40710103</v>
      </c>
      <c r="C143">
        <v>1373</v>
      </c>
      <c r="D143">
        <v>1370</v>
      </c>
      <c r="E143">
        <v>1</v>
      </c>
      <c r="F143">
        <v>0.633333333333333</v>
      </c>
      <c r="G143">
        <v>1.7</v>
      </c>
    </row>
    <row r="144" spans="1:7">
      <c r="A144">
        <v>142</v>
      </c>
      <c r="B144">
        <v>40710104</v>
      </c>
      <c r="C144">
        <v>1373</v>
      </c>
      <c r="D144">
        <v>1371</v>
      </c>
      <c r="E144">
        <v>1</v>
      </c>
      <c r="F144">
        <v>0.433333333333333</v>
      </c>
      <c r="G144">
        <v>0.4</v>
      </c>
    </row>
    <row r="145" spans="1:7">
      <c r="A145">
        <v>143</v>
      </c>
      <c r="B145">
        <v>40710104</v>
      </c>
      <c r="C145">
        <v>1373</v>
      </c>
      <c r="D145">
        <v>1370</v>
      </c>
      <c r="E145">
        <v>1</v>
      </c>
      <c r="F145">
        <v>0.833333333333333</v>
      </c>
      <c r="G145">
        <v>1.66666666666667</v>
      </c>
    </row>
    <row r="146" spans="1:7">
      <c r="A146">
        <v>144</v>
      </c>
      <c r="B146">
        <v>40710105</v>
      </c>
      <c r="C146">
        <v>0</v>
      </c>
      <c r="D146">
        <v>1371</v>
      </c>
      <c r="E146">
        <v>1</v>
      </c>
      <c r="F146">
        <v>1.1</v>
      </c>
      <c r="G146">
        <v>5.06666666666667</v>
      </c>
    </row>
    <row r="147" spans="1:7">
      <c r="A147">
        <v>145</v>
      </c>
      <c r="B147">
        <v>8308</v>
      </c>
      <c r="C147">
        <v>1223</v>
      </c>
      <c r="D147">
        <v>0</v>
      </c>
      <c r="E147">
        <v>1</v>
      </c>
      <c r="F147">
        <v>2</v>
      </c>
      <c r="G147">
        <v>8.1</v>
      </c>
    </row>
    <row r="148" spans="1:7">
      <c r="A148">
        <v>146</v>
      </c>
      <c r="B148">
        <v>40710202</v>
      </c>
      <c r="C148">
        <v>0</v>
      </c>
      <c r="D148">
        <v>1399</v>
      </c>
      <c r="E148">
        <v>1</v>
      </c>
      <c r="F148">
        <v>0.433333333333333</v>
      </c>
      <c r="G148">
        <v>1.5</v>
      </c>
    </row>
    <row r="149" spans="1:7">
      <c r="A149">
        <v>147</v>
      </c>
      <c r="B149">
        <v>40710203</v>
      </c>
      <c r="C149">
        <v>0</v>
      </c>
      <c r="D149">
        <v>1399</v>
      </c>
      <c r="E149">
        <v>1</v>
      </c>
      <c r="F149">
        <v>0.633333333333333</v>
      </c>
      <c r="G149">
        <v>1.7</v>
      </c>
    </row>
    <row r="150" spans="1:7">
      <c r="A150">
        <v>148</v>
      </c>
      <c r="B150">
        <v>40710204</v>
      </c>
      <c r="C150">
        <v>0</v>
      </c>
      <c r="D150">
        <v>1400</v>
      </c>
      <c r="E150">
        <v>1</v>
      </c>
      <c r="F150">
        <v>0.433333333333333</v>
      </c>
      <c r="G150">
        <v>0.4</v>
      </c>
    </row>
    <row r="151" spans="1:7">
      <c r="A151">
        <v>149</v>
      </c>
      <c r="B151">
        <v>40710204</v>
      </c>
      <c r="C151">
        <v>0</v>
      </c>
      <c r="D151">
        <v>1399</v>
      </c>
      <c r="E151">
        <v>1</v>
      </c>
      <c r="F151">
        <v>0.833333333333333</v>
      </c>
      <c r="G151">
        <v>1.66666666666667</v>
      </c>
    </row>
    <row r="152" spans="1:7">
      <c r="A152">
        <v>150</v>
      </c>
      <c r="B152">
        <v>40710205</v>
      </c>
      <c r="C152">
        <v>0</v>
      </c>
      <c r="D152">
        <v>1400</v>
      </c>
      <c r="E152">
        <v>1</v>
      </c>
      <c r="F152">
        <v>1.1</v>
      </c>
      <c r="G152">
        <v>5.06666666666667</v>
      </c>
    </row>
    <row r="153" spans="1:7">
      <c r="A153">
        <v>151</v>
      </c>
      <c r="B153">
        <v>122901</v>
      </c>
      <c r="C153">
        <v>0</v>
      </c>
      <c r="D153">
        <v>1456</v>
      </c>
      <c r="E153">
        <v>1</v>
      </c>
      <c r="F153">
        <f>18/30</f>
        <v>0.6</v>
      </c>
      <c r="G153">
        <f>107/30-0.6</f>
        <v>2.96666666666667</v>
      </c>
    </row>
    <row r="154" spans="1:7">
      <c r="A154">
        <v>152</v>
      </c>
      <c r="B154">
        <v>40710302</v>
      </c>
      <c r="D154">
        <v>1526</v>
      </c>
      <c r="E154">
        <v>1</v>
      </c>
      <c r="F154">
        <v>0.433333333333333</v>
      </c>
      <c r="G154">
        <v>1.5</v>
      </c>
    </row>
    <row r="155" spans="1:7">
      <c r="A155">
        <v>153</v>
      </c>
      <c r="B155">
        <v>40710303</v>
      </c>
      <c r="D155">
        <v>1526</v>
      </c>
      <c r="E155">
        <v>1</v>
      </c>
      <c r="F155">
        <v>0.633333333333333</v>
      </c>
      <c r="G155">
        <v>1.7</v>
      </c>
    </row>
    <row r="156" spans="1:7">
      <c r="A156">
        <v>154</v>
      </c>
      <c r="B156">
        <v>40710304</v>
      </c>
      <c r="D156">
        <v>1527</v>
      </c>
      <c r="E156">
        <v>1</v>
      </c>
      <c r="F156">
        <v>0.433333333333333</v>
      </c>
      <c r="G156">
        <v>0.4</v>
      </c>
    </row>
    <row r="157" spans="1:7">
      <c r="A157">
        <v>155</v>
      </c>
      <c r="B157">
        <v>40710304</v>
      </c>
      <c r="D157">
        <v>1526</v>
      </c>
      <c r="E157">
        <v>1</v>
      </c>
      <c r="F157">
        <v>0.833333333333333</v>
      </c>
      <c r="G157">
        <v>1.66666666666667</v>
      </c>
    </row>
    <row r="158" spans="1:7">
      <c r="A158">
        <v>156</v>
      </c>
      <c r="B158">
        <v>40710305</v>
      </c>
      <c r="D158">
        <v>1527</v>
      </c>
      <c r="E158">
        <v>1</v>
      </c>
      <c r="F158">
        <v>1.1</v>
      </c>
      <c r="G158">
        <v>5.06666666666667</v>
      </c>
    </row>
    <row r="159" spans="1:7">
      <c r="A159">
        <v>157</v>
      </c>
      <c r="B159" s="18" t="s">
        <v>45</v>
      </c>
      <c r="C159">
        <v>0</v>
      </c>
      <c r="D159">
        <v>1025</v>
      </c>
      <c r="E159">
        <v>1</v>
      </c>
      <c r="F159">
        <v>1.1</v>
      </c>
      <c r="G159">
        <v>0.8</v>
      </c>
    </row>
    <row r="160" s="2" customFormat="1" spans="1:7">
      <c r="A160" s="2">
        <v>158</v>
      </c>
      <c r="B160" s="18" t="s">
        <v>46</v>
      </c>
      <c r="C160" s="2">
        <v>0</v>
      </c>
      <c r="D160" s="2">
        <v>1574</v>
      </c>
      <c r="E160" s="2">
        <v>1</v>
      </c>
      <c r="F160" s="2">
        <v>0.266666666666667</v>
      </c>
      <c r="G160" s="2">
        <v>0.733333333333333</v>
      </c>
    </row>
    <row r="161" s="2" customFormat="1" spans="1:7">
      <c r="A161" s="2">
        <v>159</v>
      </c>
      <c r="B161" s="18" t="s">
        <v>46</v>
      </c>
      <c r="C161" s="2">
        <v>0</v>
      </c>
      <c r="D161" s="2">
        <v>1573</v>
      </c>
      <c r="E161" s="2">
        <v>1</v>
      </c>
      <c r="F161" s="2">
        <v>1.16666666666667</v>
      </c>
      <c r="G161" s="2">
        <v>0.466666666666667</v>
      </c>
    </row>
    <row r="162" s="3" customFormat="1" spans="1:7">
      <c r="A162" s="3">
        <v>160</v>
      </c>
      <c r="B162" s="18" t="s">
        <v>47</v>
      </c>
      <c r="C162" s="3">
        <v>0</v>
      </c>
      <c r="D162" s="3">
        <v>1574</v>
      </c>
      <c r="E162" s="3">
        <v>1</v>
      </c>
      <c r="F162" s="3">
        <v>0.333333333333333</v>
      </c>
      <c r="G162" s="3">
        <v>0.366666666666667</v>
      </c>
    </row>
    <row r="163" s="3" customFormat="1" spans="1:7">
      <c r="A163" s="3">
        <v>161</v>
      </c>
      <c r="B163" s="18" t="s">
        <v>47</v>
      </c>
      <c r="C163" s="3">
        <v>0</v>
      </c>
      <c r="D163" s="3">
        <v>1573</v>
      </c>
      <c r="E163" s="3">
        <v>1</v>
      </c>
      <c r="F163" s="3">
        <v>1.16666666666667</v>
      </c>
      <c r="G163" s="3">
        <v>0.566666666666667</v>
      </c>
    </row>
    <row r="164" s="2" customFormat="1" spans="1:7">
      <c r="A164" s="2">
        <v>162</v>
      </c>
      <c r="B164" s="18" t="s">
        <v>48</v>
      </c>
      <c r="C164" s="2">
        <v>0</v>
      </c>
      <c r="D164" s="2">
        <v>1574</v>
      </c>
      <c r="E164" s="2">
        <v>1</v>
      </c>
      <c r="F164" s="2">
        <v>0.433333333333333</v>
      </c>
      <c r="G164" s="2">
        <v>1.03333333333333</v>
      </c>
    </row>
    <row r="165" s="2" customFormat="1" spans="1:7">
      <c r="A165" s="2">
        <v>163</v>
      </c>
      <c r="B165" s="18" t="s">
        <v>48</v>
      </c>
      <c r="C165" s="2">
        <v>0</v>
      </c>
      <c r="D165" s="2">
        <v>1573</v>
      </c>
      <c r="E165" s="2">
        <v>1</v>
      </c>
      <c r="F165" s="2">
        <v>0.433333333333333</v>
      </c>
      <c r="G165" s="2">
        <v>1.03333333333333</v>
      </c>
    </row>
    <row r="166" s="3" customFormat="1" spans="1:7">
      <c r="A166" s="3">
        <v>164</v>
      </c>
      <c r="B166" s="18" t="s">
        <v>49</v>
      </c>
      <c r="C166" s="3">
        <v>0</v>
      </c>
      <c r="D166" s="3">
        <v>1573</v>
      </c>
      <c r="E166" s="3">
        <v>1</v>
      </c>
      <c r="F166" s="3">
        <v>0.4</v>
      </c>
      <c r="G166" s="3">
        <v>0.966666666666667</v>
      </c>
    </row>
    <row r="167" spans="1:7">
      <c r="A167">
        <v>165</v>
      </c>
      <c r="B167" s="18" t="s">
        <v>50</v>
      </c>
      <c r="C167">
        <v>0</v>
      </c>
      <c r="D167">
        <v>1573</v>
      </c>
      <c r="E167">
        <v>1</v>
      </c>
      <c r="F167">
        <v>1.3</v>
      </c>
      <c r="G167">
        <v>5.7</v>
      </c>
    </row>
    <row r="168" spans="1:7">
      <c r="A168">
        <v>166</v>
      </c>
      <c r="B168" s="18" t="s">
        <v>51</v>
      </c>
      <c r="C168">
        <v>0</v>
      </c>
      <c r="D168">
        <v>1573</v>
      </c>
      <c r="E168">
        <v>1</v>
      </c>
      <c r="F168">
        <v>0.0333333333333333</v>
      </c>
      <c r="G168">
        <v>8.63333333333333</v>
      </c>
    </row>
    <row r="169" spans="1:7">
      <c r="A169">
        <v>167</v>
      </c>
      <c r="B169" s="18" t="s">
        <v>51</v>
      </c>
      <c r="C169">
        <v>0</v>
      </c>
      <c r="D169">
        <v>1574</v>
      </c>
      <c r="E169">
        <v>1</v>
      </c>
      <c r="F169">
        <v>3.5</v>
      </c>
      <c r="G169">
        <v>5.16666666666667</v>
      </c>
    </row>
    <row r="170" spans="1:7">
      <c r="A170">
        <v>168</v>
      </c>
      <c r="B170" s="18" t="s">
        <v>52</v>
      </c>
      <c r="C170">
        <v>0</v>
      </c>
      <c r="D170">
        <v>1573</v>
      </c>
      <c r="E170">
        <v>1</v>
      </c>
      <c r="F170">
        <v>1.86666666666667</v>
      </c>
      <c r="G170">
        <v>3.73333333333333</v>
      </c>
    </row>
    <row r="171" spans="1:7">
      <c r="A171">
        <v>169</v>
      </c>
      <c r="B171" s="18" t="s">
        <v>53</v>
      </c>
      <c r="C171">
        <v>1579</v>
      </c>
      <c r="D171">
        <v>0</v>
      </c>
      <c r="E171">
        <v>1</v>
      </c>
      <c r="F171">
        <f>34/30</f>
        <v>1.13333333333333</v>
      </c>
      <c r="G171">
        <f>366/30</f>
        <v>12.2</v>
      </c>
    </row>
    <row r="172" spans="1:7">
      <c r="A172">
        <v>170</v>
      </c>
      <c r="B172" s="18" t="s">
        <v>54</v>
      </c>
      <c r="C172">
        <v>1581</v>
      </c>
      <c r="D172">
        <v>0</v>
      </c>
      <c r="E172">
        <v>1</v>
      </c>
      <c r="F172">
        <v>0</v>
      </c>
      <c r="G172">
        <v>8.16666666666667</v>
      </c>
    </row>
    <row r="173" spans="1:7">
      <c r="A173">
        <v>171</v>
      </c>
      <c r="B173" s="18" t="s">
        <v>55</v>
      </c>
      <c r="C173">
        <v>1582</v>
      </c>
      <c r="D173">
        <v>1579</v>
      </c>
      <c r="E173">
        <v>1</v>
      </c>
      <c r="F173">
        <v>0</v>
      </c>
      <c r="G173">
        <v>11.3333333333333</v>
      </c>
    </row>
    <row r="174" spans="1:7">
      <c r="A174">
        <v>172</v>
      </c>
      <c r="B174" s="18" t="s">
        <v>55</v>
      </c>
      <c r="C174">
        <v>1580</v>
      </c>
      <c r="D174">
        <v>0</v>
      </c>
      <c r="E174">
        <v>1</v>
      </c>
      <c r="F174">
        <v>0</v>
      </c>
      <c r="G174">
        <v>11.3333333333333</v>
      </c>
    </row>
    <row r="175" spans="1:7">
      <c r="A175">
        <v>173</v>
      </c>
      <c r="B175" s="18" t="s">
        <v>55</v>
      </c>
      <c r="C175">
        <v>1584</v>
      </c>
      <c r="D175">
        <v>1581</v>
      </c>
      <c r="E175">
        <v>1</v>
      </c>
      <c r="F175">
        <v>0</v>
      </c>
      <c r="G175">
        <v>11.3333333333333</v>
      </c>
    </row>
    <row r="176" spans="1:7">
      <c r="A176">
        <v>174</v>
      </c>
      <c r="B176">
        <v>123003</v>
      </c>
      <c r="C176">
        <v>1483</v>
      </c>
      <c r="D176">
        <v>1479</v>
      </c>
      <c r="E176">
        <v>1</v>
      </c>
      <c r="F176">
        <f>9/30</f>
        <v>0.3</v>
      </c>
      <c r="G176">
        <f>76/30</f>
        <v>2.53333333333333</v>
      </c>
    </row>
    <row r="177" spans="1:7">
      <c r="A177">
        <v>175</v>
      </c>
      <c r="B177">
        <v>227006</v>
      </c>
      <c r="C177">
        <v>1543</v>
      </c>
      <c r="D177">
        <v>0</v>
      </c>
      <c r="E177">
        <v>1</v>
      </c>
      <c r="F177">
        <v>0</v>
      </c>
      <c r="G177">
        <f>313/30</f>
        <v>10.4333333333333</v>
      </c>
    </row>
    <row r="178" spans="1:7">
      <c r="A178">
        <v>176</v>
      </c>
      <c r="B178" s="19" t="s">
        <v>56</v>
      </c>
      <c r="C178">
        <v>1702</v>
      </c>
      <c r="D178">
        <v>0</v>
      </c>
      <c r="E178">
        <v>1</v>
      </c>
      <c r="F178">
        <v>0</v>
      </c>
      <c r="G178" s="18">
        <v>100000000</v>
      </c>
    </row>
    <row r="179" spans="1:7">
      <c r="A179">
        <v>177</v>
      </c>
      <c r="B179" s="19" t="s">
        <v>57</v>
      </c>
      <c r="C179">
        <v>1702</v>
      </c>
      <c r="D179">
        <v>0</v>
      </c>
      <c r="E179">
        <v>1</v>
      </c>
      <c r="F179">
        <v>0</v>
      </c>
      <c r="G179" s="18">
        <v>100000000</v>
      </c>
    </row>
    <row r="180" spans="1:7">
      <c r="A180">
        <v>178</v>
      </c>
      <c r="B180" s="19" t="s">
        <v>58</v>
      </c>
      <c r="C180">
        <v>1702</v>
      </c>
      <c r="D180">
        <v>0</v>
      </c>
      <c r="E180">
        <v>1</v>
      </c>
      <c r="F180">
        <v>0</v>
      </c>
      <c r="G180" s="18">
        <v>100000000</v>
      </c>
    </row>
    <row r="181" spans="1:7">
      <c r="A181">
        <v>179</v>
      </c>
      <c r="B181" s="19" t="s">
        <v>59</v>
      </c>
      <c r="C181">
        <v>1702</v>
      </c>
      <c r="D181">
        <v>0</v>
      </c>
      <c r="E181">
        <v>1</v>
      </c>
      <c r="F181">
        <v>0</v>
      </c>
      <c r="G181" s="18">
        <v>100000000</v>
      </c>
    </row>
    <row r="182" spans="1:7">
      <c r="A182">
        <v>180</v>
      </c>
      <c r="B182" s="19" t="s">
        <v>60</v>
      </c>
      <c r="C182">
        <v>1702</v>
      </c>
      <c r="D182">
        <v>0</v>
      </c>
      <c r="E182">
        <v>1</v>
      </c>
      <c r="F182">
        <v>0</v>
      </c>
      <c r="G182" s="18">
        <v>100000000</v>
      </c>
    </row>
    <row r="183" spans="1:7">
      <c r="A183">
        <v>181</v>
      </c>
      <c r="B183" s="19" t="s">
        <v>61</v>
      </c>
      <c r="C183">
        <v>1702</v>
      </c>
      <c r="D183">
        <v>0</v>
      </c>
      <c r="E183">
        <v>1</v>
      </c>
      <c r="F183">
        <v>0</v>
      </c>
      <c r="G183" s="18">
        <v>100000000</v>
      </c>
    </row>
    <row r="184" spans="1:7">
      <c r="A184">
        <v>182</v>
      </c>
      <c r="B184" s="19" t="s">
        <v>62</v>
      </c>
      <c r="C184">
        <v>1702</v>
      </c>
      <c r="D184">
        <v>0</v>
      </c>
      <c r="E184">
        <v>1</v>
      </c>
      <c r="F184">
        <v>0</v>
      </c>
      <c r="G184" s="18">
        <v>100000000</v>
      </c>
    </row>
    <row r="185" spans="1:7">
      <c r="A185">
        <v>183</v>
      </c>
      <c r="B185" s="19" t="s">
        <v>63</v>
      </c>
      <c r="C185">
        <v>1702</v>
      </c>
      <c r="D185">
        <v>0</v>
      </c>
      <c r="E185">
        <v>1</v>
      </c>
      <c r="F185">
        <v>0</v>
      </c>
      <c r="G185" s="18">
        <v>100000000</v>
      </c>
    </row>
    <row r="186" spans="1:7">
      <c r="A186">
        <v>184</v>
      </c>
      <c r="B186" s="19" t="s">
        <v>64</v>
      </c>
      <c r="C186">
        <v>1702</v>
      </c>
      <c r="D186">
        <v>0</v>
      </c>
      <c r="E186">
        <v>1</v>
      </c>
      <c r="F186">
        <v>0</v>
      </c>
      <c r="G186" s="18">
        <v>100000000</v>
      </c>
    </row>
    <row r="187" spans="1:7">
      <c r="A187">
        <v>185</v>
      </c>
      <c r="B187" s="19" t="s">
        <v>65</v>
      </c>
      <c r="C187">
        <v>1702</v>
      </c>
      <c r="D187">
        <v>0</v>
      </c>
      <c r="E187">
        <v>1</v>
      </c>
      <c r="F187">
        <v>0</v>
      </c>
      <c r="G187" s="18">
        <v>100000000</v>
      </c>
    </row>
    <row r="188" spans="1:7">
      <c r="A188">
        <v>186</v>
      </c>
      <c r="B188" s="19" t="s">
        <v>66</v>
      </c>
      <c r="C188">
        <v>1702</v>
      </c>
      <c r="D188">
        <v>0</v>
      </c>
      <c r="E188">
        <v>1</v>
      </c>
      <c r="F188">
        <v>0</v>
      </c>
      <c r="G188" s="18">
        <v>100000000</v>
      </c>
    </row>
    <row r="189" spans="1:7">
      <c r="A189">
        <v>187</v>
      </c>
      <c r="B189" s="19" t="s">
        <v>67</v>
      </c>
      <c r="C189">
        <v>1702</v>
      </c>
      <c r="D189">
        <v>0</v>
      </c>
      <c r="E189">
        <v>1</v>
      </c>
      <c r="F189">
        <v>0</v>
      </c>
      <c r="G189" s="18">
        <v>100000000</v>
      </c>
    </row>
    <row r="190" spans="1:7">
      <c r="A190">
        <v>188</v>
      </c>
      <c r="B190" s="19" t="s">
        <v>68</v>
      </c>
      <c r="C190">
        <v>1702</v>
      </c>
      <c r="D190">
        <v>0</v>
      </c>
      <c r="E190">
        <v>1</v>
      </c>
      <c r="F190">
        <v>0</v>
      </c>
      <c r="G190" s="18">
        <v>100000000</v>
      </c>
    </row>
    <row r="191" spans="1:7">
      <c r="A191">
        <v>189</v>
      </c>
      <c r="B191" s="19" t="s">
        <v>69</v>
      </c>
      <c r="C191">
        <v>1702</v>
      </c>
      <c r="D191">
        <v>0</v>
      </c>
      <c r="E191">
        <v>1</v>
      </c>
      <c r="F191">
        <v>0</v>
      </c>
      <c r="G191" s="18">
        <v>100000000</v>
      </c>
    </row>
    <row r="192" spans="1:7">
      <c r="A192">
        <v>190</v>
      </c>
      <c r="B192" s="19" t="s">
        <v>70</v>
      </c>
      <c r="C192">
        <v>1702</v>
      </c>
      <c r="D192">
        <v>0</v>
      </c>
      <c r="E192">
        <v>1</v>
      </c>
      <c r="F192">
        <v>0</v>
      </c>
      <c r="G192" s="18">
        <v>100000000</v>
      </c>
    </row>
    <row r="193" spans="1:7">
      <c r="A193">
        <v>191</v>
      </c>
      <c r="B193" s="19" t="s">
        <v>71</v>
      </c>
      <c r="C193">
        <v>1702</v>
      </c>
      <c r="D193">
        <v>0</v>
      </c>
      <c r="E193">
        <v>1</v>
      </c>
      <c r="F193">
        <v>0</v>
      </c>
      <c r="G193" s="18">
        <v>100000000</v>
      </c>
    </row>
    <row r="194" spans="1:7">
      <c r="A194">
        <v>192</v>
      </c>
      <c r="B194" s="19" t="s">
        <v>72</v>
      </c>
      <c r="C194">
        <v>1702</v>
      </c>
      <c r="D194">
        <v>0</v>
      </c>
      <c r="E194">
        <v>1</v>
      </c>
      <c r="F194">
        <v>0</v>
      </c>
      <c r="G194" s="18">
        <v>100000000</v>
      </c>
    </row>
    <row r="195" spans="1:7">
      <c r="A195">
        <v>193</v>
      </c>
      <c r="B195" s="19" t="s">
        <v>73</v>
      </c>
      <c r="C195">
        <v>1702</v>
      </c>
      <c r="D195">
        <v>0</v>
      </c>
      <c r="E195">
        <v>1</v>
      </c>
      <c r="F195">
        <v>0</v>
      </c>
      <c r="G195" s="18">
        <v>100000000</v>
      </c>
    </row>
    <row r="196" spans="1:7">
      <c r="A196">
        <v>194</v>
      </c>
      <c r="B196" s="19" t="s">
        <v>74</v>
      </c>
      <c r="C196">
        <v>1702</v>
      </c>
      <c r="D196">
        <v>0</v>
      </c>
      <c r="E196">
        <v>1</v>
      </c>
      <c r="F196">
        <v>0</v>
      </c>
      <c r="G196" s="18">
        <v>100000000</v>
      </c>
    </row>
    <row r="197" spans="1:7">
      <c r="A197">
        <v>195</v>
      </c>
      <c r="B197" s="19" t="s">
        <v>75</v>
      </c>
      <c r="C197">
        <v>1702</v>
      </c>
      <c r="D197">
        <v>0</v>
      </c>
      <c r="E197">
        <v>1</v>
      </c>
      <c r="F197">
        <v>0</v>
      </c>
      <c r="G197" s="18">
        <v>100000000</v>
      </c>
    </row>
    <row r="198" spans="1:7">
      <c r="A198">
        <v>196</v>
      </c>
      <c r="B198" s="19" t="s">
        <v>76</v>
      </c>
      <c r="C198">
        <v>1702</v>
      </c>
      <c r="D198">
        <v>0</v>
      </c>
      <c r="E198">
        <v>1</v>
      </c>
      <c r="F198">
        <v>0</v>
      </c>
      <c r="G198" s="18">
        <v>100000000</v>
      </c>
    </row>
    <row r="199" spans="1:7">
      <c r="A199">
        <v>197</v>
      </c>
      <c r="B199" s="19" t="s">
        <v>77</v>
      </c>
      <c r="C199">
        <v>1702</v>
      </c>
      <c r="D199">
        <v>0</v>
      </c>
      <c r="E199">
        <v>1</v>
      </c>
      <c r="F199">
        <v>0</v>
      </c>
      <c r="G199" s="18">
        <v>100000000</v>
      </c>
    </row>
    <row r="200" spans="1:7">
      <c r="A200">
        <v>198</v>
      </c>
      <c r="B200" s="19" t="s">
        <v>78</v>
      </c>
      <c r="C200">
        <v>1702</v>
      </c>
      <c r="D200">
        <v>0</v>
      </c>
      <c r="E200">
        <v>1</v>
      </c>
      <c r="F200">
        <v>0</v>
      </c>
      <c r="G200" s="18">
        <v>100000000</v>
      </c>
    </row>
    <row r="201" spans="1:7">
      <c r="A201">
        <v>199</v>
      </c>
      <c r="B201" s="19" t="s">
        <v>79</v>
      </c>
      <c r="C201">
        <v>471</v>
      </c>
      <c r="D201">
        <v>0</v>
      </c>
      <c r="E201">
        <v>1</v>
      </c>
      <c r="F201">
        <f>6/30</f>
        <v>0.2</v>
      </c>
      <c r="G201">
        <f>24/30</f>
        <v>0.8</v>
      </c>
    </row>
    <row r="202" spans="1:7">
      <c r="A202">
        <v>200</v>
      </c>
      <c r="B202" s="19" t="s">
        <v>80</v>
      </c>
      <c r="C202">
        <v>1532</v>
      </c>
      <c r="D202">
        <v>0</v>
      </c>
      <c r="E202">
        <v>0</v>
      </c>
      <c r="F202">
        <v>0</v>
      </c>
      <c r="G202">
        <v>2</v>
      </c>
    </row>
    <row r="203" spans="1:7">
      <c r="A203">
        <v>201</v>
      </c>
      <c r="B203" s="19" t="s">
        <v>81</v>
      </c>
      <c r="C203">
        <v>1532</v>
      </c>
      <c r="D203">
        <v>0</v>
      </c>
      <c r="E203">
        <v>0</v>
      </c>
      <c r="F203">
        <v>0</v>
      </c>
      <c r="G203">
        <v>1.5</v>
      </c>
    </row>
    <row r="204" spans="1:7">
      <c r="A204">
        <v>202</v>
      </c>
      <c r="B204" s="19" t="s">
        <v>82</v>
      </c>
      <c r="C204">
        <v>1532</v>
      </c>
      <c r="D204">
        <v>0</v>
      </c>
      <c r="E204">
        <v>0</v>
      </c>
      <c r="F204">
        <v>0</v>
      </c>
      <c r="G204">
        <v>1.33333333333333</v>
      </c>
    </row>
    <row r="205" spans="1:7">
      <c r="A205">
        <v>203</v>
      </c>
      <c r="B205" s="19" t="s">
        <v>83</v>
      </c>
      <c r="C205">
        <v>1532</v>
      </c>
      <c r="D205">
        <v>0</v>
      </c>
      <c r="E205">
        <v>0</v>
      </c>
      <c r="F205">
        <v>0</v>
      </c>
      <c r="G205">
        <v>1.53333333333333</v>
      </c>
    </row>
    <row r="206" spans="1:7">
      <c r="A206">
        <v>204</v>
      </c>
      <c r="B206" s="19" t="s">
        <v>84</v>
      </c>
      <c r="C206">
        <v>1532</v>
      </c>
      <c r="D206">
        <v>0</v>
      </c>
      <c r="E206">
        <v>0</v>
      </c>
      <c r="F206">
        <v>0</v>
      </c>
      <c r="G206">
        <v>0.8</v>
      </c>
    </row>
    <row r="207" spans="1:7">
      <c r="A207">
        <v>205</v>
      </c>
      <c r="B207" s="19" t="s">
        <v>85</v>
      </c>
      <c r="C207">
        <v>1532</v>
      </c>
      <c r="D207">
        <v>0</v>
      </c>
      <c r="E207">
        <v>0</v>
      </c>
      <c r="F207">
        <v>0</v>
      </c>
      <c r="G207">
        <v>0.8</v>
      </c>
    </row>
    <row r="208" spans="1:7">
      <c r="A208">
        <v>206</v>
      </c>
      <c r="B208" s="19" t="s">
        <v>86</v>
      </c>
      <c r="C208">
        <v>1532</v>
      </c>
      <c r="D208">
        <v>0</v>
      </c>
      <c r="E208">
        <v>0</v>
      </c>
      <c r="F208">
        <v>0</v>
      </c>
      <c r="G208">
        <v>0.8</v>
      </c>
    </row>
    <row r="209" spans="1:7">
      <c r="A209">
        <v>207</v>
      </c>
      <c r="B209" s="19" t="s">
        <v>87</v>
      </c>
      <c r="C209">
        <v>1532</v>
      </c>
      <c r="D209">
        <v>0</v>
      </c>
      <c r="E209">
        <v>0</v>
      </c>
      <c r="F209">
        <v>0</v>
      </c>
      <c r="G209">
        <v>0.8</v>
      </c>
    </row>
    <row r="210" spans="1:7">
      <c r="A210">
        <v>208</v>
      </c>
      <c r="B210" s="19" t="s">
        <v>88</v>
      </c>
      <c r="C210">
        <v>1532</v>
      </c>
      <c r="D210">
        <v>0</v>
      </c>
      <c r="E210">
        <v>0</v>
      </c>
      <c r="F210">
        <v>0</v>
      </c>
      <c r="G210">
        <v>0.8</v>
      </c>
    </row>
    <row r="211" spans="1:7">
      <c r="A211">
        <v>209</v>
      </c>
      <c r="B211" s="19" t="s">
        <v>89</v>
      </c>
      <c r="C211">
        <v>1532</v>
      </c>
      <c r="D211">
        <v>0</v>
      </c>
      <c r="E211">
        <v>0</v>
      </c>
      <c r="F211">
        <v>0</v>
      </c>
      <c r="G211">
        <v>0.8</v>
      </c>
    </row>
    <row r="212" spans="1:7">
      <c r="A212">
        <v>210</v>
      </c>
      <c r="B212" s="19" t="s">
        <v>90</v>
      </c>
      <c r="C212">
        <v>1532</v>
      </c>
      <c r="D212">
        <v>0</v>
      </c>
      <c r="E212">
        <v>0</v>
      </c>
      <c r="F212">
        <v>0</v>
      </c>
      <c r="G212">
        <v>1.66666666666667</v>
      </c>
    </row>
    <row r="213" spans="1:7">
      <c r="A213">
        <v>211</v>
      </c>
      <c r="B213" s="19" t="s">
        <v>91</v>
      </c>
      <c r="C213">
        <v>1532</v>
      </c>
      <c r="D213">
        <v>0</v>
      </c>
      <c r="E213">
        <v>0</v>
      </c>
      <c r="F213">
        <v>0</v>
      </c>
      <c r="G213">
        <v>2</v>
      </c>
    </row>
    <row r="214" spans="1:7">
      <c r="A214">
        <v>212</v>
      </c>
      <c r="B214" s="19" t="s">
        <v>92</v>
      </c>
      <c r="C214">
        <v>1532</v>
      </c>
      <c r="D214">
        <v>0</v>
      </c>
      <c r="E214">
        <v>0</v>
      </c>
      <c r="F214">
        <v>0</v>
      </c>
      <c r="G214">
        <v>1.33333333333333</v>
      </c>
    </row>
    <row r="215" spans="1:7">
      <c r="A215">
        <v>213</v>
      </c>
      <c r="B215" s="19" t="s">
        <v>93</v>
      </c>
      <c r="C215">
        <v>1532</v>
      </c>
      <c r="D215">
        <v>0</v>
      </c>
      <c r="E215">
        <v>0</v>
      </c>
      <c r="F215">
        <v>0</v>
      </c>
      <c r="G215">
        <v>1.33333333333333</v>
      </c>
    </row>
    <row r="216" spans="1:7">
      <c r="A216">
        <v>214</v>
      </c>
      <c r="B216" s="19" t="s">
        <v>94</v>
      </c>
      <c r="C216">
        <v>1532</v>
      </c>
      <c r="D216">
        <v>0</v>
      </c>
      <c r="E216">
        <v>0</v>
      </c>
      <c r="F216">
        <v>0</v>
      </c>
      <c r="G216">
        <v>3.36666666666667</v>
      </c>
    </row>
    <row r="217" spans="1:7">
      <c r="A217">
        <v>215</v>
      </c>
      <c r="B217" s="19" t="s">
        <v>95</v>
      </c>
      <c r="C217">
        <v>1532</v>
      </c>
      <c r="D217">
        <v>0</v>
      </c>
      <c r="E217">
        <v>0</v>
      </c>
      <c r="F217">
        <v>0</v>
      </c>
      <c r="G217">
        <f>24/30</f>
        <v>0.8</v>
      </c>
    </row>
    <row r="218" spans="1:7">
      <c r="A218">
        <v>216</v>
      </c>
      <c r="B218" s="19" t="s">
        <v>96</v>
      </c>
      <c r="C218">
        <v>1534</v>
      </c>
      <c r="D218">
        <v>1535</v>
      </c>
      <c r="E218">
        <v>1</v>
      </c>
      <c r="F218">
        <v>0</v>
      </c>
      <c r="G218">
        <v>2</v>
      </c>
    </row>
    <row r="219" spans="1:7">
      <c r="A219">
        <v>217</v>
      </c>
      <c r="B219" s="19" t="s">
        <v>97</v>
      </c>
      <c r="C219">
        <v>1534</v>
      </c>
      <c r="D219">
        <v>1535</v>
      </c>
      <c r="E219">
        <v>1</v>
      </c>
      <c r="F219">
        <v>0</v>
      </c>
      <c r="G219">
        <v>1.5</v>
      </c>
    </row>
    <row r="220" spans="1:7">
      <c r="A220">
        <v>218</v>
      </c>
      <c r="B220" s="19" t="s">
        <v>98</v>
      </c>
      <c r="C220">
        <v>1534</v>
      </c>
      <c r="D220">
        <v>1535</v>
      </c>
      <c r="E220">
        <v>1</v>
      </c>
      <c r="F220">
        <v>0</v>
      </c>
      <c r="G220">
        <v>1.33333333333333</v>
      </c>
    </row>
    <row r="221" spans="1:7">
      <c r="A221">
        <v>219</v>
      </c>
      <c r="B221" s="19" t="s">
        <v>99</v>
      </c>
      <c r="C221">
        <v>1534</v>
      </c>
      <c r="D221">
        <v>1535</v>
      </c>
      <c r="E221">
        <v>1</v>
      </c>
      <c r="F221">
        <v>0</v>
      </c>
      <c r="G221">
        <v>1.53333333333333</v>
      </c>
    </row>
    <row r="222" spans="1:7">
      <c r="A222">
        <v>220</v>
      </c>
      <c r="B222" s="19" t="s">
        <v>100</v>
      </c>
      <c r="C222">
        <v>1534</v>
      </c>
      <c r="D222">
        <v>1535</v>
      </c>
      <c r="E222">
        <v>1</v>
      </c>
      <c r="F222">
        <v>0</v>
      </c>
      <c r="G222">
        <v>0.8</v>
      </c>
    </row>
    <row r="223" spans="1:7">
      <c r="A223">
        <v>221</v>
      </c>
      <c r="B223" s="19" t="s">
        <v>101</v>
      </c>
      <c r="C223">
        <v>1534</v>
      </c>
      <c r="D223">
        <v>1535</v>
      </c>
      <c r="E223">
        <v>1</v>
      </c>
      <c r="F223">
        <v>0</v>
      </c>
      <c r="G223">
        <v>0.8</v>
      </c>
    </row>
    <row r="224" spans="1:7">
      <c r="A224">
        <v>222</v>
      </c>
      <c r="B224" s="19" t="s">
        <v>102</v>
      </c>
      <c r="C224">
        <v>1534</v>
      </c>
      <c r="D224">
        <v>1535</v>
      </c>
      <c r="E224">
        <v>1</v>
      </c>
      <c r="F224">
        <v>0</v>
      </c>
      <c r="G224">
        <v>0.8</v>
      </c>
    </row>
    <row r="225" spans="1:7">
      <c r="A225">
        <v>223</v>
      </c>
      <c r="B225" s="19" t="s">
        <v>103</v>
      </c>
      <c r="C225">
        <v>1534</v>
      </c>
      <c r="D225">
        <v>1535</v>
      </c>
      <c r="E225">
        <v>1</v>
      </c>
      <c r="F225">
        <v>0</v>
      </c>
      <c r="G225">
        <v>0.8</v>
      </c>
    </row>
    <row r="226" spans="1:7">
      <c r="A226">
        <v>224</v>
      </c>
      <c r="B226" s="19" t="s">
        <v>104</v>
      </c>
      <c r="C226">
        <v>1534</v>
      </c>
      <c r="D226">
        <v>1535</v>
      </c>
      <c r="E226">
        <v>1</v>
      </c>
      <c r="F226">
        <v>0</v>
      </c>
      <c r="G226">
        <v>0.8</v>
      </c>
    </row>
    <row r="227" spans="1:7">
      <c r="A227">
        <v>225</v>
      </c>
      <c r="B227" s="19" t="s">
        <v>105</v>
      </c>
      <c r="C227">
        <v>1534</v>
      </c>
      <c r="D227">
        <v>1535</v>
      </c>
      <c r="E227">
        <v>1</v>
      </c>
      <c r="F227">
        <v>0</v>
      </c>
      <c r="G227">
        <v>0.8</v>
      </c>
    </row>
    <row r="228" spans="1:7">
      <c r="A228">
        <v>226</v>
      </c>
      <c r="B228" s="19" t="s">
        <v>106</v>
      </c>
      <c r="C228">
        <v>1534</v>
      </c>
      <c r="D228">
        <v>1535</v>
      </c>
      <c r="E228">
        <v>1</v>
      </c>
      <c r="F228">
        <v>0</v>
      </c>
      <c r="G228">
        <v>1.66666666666667</v>
      </c>
    </row>
    <row r="229" spans="1:7">
      <c r="A229">
        <v>227</v>
      </c>
      <c r="B229" s="19" t="s">
        <v>107</v>
      </c>
      <c r="C229">
        <v>0</v>
      </c>
      <c r="D229">
        <v>1535</v>
      </c>
      <c r="E229">
        <v>1</v>
      </c>
      <c r="F229">
        <v>0</v>
      </c>
      <c r="G229">
        <v>2</v>
      </c>
    </row>
    <row r="230" spans="1:7">
      <c r="A230">
        <v>229</v>
      </c>
      <c r="B230" s="19" t="s">
        <v>108</v>
      </c>
      <c r="C230">
        <v>1534</v>
      </c>
      <c r="D230">
        <v>1535</v>
      </c>
      <c r="E230">
        <v>1</v>
      </c>
      <c r="F230">
        <v>0</v>
      </c>
      <c r="G230">
        <v>1.33333333333333</v>
      </c>
    </row>
    <row r="231" spans="1:7">
      <c r="A231">
        <v>230</v>
      </c>
      <c r="B231" s="19" t="s">
        <v>109</v>
      </c>
      <c r="C231">
        <v>1534</v>
      </c>
      <c r="D231">
        <v>0</v>
      </c>
      <c r="E231">
        <v>1</v>
      </c>
      <c r="F231">
        <v>0</v>
      </c>
      <c r="G231">
        <v>3.36666666666667</v>
      </c>
    </row>
    <row r="232" spans="1:7">
      <c r="A232">
        <v>231</v>
      </c>
      <c r="B232" s="19" t="s">
        <v>110</v>
      </c>
      <c r="C232">
        <v>1534</v>
      </c>
      <c r="D232">
        <v>1535</v>
      </c>
      <c r="E232">
        <v>1</v>
      </c>
      <c r="F232">
        <v>0</v>
      </c>
      <c r="G232">
        <f>90/30</f>
        <v>3</v>
      </c>
    </row>
    <row r="233" spans="1:7">
      <c r="A233">
        <v>232</v>
      </c>
      <c r="B233" s="19" t="s">
        <v>111</v>
      </c>
      <c r="C233">
        <v>1534</v>
      </c>
      <c r="D233">
        <v>1535</v>
      </c>
      <c r="E233">
        <v>1</v>
      </c>
      <c r="F233">
        <v>0</v>
      </c>
      <c r="G233">
        <f>113/30</f>
        <v>3.76666666666667</v>
      </c>
    </row>
    <row r="234" spans="1:7">
      <c r="A234">
        <v>233</v>
      </c>
      <c r="B234">
        <v>22680800</v>
      </c>
      <c r="C234">
        <v>0</v>
      </c>
      <c r="D234">
        <v>1534</v>
      </c>
      <c r="E234">
        <v>1</v>
      </c>
      <c r="F234">
        <v>0</v>
      </c>
      <c r="G234">
        <v>3.5</v>
      </c>
    </row>
    <row r="235" spans="1:7">
      <c r="A235">
        <v>234</v>
      </c>
      <c r="B235">
        <v>22680800</v>
      </c>
      <c r="C235">
        <v>1534</v>
      </c>
      <c r="D235">
        <v>1535</v>
      </c>
      <c r="E235">
        <v>1</v>
      </c>
      <c r="F235">
        <v>3.6</v>
      </c>
      <c r="G235">
        <f>203/30</f>
        <v>6.76666666666667</v>
      </c>
    </row>
    <row r="236" spans="1:7">
      <c r="A236">
        <v>235</v>
      </c>
      <c r="B236">
        <v>22680800</v>
      </c>
      <c r="C236">
        <v>0</v>
      </c>
      <c r="D236">
        <v>1534</v>
      </c>
      <c r="E236">
        <v>1</v>
      </c>
      <c r="F236">
        <f>204/30</f>
        <v>6.8</v>
      </c>
      <c r="G236">
        <v>11.1</v>
      </c>
    </row>
    <row r="237" spans="1:7">
      <c r="A237">
        <v>236</v>
      </c>
      <c r="B237">
        <v>10306</v>
      </c>
      <c r="C237">
        <v>1766</v>
      </c>
      <c r="D237">
        <v>0</v>
      </c>
      <c r="E237">
        <v>1</v>
      </c>
      <c r="F237">
        <v>0</v>
      </c>
      <c r="G237">
        <v>10.5333333333333</v>
      </c>
    </row>
    <row r="238" spans="1:7">
      <c r="A238">
        <v>237</v>
      </c>
      <c r="B238">
        <v>10306</v>
      </c>
      <c r="C238">
        <v>1767</v>
      </c>
      <c r="D238">
        <v>0</v>
      </c>
      <c r="E238">
        <v>1</v>
      </c>
      <c r="F238">
        <v>0</v>
      </c>
      <c r="G238">
        <v>10.5333333333333</v>
      </c>
    </row>
    <row r="239" spans="1:7">
      <c r="A239">
        <v>238</v>
      </c>
      <c r="B239">
        <v>10306</v>
      </c>
      <c r="C239">
        <v>1768</v>
      </c>
      <c r="D239">
        <v>0</v>
      </c>
      <c r="E239">
        <v>1</v>
      </c>
      <c r="F239">
        <v>0</v>
      </c>
      <c r="G239">
        <v>10.5333333333333</v>
      </c>
    </row>
    <row r="240" spans="1:7">
      <c r="A240">
        <v>239</v>
      </c>
      <c r="B240" s="19" t="s">
        <v>112</v>
      </c>
      <c r="C240">
        <v>1769</v>
      </c>
      <c r="D240">
        <v>0</v>
      </c>
      <c r="E240">
        <v>1</v>
      </c>
      <c r="F240">
        <v>0</v>
      </c>
      <c r="G240">
        <v>10.5333333333333</v>
      </c>
    </row>
    <row r="241" spans="1:7">
      <c r="A241">
        <v>240</v>
      </c>
      <c r="B241" s="19" t="s">
        <v>112</v>
      </c>
      <c r="C241">
        <v>1770</v>
      </c>
      <c r="D241">
        <v>0</v>
      </c>
      <c r="E241">
        <v>1</v>
      </c>
      <c r="F241">
        <v>0</v>
      </c>
      <c r="G241">
        <v>10.5333333333333</v>
      </c>
    </row>
    <row r="242" spans="1:7">
      <c r="A242">
        <v>241</v>
      </c>
      <c r="B242" s="19" t="s">
        <v>112</v>
      </c>
      <c r="C242">
        <v>1771</v>
      </c>
      <c r="D242">
        <v>0</v>
      </c>
      <c r="E242">
        <v>1</v>
      </c>
      <c r="F242">
        <v>0</v>
      </c>
      <c r="G242">
        <v>10.5333333333333</v>
      </c>
    </row>
    <row r="243" spans="1:7">
      <c r="A243">
        <v>242</v>
      </c>
      <c r="B243">
        <v>227303</v>
      </c>
      <c r="C243">
        <v>1564</v>
      </c>
      <c r="D243">
        <v>1560</v>
      </c>
      <c r="E243">
        <v>1</v>
      </c>
      <c r="F243">
        <f>9/30</f>
        <v>0.3</v>
      </c>
      <c r="G243">
        <f>76/30</f>
        <v>2.53333333333333</v>
      </c>
    </row>
    <row r="244" spans="1:7">
      <c r="A244">
        <v>243</v>
      </c>
      <c r="B244">
        <v>10406</v>
      </c>
      <c r="C244">
        <v>1772</v>
      </c>
      <c r="D244">
        <v>0</v>
      </c>
      <c r="E244">
        <v>1</v>
      </c>
      <c r="F244">
        <v>0</v>
      </c>
      <c r="G244">
        <v>9</v>
      </c>
    </row>
    <row r="245" spans="1:7">
      <c r="A245">
        <v>244</v>
      </c>
      <c r="B245">
        <v>10406</v>
      </c>
      <c r="C245">
        <v>1773</v>
      </c>
      <c r="D245">
        <v>0</v>
      </c>
      <c r="E245">
        <v>1</v>
      </c>
      <c r="F245">
        <v>0</v>
      </c>
      <c r="G245">
        <v>9</v>
      </c>
    </row>
    <row r="246" spans="1:7">
      <c r="A246">
        <v>245</v>
      </c>
      <c r="B246">
        <v>10701</v>
      </c>
      <c r="C246">
        <v>1793</v>
      </c>
      <c r="D246">
        <v>0</v>
      </c>
      <c r="E246">
        <v>1</v>
      </c>
      <c r="F246">
        <v>0.333333333333333</v>
      </c>
      <c r="G246">
        <v>0.7</v>
      </c>
    </row>
    <row r="247" spans="1:7">
      <c r="A247">
        <v>246</v>
      </c>
      <c r="B247">
        <v>10704</v>
      </c>
      <c r="C247">
        <v>1791</v>
      </c>
      <c r="D247">
        <v>1800</v>
      </c>
      <c r="E247">
        <v>1</v>
      </c>
      <c r="F247">
        <v>0.533333333333333</v>
      </c>
      <c r="G247">
        <v>0.766666666666667</v>
      </c>
    </row>
    <row r="248" spans="1:7">
      <c r="A248">
        <v>247</v>
      </c>
      <c r="B248">
        <v>10704</v>
      </c>
      <c r="C248">
        <v>1793</v>
      </c>
      <c r="D248">
        <v>0</v>
      </c>
      <c r="E248">
        <v>1</v>
      </c>
      <c r="F248">
        <v>0.533333333333333</v>
      </c>
      <c r="G248">
        <v>0.766666666666667</v>
      </c>
    </row>
    <row r="249" spans="1:7">
      <c r="A249">
        <v>248</v>
      </c>
      <c r="B249">
        <v>10704</v>
      </c>
      <c r="C249">
        <v>1795</v>
      </c>
      <c r="D249">
        <v>0</v>
      </c>
      <c r="E249">
        <v>1</v>
      </c>
      <c r="F249">
        <v>0.533333333333333</v>
      </c>
      <c r="G249">
        <v>0.766666666666667</v>
      </c>
    </row>
    <row r="250" spans="1:7">
      <c r="A250">
        <v>249</v>
      </c>
      <c r="B250">
        <v>10705</v>
      </c>
      <c r="C250">
        <v>1791</v>
      </c>
      <c r="D250">
        <v>1800</v>
      </c>
      <c r="E250">
        <v>1</v>
      </c>
      <c r="F250">
        <v>0.733333333333333</v>
      </c>
      <c r="G250">
        <v>1.2</v>
      </c>
    </row>
    <row r="251" spans="1:7">
      <c r="A251">
        <v>250</v>
      </c>
      <c r="B251">
        <v>10705</v>
      </c>
      <c r="C251">
        <v>1793</v>
      </c>
      <c r="D251">
        <v>0</v>
      </c>
      <c r="E251">
        <v>1</v>
      </c>
      <c r="F251">
        <v>0.733333333333333</v>
      </c>
      <c r="G251">
        <v>1.2</v>
      </c>
    </row>
    <row r="252" spans="1:7">
      <c r="A252">
        <v>251</v>
      </c>
      <c r="B252">
        <v>10705</v>
      </c>
      <c r="C252">
        <v>1795</v>
      </c>
      <c r="D252">
        <v>0</v>
      </c>
      <c r="E252">
        <v>1</v>
      </c>
      <c r="F252">
        <v>0.733333333333333</v>
      </c>
      <c r="G252">
        <v>1.2</v>
      </c>
    </row>
    <row r="253" spans="1:7">
      <c r="A253">
        <v>252</v>
      </c>
      <c r="B253">
        <v>10708</v>
      </c>
      <c r="C253">
        <v>1791</v>
      </c>
      <c r="D253">
        <v>1797</v>
      </c>
      <c r="E253">
        <v>1</v>
      </c>
      <c r="F253">
        <v>2.8</v>
      </c>
      <c r="G253">
        <v>4.2</v>
      </c>
    </row>
    <row r="254" spans="1:7">
      <c r="A254">
        <v>253</v>
      </c>
      <c r="B254">
        <v>10708</v>
      </c>
      <c r="C254">
        <v>1793</v>
      </c>
      <c r="D254">
        <v>1801</v>
      </c>
      <c r="E254">
        <v>1</v>
      </c>
      <c r="F254">
        <v>2.8</v>
      </c>
      <c r="G254">
        <v>4.2</v>
      </c>
    </row>
    <row r="255" spans="1:7">
      <c r="A255">
        <v>254</v>
      </c>
      <c r="B255">
        <v>10708</v>
      </c>
      <c r="C255">
        <v>1795</v>
      </c>
      <c r="D255">
        <v>0</v>
      </c>
      <c r="E255">
        <v>1</v>
      </c>
      <c r="F255">
        <v>2.8</v>
      </c>
      <c r="G255">
        <v>4.2</v>
      </c>
    </row>
    <row r="256" spans="1:7">
      <c r="A256">
        <v>255</v>
      </c>
      <c r="B256">
        <v>10608</v>
      </c>
      <c r="C256">
        <v>1783</v>
      </c>
      <c r="D256">
        <v>0</v>
      </c>
      <c r="E256">
        <v>1</v>
      </c>
      <c r="F256">
        <v>0</v>
      </c>
      <c r="G256">
        <v>14</v>
      </c>
    </row>
    <row r="257" spans="1:7">
      <c r="A257">
        <v>256</v>
      </c>
      <c r="B257">
        <v>10608</v>
      </c>
      <c r="C257">
        <v>1784</v>
      </c>
      <c r="D257">
        <v>0</v>
      </c>
      <c r="E257">
        <v>1</v>
      </c>
      <c r="F257">
        <v>0</v>
      </c>
      <c r="G257">
        <v>14</v>
      </c>
    </row>
    <row r="258" spans="1:7">
      <c r="A258">
        <v>257</v>
      </c>
      <c r="B258">
        <v>10608</v>
      </c>
      <c r="C258">
        <v>1785</v>
      </c>
      <c r="D258">
        <v>0</v>
      </c>
      <c r="E258">
        <v>1</v>
      </c>
      <c r="F258">
        <v>0</v>
      </c>
      <c r="G258">
        <v>14</v>
      </c>
    </row>
    <row r="259" spans="1:7">
      <c r="A259">
        <v>258</v>
      </c>
      <c r="B259">
        <v>10608</v>
      </c>
      <c r="C259">
        <v>1786</v>
      </c>
      <c r="D259">
        <v>0</v>
      </c>
      <c r="E259">
        <v>1</v>
      </c>
      <c r="F259">
        <v>0</v>
      </c>
      <c r="G259">
        <v>14</v>
      </c>
    </row>
    <row r="260" spans="1:7">
      <c r="A260">
        <v>259</v>
      </c>
      <c r="B260">
        <v>10608</v>
      </c>
      <c r="C260">
        <v>1787</v>
      </c>
      <c r="D260">
        <v>0</v>
      </c>
      <c r="E260">
        <v>1</v>
      </c>
      <c r="F260">
        <v>0</v>
      </c>
      <c r="G260">
        <v>14</v>
      </c>
    </row>
    <row r="261" spans="1:7">
      <c r="A261">
        <v>260</v>
      </c>
      <c r="B261">
        <v>401060108</v>
      </c>
      <c r="C261">
        <v>1788</v>
      </c>
      <c r="D261">
        <v>0</v>
      </c>
      <c r="E261">
        <v>1</v>
      </c>
      <c r="F261">
        <v>0</v>
      </c>
      <c r="G261">
        <v>14</v>
      </c>
    </row>
    <row r="262" spans="1:7">
      <c r="A262">
        <v>261</v>
      </c>
      <c r="B262">
        <v>401060108</v>
      </c>
      <c r="C262">
        <v>1789</v>
      </c>
      <c r="D262">
        <v>0</v>
      </c>
      <c r="E262">
        <v>1</v>
      </c>
      <c r="F262">
        <v>0</v>
      </c>
      <c r="G262">
        <v>14</v>
      </c>
    </row>
    <row r="263" spans="1:7">
      <c r="A263">
        <v>262</v>
      </c>
      <c r="B263">
        <v>401060108</v>
      </c>
      <c r="C263">
        <v>1790</v>
      </c>
      <c r="D263">
        <v>0</v>
      </c>
      <c r="E263">
        <v>1</v>
      </c>
      <c r="F263">
        <v>0</v>
      </c>
      <c r="G263">
        <v>14</v>
      </c>
    </row>
    <row r="264" spans="1:7">
      <c r="A264">
        <v>263</v>
      </c>
      <c r="B264">
        <v>10606</v>
      </c>
      <c r="C264">
        <v>1783</v>
      </c>
      <c r="D264">
        <v>0</v>
      </c>
      <c r="E264">
        <v>1</v>
      </c>
      <c r="F264">
        <v>0</v>
      </c>
      <c r="G264">
        <v>9.93333333333333</v>
      </c>
    </row>
    <row r="265" spans="1:7">
      <c r="A265">
        <v>264</v>
      </c>
      <c r="B265">
        <v>10606</v>
      </c>
      <c r="C265">
        <v>1784</v>
      </c>
      <c r="D265">
        <v>0</v>
      </c>
      <c r="E265">
        <v>1</v>
      </c>
      <c r="F265">
        <v>0</v>
      </c>
      <c r="G265">
        <v>9.93333333333333</v>
      </c>
    </row>
    <row r="266" spans="1:7">
      <c r="A266">
        <v>265</v>
      </c>
      <c r="B266">
        <v>10606</v>
      </c>
      <c r="C266">
        <v>1785</v>
      </c>
      <c r="D266">
        <v>0</v>
      </c>
      <c r="E266">
        <v>1</v>
      </c>
      <c r="F266">
        <v>0</v>
      </c>
      <c r="G266">
        <v>9.93333333333333</v>
      </c>
    </row>
    <row r="267" spans="1:7">
      <c r="A267">
        <v>266</v>
      </c>
      <c r="B267">
        <v>10606</v>
      </c>
      <c r="C267">
        <v>1786</v>
      </c>
      <c r="D267">
        <v>0</v>
      </c>
      <c r="E267">
        <v>1</v>
      </c>
      <c r="F267">
        <v>0</v>
      </c>
      <c r="G267">
        <v>9.93333333333333</v>
      </c>
    </row>
    <row r="268" spans="1:7">
      <c r="A268">
        <v>267</v>
      </c>
      <c r="B268">
        <v>10606</v>
      </c>
      <c r="C268">
        <v>1787</v>
      </c>
      <c r="D268">
        <v>0</v>
      </c>
      <c r="E268">
        <v>1</v>
      </c>
      <c r="F268">
        <v>0</v>
      </c>
      <c r="G268">
        <v>9.93333333333333</v>
      </c>
    </row>
    <row r="269" spans="1:7">
      <c r="A269">
        <v>268</v>
      </c>
      <c r="B269">
        <v>401060106</v>
      </c>
      <c r="C269">
        <v>1788</v>
      </c>
      <c r="D269">
        <v>0</v>
      </c>
      <c r="E269">
        <v>1</v>
      </c>
      <c r="F269">
        <v>0</v>
      </c>
      <c r="G269">
        <v>9.93333333333333</v>
      </c>
    </row>
    <row r="270" spans="1:7">
      <c r="A270">
        <v>269</v>
      </c>
      <c r="B270">
        <v>401060106</v>
      </c>
      <c r="C270">
        <v>1789</v>
      </c>
      <c r="D270">
        <v>0</v>
      </c>
      <c r="E270">
        <v>1</v>
      </c>
      <c r="F270">
        <v>0</v>
      </c>
      <c r="G270">
        <v>9.93333333333333</v>
      </c>
    </row>
    <row r="271" spans="1:7">
      <c r="A271">
        <v>270</v>
      </c>
      <c r="B271">
        <v>401060106</v>
      </c>
      <c r="C271">
        <v>1790</v>
      </c>
      <c r="D271">
        <v>0</v>
      </c>
      <c r="E271">
        <v>1</v>
      </c>
      <c r="F271">
        <v>0</v>
      </c>
      <c r="G271">
        <v>9.93333333333333</v>
      </c>
    </row>
    <row r="272" spans="1:7">
      <c r="A272">
        <v>271</v>
      </c>
      <c r="B272">
        <v>10807</v>
      </c>
      <c r="C272">
        <v>1802</v>
      </c>
      <c r="D272">
        <v>0</v>
      </c>
      <c r="E272">
        <v>1</v>
      </c>
      <c r="F272">
        <v>0</v>
      </c>
      <c r="G272">
        <v>12</v>
      </c>
    </row>
    <row r="273" spans="1:7">
      <c r="A273">
        <v>272</v>
      </c>
      <c r="B273">
        <v>10807</v>
      </c>
      <c r="C273">
        <v>1803</v>
      </c>
      <c r="D273">
        <v>0</v>
      </c>
      <c r="E273">
        <v>1</v>
      </c>
      <c r="F273">
        <v>0</v>
      </c>
      <c r="G273">
        <v>12</v>
      </c>
    </row>
    <row r="274" spans="1:7">
      <c r="A274">
        <v>273</v>
      </c>
      <c r="B274">
        <v>10807</v>
      </c>
      <c r="C274">
        <v>1804</v>
      </c>
      <c r="D274">
        <v>0</v>
      </c>
      <c r="E274">
        <v>1</v>
      </c>
      <c r="F274">
        <v>0</v>
      </c>
      <c r="G274">
        <v>12</v>
      </c>
    </row>
    <row r="275" spans="1:7">
      <c r="A275">
        <v>274</v>
      </c>
      <c r="B275">
        <v>401080107</v>
      </c>
      <c r="C275">
        <v>1805</v>
      </c>
      <c r="D275">
        <v>0</v>
      </c>
      <c r="E275">
        <v>1</v>
      </c>
      <c r="F275">
        <v>0</v>
      </c>
      <c r="G275">
        <v>12</v>
      </c>
    </row>
    <row r="276" spans="1:7">
      <c r="A276">
        <v>275</v>
      </c>
      <c r="B276">
        <v>401080107</v>
      </c>
      <c r="C276">
        <v>1806</v>
      </c>
      <c r="D276">
        <v>0</v>
      </c>
      <c r="E276">
        <v>1</v>
      </c>
      <c r="F276">
        <v>0</v>
      </c>
      <c r="G276">
        <v>12</v>
      </c>
    </row>
    <row r="277" spans="1:7">
      <c r="A277">
        <v>276</v>
      </c>
      <c r="B277">
        <v>401080107</v>
      </c>
      <c r="C277">
        <v>1807</v>
      </c>
      <c r="D277">
        <v>0</v>
      </c>
      <c r="E277">
        <v>1</v>
      </c>
      <c r="F277">
        <v>0</v>
      </c>
      <c r="G277">
        <v>12</v>
      </c>
    </row>
    <row r="278" spans="1:7">
      <c r="A278">
        <v>277</v>
      </c>
      <c r="B278">
        <v>401070101</v>
      </c>
      <c r="C278">
        <v>1815</v>
      </c>
      <c r="D278">
        <v>0</v>
      </c>
      <c r="E278">
        <v>1</v>
      </c>
      <c r="F278">
        <v>0.333333333333333</v>
      </c>
      <c r="G278">
        <v>0.7</v>
      </c>
    </row>
    <row r="279" spans="1:7">
      <c r="A279">
        <v>278</v>
      </c>
      <c r="B279">
        <v>401070104</v>
      </c>
      <c r="C279">
        <v>1813</v>
      </c>
      <c r="D279">
        <v>1819</v>
      </c>
      <c r="E279">
        <v>1</v>
      </c>
      <c r="F279">
        <v>0.533333333333333</v>
      </c>
      <c r="G279">
        <v>0.766666666666667</v>
      </c>
    </row>
    <row r="280" spans="1:7">
      <c r="A280">
        <v>279</v>
      </c>
      <c r="B280">
        <v>401070104</v>
      </c>
      <c r="C280">
        <v>1818</v>
      </c>
      <c r="D280">
        <v>0</v>
      </c>
      <c r="E280">
        <v>1</v>
      </c>
      <c r="F280">
        <v>0.533333333333333</v>
      </c>
      <c r="G280">
        <v>0.766666666666667</v>
      </c>
    </row>
    <row r="281" spans="1:7">
      <c r="A281">
        <v>280</v>
      </c>
      <c r="B281">
        <v>401070104</v>
      </c>
      <c r="C281">
        <v>1812</v>
      </c>
      <c r="D281">
        <v>0</v>
      </c>
      <c r="E281">
        <v>1</v>
      </c>
      <c r="F281">
        <v>0.533333333333333</v>
      </c>
      <c r="G281">
        <v>0.766666666666667</v>
      </c>
    </row>
    <row r="282" spans="1:7">
      <c r="A282">
        <v>281</v>
      </c>
      <c r="B282">
        <v>401070105</v>
      </c>
      <c r="C282">
        <v>1813</v>
      </c>
      <c r="D282">
        <v>1819</v>
      </c>
      <c r="E282">
        <v>1</v>
      </c>
      <c r="F282">
        <v>0.733333333333333</v>
      </c>
      <c r="G282">
        <v>1.2</v>
      </c>
    </row>
    <row r="283" spans="1:7">
      <c r="A283">
        <v>282</v>
      </c>
      <c r="B283">
        <v>401070105</v>
      </c>
      <c r="C283">
        <v>1815</v>
      </c>
      <c r="D283">
        <v>0</v>
      </c>
      <c r="E283">
        <v>1</v>
      </c>
      <c r="F283">
        <v>0.733333333333333</v>
      </c>
      <c r="G283">
        <v>1.2</v>
      </c>
    </row>
    <row r="284" spans="1:7">
      <c r="A284">
        <v>283</v>
      </c>
      <c r="B284">
        <v>401070105</v>
      </c>
      <c r="C284">
        <v>1812</v>
      </c>
      <c r="D284">
        <v>0</v>
      </c>
      <c r="E284">
        <v>1</v>
      </c>
      <c r="F284">
        <v>0.733333333333333</v>
      </c>
      <c r="G284">
        <v>1.2</v>
      </c>
    </row>
    <row r="285" spans="1:7">
      <c r="A285">
        <v>284</v>
      </c>
      <c r="B285">
        <v>401070108</v>
      </c>
      <c r="C285">
        <v>1813</v>
      </c>
      <c r="D285">
        <v>1816</v>
      </c>
      <c r="E285">
        <v>1</v>
      </c>
      <c r="F285">
        <v>2.8</v>
      </c>
      <c r="G285">
        <v>4.2</v>
      </c>
    </row>
    <row r="286" spans="1:7">
      <c r="A286">
        <v>285</v>
      </c>
      <c r="B286">
        <v>401070108</v>
      </c>
      <c r="C286">
        <v>1815</v>
      </c>
      <c r="D286">
        <v>1820</v>
      </c>
      <c r="E286">
        <v>1</v>
      </c>
      <c r="F286">
        <v>2.8</v>
      </c>
      <c r="G286">
        <v>4.2</v>
      </c>
    </row>
    <row r="287" spans="1:7">
      <c r="A287">
        <v>286</v>
      </c>
      <c r="B287">
        <v>401070108</v>
      </c>
      <c r="C287">
        <v>1812</v>
      </c>
      <c r="D287">
        <v>0</v>
      </c>
      <c r="E287">
        <v>1</v>
      </c>
      <c r="F287">
        <v>2.8</v>
      </c>
      <c r="G287">
        <v>4.2</v>
      </c>
    </row>
    <row r="288" spans="1:7">
      <c r="A288">
        <v>287</v>
      </c>
      <c r="B288">
        <v>121605</v>
      </c>
      <c r="C288">
        <v>1827</v>
      </c>
      <c r="D288">
        <v>0</v>
      </c>
      <c r="E288">
        <v>1</v>
      </c>
      <c r="F288">
        <v>8.16666666666667</v>
      </c>
      <c r="G288">
        <v>10000000</v>
      </c>
    </row>
    <row r="289" spans="1:7">
      <c r="A289">
        <v>288</v>
      </c>
      <c r="B289">
        <v>121605</v>
      </c>
      <c r="C289">
        <v>1828</v>
      </c>
      <c r="D289">
        <v>0</v>
      </c>
      <c r="E289">
        <v>1</v>
      </c>
      <c r="F289">
        <v>8.16666666666667</v>
      </c>
      <c r="G289">
        <v>10000000</v>
      </c>
    </row>
    <row r="290" spans="1:7">
      <c r="A290">
        <v>289</v>
      </c>
      <c r="B290">
        <v>121605</v>
      </c>
      <c r="C290">
        <v>1829</v>
      </c>
      <c r="D290">
        <v>0</v>
      </c>
      <c r="E290">
        <v>1</v>
      </c>
      <c r="F290">
        <v>8.16666666666667</v>
      </c>
      <c r="G290">
        <v>10000000</v>
      </c>
    </row>
    <row r="291" spans="1:7">
      <c r="A291">
        <v>290</v>
      </c>
      <c r="B291">
        <v>121605</v>
      </c>
      <c r="C291">
        <v>1830</v>
      </c>
      <c r="D291">
        <v>0</v>
      </c>
      <c r="E291">
        <v>1</v>
      </c>
      <c r="F291">
        <v>8.16666666666667</v>
      </c>
      <c r="G291">
        <v>10000000</v>
      </c>
    </row>
    <row r="292" spans="1:7">
      <c r="A292">
        <v>291</v>
      </c>
      <c r="B292">
        <v>121605</v>
      </c>
      <c r="C292">
        <v>1831</v>
      </c>
      <c r="D292">
        <v>0</v>
      </c>
      <c r="E292">
        <v>1</v>
      </c>
      <c r="F292">
        <v>8.16666666666667</v>
      </c>
      <c r="G292">
        <v>10000000</v>
      </c>
    </row>
    <row r="293" spans="1:7">
      <c r="A293">
        <v>292</v>
      </c>
      <c r="B293">
        <v>11001</v>
      </c>
      <c r="C293">
        <v>0</v>
      </c>
      <c r="D293">
        <v>1832</v>
      </c>
      <c r="E293">
        <v>1</v>
      </c>
      <c r="F293">
        <v>1</v>
      </c>
      <c r="G293">
        <v>1.5</v>
      </c>
    </row>
    <row r="294" spans="1:7">
      <c r="A294">
        <v>293</v>
      </c>
      <c r="B294">
        <v>11007</v>
      </c>
      <c r="C294">
        <v>0</v>
      </c>
      <c r="D294">
        <v>1832</v>
      </c>
      <c r="E294">
        <v>1</v>
      </c>
      <c r="F294">
        <v>2.76666666666667</v>
      </c>
      <c r="G294">
        <v>8</v>
      </c>
    </row>
    <row r="295" spans="1:7">
      <c r="A295">
        <v>294</v>
      </c>
      <c r="B295">
        <v>11004</v>
      </c>
      <c r="C295">
        <v>0</v>
      </c>
      <c r="D295">
        <v>1832</v>
      </c>
      <c r="E295">
        <v>1</v>
      </c>
      <c r="F295">
        <v>0.933333333333333</v>
      </c>
      <c r="G295">
        <v>1.1</v>
      </c>
    </row>
    <row r="296" spans="1:7">
      <c r="A296">
        <v>295</v>
      </c>
      <c r="B296">
        <v>6406</v>
      </c>
      <c r="C296">
        <v>848</v>
      </c>
      <c r="D296">
        <v>0</v>
      </c>
      <c r="E296">
        <v>1</v>
      </c>
      <c r="F296">
        <v>0</v>
      </c>
      <c r="G296">
        <v>8</v>
      </c>
    </row>
    <row r="297" spans="1:7">
      <c r="A297">
        <v>296</v>
      </c>
      <c r="B297">
        <v>6406</v>
      </c>
      <c r="C297">
        <v>849</v>
      </c>
      <c r="D297">
        <v>0</v>
      </c>
      <c r="E297">
        <v>1</v>
      </c>
      <c r="F297">
        <v>0</v>
      </c>
      <c r="G297">
        <v>8</v>
      </c>
    </row>
    <row r="298" spans="1:7">
      <c r="A298">
        <v>297</v>
      </c>
      <c r="B298">
        <v>6406</v>
      </c>
      <c r="C298">
        <v>851</v>
      </c>
      <c r="D298">
        <v>0</v>
      </c>
      <c r="E298">
        <v>1</v>
      </c>
      <c r="F298">
        <v>0</v>
      </c>
      <c r="G298">
        <v>8</v>
      </c>
    </row>
    <row r="299" spans="1:7">
      <c r="A299">
        <v>298</v>
      </c>
      <c r="B299">
        <v>6407</v>
      </c>
      <c r="C299">
        <v>848</v>
      </c>
      <c r="D299">
        <v>0</v>
      </c>
      <c r="E299">
        <v>1</v>
      </c>
      <c r="F299">
        <v>0</v>
      </c>
      <c r="G299" s="20">
        <v>11.3</v>
      </c>
    </row>
    <row r="300" spans="1:7">
      <c r="A300">
        <v>299</v>
      </c>
      <c r="B300">
        <v>6407</v>
      </c>
      <c r="C300">
        <v>849</v>
      </c>
      <c r="D300">
        <v>0</v>
      </c>
      <c r="E300">
        <v>1</v>
      </c>
      <c r="F300">
        <v>0</v>
      </c>
      <c r="G300" s="20">
        <v>11.3</v>
      </c>
    </row>
    <row r="301" spans="1:7">
      <c r="A301">
        <v>300</v>
      </c>
      <c r="B301">
        <v>6407</v>
      </c>
      <c r="C301">
        <v>851</v>
      </c>
      <c r="D301">
        <v>0</v>
      </c>
      <c r="E301">
        <v>1</v>
      </c>
      <c r="F301">
        <v>0</v>
      </c>
      <c r="G301" s="20">
        <v>11.3</v>
      </c>
    </row>
    <row r="302" spans="1:7">
      <c r="A302">
        <v>301</v>
      </c>
      <c r="B302" t="s">
        <v>113</v>
      </c>
      <c r="C302">
        <v>1945</v>
      </c>
      <c r="D302">
        <v>0</v>
      </c>
      <c r="E302">
        <v>1</v>
      </c>
      <c r="F302">
        <v>0</v>
      </c>
      <c r="G302">
        <f t="shared" ref="G302:G304" si="8">136/30</f>
        <v>4.53333333333333</v>
      </c>
    </row>
    <row r="303" spans="1:7">
      <c r="A303">
        <v>302</v>
      </c>
      <c r="B303" t="s">
        <v>113</v>
      </c>
      <c r="C303">
        <v>1946</v>
      </c>
      <c r="D303">
        <v>0</v>
      </c>
      <c r="E303">
        <v>1</v>
      </c>
      <c r="F303">
        <v>0</v>
      </c>
      <c r="G303">
        <f t="shared" si="8"/>
        <v>4.53333333333333</v>
      </c>
    </row>
    <row r="304" spans="1:7">
      <c r="A304">
        <v>303</v>
      </c>
      <c r="B304" t="s">
        <v>113</v>
      </c>
      <c r="C304">
        <v>1947</v>
      </c>
      <c r="D304">
        <v>0</v>
      </c>
      <c r="E304">
        <v>1</v>
      </c>
      <c r="F304">
        <v>0</v>
      </c>
      <c r="G304">
        <f t="shared" si="8"/>
        <v>4.53333333333333</v>
      </c>
    </row>
    <row r="305" spans="1:7">
      <c r="A305">
        <v>304</v>
      </c>
      <c r="B305">
        <v>7508</v>
      </c>
      <c r="C305">
        <v>1028</v>
      </c>
      <c r="D305">
        <v>0</v>
      </c>
      <c r="E305">
        <v>1</v>
      </c>
      <c r="F305">
        <v>0</v>
      </c>
      <c r="G305">
        <f t="shared" ref="G305:G315" si="9">290/30</f>
        <v>9.66666666666667</v>
      </c>
    </row>
    <row r="306" spans="1:7">
      <c r="A306">
        <v>305</v>
      </c>
      <c r="B306">
        <v>7508</v>
      </c>
      <c r="C306">
        <v>1029</v>
      </c>
      <c r="D306">
        <v>0</v>
      </c>
      <c r="E306">
        <v>1</v>
      </c>
      <c r="F306">
        <v>0</v>
      </c>
      <c r="G306">
        <f t="shared" si="9"/>
        <v>9.66666666666667</v>
      </c>
    </row>
    <row r="307" spans="1:7">
      <c r="A307">
        <v>306</v>
      </c>
      <c r="B307">
        <v>7508</v>
      </c>
      <c r="C307">
        <v>1030</v>
      </c>
      <c r="D307">
        <v>0</v>
      </c>
      <c r="E307">
        <v>1</v>
      </c>
      <c r="F307">
        <v>0</v>
      </c>
      <c r="G307">
        <f t="shared" si="9"/>
        <v>9.66666666666667</v>
      </c>
    </row>
    <row r="308" spans="1:7">
      <c r="A308">
        <v>307</v>
      </c>
      <c r="B308">
        <v>40470308</v>
      </c>
      <c r="C308">
        <v>1170</v>
      </c>
      <c r="D308">
        <v>0</v>
      </c>
      <c r="E308">
        <v>1</v>
      </c>
      <c r="F308">
        <v>0</v>
      </c>
      <c r="G308">
        <f t="shared" si="9"/>
        <v>9.66666666666667</v>
      </c>
    </row>
    <row r="309" spans="1:7">
      <c r="A309">
        <v>308</v>
      </c>
      <c r="B309">
        <v>40470308</v>
      </c>
      <c r="C309">
        <v>1171</v>
      </c>
      <c r="D309">
        <v>0</v>
      </c>
      <c r="E309">
        <v>1</v>
      </c>
      <c r="F309">
        <v>0</v>
      </c>
      <c r="G309">
        <f t="shared" si="9"/>
        <v>9.66666666666667</v>
      </c>
    </row>
    <row r="310" spans="1:7">
      <c r="A310">
        <v>309</v>
      </c>
      <c r="B310">
        <v>40470408</v>
      </c>
      <c r="C310">
        <v>1307</v>
      </c>
      <c r="D310">
        <v>0</v>
      </c>
      <c r="E310">
        <v>1</v>
      </c>
      <c r="F310">
        <v>0</v>
      </c>
      <c r="G310">
        <f t="shared" si="9"/>
        <v>9.66666666666667</v>
      </c>
    </row>
    <row r="311" spans="1:7">
      <c r="A311">
        <v>310</v>
      </c>
      <c r="B311">
        <v>40470408</v>
      </c>
      <c r="C311">
        <v>1308</v>
      </c>
      <c r="D311">
        <v>0</v>
      </c>
      <c r="E311">
        <v>1</v>
      </c>
      <c r="F311">
        <v>0</v>
      </c>
      <c r="G311">
        <f t="shared" si="9"/>
        <v>9.66666666666667</v>
      </c>
    </row>
    <row r="312" spans="1:7">
      <c r="A312">
        <v>311</v>
      </c>
      <c r="B312">
        <v>40470508</v>
      </c>
      <c r="C312">
        <v>1569</v>
      </c>
      <c r="D312">
        <v>0</v>
      </c>
      <c r="E312">
        <v>1</v>
      </c>
      <c r="F312">
        <v>0</v>
      </c>
      <c r="G312">
        <f t="shared" si="9"/>
        <v>9.66666666666667</v>
      </c>
    </row>
    <row r="313" spans="1:7">
      <c r="A313">
        <v>312</v>
      </c>
      <c r="B313">
        <v>40470508</v>
      </c>
      <c r="C313">
        <v>1570</v>
      </c>
      <c r="D313">
        <v>0</v>
      </c>
      <c r="E313">
        <v>1</v>
      </c>
      <c r="F313">
        <v>0</v>
      </c>
      <c r="G313">
        <f t="shared" si="9"/>
        <v>9.66666666666667</v>
      </c>
    </row>
    <row r="314" spans="1:7">
      <c r="A314">
        <v>313</v>
      </c>
      <c r="B314">
        <v>40750608</v>
      </c>
      <c r="C314">
        <v>1642</v>
      </c>
      <c r="D314">
        <v>0</v>
      </c>
      <c r="E314">
        <v>1</v>
      </c>
      <c r="F314">
        <v>0</v>
      </c>
      <c r="G314">
        <f t="shared" si="9"/>
        <v>9.66666666666667</v>
      </c>
    </row>
    <row r="315" spans="1:7">
      <c r="A315">
        <v>314</v>
      </c>
      <c r="B315">
        <v>40750608</v>
      </c>
      <c r="C315">
        <v>1643</v>
      </c>
      <c r="D315">
        <v>0</v>
      </c>
      <c r="E315">
        <v>1</v>
      </c>
      <c r="F315">
        <v>0</v>
      </c>
      <c r="G315">
        <f t="shared" si="9"/>
        <v>9.66666666666667</v>
      </c>
    </row>
    <row r="316" spans="1:7">
      <c r="A316">
        <v>315</v>
      </c>
      <c r="B316">
        <v>3005708</v>
      </c>
      <c r="C316">
        <v>1948</v>
      </c>
      <c r="D316">
        <v>0</v>
      </c>
      <c r="E316">
        <v>1</v>
      </c>
      <c r="F316">
        <v>0</v>
      </c>
      <c r="G316">
        <f>136/30</f>
        <v>4.53333333333333</v>
      </c>
    </row>
    <row r="317" spans="1:7">
      <c r="A317">
        <v>316</v>
      </c>
      <c r="B317">
        <v>3005708</v>
      </c>
      <c r="C317">
        <v>1949</v>
      </c>
      <c r="D317">
        <v>0</v>
      </c>
      <c r="E317">
        <v>1</v>
      </c>
      <c r="F317">
        <v>0</v>
      </c>
      <c r="G317">
        <f>136/30</f>
        <v>4.53333333333333</v>
      </c>
    </row>
    <row r="318" spans="1:7">
      <c r="A318">
        <v>317</v>
      </c>
      <c r="B318" s="19">
        <v>11406</v>
      </c>
      <c r="C318">
        <v>1996</v>
      </c>
      <c r="D318">
        <v>1997</v>
      </c>
      <c r="E318">
        <v>1</v>
      </c>
      <c r="F318">
        <v>0</v>
      </c>
      <c r="G318">
        <f>395/30</f>
        <v>13.1666666666667</v>
      </c>
    </row>
    <row r="319" spans="1:7">
      <c r="A319">
        <v>318</v>
      </c>
      <c r="B319" s="19">
        <v>11407</v>
      </c>
      <c r="C319">
        <v>1997</v>
      </c>
      <c r="D319">
        <v>1996</v>
      </c>
      <c r="E319">
        <v>1</v>
      </c>
      <c r="F319">
        <v>0</v>
      </c>
      <c r="G319">
        <f>385/30</f>
        <v>12.8333333333333</v>
      </c>
    </row>
    <row r="320" spans="1:7">
      <c r="A320">
        <v>319</v>
      </c>
      <c r="B320" s="19">
        <v>11405</v>
      </c>
      <c r="C320">
        <v>1997</v>
      </c>
      <c r="D320">
        <v>1996</v>
      </c>
      <c r="E320">
        <v>1</v>
      </c>
      <c r="F320">
        <v>0</v>
      </c>
      <c r="G320">
        <f>303/30</f>
        <v>10.1</v>
      </c>
    </row>
    <row r="321" customFormat="1" spans="1:7">
      <c r="A321">
        <v>320</v>
      </c>
      <c r="B321" s="19" t="s">
        <v>114</v>
      </c>
      <c r="C321">
        <v>2022</v>
      </c>
      <c r="D321">
        <v>2023</v>
      </c>
      <c r="E321">
        <v>1</v>
      </c>
      <c r="F321">
        <v>0</v>
      </c>
      <c r="G321">
        <f>395/30</f>
        <v>13.1666666666667</v>
      </c>
    </row>
    <row r="322" customFormat="1" spans="1:7">
      <c r="A322">
        <v>321</v>
      </c>
      <c r="B322" s="19" t="s">
        <v>115</v>
      </c>
      <c r="C322">
        <v>2023</v>
      </c>
      <c r="D322">
        <v>2022</v>
      </c>
      <c r="E322">
        <v>1</v>
      </c>
      <c r="F322">
        <v>0</v>
      </c>
      <c r="G322">
        <f>385/30</f>
        <v>12.8333333333333</v>
      </c>
    </row>
    <row r="323" customFormat="1" spans="1:7">
      <c r="A323">
        <v>322</v>
      </c>
      <c r="B323" s="19" t="s">
        <v>116</v>
      </c>
      <c r="C323">
        <v>2023</v>
      </c>
      <c r="D323">
        <v>2022</v>
      </c>
      <c r="E323">
        <v>1</v>
      </c>
      <c r="F323">
        <v>0</v>
      </c>
      <c r="G323">
        <f>303/30</f>
        <v>10.1</v>
      </c>
    </row>
    <row r="324" customFormat="1" spans="1:7">
      <c r="A324">
        <v>323</v>
      </c>
      <c r="B324" s="19" t="s">
        <v>117</v>
      </c>
      <c r="C324">
        <v>2034</v>
      </c>
      <c r="D324">
        <v>2035</v>
      </c>
      <c r="E324">
        <v>1</v>
      </c>
      <c r="F324">
        <v>0</v>
      </c>
      <c r="G324">
        <f>395/30</f>
        <v>13.1666666666667</v>
      </c>
    </row>
    <row r="325" customFormat="1" spans="1:7">
      <c r="A325">
        <v>324</v>
      </c>
      <c r="B325" s="19" t="s">
        <v>118</v>
      </c>
      <c r="C325">
        <v>2035</v>
      </c>
      <c r="D325">
        <v>2034</v>
      </c>
      <c r="E325">
        <v>1</v>
      </c>
      <c r="F325">
        <v>0</v>
      </c>
      <c r="G325">
        <f>385/30</f>
        <v>12.8333333333333</v>
      </c>
    </row>
    <row r="326" customFormat="1" spans="1:7">
      <c r="A326">
        <v>325</v>
      </c>
      <c r="B326" s="19" t="s">
        <v>119</v>
      </c>
      <c r="C326">
        <v>2035</v>
      </c>
      <c r="D326">
        <v>2034</v>
      </c>
      <c r="E326">
        <v>1</v>
      </c>
      <c r="F326">
        <v>0</v>
      </c>
      <c r="G326">
        <f>303/30</f>
        <v>10.1</v>
      </c>
    </row>
    <row r="327" customFormat="1" spans="1:7">
      <c r="A327">
        <v>326</v>
      </c>
      <c r="B327" s="19" t="s">
        <v>120</v>
      </c>
      <c r="C327">
        <v>2047</v>
      </c>
      <c r="D327">
        <v>2048</v>
      </c>
      <c r="E327">
        <v>1</v>
      </c>
      <c r="F327">
        <v>0</v>
      </c>
      <c r="G327">
        <f>395/30</f>
        <v>13.1666666666667</v>
      </c>
    </row>
    <row r="328" customFormat="1" spans="1:7">
      <c r="A328">
        <v>327</v>
      </c>
      <c r="B328" s="19" t="s">
        <v>121</v>
      </c>
      <c r="C328">
        <v>2048</v>
      </c>
      <c r="D328">
        <v>2047</v>
      </c>
      <c r="E328">
        <v>1</v>
      </c>
      <c r="F328">
        <v>0</v>
      </c>
      <c r="G328">
        <f>385/30</f>
        <v>12.8333333333333</v>
      </c>
    </row>
    <row r="329" customFormat="1" spans="1:7">
      <c r="A329">
        <v>328</v>
      </c>
      <c r="B329" s="19" t="s">
        <v>122</v>
      </c>
      <c r="C329">
        <v>2048</v>
      </c>
      <c r="D329">
        <v>2047</v>
      </c>
      <c r="E329">
        <v>1</v>
      </c>
      <c r="F329">
        <v>0</v>
      </c>
      <c r="G329">
        <f>303/30</f>
        <v>10.1</v>
      </c>
    </row>
    <row r="330" customFormat="1" spans="1:7">
      <c r="A330">
        <v>329</v>
      </c>
      <c r="B330" s="19" t="s">
        <v>123</v>
      </c>
      <c r="C330">
        <v>2053</v>
      </c>
      <c r="D330">
        <v>0</v>
      </c>
      <c r="E330">
        <v>0</v>
      </c>
      <c r="F330">
        <v>0</v>
      </c>
      <c r="G330" s="18">
        <v>4</v>
      </c>
    </row>
    <row r="331" customFormat="1" spans="1:7">
      <c r="A331">
        <v>330</v>
      </c>
      <c r="B331" s="19" t="s">
        <v>123</v>
      </c>
      <c r="C331">
        <v>2054</v>
      </c>
      <c r="D331">
        <v>0</v>
      </c>
      <c r="E331">
        <v>0</v>
      </c>
      <c r="F331">
        <v>0</v>
      </c>
      <c r="G331" s="18" t="s">
        <v>124</v>
      </c>
    </row>
    <row r="332" customFormat="1" spans="1:7">
      <c r="A332">
        <v>331</v>
      </c>
      <c r="B332" s="19" t="s">
        <v>123</v>
      </c>
      <c r="C332">
        <v>2055</v>
      </c>
      <c r="D332">
        <v>0</v>
      </c>
      <c r="E332">
        <v>0</v>
      </c>
      <c r="F332">
        <v>0</v>
      </c>
      <c r="G332" s="18" t="s">
        <v>124</v>
      </c>
    </row>
    <row r="333" customFormat="1" spans="1:7">
      <c r="A333">
        <v>332</v>
      </c>
      <c r="B333" s="19" t="s">
        <v>123</v>
      </c>
      <c r="C333">
        <v>2057</v>
      </c>
      <c r="D333">
        <v>0</v>
      </c>
      <c r="E333">
        <v>0</v>
      </c>
      <c r="F333">
        <v>0</v>
      </c>
      <c r="G333" s="18" t="s">
        <v>124</v>
      </c>
    </row>
    <row r="334" customFormat="1" spans="1:7">
      <c r="A334">
        <v>333</v>
      </c>
      <c r="B334" s="19" t="s">
        <v>125</v>
      </c>
      <c r="C334">
        <v>2053</v>
      </c>
      <c r="D334">
        <v>0</v>
      </c>
      <c r="E334">
        <v>0</v>
      </c>
      <c r="F334">
        <v>0</v>
      </c>
      <c r="G334" s="18" t="s">
        <v>126</v>
      </c>
    </row>
    <row r="335" customFormat="1" spans="1:7">
      <c r="A335">
        <v>334</v>
      </c>
      <c r="B335" s="19" t="s">
        <v>125</v>
      </c>
      <c r="C335">
        <v>2054</v>
      </c>
      <c r="D335">
        <v>0</v>
      </c>
      <c r="E335">
        <v>0</v>
      </c>
      <c r="F335">
        <v>0</v>
      </c>
      <c r="G335" s="18" t="s">
        <v>126</v>
      </c>
    </row>
    <row r="336" customFormat="1" spans="1:7">
      <c r="A336">
        <v>335</v>
      </c>
      <c r="B336" s="19" t="s">
        <v>125</v>
      </c>
      <c r="C336">
        <v>2055</v>
      </c>
      <c r="D336">
        <v>0</v>
      </c>
      <c r="E336">
        <v>0</v>
      </c>
      <c r="F336">
        <v>0</v>
      </c>
      <c r="G336" s="18" t="s">
        <v>126</v>
      </c>
    </row>
    <row r="337" customFormat="1" spans="1:7">
      <c r="A337">
        <v>336</v>
      </c>
      <c r="B337" s="19" t="s">
        <v>125</v>
      </c>
      <c r="C337">
        <v>2057</v>
      </c>
      <c r="D337">
        <v>0</v>
      </c>
      <c r="E337">
        <v>0</v>
      </c>
      <c r="F337">
        <v>0</v>
      </c>
      <c r="G337" s="18" t="s">
        <v>126</v>
      </c>
    </row>
    <row r="338" customFormat="1" spans="1:7">
      <c r="A338">
        <v>337</v>
      </c>
      <c r="B338" s="19" t="s">
        <v>127</v>
      </c>
      <c r="C338">
        <v>2053</v>
      </c>
      <c r="D338">
        <v>0</v>
      </c>
      <c r="E338">
        <v>0</v>
      </c>
      <c r="F338">
        <v>0</v>
      </c>
      <c r="G338" s="18" t="s">
        <v>128</v>
      </c>
    </row>
    <row r="339" customFormat="1" spans="1:7">
      <c r="A339">
        <v>338</v>
      </c>
      <c r="B339" s="19" t="s">
        <v>127</v>
      </c>
      <c r="C339">
        <v>2054</v>
      </c>
      <c r="D339">
        <v>0</v>
      </c>
      <c r="E339">
        <v>0</v>
      </c>
      <c r="F339">
        <v>0</v>
      </c>
      <c r="G339" s="18" t="s">
        <v>128</v>
      </c>
    </row>
    <row r="340" customFormat="1" spans="1:7">
      <c r="A340">
        <v>339</v>
      </c>
      <c r="B340" s="19" t="s">
        <v>127</v>
      </c>
      <c r="C340">
        <v>2055</v>
      </c>
      <c r="D340">
        <v>0</v>
      </c>
      <c r="E340">
        <v>0</v>
      </c>
      <c r="F340">
        <v>0</v>
      </c>
      <c r="G340" s="18" t="s">
        <v>128</v>
      </c>
    </row>
    <row r="341" customFormat="1" spans="1:7">
      <c r="A341">
        <v>340</v>
      </c>
      <c r="B341" s="19" t="s">
        <v>127</v>
      </c>
      <c r="C341">
        <v>2057</v>
      </c>
      <c r="D341">
        <v>0</v>
      </c>
      <c r="E341">
        <v>0</v>
      </c>
      <c r="F341">
        <v>0</v>
      </c>
      <c r="G341" s="18" t="s">
        <v>128</v>
      </c>
    </row>
    <row r="342" customFormat="1" spans="1:7">
      <c r="A342">
        <v>341</v>
      </c>
      <c r="B342" s="19" t="s">
        <v>129</v>
      </c>
      <c r="C342">
        <v>2053</v>
      </c>
      <c r="D342">
        <v>0</v>
      </c>
      <c r="E342">
        <v>0</v>
      </c>
      <c r="F342">
        <v>0</v>
      </c>
      <c r="G342" s="18" t="s">
        <v>130</v>
      </c>
    </row>
    <row r="343" customFormat="1" spans="1:7">
      <c r="A343">
        <v>342</v>
      </c>
      <c r="B343" s="19" t="s">
        <v>129</v>
      </c>
      <c r="C343">
        <v>2054</v>
      </c>
      <c r="D343">
        <v>0</v>
      </c>
      <c r="E343">
        <v>0</v>
      </c>
      <c r="F343">
        <v>0</v>
      </c>
      <c r="G343" s="18" t="s">
        <v>130</v>
      </c>
    </row>
    <row r="344" customFormat="1" spans="1:7">
      <c r="A344">
        <v>343</v>
      </c>
      <c r="B344" s="19" t="s">
        <v>129</v>
      </c>
      <c r="C344">
        <v>2055</v>
      </c>
      <c r="D344">
        <v>0</v>
      </c>
      <c r="E344">
        <v>0</v>
      </c>
      <c r="F344">
        <v>0</v>
      </c>
      <c r="G344" s="18" t="s">
        <v>130</v>
      </c>
    </row>
    <row r="345" customFormat="1" spans="1:7">
      <c r="A345">
        <v>344</v>
      </c>
      <c r="B345" s="19" t="s">
        <v>129</v>
      </c>
      <c r="C345">
        <v>2057</v>
      </c>
      <c r="D345">
        <v>0</v>
      </c>
      <c r="E345">
        <v>0</v>
      </c>
      <c r="F345">
        <v>0</v>
      </c>
      <c r="G345" s="18" t="s">
        <v>130</v>
      </c>
    </row>
    <row r="346" customFormat="1" spans="1:7">
      <c r="A346">
        <v>345</v>
      </c>
      <c r="B346" s="19" t="s">
        <v>131</v>
      </c>
      <c r="C346">
        <v>2053</v>
      </c>
      <c r="D346">
        <v>0</v>
      </c>
      <c r="E346">
        <v>0</v>
      </c>
      <c r="F346">
        <v>0</v>
      </c>
      <c r="G346" s="18" t="s">
        <v>132</v>
      </c>
    </row>
    <row r="347" customFormat="1" spans="1:7">
      <c r="A347">
        <v>346</v>
      </c>
      <c r="B347" s="19" t="s">
        <v>131</v>
      </c>
      <c r="C347">
        <v>2054</v>
      </c>
      <c r="D347">
        <v>0</v>
      </c>
      <c r="E347">
        <v>0</v>
      </c>
      <c r="F347">
        <v>0</v>
      </c>
      <c r="G347" s="18" t="s">
        <v>132</v>
      </c>
    </row>
    <row r="348" customFormat="1" spans="1:7">
      <c r="A348">
        <v>347</v>
      </c>
      <c r="B348" s="19" t="s">
        <v>131</v>
      </c>
      <c r="C348">
        <v>2055</v>
      </c>
      <c r="D348">
        <v>0</v>
      </c>
      <c r="E348">
        <v>0</v>
      </c>
      <c r="F348">
        <v>0</v>
      </c>
      <c r="G348" s="18" t="s">
        <v>132</v>
      </c>
    </row>
    <row r="349" customFormat="1" spans="1:7">
      <c r="A349">
        <v>348</v>
      </c>
      <c r="B349" s="19" t="s">
        <v>131</v>
      </c>
      <c r="C349">
        <v>2057</v>
      </c>
      <c r="D349">
        <v>0</v>
      </c>
      <c r="E349">
        <v>0</v>
      </c>
      <c r="F349">
        <v>0</v>
      </c>
      <c r="G349" s="18" t="s">
        <v>132</v>
      </c>
    </row>
    <row r="350" customFormat="1" spans="1:7">
      <c r="A350">
        <v>349</v>
      </c>
      <c r="B350" s="19" t="s">
        <v>133</v>
      </c>
      <c r="C350">
        <v>2053</v>
      </c>
      <c r="D350">
        <v>0</v>
      </c>
      <c r="E350">
        <v>0</v>
      </c>
      <c r="F350">
        <v>0</v>
      </c>
      <c r="G350" s="18" t="s">
        <v>134</v>
      </c>
    </row>
    <row r="351" customFormat="1" spans="1:7">
      <c r="A351">
        <v>350</v>
      </c>
      <c r="B351" s="19" t="s">
        <v>133</v>
      </c>
      <c r="C351">
        <v>2054</v>
      </c>
      <c r="D351">
        <v>0</v>
      </c>
      <c r="E351">
        <v>0</v>
      </c>
      <c r="F351">
        <v>0</v>
      </c>
      <c r="G351" s="18" t="s">
        <v>134</v>
      </c>
    </row>
    <row r="352" customFormat="1" spans="1:7">
      <c r="A352">
        <v>351</v>
      </c>
      <c r="B352" s="19" t="s">
        <v>133</v>
      </c>
      <c r="C352">
        <v>2055</v>
      </c>
      <c r="D352">
        <v>0</v>
      </c>
      <c r="E352">
        <v>0</v>
      </c>
      <c r="F352">
        <v>0</v>
      </c>
      <c r="G352" s="18" t="s">
        <v>134</v>
      </c>
    </row>
    <row r="353" customFormat="1" spans="1:7">
      <c r="A353">
        <v>352</v>
      </c>
      <c r="B353" s="19" t="s">
        <v>135</v>
      </c>
      <c r="C353">
        <v>2053</v>
      </c>
      <c r="D353">
        <v>0</v>
      </c>
      <c r="E353">
        <v>0</v>
      </c>
      <c r="F353">
        <v>0</v>
      </c>
      <c r="G353" s="18" t="s">
        <v>132</v>
      </c>
    </row>
    <row r="354" customFormat="1" spans="1:7">
      <c r="A354">
        <v>353</v>
      </c>
      <c r="B354" s="19" t="s">
        <v>135</v>
      </c>
      <c r="C354">
        <v>2054</v>
      </c>
      <c r="D354">
        <v>0</v>
      </c>
      <c r="E354">
        <v>0</v>
      </c>
      <c r="F354">
        <v>0</v>
      </c>
      <c r="G354" s="18" t="s">
        <v>132</v>
      </c>
    </row>
    <row r="355" customFormat="1" spans="1:7">
      <c r="A355">
        <v>354</v>
      </c>
      <c r="B355" s="19" t="s">
        <v>135</v>
      </c>
      <c r="C355">
        <v>2055</v>
      </c>
      <c r="D355">
        <v>0</v>
      </c>
      <c r="E355">
        <v>0</v>
      </c>
      <c r="F355">
        <v>0</v>
      </c>
      <c r="G355" s="18" t="s">
        <v>132</v>
      </c>
    </row>
    <row r="356" customFormat="1" spans="1:7">
      <c r="A356">
        <v>355</v>
      </c>
      <c r="B356" s="19" t="s">
        <v>135</v>
      </c>
      <c r="C356">
        <v>2057</v>
      </c>
      <c r="D356">
        <v>0</v>
      </c>
      <c r="E356">
        <v>0</v>
      </c>
      <c r="F356">
        <v>0</v>
      </c>
      <c r="G356" s="18" t="s">
        <v>132</v>
      </c>
    </row>
    <row r="357" customFormat="1" spans="1:7">
      <c r="A357">
        <v>356</v>
      </c>
      <c r="B357" s="19" t="s">
        <v>136</v>
      </c>
      <c r="C357">
        <v>2053</v>
      </c>
      <c r="D357">
        <v>0</v>
      </c>
      <c r="E357">
        <v>0</v>
      </c>
      <c r="F357">
        <v>0</v>
      </c>
      <c r="G357" s="18" t="s">
        <v>137</v>
      </c>
    </row>
    <row r="358" customFormat="1" spans="1:7">
      <c r="A358">
        <v>357</v>
      </c>
      <c r="B358" s="19" t="s">
        <v>136</v>
      </c>
      <c r="C358">
        <v>2054</v>
      </c>
      <c r="D358">
        <v>0</v>
      </c>
      <c r="E358">
        <v>0</v>
      </c>
      <c r="F358">
        <v>0</v>
      </c>
      <c r="G358" s="18" t="s">
        <v>137</v>
      </c>
    </row>
    <row r="359" customFormat="1" spans="1:7">
      <c r="A359">
        <v>358</v>
      </c>
      <c r="B359" s="19" t="s">
        <v>136</v>
      </c>
      <c r="C359">
        <v>2055</v>
      </c>
      <c r="D359">
        <v>0</v>
      </c>
      <c r="E359">
        <v>0</v>
      </c>
      <c r="F359">
        <v>0</v>
      </c>
      <c r="G359" s="18" t="s">
        <v>137</v>
      </c>
    </row>
    <row r="360" customFormat="1" spans="1:7">
      <c r="A360">
        <v>359</v>
      </c>
      <c r="B360" s="19" t="s">
        <v>136</v>
      </c>
      <c r="C360">
        <v>2057</v>
      </c>
      <c r="D360">
        <v>0</v>
      </c>
      <c r="E360">
        <v>0</v>
      </c>
      <c r="F360">
        <v>0</v>
      </c>
      <c r="G360" s="18" t="s">
        <v>137</v>
      </c>
    </row>
    <row r="361" customFormat="1" spans="1:7">
      <c r="A361">
        <v>360</v>
      </c>
      <c r="B361" s="19" t="s">
        <v>138</v>
      </c>
      <c r="C361">
        <v>2053</v>
      </c>
      <c r="D361">
        <v>0</v>
      </c>
      <c r="E361">
        <v>0</v>
      </c>
      <c r="F361">
        <v>0</v>
      </c>
      <c r="G361" s="18" t="s">
        <v>139</v>
      </c>
    </row>
    <row r="362" customFormat="1" spans="1:7">
      <c r="A362">
        <v>361</v>
      </c>
      <c r="B362" s="19" t="s">
        <v>138</v>
      </c>
      <c r="C362">
        <v>2054</v>
      </c>
      <c r="D362">
        <v>0</v>
      </c>
      <c r="E362">
        <v>0</v>
      </c>
      <c r="F362">
        <v>0</v>
      </c>
      <c r="G362" s="18" t="s">
        <v>139</v>
      </c>
    </row>
    <row r="363" customFormat="1" spans="1:7">
      <c r="A363">
        <v>362</v>
      </c>
      <c r="B363" s="19" t="s">
        <v>138</v>
      </c>
      <c r="C363">
        <v>2055</v>
      </c>
      <c r="D363">
        <v>0</v>
      </c>
      <c r="E363">
        <v>0</v>
      </c>
      <c r="F363">
        <v>0</v>
      </c>
      <c r="G363" s="18" t="s">
        <v>139</v>
      </c>
    </row>
    <row r="364" customFormat="1" spans="1:7">
      <c r="A364">
        <v>363</v>
      </c>
      <c r="B364" s="19" t="s">
        <v>138</v>
      </c>
      <c r="C364">
        <v>2057</v>
      </c>
      <c r="D364">
        <v>0</v>
      </c>
      <c r="E364">
        <v>0</v>
      </c>
      <c r="F364">
        <v>0</v>
      </c>
      <c r="G364" s="18" t="s">
        <v>139</v>
      </c>
    </row>
    <row r="365" customFormat="1" spans="1:7">
      <c r="A365">
        <v>364</v>
      </c>
      <c r="B365" s="19" t="s">
        <v>140</v>
      </c>
      <c r="C365">
        <v>2053</v>
      </c>
      <c r="D365">
        <v>0</v>
      </c>
      <c r="E365">
        <v>0</v>
      </c>
      <c r="F365">
        <v>0</v>
      </c>
      <c r="G365" s="18" t="s">
        <v>141</v>
      </c>
    </row>
    <row r="366" customFormat="1" spans="1:7">
      <c r="A366">
        <v>365</v>
      </c>
      <c r="B366" s="19" t="s">
        <v>140</v>
      </c>
      <c r="C366">
        <v>2054</v>
      </c>
      <c r="D366">
        <v>0</v>
      </c>
      <c r="E366">
        <v>0</v>
      </c>
      <c r="F366">
        <v>0</v>
      </c>
      <c r="G366" s="18" t="s">
        <v>141</v>
      </c>
    </row>
    <row r="367" customFormat="1" spans="1:7">
      <c r="A367">
        <v>366</v>
      </c>
      <c r="B367" s="19" t="s">
        <v>140</v>
      </c>
      <c r="C367">
        <v>2055</v>
      </c>
      <c r="D367">
        <v>0</v>
      </c>
      <c r="E367">
        <v>0</v>
      </c>
      <c r="F367">
        <v>0</v>
      </c>
      <c r="G367" s="18" t="s">
        <v>141</v>
      </c>
    </row>
    <row r="368" customFormat="1" spans="1:7">
      <c r="A368">
        <v>368</v>
      </c>
      <c r="B368" s="19" t="s">
        <v>142</v>
      </c>
      <c r="C368">
        <v>2053</v>
      </c>
      <c r="D368">
        <v>0</v>
      </c>
      <c r="E368">
        <v>0</v>
      </c>
      <c r="F368">
        <v>0</v>
      </c>
      <c r="G368" s="18" t="s">
        <v>143</v>
      </c>
    </row>
    <row r="369" customFormat="1" spans="1:7">
      <c r="A369">
        <v>369</v>
      </c>
      <c r="B369" s="19" t="s">
        <v>142</v>
      </c>
      <c r="C369">
        <v>2054</v>
      </c>
      <c r="D369">
        <v>0</v>
      </c>
      <c r="E369">
        <v>0</v>
      </c>
      <c r="F369">
        <v>0</v>
      </c>
      <c r="G369" s="18" t="s">
        <v>143</v>
      </c>
    </row>
    <row r="370" customFormat="1" spans="1:7">
      <c r="A370">
        <v>370</v>
      </c>
      <c r="B370" s="19" t="s">
        <v>142</v>
      </c>
      <c r="C370">
        <v>2055</v>
      </c>
      <c r="D370">
        <v>0</v>
      </c>
      <c r="E370">
        <v>0</v>
      </c>
      <c r="F370">
        <v>0</v>
      </c>
      <c r="G370" s="18" t="s">
        <v>143</v>
      </c>
    </row>
    <row r="371" customFormat="1" spans="1:7">
      <c r="A371">
        <v>371</v>
      </c>
      <c r="B371" s="19" t="s">
        <v>142</v>
      </c>
      <c r="C371">
        <v>2057</v>
      </c>
      <c r="D371">
        <v>0</v>
      </c>
      <c r="E371">
        <v>0</v>
      </c>
      <c r="F371">
        <v>0</v>
      </c>
      <c r="G371" s="18" t="s">
        <v>143</v>
      </c>
    </row>
    <row r="372" customFormat="1" spans="1:7">
      <c r="A372">
        <v>372</v>
      </c>
      <c r="B372" s="19" t="s">
        <v>144</v>
      </c>
      <c r="C372">
        <v>2053</v>
      </c>
      <c r="D372">
        <v>0</v>
      </c>
      <c r="E372">
        <v>0</v>
      </c>
      <c r="F372">
        <v>0</v>
      </c>
      <c r="G372" s="18" t="s">
        <v>145</v>
      </c>
    </row>
    <row r="373" customFormat="1" spans="1:7">
      <c r="A373">
        <v>373</v>
      </c>
      <c r="B373" s="19" t="s">
        <v>144</v>
      </c>
      <c r="C373">
        <v>2054</v>
      </c>
      <c r="D373">
        <v>0</v>
      </c>
      <c r="E373">
        <v>0</v>
      </c>
      <c r="F373">
        <v>0</v>
      </c>
      <c r="G373" s="18" t="s">
        <v>145</v>
      </c>
    </row>
    <row r="374" customFormat="1" spans="1:7">
      <c r="A374">
        <v>374</v>
      </c>
      <c r="B374" s="19" t="s">
        <v>144</v>
      </c>
      <c r="C374">
        <v>2055</v>
      </c>
      <c r="D374">
        <v>0</v>
      </c>
      <c r="E374">
        <v>0</v>
      </c>
      <c r="F374">
        <v>0</v>
      </c>
      <c r="G374" s="18" t="s">
        <v>145</v>
      </c>
    </row>
    <row r="375" customFormat="1" spans="1:7">
      <c r="A375">
        <v>375</v>
      </c>
      <c r="B375" s="19" t="s">
        <v>144</v>
      </c>
      <c r="C375">
        <v>2057</v>
      </c>
      <c r="D375">
        <v>0</v>
      </c>
      <c r="E375">
        <v>0</v>
      </c>
      <c r="F375">
        <v>0</v>
      </c>
      <c r="G375" s="18" t="s">
        <v>145</v>
      </c>
    </row>
    <row r="376" customFormat="1" spans="1:7">
      <c r="A376">
        <v>376</v>
      </c>
      <c r="B376" s="19" t="s">
        <v>146</v>
      </c>
      <c r="C376">
        <v>2053</v>
      </c>
      <c r="D376">
        <v>0</v>
      </c>
      <c r="E376">
        <v>0</v>
      </c>
      <c r="F376">
        <v>0</v>
      </c>
      <c r="G376" s="18" t="s">
        <v>147</v>
      </c>
    </row>
    <row r="377" customFormat="1" spans="1:7">
      <c r="A377">
        <v>377</v>
      </c>
      <c r="B377" s="19" t="s">
        <v>146</v>
      </c>
      <c r="C377">
        <v>2054</v>
      </c>
      <c r="D377">
        <v>0</v>
      </c>
      <c r="E377">
        <v>0</v>
      </c>
      <c r="F377">
        <v>0</v>
      </c>
      <c r="G377" s="18" t="s">
        <v>147</v>
      </c>
    </row>
    <row r="378" customFormat="1" spans="1:7">
      <c r="A378">
        <v>378</v>
      </c>
      <c r="B378" s="19" t="s">
        <v>146</v>
      </c>
      <c r="C378">
        <v>2055</v>
      </c>
      <c r="D378">
        <v>0</v>
      </c>
      <c r="E378">
        <v>0</v>
      </c>
      <c r="F378">
        <v>0</v>
      </c>
      <c r="G378" s="18" t="s">
        <v>147</v>
      </c>
    </row>
    <row r="379" customFormat="1" spans="1:7">
      <c r="A379">
        <v>379</v>
      </c>
      <c r="B379" s="19" t="s">
        <v>146</v>
      </c>
      <c r="C379">
        <v>2057</v>
      </c>
      <c r="D379">
        <v>0</v>
      </c>
      <c r="E379">
        <v>0</v>
      </c>
      <c r="F379">
        <v>0</v>
      </c>
      <c r="G379" s="18" t="s">
        <v>147</v>
      </c>
    </row>
    <row r="380" customFormat="1" spans="1:7">
      <c r="A380">
        <v>380</v>
      </c>
      <c r="B380" s="19" t="s">
        <v>148</v>
      </c>
      <c r="C380">
        <v>2053</v>
      </c>
      <c r="D380">
        <v>0</v>
      </c>
      <c r="E380">
        <v>0</v>
      </c>
      <c r="F380">
        <v>0</v>
      </c>
      <c r="G380" s="18" t="s">
        <v>147</v>
      </c>
    </row>
    <row r="381" customFormat="1" spans="1:7">
      <c r="A381">
        <v>381</v>
      </c>
      <c r="B381" s="19" t="s">
        <v>148</v>
      </c>
      <c r="C381">
        <v>2054</v>
      </c>
      <c r="D381">
        <v>0</v>
      </c>
      <c r="E381">
        <v>0</v>
      </c>
      <c r="F381">
        <v>0</v>
      </c>
      <c r="G381" s="18" t="s">
        <v>147</v>
      </c>
    </row>
    <row r="382" customFormat="1" spans="1:7">
      <c r="A382">
        <v>382</v>
      </c>
      <c r="B382" s="19" t="s">
        <v>148</v>
      </c>
      <c r="C382">
        <v>2055</v>
      </c>
      <c r="D382">
        <v>0</v>
      </c>
      <c r="E382">
        <v>0</v>
      </c>
      <c r="F382">
        <v>0</v>
      </c>
      <c r="G382" s="18" t="s">
        <v>147</v>
      </c>
    </row>
    <row r="383" customFormat="1" spans="1:7">
      <c r="A383">
        <v>383</v>
      </c>
      <c r="B383" s="19" t="s">
        <v>148</v>
      </c>
      <c r="C383">
        <v>2057</v>
      </c>
      <c r="D383">
        <v>0</v>
      </c>
      <c r="E383">
        <v>0</v>
      </c>
      <c r="F383">
        <v>0</v>
      </c>
      <c r="G383" s="18" t="s">
        <v>147</v>
      </c>
    </row>
    <row r="384" customFormat="1" spans="1:7">
      <c r="A384">
        <v>384</v>
      </c>
      <c r="B384" s="19" t="s">
        <v>149</v>
      </c>
      <c r="C384">
        <v>2053</v>
      </c>
      <c r="D384">
        <v>0</v>
      </c>
      <c r="E384">
        <v>0</v>
      </c>
      <c r="F384">
        <v>0</v>
      </c>
      <c r="G384" s="18" t="s">
        <v>150</v>
      </c>
    </row>
    <row r="385" customFormat="1" spans="1:7">
      <c r="A385">
        <v>385</v>
      </c>
      <c r="B385" s="19" t="s">
        <v>149</v>
      </c>
      <c r="C385">
        <v>2054</v>
      </c>
      <c r="D385">
        <v>0</v>
      </c>
      <c r="E385">
        <v>0</v>
      </c>
      <c r="F385">
        <v>0</v>
      </c>
      <c r="G385" s="18" t="s">
        <v>150</v>
      </c>
    </row>
    <row r="386" customFormat="1" spans="1:7">
      <c r="A386">
        <v>386</v>
      </c>
      <c r="B386" s="19" t="s">
        <v>149</v>
      </c>
      <c r="C386">
        <v>2055</v>
      </c>
      <c r="D386">
        <v>0</v>
      </c>
      <c r="E386">
        <v>0</v>
      </c>
      <c r="F386">
        <v>0</v>
      </c>
      <c r="G386" s="18" t="s">
        <v>150</v>
      </c>
    </row>
    <row r="387" customFormat="1" spans="1:7">
      <c r="A387">
        <v>387</v>
      </c>
      <c r="B387" s="19" t="s">
        <v>149</v>
      </c>
      <c r="C387">
        <v>2057</v>
      </c>
      <c r="D387">
        <v>0</v>
      </c>
      <c r="E387">
        <v>0</v>
      </c>
      <c r="F387">
        <v>0</v>
      </c>
      <c r="G387" s="18" t="s">
        <v>150</v>
      </c>
    </row>
    <row r="388" customFormat="1" spans="1:7">
      <c r="A388">
        <v>388</v>
      </c>
      <c r="B388" s="21" t="s">
        <v>151</v>
      </c>
      <c r="C388">
        <v>2053</v>
      </c>
      <c r="D388">
        <v>0</v>
      </c>
      <c r="E388">
        <v>0</v>
      </c>
      <c r="F388">
        <v>0</v>
      </c>
      <c r="G388" s="18" t="s">
        <v>152</v>
      </c>
    </row>
    <row r="389" customFormat="1" spans="1:7">
      <c r="A389">
        <v>389</v>
      </c>
      <c r="B389" s="21" t="s">
        <v>151</v>
      </c>
      <c r="C389">
        <v>2054</v>
      </c>
      <c r="D389">
        <v>0</v>
      </c>
      <c r="E389">
        <v>0</v>
      </c>
      <c r="F389">
        <v>0</v>
      </c>
      <c r="G389" s="18" t="s">
        <v>152</v>
      </c>
    </row>
    <row r="390" customFormat="1" spans="1:7">
      <c r="A390">
        <v>390</v>
      </c>
      <c r="B390" s="21" t="s">
        <v>151</v>
      </c>
      <c r="C390">
        <v>2055</v>
      </c>
      <c r="D390">
        <v>0</v>
      </c>
      <c r="E390">
        <v>0</v>
      </c>
      <c r="F390">
        <v>0</v>
      </c>
      <c r="G390" s="18" t="s">
        <v>152</v>
      </c>
    </row>
    <row r="391" customFormat="1" spans="1:7">
      <c r="A391">
        <v>391</v>
      </c>
      <c r="B391" s="21" t="s">
        <v>151</v>
      </c>
      <c r="C391">
        <v>2057</v>
      </c>
      <c r="D391">
        <v>0</v>
      </c>
      <c r="E391">
        <v>0</v>
      </c>
      <c r="F391">
        <v>0</v>
      </c>
      <c r="G391" s="18" t="s">
        <v>152</v>
      </c>
    </row>
    <row r="392" customFormat="1" spans="1:7">
      <c r="A392">
        <v>392</v>
      </c>
      <c r="B392" s="21" t="s">
        <v>153</v>
      </c>
      <c r="C392">
        <v>2053</v>
      </c>
      <c r="D392">
        <v>0</v>
      </c>
      <c r="E392">
        <v>0</v>
      </c>
      <c r="F392">
        <v>0</v>
      </c>
      <c r="G392" s="18" t="s">
        <v>154</v>
      </c>
    </row>
    <row r="393" customFormat="1" spans="1:7">
      <c r="A393">
        <v>393</v>
      </c>
      <c r="B393" s="21" t="s">
        <v>153</v>
      </c>
      <c r="C393">
        <v>2054</v>
      </c>
      <c r="D393">
        <v>0</v>
      </c>
      <c r="E393">
        <v>0</v>
      </c>
      <c r="F393">
        <v>0</v>
      </c>
      <c r="G393" s="18" t="s">
        <v>154</v>
      </c>
    </row>
    <row r="394" customFormat="1" spans="1:7">
      <c r="A394">
        <v>394</v>
      </c>
      <c r="B394" s="21" t="s">
        <v>153</v>
      </c>
      <c r="C394">
        <v>2055</v>
      </c>
      <c r="D394">
        <v>0</v>
      </c>
      <c r="E394">
        <v>0</v>
      </c>
      <c r="F394">
        <v>0</v>
      </c>
      <c r="G394" s="18" t="s">
        <v>154</v>
      </c>
    </row>
    <row r="395" customFormat="1" spans="1:7">
      <c r="A395">
        <v>395</v>
      </c>
      <c r="B395" s="21" t="s">
        <v>153</v>
      </c>
      <c r="C395">
        <v>2057</v>
      </c>
      <c r="D395">
        <v>0</v>
      </c>
      <c r="E395">
        <v>0</v>
      </c>
      <c r="F395">
        <v>0</v>
      </c>
      <c r="G395" s="18" t="s">
        <v>154</v>
      </c>
    </row>
    <row r="396" customFormat="1" spans="1:7">
      <c r="A396">
        <v>396</v>
      </c>
      <c r="B396" s="21" t="s">
        <v>155</v>
      </c>
      <c r="C396">
        <v>2053</v>
      </c>
      <c r="D396">
        <v>0</v>
      </c>
      <c r="E396">
        <v>0</v>
      </c>
      <c r="F396">
        <v>0</v>
      </c>
      <c r="G396" s="18" t="s">
        <v>156</v>
      </c>
    </row>
    <row r="397" customFormat="1" spans="1:7">
      <c r="A397">
        <v>397</v>
      </c>
      <c r="B397" s="21" t="s">
        <v>155</v>
      </c>
      <c r="C397">
        <v>2054</v>
      </c>
      <c r="D397">
        <v>0</v>
      </c>
      <c r="E397">
        <v>0</v>
      </c>
      <c r="F397">
        <v>0</v>
      </c>
      <c r="G397" s="18" t="s">
        <v>156</v>
      </c>
    </row>
    <row r="398" customFormat="1" spans="1:7">
      <c r="A398">
        <v>398</v>
      </c>
      <c r="B398" s="21" t="s">
        <v>155</v>
      </c>
      <c r="C398">
        <v>2055</v>
      </c>
      <c r="D398">
        <v>0</v>
      </c>
      <c r="E398">
        <v>0</v>
      </c>
      <c r="F398">
        <v>0</v>
      </c>
      <c r="G398" s="18" t="s">
        <v>156</v>
      </c>
    </row>
    <row r="399" customFormat="1" spans="1:7">
      <c r="A399">
        <v>399</v>
      </c>
      <c r="B399" s="21" t="s">
        <v>155</v>
      </c>
      <c r="C399">
        <v>2057</v>
      </c>
      <c r="D399">
        <v>0</v>
      </c>
      <c r="E399">
        <v>0</v>
      </c>
      <c r="F399">
        <v>0</v>
      </c>
      <c r="G399" s="18" t="s">
        <v>156</v>
      </c>
    </row>
    <row r="400" spans="1:7">
      <c r="A400">
        <v>407</v>
      </c>
      <c r="B400">
        <v>11541</v>
      </c>
      <c r="C400">
        <v>2053</v>
      </c>
      <c r="D400">
        <v>0</v>
      </c>
      <c r="E400">
        <v>0</v>
      </c>
      <c r="F400">
        <v>0</v>
      </c>
      <c r="G400" s="18" t="s">
        <v>147</v>
      </c>
    </row>
    <row r="401" spans="1:7">
      <c r="A401">
        <v>408</v>
      </c>
      <c r="B401">
        <v>11541</v>
      </c>
      <c r="C401">
        <v>2054</v>
      </c>
      <c r="D401">
        <v>0</v>
      </c>
      <c r="E401">
        <v>0</v>
      </c>
      <c r="F401">
        <v>0</v>
      </c>
      <c r="G401" s="18" t="s">
        <v>147</v>
      </c>
    </row>
    <row r="402" spans="1:7">
      <c r="A402">
        <v>409</v>
      </c>
      <c r="B402">
        <v>11541</v>
      </c>
      <c r="C402">
        <v>2055</v>
      </c>
      <c r="D402">
        <v>0</v>
      </c>
      <c r="E402">
        <v>0</v>
      </c>
      <c r="F402">
        <v>0</v>
      </c>
      <c r="G402" s="18" t="s">
        <v>147</v>
      </c>
    </row>
    <row r="403" spans="1:7">
      <c r="A403">
        <v>410</v>
      </c>
      <c r="B403">
        <v>11541</v>
      </c>
      <c r="C403">
        <v>2057</v>
      </c>
      <c r="D403">
        <v>0</v>
      </c>
      <c r="E403">
        <v>0</v>
      </c>
      <c r="F403">
        <v>0</v>
      </c>
      <c r="G403" s="18" t="s">
        <v>147</v>
      </c>
    </row>
    <row r="404" spans="1:7">
      <c r="A404">
        <v>411</v>
      </c>
      <c r="B404">
        <v>11542</v>
      </c>
      <c r="C404">
        <v>2053</v>
      </c>
      <c r="D404">
        <v>0</v>
      </c>
      <c r="E404">
        <v>0</v>
      </c>
      <c r="F404">
        <v>0</v>
      </c>
      <c r="G404" s="18" t="s">
        <v>147</v>
      </c>
    </row>
    <row r="405" spans="1:7">
      <c r="A405">
        <v>412</v>
      </c>
      <c r="B405">
        <v>11542</v>
      </c>
      <c r="C405">
        <v>2054</v>
      </c>
      <c r="D405">
        <v>0</v>
      </c>
      <c r="E405">
        <v>0</v>
      </c>
      <c r="F405">
        <v>0</v>
      </c>
      <c r="G405" s="18" t="s">
        <v>147</v>
      </c>
    </row>
    <row r="406" spans="1:7">
      <c r="A406">
        <v>413</v>
      </c>
      <c r="B406">
        <v>11542</v>
      </c>
      <c r="C406">
        <v>2055</v>
      </c>
      <c r="D406">
        <v>0</v>
      </c>
      <c r="E406">
        <v>0</v>
      </c>
      <c r="F406">
        <v>0</v>
      </c>
      <c r="G406" s="18" t="s">
        <v>147</v>
      </c>
    </row>
    <row r="407" spans="1:7">
      <c r="A407">
        <v>414</v>
      </c>
      <c r="B407">
        <v>11542</v>
      </c>
      <c r="C407">
        <v>2057</v>
      </c>
      <c r="D407">
        <v>0</v>
      </c>
      <c r="E407">
        <v>0</v>
      </c>
      <c r="F407">
        <v>0</v>
      </c>
      <c r="G407" s="18" t="s">
        <v>147</v>
      </c>
    </row>
    <row r="408" spans="1:7">
      <c r="A408">
        <v>415</v>
      </c>
      <c r="B408">
        <v>11543</v>
      </c>
      <c r="C408">
        <v>2053</v>
      </c>
      <c r="D408">
        <v>0</v>
      </c>
      <c r="E408">
        <v>0</v>
      </c>
      <c r="F408">
        <v>0</v>
      </c>
      <c r="G408" s="18" t="s">
        <v>147</v>
      </c>
    </row>
    <row r="409" spans="1:7">
      <c r="A409">
        <v>416</v>
      </c>
      <c r="B409">
        <v>11543</v>
      </c>
      <c r="C409">
        <v>2054</v>
      </c>
      <c r="D409">
        <v>0</v>
      </c>
      <c r="E409">
        <v>0</v>
      </c>
      <c r="F409">
        <v>0</v>
      </c>
      <c r="G409" s="18" t="s">
        <v>147</v>
      </c>
    </row>
    <row r="410" spans="1:7">
      <c r="A410">
        <v>417</v>
      </c>
      <c r="B410">
        <v>11543</v>
      </c>
      <c r="C410">
        <v>2055</v>
      </c>
      <c r="D410">
        <v>0</v>
      </c>
      <c r="E410">
        <v>0</v>
      </c>
      <c r="F410">
        <v>0</v>
      </c>
      <c r="G410" s="18" t="s">
        <v>147</v>
      </c>
    </row>
    <row r="411" spans="1:7">
      <c r="A411">
        <v>418</v>
      </c>
      <c r="B411">
        <v>11543</v>
      </c>
      <c r="C411">
        <v>2057</v>
      </c>
      <c r="D411">
        <v>0</v>
      </c>
      <c r="E411">
        <v>0</v>
      </c>
      <c r="F411">
        <v>0</v>
      </c>
      <c r="G411" s="18" t="s">
        <v>147</v>
      </c>
    </row>
    <row r="412" spans="1:7">
      <c r="A412">
        <v>419</v>
      </c>
      <c r="B412">
        <v>11544</v>
      </c>
      <c r="C412">
        <v>2053</v>
      </c>
      <c r="D412">
        <v>0</v>
      </c>
      <c r="E412">
        <v>0</v>
      </c>
      <c r="F412">
        <v>0</v>
      </c>
      <c r="G412" s="18" t="s">
        <v>147</v>
      </c>
    </row>
    <row r="413" spans="1:7">
      <c r="A413">
        <v>420</v>
      </c>
      <c r="B413">
        <v>11544</v>
      </c>
      <c r="C413">
        <v>2054</v>
      </c>
      <c r="D413">
        <v>0</v>
      </c>
      <c r="E413">
        <v>0</v>
      </c>
      <c r="F413">
        <v>0</v>
      </c>
      <c r="G413" s="18" t="s">
        <v>147</v>
      </c>
    </row>
    <row r="414" spans="1:7">
      <c r="A414">
        <v>421</v>
      </c>
      <c r="B414">
        <v>11544</v>
      </c>
      <c r="C414">
        <v>2055</v>
      </c>
      <c r="D414">
        <v>0</v>
      </c>
      <c r="E414">
        <v>0</v>
      </c>
      <c r="F414">
        <v>0</v>
      </c>
      <c r="G414" s="18" t="s">
        <v>147</v>
      </c>
    </row>
    <row r="415" spans="1:7">
      <c r="A415">
        <v>422</v>
      </c>
      <c r="B415">
        <v>11544</v>
      </c>
      <c r="C415">
        <v>2057</v>
      </c>
      <c r="D415">
        <v>0</v>
      </c>
      <c r="E415">
        <v>0</v>
      </c>
      <c r="F415">
        <v>0</v>
      </c>
      <c r="G415" s="18" t="s">
        <v>147</v>
      </c>
    </row>
    <row r="416" spans="1:7">
      <c r="A416">
        <v>423</v>
      </c>
      <c r="B416">
        <v>11545</v>
      </c>
      <c r="C416">
        <v>2053</v>
      </c>
      <c r="D416">
        <v>0</v>
      </c>
      <c r="E416">
        <v>0</v>
      </c>
      <c r="F416">
        <v>0</v>
      </c>
      <c r="G416" s="18" t="s">
        <v>157</v>
      </c>
    </row>
    <row r="417" spans="1:7">
      <c r="A417">
        <v>424</v>
      </c>
      <c r="B417">
        <v>11545</v>
      </c>
      <c r="C417">
        <v>2054</v>
      </c>
      <c r="D417">
        <v>0</v>
      </c>
      <c r="E417">
        <v>0</v>
      </c>
      <c r="F417">
        <v>0</v>
      </c>
      <c r="G417" s="18" t="s">
        <v>157</v>
      </c>
    </row>
    <row r="418" spans="1:7">
      <c r="A418">
        <v>425</v>
      </c>
      <c r="B418">
        <v>11545</v>
      </c>
      <c r="C418">
        <v>2055</v>
      </c>
      <c r="D418">
        <v>0</v>
      </c>
      <c r="E418">
        <v>0</v>
      </c>
      <c r="F418">
        <v>0</v>
      </c>
      <c r="G418" s="18" t="s">
        <v>157</v>
      </c>
    </row>
    <row r="419" spans="1:7">
      <c r="A419">
        <v>426</v>
      </c>
      <c r="B419">
        <v>11545</v>
      </c>
      <c r="C419">
        <v>2057</v>
      </c>
      <c r="D419">
        <v>0</v>
      </c>
      <c r="E419">
        <v>0</v>
      </c>
      <c r="F419">
        <v>0</v>
      </c>
      <c r="G419" s="18" t="s">
        <v>157</v>
      </c>
    </row>
    <row r="420" spans="1:7">
      <c r="A420">
        <v>427</v>
      </c>
      <c r="B420">
        <v>11546</v>
      </c>
      <c r="C420">
        <v>2053</v>
      </c>
      <c r="D420">
        <v>0</v>
      </c>
      <c r="E420">
        <v>0</v>
      </c>
      <c r="F420">
        <v>0</v>
      </c>
      <c r="G420" s="18" t="s">
        <v>158</v>
      </c>
    </row>
    <row r="421" spans="1:7">
      <c r="A421">
        <v>428</v>
      </c>
      <c r="B421">
        <v>11546</v>
      </c>
      <c r="C421">
        <v>2054</v>
      </c>
      <c r="D421">
        <v>0</v>
      </c>
      <c r="E421">
        <v>0</v>
      </c>
      <c r="F421">
        <v>0</v>
      </c>
      <c r="G421" s="18" t="s">
        <v>158</v>
      </c>
    </row>
    <row r="422" spans="1:7">
      <c r="A422">
        <v>429</v>
      </c>
      <c r="B422">
        <v>11546</v>
      </c>
      <c r="C422">
        <v>2055</v>
      </c>
      <c r="D422">
        <v>0</v>
      </c>
      <c r="E422">
        <v>0</v>
      </c>
      <c r="F422">
        <v>0</v>
      </c>
      <c r="G422" s="18" t="s">
        <v>158</v>
      </c>
    </row>
    <row r="423" spans="1:7">
      <c r="A423">
        <v>430</v>
      </c>
      <c r="B423">
        <v>11546</v>
      </c>
      <c r="C423">
        <v>2057</v>
      </c>
      <c r="D423">
        <v>0</v>
      </c>
      <c r="E423">
        <v>0</v>
      </c>
      <c r="F423">
        <v>0</v>
      </c>
      <c r="G423" s="18" t="s">
        <v>158</v>
      </c>
    </row>
    <row r="424" spans="1:7">
      <c r="A424">
        <v>431</v>
      </c>
      <c r="B424">
        <v>11547</v>
      </c>
      <c r="C424">
        <v>2053</v>
      </c>
      <c r="D424">
        <v>0</v>
      </c>
      <c r="E424">
        <v>0</v>
      </c>
      <c r="F424">
        <v>0</v>
      </c>
      <c r="G424" s="18" t="s">
        <v>157</v>
      </c>
    </row>
    <row r="425" spans="1:7">
      <c r="A425">
        <v>432</v>
      </c>
      <c r="B425">
        <v>11547</v>
      </c>
      <c r="C425">
        <v>2054</v>
      </c>
      <c r="D425">
        <v>0</v>
      </c>
      <c r="E425">
        <v>0</v>
      </c>
      <c r="F425">
        <v>0</v>
      </c>
      <c r="G425" s="18" t="s">
        <v>157</v>
      </c>
    </row>
    <row r="426" spans="1:7">
      <c r="A426">
        <v>433</v>
      </c>
      <c r="B426">
        <v>11547</v>
      </c>
      <c r="C426">
        <v>2055</v>
      </c>
      <c r="D426">
        <v>0</v>
      </c>
      <c r="E426">
        <v>0</v>
      </c>
      <c r="F426">
        <v>0</v>
      </c>
      <c r="G426" s="18" t="s">
        <v>157</v>
      </c>
    </row>
    <row r="427" spans="1:7">
      <c r="A427">
        <v>434</v>
      </c>
      <c r="B427">
        <v>11547</v>
      </c>
      <c r="C427">
        <v>2057</v>
      </c>
      <c r="D427">
        <v>0</v>
      </c>
      <c r="E427">
        <v>0</v>
      </c>
      <c r="F427">
        <v>0</v>
      </c>
      <c r="G427" s="18" t="s">
        <v>157</v>
      </c>
    </row>
    <row r="428" spans="1:7">
      <c r="A428">
        <v>435</v>
      </c>
      <c r="B428">
        <v>11548</v>
      </c>
      <c r="C428">
        <v>2053</v>
      </c>
      <c r="D428">
        <v>0</v>
      </c>
      <c r="E428">
        <v>0</v>
      </c>
      <c r="F428">
        <v>0</v>
      </c>
      <c r="G428" s="18" t="s">
        <v>158</v>
      </c>
    </row>
    <row r="429" spans="1:7">
      <c r="A429">
        <v>436</v>
      </c>
      <c r="B429">
        <v>11548</v>
      </c>
      <c r="C429">
        <v>2054</v>
      </c>
      <c r="D429">
        <v>0</v>
      </c>
      <c r="E429">
        <v>0</v>
      </c>
      <c r="F429">
        <v>0</v>
      </c>
      <c r="G429" s="18" t="s">
        <v>158</v>
      </c>
    </row>
    <row r="430" spans="1:7">
      <c r="A430">
        <v>437</v>
      </c>
      <c r="B430">
        <v>11548</v>
      </c>
      <c r="C430">
        <v>2055</v>
      </c>
      <c r="D430">
        <v>0</v>
      </c>
      <c r="E430">
        <v>0</v>
      </c>
      <c r="F430">
        <v>0</v>
      </c>
      <c r="G430" s="18" t="s">
        <v>158</v>
      </c>
    </row>
    <row r="431" spans="1:7">
      <c r="A431">
        <v>438</v>
      </c>
      <c r="B431">
        <v>11548</v>
      </c>
      <c r="C431">
        <v>2057</v>
      </c>
      <c r="D431">
        <v>0</v>
      </c>
      <c r="E431">
        <v>0</v>
      </c>
      <c r="F431">
        <v>0</v>
      </c>
      <c r="G431" s="18" t="s">
        <v>158</v>
      </c>
    </row>
    <row r="432" spans="1:7">
      <c r="A432">
        <v>439</v>
      </c>
      <c r="B432">
        <v>11549</v>
      </c>
      <c r="C432">
        <v>2053</v>
      </c>
      <c r="D432">
        <v>0</v>
      </c>
      <c r="E432">
        <v>0</v>
      </c>
      <c r="F432">
        <v>0</v>
      </c>
      <c r="G432" s="18" t="s">
        <v>159</v>
      </c>
    </row>
    <row r="433" spans="1:7">
      <c r="A433">
        <v>440</v>
      </c>
      <c r="B433">
        <v>11549</v>
      </c>
      <c r="C433">
        <v>2054</v>
      </c>
      <c r="D433">
        <v>0</v>
      </c>
      <c r="E433">
        <v>0</v>
      </c>
      <c r="F433">
        <v>0</v>
      </c>
      <c r="G433" s="18" t="s">
        <v>159</v>
      </c>
    </row>
    <row r="434" spans="1:7">
      <c r="A434">
        <v>441</v>
      </c>
      <c r="B434">
        <v>11549</v>
      </c>
      <c r="C434">
        <v>2055</v>
      </c>
      <c r="D434">
        <v>0</v>
      </c>
      <c r="E434">
        <v>0</v>
      </c>
      <c r="F434">
        <v>0</v>
      </c>
      <c r="G434" s="18" t="s">
        <v>159</v>
      </c>
    </row>
    <row r="435" spans="1:7">
      <c r="A435">
        <v>442</v>
      </c>
      <c r="B435">
        <v>11549</v>
      </c>
      <c r="C435">
        <v>2057</v>
      </c>
      <c r="D435">
        <v>0</v>
      </c>
      <c r="E435">
        <v>0</v>
      </c>
      <c r="F435">
        <v>0</v>
      </c>
      <c r="G435" s="18" t="s">
        <v>159</v>
      </c>
    </row>
    <row r="436" customFormat="1" spans="1:7">
      <c r="A436">
        <v>443</v>
      </c>
      <c r="B436" s="19" t="s">
        <v>160</v>
      </c>
      <c r="C436">
        <v>2053</v>
      </c>
      <c r="D436">
        <v>0</v>
      </c>
      <c r="E436">
        <v>0</v>
      </c>
      <c r="F436">
        <v>0</v>
      </c>
      <c r="G436" s="18" t="s">
        <v>150</v>
      </c>
    </row>
    <row r="437" customFormat="1" spans="1:7">
      <c r="A437">
        <v>444</v>
      </c>
      <c r="B437" s="19" t="s">
        <v>160</v>
      </c>
      <c r="C437">
        <v>2054</v>
      </c>
      <c r="D437">
        <v>0</v>
      </c>
      <c r="E437">
        <v>0</v>
      </c>
      <c r="F437">
        <v>0</v>
      </c>
      <c r="G437" s="18" t="s">
        <v>150</v>
      </c>
    </row>
    <row r="438" customFormat="1" spans="1:7">
      <c r="A438">
        <v>445</v>
      </c>
      <c r="B438" s="19" t="s">
        <v>160</v>
      </c>
      <c r="C438">
        <v>2055</v>
      </c>
      <c r="D438">
        <v>0</v>
      </c>
      <c r="E438">
        <v>0</v>
      </c>
      <c r="F438">
        <v>0</v>
      </c>
      <c r="G438" s="18" t="s">
        <v>150</v>
      </c>
    </row>
    <row r="439" customFormat="1" spans="1:7">
      <c r="A439">
        <v>446</v>
      </c>
      <c r="B439" s="19" t="s">
        <v>160</v>
      </c>
      <c r="C439">
        <v>2057</v>
      </c>
      <c r="D439">
        <v>0</v>
      </c>
      <c r="E439">
        <v>0</v>
      </c>
      <c r="F439">
        <v>0</v>
      </c>
      <c r="G439" s="18" t="s">
        <v>150</v>
      </c>
    </row>
    <row r="440" customFormat="1" spans="1:7">
      <c r="A440">
        <v>447</v>
      </c>
      <c r="B440" s="21" t="s">
        <v>161</v>
      </c>
      <c r="C440">
        <v>2053</v>
      </c>
      <c r="D440">
        <v>0</v>
      </c>
      <c r="E440">
        <v>0</v>
      </c>
      <c r="F440">
        <v>0</v>
      </c>
      <c r="G440" s="18" t="s">
        <v>152</v>
      </c>
    </row>
    <row r="441" customFormat="1" spans="1:7">
      <c r="A441">
        <v>448</v>
      </c>
      <c r="B441" s="21" t="s">
        <v>161</v>
      </c>
      <c r="C441">
        <v>2054</v>
      </c>
      <c r="D441">
        <v>0</v>
      </c>
      <c r="E441">
        <v>0</v>
      </c>
      <c r="F441">
        <v>0</v>
      </c>
      <c r="G441" s="18" t="s">
        <v>152</v>
      </c>
    </row>
    <row r="442" customFormat="1" spans="1:7">
      <c r="A442">
        <v>449</v>
      </c>
      <c r="B442" s="21" t="s">
        <v>161</v>
      </c>
      <c r="C442">
        <v>2055</v>
      </c>
      <c r="D442">
        <v>0</v>
      </c>
      <c r="E442">
        <v>0</v>
      </c>
      <c r="F442">
        <v>0</v>
      </c>
      <c r="G442" s="18" t="s">
        <v>152</v>
      </c>
    </row>
    <row r="443" customFormat="1" spans="1:7">
      <c r="A443">
        <v>450</v>
      </c>
      <c r="B443" s="21" t="s">
        <v>161</v>
      </c>
      <c r="C443">
        <v>2057</v>
      </c>
      <c r="D443">
        <v>0</v>
      </c>
      <c r="E443">
        <v>0</v>
      </c>
      <c r="F443">
        <v>0</v>
      </c>
      <c r="G443" s="18" t="s">
        <v>152</v>
      </c>
    </row>
    <row r="444" customFormat="1" spans="1:7">
      <c r="A444">
        <v>451</v>
      </c>
      <c r="B444" s="21" t="s">
        <v>162</v>
      </c>
      <c r="C444">
        <v>2053</v>
      </c>
      <c r="D444">
        <v>0</v>
      </c>
      <c r="E444">
        <v>0</v>
      </c>
      <c r="F444">
        <v>0</v>
      </c>
      <c r="G444" s="18" t="s">
        <v>154</v>
      </c>
    </row>
    <row r="445" customFormat="1" spans="1:7">
      <c r="A445">
        <v>452</v>
      </c>
      <c r="B445" s="21" t="s">
        <v>162</v>
      </c>
      <c r="C445">
        <v>2054</v>
      </c>
      <c r="D445">
        <v>0</v>
      </c>
      <c r="E445">
        <v>0</v>
      </c>
      <c r="F445">
        <v>0</v>
      </c>
      <c r="G445" s="18" t="s">
        <v>154</v>
      </c>
    </row>
    <row r="446" customFormat="1" spans="1:7">
      <c r="A446">
        <v>453</v>
      </c>
      <c r="B446" s="21" t="s">
        <v>162</v>
      </c>
      <c r="C446">
        <v>2055</v>
      </c>
      <c r="D446">
        <v>0</v>
      </c>
      <c r="E446">
        <v>0</v>
      </c>
      <c r="F446">
        <v>0</v>
      </c>
      <c r="G446" s="18" t="s">
        <v>154</v>
      </c>
    </row>
    <row r="447" customFormat="1" spans="1:7">
      <c r="A447">
        <v>454</v>
      </c>
      <c r="B447" s="21" t="s">
        <v>162</v>
      </c>
      <c r="C447">
        <v>2057</v>
      </c>
      <c r="D447">
        <v>0</v>
      </c>
      <c r="E447">
        <v>0</v>
      </c>
      <c r="F447">
        <v>0</v>
      </c>
      <c r="G447" s="18" t="s">
        <v>154</v>
      </c>
    </row>
    <row r="448" customFormat="1" spans="1:7">
      <c r="A448">
        <v>455</v>
      </c>
      <c r="B448" s="21" t="s">
        <v>163</v>
      </c>
      <c r="C448">
        <v>2053</v>
      </c>
      <c r="D448">
        <v>0</v>
      </c>
      <c r="E448">
        <v>0</v>
      </c>
      <c r="F448">
        <v>0</v>
      </c>
      <c r="G448" s="18" t="s">
        <v>156</v>
      </c>
    </row>
    <row r="449" customFormat="1" spans="1:7">
      <c r="A449">
        <v>456</v>
      </c>
      <c r="B449" s="21" t="s">
        <v>163</v>
      </c>
      <c r="C449">
        <v>2054</v>
      </c>
      <c r="D449">
        <v>0</v>
      </c>
      <c r="E449">
        <v>0</v>
      </c>
      <c r="F449">
        <v>0</v>
      </c>
      <c r="G449" s="18" t="s">
        <v>156</v>
      </c>
    </row>
    <row r="450" customFormat="1" spans="1:7">
      <c r="A450">
        <v>457</v>
      </c>
      <c r="B450" s="21" t="s">
        <v>163</v>
      </c>
      <c r="C450">
        <v>2055</v>
      </c>
      <c r="D450">
        <v>0</v>
      </c>
      <c r="E450">
        <v>0</v>
      </c>
      <c r="F450">
        <v>0</v>
      </c>
      <c r="G450" s="18" t="s">
        <v>156</v>
      </c>
    </row>
    <row r="451" customFormat="1" spans="1:7">
      <c r="A451">
        <v>458</v>
      </c>
      <c r="B451" s="21" t="s">
        <v>163</v>
      </c>
      <c r="C451">
        <v>2057</v>
      </c>
      <c r="D451">
        <v>0</v>
      </c>
      <c r="E451">
        <v>0</v>
      </c>
      <c r="F451">
        <v>0</v>
      </c>
      <c r="G451" s="18" t="s">
        <v>156</v>
      </c>
    </row>
    <row r="452" spans="1:7">
      <c r="A452">
        <v>459</v>
      </c>
      <c r="B452" s="19" t="s">
        <v>164</v>
      </c>
      <c r="C452">
        <v>2053</v>
      </c>
      <c r="D452">
        <v>0</v>
      </c>
      <c r="E452">
        <v>0</v>
      </c>
      <c r="F452">
        <v>0</v>
      </c>
      <c r="G452" s="18">
        <v>4</v>
      </c>
    </row>
    <row r="453" spans="1:7">
      <c r="A453">
        <v>460</v>
      </c>
      <c r="B453" s="19" t="s">
        <v>164</v>
      </c>
      <c r="C453">
        <v>2054</v>
      </c>
      <c r="D453">
        <v>0</v>
      </c>
      <c r="E453">
        <v>0</v>
      </c>
      <c r="F453">
        <v>0</v>
      </c>
      <c r="G453" s="18" t="s">
        <v>124</v>
      </c>
    </row>
    <row r="454" spans="1:7">
      <c r="A454">
        <v>461</v>
      </c>
      <c r="B454" s="19" t="s">
        <v>164</v>
      </c>
      <c r="C454">
        <v>2055</v>
      </c>
      <c r="D454">
        <v>0</v>
      </c>
      <c r="E454">
        <v>0</v>
      </c>
      <c r="F454">
        <v>0</v>
      </c>
      <c r="G454" s="18" t="s">
        <v>124</v>
      </c>
    </row>
    <row r="455" spans="1:7">
      <c r="A455">
        <v>462</v>
      </c>
      <c r="B455" s="19" t="s">
        <v>164</v>
      </c>
      <c r="C455">
        <v>2057</v>
      </c>
      <c r="D455">
        <v>0</v>
      </c>
      <c r="E455">
        <v>0</v>
      </c>
      <c r="F455">
        <v>0</v>
      </c>
      <c r="G455" s="18" t="s">
        <v>124</v>
      </c>
    </row>
    <row r="456" spans="1:7">
      <c r="A456">
        <v>463</v>
      </c>
      <c r="B456" s="19" t="s">
        <v>165</v>
      </c>
      <c r="C456">
        <v>2053</v>
      </c>
      <c r="D456">
        <v>0</v>
      </c>
      <c r="E456">
        <v>0</v>
      </c>
      <c r="F456">
        <v>0</v>
      </c>
      <c r="G456" s="18" t="s">
        <v>126</v>
      </c>
    </row>
    <row r="457" spans="1:7">
      <c r="A457">
        <v>464</v>
      </c>
      <c r="B457" s="19" t="s">
        <v>165</v>
      </c>
      <c r="C457">
        <v>2054</v>
      </c>
      <c r="D457">
        <v>0</v>
      </c>
      <c r="E457">
        <v>0</v>
      </c>
      <c r="F457">
        <v>0</v>
      </c>
      <c r="G457" s="18" t="s">
        <v>126</v>
      </c>
    </row>
    <row r="458" spans="1:7">
      <c r="A458">
        <v>465</v>
      </c>
      <c r="B458" s="19" t="s">
        <v>165</v>
      </c>
      <c r="C458">
        <v>2055</v>
      </c>
      <c r="D458">
        <v>0</v>
      </c>
      <c r="E458">
        <v>0</v>
      </c>
      <c r="F458">
        <v>0</v>
      </c>
      <c r="G458" s="18" t="s">
        <v>126</v>
      </c>
    </row>
    <row r="459" spans="1:7">
      <c r="A459">
        <v>466</v>
      </c>
      <c r="B459" s="19" t="s">
        <v>165</v>
      </c>
      <c r="C459">
        <v>2057</v>
      </c>
      <c r="D459">
        <v>0</v>
      </c>
      <c r="E459">
        <v>0</v>
      </c>
      <c r="F459">
        <v>0</v>
      </c>
      <c r="G459" s="18" t="s">
        <v>126</v>
      </c>
    </row>
    <row r="460" spans="1:7">
      <c r="A460">
        <v>467</v>
      </c>
      <c r="B460" s="19" t="s">
        <v>166</v>
      </c>
      <c r="C460">
        <v>2053</v>
      </c>
      <c r="D460">
        <v>0</v>
      </c>
      <c r="E460">
        <v>0</v>
      </c>
      <c r="F460">
        <v>0</v>
      </c>
      <c r="G460" s="18" t="s">
        <v>128</v>
      </c>
    </row>
    <row r="461" spans="1:7">
      <c r="A461">
        <v>468</v>
      </c>
      <c r="B461" s="19" t="s">
        <v>166</v>
      </c>
      <c r="C461">
        <v>2054</v>
      </c>
      <c r="D461">
        <v>0</v>
      </c>
      <c r="E461">
        <v>0</v>
      </c>
      <c r="F461">
        <v>0</v>
      </c>
      <c r="G461" s="18" t="s">
        <v>128</v>
      </c>
    </row>
    <row r="462" spans="1:7">
      <c r="A462">
        <v>469</v>
      </c>
      <c r="B462" s="19" t="s">
        <v>166</v>
      </c>
      <c r="C462">
        <v>2055</v>
      </c>
      <c r="D462">
        <v>0</v>
      </c>
      <c r="E462">
        <v>0</v>
      </c>
      <c r="F462">
        <v>0</v>
      </c>
      <c r="G462" s="18" t="s">
        <v>128</v>
      </c>
    </row>
    <row r="463" spans="1:7">
      <c r="A463">
        <v>470</v>
      </c>
      <c r="B463" s="19" t="s">
        <v>166</v>
      </c>
      <c r="C463">
        <v>2057</v>
      </c>
      <c r="D463">
        <v>0</v>
      </c>
      <c r="E463">
        <v>0</v>
      </c>
      <c r="F463">
        <v>0</v>
      </c>
      <c r="G463" s="18" t="s">
        <v>128</v>
      </c>
    </row>
    <row r="464" spans="1:7">
      <c r="A464">
        <v>471</v>
      </c>
      <c r="B464" s="19" t="s">
        <v>167</v>
      </c>
      <c r="C464">
        <v>2053</v>
      </c>
      <c r="D464">
        <v>0</v>
      </c>
      <c r="E464">
        <v>0</v>
      </c>
      <c r="F464">
        <v>0</v>
      </c>
      <c r="G464" s="18" t="s">
        <v>130</v>
      </c>
    </row>
    <row r="465" spans="1:7">
      <c r="A465">
        <v>472</v>
      </c>
      <c r="B465" s="19" t="s">
        <v>167</v>
      </c>
      <c r="C465">
        <v>2054</v>
      </c>
      <c r="D465">
        <v>0</v>
      </c>
      <c r="E465">
        <v>0</v>
      </c>
      <c r="F465">
        <v>0</v>
      </c>
      <c r="G465" s="18" t="s">
        <v>130</v>
      </c>
    </row>
    <row r="466" spans="1:7">
      <c r="A466">
        <v>473</v>
      </c>
      <c r="B466" s="19" t="s">
        <v>167</v>
      </c>
      <c r="C466">
        <v>2055</v>
      </c>
      <c r="D466">
        <v>0</v>
      </c>
      <c r="E466">
        <v>0</v>
      </c>
      <c r="F466">
        <v>0</v>
      </c>
      <c r="G466" s="18" t="s">
        <v>130</v>
      </c>
    </row>
    <row r="467" spans="1:7">
      <c r="A467">
        <v>474</v>
      </c>
      <c r="B467" s="19" t="s">
        <v>167</v>
      </c>
      <c r="C467">
        <v>2057</v>
      </c>
      <c r="D467">
        <v>0</v>
      </c>
      <c r="E467">
        <v>0</v>
      </c>
      <c r="F467">
        <v>0</v>
      </c>
      <c r="G467" s="18" t="s">
        <v>130</v>
      </c>
    </row>
    <row r="468" spans="1:7">
      <c r="A468">
        <v>475</v>
      </c>
      <c r="B468" s="19" t="s">
        <v>168</v>
      </c>
      <c r="C468">
        <v>2053</v>
      </c>
      <c r="D468">
        <v>0</v>
      </c>
      <c r="E468">
        <v>0</v>
      </c>
      <c r="F468">
        <v>0</v>
      </c>
      <c r="G468" s="18" t="s">
        <v>132</v>
      </c>
    </row>
    <row r="469" spans="1:7">
      <c r="A469">
        <v>476</v>
      </c>
      <c r="B469" s="19" t="s">
        <v>168</v>
      </c>
      <c r="C469">
        <v>2054</v>
      </c>
      <c r="D469">
        <v>0</v>
      </c>
      <c r="E469">
        <v>0</v>
      </c>
      <c r="F469">
        <v>0</v>
      </c>
      <c r="G469" s="18" t="s">
        <v>132</v>
      </c>
    </row>
    <row r="470" spans="1:7">
      <c r="A470">
        <v>477</v>
      </c>
      <c r="B470" s="19" t="s">
        <v>168</v>
      </c>
      <c r="C470">
        <v>2055</v>
      </c>
      <c r="D470">
        <v>0</v>
      </c>
      <c r="E470">
        <v>0</v>
      </c>
      <c r="F470">
        <v>0</v>
      </c>
      <c r="G470" s="18" t="s">
        <v>132</v>
      </c>
    </row>
    <row r="471" spans="1:7">
      <c r="A471">
        <v>478</v>
      </c>
      <c r="B471" s="19" t="s">
        <v>168</v>
      </c>
      <c r="C471">
        <v>2057</v>
      </c>
      <c r="D471">
        <v>0</v>
      </c>
      <c r="E471">
        <v>0</v>
      </c>
      <c r="F471">
        <v>0</v>
      </c>
      <c r="G471" s="18" t="s">
        <v>132</v>
      </c>
    </row>
    <row r="472" spans="1:7">
      <c r="A472">
        <v>479</v>
      </c>
      <c r="B472" s="19" t="s">
        <v>169</v>
      </c>
      <c r="C472">
        <v>2053</v>
      </c>
      <c r="D472">
        <v>0</v>
      </c>
      <c r="E472">
        <v>0</v>
      </c>
      <c r="F472">
        <v>0</v>
      </c>
      <c r="G472" s="18" t="s">
        <v>134</v>
      </c>
    </row>
    <row r="473" spans="1:7">
      <c r="A473">
        <v>480</v>
      </c>
      <c r="B473" s="19" t="s">
        <v>169</v>
      </c>
      <c r="C473">
        <v>2054</v>
      </c>
      <c r="D473">
        <v>0</v>
      </c>
      <c r="E473">
        <v>0</v>
      </c>
      <c r="F473">
        <v>0</v>
      </c>
      <c r="G473" s="18" t="s">
        <v>134</v>
      </c>
    </row>
    <row r="474" spans="1:7">
      <c r="A474">
        <v>481</v>
      </c>
      <c r="B474" s="19" t="s">
        <v>169</v>
      </c>
      <c r="C474">
        <v>2055</v>
      </c>
      <c r="D474">
        <v>0</v>
      </c>
      <c r="E474">
        <v>0</v>
      </c>
      <c r="F474">
        <v>0</v>
      </c>
      <c r="G474" s="18" t="s">
        <v>134</v>
      </c>
    </row>
    <row r="475" spans="1:7">
      <c r="A475">
        <v>482</v>
      </c>
      <c r="B475" s="19" t="s">
        <v>170</v>
      </c>
      <c r="C475">
        <v>2053</v>
      </c>
      <c r="D475">
        <v>0</v>
      </c>
      <c r="E475">
        <v>0</v>
      </c>
      <c r="F475">
        <v>0</v>
      </c>
      <c r="G475" s="18" t="s">
        <v>132</v>
      </c>
    </row>
    <row r="476" spans="1:7">
      <c r="A476">
        <v>483</v>
      </c>
      <c r="B476" s="19" t="s">
        <v>170</v>
      </c>
      <c r="C476">
        <v>2054</v>
      </c>
      <c r="D476">
        <v>0</v>
      </c>
      <c r="E476">
        <v>0</v>
      </c>
      <c r="F476">
        <v>0</v>
      </c>
      <c r="G476" s="18" t="s">
        <v>132</v>
      </c>
    </row>
    <row r="477" spans="1:7">
      <c r="A477">
        <v>484</v>
      </c>
      <c r="B477" s="19" t="s">
        <v>170</v>
      </c>
      <c r="C477">
        <v>2055</v>
      </c>
      <c r="D477">
        <v>0</v>
      </c>
      <c r="E477">
        <v>0</v>
      </c>
      <c r="F477">
        <v>0</v>
      </c>
      <c r="G477" s="18" t="s">
        <v>132</v>
      </c>
    </row>
    <row r="478" spans="1:7">
      <c r="A478">
        <v>485</v>
      </c>
      <c r="B478" s="19" t="s">
        <v>170</v>
      </c>
      <c r="C478">
        <v>2057</v>
      </c>
      <c r="D478">
        <v>0</v>
      </c>
      <c r="E478">
        <v>0</v>
      </c>
      <c r="F478">
        <v>0</v>
      </c>
      <c r="G478" s="18" t="s">
        <v>132</v>
      </c>
    </row>
    <row r="479" spans="1:7">
      <c r="A479">
        <v>486</v>
      </c>
      <c r="B479" s="19" t="s">
        <v>171</v>
      </c>
      <c r="C479">
        <v>2053</v>
      </c>
      <c r="D479">
        <v>0</v>
      </c>
      <c r="E479">
        <v>0</v>
      </c>
      <c r="F479">
        <v>0</v>
      </c>
      <c r="G479" s="18" t="s">
        <v>137</v>
      </c>
    </row>
    <row r="480" spans="1:7">
      <c r="A480">
        <v>487</v>
      </c>
      <c r="B480" s="19" t="s">
        <v>171</v>
      </c>
      <c r="C480">
        <v>2054</v>
      </c>
      <c r="D480">
        <v>0</v>
      </c>
      <c r="E480">
        <v>0</v>
      </c>
      <c r="F480">
        <v>0</v>
      </c>
      <c r="G480" s="18" t="s">
        <v>137</v>
      </c>
    </row>
    <row r="481" spans="1:7">
      <c r="A481">
        <v>488</v>
      </c>
      <c r="B481" s="19" t="s">
        <v>171</v>
      </c>
      <c r="C481">
        <v>2055</v>
      </c>
      <c r="D481">
        <v>0</v>
      </c>
      <c r="E481">
        <v>0</v>
      </c>
      <c r="F481">
        <v>0</v>
      </c>
      <c r="G481" s="18" t="s">
        <v>137</v>
      </c>
    </row>
    <row r="482" spans="1:7">
      <c r="A482">
        <v>489</v>
      </c>
      <c r="B482" s="19" t="s">
        <v>171</v>
      </c>
      <c r="C482">
        <v>2057</v>
      </c>
      <c r="D482">
        <v>0</v>
      </c>
      <c r="E482">
        <v>0</v>
      </c>
      <c r="F482">
        <v>0</v>
      </c>
      <c r="G482" s="18" t="s">
        <v>137</v>
      </c>
    </row>
    <row r="483" spans="1:7">
      <c r="A483">
        <v>490</v>
      </c>
      <c r="B483" s="19" t="s">
        <v>172</v>
      </c>
      <c r="C483">
        <v>2053</v>
      </c>
      <c r="D483">
        <v>0</v>
      </c>
      <c r="E483">
        <v>0</v>
      </c>
      <c r="F483">
        <v>0</v>
      </c>
      <c r="G483" s="18" t="s">
        <v>139</v>
      </c>
    </row>
    <row r="484" spans="1:7">
      <c r="A484">
        <v>491</v>
      </c>
      <c r="B484" s="19" t="s">
        <v>172</v>
      </c>
      <c r="C484">
        <v>2054</v>
      </c>
      <c r="D484">
        <v>0</v>
      </c>
      <c r="E484">
        <v>0</v>
      </c>
      <c r="F484">
        <v>0</v>
      </c>
      <c r="G484" s="18" t="s">
        <v>139</v>
      </c>
    </row>
    <row r="485" spans="1:7">
      <c r="A485">
        <v>492</v>
      </c>
      <c r="B485" s="19" t="s">
        <v>172</v>
      </c>
      <c r="C485">
        <v>2055</v>
      </c>
      <c r="D485">
        <v>0</v>
      </c>
      <c r="E485">
        <v>0</v>
      </c>
      <c r="F485">
        <v>0</v>
      </c>
      <c r="G485" s="18" t="s">
        <v>139</v>
      </c>
    </row>
    <row r="486" spans="1:7">
      <c r="A486">
        <v>493</v>
      </c>
      <c r="B486" s="19" t="s">
        <v>172</v>
      </c>
      <c r="C486">
        <v>2057</v>
      </c>
      <c r="D486">
        <v>0</v>
      </c>
      <c r="E486">
        <v>0</v>
      </c>
      <c r="F486">
        <v>0</v>
      </c>
      <c r="G486" s="18" t="s">
        <v>139</v>
      </c>
    </row>
    <row r="487" spans="1:7">
      <c r="A487">
        <v>494</v>
      </c>
      <c r="B487" s="19" t="s">
        <v>173</v>
      </c>
      <c r="C487">
        <v>2053</v>
      </c>
      <c r="D487">
        <v>0</v>
      </c>
      <c r="E487">
        <v>0</v>
      </c>
      <c r="F487">
        <v>0</v>
      </c>
      <c r="G487" s="18" t="s">
        <v>141</v>
      </c>
    </row>
    <row r="488" spans="1:7">
      <c r="A488">
        <v>495</v>
      </c>
      <c r="B488" s="19" t="s">
        <v>173</v>
      </c>
      <c r="C488">
        <v>2054</v>
      </c>
      <c r="D488">
        <v>0</v>
      </c>
      <c r="E488">
        <v>0</v>
      </c>
      <c r="F488">
        <v>0</v>
      </c>
      <c r="G488" s="18" t="s">
        <v>141</v>
      </c>
    </row>
    <row r="489" spans="1:7">
      <c r="A489">
        <v>496</v>
      </c>
      <c r="B489" s="19" t="s">
        <v>173</v>
      </c>
      <c r="C489">
        <v>2055</v>
      </c>
      <c r="D489">
        <v>0</v>
      </c>
      <c r="E489">
        <v>0</v>
      </c>
      <c r="F489">
        <v>0</v>
      </c>
      <c r="G489" s="18" t="s">
        <v>141</v>
      </c>
    </row>
    <row r="490" spans="1:7">
      <c r="A490">
        <v>498</v>
      </c>
      <c r="B490" s="19" t="s">
        <v>174</v>
      </c>
      <c r="C490">
        <v>2053</v>
      </c>
      <c r="D490">
        <v>0</v>
      </c>
      <c r="E490">
        <v>0</v>
      </c>
      <c r="F490">
        <v>0</v>
      </c>
      <c r="G490" s="18" t="s">
        <v>143</v>
      </c>
    </row>
    <row r="491" spans="1:7">
      <c r="A491">
        <v>499</v>
      </c>
      <c r="B491" s="19" t="s">
        <v>174</v>
      </c>
      <c r="C491">
        <v>2054</v>
      </c>
      <c r="D491">
        <v>0</v>
      </c>
      <c r="E491">
        <v>0</v>
      </c>
      <c r="F491">
        <v>0</v>
      </c>
      <c r="G491" s="18" t="s">
        <v>143</v>
      </c>
    </row>
    <row r="492" spans="1:7">
      <c r="A492">
        <v>500</v>
      </c>
      <c r="B492" s="19" t="s">
        <v>174</v>
      </c>
      <c r="C492">
        <v>2055</v>
      </c>
      <c r="D492">
        <v>0</v>
      </c>
      <c r="E492">
        <v>0</v>
      </c>
      <c r="F492">
        <v>0</v>
      </c>
      <c r="G492" s="18" t="s">
        <v>143</v>
      </c>
    </row>
    <row r="493" spans="1:7">
      <c r="A493">
        <v>501</v>
      </c>
      <c r="B493" s="19" t="s">
        <v>174</v>
      </c>
      <c r="C493">
        <v>2057</v>
      </c>
      <c r="D493">
        <v>0</v>
      </c>
      <c r="E493">
        <v>0</v>
      </c>
      <c r="F493">
        <v>0</v>
      </c>
      <c r="G493" s="18" t="s">
        <v>143</v>
      </c>
    </row>
    <row r="494" spans="1:7">
      <c r="A494">
        <v>502</v>
      </c>
      <c r="B494" s="19" t="s">
        <v>175</v>
      </c>
      <c r="C494">
        <v>2053</v>
      </c>
      <c r="D494">
        <v>0</v>
      </c>
      <c r="E494">
        <v>0</v>
      </c>
      <c r="F494">
        <v>0</v>
      </c>
      <c r="G494" s="18" t="s">
        <v>145</v>
      </c>
    </row>
    <row r="495" spans="1:7">
      <c r="A495">
        <v>503</v>
      </c>
      <c r="B495" s="19" t="s">
        <v>175</v>
      </c>
      <c r="C495">
        <v>2054</v>
      </c>
      <c r="D495">
        <v>0</v>
      </c>
      <c r="E495">
        <v>0</v>
      </c>
      <c r="F495">
        <v>0</v>
      </c>
      <c r="G495" s="18" t="s">
        <v>145</v>
      </c>
    </row>
    <row r="496" spans="1:7">
      <c r="A496">
        <v>504</v>
      </c>
      <c r="B496" s="19" t="s">
        <v>175</v>
      </c>
      <c r="C496">
        <v>2055</v>
      </c>
      <c r="D496">
        <v>0</v>
      </c>
      <c r="E496">
        <v>0</v>
      </c>
      <c r="F496">
        <v>0</v>
      </c>
      <c r="G496" s="18" t="s">
        <v>145</v>
      </c>
    </row>
    <row r="497" spans="1:7">
      <c r="A497">
        <v>505</v>
      </c>
      <c r="B497" s="19" t="s">
        <v>175</v>
      </c>
      <c r="C497">
        <v>2057</v>
      </c>
      <c r="D497">
        <v>0</v>
      </c>
      <c r="E497">
        <v>0</v>
      </c>
      <c r="F497">
        <v>0</v>
      </c>
      <c r="G497" s="18" t="s">
        <v>145</v>
      </c>
    </row>
    <row r="498" spans="1:7">
      <c r="A498">
        <v>506</v>
      </c>
      <c r="B498" s="19" t="s">
        <v>176</v>
      </c>
      <c r="C498">
        <v>2053</v>
      </c>
      <c r="D498">
        <v>0</v>
      </c>
      <c r="E498">
        <v>0</v>
      </c>
      <c r="F498">
        <v>0</v>
      </c>
      <c r="G498" s="18" t="s">
        <v>147</v>
      </c>
    </row>
    <row r="499" spans="1:7">
      <c r="A499">
        <v>507</v>
      </c>
      <c r="B499" s="19" t="s">
        <v>176</v>
      </c>
      <c r="C499">
        <v>2054</v>
      </c>
      <c r="D499">
        <v>0</v>
      </c>
      <c r="E499">
        <v>0</v>
      </c>
      <c r="F499">
        <v>0</v>
      </c>
      <c r="G499" s="18" t="s">
        <v>147</v>
      </c>
    </row>
    <row r="500" spans="1:7">
      <c r="A500">
        <v>508</v>
      </c>
      <c r="B500" s="19" t="s">
        <v>176</v>
      </c>
      <c r="C500">
        <v>2055</v>
      </c>
      <c r="D500">
        <v>0</v>
      </c>
      <c r="E500">
        <v>0</v>
      </c>
      <c r="F500">
        <v>0</v>
      </c>
      <c r="G500" s="18" t="s">
        <v>147</v>
      </c>
    </row>
    <row r="501" spans="1:7">
      <c r="A501">
        <v>509</v>
      </c>
      <c r="B501" s="19" t="s">
        <v>176</v>
      </c>
      <c r="C501">
        <v>2057</v>
      </c>
      <c r="D501">
        <v>0</v>
      </c>
      <c r="E501">
        <v>0</v>
      </c>
      <c r="F501">
        <v>0</v>
      </c>
      <c r="G501" s="18" t="s">
        <v>147</v>
      </c>
    </row>
    <row r="502" spans="1:7">
      <c r="A502">
        <v>510</v>
      </c>
      <c r="B502" s="19" t="s">
        <v>177</v>
      </c>
      <c r="C502">
        <v>2053</v>
      </c>
      <c r="D502">
        <v>0</v>
      </c>
      <c r="E502">
        <v>0</v>
      </c>
      <c r="F502">
        <v>0</v>
      </c>
      <c r="G502" s="18" t="s">
        <v>147</v>
      </c>
    </row>
    <row r="503" spans="1:7">
      <c r="A503">
        <v>511</v>
      </c>
      <c r="B503" s="19" t="s">
        <v>177</v>
      </c>
      <c r="C503">
        <v>2054</v>
      </c>
      <c r="D503">
        <v>0</v>
      </c>
      <c r="E503">
        <v>0</v>
      </c>
      <c r="F503">
        <v>0</v>
      </c>
      <c r="G503" s="18" t="s">
        <v>147</v>
      </c>
    </row>
    <row r="504" spans="1:7">
      <c r="A504">
        <v>512</v>
      </c>
      <c r="B504" s="19" t="s">
        <v>177</v>
      </c>
      <c r="C504">
        <v>2055</v>
      </c>
      <c r="D504">
        <v>0</v>
      </c>
      <c r="E504">
        <v>0</v>
      </c>
      <c r="F504">
        <v>0</v>
      </c>
      <c r="G504" s="18" t="s">
        <v>147</v>
      </c>
    </row>
    <row r="505" spans="1:7">
      <c r="A505">
        <v>513</v>
      </c>
      <c r="B505" s="19" t="s">
        <v>177</v>
      </c>
      <c r="C505">
        <v>2057</v>
      </c>
      <c r="D505">
        <v>0</v>
      </c>
      <c r="E505">
        <v>0</v>
      </c>
      <c r="F505">
        <v>0</v>
      </c>
      <c r="G505" s="18" t="s">
        <v>147</v>
      </c>
    </row>
    <row r="506" spans="1:7">
      <c r="A506">
        <v>514</v>
      </c>
      <c r="B506" s="19" t="s">
        <v>178</v>
      </c>
      <c r="C506">
        <v>2053</v>
      </c>
      <c r="D506">
        <v>0</v>
      </c>
      <c r="E506">
        <v>0</v>
      </c>
      <c r="F506">
        <v>0</v>
      </c>
      <c r="G506" s="18" t="s">
        <v>147</v>
      </c>
    </row>
    <row r="507" spans="1:7">
      <c r="A507">
        <v>515</v>
      </c>
      <c r="B507" s="19" t="s">
        <v>178</v>
      </c>
      <c r="C507">
        <v>2054</v>
      </c>
      <c r="D507">
        <v>0</v>
      </c>
      <c r="E507">
        <v>0</v>
      </c>
      <c r="F507">
        <v>0</v>
      </c>
      <c r="G507" s="18" t="s">
        <v>147</v>
      </c>
    </row>
    <row r="508" spans="1:7">
      <c r="A508">
        <v>516</v>
      </c>
      <c r="B508" s="19" t="s">
        <v>178</v>
      </c>
      <c r="C508">
        <v>2055</v>
      </c>
      <c r="D508">
        <v>0</v>
      </c>
      <c r="E508">
        <v>0</v>
      </c>
      <c r="F508">
        <v>0</v>
      </c>
      <c r="G508" s="18" t="s">
        <v>147</v>
      </c>
    </row>
    <row r="509" spans="1:7">
      <c r="A509">
        <v>517</v>
      </c>
      <c r="B509" s="19" t="s">
        <v>178</v>
      </c>
      <c r="C509">
        <v>2057</v>
      </c>
      <c r="D509">
        <v>0</v>
      </c>
      <c r="E509">
        <v>0</v>
      </c>
      <c r="F509">
        <v>0</v>
      </c>
      <c r="G509" s="18" t="s">
        <v>147</v>
      </c>
    </row>
    <row r="510" spans="1:7">
      <c r="A510">
        <v>518</v>
      </c>
      <c r="B510" s="19" t="s">
        <v>179</v>
      </c>
      <c r="C510">
        <v>2053</v>
      </c>
      <c r="D510">
        <v>0</v>
      </c>
      <c r="E510">
        <v>0</v>
      </c>
      <c r="F510">
        <v>0</v>
      </c>
      <c r="G510" s="18" t="s">
        <v>147</v>
      </c>
    </row>
    <row r="511" spans="1:7">
      <c r="A511">
        <v>519</v>
      </c>
      <c r="B511" s="19" t="s">
        <v>179</v>
      </c>
      <c r="C511">
        <v>2054</v>
      </c>
      <c r="D511">
        <v>0</v>
      </c>
      <c r="E511">
        <v>0</v>
      </c>
      <c r="F511">
        <v>0</v>
      </c>
      <c r="G511" s="18" t="s">
        <v>147</v>
      </c>
    </row>
    <row r="512" spans="1:7">
      <c r="A512">
        <v>520</v>
      </c>
      <c r="B512" s="19" t="s">
        <v>179</v>
      </c>
      <c r="C512">
        <v>2055</v>
      </c>
      <c r="D512">
        <v>0</v>
      </c>
      <c r="E512">
        <v>0</v>
      </c>
      <c r="F512">
        <v>0</v>
      </c>
      <c r="G512" s="18" t="s">
        <v>147</v>
      </c>
    </row>
    <row r="513" spans="1:7">
      <c r="A513">
        <v>521</v>
      </c>
      <c r="B513" s="19" t="s">
        <v>179</v>
      </c>
      <c r="C513">
        <v>2057</v>
      </c>
      <c r="D513">
        <v>0</v>
      </c>
      <c r="E513">
        <v>0</v>
      </c>
      <c r="F513">
        <v>0</v>
      </c>
      <c r="G513" s="18" t="s">
        <v>147</v>
      </c>
    </row>
    <row r="514" spans="1:7">
      <c r="A514">
        <v>522</v>
      </c>
      <c r="B514" s="19" t="s">
        <v>180</v>
      </c>
      <c r="C514">
        <v>2053</v>
      </c>
      <c r="D514">
        <v>0</v>
      </c>
      <c r="E514">
        <v>0</v>
      </c>
      <c r="F514">
        <v>0</v>
      </c>
      <c r="G514" s="18" t="s">
        <v>147</v>
      </c>
    </row>
    <row r="515" spans="1:7">
      <c r="A515">
        <v>523</v>
      </c>
      <c r="B515" s="19" t="s">
        <v>180</v>
      </c>
      <c r="C515">
        <v>2054</v>
      </c>
      <c r="D515">
        <v>0</v>
      </c>
      <c r="E515">
        <v>0</v>
      </c>
      <c r="F515">
        <v>0</v>
      </c>
      <c r="G515" s="18" t="s">
        <v>147</v>
      </c>
    </row>
    <row r="516" spans="1:7">
      <c r="A516">
        <v>524</v>
      </c>
      <c r="B516" s="19" t="s">
        <v>180</v>
      </c>
      <c r="C516">
        <v>2055</v>
      </c>
      <c r="D516">
        <v>0</v>
      </c>
      <c r="E516">
        <v>0</v>
      </c>
      <c r="F516">
        <v>0</v>
      </c>
      <c r="G516" s="18" t="s">
        <v>147</v>
      </c>
    </row>
    <row r="517" spans="1:7">
      <c r="A517">
        <v>525</v>
      </c>
      <c r="B517" s="19" t="s">
        <v>180</v>
      </c>
      <c r="C517">
        <v>2057</v>
      </c>
      <c r="D517">
        <v>0</v>
      </c>
      <c r="E517">
        <v>0</v>
      </c>
      <c r="F517">
        <v>0</v>
      </c>
      <c r="G517" s="18" t="s">
        <v>147</v>
      </c>
    </row>
    <row r="518" spans="1:7">
      <c r="A518">
        <v>526</v>
      </c>
      <c r="B518" s="19" t="s">
        <v>181</v>
      </c>
      <c r="C518">
        <v>2053</v>
      </c>
      <c r="D518">
        <v>0</v>
      </c>
      <c r="E518">
        <v>0</v>
      </c>
      <c r="F518">
        <v>0</v>
      </c>
      <c r="G518" s="18" t="s">
        <v>147</v>
      </c>
    </row>
    <row r="519" spans="1:7">
      <c r="A519">
        <v>527</v>
      </c>
      <c r="B519" s="19" t="s">
        <v>181</v>
      </c>
      <c r="C519">
        <v>2054</v>
      </c>
      <c r="D519">
        <v>0</v>
      </c>
      <c r="E519">
        <v>0</v>
      </c>
      <c r="F519">
        <v>0</v>
      </c>
      <c r="G519" s="18" t="s">
        <v>147</v>
      </c>
    </row>
    <row r="520" spans="1:7">
      <c r="A520">
        <v>528</v>
      </c>
      <c r="B520" s="19" t="s">
        <v>181</v>
      </c>
      <c r="C520">
        <v>2055</v>
      </c>
      <c r="D520">
        <v>0</v>
      </c>
      <c r="E520">
        <v>0</v>
      </c>
      <c r="F520">
        <v>0</v>
      </c>
      <c r="G520" s="18" t="s">
        <v>147</v>
      </c>
    </row>
    <row r="521" spans="1:7">
      <c r="A521">
        <v>529</v>
      </c>
      <c r="B521" s="19" t="s">
        <v>181</v>
      </c>
      <c r="C521">
        <v>2057</v>
      </c>
      <c r="D521">
        <v>0</v>
      </c>
      <c r="E521">
        <v>0</v>
      </c>
      <c r="F521">
        <v>0</v>
      </c>
      <c r="G521" s="18" t="s">
        <v>147</v>
      </c>
    </row>
    <row r="522" spans="1:7">
      <c r="A522">
        <v>530</v>
      </c>
      <c r="B522" s="19" t="s">
        <v>182</v>
      </c>
      <c r="C522">
        <v>2053</v>
      </c>
      <c r="D522">
        <v>0</v>
      </c>
      <c r="E522">
        <v>0</v>
      </c>
      <c r="F522">
        <v>0</v>
      </c>
      <c r="G522" s="18" t="s">
        <v>157</v>
      </c>
    </row>
    <row r="523" spans="1:7">
      <c r="A523">
        <v>531</v>
      </c>
      <c r="B523" s="19" t="s">
        <v>182</v>
      </c>
      <c r="C523">
        <v>2054</v>
      </c>
      <c r="D523">
        <v>0</v>
      </c>
      <c r="E523">
        <v>0</v>
      </c>
      <c r="F523">
        <v>0</v>
      </c>
      <c r="G523" s="18" t="s">
        <v>157</v>
      </c>
    </row>
    <row r="524" spans="1:7">
      <c r="A524">
        <v>532</v>
      </c>
      <c r="B524" s="19" t="s">
        <v>182</v>
      </c>
      <c r="C524">
        <v>2055</v>
      </c>
      <c r="D524">
        <v>0</v>
      </c>
      <c r="E524">
        <v>0</v>
      </c>
      <c r="F524">
        <v>0</v>
      </c>
      <c r="G524" s="18" t="s">
        <v>157</v>
      </c>
    </row>
    <row r="525" spans="1:7">
      <c r="A525">
        <v>533</v>
      </c>
      <c r="B525" s="19" t="s">
        <v>182</v>
      </c>
      <c r="C525">
        <v>2057</v>
      </c>
      <c r="D525">
        <v>0</v>
      </c>
      <c r="E525">
        <v>0</v>
      </c>
      <c r="F525">
        <v>0</v>
      </c>
      <c r="G525" s="18" t="s">
        <v>157</v>
      </c>
    </row>
    <row r="526" spans="1:7">
      <c r="A526">
        <v>534</v>
      </c>
      <c r="B526" s="19" t="s">
        <v>183</v>
      </c>
      <c r="C526">
        <v>2053</v>
      </c>
      <c r="D526">
        <v>0</v>
      </c>
      <c r="E526">
        <v>0</v>
      </c>
      <c r="F526">
        <v>0</v>
      </c>
      <c r="G526" s="18" t="s">
        <v>158</v>
      </c>
    </row>
    <row r="527" spans="1:7">
      <c r="A527">
        <v>535</v>
      </c>
      <c r="B527" s="19" t="s">
        <v>183</v>
      </c>
      <c r="C527">
        <v>2054</v>
      </c>
      <c r="D527">
        <v>0</v>
      </c>
      <c r="E527">
        <v>0</v>
      </c>
      <c r="F527">
        <v>0</v>
      </c>
      <c r="G527" s="18" t="s">
        <v>158</v>
      </c>
    </row>
    <row r="528" spans="1:7">
      <c r="A528">
        <v>536</v>
      </c>
      <c r="B528" s="19" t="s">
        <v>183</v>
      </c>
      <c r="C528">
        <v>2055</v>
      </c>
      <c r="D528">
        <v>0</v>
      </c>
      <c r="E528">
        <v>0</v>
      </c>
      <c r="F528">
        <v>0</v>
      </c>
      <c r="G528" s="18" t="s">
        <v>158</v>
      </c>
    </row>
    <row r="529" spans="1:7">
      <c r="A529">
        <v>537</v>
      </c>
      <c r="B529" s="19" t="s">
        <v>183</v>
      </c>
      <c r="C529">
        <v>2057</v>
      </c>
      <c r="D529">
        <v>0</v>
      </c>
      <c r="E529">
        <v>0</v>
      </c>
      <c r="F529">
        <v>0</v>
      </c>
      <c r="G529" s="18" t="s">
        <v>158</v>
      </c>
    </row>
    <row r="530" spans="1:7">
      <c r="A530">
        <v>538</v>
      </c>
      <c r="B530" s="19" t="s">
        <v>184</v>
      </c>
      <c r="C530">
        <v>2053</v>
      </c>
      <c r="D530">
        <v>0</v>
      </c>
      <c r="E530">
        <v>0</v>
      </c>
      <c r="F530">
        <v>0</v>
      </c>
      <c r="G530" s="18" t="s">
        <v>157</v>
      </c>
    </row>
    <row r="531" spans="1:7">
      <c r="A531">
        <v>539</v>
      </c>
      <c r="B531" s="19" t="s">
        <v>184</v>
      </c>
      <c r="C531">
        <v>2054</v>
      </c>
      <c r="D531">
        <v>0</v>
      </c>
      <c r="E531">
        <v>0</v>
      </c>
      <c r="F531">
        <v>0</v>
      </c>
      <c r="G531" s="18" t="s">
        <v>157</v>
      </c>
    </row>
    <row r="532" spans="1:7">
      <c r="A532">
        <v>540</v>
      </c>
      <c r="B532" s="19" t="s">
        <v>184</v>
      </c>
      <c r="C532">
        <v>2055</v>
      </c>
      <c r="D532">
        <v>0</v>
      </c>
      <c r="E532">
        <v>0</v>
      </c>
      <c r="F532">
        <v>0</v>
      </c>
      <c r="G532" s="18" t="s">
        <v>157</v>
      </c>
    </row>
    <row r="533" spans="1:7">
      <c r="A533">
        <v>541</v>
      </c>
      <c r="B533" s="19" t="s">
        <v>184</v>
      </c>
      <c r="C533">
        <v>2057</v>
      </c>
      <c r="D533">
        <v>0</v>
      </c>
      <c r="E533">
        <v>0</v>
      </c>
      <c r="F533">
        <v>0</v>
      </c>
      <c r="G533" s="18" t="s">
        <v>157</v>
      </c>
    </row>
    <row r="534" spans="1:7">
      <c r="A534">
        <v>542</v>
      </c>
      <c r="B534" s="19" t="s">
        <v>185</v>
      </c>
      <c r="C534">
        <v>2053</v>
      </c>
      <c r="D534">
        <v>0</v>
      </c>
      <c r="E534">
        <v>0</v>
      </c>
      <c r="F534">
        <v>0</v>
      </c>
      <c r="G534" s="18" t="s">
        <v>158</v>
      </c>
    </row>
    <row r="535" spans="1:7">
      <c r="A535">
        <v>543</v>
      </c>
      <c r="B535" s="19" t="s">
        <v>185</v>
      </c>
      <c r="C535">
        <v>2054</v>
      </c>
      <c r="D535">
        <v>0</v>
      </c>
      <c r="E535">
        <v>0</v>
      </c>
      <c r="F535">
        <v>0</v>
      </c>
      <c r="G535" s="18" t="s">
        <v>158</v>
      </c>
    </row>
    <row r="536" spans="1:7">
      <c r="A536">
        <v>544</v>
      </c>
      <c r="B536" s="19" t="s">
        <v>185</v>
      </c>
      <c r="C536">
        <v>2055</v>
      </c>
      <c r="D536">
        <v>0</v>
      </c>
      <c r="E536">
        <v>0</v>
      </c>
      <c r="F536">
        <v>0</v>
      </c>
      <c r="G536" s="18" t="s">
        <v>158</v>
      </c>
    </row>
    <row r="537" spans="1:7">
      <c r="A537">
        <v>545</v>
      </c>
      <c r="B537" s="19" t="s">
        <v>185</v>
      </c>
      <c r="C537">
        <v>2057</v>
      </c>
      <c r="D537">
        <v>0</v>
      </c>
      <c r="E537">
        <v>0</v>
      </c>
      <c r="F537">
        <v>0</v>
      </c>
      <c r="G537" s="18" t="s">
        <v>158</v>
      </c>
    </row>
    <row r="538" spans="1:7">
      <c r="A538">
        <v>546</v>
      </c>
      <c r="B538" s="19" t="s">
        <v>186</v>
      </c>
      <c r="C538">
        <v>2053</v>
      </c>
      <c r="D538">
        <v>0</v>
      </c>
      <c r="E538">
        <v>0</v>
      </c>
      <c r="F538">
        <v>0</v>
      </c>
      <c r="G538" s="18" t="s">
        <v>159</v>
      </c>
    </row>
    <row r="539" spans="1:7">
      <c r="A539">
        <v>547</v>
      </c>
      <c r="B539" s="19" t="s">
        <v>186</v>
      </c>
      <c r="C539">
        <v>2054</v>
      </c>
      <c r="D539">
        <v>0</v>
      </c>
      <c r="E539">
        <v>0</v>
      </c>
      <c r="F539">
        <v>0</v>
      </c>
      <c r="G539" s="18" t="s">
        <v>159</v>
      </c>
    </row>
    <row r="540" spans="1:7">
      <c r="A540">
        <v>548</v>
      </c>
      <c r="B540" s="19" t="s">
        <v>186</v>
      </c>
      <c r="C540">
        <v>2055</v>
      </c>
      <c r="D540">
        <v>0</v>
      </c>
      <c r="E540">
        <v>0</v>
      </c>
      <c r="F540">
        <v>0</v>
      </c>
      <c r="G540" s="18" t="s">
        <v>159</v>
      </c>
    </row>
    <row r="541" spans="1:7">
      <c r="A541">
        <v>549</v>
      </c>
      <c r="B541" s="19" t="s">
        <v>186</v>
      </c>
      <c r="C541">
        <v>2057</v>
      </c>
      <c r="D541">
        <v>0</v>
      </c>
      <c r="E541">
        <v>0</v>
      </c>
      <c r="F541">
        <v>0</v>
      </c>
      <c r="G541" s="18" t="s">
        <v>159</v>
      </c>
    </row>
    <row r="542" spans="1:7">
      <c r="A542">
        <v>550</v>
      </c>
      <c r="B542">
        <v>9810</v>
      </c>
      <c r="C542">
        <v>1702</v>
      </c>
      <c r="D542">
        <v>0</v>
      </c>
      <c r="E542">
        <v>1</v>
      </c>
      <c r="F542">
        <v>0</v>
      </c>
      <c r="G542">
        <v>100000000</v>
      </c>
    </row>
    <row r="543" spans="1:7">
      <c r="A543">
        <v>551</v>
      </c>
      <c r="B543">
        <v>306304</v>
      </c>
      <c r="C543">
        <v>1699</v>
      </c>
      <c r="D543">
        <v>0</v>
      </c>
      <c r="E543">
        <v>0</v>
      </c>
      <c r="F543">
        <v>0</v>
      </c>
      <c r="G543">
        <f>193/30</f>
        <v>6.43333333333333</v>
      </c>
    </row>
    <row r="544" spans="1:7">
      <c r="A544">
        <v>552</v>
      </c>
      <c r="B544">
        <v>306304</v>
      </c>
      <c r="C544">
        <v>1700</v>
      </c>
      <c r="D544">
        <v>0</v>
      </c>
      <c r="E544">
        <v>0</v>
      </c>
      <c r="F544">
        <v>0</v>
      </c>
      <c r="G544">
        <f>193/30</f>
        <v>6.43333333333333</v>
      </c>
    </row>
    <row r="545" spans="1:7">
      <c r="A545">
        <v>553</v>
      </c>
      <c r="B545">
        <v>8407</v>
      </c>
      <c r="C545">
        <v>1316</v>
      </c>
      <c r="D545">
        <v>0</v>
      </c>
      <c r="E545">
        <v>1</v>
      </c>
      <c r="F545">
        <v>0</v>
      </c>
      <c r="G545" s="22">
        <v>10.4333333333333</v>
      </c>
    </row>
    <row r="546" spans="1:7">
      <c r="A546">
        <v>554</v>
      </c>
      <c r="B546">
        <v>8407</v>
      </c>
      <c r="C546">
        <v>1317</v>
      </c>
      <c r="D546">
        <v>0</v>
      </c>
      <c r="E546">
        <v>1</v>
      </c>
      <c r="F546">
        <v>0</v>
      </c>
      <c r="G546" s="22">
        <v>10.4333333333333</v>
      </c>
    </row>
    <row r="547" spans="1:7">
      <c r="A547">
        <v>555</v>
      </c>
      <c r="B547">
        <v>8407</v>
      </c>
      <c r="C547">
        <v>1318</v>
      </c>
      <c r="D547">
        <v>0</v>
      </c>
      <c r="E547">
        <v>1</v>
      </c>
      <c r="F547">
        <v>0</v>
      </c>
      <c r="G547" s="22">
        <v>10.4333333333333</v>
      </c>
    </row>
    <row r="548" spans="1:7">
      <c r="A548">
        <v>556</v>
      </c>
      <c r="B548">
        <v>8407</v>
      </c>
      <c r="C548">
        <v>1319</v>
      </c>
      <c r="D548">
        <v>0</v>
      </c>
      <c r="E548">
        <v>1</v>
      </c>
      <c r="F548">
        <v>0</v>
      </c>
      <c r="G548" s="22">
        <v>10.4333333333333</v>
      </c>
    </row>
    <row r="549" spans="1:7">
      <c r="A549">
        <v>557</v>
      </c>
      <c r="B549">
        <v>8407</v>
      </c>
      <c r="C549">
        <v>1320</v>
      </c>
      <c r="D549">
        <v>0</v>
      </c>
      <c r="E549">
        <v>1</v>
      </c>
      <c r="F549">
        <v>0</v>
      </c>
      <c r="G549" s="22">
        <v>10.4333333333333</v>
      </c>
    </row>
    <row r="550" spans="1:7">
      <c r="A550">
        <v>558</v>
      </c>
      <c r="B550">
        <v>40840107</v>
      </c>
      <c r="C550">
        <v>1406</v>
      </c>
      <c r="D550">
        <v>0</v>
      </c>
      <c r="E550">
        <v>1</v>
      </c>
      <c r="F550">
        <v>0</v>
      </c>
      <c r="G550" s="22">
        <v>10.4333333333333</v>
      </c>
    </row>
    <row r="551" spans="1:7">
      <c r="A551">
        <v>559</v>
      </c>
      <c r="B551">
        <v>40840107</v>
      </c>
      <c r="C551">
        <v>1407</v>
      </c>
      <c r="D551">
        <v>0</v>
      </c>
      <c r="E551">
        <v>1</v>
      </c>
      <c r="F551">
        <v>0</v>
      </c>
      <c r="G551" s="22">
        <v>10.4333333333333</v>
      </c>
    </row>
    <row r="552" spans="1:7">
      <c r="A552">
        <v>560</v>
      </c>
      <c r="B552">
        <v>40840107</v>
      </c>
      <c r="C552">
        <v>1408</v>
      </c>
      <c r="D552">
        <v>0</v>
      </c>
      <c r="E552">
        <v>1</v>
      </c>
      <c r="F552">
        <v>0</v>
      </c>
      <c r="G552" s="22">
        <v>10.4333333333333</v>
      </c>
    </row>
    <row r="553" spans="1:7">
      <c r="A553">
        <v>561</v>
      </c>
      <c r="B553">
        <v>40840107</v>
      </c>
      <c r="C553">
        <v>1409</v>
      </c>
      <c r="D553">
        <v>0</v>
      </c>
      <c r="E553">
        <v>1</v>
      </c>
      <c r="F553">
        <v>0</v>
      </c>
      <c r="G553" s="22">
        <v>10.4333333333333</v>
      </c>
    </row>
    <row r="554" spans="1:7">
      <c r="A554">
        <v>562</v>
      </c>
      <c r="B554">
        <v>40840107</v>
      </c>
      <c r="C554">
        <v>1410</v>
      </c>
      <c r="D554">
        <v>0</v>
      </c>
      <c r="E554">
        <v>1</v>
      </c>
      <c r="F554">
        <v>0</v>
      </c>
      <c r="G554" s="22">
        <v>10.4333333333333</v>
      </c>
    </row>
    <row r="555" spans="1:7">
      <c r="A555">
        <v>563</v>
      </c>
      <c r="B555">
        <v>40840207</v>
      </c>
      <c r="C555">
        <v>1432</v>
      </c>
      <c r="D555">
        <v>0</v>
      </c>
      <c r="E555">
        <v>1</v>
      </c>
      <c r="F555">
        <v>0</v>
      </c>
      <c r="G555" s="22">
        <v>10.4333333333333</v>
      </c>
    </row>
    <row r="556" spans="1:7">
      <c r="A556">
        <v>564</v>
      </c>
      <c r="B556">
        <v>40840207</v>
      </c>
      <c r="C556">
        <v>1433</v>
      </c>
      <c r="D556">
        <v>0</v>
      </c>
      <c r="E556">
        <v>1</v>
      </c>
      <c r="F556">
        <v>0</v>
      </c>
      <c r="G556" s="22">
        <v>10.4333333333333</v>
      </c>
    </row>
    <row r="557" spans="1:7">
      <c r="A557">
        <v>565</v>
      </c>
      <c r="B557">
        <v>40840207</v>
      </c>
      <c r="C557">
        <v>1434</v>
      </c>
      <c r="D557">
        <v>0</v>
      </c>
      <c r="E557">
        <v>1</v>
      </c>
      <c r="F557">
        <v>0</v>
      </c>
      <c r="G557" s="22">
        <v>10.4333333333333</v>
      </c>
    </row>
    <row r="558" spans="1:7">
      <c r="A558">
        <v>566</v>
      </c>
      <c r="B558">
        <v>3006504</v>
      </c>
      <c r="C558">
        <v>2080</v>
      </c>
      <c r="D558">
        <v>0</v>
      </c>
      <c r="E558">
        <v>0</v>
      </c>
      <c r="F558">
        <v>0</v>
      </c>
      <c r="G558">
        <f>193/30</f>
        <v>6.43333333333333</v>
      </c>
    </row>
    <row r="559" spans="1:7">
      <c r="A559">
        <v>567</v>
      </c>
      <c r="B559">
        <v>3006504</v>
      </c>
      <c r="C559">
        <v>2081</v>
      </c>
      <c r="D559">
        <v>0</v>
      </c>
      <c r="E559">
        <v>0</v>
      </c>
      <c r="F559">
        <v>0</v>
      </c>
      <c r="G559">
        <f>193/30</f>
        <v>6.43333333333333</v>
      </c>
    </row>
    <row r="560" spans="1:7">
      <c r="A560">
        <v>568</v>
      </c>
      <c r="B560">
        <v>7720</v>
      </c>
      <c r="C560">
        <v>1040</v>
      </c>
      <c r="D560">
        <v>0</v>
      </c>
      <c r="E560">
        <v>0</v>
      </c>
      <c r="F560">
        <v>0</v>
      </c>
      <c r="G560">
        <v>2</v>
      </c>
    </row>
    <row r="561" spans="1:7">
      <c r="A561">
        <v>569</v>
      </c>
      <c r="B561">
        <v>7720</v>
      </c>
      <c r="C561">
        <v>1211</v>
      </c>
      <c r="D561">
        <v>0</v>
      </c>
      <c r="E561">
        <v>0</v>
      </c>
      <c r="F561">
        <v>0</v>
      </c>
      <c r="G561">
        <v>2</v>
      </c>
    </row>
    <row r="562" spans="1:7">
      <c r="A562">
        <v>570</v>
      </c>
      <c r="B562">
        <v>7721</v>
      </c>
      <c r="C562">
        <v>1040</v>
      </c>
      <c r="D562">
        <v>0</v>
      </c>
      <c r="E562">
        <v>0</v>
      </c>
      <c r="F562">
        <v>0</v>
      </c>
      <c r="G562">
        <v>2.2</v>
      </c>
    </row>
    <row r="563" spans="1:7">
      <c r="A563">
        <v>571</v>
      </c>
      <c r="B563">
        <v>7721</v>
      </c>
      <c r="C563">
        <v>1211</v>
      </c>
      <c r="D563">
        <v>0</v>
      </c>
      <c r="E563">
        <v>0</v>
      </c>
      <c r="F563">
        <v>0</v>
      </c>
      <c r="G563">
        <v>2.2</v>
      </c>
    </row>
    <row r="564" spans="1:7">
      <c r="A564">
        <v>572</v>
      </c>
      <c r="B564">
        <v>7722</v>
      </c>
      <c r="C564">
        <v>1040</v>
      </c>
      <c r="D564">
        <v>0</v>
      </c>
      <c r="E564">
        <v>0</v>
      </c>
      <c r="F564">
        <v>0</v>
      </c>
      <c r="G564">
        <f>74/30</f>
        <v>2.46666666666667</v>
      </c>
    </row>
    <row r="565" spans="1:7">
      <c r="A565">
        <v>573</v>
      </c>
      <c r="B565">
        <v>7722</v>
      </c>
      <c r="C565">
        <v>1211</v>
      </c>
      <c r="D565">
        <v>0</v>
      </c>
      <c r="E565">
        <v>0</v>
      </c>
      <c r="F565">
        <v>0</v>
      </c>
      <c r="G565">
        <f>74/30</f>
        <v>2.46666666666667</v>
      </c>
    </row>
    <row r="566" spans="1:7">
      <c r="A566">
        <v>574</v>
      </c>
      <c r="B566">
        <v>7723</v>
      </c>
      <c r="C566">
        <v>1040</v>
      </c>
      <c r="D566">
        <v>0</v>
      </c>
      <c r="E566">
        <v>0</v>
      </c>
      <c r="F566">
        <v>0</v>
      </c>
      <c r="G566">
        <f>75/30</f>
        <v>2.5</v>
      </c>
    </row>
    <row r="567" spans="1:7">
      <c r="A567">
        <v>575</v>
      </c>
      <c r="B567">
        <v>7723</v>
      </c>
      <c r="C567">
        <v>1211</v>
      </c>
      <c r="D567">
        <v>0</v>
      </c>
      <c r="E567">
        <v>0</v>
      </c>
      <c r="F567">
        <v>0</v>
      </c>
      <c r="G567">
        <f>75/30</f>
        <v>2.5</v>
      </c>
    </row>
    <row r="568" spans="1:7">
      <c r="A568">
        <v>576</v>
      </c>
      <c r="B568">
        <v>7724</v>
      </c>
      <c r="C568">
        <v>1040</v>
      </c>
      <c r="D568">
        <v>0</v>
      </c>
      <c r="E568">
        <v>0</v>
      </c>
      <c r="F568">
        <v>0</v>
      </c>
      <c r="G568">
        <v>4</v>
      </c>
    </row>
    <row r="569" spans="1:7">
      <c r="A569">
        <v>577</v>
      </c>
      <c r="B569">
        <v>7724</v>
      </c>
      <c r="C569">
        <v>1211</v>
      </c>
      <c r="D569">
        <v>0</v>
      </c>
      <c r="E569">
        <v>0</v>
      </c>
      <c r="F569">
        <v>0</v>
      </c>
      <c r="G569">
        <v>4</v>
      </c>
    </row>
    <row r="570" spans="1:7">
      <c r="A570">
        <v>578</v>
      </c>
      <c r="B570">
        <v>7725</v>
      </c>
      <c r="C570">
        <v>1040</v>
      </c>
      <c r="D570">
        <v>0</v>
      </c>
      <c r="E570">
        <v>0</v>
      </c>
      <c r="F570">
        <v>0</v>
      </c>
      <c r="G570">
        <f>22/30</f>
        <v>0.733333333333333</v>
      </c>
    </row>
    <row r="571" spans="1:7">
      <c r="A571">
        <v>579</v>
      </c>
      <c r="B571">
        <v>7725</v>
      </c>
      <c r="C571">
        <v>1211</v>
      </c>
      <c r="D571">
        <v>0</v>
      </c>
      <c r="E571">
        <v>0</v>
      </c>
      <c r="F571">
        <v>0</v>
      </c>
      <c r="G571">
        <f>22/30</f>
        <v>0.733333333333333</v>
      </c>
    </row>
    <row r="572" spans="1:7">
      <c r="A572">
        <v>580</v>
      </c>
      <c r="B572">
        <v>7726</v>
      </c>
      <c r="C572">
        <v>1040</v>
      </c>
      <c r="D572">
        <v>0</v>
      </c>
      <c r="E572">
        <v>0</v>
      </c>
      <c r="F572">
        <v>0</v>
      </c>
      <c r="G572">
        <v>2</v>
      </c>
    </row>
    <row r="573" spans="1:7">
      <c r="A573">
        <v>581</v>
      </c>
      <c r="B573">
        <v>7726</v>
      </c>
      <c r="C573">
        <v>1211</v>
      </c>
      <c r="D573">
        <v>0</v>
      </c>
      <c r="E573">
        <v>0</v>
      </c>
      <c r="F573">
        <v>0</v>
      </c>
      <c r="G573">
        <v>2</v>
      </c>
    </row>
    <row r="574" spans="1:7">
      <c r="A574">
        <v>582</v>
      </c>
      <c r="B574">
        <v>7709</v>
      </c>
      <c r="C574">
        <v>0</v>
      </c>
      <c r="D574">
        <v>1040</v>
      </c>
      <c r="E574">
        <v>1</v>
      </c>
      <c r="F574">
        <v>0</v>
      </c>
      <c r="G574">
        <f>740/30</f>
        <v>24.6666666666667</v>
      </c>
    </row>
    <row r="575" spans="1:7">
      <c r="A575">
        <v>583</v>
      </c>
      <c r="B575" s="3">
        <v>128303</v>
      </c>
      <c r="C575" s="3">
        <v>0</v>
      </c>
      <c r="D575" s="3">
        <v>2109</v>
      </c>
      <c r="E575" s="3">
        <v>1</v>
      </c>
      <c r="F575" s="3">
        <v>1.16666666666667</v>
      </c>
      <c r="G575" s="3">
        <v>0.566666666666667</v>
      </c>
    </row>
    <row r="576" spans="1:7">
      <c r="A576">
        <v>584</v>
      </c>
      <c r="B576" s="3">
        <v>128304</v>
      </c>
      <c r="C576" s="2">
        <v>0</v>
      </c>
      <c r="D576" s="3">
        <v>2109</v>
      </c>
      <c r="E576" s="2">
        <v>1</v>
      </c>
      <c r="F576" s="2">
        <v>0.433333333333333</v>
      </c>
      <c r="G576" s="2">
        <v>1.03333333333333</v>
      </c>
    </row>
    <row r="577" spans="1:7">
      <c r="A577">
        <v>585</v>
      </c>
      <c r="B577" s="3">
        <v>128305</v>
      </c>
      <c r="C577" s="3">
        <v>0</v>
      </c>
      <c r="D577" s="3">
        <v>2109</v>
      </c>
      <c r="E577" s="3">
        <v>1</v>
      </c>
      <c r="F577" s="3">
        <v>0.4</v>
      </c>
      <c r="G577" s="3">
        <v>0.966666666666667</v>
      </c>
    </row>
    <row r="578" spans="1:7">
      <c r="A578">
        <v>586</v>
      </c>
      <c r="B578" s="3">
        <v>128306</v>
      </c>
      <c r="C578">
        <v>0</v>
      </c>
      <c r="D578" s="3">
        <v>2109</v>
      </c>
      <c r="E578">
        <v>1</v>
      </c>
      <c r="F578">
        <v>1.3</v>
      </c>
      <c r="G578">
        <v>5.7</v>
      </c>
    </row>
    <row r="579" spans="1:7">
      <c r="A579">
        <v>587</v>
      </c>
      <c r="B579" s="3">
        <v>128303</v>
      </c>
      <c r="C579" s="3">
        <v>0</v>
      </c>
      <c r="D579" s="3">
        <v>2110</v>
      </c>
      <c r="E579" s="3">
        <v>1</v>
      </c>
      <c r="F579" s="3">
        <v>1.16666666666667</v>
      </c>
      <c r="G579" s="3">
        <v>0.566666666666667</v>
      </c>
    </row>
    <row r="580" spans="1:7">
      <c r="A580">
        <v>588</v>
      </c>
      <c r="B580" s="3">
        <v>128304</v>
      </c>
      <c r="C580" s="2">
        <v>0</v>
      </c>
      <c r="D580" s="3">
        <v>2110</v>
      </c>
      <c r="E580" s="2">
        <v>1</v>
      </c>
      <c r="F580" s="2">
        <v>0.433333333333333</v>
      </c>
      <c r="G580" s="2">
        <v>1.03333333333333</v>
      </c>
    </row>
    <row r="581" spans="1:7">
      <c r="A581">
        <v>589</v>
      </c>
      <c r="B581" s="3">
        <v>128305</v>
      </c>
      <c r="C581" s="3">
        <v>0</v>
      </c>
      <c r="D581" s="3">
        <v>2110</v>
      </c>
      <c r="E581" s="3">
        <v>1</v>
      </c>
      <c r="F581" s="3">
        <v>0.4</v>
      </c>
      <c r="G581" s="3">
        <v>0.966666666666667</v>
      </c>
    </row>
    <row r="582" spans="1:7">
      <c r="A582">
        <v>590</v>
      </c>
      <c r="B582" s="3">
        <v>128306</v>
      </c>
      <c r="C582">
        <v>0</v>
      </c>
      <c r="D582" s="3">
        <v>2110</v>
      </c>
      <c r="E582">
        <v>1</v>
      </c>
      <c r="F582">
        <v>1.3</v>
      </c>
      <c r="G582">
        <v>5.7</v>
      </c>
    </row>
    <row r="583" spans="1:7">
      <c r="A583">
        <v>591</v>
      </c>
      <c r="B583">
        <v>8410</v>
      </c>
      <c r="C583">
        <v>1316</v>
      </c>
      <c r="D583">
        <v>0</v>
      </c>
      <c r="E583">
        <v>1</v>
      </c>
      <c r="F583">
        <v>0</v>
      </c>
      <c r="G583">
        <f>308/30</f>
        <v>10.2666666666667</v>
      </c>
    </row>
    <row r="584" spans="1:7">
      <c r="A584">
        <v>592</v>
      </c>
      <c r="B584">
        <v>8410</v>
      </c>
      <c r="C584">
        <v>1317</v>
      </c>
      <c r="D584">
        <v>0</v>
      </c>
      <c r="E584">
        <v>1</v>
      </c>
      <c r="F584">
        <v>0</v>
      </c>
      <c r="G584">
        <f t="shared" ref="G584:G595" si="10">308/30</f>
        <v>10.2666666666667</v>
      </c>
    </row>
    <row r="585" spans="1:7">
      <c r="A585">
        <v>593</v>
      </c>
      <c r="B585">
        <v>8410</v>
      </c>
      <c r="C585">
        <v>1318</v>
      </c>
      <c r="D585">
        <v>0</v>
      </c>
      <c r="E585">
        <v>1</v>
      </c>
      <c r="F585">
        <v>0</v>
      </c>
      <c r="G585">
        <f t="shared" si="10"/>
        <v>10.2666666666667</v>
      </c>
    </row>
    <row r="586" spans="1:7">
      <c r="A586">
        <v>594</v>
      </c>
      <c r="B586">
        <v>8410</v>
      </c>
      <c r="C586">
        <v>1319</v>
      </c>
      <c r="D586">
        <v>0</v>
      </c>
      <c r="E586">
        <v>1</v>
      </c>
      <c r="F586">
        <v>0</v>
      </c>
      <c r="G586">
        <f t="shared" si="10"/>
        <v>10.2666666666667</v>
      </c>
    </row>
    <row r="587" spans="1:7">
      <c r="A587">
        <v>595</v>
      </c>
      <c r="B587">
        <v>8410</v>
      </c>
      <c r="C587">
        <v>1320</v>
      </c>
      <c r="D587">
        <v>0</v>
      </c>
      <c r="E587">
        <v>1</v>
      </c>
      <c r="F587">
        <v>0</v>
      </c>
      <c r="G587">
        <f t="shared" si="10"/>
        <v>10.2666666666667</v>
      </c>
    </row>
    <row r="588" spans="1:7">
      <c r="A588">
        <v>596</v>
      </c>
      <c r="B588">
        <v>40840110</v>
      </c>
      <c r="C588">
        <v>1406</v>
      </c>
      <c r="D588">
        <v>0</v>
      </c>
      <c r="E588">
        <v>1</v>
      </c>
      <c r="F588">
        <v>0</v>
      </c>
      <c r="G588">
        <f t="shared" si="10"/>
        <v>10.2666666666667</v>
      </c>
    </row>
    <row r="589" spans="1:7">
      <c r="A589">
        <v>597</v>
      </c>
      <c r="B589">
        <v>40840110</v>
      </c>
      <c r="C589">
        <v>1407</v>
      </c>
      <c r="D589">
        <v>0</v>
      </c>
      <c r="E589">
        <v>1</v>
      </c>
      <c r="F589">
        <v>0</v>
      </c>
      <c r="G589">
        <f t="shared" si="10"/>
        <v>10.2666666666667</v>
      </c>
    </row>
    <row r="590" spans="1:7">
      <c r="A590">
        <v>598</v>
      </c>
      <c r="B590">
        <v>40840110</v>
      </c>
      <c r="C590">
        <v>1408</v>
      </c>
      <c r="D590">
        <v>0</v>
      </c>
      <c r="E590">
        <v>1</v>
      </c>
      <c r="F590">
        <v>0</v>
      </c>
      <c r="G590">
        <f t="shared" si="10"/>
        <v>10.2666666666667</v>
      </c>
    </row>
    <row r="591" spans="1:7">
      <c r="A591">
        <v>599</v>
      </c>
      <c r="B591">
        <v>40840110</v>
      </c>
      <c r="C591">
        <v>1409</v>
      </c>
      <c r="D591">
        <v>0</v>
      </c>
      <c r="E591">
        <v>1</v>
      </c>
      <c r="F591">
        <v>0</v>
      </c>
      <c r="G591">
        <f t="shared" si="10"/>
        <v>10.2666666666667</v>
      </c>
    </row>
    <row r="592" spans="1:7">
      <c r="A592">
        <v>600</v>
      </c>
      <c r="B592">
        <v>40840110</v>
      </c>
      <c r="C592">
        <v>1410</v>
      </c>
      <c r="D592">
        <v>0</v>
      </c>
      <c r="E592">
        <v>1</v>
      </c>
      <c r="F592">
        <v>0</v>
      </c>
      <c r="G592">
        <f t="shared" si="10"/>
        <v>10.2666666666667</v>
      </c>
    </row>
    <row r="593" spans="1:7">
      <c r="A593">
        <v>601</v>
      </c>
      <c r="B593">
        <v>40840210</v>
      </c>
      <c r="C593">
        <v>1432</v>
      </c>
      <c r="D593">
        <v>0</v>
      </c>
      <c r="E593">
        <v>1</v>
      </c>
      <c r="F593">
        <v>0</v>
      </c>
      <c r="G593">
        <f t="shared" si="10"/>
        <v>10.2666666666667</v>
      </c>
    </row>
    <row r="594" spans="1:7">
      <c r="A594">
        <v>602</v>
      </c>
      <c r="B594">
        <v>40840210</v>
      </c>
      <c r="C594">
        <v>1433</v>
      </c>
      <c r="D594">
        <v>0</v>
      </c>
      <c r="E594">
        <v>1</v>
      </c>
      <c r="F594">
        <v>0</v>
      </c>
      <c r="G594">
        <f t="shared" si="10"/>
        <v>10.2666666666667</v>
      </c>
    </row>
    <row r="595" spans="1:7">
      <c r="A595">
        <v>603</v>
      </c>
      <c r="B595">
        <v>40840210</v>
      </c>
      <c r="C595">
        <v>1434</v>
      </c>
      <c r="D595">
        <v>0</v>
      </c>
      <c r="E595">
        <v>1</v>
      </c>
      <c r="F595">
        <v>0</v>
      </c>
      <c r="G595">
        <f t="shared" si="10"/>
        <v>10.2666666666667</v>
      </c>
    </row>
    <row r="596" spans="1:7">
      <c r="A596">
        <v>604</v>
      </c>
      <c r="B596">
        <v>40730420</v>
      </c>
      <c r="C596">
        <v>0</v>
      </c>
      <c r="D596">
        <v>1025</v>
      </c>
      <c r="E596">
        <v>1</v>
      </c>
      <c r="F596">
        <f>33/30</f>
        <v>1.1</v>
      </c>
      <c r="G596">
        <f>24/30</f>
        <v>0.8</v>
      </c>
    </row>
    <row r="597" spans="1:7">
      <c r="A597">
        <v>605</v>
      </c>
      <c r="B597" s="2">
        <v>40730402</v>
      </c>
      <c r="C597" s="2">
        <v>0</v>
      </c>
      <c r="D597" s="2">
        <v>1214</v>
      </c>
      <c r="E597" s="2">
        <v>1</v>
      </c>
      <c r="F597" s="2">
        <f>8/30</f>
        <v>0.266666666666667</v>
      </c>
      <c r="G597" s="2">
        <f>22/30</f>
        <v>0.733333333333333</v>
      </c>
    </row>
    <row r="598" spans="1:7">
      <c r="A598">
        <v>606</v>
      </c>
      <c r="B598" s="2">
        <v>40730402</v>
      </c>
      <c r="C598" s="2">
        <v>0</v>
      </c>
      <c r="D598" s="2">
        <v>1025</v>
      </c>
      <c r="E598" s="2">
        <v>1</v>
      </c>
      <c r="F598" s="2">
        <f>35/30</f>
        <v>1.16666666666667</v>
      </c>
      <c r="G598" s="2">
        <f>14/30</f>
        <v>0.466666666666667</v>
      </c>
    </row>
    <row r="599" spans="1:7">
      <c r="A599">
        <v>607</v>
      </c>
      <c r="B599" s="3">
        <v>40730403</v>
      </c>
      <c r="C599" s="3">
        <v>0</v>
      </c>
      <c r="D599" s="3">
        <v>1214</v>
      </c>
      <c r="E599" s="3">
        <v>1</v>
      </c>
      <c r="F599" s="3">
        <f>10/30</f>
        <v>0.333333333333333</v>
      </c>
      <c r="G599" s="3">
        <f>11/30</f>
        <v>0.366666666666667</v>
      </c>
    </row>
    <row r="600" spans="1:7">
      <c r="A600">
        <v>608</v>
      </c>
      <c r="B600" s="3">
        <v>40730403</v>
      </c>
      <c r="C600" s="3">
        <v>0</v>
      </c>
      <c r="D600" s="3">
        <v>1025</v>
      </c>
      <c r="E600" s="3">
        <v>1</v>
      </c>
      <c r="F600" s="3">
        <f>35/30</f>
        <v>1.16666666666667</v>
      </c>
      <c r="G600" s="3">
        <f>17/30</f>
        <v>0.566666666666667</v>
      </c>
    </row>
    <row r="601" spans="1:7">
      <c r="A601">
        <v>609</v>
      </c>
      <c r="B601" s="2">
        <v>40730404</v>
      </c>
      <c r="C601" s="2">
        <v>0</v>
      </c>
      <c r="D601" s="2">
        <v>1214</v>
      </c>
      <c r="E601" s="2">
        <v>1</v>
      </c>
      <c r="F601" s="2">
        <f>13/30</f>
        <v>0.433333333333333</v>
      </c>
      <c r="G601" s="2">
        <f>31/30</f>
        <v>1.03333333333333</v>
      </c>
    </row>
    <row r="602" spans="1:7">
      <c r="A602">
        <v>610</v>
      </c>
      <c r="B602" s="2">
        <v>40730404</v>
      </c>
      <c r="C602" s="2">
        <v>0</v>
      </c>
      <c r="D602" s="2">
        <v>1025</v>
      </c>
      <c r="E602" s="2">
        <v>1</v>
      </c>
      <c r="F602" s="2">
        <f>13/30</f>
        <v>0.433333333333333</v>
      </c>
      <c r="G602" s="2">
        <f>31/30</f>
        <v>1.03333333333333</v>
      </c>
    </row>
    <row r="603" spans="1:7">
      <c r="A603">
        <v>611</v>
      </c>
      <c r="B603" s="3">
        <v>40730405</v>
      </c>
      <c r="C603" s="3">
        <v>0</v>
      </c>
      <c r="D603" s="3">
        <v>1025</v>
      </c>
      <c r="E603" s="3">
        <v>1</v>
      </c>
      <c r="F603" s="3">
        <f>12/30</f>
        <v>0.4</v>
      </c>
      <c r="G603" s="3">
        <f>29/30</f>
        <v>0.966666666666667</v>
      </c>
    </row>
    <row r="604" spans="1:7">
      <c r="A604">
        <v>612</v>
      </c>
      <c r="B604" s="3">
        <v>40730406</v>
      </c>
      <c r="C604">
        <v>0</v>
      </c>
      <c r="D604">
        <v>1025</v>
      </c>
      <c r="E604">
        <v>1</v>
      </c>
      <c r="F604">
        <f>39/30</f>
        <v>1.3</v>
      </c>
      <c r="G604">
        <f>171/30</f>
        <v>5.7</v>
      </c>
    </row>
    <row r="605" spans="1:7">
      <c r="A605">
        <v>613</v>
      </c>
      <c r="B605" s="3">
        <v>40730407</v>
      </c>
      <c r="C605">
        <v>0</v>
      </c>
      <c r="D605">
        <v>1025</v>
      </c>
      <c r="E605">
        <v>1</v>
      </c>
      <c r="F605">
        <f>1/30</f>
        <v>0.0333333333333333</v>
      </c>
      <c r="G605">
        <f>259/30</f>
        <v>8.63333333333333</v>
      </c>
    </row>
    <row r="606" spans="1:7">
      <c r="A606">
        <v>614</v>
      </c>
      <c r="B606" s="3">
        <v>40730407</v>
      </c>
      <c r="C606">
        <v>0</v>
      </c>
      <c r="D606">
        <v>1214</v>
      </c>
      <c r="E606">
        <v>1</v>
      </c>
      <c r="F606">
        <f>105/30</f>
        <v>3.5</v>
      </c>
      <c r="G606">
        <f>155/30</f>
        <v>5.16666666666667</v>
      </c>
    </row>
    <row r="607" spans="1:7">
      <c r="A607">
        <v>615</v>
      </c>
      <c r="B607" s="3">
        <v>40730408</v>
      </c>
      <c r="C607">
        <v>0</v>
      </c>
      <c r="D607">
        <v>1025</v>
      </c>
      <c r="E607">
        <v>1</v>
      </c>
      <c r="F607">
        <f>56/30</f>
        <v>1.86666666666667</v>
      </c>
      <c r="G607">
        <f>112/30</f>
        <v>3.73333333333333</v>
      </c>
    </row>
    <row r="608" spans="1:7">
      <c r="A608">
        <v>616</v>
      </c>
      <c r="B608">
        <v>5210</v>
      </c>
      <c r="C608">
        <v>469</v>
      </c>
      <c r="D608">
        <v>0</v>
      </c>
      <c r="E608">
        <v>0</v>
      </c>
      <c r="F608">
        <v>0</v>
      </c>
      <c r="G608">
        <f>460/30</f>
        <v>15.3333333333333</v>
      </c>
    </row>
    <row r="609" spans="1:7">
      <c r="A609">
        <v>617</v>
      </c>
      <c r="B609">
        <v>5210</v>
      </c>
      <c r="C609">
        <v>470</v>
      </c>
      <c r="D609">
        <v>0</v>
      </c>
      <c r="E609">
        <v>0</v>
      </c>
      <c r="F609">
        <v>0</v>
      </c>
      <c r="G609">
        <f>460/30</f>
        <v>15.3333333333333</v>
      </c>
    </row>
    <row r="610" spans="1:7">
      <c r="A610">
        <v>618</v>
      </c>
      <c r="B610">
        <v>5210</v>
      </c>
      <c r="C610">
        <v>471</v>
      </c>
      <c r="D610">
        <v>0</v>
      </c>
      <c r="E610">
        <v>0</v>
      </c>
      <c r="F610">
        <v>0</v>
      </c>
      <c r="G610">
        <f>460/30</f>
        <v>15.3333333333333</v>
      </c>
    </row>
    <row r="611" spans="1:7">
      <c r="A611">
        <v>619</v>
      </c>
      <c r="B611">
        <v>5210</v>
      </c>
      <c r="C611">
        <v>472</v>
      </c>
      <c r="D611">
        <v>0</v>
      </c>
      <c r="E611">
        <v>0</v>
      </c>
      <c r="F611">
        <v>0</v>
      </c>
      <c r="G611">
        <f>460/30</f>
        <v>15.3333333333333</v>
      </c>
    </row>
    <row r="612" spans="1:7">
      <c r="A612">
        <v>620</v>
      </c>
      <c r="B612">
        <v>12206</v>
      </c>
      <c r="C612">
        <v>2136</v>
      </c>
      <c r="D612">
        <v>0</v>
      </c>
      <c r="E612">
        <v>0</v>
      </c>
      <c r="F612">
        <v>0</v>
      </c>
      <c r="G612">
        <f t="shared" ref="G612:G617" si="11">370/30</f>
        <v>12.3333333333333</v>
      </c>
    </row>
    <row r="613" spans="1:7">
      <c r="A613">
        <v>621</v>
      </c>
      <c r="B613">
        <v>12206</v>
      </c>
      <c r="C613">
        <v>2137</v>
      </c>
      <c r="D613">
        <v>0</v>
      </c>
      <c r="E613">
        <v>0</v>
      </c>
      <c r="F613">
        <v>0</v>
      </c>
      <c r="G613">
        <f t="shared" si="11"/>
        <v>12.3333333333333</v>
      </c>
    </row>
    <row r="614" spans="1:7">
      <c r="A614">
        <v>622</v>
      </c>
      <c r="B614">
        <v>12206</v>
      </c>
      <c r="C614">
        <v>2138</v>
      </c>
      <c r="D614">
        <v>0</v>
      </c>
      <c r="E614">
        <v>0</v>
      </c>
      <c r="F614">
        <v>0</v>
      </c>
      <c r="G614">
        <f t="shared" si="11"/>
        <v>12.3333333333333</v>
      </c>
    </row>
    <row r="615" spans="1:7">
      <c r="A615">
        <v>623</v>
      </c>
      <c r="B615">
        <v>401220106</v>
      </c>
      <c r="C615">
        <v>2140</v>
      </c>
      <c r="D615">
        <v>0</v>
      </c>
      <c r="E615">
        <v>0</v>
      </c>
      <c r="F615">
        <v>0</v>
      </c>
      <c r="G615">
        <f t="shared" si="11"/>
        <v>12.3333333333333</v>
      </c>
    </row>
    <row r="616" spans="1:7">
      <c r="A616">
        <v>624</v>
      </c>
      <c r="B616">
        <v>401220106</v>
      </c>
      <c r="C616">
        <v>2141</v>
      </c>
      <c r="D616">
        <v>0</v>
      </c>
      <c r="E616">
        <v>0</v>
      </c>
      <c r="F616">
        <v>0</v>
      </c>
      <c r="G616">
        <f t="shared" si="11"/>
        <v>12.3333333333333</v>
      </c>
    </row>
    <row r="617" spans="1:7">
      <c r="A617">
        <v>625</v>
      </c>
      <c r="B617">
        <v>401220106</v>
      </c>
      <c r="C617">
        <v>2142</v>
      </c>
      <c r="D617">
        <v>0</v>
      </c>
      <c r="E617">
        <v>0</v>
      </c>
      <c r="F617">
        <v>0</v>
      </c>
      <c r="G617">
        <f t="shared" si="11"/>
        <v>12.3333333333333</v>
      </c>
    </row>
    <row r="618" customFormat="1" spans="1:7">
      <c r="A618">
        <v>626</v>
      </c>
      <c r="B618">
        <v>40710402</v>
      </c>
      <c r="C618">
        <v>0</v>
      </c>
      <c r="D618">
        <v>2144</v>
      </c>
      <c r="E618">
        <v>1</v>
      </c>
      <c r="F618">
        <v>0.433333333333333</v>
      </c>
      <c r="G618">
        <v>1.5</v>
      </c>
    </row>
    <row r="619" customFormat="1" spans="1:7">
      <c r="A619">
        <v>627</v>
      </c>
      <c r="B619">
        <v>40710403</v>
      </c>
      <c r="C619">
        <v>0</v>
      </c>
      <c r="D619">
        <v>2144</v>
      </c>
      <c r="E619">
        <v>1</v>
      </c>
      <c r="F619">
        <v>0.633333333333333</v>
      </c>
      <c r="G619">
        <v>1.7</v>
      </c>
    </row>
    <row r="620" customFormat="1" spans="1:7">
      <c r="A620">
        <v>628</v>
      </c>
      <c r="B620">
        <v>40710404</v>
      </c>
      <c r="C620">
        <v>0</v>
      </c>
      <c r="D620">
        <v>2145</v>
      </c>
      <c r="E620">
        <v>1</v>
      </c>
      <c r="F620">
        <v>0.433333333333333</v>
      </c>
      <c r="G620">
        <v>0.4</v>
      </c>
    </row>
    <row r="621" customFormat="1" spans="1:7">
      <c r="A621">
        <v>629</v>
      </c>
      <c r="B621">
        <v>40710404</v>
      </c>
      <c r="C621">
        <v>0</v>
      </c>
      <c r="D621">
        <v>2144</v>
      </c>
      <c r="E621">
        <v>1</v>
      </c>
      <c r="F621">
        <v>0.833333333333333</v>
      </c>
      <c r="G621">
        <v>1.66666666666667</v>
      </c>
    </row>
    <row r="622" customFormat="1" spans="1:7">
      <c r="A622">
        <v>630</v>
      </c>
      <c r="B622">
        <v>40710405</v>
      </c>
      <c r="C622">
        <v>0</v>
      </c>
      <c r="D622">
        <v>2145</v>
      </c>
      <c r="E622">
        <v>1</v>
      </c>
      <c r="F622">
        <v>1.1</v>
      </c>
      <c r="G622">
        <v>5.06666666666667</v>
      </c>
    </row>
    <row r="623" spans="1:7">
      <c r="A623">
        <v>631</v>
      </c>
      <c r="B623">
        <v>3912</v>
      </c>
      <c r="C623">
        <v>129</v>
      </c>
      <c r="D623">
        <v>0</v>
      </c>
      <c r="E623">
        <v>0</v>
      </c>
      <c r="F623">
        <v>0</v>
      </c>
      <c r="G623">
        <f>264/30</f>
        <v>8.8</v>
      </c>
    </row>
    <row r="624" spans="1:7">
      <c r="A624">
        <v>632</v>
      </c>
      <c r="B624">
        <v>3912</v>
      </c>
      <c r="C624">
        <v>130</v>
      </c>
      <c r="D624">
        <v>0</v>
      </c>
      <c r="E624">
        <v>0</v>
      </c>
      <c r="F624">
        <v>0</v>
      </c>
      <c r="G624">
        <f>264/30</f>
        <v>8.8</v>
      </c>
    </row>
    <row r="625" spans="1:7">
      <c r="A625">
        <v>633</v>
      </c>
      <c r="B625">
        <v>12306</v>
      </c>
      <c r="C625">
        <v>2149</v>
      </c>
      <c r="D625">
        <v>0</v>
      </c>
      <c r="E625">
        <v>0</v>
      </c>
      <c r="F625">
        <v>0</v>
      </c>
      <c r="G625">
        <f t="shared" ref="G625:G630" si="12">334/30</f>
        <v>11.1333333333333</v>
      </c>
    </row>
    <row r="626" spans="1:7">
      <c r="A626">
        <v>634</v>
      </c>
      <c r="B626">
        <v>12306</v>
      </c>
      <c r="C626">
        <v>2150</v>
      </c>
      <c r="D626">
        <v>0</v>
      </c>
      <c r="E626">
        <v>0</v>
      </c>
      <c r="F626">
        <v>0</v>
      </c>
      <c r="G626">
        <f t="shared" si="12"/>
        <v>11.1333333333333</v>
      </c>
    </row>
    <row r="627" spans="1:7">
      <c r="A627">
        <v>635</v>
      </c>
      <c r="B627">
        <v>12306</v>
      </c>
      <c r="C627">
        <v>2151</v>
      </c>
      <c r="D627">
        <v>0</v>
      </c>
      <c r="E627">
        <v>0</v>
      </c>
      <c r="F627">
        <v>0</v>
      </c>
      <c r="G627">
        <f t="shared" si="12"/>
        <v>11.1333333333333</v>
      </c>
    </row>
    <row r="628" spans="1:7">
      <c r="A628">
        <v>636</v>
      </c>
      <c r="B628">
        <v>12306</v>
      </c>
      <c r="C628">
        <v>2152</v>
      </c>
      <c r="D628">
        <v>0</v>
      </c>
      <c r="E628">
        <v>0</v>
      </c>
      <c r="F628">
        <v>0</v>
      </c>
      <c r="G628">
        <f t="shared" si="12"/>
        <v>11.1333333333333</v>
      </c>
    </row>
    <row r="629" spans="1:7">
      <c r="A629">
        <v>637</v>
      </c>
      <c r="B629">
        <v>12306</v>
      </c>
      <c r="C629">
        <v>2153</v>
      </c>
      <c r="D629">
        <v>0</v>
      </c>
      <c r="E629">
        <v>0</v>
      </c>
      <c r="F629">
        <v>0</v>
      </c>
      <c r="G629">
        <f t="shared" si="12"/>
        <v>11.1333333333333</v>
      </c>
    </row>
    <row r="630" spans="1:7">
      <c r="A630">
        <v>638</v>
      </c>
      <c r="B630">
        <v>12306</v>
      </c>
      <c r="C630">
        <v>2154</v>
      </c>
      <c r="D630">
        <v>0</v>
      </c>
      <c r="E630">
        <v>0</v>
      </c>
      <c r="F630">
        <v>0</v>
      </c>
      <c r="G630">
        <f t="shared" si="12"/>
        <v>11.1333333333333</v>
      </c>
    </row>
    <row r="631" spans="1:7">
      <c r="A631">
        <v>639</v>
      </c>
      <c r="B631">
        <v>401230106</v>
      </c>
      <c r="C631">
        <v>2149</v>
      </c>
      <c r="D631">
        <v>0</v>
      </c>
      <c r="E631">
        <v>0</v>
      </c>
      <c r="F631">
        <v>0</v>
      </c>
      <c r="G631">
        <f t="shared" ref="G631:G636" si="13">334/30</f>
        <v>11.1333333333333</v>
      </c>
    </row>
    <row r="632" spans="1:7">
      <c r="A632">
        <v>640</v>
      </c>
      <c r="B632">
        <v>401230106</v>
      </c>
      <c r="C632">
        <v>2150</v>
      </c>
      <c r="D632">
        <v>0</v>
      </c>
      <c r="E632">
        <v>0</v>
      </c>
      <c r="F632">
        <v>0</v>
      </c>
      <c r="G632">
        <f t="shared" si="13"/>
        <v>11.1333333333333</v>
      </c>
    </row>
    <row r="633" spans="1:7">
      <c r="A633">
        <v>641</v>
      </c>
      <c r="B633">
        <v>401230106</v>
      </c>
      <c r="C633">
        <v>2151</v>
      </c>
      <c r="D633">
        <v>0</v>
      </c>
      <c r="E633">
        <v>0</v>
      </c>
      <c r="F633">
        <v>0</v>
      </c>
      <c r="G633">
        <f t="shared" si="13"/>
        <v>11.1333333333333</v>
      </c>
    </row>
    <row r="634" spans="1:7">
      <c r="A634">
        <v>642</v>
      </c>
      <c r="B634">
        <v>401230106</v>
      </c>
      <c r="C634">
        <v>2152</v>
      </c>
      <c r="D634">
        <v>0</v>
      </c>
      <c r="E634">
        <v>0</v>
      </c>
      <c r="F634">
        <v>0</v>
      </c>
      <c r="G634">
        <f t="shared" si="13"/>
        <v>11.1333333333333</v>
      </c>
    </row>
    <row r="635" spans="1:7">
      <c r="A635">
        <v>643</v>
      </c>
      <c r="B635">
        <v>401230106</v>
      </c>
      <c r="C635">
        <v>2153</v>
      </c>
      <c r="D635">
        <v>0</v>
      </c>
      <c r="E635">
        <v>0</v>
      </c>
      <c r="F635">
        <v>0</v>
      </c>
      <c r="G635">
        <f t="shared" si="13"/>
        <v>11.1333333333333</v>
      </c>
    </row>
    <row r="636" spans="1:7">
      <c r="A636">
        <v>644</v>
      </c>
      <c r="B636">
        <v>401230106</v>
      </c>
      <c r="C636">
        <v>2154</v>
      </c>
      <c r="D636">
        <v>0</v>
      </c>
      <c r="E636">
        <v>0</v>
      </c>
      <c r="F636">
        <v>0</v>
      </c>
      <c r="G636">
        <f t="shared" si="13"/>
        <v>11.1333333333333</v>
      </c>
    </row>
    <row r="637" spans="1:7">
      <c r="A637">
        <v>645</v>
      </c>
      <c r="B637">
        <v>12425</v>
      </c>
      <c r="C637">
        <v>2157</v>
      </c>
      <c r="D637">
        <v>0</v>
      </c>
      <c r="E637">
        <v>0</v>
      </c>
      <c r="F637">
        <v>0</v>
      </c>
      <c r="G637">
        <f t="shared" ref="G637:G640" si="14">156/30</f>
        <v>5.2</v>
      </c>
    </row>
    <row r="638" spans="1:7">
      <c r="A638">
        <v>646</v>
      </c>
      <c r="B638">
        <v>12425</v>
      </c>
      <c r="C638">
        <v>2161</v>
      </c>
      <c r="D638">
        <v>0</v>
      </c>
      <c r="E638">
        <v>0</v>
      </c>
      <c r="F638">
        <v>0</v>
      </c>
      <c r="G638">
        <f t="shared" si="14"/>
        <v>5.2</v>
      </c>
    </row>
    <row r="639" spans="1:7">
      <c r="A639">
        <v>647</v>
      </c>
      <c r="B639">
        <v>401240125</v>
      </c>
      <c r="C639">
        <v>2164</v>
      </c>
      <c r="D639">
        <v>0</v>
      </c>
      <c r="E639">
        <v>0</v>
      </c>
      <c r="F639">
        <v>0</v>
      </c>
      <c r="G639">
        <f t="shared" si="14"/>
        <v>5.2</v>
      </c>
    </row>
    <row r="640" spans="1:7">
      <c r="A640">
        <v>648</v>
      </c>
      <c r="B640">
        <v>401240125</v>
      </c>
      <c r="C640">
        <v>2168</v>
      </c>
      <c r="D640">
        <v>0</v>
      </c>
      <c r="E640">
        <v>0</v>
      </c>
      <c r="F640">
        <v>0</v>
      </c>
      <c r="G640">
        <f t="shared" si="14"/>
        <v>5.2</v>
      </c>
    </row>
    <row r="641" spans="1:7">
      <c r="A641">
        <v>649</v>
      </c>
      <c r="B641">
        <v>3007307</v>
      </c>
      <c r="C641">
        <v>2171</v>
      </c>
      <c r="D641">
        <v>0</v>
      </c>
      <c r="E641">
        <v>0</v>
      </c>
      <c r="F641">
        <v>0</v>
      </c>
      <c r="G641">
        <f t="shared" ref="G641:G644" si="15">450/30</f>
        <v>15</v>
      </c>
    </row>
    <row r="642" spans="1:7">
      <c r="A642">
        <v>650</v>
      </c>
      <c r="B642">
        <v>3007307</v>
      </c>
      <c r="C642">
        <v>2172</v>
      </c>
      <c r="D642">
        <v>0</v>
      </c>
      <c r="E642">
        <v>0</v>
      </c>
      <c r="F642">
        <v>0</v>
      </c>
      <c r="G642">
        <f t="shared" si="15"/>
        <v>15</v>
      </c>
    </row>
    <row r="643" spans="1:7">
      <c r="A643">
        <v>651</v>
      </c>
      <c r="B643">
        <v>12507</v>
      </c>
      <c r="C643">
        <v>2171</v>
      </c>
      <c r="D643">
        <v>0</v>
      </c>
      <c r="E643">
        <v>0</v>
      </c>
      <c r="F643">
        <v>0</v>
      </c>
      <c r="G643">
        <f t="shared" si="15"/>
        <v>15</v>
      </c>
    </row>
    <row r="644" spans="1:7">
      <c r="A644">
        <v>652</v>
      </c>
      <c r="B644">
        <v>12507</v>
      </c>
      <c r="C644">
        <v>2172</v>
      </c>
      <c r="D644">
        <v>0</v>
      </c>
      <c r="E644">
        <v>0</v>
      </c>
      <c r="F644">
        <v>0</v>
      </c>
      <c r="G644">
        <f t="shared" si="15"/>
        <v>15</v>
      </c>
    </row>
    <row r="645" spans="1:7">
      <c r="A645">
        <v>653</v>
      </c>
      <c r="B645">
        <v>12807</v>
      </c>
      <c r="C645">
        <v>2181</v>
      </c>
      <c r="D645">
        <v>0</v>
      </c>
      <c r="E645">
        <v>0</v>
      </c>
      <c r="F645">
        <v>0</v>
      </c>
      <c r="G645">
        <f>229/30</f>
        <v>7.63333333333333</v>
      </c>
    </row>
    <row r="646" s="4" customFormat="1" spans="1:7">
      <c r="A646" s="4">
        <v>654</v>
      </c>
      <c r="B646" s="4">
        <v>13008</v>
      </c>
      <c r="C646" s="4">
        <v>2183</v>
      </c>
      <c r="D646" s="4">
        <v>0</v>
      </c>
      <c r="E646" s="4">
        <v>0</v>
      </c>
      <c r="F646" s="4">
        <v>0</v>
      </c>
      <c r="G646" s="23">
        <f t="shared" ref="G646:G653" si="16">325/30</f>
        <v>10.8333333333333</v>
      </c>
    </row>
    <row r="647" s="4" customFormat="1" spans="1:7">
      <c r="A647" s="4">
        <v>655</v>
      </c>
      <c r="B647" s="4">
        <v>13008</v>
      </c>
      <c r="C647" s="4">
        <v>2184</v>
      </c>
      <c r="D647" s="4">
        <v>0</v>
      </c>
      <c r="E647" s="4">
        <v>0</v>
      </c>
      <c r="F647" s="4">
        <v>0</v>
      </c>
      <c r="G647" s="23">
        <f t="shared" si="16"/>
        <v>10.8333333333333</v>
      </c>
    </row>
    <row r="648" s="4" customFormat="1" spans="1:7">
      <c r="A648" s="4">
        <v>656</v>
      </c>
      <c r="B648" s="4">
        <v>13008</v>
      </c>
      <c r="C648" s="4">
        <v>2185</v>
      </c>
      <c r="D648" s="4">
        <v>0</v>
      </c>
      <c r="E648" s="4">
        <v>0</v>
      </c>
      <c r="F648" s="4">
        <v>0</v>
      </c>
      <c r="G648" s="23">
        <f t="shared" si="16"/>
        <v>10.8333333333333</v>
      </c>
    </row>
    <row r="649" s="4" customFormat="1" spans="1:7">
      <c r="A649" s="4">
        <v>657</v>
      </c>
      <c r="B649" s="4">
        <v>13008</v>
      </c>
      <c r="C649" s="4">
        <v>2186</v>
      </c>
      <c r="D649" s="4">
        <v>0</v>
      </c>
      <c r="E649" s="4">
        <v>0</v>
      </c>
      <c r="F649" s="4">
        <v>0</v>
      </c>
      <c r="G649" s="23">
        <f t="shared" si="16"/>
        <v>10.8333333333333</v>
      </c>
    </row>
    <row r="650" s="5" customFormat="1" spans="1:7">
      <c r="A650" s="5">
        <v>658</v>
      </c>
      <c r="B650" s="5">
        <v>401300208</v>
      </c>
      <c r="C650" s="5">
        <v>2187</v>
      </c>
      <c r="D650" s="5">
        <v>0</v>
      </c>
      <c r="E650" s="5">
        <v>0</v>
      </c>
      <c r="F650" s="5">
        <v>0</v>
      </c>
      <c r="G650" s="24">
        <f t="shared" si="16"/>
        <v>10.8333333333333</v>
      </c>
    </row>
    <row r="651" s="5" customFormat="1" spans="1:7">
      <c r="A651" s="5">
        <v>659</v>
      </c>
      <c r="B651" s="5">
        <v>401300208</v>
      </c>
      <c r="C651" s="5">
        <v>2188</v>
      </c>
      <c r="D651" s="5">
        <v>0</v>
      </c>
      <c r="E651" s="5">
        <v>0</v>
      </c>
      <c r="F651" s="5">
        <v>0</v>
      </c>
      <c r="G651" s="24">
        <f t="shared" si="16"/>
        <v>10.8333333333333</v>
      </c>
    </row>
    <row r="652" s="5" customFormat="1" spans="1:7">
      <c r="A652" s="5">
        <v>660</v>
      </c>
      <c r="B652" s="5">
        <v>401300208</v>
      </c>
      <c r="C652" s="5">
        <v>2189</v>
      </c>
      <c r="D652" s="5">
        <v>0</v>
      </c>
      <c r="E652" s="5">
        <v>0</v>
      </c>
      <c r="F652" s="5">
        <v>0</v>
      </c>
      <c r="G652" s="24">
        <f t="shared" si="16"/>
        <v>10.8333333333333</v>
      </c>
    </row>
    <row r="653" s="5" customFormat="1" spans="1:7">
      <c r="A653" s="5">
        <v>661</v>
      </c>
      <c r="B653" s="5">
        <v>401300208</v>
      </c>
      <c r="C653" s="5">
        <v>2190</v>
      </c>
      <c r="D653" s="5">
        <v>0</v>
      </c>
      <c r="E653" s="5">
        <v>0</v>
      </c>
      <c r="F653" s="5">
        <v>0</v>
      </c>
      <c r="G653" s="24">
        <f t="shared" si="16"/>
        <v>10.8333333333333</v>
      </c>
    </row>
    <row r="654" s="6" customFormat="1" spans="1:7">
      <c r="A654" s="6">
        <v>662</v>
      </c>
      <c r="B654" s="25" t="s">
        <v>187</v>
      </c>
      <c r="C654" s="6">
        <v>2192</v>
      </c>
      <c r="D654" s="6">
        <v>0</v>
      </c>
      <c r="E654" s="6">
        <v>0</v>
      </c>
      <c r="F654" s="6">
        <v>0</v>
      </c>
      <c r="G654" s="6">
        <v>15.6666666666667</v>
      </c>
    </row>
    <row r="655" s="6" customFormat="1" spans="1:7">
      <c r="A655" s="6">
        <v>663</v>
      </c>
      <c r="B655" s="25" t="s">
        <v>187</v>
      </c>
      <c r="C655" s="6">
        <v>2193</v>
      </c>
      <c r="D655" s="6">
        <v>0</v>
      </c>
      <c r="E655" s="6">
        <v>0</v>
      </c>
      <c r="F655" s="6">
        <v>0</v>
      </c>
      <c r="G655" s="6">
        <v>15.6666666666667</v>
      </c>
    </row>
    <row r="656" s="6" customFormat="1" spans="1:7">
      <c r="A656" s="6">
        <v>664</v>
      </c>
      <c r="B656" s="25" t="s">
        <v>187</v>
      </c>
      <c r="C656" s="6">
        <v>2194</v>
      </c>
      <c r="D656" s="6">
        <v>0</v>
      </c>
      <c r="E656" s="6">
        <v>0</v>
      </c>
      <c r="F656" s="6">
        <v>0</v>
      </c>
      <c r="G656" s="6">
        <v>15.6666666666667</v>
      </c>
    </row>
    <row r="657" s="6" customFormat="1" spans="1:7">
      <c r="A657" s="6">
        <v>665</v>
      </c>
      <c r="B657" s="25" t="s">
        <v>187</v>
      </c>
      <c r="C657" s="6">
        <v>2195</v>
      </c>
      <c r="D657" s="6">
        <v>0</v>
      </c>
      <c r="E657" s="6">
        <v>0</v>
      </c>
      <c r="F657" s="6">
        <v>0</v>
      </c>
      <c r="G657" s="6">
        <v>15.6666666666667</v>
      </c>
    </row>
    <row r="658" s="6" customFormat="1" spans="1:7">
      <c r="A658" s="6">
        <v>666</v>
      </c>
      <c r="B658" s="25" t="s">
        <v>187</v>
      </c>
      <c r="C658" s="6">
        <v>2196</v>
      </c>
      <c r="D658" s="6">
        <v>0</v>
      </c>
      <c r="E658" s="6">
        <v>0</v>
      </c>
      <c r="F658" s="6">
        <v>0</v>
      </c>
      <c r="G658" s="6">
        <v>15.6666666666667</v>
      </c>
    </row>
    <row r="659" s="6" customFormat="1" spans="1:7">
      <c r="A659" s="6">
        <v>667</v>
      </c>
      <c r="B659" s="25" t="s">
        <v>187</v>
      </c>
      <c r="C659" s="6">
        <v>2197</v>
      </c>
      <c r="D659" s="6">
        <v>0</v>
      </c>
      <c r="E659" s="6">
        <v>0</v>
      </c>
      <c r="F659" s="6">
        <v>0</v>
      </c>
      <c r="G659" s="6">
        <v>15.6666666666667</v>
      </c>
    </row>
    <row r="660" s="6" customFormat="1" spans="1:7">
      <c r="A660" s="6">
        <v>668</v>
      </c>
      <c r="B660" s="25" t="s">
        <v>187</v>
      </c>
      <c r="C660" s="6">
        <v>2198</v>
      </c>
      <c r="D660" s="6">
        <v>0</v>
      </c>
      <c r="E660" s="6">
        <v>0</v>
      </c>
      <c r="F660" s="6">
        <v>0</v>
      </c>
      <c r="G660" s="6">
        <v>15.6666666666667</v>
      </c>
    </row>
    <row r="661" spans="1:7">
      <c r="A661" s="5">
        <v>669</v>
      </c>
      <c r="B661" s="18">
        <v>13106</v>
      </c>
      <c r="C661" s="4">
        <v>2190</v>
      </c>
      <c r="D661" s="5">
        <v>0</v>
      </c>
      <c r="E661" s="5">
        <v>0</v>
      </c>
      <c r="F661" s="5">
        <v>0</v>
      </c>
      <c r="G661" s="4">
        <f>507/30</f>
        <v>16.9</v>
      </c>
    </row>
    <row r="662" spans="1:7">
      <c r="A662" s="5">
        <v>670</v>
      </c>
      <c r="B662" s="18">
        <v>13106</v>
      </c>
      <c r="C662" s="4">
        <v>2191</v>
      </c>
      <c r="D662" s="5">
        <v>0</v>
      </c>
      <c r="E662" s="5">
        <v>0</v>
      </c>
      <c r="F662" s="5">
        <v>0</v>
      </c>
      <c r="G662" s="4">
        <f t="shared" ref="G662:G678" si="17">507/30</f>
        <v>16.9</v>
      </c>
    </row>
    <row r="663" spans="1:7">
      <c r="A663" s="5">
        <v>671</v>
      </c>
      <c r="B663" s="18">
        <v>13106</v>
      </c>
      <c r="C663" s="4">
        <v>2192</v>
      </c>
      <c r="D663" s="5">
        <v>0</v>
      </c>
      <c r="E663" s="5">
        <v>0</v>
      </c>
      <c r="F663" s="5">
        <v>0</v>
      </c>
      <c r="G663" s="4">
        <f t="shared" si="17"/>
        <v>16.9</v>
      </c>
    </row>
    <row r="664" spans="1:7">
      <c r="A664" s="5">
        <v>672</v>
      </c>
      <c r="B664" s="18">
        <v>13106</v>
      </c>
      <c r="C664" s="4">
        <v>2193</v>
      </c>
      <c r="D664" s="5">
        <v>0</v>
      </c>
      <c r="E664" s="5">
        <v>0</v>
      </c>
      <c r="F664" s="5">
        <v>0</v>
      </c>
      <c r="G664" s="4">
        <f t="shared" si="17"/>
        <v>16.9</v>
      </c>
    </row>
    <row r="665" spans="1:7">
      <c r="A665" s="5">
        <v>673</v>
      </c>
      <c r="B665" s="18">
        <v>13106</v>
      </c>
      <c r="C665" s="4">
        <v>2194</v>
      </c>
      <c r="D665" s="5">
        <v>0</v>
      </c>
      <c r="E665" s="5">
        <v>0</v>
      </c>
      <c r="F665" s="5">
        <v>0</v>
      </c>
      <c r="G665" s="4">
        <f t="shared" si="17"/>
        <v>16.9</v>
      </c>
    </row>
    <row r="666" spans="1:7">
      <c r="A666" s="5">
        <v>674</v>
      </c>
      <c r="B666" s="18">
        <v>13106</v>
      </c>
      <c r="C666" s="4">
        <v>2195</v>
      </c>
      <c r="D666" s="5">
        <v>0</v>
      </c>
      <c r="E666" s="5">
        <v>0</v>
      </c>
      <c r="F666" s="5">
        <v>0</v>
      </c>
      <c r="G666" s="4">
        <f t="shared" si="17"/>
        <v>16.9</v>
      </c>
    </row>
    <row r="667" spans="1:7">
      <c r="A667" s="5">
        <v>675</v>
      </c>
      <c r="B667" s="18">
        <v>13106</v>
      </c>
      <c r="C667" s="4">
        <v>2196</v>
      </c>
      <c r="D667" s="5">
        <v>0</v>
      </c>
      <c r="E667" s="5">
        <v>0</v>
      </c>
      <c r="F667" s="5">
        <v>0</v>
      </c>
      <c r="G667" s="4">
        <f t="shared" si="17"/>
        <v>16.9</v>
      </c>
    </row>
    <row r="668" spans="1:7">
      <c r="A668" s="5">
        <v>676</v>
      </c>
      <c r="B668" s="18">
        <v>13106</v>
      </c>
      <c r="C668" s="4">
        <v>2197</v>
      </c>
      <c r="D668" s="5">
        <v>0</v>
      </c>
      <c r="E668" s="5">
        <v>0</v>
      </c>
      <c r="F668" s="5">
        <v>0</v>
      </c>
      <c r="G668" s="4">
        <f t="shared" si="17"/>
        <v>16.9</v>
      </c>
    </row>
    <row r="669" spans="1:7">
      <c r="A669" s="5">
        <v>677</v>
      </c>
      <c r="B669" s="18">
        <v>13106</v>
      </c>
      <c r="C669" s="4">
        <v>2198</v>
      </c>
      <c r="D669" s="5">
        <v>0</v>
      </c>
      <c r="E669" s="5">
        <v>0</v>
      </c>
      <c r="F669" s="5">
        <v>0</v>
      </c>
      <c r="G669" s="4">
        <f t="shared" si="17"/>
        <v>16.9</v>
      </c>
    </row>
    <row r="670" spans="1:7">
      <c r="A670" s="5">
        <v>678</v>
      </c>
      <c r="B670" s="19" t="s">
        <v>188</v>
      </c>
      <c r="C670" s="4">
        <v>2190</v>
      </c>
      <c r="D670" s="5">
        <v>0</v>
      </c>
      <c r="E670" s="5">
        <v>0</v>
      </c>
      <c r="F670" s="5">
        <v>0</v>
      </c>
      <c r="G670" s="4">
        <f>150/30</f>
        <v>5</v>
      </c>
    </row>
    <row r="671" spans="1:7">
      <c r="A671" s="5">
        <v>679</v>
      </c>
      <c r="B671" s="19" t="s">
        <v>188</v>
      </c>
      <c r="C671" s="4">
        <v>2191</v>
      </c>
      <c r="D671" s="5">
        <v>0</v>
      </c>
      <c r="E671" s="5">
        <v>0</v>
      </c>
      <c r="F671" s="5">
        <v>0</v>
      </c>
      <c r="G671" s="4">
        <f t="shared" ref="G671:G678" si="18">150/30</f>
        <v>5</v>
      </c>
    </row>
    <row r="672" spans="1:7">
      <c r="A672" s="5">
        <v>680</v>
      </c>
      <c r="B672" s="19" t="s">
        <v>188</v>
      </c>
      <c r="C672" s="4">
        <v>2192</v>
      </c>
      <c r="D672" s="5">
        <v>0</v>
      </c>
      <c r="E672" s="5">
        <v>0</v>
      </c>
      <c r="F672" s="5">
        <v>0</v>
      </c>
      <c r="G672" s="4">
        <f t="shared" si="18"/>
        <v>5</v>
      </c>
    </row>
    <row r="673" spans="1:7">
      <c r="A673" s="5">
        <v>681</v>
      </c>
      <c r="B673" s="19" t="s">
        <v>188</v>
      </c>
      <c r="C673" s="4">
        <v>2193</v>
      </c>
      <c r="D673" s="5">
        <v>0</v>
      </c>
      <c r="E673" s="5">
        <v>0</v>
      </c>
      <c r="F673" s="5">
        <v>0</v>
      </c>
      <c r="G673" s="4">
        <f t="shared" si="18"/>
        <v>5</v>
      </c>
    </row>
    <row r="674" spans="1:7">
      <c r="A674" s="5">
        <v>682</v>
      </c>
      <c r="B674" s="19" t="s">
        <v>188</v>
      </c>
      <c r="C674" s="4">
        <v>2194</v>
      </c>
      <c r="D674" s="5">
        <v>0</v>
      </c>
      <c r="E674" s="5">
        <v>0</v>
      </c>
      <c r="F674" s="5">
        <v>0</v>
      </c>
      <c r="G674" s="4">
        <f t="shared" si="18"/>
        <v>5</v>
      </c>
    </row>
    <row r="675" spans="1:7">
      <c r="A675" s="5">
        <v>683</v>
      </c>
      <c r="B675" s="19" t="s">
        <v>188</v>
      </c>
      <c r="C675" s="4">
        <v>2195</v>
      </c>
      <c r="D675" s="5">
        <v>0</v>
      </c>
      <c r="E675" s="5">
        <v>0</v>
      </c>
      <c r="F675" s="5">
        <v>0</v>
      </c>
      <c r="G675" s="4">
        <f t="shared" si="18"/>
        <v>5</v>
      </c>
    </row>
    <row r="676" spans="1:7">
      <c r="A676" s="5">
        <v>684</v>
      </c>
      <c r="B676" s="19" t="s">
        <v>188</v>
      </c>
      <c r="C676" s="4">
        <v>2196</v>
      </c>
      <c r="D676" s="5">
        <v>0</v>
      </c>
      <c r="E676" s="5">
        <v>0</v>
      </c>
      <c r="F676" s="5">
        <v>0</v>
      </c>
      <c r="G676" s="4">
        <f t="shared" si="18"/>
        <v>5</v>
      </c>
    </row>
    <row r="677" spans="1:7">
      <c r="A677" s="5">
        <v>685</v>
      </c>
      <c r="B677" s="19" t="s">
        <v>188</v>
      </c>
      <c r="C677" s="4">
        <v>2197</v>
      </c>
      <c r="D677" s="5">
        <v>0</v>
      </c>
      <c r="E677" s="5">
        <v>0</v>
      </c>
      <c r="F677" s="5">
        <v>0</v>
      </c>
      <c r="G677" s="4">
        <f t="shared" si="18"/>
        <v>5</v>
      </c>
    </row>
    <row r="678" spans="1:7">
      <c r="A678" s="5">
        <v>686</v>
      </c>
      <c r="B678" s="19" t="s">
        <v>188</v>
      </c>
      <c r="C678" s="4">
        <v>2198</v>
      </c>
      <c r="D678" s="5">
        <v>0</v>
      </c>
      <c r="E678" s="5">
        <v>0</v>
      </c>
      <c r="F678" s="5">
        <v>0</v>
      </c>
      <c r="G678" s="4">
        <f t="shared" si="18"/>
        <v>5</v>
      </c>
    </row>
    <row r="679" spans="1:7">
      <c r="A679" s="5">
        <v>687</v>
      </c>
      <c r="B679">
        <v>13107</v>
      </c>
      <c r="C679" s="4">
        <v>2190</v>
      </c>
      <c r="D679" s="5">
        <v>0</v>
      </c>
      <c r="E679" s="5">
        <v>0</v>
      </c>
      <c r="F679" s="5">
        <v>0</v>
      </c>
      <c r="G679" s="4">
        <f>450/30</f>
        <v>15</v>
      </c>
    </row>
    <row r="680" spans="1:7">
      <c r="A680" s="5">
        <v>688</v>
      </c>
      <c r="B680">
        <v>13107</v>
      </c>
      <c r="C680" s="4">
        <v>2191</v>
      </c>
      <c r="D680" s="5">
        <v>0</v>
      </c>
      <c r="E680" s="5">
        <v>0</v>
      </c>
      <c r="F680" s="5">
        <v>0</v>
      </c>
      <c r="G680" s="4">
        <f t="shared" ref="G680:G687" si="19">450/30</f>
        <v>15</v>
      </c>
    </row>
    <row r="681" spans="1:7">
      <c r="A681" s="5">
        <v>689</v>
      </c>
      <c r="B681">
        <v>13107</v>
      </c>
      <c r="C681" s="4">
        <v>2192</v>
      </c>
      <c r="D681" s="5">
        <v>0</v>
      </c>
      <c r="E681" s="5">
        <v>0</v>
      </c>
      <c r="F681" s="5">
        <v>0</v>
      </c>
      <c r="G681" s="4">
        <f t="shared" si="19"/>
        <v>15</v>
      </c>
    </row>
    <row r="682" spans="1:7">
      <c r="A682" s="5">
        <v>690</v>
      </c>
      <c r="B682">
        <v>13107</v>
      </c>
      <c r="C682" s="4">
        <v>2193</v>
      </c>
      <c r="D682" s="5">
        <v>0</v>
      </c>
      <c r="E682" s="5">
        <v>0</v>
      </c>
      <c r="F682" s="5">
        <v>0</v>
      </c>
      <c r="G682" s="4">
        <f t="shared" si="19"/>
        <v>15</v>
      </c>
    </row>
    <row r="683" spans="1:7">
      <c r="A683" s="5">
        <v>691</v>
      </c>
      <c r="B683">
        <v>13107</v>
      </c>
      <c r="C683" s="4">
        <v>2194</v>
      </c>
      <c r="D683" s="5">
        <v>0</v>
      </c>
      <c r="E683" s="5">
        <v>0</v>
      </c>
      <c r="F683" s="5">
        <v>0</v>
      </c>
      <c r="G683" s="4">
        <f t="shared" si="19"/>
        <v>15</v>
      </c>
    </row>
    <row r="684" spans="1:7">
      <c r="A684" s="5">
        <v>692</v>
      </c>
      <c r="B684">
        <v>13107</v>
      </c>
      <c r="C684" s="4">
        <v>2195</v>
      </c>
      <c r="D684" s="5">
        <v>0</v>
      </c>
      <c r="E684" s="5">
        <v>0</v>
      </c>
      <c r="F684" s="5">
        <v>0</v>
      </c>
      <c r="G684" s="4">
        <f t="shared" si="19"/>
        <v>15</v>
      </c>
    </row>
    <row r="685" spans="1:7">
      <c r="A685" s="5">
        <v>693</v>
      </c>
      <c r="B685">
        <v>13107</v>
      </c>
      <c r="C685" s="4">
        <v>2196</v>
      </c>
      <c r="D685" s="5">
        <v>0</v>
      </c>
      <c r="E685" s="5">
        <v>0</v>
      </c>
      <c r="F685" s="5">
        <v>0</v>
      </c>
      <c r="G685" s="4">
        <f t="shared" si="19"/>
        <v>15</v>
      </c>
    </row>
    <row r="686" spans="1:7">
      <c r="A686" s="5">
        <v>694</v>
      </c>
      <c r="B686">
        <v>13107</v>
      </c>
      <c r="C686" s="4">
        <v>2197</v>
      </c>
      <c r="D686" s="5">
        <v>0</v>
      </c>
      <c r="E686" s="5">
        <v>0</v>
      </c>
      <c r="F686" s="5">
        <v>0</v>
      </c>
      <c r="G686" s="4">
        <f t="shared" si="19"/>
        <v>15</v>
      </c>
    </row>
    <row r="687" spans="1:7">
      <c r="A687" s="5">
        <v>695</v>
      </c>
      <c r="B687">
        <v>13107</v>
      </c>
      <c r="C687" s="4">
        <v>2198</v>
      </c>
      <c r="D687" s="5">
        <v>0</v>
      </c>
      <c r="E687" s="5">
        <v>0</v>
      </c>
      <c r="F687" s="5">
        <v>0</v>
      </c>
      <c r="G687" s="4">
        <f t="shared" si="19"/>
        <v>15</v>
      </c>
    </row>
    <row r="688" customFormat="1" spans="1:7">
      <c r="A688" s="5">
        <v>696</v>
      </c>
      <c r="B688">
        <v>13201</v>
      </c>
      <c r="C688">
        <v>0</v>
      </c>
      <c r="D688">
        <v>2211</v>
      </c>
      <c r="E688">
        <v>1</v>
      </c>
      <c r="F688" s="7">
        <f>6/30</f>
        <v>0.2</v>
      </c>
      <c r="G688" s="7">
        <f>94/30</f>
        <v>3.13333333333333</v>
      </c>
    </row>
    <row r="689" customFormat="1" spans="1:7">
      <c r="A689" s="5">
        <v>697</v>
      </c>
      <c r="B689">
        <v>13201</v>
      </c>
      <c r="C689">
        <v>2212</v>
      </c>
      <c r="D689">
        <v>0</v>
      </c>
      <c r="E689">
        <v>1</v>
      </c>
      <c r="F689" s="7">
        <f>6/30</f>
        <v>0.2</v>
      </c>
      <c r="G689" s="7">
        <f>94/30</f>
        <v>3.13333333333333</v>
      </c>
    </row>
    <row r="690" customFormat="1" spans="1:7">
      <c r="A690" s="5">
        <v>698</v>
      </c>
      <c r="B690">
        <v>13201</v>
      </c>
      <c r="C690">
        <v>2213</v>
      </c>
      <c r="D690">
        <v>0</v>
      </c>
      <c r="E690">
        <v>1</v>
      </c>
      <c r="F690" s="7">
        <f>6/30</f>
        <v>0.2</v>
      </c>
      <c r="G690" s="7">
        <f>94/30</f>
        <v>3.13333333333333</v>
      </c>
    </row>
    <row r="691" customFormat="1" spans="1:7">
      <c r="A691" s="5">
        <v>699</v>
      </c>
      <c r="B691">
        <v>13201</v>
      </c>
      <c r="C691">
        <v>0</v>
      </c>
      <c r="D691">
        <v>2210</v>
      </c>
      <c r="E691">
        <v>1</v>
      </c>
      <c r="F691">
        <v>1</v>
      </c>
      <c r="G691" s="7">
        <f>40/30</f>
        <v>1.33333333333333</v>
      </c>
    </row>
    <row r="692" customFormat="1" spans="1:7">
      <c r="A692" s="5">
        <v>700</v>
      </c>
      <c r="B692">
        <v>13202</v>
      </c>
      <c r="C692">
        <v>0</v>
      </c>
      <c r="D692">
        <v>2208</v>
      </c>
      <c r="E692">
        <v>1</v>
      </c>
      <c r="F692" s="7">
        <f>61/30</f>
        <v>2.03333333333333</v>
      </c>
      <c r="G692">
        <f>115/30</f>
        <v>3.83333333333333</v>
      </c>
    </row>
    <row r="693" customFormat="1" spans="1:7">
      <c r="A693" s="5">
        <v>701</v>
      </c>
      <c r="B693">
        <v>13204</v>
      </c>
      <c r="C693">
        <v>0</v>
      </c>
      <c r="D693">
        <v>2208</v>
      </c>
      <c r="E693">
        <v>1</v>
      </c>
      <c r="F693" s="7">
        <f>60/30</f>
        <v>2</v>
      </c>
      <c r="G693" s="7">
        <f>125/30</f>
        <v>4.16666666666667</v>
      </c>
    </row>
    <row r="694" customFormat="1" spans="1:7">
      <c r="A694" s="5">
        <v>702</v>
      </c>
      <c r="B694">
        <v>13206</v>
      </c>
      <c r="C694">
        <v>2212</v>
      </c>
      <c r="D694">
        <v>0</v>
      </c>
      <c r="E694">
        <v>0</v>
      </c>
      <c r="F694">
        <v>0</v>
      </c>
      <c r="G694">
        <v>16</v>
      </c>
    </row>
    <row r="695" customFormat="1" spans="1:7">
      <c r="A695" s="5">
        <v>703</v>
      </c>
      <c r="B695">
        <v>13206</v>
      </c>
      <c r="C695">
        <v>2213</v>
      </c>
      <c r="D695">
        <v>0</v>
      </c>
      <c r="E695">
        <v>0</v>
      </c>
      <c r="F695">
        <v>0</v>
      </c>
      <c r="G695">
        <v>16</v>
      </c>
    </row>
    <row r="696" customFormat="1" spans="1:7">
      <c r="A696" s="5">
        <v>704</v>
      </c>
      <c r="B696">
        <v>13206</v>
      </c>
      <c r="C696">
        <v>2214</v>
      </c>
      <c r="D696">
        <v>0</v>
      </c>
      <c r="E696">
        <v>0</v>
      </c>
      <c r="F696">
        <v>0</v>
      </c>
      <c r="G696">
        <v>16</v>
      </c>
    </row>
    <row r="697" customFormat="1" spans="1:7">
      <c r="A697" s="5">
        <v>705</v>
      </c>
      <c r="B697">
        <v>13206</v>
      </c>
      <c r="C697">
        <v>2215</v>
      </c>
      <c r="D697">
        <v>0</v>
      </c>
      <c r="E697">
        <v>0</v>
      </c>
      <c r="F697">
        <v>0</v>
      </c>
      <c r="G697">
        <v>16</v>
      </c>
    </row>
    <row r="698" customFormat="1" spans="1:7">
      <c r="A698" s="5">
        <v>706</v>
      </c>
      <c r="B698">
        <v>13206</v>
      </c>
      <c r="C698">
        <v>2216</v>
      </c>
      <c r="D698">
        <v>0</v>
      </c>
      <c r="E698">
        <v>0</v>
      </c>
      <c r="F698">
        <v>0</v>
      </c>
      <c r="G698">
        <v>16</v>
      </c>
    </row>
    <row r="699" spans="1:7">
      <c r="A699" s="5">
        <v>707</v>
      </c>
      <c r="B699">
        <v>13203</v>
      </c>
      <c r="C699">
        <v>2213</v>
      </c>
      <c r="D699">
        <v>0</v>
      </c>
      <c r="E699">
        <v>1</v>
      </c>
      <c r="F699" s="7">
        <f>17/30</f>
        <v>0.566666666666667</v>
      </c>
      <c r="G699" s="7">
        <f>69/30</f>
        <v>2.3</v>
      </c>
    </row>
    <row r="700" spans="1:7">
      <c r="A700" s="5">
        <v>708</v>
      </c>
      <c r="B700">
        <v>13205</v>
      </c>
      <c r="C700">
        <v>2212</v>
      </c>
      <c r="D700">
        <v>0</v>
      </c>
      <c r="E700">
        <v>0</v>
      </c>
      <c r="F700">
        <v>0</v>
      </c>
      <c r="G700">
        <v>8.466666</v>
      </c>
    </row>
    <row r="701" spans="1:7">
      <c r="A701" s="5">
        <v>709</v>
      </c>
      <c r="B701">
        <v>13205</v>
      </c>
      <c r="C701">
        <v>2213</v>
      </c>
      <c r="D701">
        <v>0</v>
      </c>
      <c r="E701">
        <v>0</v>
      </c>
      <c r="F701">
        <v>0</v>
      </c>
      <c r="G701">
        <v>8.466666</v>
      </c>
    </row>
    <row r="702" spans="1:7">
      <c r="A702" s="5">
        <v>710</v>
      </c>
      <c r="B702">
        <v>13205</v>
      </c>
      <c r="C702">
        <v>2214</v>
      </c>
      <c r="D702">
        <v>0</v>
      </c>
      <c r="E702">
        <v>0</v>
      </c>
      <c r="F702">
        <v>0</v>
      </c>
      <c r="G702">
        <v>8.466666</v>
      </c>
    </row>
    <row r="703" spans="1:7">
      <c r="A703" s="5">
        <v>711</v>
      </c>
      <c r="B703">
        <v>13205</v>
      </c>
      <c r="C703">
        <v>2215</v>
      </c>
      <c r="D703">
        <v>0</v>
      </c>
      <c r="E703">
        <v>0</v>
      </c>
      <c r="F703">
        <v>0</v>
      </c>
      <c r="G703">
        <v>8.466666</v>
      </c>
    </row>
    <row r="704" spans="1:7">
      <c r="A704" s="5">
        <v>712</v>
      </c>
      <c r="B704">
        <v>13205</v>
      </c>
      <c r="C704">
        <v>2216</v>
      </c>
      <c r="D704">
        <v>0</v>
      </c>
      <c r="E704">
        <v>0</v>
      </c>
      <c r="F704">
        <v>0</v>
      </c>
      <c r="G704">
        <v>8.466666</v>
      </c>
    </row>
    <row r="705" spans="1:7">
      <c r="A705" s="5">
        <v>713</v>
      </c>
      <c r="B705">
        <v>3008203</v>
      </c>
      <c r="C705" s="7">
        <v>2217</v>
      </c>
      <c r="D705">
        <v>0</v>
      </c>
      <c r="E705">
        <v>0</v>
      </c>
      <c r="F705">
        <v>0</v>
      </c>
      <c r="G705">
        <f>291/30</f>
        <v>9.7</v>
      </c>
    </row>
    <row r="706" spans="1:7">
      <c r="A706" s="5">
        <v>714</v>
      </c>
      <c r="B706">
        <v>3008203</v>
      </c>
      <c r="C706" s="7">
        <v>2218</v>
      </c>
      <c r="D706">
        <v>0</v>
      </c>
      <c r="E706">
        <v>0</v>
      </c>
      <c r="F706">
        <v>0</v>
      </c>
      <c r="G706">
        <f t="shared" ref="G706:G712" si="20">291/30</f>
        <v>9.7</v>
      </c>
    </row>
    <row r="707" spans="1:7">
      <c r="A707" s="5">
        <v>715</v>
      </c>
      <c r="B707">
        <v>3008203</v>
      </c>
      <c r="C707" s="7">
        <v>2219</v>
      </c>
      <c r="D707">
        <v>0</v>
      </c>
      <c r="E707">
        <v>0</v>
      </c>
      <c r="F707">
        <v>0</v>
      </c>
      <c r="G707">
        <f t="shared" si="20"/>
        <v>9.7</v>
      </c>
    </row>
    <row r="708" spans="1:7">
      <c r="A708" s="5">
        <v>716</v>
      </c>
      <c r="B708">
        <v>3008203</v>
      </c>
      <c r="C708" s="7">
        <v>2220</v>
      </c>
      <c r="D708">
        <v>0</v>
      </c>
      <c r="E708">
        <v>0</v>
      </c>
      <c r="F708">
        <v>0</v>
      </c>
      <c r="G708">
        <f t="shared" si="20"/>
        <v>9.7</v>
      </c>
    </row>
    <row r="709" spans="1:7">
      <c r="A709" s="5">
        <v>717</v>
      </c>
      <c r="B709">
        <v>3008203</v>
      </c>
      <c r="C709" s="7">
        <v>2221</v>
      </c>
      <c r="D709">
        <v>0</v>
      </c>
      <c r="E709">
        <v>0</v>
      </c>
      <c r="F709">
        <v>0</v>
      </c>
      <c r="G709">
        <f t="shared" si="20"/>
        <v>9.7</v>
      </c>
    </row>
    <row r="710" spans="1:7">
      <c r="A710" s="5">
        <v>718</v>
      </c>
      <c r="B710">
        <v>3008203</v>
      </c>
      <c r="C710" s="7">
        <v>2222</v>
      </c>
      <c r="D710">
        <v>0</v>
      </c>
      <c r="E710">
        <v>0</v>
      </c>
      <c r="F710">
        <v>0</v>
      </c>
      <c r="G710">
        <f t="shared" si="20"/>
        <v>9.7</v>
      </c>
    </row>
    <row r="711" spans="1:7">
      <c r="A711" s="5">
        <v>719</v>
      </c>
      <c r="B711">
        <v>3008203</v>
      </c>
      <c r="C711" s="7">
        <v>2223</v>
      </c>
      <c r="D711">
        <v>0</v>
      </c>
      <c r="E711">
        <v>0</v>
      </c>
      <c r="F711">
        <v>0</v>
      </c>
      <c r="G711">
        <f t="shared" si="20"/>
        <v>9.7</v>
      </c>
    </row>
    <row r="712" spans="1:7">
      <c r="A712" s="5">
        <v>720</v>
      </c>
      <c r="B712">
        <v>3008203</v>
      </c>
      <c r="C712" s="7">
        <v>2224</v>
      </c>
      <c r="D712">
        <v>0</v>
      </c>
      <c r="E712">
        <v>0</v>
      </c>
      <c r="F712">
        <v>0</v>
      </c>
      <c r="G712">
        <f t="shared" si="20"/>
        <v>9.7</v>
      </c>
    </row>
    <row r="713" spans="1:7">
      <c r="A713" s="5">
        <v>721</v>
      </c>
      <c r="B713" s="19" t="s">
        <v>189</v>
      </c>
      <c r="C713" s="2">
        <v>0</v>
      </c>
      <c r="D713" s="2">
        <v>2228</v>
      </c>
      <c r="E713" s="2">
        <v>1</v>
      </c>
      <c r="F713" s="2">
        <f t="shared" ref="F713:F715" si="21">6/30</f>
        <v>0.2</v>
      </c>
      <c r="G713" s="2">
        <f t="shared" ref="G713:G715" si="22">94/30</f>
        <v>3.13333333333333</v>
      </c>
    </row>
    <row r="714" spans="1:7">
      <c r="A714" s="5">
        <v>722</v>
      </c>
      <c r="B714" s="19" t="s">
        <v>189</v>
      </c>
      <c r="C714" s="2">
        <v>2229</v>
      </c>
      <c r="D714" s="2">
        <v>0</v>
      </c>
      <c r="E714" s="2">
        <v>1</v>
      </c>
      <c r="F714" s="2">
        <f t="shared" si="21"/>
        <v>0.2</v>
      </c>
      <c r="G714" s="2">
        <f t="shared" si="22"/>
        <v>3.13333333333333</v>
      </c>
    </row>
    <row r="715" spans="1:7">
      <c r="A715" s="5">
        <v>723</v>
      </c>
      <c r="B715" s="19" t="s">
        <v>189</v>
      </c>
      <c r="C715" s="2">
        <v>2230</v>
      </c>
      <c r="D715" s="2">
        <v>0</v>
      </c>
      <c r="E715" s="2">
        <v>1</v>
      </c>
      <c r="F715" s="2">
        <f t="shared" si="21"/>
        <v>0.2</v>
      </c>
      <c r="G715" s="2">
        <f t="shared" si="22"/>
        <v>3.13333333333333</v>
      </c>
    </row>
    <row r="716" spans="1:7">
      <c r="A716" s="5">
        <v>724</v>
      </c>
      <c r="B716" s="19" t="s">
        <v>189</v>
      </c>
      <c r="C716" s="2">
        <v>0</v>
      </c>
      <c r="D716" s="2">
        <v>2227</v>
      </c>
      <c r="E716" s="2">
        <v>1</v>
      </c>
      <c r="F716" s="2">
        <v>1</v>
      </c>
      <c r="G716" s="2">
        <f>40/30</f>
        <v>1.33333333333333</v>
      </c>
    </row>
    <row r="717" spans="1:7">
      <c r="A717" s="5">
        <v>725</v>
      </c>
      <c r="B717" s="19" t="s">
        <v>190</v>
      </c>
      <c r="C717" s="2">
        <v>0</v>
      </c>
      <c r="D717" s="2">
        <v>2225</v>
      </c>
      <c r="E717" s="2">
        <v>1</v>
      </c>
      <c r="F717" s="2">
        <f>61/30</f>
        <v>2.03333333333333</v>
      </c>
      <c r="G717" s="2">
        <f>115/30</f>
        <v>3.83333333333333</v>
      </c>
    </row>
    <row r="718" spans="1:7">
      <c r="A718" s="5">
        <v>726</v>
      </c>
      <c r="B718" s="19" t="s">
        <v>191</v>
      </c>
      <c r="C718" s="2">
        <v>0</v>
      </c>
      <c r="D718" s="2">
        <v>2225</v>
      </c>
      <c r="E718" s="2">
        <v>1</v>
      </c>
      <c r="F718" s="2">
        <f>60/30</f>
        <v>2</v>
      </c>
      <c r="G718" s="2">
        <f>125/30</f>
        <v>4.16666666666667</v>
      </c>
    </row>
    <row r="719" spans="1:7">
      <c r="A719" s="5">
        <v>727</v>
      </c>
      <c r="B719" s="19" t="s">
        <v>192</v>
      </c>
      <c r="C719" s="2">
        <v>2229</v>
      </c>
      <c r="D719" s="2">
        <v>0</v>
      </c>
      <c r="E719" s="2">
        <v>0</v>
      </c>
      <c r="F719" s="2">
        <v>0</v>
      </c>
      <c r="G719" s="2">
        <v>16</v>
      </c>
    </row>
    <row r="720" spans="1:7">
      <c r="A720" s="5">
        <v>728</v>
      </c>
      <c r="B720" s="19" t="s">
        <v>192</v>
      </c>
      <c r="C720" s="2">
        <v>2230</v>
      </c>
      <c r="D720" s="2">
        <v>0</v>
      </c>
      <c r="E720" s="2">
        <v>0</v>
      </c>
      <c r="F720" s="2">
        <v>0</v>
      </c>
      <c r="G720" s="2">
        <v>16</v>
      </c>
    </row>
    <row r="721" spans="1:7">
      <c r="A721" s="5">
        <v>729</v>
      </c>
      <c r="B721" s="19" t="s">
        <v>192</v>
      </c>
      <c r="C721" s="2">
        <v>2231</v>
      </c>
      <c r="D721" s="2">
        <v>0</v>
      </c>
      <c r="E721" s="2">
        <v>0</v>
      </c>
      <c r="F721" s="2">
        <v>0</v>
      </c>
      <c r="G721" s="2">
        <v>16</v>
      </c>
    </row>
    <row r="722" spans="1:7">
      <c r="A722" s="5">
        <v>730</v>
      </c>
      <c r="B722" s="19" t="s">
        <v>192</v>
      </c>
      <c r="C722" s="2">
        <v>2233</v>
      </c>
      <c r="D722" s="2">
        <v>0</v>
      </c>
      <c r="E722" s="2">
        <v>0</v>
      </c>
      <c r="F722" s="2">
        <v>0</v>
      </c>
      <c r="G722" s="2">
        <v>16</v>
      </c>
    </row>
    <row r="723" spans="1:7">
      <c r="A723" s="5">
        <v>731</v>
      </c>
      <c r="B723" s="19" t="s">
        <v>192</v>
      </c>
      <c r="C723" s="2">
        <v>2232</v>
      </c>
      <c r="D723" s="2">
        <v>0</v>
      </c>
      <c r="E723" s="2">
        <v>0</v>
      </c>
      <c r="F723" s="2">
        <v>0</v>
      </c>
      <c r="G723" s="2">
        <v>16</v>
      </c>
    </row>
    <row r="724" spans="1:7">
      <c r="A724" s="5">
        <v>732</v>
      </c>
      <c r="B724" s="19" t="s">
        <v>193</v>
      </c>
      <c r="C724" s="2">
        <v>2230</v>
      </c>
      <c r="D724" s="2">
        <v>0</v>
      </c>
      <c r="E724" s="2">
        <v>1</v>
      </c>
      <c r="F724" s="2">
        <f>17/30</f>
        <v>0.566666666666667</v>
      </c>
      <c r="G724" s="2">
        <f>69/30</f>
        <v>2.3</v>
      </c>
    </row>
    <row r="725" spans="1:7">
      <c r="A725" s="5">
        <v>733</v>
      </c>
      <c r="B725" s="19" t="s">
        <v>194</v>
      </c>
      <c r="C725" s="2">
        <v>2229</v>
      </c>
      <c r="D725" s="2">
        <v>0</v>
      </c>
      <c r="E725" s="2">
        <v>0</v>
      </c>
      <c r="F725" s="2">
        <v>0</v>
      </c>
      <c r="G725" s="2">
        <v>8.466666</v>
      </c>
    </row>
    <row r="726" spans="1:7">
      <c r="A726" s="5">
        <v>734</v>
      </c>
      <c r="B726" s="19" t="s">
        <v>194</v>
      </c>
      <c r="C726" s="2">
        <v>2230</v>
      </c>
      <c r="D726" s="2">
        <v>0</v>
      </c>
      <c r="E726" s="2">
        <v>0</v>
      </c>
      <c r="F726" s="2">
        <v>0</v>
      </c>
      <c r="G726" s="2">
        <v>8.466666</v>
      </c>
    </row>
    <row r="727" spans="1:7">
      <c r="A727" s="5">
        <v>735</v>
      </c>
      <c r="B727" s="19" t="s">
        <v>194</v>
      </c>
      <c r="C727" s="2">
        <v>2231</v>
      </c>
      <c r="D727" s="2">
        <v>0</v>
      </c>
      <c r="E727" s="2">
        <v>0</v>
      </c>
      <c r="F727" s="2">
        <v>0</v>
      </c>
      <c r="G727" s="2">
        <v>8.466666</v>
      </c>
    </row>
    <row r="728" spans="1:7">
      <c r="A728" s="5">
        <v>736</v>
      </c>
      <c r="B728" s="19" t="s">
        <v>194</v>
      </c>
      <c r="C728" s="2">
        <v>2233</v>
      </c>
      <c r="D728" s="2">
        <v>0</v>
      </c>
      <c r="E728" s="2">
        <v>0</v>
      </c>
      <c r="F728" s="2">
        <v>0</v>
      </c>
      <c r="G728" s="2">
        <v>8.466666</v>
      </c>
    </row>
    <row r="729" spans="1:7">
      <c r="A729" s="5">
        <v>737</v>
      </c>
      <c r="B729" s="19" t="s">
        <v>194</v>
      </c>
      <c r="C729" s="2">
        <v>2232</v>
      </c>
      <c r="D729" s="2">
        <v>0</v>
      </c>
      <c r="E729" s="2">
        <v>0</v>
      </c>
      <c r="F729" s="2">
        <v>0</v>
      </c>
      <c r="G729" s="2">
        <v>8.466666</v>
      </c>
    </row>
    <row r="730" spans="1:7">
      <c r="A730" s="5">
        <v>738</v>
      </c>
      <c r="B730">
        <v>13401</v>
      </c>
      <c r="C730">
        <v>0</v>
      </c>
      <c r="D730">
        <v>2234</v>
      </c>
      <c r="E730">
        <v>1</v>
      </c>
      <c r="F730" s="2">
        <f>9/30</f>
        <v>0.3</v>
      </c>
      <c r="G730" s="2">
        <f>44/30</f>
        <v>1.46666666666667</v>
      </c>
    </row>
    <row r="731" spans="1:7">
      <c r="A731" s="5">
        <v>739</v>
      </c>
      <c r="B731">
        <v>13401</v>
      </c>
      <c r="C731">
        <v>0</v>
      </c>
      <c r="D731">
        <v>2235</v>
      </c>
      <c r="E731">
        <v>1</v>
      </c>
      <c r="F731" s="2">
        <f>18/30</f>
        <v>0.6</v>
      </c>
      <c r="G731" s="2">
        <f>27/30</f>
        <v>0.9</v>
      </c>
    </row>
    <row r="732" spans="1:7">
      <c r="A732" s="5">
        <v>740</v>
      </c>
      <c r="B732">
        <v>13402</v>
      </c>
      <c r="C732">
        <v>0</v>
      </c>
      <c r="D732">
        <v>2234</v>
      </c>
      <c r="E732">
        <v>1</v>
      </c>
      <c r="F732" s="2">
        <f>6/30</f>
        <v>0.2</v>
      </c>
      <c r="G732" s="2">
        <f>42/30</f>
        <v>1.4</v>
      </c>
    </row>
    <row r="733" spans="1:7">
      <c r="A733" s="5">
        <v>741</v>
      </c>
      <c r="B733">
        <v>13402</v>
      </c>
      <c r="C733">
        <v>0</v>
      </c>
      <c r="D733">
        <v>2235</v>
      </c>
      <c r="E733">
        <v>1</v>
      </c>
      <c r="F733" s="2">
        <f>6/30</f>
        <v>0.2</v>
      </c>
      <c r="G733" s="2">
        <f>42/30</f>
        <v>1.4</v>
      </c>
    </row>
    <row r="734" spans="1:7">
      <c r="A734" s="5">
        <v>742</v>
      </c>
      <c r="B734">
        <v>13403</v>
      </c>
      <c r="C734">
        <v>0</v>
      </c>
      <c r="D734">
        <v>2234</v>
      </c>
      <c r="E734">
        <v>1</v>
      </c>
      <c r="F734" s="2">
        <f>21/30</f>
        <v>0.7</v>
      </c>
      <c r="G734" s="2">
        <f>60/30</f>
        <v>2</v>
      </c>
    </row>
    <row r="735" spans="1:7">
      <c r="A735" s="5">
        <v>743</v>
      </c>
      <c r="B735">
        <v>13403</v>
      </c>
      <c r="C735">
        <v>0</v>
      </c>
      <c r="D735">
        <v>2235</v>
      </c>
      <c r="E735">
        <v>1</v>
      </c>
      <c r="F735" s="2">
        <f>21/30</f>
        <v>0.7</v>
      </c>
      <c r="G735" s="2">
        <f>60/30</f>
        <v>2</v>
      </c>
    </row>
    <row r="736" spans="1:7">
      <c r="A736" s="5">
        <v>744</v>
      </c>
      <c r="B736">
        <v>13404</v>
      </c>
      <c r="C736">
        <v>0</v>
      </c>
      <c r="D736">
        <v>2235</v>
      </c>
      <c r="E736">
        <v>1</v>
      </c>
      <c r="F736" s="2">
        <f>4/30</f>
        <v>0.133333333333333</v>
      </c>
      <c r="G736" s="2">
        <f>60/30</f>
        <v>2</v>
      </c>
    </row>
    <row r="737" spans="1:7">
      <c r="A737" s="5">
        <v>745</v>
      </c>
      <c r="B737">
        <v>13405</v>
      </c>
      <c r="C737">
        <v>0</v>
      </c>
      <c r="D737">
        <v>2235</v>
      </c>
      <c r="E737">
        <v>1</v>
      </c>
      <c r="F737" s="2">
        <f>15/30</f>
        <v>0.5</v>
      </c>
      <c r="G737" s="2">
        <f>69/30</f>
        <v>2.3</v>
      </c>
    </row>
    <row r="738" spans="1:7">
      <c r="A738" s="5">
        <v>746</v>
      </c>
      <c r="B738">
        <v>13407</v>
      </c>
      <c r="C738">
        <v>0</v>
      </c>
      <c r="D738">
        <v>2234</v>
      </c>
      <c r="E738">
        <v>1</v>
      </c>
      <c r="F738" s="2">
        <f>87/30</f>
        <v>2.9</v>
      </c>
      <c r="G738" s="26">
        <v>9.5</v>
      </c>
    </row>
    <row r="739" spans="1:7">
      <c r="A739" s="5">
        <v>747</v>
      </c>
      <c r="B739">
        <v>13406</v>
      </c>
      <c r="C739" s="27">
        <v>2238</v>
      </c>
      <c r="D739">
        <v>0</v>
      </c>
      <c r="E739">
        <v>0</v>
      </c>
      <c r="F739">
        <v>0</v>
      </c>
      <c r="G739">
        <v>14.33333</v>
      </c>
    </row>
    <row r="740" spans="1:7">
      <c r="A740" s="5">
        <v>748</v>
      </c>
      <c r="B740">
        <v>13406</v>
      </c>
      <c r="C740" s="27">
        <v>2239</v>
      </c>
      <c r="D740">
        <v>0</v>
      </c>
      <c r="E740">
        <v>0</v>
      </c>
      <c r="F740">
        <v>0</v>
      </c>
      <c r="G740">
        <v>14.33333</v>
      </c>
    </row>
    <row r="741" spans="1:7">
      <c r="A741" s="5">
        <v>749</v>
      </c>
      <c r="B741">
        <v>13408</v>
      </c>
      <c r="C741" s="27">
        <v>2238</v>
      </c>
      <c r="D741">
        <v>0</v>
      </c>
      <c r="E741">
        <v>0</v>
      </c>
      <c r="F741">
        <v>0</v>
      </c>
      <c r="G741">
        <v>15.9</v>
      </c>
    </row>
    <row r="742" spans="1:7">
      <c r="A742" s="5">
        <v>750</v>
      </c>
      <c r="B742">
        <v>13408</v>
      </c>
      <c r="C742" s="27">
        <v>2239</v>
      </c>
      <c r="D742">
        <v>0</v>
      </c>
      <c r="E742">
        <v>0</v>
      </c>
      <c r="F742">
        <v>0</v>
      </c>
      <c r="G742">
        <v>15.9</v>
      </c>
    </row>
    <row r="743" spans="1:7">
      <c r="A743" s="5">
        <v>751</v>
      </c>
      <c r="B743">
        <v>401340101</v>
      </c>
      <c r="C743">
        <v>0</v>
      </c>
      <c r="D743">
        <v>2240</v>
      </c>
      <c r="E743">
        <v>1</v>
      </c>
      <c r="F743" s="2">
        <f>9/30</f>
        <v>0.3</v>
      </c>
      <c r="G743" s="2">
        <f>50/30</f>
        <v>1.66666666666667</v>
      </c>
    </row>
    <row r="744" spans="1:7">
      <c r="A744" s="5">
        <v>752</v>
      </c>
      <c r="B744">
        <v>401340101</v>
      </c>
      <c r="C744">
        <v>0</v>
      </c>
      <c r="D744">
        <v>2241</v>
      </c>
      <c r="E744">
        <v>1</v>
      </c>
      <c r="F744" s="2">
        <f>18/30</f>
        <v>0.6</v>
      </c>
      <c r="G744" s="2">
        <f>28/30</f>
        <v>0.933333333333333</v>
      </c>
    </row>
    <row r="745" spans="1:7">
      <c r="A745" s="5">
        <v>753</v>
      </c>
      <c r="B745">
        <v>401340102</v>
      </c>
      <c r="C745">
        <v>0</v>
      </c>
      <c r="D745">
        <v>2240</v>
      </c>
      <c r="E745">
        <v>1</v>
      </c>
      <c r="F745" s="2">
        <f>6/30</f>
        <v>0.2</v>
      </c>
      <c r="G745" s="2">
        <f>42/30</f>
        <v>1.4</v>
      </c>
    </row>
    <row r="746" spans="1:7">
      <c r="A746" s="5">
        <v>754</v>
      </c>
      <c r="B746">
        <v>401340102</v>
      </c>
      <c r="C746">
        <v>0</v>
      </c>
      <c r="D746">
        <v>2241</v>
      </c>
      <c r="E746">
        <v>1</v>
      </c>
      <c r="F746" s="2">
        <f>6/30</f>
        <v>0.2</v>
      </c>
      <c r="G746" s="2">
        <f>42/30</f>
        <v>1.4</v>
      </c>
    </row>
    <row r="747" spans="1:7">
      <c r="A747" s="5">
        <v>755</v>
      </c>
      <c r="B747">
        <v>401340103</v>
      </c>
      <c r="C747">
        <v>0</v>
      </c>
      <c r="D747">
        <v>2240</v>
      </c>
      <c r="E747">
        <v>1</v>
      </c>
      <c r="F747" s="2">
        <f>21/30</f>
        <v>0.7</v>
      </c>
      <c r="G747" s="2">
        <f t="shared" ref="G747:G749" si="23">60/30</f>
        <v>2</v>
      </c>
    </row>
    <row r="748" spans="1:7">
      <c r="A748" s="5">
        <v>756</v>
      </c>
      <c r="B748">
        <v>401340103</v>
      </c>
      <c r="C748">
        <v>0</v>
      </c>
      <c r="D748">
        <v>2241</v>
      </c>
      <c r="E748">
        <v>1</v>
      </c>
      <c r="F748" s="2">
        <f>21/30</f>
        <v>0.7</v>
      </c>
      <c r="G748" s="2">
        <f t="shared" si="23"/>
        <v>2</v>
      </c>
    </row>
    <row r="749" spans="1:7">
      <c r="A749" s="5">
        <v>757</v>
      </c>
      <c r="B749">
        <v>401340104</v>
      </c>
      <c r="C749">
        <v>0</v>
      </c>
      <c r="D749">
        <v>2241</v>
      </c>
      <c r="E749">
        <v>1</v>
      </c>
      <c r="F749" s="2">
        <f>4/30</f>
        <v>0.133333333333333</v>
      </c>
      <c r="G749" s="2">
        <f t="shared" si="23"/>
        <v>2</v>
      </c>
    </row>
    <row r="750" spans="1:7">
      <c r="A750" s="5">
        <v>758</v>
      </c>
      <c r="B750">
        <v>401340105</v>
      </c>
      <c r="C750">
        <v>0</v>
      </c>
      <c r="D750">
        <v>2241</v>
      </c>
      <c r="E750">
        <v>1</v>
      </c>
      <c r="F750" s="2">
        <f>15/30</f>
        <v>0.5</v>
      </c>
      <c r="G750" s="2">
        <f>69/30</f>
        <v>2.3</v>
      </c>
    </row>
    <row r="751" spans="1:7">
      <c r="A751" s="5">
        <v>759</v>
      </c>
      <c r="B751">
        <v>401340107</v>
      </c>
      <c r="C751">
        <v>0</v>
      </c>
      <c r="D751">
        <v>2240</v>
      </c>
      <c r="E751">
        <v>1</v>
      </c>
      <c r="F751" s="2">
        <f>87/30</f>
        <v>2.9</v>
      </c>
      <c r="G751" s="26">
        <v>9.5</v>
      </c>
    </row>
    <row r="752" spans="1:7">
      <c r="A752" s="5">
        <v>760</v>
      </c>
      <c r="B752">
        <v>401340106</v>
      </c>
      <c r="C752" s="28">
        <v>2244</v>
      </c>
      <c r="D752">
        <v>0</v>
      </c>
      <c r="E752">
        <v>0</v>
      </c>
      <c r="F752">
        <v>0</v>
      </c>
      <c r="G752">
        <v>14.33333</v>
      </c>
    </row>
    <row r="753" spans="1:7">
      <c r="A753" s="5">
        <v>761</v>
      </c>
      <c r="B753">
        <v>401340106</v>
      </c>
      <c r="C753" s="28">
        <v>2245</v>
      </c>
      <c r="D753">
        <v>0</v>
      </c>
      <c r="E753">
        <v>0</v>
      </c>
      <c r="F753">
        <v>0</v>
      </c>
      <c r="G753">
        <v>14.33333</v>
      </c>
    </row>
    <row r="754" s="7" customFormat="1" spans="1:7">
      <c r="A754" s="7">
        <v>762</v>
      </c>
      <c r="B754" s="7">
        <v>3008309</v>
      </c>
      <c r="C754" s="7">
        <v>2246</v>
      </c>
      <c r="D754" s="7">
        <v>0</v>
      </c>
      <c r="E754" s="7">
        <v>0</v>
      </c>
      <c r="F754" s="7">
        <v>0</v>
      </c>
      <c r="G754" s="4">
        <f t="shared" ref="G754:G759" si="24">450/30</f>
        <v>15</v>
      </c>
    </row>
    <row r="755" s="7" customFormat="1" spans="1:7">
      <c r="A755" s="7">
        <v>763</v>
      </c>
      <c r="B755" s="7">
        <v>3008309</v>
      </c>
      <c r="C755" s="7">
        <v>2247</v>
      </c>
      <c r="D755" s="7">
        <v>0</v>
      </c>
      <c r="E755" s="7">
        <v>0</v>
      </c>
      <c r="F755" s="7">
        <v>0</v>
      </c>
      <c r="G755" s="4">
        <f t="shared" si="24"/>
        <v>15</v>
      </c>
    </row>
    <row r="756" s="7" customFormat="1" spans="1:7">
      <c r="A756" s="7">
        <v>764</v>
      </c>
      <c r="B756" s="7">
        <v>3008309</v>
      </c>
      <c r="C756" s="7">
        <v>2248</v>
      </c>
      <c r="D756" s="7">
        <v>0</v>
      </c>
      <c r="E756" s="7">
        <v>0</v>
      </c>
      <c r="F756" s="7">
        <v>0</v>
      </c>
      <c r="G756" s="4">
        <f t="shared" si="24"/>
        <v>15</v>
      </c>
    </row>
    <row r="757" s="7" customFormat="1" spans="1:7">
      <c r="A757" s="7">
        <v>765</v>
      </c>
      <c r="B757" s="7">
        <v>3008309</v>
      </c>
      <c r="C757" s="7">
        <v>2249</v>
      </c>
      <c r="D757" s="7">
        <v>0</v>
      </c>
      <c r="E757" s="7">
        <v>0</v>
      </c>
      <c r="F757" s="7">
        <v>0</v>
      </c>
      <c r="G757" s="4">
        <f t="shared" si="24"/>
        <v>15</v>
      </c>
    </row>
    <row r="758" s="7" customFormat="1" spans="1:7">
      <c r="A758" s="7">
        <v>766</v>
      </c>
      <c r="B758" s="7">
        <v>3008309</v>
      </c>
      <c r="C758" s="7">
        <v>2250</v>
      </c>
      <c r="D758" s="7">
        <v>0</v>
      </c>
      <c r="E758" s="7">
        <v>0</v>
      </c>
      <c r="F758" s="7">
        <v>0</v>
      </c>
      <c r="G758" s="4">
        <f t="shared" si="24"/>
        <v>15</v>
      </c>
    </row>
    <row r="759" s="7" customFormat="1" spans="1:7">
      <c r="A759" s="7">
        <v>767</v>
      </c>
      <c r="B759" s="7">
        <v>3008309</v>
      </c>
      <c r="C759" s="7">
        <v>2251</v>
      </c>
      <c r="D759" s="7">
        <v>0</v>
      </c>
      <c r="E759" s="7">
        <v>0</v>
      </c>
      <c r="F759" s="7">
        <v>0</v>
      </c>
      <c r="G759" s="4">
        <f t="shared" si="24"/>
        <v>15</v>
      </c>
    </row>
    <row r="760" spans="1:7">
      <c r="A760" s="7">
        <v>768</v>
      </c>
      <c r="B760">
        <v>13506</v>
      </c>
      <c r="C760" s="28">
        <v>2252</v>
      </c>
      <c r="D760" s="7">
        <v>0</v>
      </c>
      <c r="E760" s="7">
        <v>0</v>
      </c>
      <c r="F760" s="7">
        <v>0</v>
      </c>
      <c r="G760" s="4">
        <f t="shared" ref="G760:G777" si="25">450/30</f>
        <v>15</v>
      </c>
    </row>
    <row r="761" spans="1:7">
      <c r="A761" s="7">
        <v>769</v>
      </c>
      <c r="B761">
        <v>13506</v>
      </c>
      <c r="C761" s="28">
        <v>2253</v>
      </c>
      <c r="D761" s="7">
        <v>0</v>
      </c>
      <c r="E761" s="7">
        <v>0</v>
      </c>
      <c r="F761" s="7">
        <v>0</v>
      </c>
      <c r="G761" s="4">
        <f t="shared" si="25"/>
        <v>15</v>
      </c>
    </row>
    <row r="762" spans="1:7">
      <c r="A762" s="7">
        <v>770</v>
      </c>
      <c r="B762">
        <v>13506</v>
      </c>
      <c r="C762" s="28">
        <v>2254</v>
      </c>
      <c r="D762" s="7">
        <v>0</v>
      </c>
      <c r="E762" s="7">
        <v>0</v>
      </c>
      <c r="F762" s="7">
        <v>0</v>
      </c>
      <c r="G762" s="4">
        <f t="shared" si="25"/>
        <v>15</v>
      </c>
    </row>
    <row r="763" spans="1:7">
      <c r="A763" s="7">
        <v>771</v>
      </c>
      <c r="B763">
        <v>13506</v>
      </c>
      <c r="C763" s="28">
        <v>2255</v>
      </c>
      <c r="D763" s="7">
        <v>0</v>
      </c>
      <c r="E763" s="7">
        <v>0</v>
      </c>
      <c r="F763" s="7">
        <v>0</v>
      </c>
      <c r="G763" s="4">
        <f t="shared" si="25"/>
        <v>15</v>
      </c>
    </row>
    <row r="764" spans="1:7">
      <c r="A764" s="7">
        <v>772</v>
      </c>
      <c r="B764">
        <v>13506</v>
      </c>
      <c r="C764" s="28">
        <v>2256</v>
      </c>
      <c r="D764" s="7">
        <v>0</v>
      </c>
      <c r="E764" s="7">
        <v>0</v>
      </c>
      <c r="F764" s="7">
        <v>0</v>
      </c>
      <c r="G764" s="4">
        <f t="shared" si="25"/>
        <v>15</v>
      </c>
    </row>
    <row r="765" spans="1:7">
      <c r="A765" s="7">
        <v>773</v>
      </c>
      <c r="B765">
        <v>13506</v>
      </c>
      <c r="C765" s="28">
        <v>2257</v>
      </c>
      <c r="D765" s="7">
        <v>0</v>
      </c>
      <c r="E765" s="7">
        <v>0</v>
      </c>
      <c r="F765" s="7">
        <v>0</v>
      </c>
      <c r="G765" s="4">
        <f t="shared" si="25"/>
        <v>15</v>
      </c>
    </row>
    <row r="766" spans="1:7">
      <c r="A766" s="7">
        <v>774</v>
      </c>
      <c r="B766" s="7">
        <v>3008409</v>
      </c>
      <c r="C766" s="29">
        <v>2265</v>
      </c>
      <c r="D766" s="7">
        <v>0</v>
      </c>
      <c r="E766" s="7">
        <v>0</v>
      </c>
      <c r="F766" s="7">
        <v>0</v>
      </c>
      <c r="G766" s="4">
        <f t="shared" si="25"/>
        <v>15</v>
      </c>
    </row>
    <row r="767" spans="1:7">
      <c r="A767" s="7">
        <v>775</v>
      </c>
      <c r="B767" s="7">
        <v>3008409</v>
      </c>
      <c r="C767" s="29">
        <v>2266</v>
      </c>
      <c r="D767" s="7">
        <v>0</v>
      </c>
      <c r="E767" s="7">
        <v>0</v>
      </c>
      <c r="F767" s="7">
        <v>0</v>
      </c>
      <c r="G767" s="4">
        <f t="shared" si="25"/>
        <v>15</v>
      </c>
    </row>
    <row r="768" spans="1:7">
      <c r="A768" s="7">
        <v>776</v>
      </c>
      <c r="B768" s="7">
        <v>3008409</v>
      </c>
      <c r="C768" s="29">
        <v>2267</v>
      </c>
      <c r="D768" s="7">
        <v>0</v>
      </c>
      <c r="E768" s="7">
        <v>0</v>
      </c>
      <c r="F768" s="7">
        <v>0</v>
      </c>
      <c r="G768" s="4">
        <f t="shared" si="25"/>
        <v>15</v>
      </c>
    </row>
    <row r="769" spans="1:7">
      <c r="A769" s="7">
        <v>777</v>
      </c>
      <c r="B769" s="7">
        <v>3008409</v>
      </c>
      <c r="C769" s="29">
        <v>2268</v>
      </c>
      <c r="D769" s="7">
        <v>0</v>
      </c>
      <c r="E769" s="7">
        <v>0</v>
      </c>
      <c r="F769" s="7">
        <v>0</v>
      </c>
      <c r="G769" s="4">
        <f t="shared" si="25"/>
        <v>15</v>
      </c>
    </row>
    <row r="770" spans="1:7">
      <c r="A770" s="7">
        <v>778</v>
      </c>
      <c r="B770" s="7">
        <v>3008409</v>
      </c>
      <c r="C770" s="29">
        <v>2269</v>
      </c>
      <c r="D770" s="7">
        <v>0</v>
      </c>
      <c r="E770" s="7">
        <v>0</v>
      </c>
      <c r="F770" s="7">
        <v>0</v>
      </c>
      <c r="G770" s="4">
        <f t="shared" si="25"/>
        <v>15</v>
      </c>
    </row>
    <row r="771" spans="1:7">
      <c r="A771" s="7">
        <v>779</v>
      </c>
      <c r="B771" s="7">
        <v>3008409</v>
      </c>
      <c r="C771" s="29">
        <v>2270</v>
      </c>
      <c r="D771" s="7">
        <v>0</v>
      </c>
      <c r="E771" s="7">
        <v>0</v>
      </c>
      <c r="F771" s="7">
        <v>0</v>
      </c>
      <c r="G771" s="4">
        <f t="shared" si="25"/>
        <v>15</v>
      </c>
    </row>
    <row r="772" spans="1:7">
      <c r="A772" s="7">
        <v>780</v>
      </c>
      <c r="B772">
        <v>4013506</v>
      </c>
      <c r="C772" s="29">
        <v>2258</v>
      </c>
      <c r="D772" s="7">
        <v>0</v>
      </c>
      <c r="E772" s="7">
        <v>0</v>
      </c>
      <c r="F772" s="7">
        <v>0</v>
      </c>
      <c r="G772" s="4">
        <f t="shared" si="25"/>
        <v>15</v>
      </c>
    </row>
    <row r="773" spans="1:7">
      <c r="A773" s="7">
        <v>781</v>
      </c>
      <c r="B773">
        <v>4013506</v>
      </c>
      <c r="C773" s="29">
        <v>2259</v>
      </c>
      <c r="D773" s="7">
        <v>0</v>
      </c>
      <c r="E773" s="7">
        <v>0</v>
      </c>
      <c r="F773" s="7">
        <v>0</v>
      </c>
      <c r="G773" s="4">
        <f t="shared" ref="G773:G778" si="26">450/30</f>
        <v>15</v>
      </c>
    </row>
    <row r="774" spans="1:7">
      <c r="A774" s="7">
        <v>782</v>
      </c>
      <c r="B774">
        <v>4013506</v>
      </c>
      <c r="C774" s="29">
        <v>2260</v>
      </c>
      <c r="D774" s="7">
        <v>0</v>
      </c>
      <c r="E774" s="7">
        <v>0</v>
      </c>
      <c r="F774" s="7">
        <v>0</v>
      </c>
      <c r="G774" s="4">
        <f t="shared" si="26"/>
        <v>15</v>
      </c>
    </row>
    <row r="775" spans="1:7">
      <c r="A775" s="7">
        <v>783</v>
      </c>
      <c r="B775">
        <v>4013506</v>
      </c>
      <c r="C775" s="29">
        <v>2261</v>
      </c>
      <c r="D775" s="7">
        <v>0</v>
      </c>
      <c r="E775" s="7">
        <v>0</v>
      </c>
      <c r="F775" s="7">
        <v>0</v>
      </c>
      <c r="G775" s="4">
        <f t="shared" si="26"/>
        <v>15</v>
      </c>
    </row>
    <row r="776" spans="1:7">
      <c r="A776" s="7">
        <v>784</v>
      </c>
      <c r="B776">
        <v>4013506</v>
      </c>
      <c r="C776" s="29">
        <v>2262</v>
      </c>
      <c r="D776" s="7">
        <v>0</v>
      </c>
      <c r="E776" s="7">
        <v>0</v>
      </c>
      <c r="F776" s="7">
        <v>0</v>
      </c>
      <c r="G776" s="4">
        <f t="shared" si="26"/>
        <v>15</v>
      </c>
    </row>
    <row r="777" spans="1:7">
      <c r="A777" s="7">
        <v>785</v>
      </c>
      <c r="B777">
        <v>4013506</v>
      </c>
      <c r="C777" s="29">
        <v>2263</v>
      </c>
      <c r="D777" s="7">
        <v>0</v>
      </c>
      <c r="E777" s="7">
        <v>0</v>
      </c>
      <c r="F777" s="7">
        <v>0</v>
      </c>
      <c r="G777" s="4">
        <f t="shared" si="26"/>
        <v>15</v>
      </c>
    </row>
    <row r="778" spans="1:7">
      <c r="A778" s="7">
        <v>786</v>
      </c>
      <c r="B778">
        <v>4013506</v>
      </c>
      <c r="C778" s="29">
        <v>2264</v>
      </c>
      <c r="D778" s="7">
        <v>0</v>
      </c>
      <c r="E778" s="7">
        <v>0</v>
      </c>
      <c r="F778" s="7">
        <v>0</v>
      </c>
      <c r="G778" s="4">
        <f t="shared" si="26"/>
        <v>15</v>
      </c>
    </row>
    <row r="779" s="5" customFormat="1" spans="1:7">
      <c r="A779" s="5">
        <v>787</v>
      </c>
      <c r="B779" s="30" t="s">
        <v>195</v>
      </c>
      <c r="C779" s="5">
        <v>1994</v>
      </c>
      <c r="D779" s="5">
        <v>0</v>
      </c>
      <c r="E779" s="5">
        <v>0</v>
      </c>
      <c r="F779" s="5">
        <v>0</v>
      </c>
      <c r="G779" s="5">
        <v>8.03333333333333</v>
      </c>
    </row>
    <row r="780" s="5" customFormat="1" spans="1:7">
      <c r="A780" s="5">
        <v>788</v>
      </c>
      <c r="B780" s="30" t="s">
        <v>195</v>
      </c>
      <c r="C780" s="5">
        <v>1995</v>
      </c>
      <c r="D780" s="5">
        <v>0</v>
      </c>
      <c r="E780" s="5">
        <v>0</v>
      </c>
      <c r="F780" s="5">
        <v>0</v>
      </c>
      <c r="G780" s="5">
        <v>8.03333333333333</v>
      </c>
    </row>
    <row r="781" s="5" customFormat="1" spans="1:7">
      <c r="A781" s="5">
        <v>789</v>
      </c>
      <c r="B781" s="30" t="s">
        <v>195</v>
      </c>
      <c r="C781" s="5">
        <v>1996</v>
      </c>
      <c r="D781" s="5">
        <v>0</v>
      </c>
      <c r="E781" s="5">
        <v>0</v>
      </c>
      <c r="F781" s="5">
        <v>0</v>
      </c>
      <c r="G781" s="5">
        <v>8.03333333333333</v>
      </c>
    </row>
    <row r="782" s="5" customFormat="1" spans="1:7">
      <c r="A782" s="5">
        <v>790</v>
      </c>
      <c r="B782" s="30" t="s">
        <v>195</v>
      </c>
      <c r="C782" s="5">
        <v>1997</v>
      </c>
      <c r="D782" s="5">
        <v>0</v>
      </c>
      <c r="E782" s="5">
        <v>0</v>
      </c>
      <c r="F782" s="5">
        <v>0</v>
      </c>
      <c r="G782" s="5">
        <v>8.03333333333333</v>
      </c>
    </row>
    <row r="783" s="5" customFormat="1" spans="1:7">
      <c r="A783" s="5">
        <v>791</v>
      </c>
      <c r="B783" s="30" t="s">
        <v>195</v>
      </c>
      <c r="C783" s="5">
        <v>1998</v>
      </c>
      <c r="D783" s="5">
        <v>0</v>
      </c>
      <c r="E783" s="5">
        <v>0</v>
      </c>
      <c r="F783" s="5">
        <v>0</v>
      </c>
      <c r="G783" s="5">
        <v>8.03333333333333</v>
      </c>
    </row>
    <row r="784" s="5" customFormat="1" spans="1:7">
      <c r="A784" s="5">
        <v>792</v>
      </c>
      <c r="B784" s="30" t="s">
        <v>195</v>
      </c>
      <c r="C784" s="5">
        <v>1999</v>
      </c>
      <c r="D784" s="5">
        <v>0</v>
      </c>
      <c r="E784" s="5">
        <v>0</v>
      </c>
      <c r="F784" s="5">
        <v>0</v>
      </c>
      <c r="G784" s="5">
        <v>8.03333333333333</v>
      </c>
    </row>
    <row r="785" s="5" customFormat="1" spans="1:7">
      <c r="A785" s="5">
        <v>793</v>
      </c>
      <c r="B785" s="30" t="s">
        <v>195</v>
      </c>
      <c r="C785" s="5">
        <v>2000</v>
      </c>
      <c r="D785" s="5">
        <v>0</v>
      </c>
      <c r="E785" s="5">
        <v>0</v>
      </c>
      <c r="F785" s="5">
        <v>0</v>
      </c>
      <c r="G785" s="5">
        <v>8.03333333333333</v>
      </c>
    </row>
    <row r="786" s="5" customFormat="1" spans="1:7">
      <c r="A786" s="5">
        <v>794</v>
      </c>
      <c r="B786" s="30" t="s">
        <v>195</v>
      </c>
      <c r="C786" s="5">
        <v>2001</v>
      </c>
      <c r="D786" s="5">
        <v>0</v>
      </c>
      <c r="E786" s="5">
        <v>0</v>
      </c>
      <c r="F786" s="5">
        <v>0</v>
      </c>
      <c r="G786" s="5">
        <v>8.03333333333333</v>
      </c>
    </row>
    <row r="787" s="5" customFormat="1" spans="1:7">
      <c r="A787" s="5">
        <v>795</v>
      </c>
      <c r="B787" s="30" t="s">
        <v>195</v>
      </c>
      <c r="C787" s="5">
        <v>2002</v>
      </c>
      <c r="D787" s="5">
        <v>0</v>
      </c>
      <c r="E787" s="5">
        <v>0</v>
      </c>
      <c r="F787" s="5">
        <v>0</v>
      </c>
      <c r="G787" s="5">
        <v>8.03333333333333</v>
      </c>
    </row>
    <row r="788" s="8" customFormat="1" spans="1:7">
      <c r="A788" s="8">
        <v>796</v>
      </c>
      <c r="B788" s="31" t="s">
        <v>196</v>
      </c>
      <c r="C788" s="8">
        <v>2016</v>
      </c>
      <c r="D788" s="8">
        <v>0</v>
      </c>
      <c r="E788" s="8">
        <v>0</v>
      </c>
      <c r="F788" s="8">
        <v>0</v>
      </c>
      <c r="G788" s="8">
        <v>8.03333333333333</v>
      </c>
    </row>
    <row r="789" s="8" customFormat="1" spans="1:7">
      <c r="A789" s="8">
        <v>797</v>
      </c>
      <c r="B789" s="31" t="s">
        <v>196</v>
      </c>
      <c r="C789" s="8">
        <v>2017</v>
      </c>
      <c r="D789" s="8">
        <v>0</v>
      </c>
      <c r="E789" s="8">
        <v>0</v>
      </c>
      <c r="F789" s="8">
        <v>0</v>
      </c>
      <c r="G789" s="8">
        <v>8.03333333333333</v>
      </c>
    </row>
    <row r="790" s="8" customFormat="1" spans="1:7">
      <c r="A790" s="8">
        <v>798</v>
      </c>
      <c r="B790" s="31" t="s">
        <v>196</v>
      </c>
      <c r="C790" s="8">
        <v>2018</v>
      </c>
      <c r="D790" s="8">
        <v>0</v>
      </c>
      <c r="E790" s="8">
        <v>0</v>
      </c>
      <c r="F790" s="8">
        <v>0</v>
      </c>
      <c r="G790" s="8">
        <v>8.03333333333333</v>
      </c>
    </row>
    <row r="791" s="8" customFormat="1" spans="1:7">
      <c r="A791" s="8">
        <v>799</v>
      </c>
      <c r="B791" s="31" t="s">
        <v>196</v>
      </c>
      <c r="C791" s="8">
        <v>2019</v>
      </c>
      <c r="D791" s="8">
        <v>0</v>
      </c>
      <c r="E791" s="8">
        <v>0</v>
      </c>
      <c r="F791" s="8">
        <v>0</v>
      </c>
      <c r="G791" s="8">
        <v>8.03333333333333</v>
      </c>
    </row>
    <row r="792" s="8" customFormat="1" spans="1:7">
      <c r="A792" s="8">
        <v>800</v>
      </c>
      <c r="B792" s="31" t="s">
        <v>196</v>
      </c>
      <c r="C792" s="8">
        <v>2020</v>
      </c>
      <c r="D792" s="8">
        <v>0</v>
      </c>
      <c r="E792" s="8">
        <v>0</v>
      </c>
      <c r="F792" s="8">
        <v>0</v>
      </c>
      <c r="G792" s="8">
        <v>8.03333333333333</v>
      </c>
    </row>
    <row r="793" s="8" customFormat="1" spans="1:7">
      <c r="A793" s="8">
        <v>801</v>
      </c>
      <c r="B793" s="31" t="s">
        <v>196</v>
      </c>
      <c r="C793" s="8">
        <v>2021</v>
      </c>
      <c r="D793" s="8">
        <v>0</v>
      </c>
      <c r="E793" s="8">
        <v>0</v>
      </c>
      <c r="F793" s="8">
        <v>0</v>
      </c>
      <c r="G793" s="8">
        <v>8.03333333333333</v>
      </c>
    </row>
    <row r="794" s="8" customFormat="1" spans="1:7">
      <c r="A794" s="8">
        <v>802</v>
      </c>
      <c r="B794" s="31" t="s">
        <v>196</v>
      </c>
      <c r="C794" s="8">
        <v>2022</v>
      </c>
      <c r="D794" s="8">
        <v>0</v>
      </c>
      <c r="E794" s="8">
        <v>0</v>
      </c>
      <c r="F794" s="8">
        <v>0</v>
      </c>
      <c r="G794" s="8">
        <v>8.03333333333333</v>
      </c>
    </row>
    <row r="795" s="8" customFormat="1" spans="1:7">
      <c r="A795" s="8">
        <v>803</v>
      </c>
      <c r="B795" s="31" t="s">
        <v>196</v>
      </c>
      <c r="C795" s="8">
        <v>2023</v>
      </c>
      <c r="D795" s="8">
        <v>0</v>
      </c>
      <c r="E795" s="8">
        <v>0</v>
      </c>
      <c r="F795" s="8">
        <v>0</v>
      </c>
      <c r="G795" s="8">
        <v>8.03333333333333</v>
      </c>
    </row>
    <row r="796" s="8" customFormat="1" spans="1:7">
      <c r="A796" s="8">
        <v>804</v>
      </c>
      <c r="B796" s="31" t="s">
        <v>196</v>
      </c>
      <c r="C796" s="8">
        <v>2024</v>
      </c>
      <c r="D796" s="8">
        <v>0</v>
      </c>
      <c r="E796" s="8">
        <v>0</v>
      </c>
      <c r="F796" s="8">
        <v>0</v>
      </c>
      <c r="G796" s="8">
        <v>8.03333333333333</v>
      </c>
    </row>
    <row r="797" s="8" customFormat="1" spans="1:7">
      <c r="A797" s="8">
        <v>805</v>
      </c>
      <c r="B797" s="31" t="s">
        <v>196</v>
      </c>
      <c r="C797" s="8">
        <v>2025</v>
      </c>
      <c r="D797" s="8">
        <v>0</v>
      </c>
      <c r="E797" s="8">
        <v>0</v>
      </c>
      <c r="F797" s="8">
        <v>0</v>
      </c>
      <c r="G797" s="8">
        <v>8.03333333333333</v>
      </c>
    </row>
    <row r="798" s="9" customFormat="1" spans="1:7">
      <c r="A798" s="9">
        <v>806</v>
      </c>
      <c r="B798" s="32" t="s">
        <v>197</v>
      </c>
      <c r="C798" s="9">
        <v>2032</v>
      </c>
      <c r="D798" s="9">
        <v>0</v>
      </c>
      <c r="E798" s="9">
        <v>0</v>
      </c>
      <c r="F798" s="9">
        <v>0</v>
      </c>
      <c r="G798" s="9">
        <v>8.03333333333333</v>
      </c>
    </row>
    <row r="799" s="9" customFormat="1" spans="1:7">
      <c r="A799" s="9">
        <v>807</v>
      </c>
      <c r="B799" s="32" t="s">
        <v>197</v>
      </c>
      <c r="C799" s="9">
        <v>2033</v>
      </c>
      <c r="D799" s="9">
        <v>0</v>
      </c>
      <c r="E799" s="9">
        <v>0</v>
      </c>
      <c r="F799" s="9">
        <v>0</v>
      </c>
      <c r="G799" s="9">
        <v>8.03333333333333</v>
      </c>
    </row>
    <row r="800" s="9" customFormat="1" spans="1:7">
      <c r="A800" s="9">
        <v>808</v>
      </c>
      <c r="B800" s="32" t="s">
        <v>197</v>
      </c>
      <c r="C800" s="9">
        <v>2034</v>
      </c>
      <c r="D800" s="9">
        <v>0</v>
      </c>
      <c r="E800" s="9">
        <v>0</v>
      </c>
      <c r="F800" s="9">
        <v>0</v>
      </c>
      <c r="G800" s="9">
        <v>8.03333333333333</v>
      </c>
    </row>
    <row r="801" s="9" customFormat="1" spans="1:7">
      <c r="A801" s="9">
        <v>809</v>
      </c>
      <c r="B801" s="32" t="s">
        <v>197</v>
      </c>
      <c r="C801" s="9">
        <v>2035</v>
      </c>
      <c r="D801" s="9">
        <v>0</v>
      </c>
      <c r="E801" s="9">
        <v>0</v>
      </c>
      <c r="F801" s="9">
        <v>0</v>
      </c>
      <c r="G801" s="9">
        <v>8.03333333333333</v>
      </c>
    </row>
    <row r="802" s="9" customFormat="1" spans="1:7">
      <c r="A802" s="9">
        <v>810</v>
      </c>
      <c r="B802" s="32" t="s">
        <v>197</v>
      </c>
      <c r="C802" s="9">
        <v>2036</v>
      </c>
      <c r="D802" s="9">
        <v>0</v>
      </c>
      <c r="E802" s="9">
        <v>0</v>
      </c>
      <c r="F802" s="9">
        <v>0</v>
      </c>
      <c r="G802" s="9">
        <v>8.03333333333333</v>
      </c>
    </row>
    <row r="803" s="9" customFormat="1" spans="1:7">
      <c r="A803" s="9">
        <v>811</v>
      </c>
      <c r="B803" s="32" t="s">
        <v>197</v>
      </c>
      <c r="C803" s="9">
        <v>2037</v>
      </c>
      <c r="D803" s="9">
        <v>0</v>
      </c>
      <c r="E803" s="9">
        <v>0</v>
      </c>
      <c r="F803" s="9">
        <v>0</v>
      </c>
      <c r="G803" s="9">
        <v>8.03333333333333</v>
      </c>
    </row>
    <row r="804" s="9" customFormat="1" spans="1:7">
      <c r="A804" s="9">
        <v>812</v>
      </c>
      <c r="B804" s="32" t="s">
        <v>197</v>
      </c>
      <c r="C804" s="9">
        <v>2038</v>
      </c>
      <c r="D804" s="9">
        <v>0</v>
      </c>
      <c r="E804" s="9">
        <v>0</v>
      </c>
      <c r="F804" s="9">
        <v>0</v>
      </c>
      <c r="G804" s="9">
        <v>8.03333333333333</v>
      </c>
    </row>
    <row r="805" s="9" customFormat="1" spans="1:7">
      <c r="A805" s="9">
        <v>813</v>
      </c>
      <c r="B805" s="32" t="s">
        <v>197</v>
      </c>
      <c r="C805" s="9">
        <v>2039</v>
      </c>
      <c r="D805" s="9">
        <v>0</v>
      </c>
      <c r="E805" s="9">
        <v>0</v>
      </c>
      <c r="F805" s="9">
        <v>0</v>
      </c>
      <c r="G805" s="9">
        <v>8.03333333333333</v>
      </c>
    </row>
    <row r="806" s="9" customFormat="1" spans="1:7">
      <c r="A806" s="9">
        <v>814</v>
      </c>
      <c r="B806" s="32" t="s">
        <v>197</v>
      </c>
      <c r="C806" s="9">
        <v>2040</v>
      </c>
      <c r="D806" s="9">
        <v>0</v>
      </c>
      <c r="E806" s="9">
        <v>0</v>
      </c>
      <c r="F806" s="9">
        <v>0</v>
      </c>
      <c r="G806" s="9">
        <v>8.03333333333333</v>
      </c>
    </row>
    <row r="807" s="10" customFormat="1" spans="1:7">
      <c r="A807" s="10">
        <v>815</v>
      </c>
      <c r="B807" s="33" t="s">
        <v>198</v>
      </c>
      <c r="C807" s="10">
        <v>2041</v>
      </c>
      <c r="D807" s="10">
        <v>0</v>
      </c>
      <c r="E807" s="10">
        <v>0</v>
      </c>
      <c r="F807" s="10">
        <v>0</v>
      </c>
      <c r="G807" s="10">
        <v>8.03333333333333</v>
      </c>
    </row>
    <row r="808" s="10" customFormat="1" spans="1:7">
      <c r="A808" s="10">
        <v>816</v>
      </c>
      <c r="B808" s="33" t="s">
        <v>198</v>
      </c>
      <c r="C808" s="10">
        <v>2042</v>
      </c>
      <c r="D808" s="10">
        <v>0</v>
      </c>
      <c r="E808" s="10">
        <v>0</v>
      </c>
      <c r="F808" s="10">
        <v>0</v>
      </c>
      <c r="G808" s="10">
        <v>8.03333333333333</v>
      </c>
    </row>
    <row r="809" s="10" customFormat="1" spans="1:7">
      <c r="A809" s="10">
        <v>817</v>
      </c>
      <c r="B809" s="33" t="s">
        <v>198</v>
      </c>
      <c r="C809" s="10">
        <v>2043</v>
      </c>
      <c r="D809" s="10">
        <v>0</v>
      </c>
      <c r="E809" s="10">
        <v>0</v>
      </c>
      <c r="F809" s="10">
        <v>0</v>
      </c>
      <c r="G809" s="10">
        <v>8.03333333333333</v>
      </c>
    </row>
    <row r="810" s="10" customFormat="1" spans="1:7">
      <c r="A810" s="10">
        <v>818</v>
      </c>
      <c r="B810" s="33" t="s">
        <v>198</v>
      </c>
      <c r="C810" s="10">
        <v>2044</v>
      </c>
      <c r="D810" s="10">
        <v>0</v>
      </c>
      <c r="E810" s="10">
        <v>0</v>
      </c>
      <c r="F810" s="10">
        <v>0</v>
      </c>
      <c r="G810" s="10">
        <v>8.03333333333333</v>
      </c>
    </row>
    <row r="811" s="10" customFormat="1" spans="1:7">
      <c r="A811" s="10">
        <v>819</v>
      </c>
      <c r="B811" s="33" t="s">
        <v>198</v>
      </c>
      <c r="C811" s="10">
        <v>2045</v>
      </c>
      <c r="D811" s="10">
        <v>0</v>
      </c>
      <c r="E811" s="10">
        <v>0</v>
      </c>
      <c r="F811" s="10">
        <v>0</v>
      </c>
      <c r="G811" s="10">
        <v>8.03333333333333</v>
      </c>
    </row>
    <row r="812" s="10" customFormat="1" spans="1:7">
      <c r="A812" s="10">
        <v>820</v>
      </c>
      <c r="B812" s="33" t="s">
        <v>198</v>
      </c>
      <c r="C812" s="10">
        <v>2046</v>
      </c>
      <c r="D812" s="10">
        <v>0</v>
      </c>
      <c r="E812" s="10">
        <v>0</v>
      </c>
      <c r="F812" s="10">
        <v>0</v>
      </c>
      <c r="G812" s="10">
        <v>8.03333333333333</v>
      </c>
    </row>
    <row r="813" s="10" customFormat="1" spans="1:7">
      <c r="A813" s="10">
        <v>821</v>
      </c>
      <c r="B813" s="33" t="s">
        <v>198</v>
      </c>
      <c r="C813" s="10">
        <v>2047</v>
      </c>
      <c r="D813" s="10">
        <v>0</v>
      </c>
      <c r="E813" s="10">
        <v>0</v>
      </c>
      <c r="F813" s="10">
        <v>0</v>
      </c>
      <c r="G813" s="10">
        <v>8.03333333333333</v>
      </c>
    </row>
    <row r="814" s="10" customFormat="1" spans="1:7">
      <c r="A814" s="10">
        <v>822</v>
      </c>
      <c r="B814" s="33" t="s">
        <v>198</v>
      </c>
      <c r="C814" s="10">
        <v>2048</v>
      </c>
      <c r="D814" s="10">
        <v>0</v>
      </c>
      <c r="E814" s="10">
        <v>0</v>
      </c>
      <c r="F814" s="10">
        <v>0</v>
      </c>
      <c r="G814" s="10">
        <v>8.03333333333333</v>
      </c>
    </row>
    <row r="815" s="10" customFormat="1" spans="1:7">
      <c r="A815" s="10">
        <v>823</v>
      </c>
      <c r="B815" s="33" t="s">
        <v>198</v>
      </c>
      <c r="C815" s="10">
        <v>2049</v>
      </c>
      <c r="D815" s="10">
        <v>0</v>
      </c>
      <c r="E815" s="10">
        <v>0</v>
      </c>
      <c r="F815" s="10">
        <v>0</v>
      </c>
      <c r="G815" s="10">
        <v>8.03333333333333</v>
      </c>
    </row>
    <row r="816" s="10" customFormat="1" spans="1:7">
      <c r="A816" s="10">
        <v>824</v>
      </c>
      <c r="B816" s="33" t="s">
        <v>198</v>
      </c>
      <c r="C816" s="10">
        <v>2050</v>
      </c>
      <c r="D816" s="10">
        <v>0</v>
      </c>
      <c r="E816" s="10">
        <v>0</v>
      </c>
      <c r="F816" s="10">
        <v>0</v>
      </c>
      <c r="G816" s="10">
        <v>8.03333333333333</v>
      </c>
    </row>
    <row r="817" s="11" customFormat="1" spans="1:7">
      <c r="A817" s="27">
        <v>825</v>
      </c>
      <c r="B817" s="27">
        <v>3008705</v>
      </c>
      <c r="C817" s="27">
        <v>2323</v>
      </c>
      <c r="D817" s="27">
        <v>0</v>
      </c>
      <c r="E817" s="27">
        <v>0</v>
      </c>
      <c r="F817" s="27">
        <v>0</v>
      </c>
      <c r="G817" s="27">
        <v>15</v>
      </c>
    </row>
    <row r="818" s="11" customFormat="1" spans="1:7">
      <c r="A818" s="27">
        <v>826</v>
      </c>
      <c r="B818" s="27">
        <v>3008705</v>
      </c>
      <c r="C818" s="27">
        <v>2324</v>
      </c>
      <c r="D818" s="27">
        <v>0</v>
      </c>
      <c r="E818" s="27">
        <v>0</v>
      </c>
      <c r="F818" s="27">
        <v>0</v>
      </c>
      <c r="G818" s="27">
        <v>15</v>
      </c>
    </row>
    <row r="819" spans="1:7">
      <c r="A819" s="27">
        <v>827</v>
      </c>
      <c r="B819" s="27">
        <v>3008705</v>
      </c>
      <c r="C819" s="27">
        <v>2325</v>
      </c>
      <c r="D819" s="27">
        <v>0</v>
      </c>
      <c r="E819" s="27">
        <v>0</v>
      </c>
      <c r="F819" s="27">
        <v>0</v>
      </c>
      <c r="G819" s="27">
        <v>15</v>
      </c>
    </row>
    <row r="820" spans="1:7">
      <c r="A820" s="27">
        <v>828</v>
      </c>
      <c r="B820" s="27">
        <v>3008705</v>
      </c>
      <c r="C820" s="27">
        <v>2326</v>
      </c>
      <c r="D820" s="27">
        <v>0</v>
      </c>
      <c r="E820" s="27">
        <v>0</v>
      </c>
      <c r="F820" s="27">
        <v>0</v>
      </c>
      <c r="G820" s="27">
        <v>15</v>
      </c>
    </row>
    <row r="821" spans="1:7">
      <c r="A821" s="27">
        <v>829</v>
      </c>
      <c r="B821" s="27">
        <v>13904</v>
      </c>
      <c r="C821" s="27">
        <v>2321</v>
      </c>
      <c r="D821" s="27">
        <v>0</v>
      </c>
      <c r="E821" s="27">
        <v>0</v>
      </c>
      <c r="F821" s="27">
        <v>0</v>
      </c>
      <c r="G821" s="27">
        <f t="shared" ref="G821:G824" si="27">446/30</f>
        <v>14.8666666666667</v>
      </c>
    </row>
    <row r="822" spans="1:7">
      <c r="A822" s="27">
        <v>830</v>
      </c>
      <c r="B822" s="27">
        <v>13904</v>
      </c>
      <c r="C822" s="27">
        <v>2322</v>
      </c>
      <c r="D822" s="27">
        <v>0</v>
      </c>
      <c r="E822" s="27">
        <v>0</v>
      </c>
      <c r="F822" s="27">
        <v>0</v>
      </c>
      <c r="G822" s="27">
        <f t="shared" si="27"/>
        <v>14.8666666666667</v>
      </c>
    </row>
    <row r="823" spans="1:7">
      <c r="A823" s="27">
        <v>831</v>
      </c>
      <c r="B823" s="34" t="s">
        <v>199</v>
      </c>
      <c r="C823" s="27">
        <v>2327</v>
      </c>
      <c r="D823" s="27">
        <v>0</v>
      </c>
      <c r="E823" s="27">
        <v>0</v>
      </c>
      <c r="F823" s="27">
        <v>0</v>
      </c>
      <c r="G823" s="27">
        <f t="shared" si="27"/>
        <v>14.8666666666667</v>
      </c>
    </row>
    <row r="824" spans="1:7">
      <c r="A824" s="27">
        <v>832</v>
      </c>
      <c r="B824" s="34" t="s">
        <v>199</v>
      </c>
      <c r="C824" s="27">
        <v>2328</v>
      </c>
      <c r="D824" s="27">
        <v>0</v>
      </c>
      <c r="E824" s="27">
        <v>0</v>
      </c>
      <c r="F824" s="27">
        <v>0</v>
      </c>
      <c r="G824" s="27">
        <f t="shared" si="27"/>
        <v>14.8666666666667</v>
      </c>
    </row>
    <row r="825" spans="1:7">
      <c r="A825" s="27">
        <v>833</v>
      </c>
      <c r="B825" s="27">
        <v>13905</v>
      </c>
      <c r="C825" s="27">
        <v>2321</v>
      </c>
      <c r="D825" s="27">
        <v>0</v>
      </c>
      <c r="E825" s="27">
        <v>0</v>
      </c>
      <c r="F825" s="27">
        <v>0</v>
      </c>
      <c r="G825" s="27">
        <v>15</v>
      </c>
    </row>
    <row r="826" spans="1:7">
      <c r="A826" s="27">
        <v>834</v>
      </c>
      <c r="B826" s="27">
        <v>13905</v>
      </c>
      <c r="C826" s="27">
        <v>2322</v>
      </c>
      <c r="D826" s="27">
        <v>0</v>
      </c>
      <c r="E826" s="27">
        <v>0</v>
      </c>
      <c r="F826" s="27">
        <v>0</v>
      </c>
      <c r="G826" s="27">
        <v>15</v>
      </c>
    </row>
    <row r="827" spans="1:7">
      <c r="A827" s="27">
        <v>835</v>
      </c>
      <c r="B827" s="34" t="s">
        <v>200</v>
      </c>
      <c r="C827" s="27">
        <v>2327</v>
      </c>
      <c r="D827" s="27">
        <v>0</v>
      </c>
      <c r="E827" s="27">
        <v>0</v>
      </c>
      <c r="F827" s="27">
        <v>0</v>
      </c>
      <c r="G827" s="27">
        <v>15</v>
      </c>
    </row>
    <row r="828" spans="1:7">
      <c r="A828" s="27">
        <v>836</v>
      </c>
      <c r="B828" s="34" t="s">
        <v>200</v>
      </c>
      <c r="C828" s="27">
        <v>2328</v>
      </c>
      <c r="D828" s="27">
        <v>0</v>
      </c>
      <c r="E828" s="27">
        <v>0</v>
      </c>
      <c r="F828" s="27">
        <v>0</v>
      </c>
      <c r="G828" s="27">
        <v>15</v>
      </c>
    </row>
    <row r="829" spans="1:7">
      <c r="A829" s="27">
        <v>837</v>
      </c>
      <c r="B829">
        <v>13115</v>
      </c>
      <c r="C829">
        <v>2192</v>
      </c>
      <c r="D829">
        <v>0</v>
      </c>
      <c r="E829">
        <v>0</v>
      </c>
      <c r="F829">
        <v>0</v>
      </c>
      <c r="G829">
        <f>470/30</f>
        <v>15.6666666666667</v>
      </c>
    </row>
    <row r="830" spans="1:7">
      <c r="A830" s="27">
        <v>838</v>
      </c>
      <c r="B830">
        <v>13115</v>
      </c>
      <c r="C830">
        <v>2193</v>
      </c>
      <c r="D830">
        <v>0</v>
      </c>
      <c r="E830">
        <v>0</v>
      </c>
      <c r="F830">
        <v>0</v>
      </c>
      <c r="G830">
        <f t="shared" ref="G830:G840" si="28">470/30</f>
        <v>15.6666666666667</v>
      </c>
    </row>
    <row r="831" spans="1:7">
      <c r="A831" s="27">
        <v>839</v>
      </c>
      <c r="B831">
        <v>13115</v>
      </c>
      <c r="C831">
        <v>2194</v>
      </c>
      <c r="D831">
        <v>0</v>
      </c>
      <c r="E831">
        <v>0</v>
      </c>
      <c r="F831">
        <v>0</v>
      </c>
      <c r="G831">
        <f t="shared" si="28"/>
        <v>15.6666666666667</v>
      </c>
    </row>
    <row r="832" spans="1:7">
      <c r="A832" s="27">
        <v>840</v>
      </c>
      <c r="B832">
        <v>13115</v>
      </c>
      <c r="C832">
        <v>2195</v>
      </c>
      <c r="D832">
        <v>0</v>
      </c>
      <c r="E832">
        <v>0</v>
      </c>
      <c r="F832">
        <v>0</v>
      </c>
      <c r="G832">
        <f t="shared" si="28"/>
        <v>15.6666666666667</v>
      </c>
    </row>
    <row r="833" spans="1:7">
      <c r="A833" s="27">
        <v>841</v>
      </c>
      <c r="B833">
        <v>13115</v>
      </c>
      <c r="C833">
        <v>2196</v>
      </c>
      <c r="D833">
        <v>0</v>
      </c>
      <c r="E833">
        <v>0</v>
      </c>
      <c r="F833">
        <v>0</v>
      </c>
      <c r="G833">
        <f t="shared" si="28"/>
        <v>15.6666666666667</v>
      </c>
    </row>
    <row r="834" spans="1:7">
      <c r="A834" s="27">
        <v>842</v>
      </c>
      <c r="B834">
        <v>13115</v>
      </c>
      <c r="C834">
        <v>2197</v>
      </c>
      <c r="D834">
        <v>0</v>
      </c>
      <c r="E834">
        <v>0</v>
      </c>
      <c r="F834">
        <v>0</v>
      </c>
      <c r="G834">
        <f t="shared" si="28"/>
        <v>15.6666666666667</v>
      </c>
    </row>
    <row r="835" spans="1:7">
      <c r="A835" s="27">
        <v>843</v>
      </c>
      <c r="B835">
        <v>13115</v>
      </c>
      <c r="C835">
        <v>2198</v>
      </c>
      <c r="D835">
        <v>0</v>
      </c>
      <c r="E835">
        <v>0</v>
      </c>
      <c r="F835">
        <v>0</v>
      </c>
      <c r="G835">
        <f t="shared" si="28"/>
        <v>15.6666666666667</v>
      </c>
    </row>
    <row r="836" spans="1:7">
      <c r="A836" s="27">
        <v>844</v>
      </c>
      <c r="B836">
        <v>13115</v>
      </c>
      <c r="C836">
        <v>2190</v>
      </c>
      <c r="D836">
        <v>0</v>
      </c>
      <c r="E836">
        <v>0</v>
      </c>
      <c r="F836">
        <v>0</v>
      </c>
      <c r="G836">
        <f t="shared" si="28"/>
        <v>15.6666666666667</v>
      </c>
    </row>
    <row r="837" spans="1:7">
      <c r="A837" s="27">
        <v>845</v>
      </c>
      <c r="B837">
        <v>3006615</v>
      </c>
      <c r="C837">
        <v>2117</v>
      </c>
      <c r="D837">
        <v>0</v>
      </c>
      <c r="E837">
        <v>0</v>
      </c>
      <c r="F837">
        <v>0</v>
      </c>
      <c r="G837">
        <f t="shared" si="28"/>
        <v>15.6666666666667</v>
      </c>
    </row>
    <row r="838" spans="1:7">
      <c r="A838" s="27">
        <v>846</v>
      </c>
      <c r="B838">
        <v>3006615</v>
      </c>
      <c r="C838">
        <v>2118</v>
      </c>
      <c r="D838">
        <v>0</v>
      </c>
      <c r="E838">
        <v>0</v>
      </c>
      <c r="F838">
        <v>0</v>
      </c>
      <c r="G838">
        <f t="shared" si="28"/>
        <v>15.6666666666667</v>
      </c>
    </row>
    <row r="839" spans="1:7">
      <c r="A839" s="27">
        <v>847</v>
      </c>
      <c r="B839">
        <v>3006615</v>
      </c>
      <c r="C839">
        <v>2119</v>
      </c>
      <c r="D839">
        <v>0</v>
      </c>
      <c r="E839">
        <v>0</v>
      </c>
      <c r="F839">
        <v>0</v>
      </c>
      <c r="G839">
        <f t="shared" si="28"/>
        <v>15.6666666666667</v>
      </c>
    </row>
    <row r="840" spans="1:7">
      <c r="A840" s="27">
        <v>848</v>
      </c>
      <c r="B840">
        <v>3006615</v>
      </c>
      <c r="C840">
        <v>2120</v>
      </c>
      <c r="D840">
        <v>0</v>
      </c>
      <c r="E840">
        <v>0</v>
      </c>
      <c r="F840">
        <v>0</v>
      </c>
      <c r="G840">
        <f t="shared" si="28"/>
        <v>15.6666666666667</v>
      </c>
    </row>
    <row r="841" spans="1:7">
      <c r="A841" s="27">
        <v>849</v>
      </c>
      <c r="B841">
        <v>14105</v>
      </c>
      <c r="C841" s="35">
        <v>2330</v>
      </c>
      <c r="D841">
        <v>0</v>
      </c>
      <c r="E841">
        <v>0</v>
      </c>
      <c r="F841">
        <v>0</v>
      </c>
      <c r="G841">
        <v>7.83333333</v>
      </c>
    </row>
    <row r="842" spans="1:7">
      <c r="A842" s="27">
        <v>850</v>
      </c>
      <c r="B842">
        <v>14105</v>
      </c>
      <c r="C842" s="35">
        <v>2331</v>
      </c>
      <c r="D842">
        <v>0</v>
      </c>
      <c r="E842">
        <v>0</v>
      </c>
      <c r="F842">
        <v>0</v>
      </c>
      <c r="G842">
        <v>7.83333333</v>
      </c>
    </row>
    <row r="843" spans="1:7">
      <c r="A843" s="27">
        <v>851</v>
      </c>
      <c r="B843">
        <v>14106</v>
      </c>
      <c r="C843" s="35">
        <v>2330</v>
      </c>
      <c r="D843">
        <v>0</v>
      </c>
      <c r="E843">
        <v>0</v>
      </c>
      <c r="F843">
        <v>0</v>
      </c>
      <c r="G843">
        <v>2.47</v>
      </c>
    </row>
    <row r="844" spans="1:7">
      <c r="A844" s="27">
        <v>852</v>
      </c>
      <c r="B844">
        <v>14106</v>
      </c>
      <c r="C844" s="35">
        <v>2331</v>
      </c>
      <c r="D844">
        <v>0</v>
      </c>
      <c r="E844">
        <v>0</v>
      </c>
      <c r="F844">
        <v>0</v>
      </c>
      <c r="G844">
        <v>2.47</v>
      </c>
    </row>
    <row r="845" spans="1:7">
      <c r="A845" s="27">
        <v>853</v>
      </c>
      <c r="B845">
        <v>3008802</v>
      </c>
      <c r="C845" s="36">
        <v>2332</v>
      </c>
      <c r="D845">
        <v>0</v>
      </c>
      <c r="E845">
        <v>0</v>
      </c>
      <c r="F845">
        <v>0</v>
      </c>
      <c r="G845">
        <v>5.233333</v>
      </c>
    </row>
    <row r="846" spans="1:7">
      <c r="A846" s="27">
        <v>854</v>
      </c>
      <c r="B846">
        <v>3008802</v>
      </c>
      <c r="C846" s="36">
        <v>2333</v>
      </c>
      <c r="D846">
        <v>0</v>
      </c>
      <c r="E846">
        <v>0</v>
      </c>
      <c r="F846">
        <v>0</v>
      </c>
      <c r="G846">
        <v>5.233333</v>
      </c>
    </row>
    <row r="847" spans="1:7">
      <c r="A847" s="27">
        <v>855</v>
      </c>
      <c r="B847">
        <v>3008802</v>
      </c>
      <c r="C847" s="36">
        <v>2334</v>
      </c>
      <c r="D847">
        <v>0</v>
      </c>
      <c r="E847">
        <v>0</v>
      </c>
      <c r="F847">
        <v>0</v>
      </c>
      <c r="G847">
        <v>5.233333</v>
      </c>
    </row>
    <row r="848" spans="1:7">
      <c r="A848" s="27">
        <v>856</v>
      </c>
      <c r="B848">
        <v>3008802</v>
      </c>
      <c r="C848" s="36">
        <v>2335</v>
      </c>
      <c r="D848">
        <v>0</v>
      </c>
      <c r="E848">
        <v>0</v>
      </c>
      <c r="F848">
        <v>0</v>
      </c>
      <c r="G848">
        <v>5.233333</v>
      </c>
    </row>
    <row r="849" spans="1:7">
      <c r="A849" s="27">
        <v>857</v>
      </c>
      <c r="B849">
        <v>3008802</v>
      </c>
      <c r="C849" s="36">
        <v>2336</v>
      </c>
      <c r="D849">
        <v>0</v>
      </c>
      <c r="E849">
        <v>0</v>
      </c>
      <c r="F849">
        <v>0</v>
      </c>
      <c r="G849">
        <v>5.233333</v>
      </c>
    </row>
    <row r="850" spans="1:7">
      <c r="A850" s="27">
        <v>858</v>
      </c>
      <c r="B850">
        <v>3008802</v>
      </c>
      <c r="C850" s="36">
        <v>2337</v>
      </c>
      <c r="D850">
        <v>0</v>
      </c>
      <c r="E850">
        <v>0</v>
      </c>
      <c r="F850">
        <v>0</v>
      </c>
      <c r="G850">
        <v>5.233333</v>
      </c>
    </row>
    <row r="851" spans="1:7">
      <c r="A851" s="27">
        <v>859</v>
      </c>
      <c r="B851">
        <v>3008802</v>
      </c>
      <c r="C851" s="36">
        <v>2338</v>
      </c>
      <c r="D851">
        <v>0</v>
      </c>
      <c r="E851">
        <v>0</v>
      </c>
      <c r="F851">
        <v>0</v>
      </c>
      <c r="G851">
        <v>5.233333</v>
      </c>
    </row>
    <row r="852" spans="1:7">
      <c r="A852" s="27">
        <v>860</v>
      </c>
      <c r="B852">
        <v>3008804</v>
      </c>
      <c r="C852" s="36">
        <v>2332</v>
      </c>
      <c r="D852">
        <v>0</v>
      </c>
      <c r="E852">
        <v>0</v>
      </c>
      <c r="F852">
        <v>0</v>
      </c>
      <c r="G852">
        <v>4.6</v>
      </c>
    </row>
    <row r="853" spans="1:7">
      <c r="A853" s="27">
        <v>861</v>
      </c>
      <c r="B853">
        <v>3008804</v>
      </c>
      <c r="C853" s="36">
        <v>2333</v>
      </c>
      <c r="D853">
        <v>0</v>
      </c>
      <c r="E853">
        <v>0</v>
      </c>
      <c r="F853">
        <v>0</v>
      </c>
      <c r="G853">
        <v>4.6</v>
      </c>
    </row>
    <row r="854" spans="1:7">
      <c r="A854" s="27">
        <v>862</v>
      </c>
      <c r="B854">
        <v>3008804</v>
      </c>
      <c r="C854" s="36">
        <v>2334</v>
      </c>
      <c r="D854">
        <v>0</v>
      </c>
      <c r="E854">
        <v>0</v>
      </c>
      <c r="F854">
        <v>0</v>
      </c>
      <c r="G854">
        <v>4.6</v>
      </c>
    </row>
    <row r="855" spans="1:7">
      <c r="A855" s="27">
        <v>863</v>
      </c>
      <c r="B855">
        <v>3008804</v>
      </c>
      <c r="C855" s="36">
        <v>2335</v>
      </c>
      <c r="D855">
        <v>0</v>
      </c>
      <c r="E855">
        <v>0</v>
      </c>
      <c r="F855">
        <v>0</v>
      </c>
      <c r="G855">
        <v>4.6</v>
      </c>
    </row>
    <row r="856" spans="1:7">
      <c r="A856" s="27">
        <v>864</v>
      </c>
      <c r="B856">
        <v>3008804</v>
      </c>
      <c r="C856" s="36">
        <v>2336</v>
      </c>
      <c r="D856">
        <v>0</v>
      </c>
      <c r="E856">
        <v>0</v>
      </c>
      <c r="F856">
        <v>0</v>
      </c>
      <c r="G856">
        <v>4.6</v>
      </c>
    </row>
    <row r="857" spans="1:7">
      <c r="A857" s="27">
        <v>865</v>
      </c>
      <c r="B857">
        <v>3008804</v>
      </c>
      <c r="C857" s="36">
        <v>2337</v>
      </c>
      <c r="D857">
        <v>0</v>
      </c>
      <c r="E857">
        <v>0</v>
      </c>
      <c r="F857">
        <v>0</v>
      </c>
      <c r="G857">
        <v>4.6</v>
      </c>
    </row>
    <row r="858" spans="1:7">
      <c r="A858" s="27">
        <v>866</v>
      </c>
      <c r="B858">
        <v>3008804</v>
      </c>
      <c r="C858" s="36">
        <v>2338</v>
      </c>
      <c r="D858">
        <v>0</v>
      </c>
      <c r="E858">
        <v>0</v>
      </c>
      <c r="F858">
        <v>0</v>
      </c>
      <c r="G858">
        <v>4.6</v>
      </c>
    </row>
    <row r="859" spans="1:7">
      <c r="A859" s="27">
        <v>867</v>
      </c>
      <c r="B859">
        <v>3008806</v>
      </c>
      <c r="C859" s="36">
        <v>2332</v>
      </c>
      <c r="D859">
        <v>0</v>
      </c>
      <c r="E859">
        <v>0</v>
      </c>
      <c r="F859">
        <v>0</v>
      </c>
      <c r="G859">
        <v>12.43333</v>
      </c>
    </row>
    <row r="860" spans="1:7">
      <c r="A860" s="27">
        <v>868</v>
      </c>
      <c r="B860">
        <v>3008806</v>
      </c>
      <c r="C860" s="36">
        <v>2333</v>
      </c>
      <c r="D860">
        <v>0</v>
      </c>
      <c r="E860">
        <v>0</v>
      </c>
      <c r="F860">
        <v>0</v>
      </c>
      <c r="G860">
        <v>12.43333</v>
      </c>
    </row>
    <row r="861" spans="1:7">
      <c r="A861" s="27">
        <v>869</v>
      </c>
      <c r="B861">
        <v>3008806</v>
      </c>
      <c r="C861" s="36">
        <v>2334</v>
      </c>
      <c r="D861">
        <v>0</v>
      </c>
      <c r="E861">
        <v>0</v>
      </c>
      <c r="F861">
        <v>0</v>
      </c>
      <c r="G861">
        <v>12.43333</v>
      </c>
    </row>
    <row r="862" spans="1:7">
      <c r="A862" s="27">
        <v>870</v>
      </c>
      <c r="B862">
        <v>3008806</v>
      </c>
      <c r="C862" s="36">
        <v>2335</v>
      </c>
      <c r="D862">
        <v>0</v>
      </c>
      <c r="E862">
        <v>0</v>
      </c>
      <c r="F862">
        <v>0</v>
      </c>
      <c r="G862">
        <v>12.43333</v>
      </c>
    </row>
    <row r="863" spans="1:7">
      <c r="A863" s="27">
        <v>871</v>
      </c>
      <c r="B863">
        <v>3008806</v>
      </c>
      <c r="C863" s="36">
        <v>2336</v>
      </c>
      <c r="D863">
        <v>0</v>
      </c>
      <c r="E863">
        <v>0</v>
      </c>
      <c r="F863">
        <v>0</v>
      </c>
      <c r="G863">
        <v>12.43333</v>
      </c>
    </row>
    <row r="864" spans="1:7">
      <c r="A864" s="27">
        <v>872</v>
      </c>
      <c r="B864">
        <v>3008806</v>
      </c>
      <c r="C864" s="36">
        <v>2337</v>
      </c>
      <c r="D864">
        <v>0</v>
      </c>
      <c r="E864">
        <v>0</v>
      </c>
      <c r="F864">
        <v>0</v>
      </c>
      <c r="G864">
        <v>12.43333</v>
      </c>
    </row>
    <row r="865" spans="1:7">
      <c r="A865" s="27">
        <v>873</v>
      </c>
      <c r="B865">
        <v>3008806</v>
      </c>
      <c r="C865" s="36">
        <v>2338</v>
      </c>
      <c r="D865">
        <v>0</v>
      </c>
      <c r="E865">
        <v>0</v>
      </c>
      <c r="F865">
        <v>0</v>
      </c>
      <c r="G865">
        <v>12.43333</v>
      </c>
    </row>
    <row r="866" spans="1:7">
      <c r="A866" s="27">
        <v>874</v>
      </c>
      <c r="B866">
        <v>3008807</v>
      </c>
      <c r="C866" s="36">
        <v>2332</v>
      </c>
      <c r="D866">
        <v>0</v>
      </c>
      <c r="E866">
        <v>0</v>
      </c>
      <c r="F866">
        <v>0</v>
      </c>
      <c r="G866">
        <v>12</v>
      </c>
    </row>
    <row r="867" spans="1:7">
      <c r="A867" s="27">
        <v>875</v>
      </c>
      <c r="B867">
        <v>3008807</v>
      </c>
      <c r="C867" s="36">
        <v>2333</v>
      </c>
      <c r="D867">
        <v>0</v>
      </c>
      <c r="E867">
        <v>0</v>
      </c>
      <c r="F867">
        <v>0</v>
      </c>
      <c r="G867">
        <v>12</v>
      </c>
    </row>
    <row r="868" spans="1:7">
      <c r="A868" s="27">
        <v>876</v>
      </c>
      <c r="B868">
        <v>3008807</v>
      </c>
      <c r="C868" s="36">
        <v>2334</v>
      </c>
      <c r="D868">
        <v>0</v>
      </c>
      <c r="E868">
        <v>0</v>
      </c>
      <c r="F868">
        <v>0</v>
      </c>
      <c r="G868">
        <v>12</v>
      </c>
    </row>
    <row r="869" spans="1:7">
      <c r="A869" s="27">
        <v>877</v>
      </c>
      <c r="B869">
        <v>3008807</v>
      </c>
      <c r="C869" s="36">
        <v>2335</v>
      </c>
      <c r="D869">
        <v>0</v>
      </c>
      <c r="E869">
        <v>0</v>
      </c>
      <c r="F869">
        <v>0</v>
      </c>
      <c r="G869">
        <v>12</v>
      </c>
    </row>
    <row r="870" spans="1:7">
      <c r="A870" s="27">
        <v>878</v>
      </c>
      <c r="B870">
        <v>3008807</v>
      </c>
      <c r="C870" s="36">
        <v>2336</v>
      </c>
      <c r="D870">
        <v>0</v>
      </c>
      <c r="E870">
        <v>0</v>
      </c>
      <c r="F870">
        <v>0</v>
      </c>
      <c r="G870">
        <v>12</v>
      </c>
    </row>
    <row r="871" spans="1:7">
      <c r="A871" s="27">
        <v>879</v>
      </c>
      <c r="B871">
        <v>3008807</v>
      </c>
      <c r="C871" s="36">
        <v>2337</v>
      </c>
      <c r="D871">
        <v>0</v>
      </c>
      <c r="E871">
        <v>0</v>
      </c>
      <c r="F871">
        <v>0</v>
      </c>
      <c r="G871">
        <v>12</v>
      </c>
    </row>
    <row r="872" spans="1:7">
      <c r="A872" s="27">
        <v>880</v>
      </c>
      <c r="B872">
        <v>3008807</v>
      </c>
      <c r="C872" s="36">
        <v>2338</v>
      </c>
      <c r="D872">
        <v>0</v>
      </c>
      <c r="E872">
        <v>0</v>
      </c>
      <c r="F872">
        <v>0</v>
      </c>
      <c r="G872">
        <v>12</v>
      </c>
    </row>
    <row r="873" spans="1:7">
      <c r="A873" s="27">
        <v>881</v>
      </c>
      <c r="B873">
        <v>3008808</v>
      </c>
      <c r="C873" s="36">
        <v>2332</v>
      </c>
      <c r="D873">
        <v>0</v>
      </c>
      <c r="E873">
        <v>0</v>
      </c>
      <c r="F873">
        <v>0</v>
      </c>
      <c r="G873">
        <v>9.033333</v>
      </c>
    </row>
    <row r="874" spans="1:7">
      <c r="A874" s="27">
        <v>882</v>
      </c>
      <c r="B874">
        <v>3008808</v>
      </c>
      <c r="C874" s="36">
        <v>2333</v>
      </c>
      <c r="D874">
        <v>0</v>
      </c>
      <c r="E874">
        <v>0</v>
      </c>
      <c r="F874">
        <v>0</v>
      </c>
      <c r="G874">
        <v>9.033333</v>
      </c>
    </row>
    <row r="875" spans="1:7">
      <c r="A875" s="27">
        <v>883</v>
      </c>
      <c r="B875">
        <v>3008808</v>
      </c>
      <c r="C875" s="36">
        <v>2334</v>
      </c>
      <c r="D875">
        <v>0</v>
      </c>
      <c r="E875">
        <v>0</v>
      </c>
      <c r="F875">
        <v>0</v>
      </c>
      <c r="G875">
        <v>9.033333</v>
      </c>
    </row>
    <row r="876" spans="1:7">
      <c r="A876" s="27">
        <v>884</v>
      </c>
      <c r="B876">
        <v>3008808</v>
      </c>
      <c r="C876" s="36">
        <v>2335</v>
      </c>
      <c r="D876">
        <v>0</v>
      </c>
      <c r="E876">
        <v>0</v>
      </c>
      <c r="F876">
        <v>0</v>
      </c>
      <c r="G876">
        <v>9.033333</v>
      </c>
    </row>
    <row r="877" spans="1:7">
      <c r="A877" s="27">
        <v>885</v>
      </c>
      <c r="B877">
        <v>3008808</v>
      </c>
      <c r="C877" s="36">
        <v>2336</v>
      </c>
      <c r="D877">
        <v>0</v>
      </c>
      <c r="E877">
        <v>0</v>
      </c>
      <c r="F877">
        <v>0</v>
      </c>
      <c r="G877">
        <v>9.033333</v>
      </c>
    </row>
    <row r="878" spans="1:7">
      <c r="A878" s="27">
        <v>886</v>
      </c>
      <c r="B878">
        <v>3008808</v>
      </c>
      <c r="C878" s="36">
        <v>2337</v>
      </c>
      <c r="D878">
        <v>0</v>
      </c>
      <c r="E878">
        <v>0</v>
      </c>
      <c r="F878">
        <v>0</v>
      </c>
      <c r="G878">
        <v>9.033333</v>
      </c>
    </row>
    <row r="879" spans="1:7">
      <c r="A879" s="27">
        <v>887</v>
      </c>
      <c r="B879">
        <v>3008808</v>
      </c>
      <c r="C879" s="36">
        <v>2338</v>
      </c>
      <c r="D879">
        <v>0</v>
      </c>
      <c r="E879">
        <v>0</v>
      </c>
      <c r="F879">
        <v>0</v>
      </c>
      <c r="G879">
        <v>9.033333</v>
      </c>
    </row>
    <row r="880" spans="1:7">
      <c r="A880" s="26">
        <v>888</v>
      </c>
      <c r="B880" s="26">
        <v>14306</v>
      </c>
      <c r="C880" s="37">
        <v>2339</v>
      </c>
      <c r="D880" s="26">
        <v>0</v>
      </c>
      <c r="E880" s="26">
        <v>0</v>
      </c>
      <c r="F880" s="26">
        <v>0</v>
      </c>
      <c r="G880" s="37">
        <f>321/30</f>
        <v>10.7</v>
      </c>
    </row>
    <row r="881" spans="1:7">
      <c r="A881" s="26">
        <v>889</v>
      </c>
      <c r="B881" s="26">
        <v>14306</v>
      </c>
      <c r="C881" s="37">
        <v>2340</v>
      </c>
      <c r="D881" s="26">
        <v>0</v>
      </c>
      <c r="E881" s="26">
        <v>0</v>
      </c>
      <c r="F881" s="26">
        <v>0</v>
      </c>
      <c r="G881" s="37">
        <f>321/30</f>
        <v>10.7</v>
      </c>
    </row>
    <row r="882" spans="1:7">
      <c r="A882" s="26">
        <v>890</v>
      </c>
      <c r="B882" s="26">
        <v>14306</v>
      </c>
      <c r="C882" s="37">
        <v>2341</v>
      </c>
      <c r="D882" s="26">
        <v>0</v>
      </c>
      <c r="E882" s="26">
        <v>0</v>
      </c>
      <c r="F882" s="26">
        <v>0</v>
      </c>
      <c r="G882" s="37">
        <f>321/30</f>
        <v>10.7</v>
      </c>
    </row>
    <row r="883" spans="1:7">
      <c r="A883" s="26">
        <v>891</v>
      </c>
      <c r="B883" s="26">
        <v>14306</v>
      </c>
      <c r="C883" s="37">
        <v>2342</v>
      </c>
      <c r="D883" s="26">
        <v>0</v>
      </c>
      <c r="E883" s="26">
        <v>0</v>
      </c>
      <c r="F883" s="26">
        <v>0</v>
      </c>
      <c r="G883" s="37">
        <f>321/30</f>
        <v>10.7</v>
      </c>
    </row>
    <row r="884" spans="1:7">
      <c r="A884" s="26">
        <v>892</v>
      </c>
      <c r="B884" s="26">
        <v>14304</v>
      </c>
      <c r="C884" s="37">
        <v>2339</v>
      </c>
      <c r="D884" s="26">
        <v>0</v>
      </c>
      <c r="E884" s="26">
        <v>0</v>
      </c>
      <c r="F884" s="26">
        <v>0</v>
      </c>
      <c r="G884" s="37">
        <f>170/30</f>
        <v>5.66666666666667</v>
      </c>
    </row>
    <row r="885" spans="1:7">
      <c r="A885" s="26">
        <v>893</v>
      </c>
      <c r="B885" s="26">
        <v>14304</v>
      </c>
      <c r="C885" s="37">
        <v>2340</v>
      </c>
      <c r="D885" s="26">
        <v>0</v>
      </c>
      <c r="E885" s="26">
        <v>0</v>
      </c>
      <c r="F885" s="26">
        <v>0</v>
      </c>
      <c r="G885" s="37">
        <f>170/30</f>
        <v>5.66666666666667</v>
      </c>
    </row>
    <row r="886" spans="1:7">
      <c r="A886" s="26">
        <v>894</v>
      </c>
      <c r="B886" s="26">
        <v>14304</v>
      </c>
      <c r="C886" s="37">
        <v>2341</v>
      </c>
      <c r="D886" s="26">
        <v>0</v>
      </c>
      <c r="E886" s="26">
        <v>0</v>
      </c>
      <c r="F886" s="26">
        <v>0</v>
      </c>
      <c r="G886" s="37">
        <f>170/30</f>
        <v>5.66666666666667</v>
      </c>
    </row>
    <row r="887" spans="1:7">
      <c r="A887" s="26">
        <v>895</v>
      </c>
      <c r="B887" s="26">
        <v>14304</v>
      </c>
      <c r="C887" s="37">
        <v>2342</v>
      </c>
      <c r="D887" s="26">
        <v>0</v>
      </c>
      <c r="E887" s="26">
        <v>0</v>
      </c>
      <c r="F887" s="26">
        <v>0</v>
      </c>
      <c r="G887" s="37">
        <f>170/30</f>
        <v>5.66666666666667</v>
      </c>
    </row>
    <row r="888" spans="1:7">
      <c r="A888" s="26">
        <v>896</v>
      </c>
      <c r="B888" s="26">
        <v>14307</v>
      </c>
      <c r="C888" s="37">
        <v>2339</v>
      </c>
      <c r="D888" s="26">
        <v>0</v>
      </c>
      <c r="E888" s="26">
        <v>0</v>
      </c>
      <c r="F888" s="26">
        <v>0</v>
      </c>
      <c r="G888" s="38">
        <v>10.3333333333333</v>
      </c>
    </row>
    <row r="889" spans="1:7">
      <c r="A889" s="26">
        <v>897</v>
      </c>
      <c r="B889" s="26">
        <v>14307</v>
      </c>
      <c r="C889" s="37">
        <v>2340</v>
      </c>
      <c r="D889" s="26">
        <v>0</v>
      </c>
      <c r="E889" s="26">
        <v>0</v>
      </c>
      <c r="F889" s="26">
        <v>0</v>
      </c>
      <c r="G889" s="26">
        <v>10.33333333</v>
      </c>
    </row>
    <row r="890" spans="1:7">
      <c r="A890" s="26">
        <v>898</v>
      </c>
      <c r="B890" s="26">
        <v>14307</v>
      </c>
      <c r="C890" s="37">
        <v>2341</v>
      </c>
      <c r="D890" s="26">
        <v>0</v>
      </c>
      <c r="E890" s="26">
        <v>0</v>
      </c>
      <c r="F890" s="26">
        <v>0</v>
      </c>
      <c r="G890" s="26">
        <v>10.33333333</v>
      </c>
    </row>
    <row r="891" spans="1:7">
      <c r="A891" s="26">
        <v>899</v>
      </c>
      <c r="B891" s="26">
        <v>14307</v>
      </c>
      <c r="C891" s="37">
        <v>2342</v>
      </c>
      <c r="D891" s="26">
        <v>0</v>
      </c>
      <c r="E891" s="26">
        <v>0</v>
      </c>
      <c r="F891" s="26">
        <v>0</v>
      </c>
      <c r="G891" s="26">
        <v>10.33333333</v>
      </c>
    </row>
    <row r="892" spans="1:7">
      <c r="A892" s="7">
        <v>900</v>
      </c>
      <c r="B892" s="7">
        <v>401430106</v>
      </c>
      <c r="C892" s="7">
        <v>2343</v>
      </c>
      <c r="D892" s="7">
        <v>0</v>
      </c>
      <c r="E892" s="7">
        <v>0</v>
      </c>
      <c r="F892" s="7">
        <v>0</v>
      </c>
      <c r="G892" s="39">
        <f t="shared" ref="G892:G895" si="29">321/30</f>
        <v>10.7</v>
      </c>
    </row>
    <row r="893" spans="1:7">
      <c r="A893" s="7">
        <v>901</v>
      </c>
      <c r="B893" s="7">
        <v>401430106</v>
      </c>
      <c r="C893" s="7">
        <v>2344</v>
      </c>
      <c r="D893" s="7">
        <v>0</v>
      </c>
      <c r="E893" s="7">
        <v>0</v>
      </c>
      <c r="F893" s="7">
        <v>0</v>
      </c>
      <c r="G893" s="39">
        <f t="shared" si="29"/>
        <v>10.7</v>
      </c>
    </row>
    <row r="894" spans="1:7">
      <c r="A894" s="7">
        <v>902</v>
      </c>
      <c r="B894" s="7">
        <v>401430106</v>
      </c>
      <c r="C894" s="7">
        <v>2345</v>
      </c>
      <c r="D894" s="7">
        <v>0</v>
      </c>
      <c r="E894" s="7">
        <v>0</v>
      </c>
      <c r="F894" s="7">
        <v>0</v>
      </c>
      <c r="G894" s="39">
        <f t="shared" si="29"/>
        <v>10.7</v>
      </c>
    </row>
    <row r="895" spans="1:7">
      <c r="A895" s="7">
        <v>903</v>
      </c>
      <c r="B895" s="7">
        <v>401430106</v>
      </c>
      <c r="C895" s="7">
        <v>2346</v>
      </c>
      <c r="D895" s="7">
        <v>0</v>
      </c>
      <c r="E895" s="7">
        <v>0</v>
      </c>
      <c r="F895" s="7">
        <v>0</v>
      </c>
      <c r="G895" s="39">
        <f t="shared" si="29"/>
        <v>10.7</v>
      </c>
    </row>
    <row r="896" spans="1:7">
      <c r="A896" s="7">
        <v>904</v>
      </c>
      <c r="B896" s="7">
        <v>401430104</v>
      </c>
      <c r="C896" s="7">
        <v>2343</v>
      </c>
      <c r="D896" s="7">
        <v>0</v>
      </c>
      <c r="E896" s="7">
        <v>0</v>
      </c>
      <c r="F896" s="7">
        <v>0</v>
      </c>
      <c r="G896" s="39">
        <f t="shared" ref="G896:G899" si="30">170/30</f>
        <v>5.66666666666667</v>
      </c>
    </row>
    <row r="897" spans="1:7">
      <c r="A897" s="7">
        <v>905</v>
      </c>
      <c r="B897" s="7">
        <v>401430104</v>
      </c>
      <c r="C897" s="7">
        <v>2344</v>
      </c>
      <c r="D897" s="7">
        <v>0</v>
      </c>
      <c r="E897" s="7">
        <v>0</v>
      </c>
      <c r="F897" s="7">
        <v>0</v>
      </c>
      <c r="G897" s="39">
        <f t="shared" si="30"/>
        <v>5.66666666666667</v>
      </c>
    </row>
    <row r="898" spans="1:7">
      <c r="A898" s="7">
        <v>906</v>
      </c>
      <c r="B898" s="7">
        <v>401430104</v>
      </c>
      <c r="C898" s="7">
        <v>2345</v>
      </c>
      <c r="D898" s="7">
        <v>0</v>
      </c>
      <c r="E898" s="7">
        <v>0</v>
      </c>
      <c r="F898" s="7">
        <v>0</v>
      </c>
      <c r="G898" s="39">
        <f t="shared" si="30"/>
        <v>5.66666666666667</v>
      </c>
    </row>
    <row r="899" spans="1:7">
      <c r="A899" s="7">
        <v>907</v>
      </c>
      <c r="B899" s="7">
        <v>401430104</v>
      </c>
      <c r="C899" s="7">
        <v>2346</v>
      </c>
      <c r="D899" s="7">
        <v>0</v>
      </c>
      <c r="E899" s="7">
        <v>0</v>
      </c>
      <c r="F899" s="7">
        <v>0</v>
      </c>
      <c r="G899" s="39">
        <f t="shared" si="30"/>
        <v>5.66666666666667</v>
      </c>
    </row>
    <row r="900" spans="1:7">
      <c r="A900" s="7">
        <v>908</v>
      </c>
      <c r="B900" s="7">
        <v>401430107</v>
      </c>
      <c r="C900" s="7">
        <v>2343</v>
      </c>
      <c r="D900" s="7">
        <v>0</v>
      </c>
      <c r="E900" s="7">
        <v>0</v>
      </c>
      <c r="F900" s="7">
        <v>0</v>
      </c>
      <c r="G900" s="39">
        <v>10.3333333333333</v>
      </c>
    </row>
    <row r="901" spans="1:7">
      <c r="A901" s="7">
        <v>909</v>
      </c>
      <c r="B901" s="7">
        <v>401430107</v>
      </c>
      <c r="C901" s="7">
        <v>2344</v>
      </c>
      <c r="D901" s="7">
        <v>0</v>
      </c>
      <c r="E901" s="7">
        <v>0</v>
      </c>
      <c r="F901" s="7">
        <v>0</v>
      </c>
      <c r="G901" s="7">
        <v>10.33333333</v>
      </c>
    </row>
    <row r="902" spans="1:7">
      <c r="A902" s="7">
        <v>910</v>
      </c>
      <c r="B902" s="7">
        <v>401430107</v>
      </c>
      <c r="C902" s="7">
        <v>2345</v>
      </c>
      <c r="D902" s="7">
        <v>0</v>
      </c>
      <c r="E902" s="7">
        <v>0</v>
      </c>
      <c r="F902" s="7">
        <v>0</v>
      </c>
      <c r="G902" s="7">
        <v>10.33333333</v>
      </c>
    </row>
    <row r="903" spans="1:7">
      <c r="A903" s="7">
        <v>911</v>
      </c>
      <c r="B903" s="7">
        <v>401430107</v>
      </c>
      <c r="C903" s="7">
        <v>2346</v>
      </c>
      <c r="D903" s="7">
        <v>0</v>
      </c>
      <c r="E903" s="7">
        <v>0</v>
      </c>
      <c r="F903" s="7">
        <v>0</v>
      </c>
      <c r="G903" s="7">
        <v>10.33333333</v>
      </c>
    </row>
    <row r="904" spans="1:7">
      <c r="A904" s="3">
        <v>912</v>
      </c>
      <c r="B904" s="3">
        <v>401430206</v>
      </c>
      <c r="C904" s="3">
        <v>2347</v>
      </c>
      <c r="D904" s="3">
        <v>0</v>
      </c>
      <c r="E904" s="3">
        <v>0</v>
      </c>
      <c r="F904" s="3">
        <v>0</v>
      </c>
      <c r="G904" s="40">
        <f>321/30</f>
        <v>10.7</v>
      </c>
    </row>
    <row r="905" spans="1:7">
      <c r="A905" s="3">
        <v>913</v>
      </c>
      <c r="B905" s="3">
        <v>401430206</v>
      </c>
      <c r="C905" s="3">
        <v>2348</v>
      </c>
      <c r="D905" s="3">
        <v>0</v>
      </c>
      <c r="E905" s="3">
        <v>0</v>
      </c>
      <c r="F905" s="3">
        <v>0</v>
      </c>
      <c r="G905" s="40">
        <f>321/30</f>
        <v>10.7</v>
      </c>
    </row>
    <row r="906" spans="1:7">
      <c r="A906" s="3">
        <v>914</v>
      </c>
      <c r="B906" s="3">
        <v>401430206</v>
      </c>
      <c r="C906" s="3">
        <v>2349</v>
      </c>
      <c r="D906" s="3">
        <v>0</v>
      </c>
      <c r="E906" s="3">
        <v>0</v>
      </c>
      <c r="F906" s="3">
        <v>0</v>
      </c>
      <c r="G906" s="40">
        <f>321/30</f>
        <v>10.7</v>
      </c>
    </row>
    <row r="907" spans="1:7">
      <c r="A907" s="3">
        <v>915</v>
      </c>
      <c r="B907" s="3">
        <v>401430204</v>
      </c>
      <c r="C907" s="3">
        <v>2347</v>
      </c>
      <c r="D907" s="3">
        <v>0</v>
      </c>
      <c r="E907" s="3">
        <v>0</v>
      </c>
      <c r="F907" s="3">
        <v>0</v>
      </c>
      <c r="G907" s="40">
        <f>170/30</f>
        <v>5.66666666666667</v>
      </c>
    </row>
    <row r="908" spans="1:7">
      <c r="A908" s="3">
        <v>916</v>
      </c>
      <c r="B908" s="3">
        <v>401430204</v>
      </c>
      <c r="C908" s="3">
        <v>2348</v>
      </c>
      <c r="D908" s="3">
        <v>0</v>
      </c>
      <c r="E908" s="3">
        <v>0</v>
      </c>
      <c r="F908" s="3">
        <v>0</v>
      </c>
      <c r="G908" s="40">
        <f>170/30</f>
        <v>5.66666666666667</v>
      </c>
    </row>
    <row r="909" spans="1:7">
      <c r="A909" s="3">
        <v>917</v>
      </c>
      <c r="B909" s="3">
        <v>401430204</v>
      </c>
      <c r="C909" s="3">
        <v>2349</v>
      </c>
      <c r="D909" s="3">
        <v>0</v>
      </c>
      <c r="E909" s="3">
        <v>0</v>
      </c>
      <c r="F909" s="3">
        <v>0</v>
      </c>
      <c r="G909" s="40">
        <f>170/30</f>
        <v>5.66666666666667</v>
      </c>
    </row>
    <row r="910" spans="1:7">
      <c r="A910" s="3">
        <v>918</v>
      </c>
      <c r="B910" s="3">
        <v>401430207</v>
      </c>
      <c r="C910" s="3">
        <v>2347</v>
      </c>
      <c r="D910" s="3">
        <v>0</v>
      </c>
      <c r="E910" s="3">
        <v>0</v>
      </c>
      <c r="F910" s="3">
        <v>0</v>
      </c>
      <c r="G910" s="40">
        <v>10.3333333333333</v>
      </c>
    </row>
    <row r="911" spans="1:7">
      <c r="A911" s="3">
        <v>919</v>
      </c>
      <c r="B911" s="3">
        <v>401430207</v>
      </c>
      <c r="C911" s="3">
        <v>2348</v>
      </c>
      <c r="D911" s="3">
        <v>0</v>
      </c>
      <c r="E911" s="3">
        <v>0</v>
      </c>
      <c r="F911" s="3">
        <v>0</v>
      </c>
      <c r="G911" s="3">
        <v>10.33333333</v>
      </c>
    </row>
    <row r="912" spans="1:7">
      <c r="A912" s="3">
        <v>920</v>
      </c>
      <c r="B912" s="3">
        <v>401430207</v>
      </c>
      <c r="C912" s="3">
        <v>2349</v>
      </c>
      <c r="D912" s="3">
        <v>0</v>
      </c>
      <c r="E912" s="3">
        <v>0</v>
      </c>
      <c r="F912" s="3">
        <v>0</v>
      </c>
      <c r="G912" s="3">
        <v>10.33333333</v>
      </c>
    </row>
    <row r="913" customFormat="1" spans="1:7">
      <c r="A913" s="3">
        <v>921</v>
      </c>
      <c r="B913" s="3">
        <v>12610</v>
      </c>
      <c r="C913" s="3">
        <v>2173</v>
      </c>
      <c r="D913" s="3">
        <v>0</v>
      </c>
      <c r="E913" s="3">
        <v>0</v>
      </c>
      <c r="F913" s="3">
        <v>0</v>
      </c>
      <c r="G913" s="3">
        <f t="shared" ref="G913:G920" si="31">510/30</f>
        <v>17</v>
      </c>
    </row>
    <row r="914" customFormat="1" spans="1:7">
      <c r="A914" s="3">
        <v>922</v>
      </c>
      <c r="B914" s="3">
        <v>12610</v>
      </c>
      <c r="C914" s="3">
        <v>2174</v>
      </c>
      <c r="D914" s="3">
        <v>0</v>
      </c>
      <c r="E914" s="3">
        <v>0</v>
      </c>
      <c r="F914" s="3">
        <v>0</v>
      </c>
      <c r="G914" s="3">
        <f t="shared" si="31"/>
        <v>17</v>
      </c>
    </row>
    <row r="915" customFormat="1" spans="1:7">
      <c r="A915" s="3">
        <v>923</v>
      </c>
      <c r="B915" s="3">
        <v>12610</v>
      </c>
      <c r="C915" s="3">
        <v>2175</v>
      </c>
      <c r="D915" s="3">
        <v>0</v>
      </c>
      <c r="E915" s="3">
        <v>0</v>
      </c>
      <c r="F915" s="3">
        <v>0</v>
      </c>
      <c r="G915" s="3">
        <f t="shared" si="31"/>
        <v>17</v>
      </c>
    </row>
    <row r="916" customFormat="1" spans="1:7">
      <c r="A916" s="3">
        <v>924</v>
      </c>
      <c r="B916" s="3">
        <v>12610</v>
      </c>
      <c r="C916" s="3">
        <v>2176</v>
      </c>
      <c r="D916" s="3">
        <v>0</v>
      </c>
      <c r="E916" s="3">
        <v>0</v>
      </c>
      <c r="F916" s="3">
        <v>0</v>
      </c>
      <c r="G916" s="3">
        <f t="shared" si="31"/>
        <v>17</v>
      </c>
    </row>
    <row r="917" customFormat="1" spans="1:7">
      <c r="A917" s="3">
        <v>925</v>
      </c>
      <c r="B917" s="3">
        <v>14506</v>
      </c>
      <c r="C917" s="41">
        <v>2350</v>
      </c>
      <c r="D917" s="3">
        <v>0</v>
      </c>
      <c r="E917" s="3">
        <v>0</v>
      </c>
      <c r="F917" s="3">
        <v>0</v>
      </c>
      <c r="G917" s="3">
        <f>258/30</f>
        <v>8.6</v>
      </c>
    </row>
    <row r="918" customFormat="1" spans="1:7">
      <c r="A918" s="3">
        <v>926</v>
      </c>
      <c r="B918" s="3">
        <v>14506</v>
      </c>
      <c r="C918" s="41">
        <v>2351</v>
      </c>
      <c r="D918" s="3">
        <v>0</v>
      </c>
      <c r="E918" s="3">
        <v>0</v>
      </c>
      <c r="F918" s="3">
        <v>0</v>
      </c>
      <c r="G918" s="3">
        <f>258/30</f>
        <v>8.6</v>
      </c>
    </row>
    <row r="919" customFormat="1" spans="1:7">
      <c r="A919" s="3">
        <v>927</v>
      </c>
      <c r="B919" s="3">
        <v>14506</v>
      </c>
      <c r="C919" s="41">
        <v>2352</v>
      </c>
      <c r="D919" s="3">
        <v>0</v>
      </c>
      <c r="E919" s="3">
        <v>0</v>
      </c>
      <c r="F919" s="3">
        <v>0</v>
      </c>
      <c r="G919" s="3">
        <f>258/30</f>
        <v>8.6</v>
      </c>
    </row>
    <row r="920" spans="1:7">
      <c r="A920" s="3">
        <v>928</v>
      </c>
      <c r="B920" s="3">
        <v>14508</v>
      </c>
      <c r="C920" s="41">
        <v>2350</v>
      </c>
      <c r="D920" s="3">
        <v>0</v>
      </c>
      <c r="E920" s="3">
        <v>0</v>
      </c>
      <c r="F920" s="3">
        <v>0</v>
      </c>
      <c r="G920" s="3">
        <f>376/30</f>
        <v>12.5333333333333</v>
      </c>
    </row>
    <row r="921" spans="1:7">
      <c r="A921" s="3">
        <v>929</v>
      </c>
      <c r="B921" s="3">
        <v>14508</v>
      </c>
      <c r="C921" s="41">
        <v>2351</v>
      </c>
      <c r="D921" s="3">
        <v>0</v>
      </c>
      <c r="E921" s="3">
        <v>0</v>
      </c>
      <c r="F921" s="3">
        <v>0</v>
      </c>
      <c r="G921" s="3">
        <f>376/30</f>
        <v>12.5333333333333</v>
      </c>
    </row>
    <row r="922" spans="1:7">
      <c r="A922" s="3">
        <v>930</v>
      </c>
      <c r="B922" s="3">
        <v>14508</v>
      </c>
      <c r="C922" s="41">
        <v>2352</v>
      </c>
      <c r="D922" s="3">
        <v>0</v>
      </c>
      <c r="E922" s="3">
        <v>0</v>
      </c>
      <c r="F922" s="3">
        <v>0</v>
      </c>
      <c r="G922" s="3">
        <f>376/30</f>
        <v>12.5333333333333</v>
      </c>
    </row>
    <row r="923" customFormat="1" spans="1:7">
      <c r="A923" s="3">
        <v>931</v>
      </c>
      <c r="B923" s="3">
        <v>401260210</v>
      </c>
      <c r="C923" s="3">
        <v>2353</v>
      </c>
      <c r="D923" s="3">
        <v>0</v>
      </c>
      <c r="E923" s="3">
        <v>0</v>
      </c>
      <c r="F923" s="3">
        <v>0</v>
      </c>
      <c r="G923" s="3">
        <f t="shared" ref="G923:G926" si="32">510/30</f>
        <v>17</v>
      </c>
    </row>
    <row r="924" customFormat="1" spans="1:7">
      <c r="A924" s="3">
        <v>932</v>
      </c>
      <c r="B924" s="3">
        <v>401260210</v>
      </c>
      <c r="C924" s="3">
        <v>2354</v>
      </c>
      <c r="D924" s="3">
        <v>0</v>
      </c>
      <c r="E924" s="3">
        <v>0</v>
      </c>
      <c r="F924" s="3">
        <v>0</v>
      </c>
      <c r="G924" s="3">
        <f t="shared" si="32"/>
        <v>17</v>
      </c>
    </row>
    <row r="925" customFormat="1" spans="1:7">
      <c r="A925" s="3">
        <v>933</v>
      </c>
      <c r="B925" s="3">
        <v>401260210</v>
      </c>
      <c r="C925" s="3">
        <v>2355</v>
      </c>
      <c r="D925" s="3">
        <v>0</v>
      </c>
      <c r="E925" s="3">
        <v>0</v>
      </c>
      <c r="F925" s="3">
        <v>0</v>
      </c>
      <c r="G925" s="3">
        <f t="shared" si="32"/>
        <v>17</v>
      </c>
    </row>
    <row r="926" customFormat="1" spans="1:7">
      <c r="A926" s="3">
        <v>934</v>
      </c>
      <c r="B926" s="3">
        <v>401260210</v>
      </c>
      <c r="C926" s="3">
        <v>2356</v>
      </c>
      <c r="D926" s="3">
        <v>0</v>
      </c>
      <c r="E926" s="3">
        <v>0</v>
      </c>
      <c r="F926" s="3">
        <v>0</v>
      </c>
      <c r="G926" s="3">
        <f t="shared" si="32"/>
        <v>17</v>
      </c>
    </row>
    <row r="927" customFormat="1" spans="1:7">
      <c r="A927" s="3">
        <v>935</v>
      </c>
      <c r="B927" s="19" t="s">
        <v>201</v>
      </c>
      <c r="C927" s="2">
        <v>0</v>
      </c>
      <c r="D927" s="2">
        <v>2360</v>
      </c>
      <c r="E927" s="2">
        <v>1</v>
      </c>
      <c r="F927" s="2">
        <f t="shared" ref="F927:F929" si="33">6/30</f>
        <v>0.2</v>
      </c>
      <c r="G927" s="2">
        <f t="shared" ref="G927:G929" si="34">94/30</f>
        <v>3.13333333333333</v>
      </c>
    </row>
    <row r="928" customFormat="1" spans="1:7">
      <c r="A928" s="3">
        <v>936</v>
      </c>
      <c r="B928" s="19" t="s">
        <v>201</v>
      </c>
      <c r="C928" s="2">
        <v>2361</v>
      </c>
      <c r="D928" s="2">
        <v>0</v>
      </c>
      <c r="E928" s="2">
        <v>1</v>
      </c>
      <c r="F928" s="2">
        <f t="shared" si="33"/>
        <v>0.2</v>
      </c>
      <c r="G928" s="2">
        <f t="shared" si="34"/>
        <v>3.13333333333333</v>
      </c>
    </row>
    <row r="929" customFormat="1" spans="1:7">
      <c r="A929" s="3">
        <v>937</v>
      </c>
      <c r="B929" s="19" t="s">
        <v>201</v>
      </c>
      <c r="C929" s="2">
        <v>2362</v>
      </c>
      <c r="D929" s="2">
        <v>0</v>
      </c>
      <c r="E929" s="2">
        <v>1</v>
      </c>
      <c r="F929" s="2">
        <f t="shared" si="33"/>
        <v>0.2</v>
      </c>
      <c r="G929" s="2">
        <f t="shared" si="34"/>
        <v>3.13333333333333</v>
      </c>
    </row>
    <row r="930" customFormat="1" spans="1:7">
      <c r="A930" s="3">
        <v>938</v>
      </c>
      <c r="B930" s="19" t="s">
        <v>201</v>
      </c>
      <c r="C930" s="2">
        <v>0</v>
      </c>
      <c r="D930" s="2">
        <v>2359</v>
      </c>
      <c r="E930" s="2">
        <v>1</v>
      </c>
      <c r="F930" s="2">
        <v>1</v>
      </c>
      <c r="G930" s="2">
        <f>40/30</f>
        <v>1.33333333333333</v>
      </c>
    </row>
    <row r="931" customFormat="1" spans="1:7">
      <c r="A931" s="3">
        <v>939</v>
      </c>
      <c r="B931" s="19" t="s">
        <v>202</v>
      </c>
      <c r="C931" s="2">
        <v>0</v>
      </c>
      <c r="D931" s="2">
        <v>2357</v>
      </c>
      <c r="E931" s="2">
        <v>1</v>
      </c>
      <c r="F931" s="2">
        <f>61/30</f>
        <v>2.03333333333333</v>
      </c>
      <c r="G931" s="2">
        <f>115/30</f>
        <v>3.83333333333333</v>
      </c>
    </row>
    <row r="932" customFormat="1" spans="1:7">
      <c r="A932" s="3">
        <v>940</v>
      </c>
      <c r="B932" s="19" t="s">
        <v>203</v>
      </c>
      <c r="C932" s="2">
        <v>0</v>
      </c>
      <c r="D932" s="2">
        <v>2357</v>
      </c>
      <c r="E932" s="2">
        <v>1</v>
      </c>
      <c r="F932" s="2">
        <f>60/30</f>
        <v>2</v>
      </c>
      <c r="G932" s="2">
        <f>125/30</f>
        <v>4.16666666666667</v>
      </c>
    </row>
    <row r="933" customFormat="1" spans="1:7">
      <c r="A933" s="3">
        <v>941</v>
      </c>
      <c r="B933" s="19" t="s">
        <v>204</v>
      </c>
      <c r="C933" s="2">
        <v>2361</v>
      </c>
      <c r="D933" s="2">
        <v>0</v>
      </c>
      <c r="E933" s="2">
        <v>0</v>
      </c>
      <c r="F933" s="2">
        <v>0</v>
      </c>
      <c r="G933" s="2">
        <v>16</v>
      </c>
    </row>
    <row r="934" customFormat="1" spans="1:7">
      <c r="A934" s="3">
        <v>942</v>
      </c>
      <c r="B934" s="19" t="s">
        <v>204</v>
      </c>
      <c r="C934" s="2">
        <v>2362</v>
      </c>
      <c r="D934" s="2">
        <v>0</v>
      </c>
      <c r="E934" s="2">
        <v>0</v>
      </c>
      <c r="F934" s="2">
        <v>0</v>
      </c>
      <c r="G934" s="2">
        <v>16</v>
      </c>
    </row>
    <row r="935" customFormat="1" spans="1:7">
      <c r="A935" s="3">
        <v>943</v>
      </c>
      <c r="B935" s="19" t="s">
        <v>204</v>
      </c>
      <c r="C935" s="2">
        <v>2363</v>
      </c>
      <c r="D935" s="2">
        <v>0</v>
      </c>
      <c r="E935" s="2">
        <v>0</v>
      </c>
      <c r="F935" s="2">
        <v>0</v>
      </c>
      <c r="G935" s="2">
        <v>16</v>
      </c>
    </row>
    <row r="936" customFormat="1" spans="1:7">
      <c r="A936" s="3">
        <v>944</v>
      </c>
      <c r="B936" s="19" t="s">
        <v>204</v>
      </c>
      <c r="C936" s="2">
        <v>2365</v>
      </c>
      <c r="D936" s="2">
        <v>0</v>
      </c>
      <c r="E936" s="2">
        <v>0</v>
      </c>
      <c r="F936" s="2">
        <v>0</v>
      </c>
      <c r="G936" s="2">
        <v>16</v>
      </c>
    </row>
    <row r="937" customFormat="1" spans="1:7">
      <c r="A937" s="3">
        <v>945</v>
      </c>
      <c r="B937" s="19" t="s">
        <v>204</v>
      </c>
      <c r="C937" s="2">
        <v>2364</v>
      </c>
      <c r="D937" s="2">
        <v>0</v>
      </c>
      <c r="E937" s="2">
        <v>0</v>
      </c>
      <c r="F937" s="2">
        <v>0</v>
      </c>
      <c r="G937" s="2">
        <v>16</v>
      </c>
    </row>
    <row r="938" customFormat="1" spans="1:7">
      <c r="A938" s="3">
        <v>946</v>
      </c>
      <c r="B938" s="19" t="s">
        <v>205</v>
      </c>
      <c r="C938" s="2">
        <v>2362</v>
      </c>
      <c r="D938" s="2">
        <v>0</v>
      </c>
      <c r="E938" s="2">
        <v>1</v>
      </c>
      <c r="F938" s="2">
        <f>17/30</f>
        <v>0.566666666666667</v>
      </c>
      <c r="G938" s="2">
        <f>69/30</f>
        <v>2.3</v>
      </c>
    </row>
    <row r="939" customFormat="1" spans="1:7">
      <c r="A939" s="3">
        <v>947</v>
      </c>
      <c r="B939" s="19" t="s">
        <v>206</v>
      </c>
      <c r="C939" s="2">
        <v>2361</v>
      </c>
      <c r="D939" s="2">
        <v>0</v>
      </c>
      <c r="E939" s="2">
        <v>0</v>
      </c>
      <c r="F939" s="2">
        <v>0</v>
      </c>
      <c r="G939" s="2">
        <v>8.466666</v>
      </c>
    </row>
    <row r="940" customFormat="1" spans="1:7">
      <c r="A940" s="3">
        <v>948</v>
      </c>
      <c r="B940" s="19" t="s">
        <v>206</v>
      </c>
      <c r="C940" s="2">
        <v>2362</v>
      </c>
      <c r="D940" s="2">
        <v>0</v>
      </c>
      <c r="E940" s="2">
        <v>0</v>
      </c>
      <c r="F940" s="2">
        <v>0</v>
      </c>
      <c r="G940" s="2">
        <v>8.466666</v>
      </c>
    </row>
    <row r="941" customFormat="1" spans="1:7">
      <c r="A941" s="3">
        <v>949</v>
      </c>
      <c r="B941" s="19" t="s">
        <v>206</v>
      </c>
      <c r="C941" s="2">
        <v>2363</v>
      </c>
      <c r="D941" s="2">
        <v>0</v>
      </c>
      <c r="E941" s="2">
        <v>0</v>
      </c>
      <c r="F941" s="2">
        <v>0</v>
      </c>
      <c r="G941" s="2">
        <v>8.466666</v>
      </c>
    </row>
    <row r="942" customFormat="1" spans="1:7">
      <c r="A942" s="3">
        <v>950</v>
      </c>
      <c r="B942" s="19" t="s">
        <v>206</v>
      </c>
      <c r="C942" s="2">
        <v>2365</v>
      </c>
      <c r="D942" s="2">
        <v>0</v>
      </c>
      <c r="E942" s="2">
        <v>0</v>
      </c>
      <c r="F942" s="2">
        <v>0</v>
      </c>
      <c r="G942" s="2">
        <v>8.466666</v>
      </c>
    </row>
    <row r="943" customFormat="1" spans="1:7">
      <c r="A943" s="3">
        <v>951</v>
      </c>
      <c r="B943" s="19" t="s">
        <v>206</v>
      </c>
      <c r="C943" s="2">
        <v>2364</v>
      </c>
      <c r="D943" s="2">
        <v>0</v>
      </c>
      <c r="E943" s="2">
        <v>0</v>
      </c>
      <c r="F943" s="2">
        <v>0</v>
      </c>
      <c r="G943" s="2">
        <v>8.466666</v>
      </c>
    </row>
    <row r="944" spans="1:7">
      <c r="A944" s="3">
        <v>952</v>
      </c>
      <c r="B944" s="3">
        <v>14707</v>
      </c>
      <c r="C944" s="41">
        <v>2370</v>
      </c>
      <c r="D944" s="3">
        <v>0</v>
      </c>
      <c r="E944" s="3">
        <v>0</v>
      </c>
      <c r="F944" s="3">
        <v>0</v>
      </c>
      <c r="G944" s="42">
        <f t="shared" ref="G944:G949" si="35">265/30</f>
        <v>8.83333333333333</v>
      </c>
    </row>
    <row r="945" spans="1:7">
      <c r="A945" s="3">
        <v>953</v>
      </c>
      <c r="B945" s="3">
        <v>14707</v>
      </c>
      <c r="C945" s="41">
        <v>2371</v>
      </c>
      <c r="D945" s="3">
        <v>0</v>
      </c>
      <c r="E945" s="3">
        <v>0</v>
      </c>
      <c r="F945" s="3">
        <v>0</v>
      </c>
      <c r="G945" s="42">
        <f t="shared" si="35"/>
        <v>8.83333333333333</v>
      </c>
    </row>
    <row r="946" spans="1:7">
      <c r="A946" s="3">
        <v>954</v>
      </c>
      <c r="B946" s="3">
        <v>14707</v>
      </c>
      <c r="C946" s="41">
        <v>2372</v>
      </c>
      <c r="D946" s="3">
        <v>0</v>
      </c>
      <c r="E946" s="3">
        <v>0</v>
      </c>
      <c r="F946" s="3">
        <v>0</v>
      </c>
      <c r="G946" s="42">
        <f t="shared" si="35"/>
        <v>8.83333333333333</v>
      </c>
    </row>
    <row r="947" customFormat="1" spans="1:7">
      <c r="A947" s="3">
        <v>955</v>
      </c>
      <c r="B947" s="3">
        <v>401470107</v>
      </c>
      <c r="C947" s="41">
        <v>2373</v>
      </c>
      <c r="D947" s="3">
        <v>0</v>
      </c>
      <c r="E947" s="3">
        <v>0</v>
      </c>
      <c r="F947" s="3">
        <v>0</v>
      </c>
      <c r="G947" s="42">
        <f t="shared" si="35"/>
        <v>8.83333333333333</v>
      </c>
    </row>
    <row r="948" customFormat="1" spans="1:7">
      <c r="A948" s="3">
        <v>956</v>
      </c>
      <c r="B948" s="3">
        <v>401470107</v>
      </c>
      <c r="C948" s="41">
        <v>2374</v>
      </c>
      <c r="D948" s="3">
        <v>0</v>
      </c>
      <c r="E948" s="3">
        <v>0</v>
      </c>
      <c r="F948" s="3">
        <v>0</v>
      </c>
      <c r="G948" s="42">
        <f t="shared" si="35"/>
        <v>8.83333333333333</v>
      </c>
    </row>
    <row r="949" customFormat="1" spans="1:7">
      <c r="A949" s="3">
        <v>957</v>
      </c>
      <c r="B949" s="3">
        <v>401470107</v>
      </c>
      <c r="C949" s="41">
        <v>2375</v>
      </c>
      <c r="D949" s="3">
        <v>0</v>
      </c>
      <c r="E949" s="3">
        <v>0</v>
      </c>
      <c r="F949" s="3">
        <v>0</v>
      </c>
      <c r="G949" s="42">
        <f t="shared" si="35"/>
        <v>8.83333333333333</v>
      </c>
    </row>
    <row r="950" spans="1:7">
      <c r="A950" s="3">
        <v>958</v>
      </c>
      <c r="B950">
        <v>14804</v>
      </c>
      <c r="C950" s="41">
        <v>2376</v>
      </c>
      <c r="D950">
        <v>0</v>
      </c>
      <c r="E950">
        <v>0</v>
      </c>
      <c r="F950">
        <v>0</v>
      </c>
      <c r="G950">
        <f t="shared" ref="G950:G965" si="36">470/30</f>
        <v>15.6666666666667</v>
      </c>
    </row>
    <row r="951" spans="1:7">
      <c r="A951" s="3">
        <v>959</v>
      </c>
      <c r="B951">
        <v>14804</v>
      </c>
      <c r="C951" s="41">
        <v>2377</v>
      </c>
      <c r="D951">
        <v>0</v>
      </c>
      <c r="E951">
        <v>0</v>
      </c>
      <c r="F951">
        <v>0</v>
      </c>
      <c r="G951">
        <f t="shared" si="36"/>
        <v>15.6666666666667</v>
      </c>
    </row>
    <row r="952" spans="1:7">
      <c r="A952" s="3">
        <v>960</v>
      </c>
      <c r="B952">
        <v>14804</v>
      </c>
      <c r="C952" s="41">
        <v>2378</v>
      </c>
      <c r="D952">
        <v>0</v>
      </c>
      <c r="E952">
        <v>0</v>
      </c>
      <c r="F952">
        <v>0</v>
      </c>
      <c r="G952">
        <f t="shared" si="36"/>
        <v>15.6666666666667</v>
      </c>
    </row>
    <row r="953" spans="1:7">
      <c r="A953" s="3">
        <v>961</v>
      </c>
      <c r="B953">
        <v>14804</v>
      </c>
      <c r="C953" s="41">
        <v>2379</v>
      </c>
      <c r="D953">
        <v>0</v>
      </c>
      <c r="E953">
        <v>0</v>
      </c>
      <c r="F953">
        <v>0</v>
      </c>
      <c r="G953">
        <f t="shared" si="36"/>
        <v>15.6666666666667</v>
      </c>
    </row>
    <row r="954" spans="1:7">
      <c r="A954" s="3">
        <v>962</v>
      </c>
      <c r="B954">
        <v>14804</v>
      </c>
      <c r="C954" s="41">
        <v>2380</v>
      </c>
      <c r="D954">
        <v>0</v>
      </c>
      <c r="E954">
        <v>0</v>
      </c>
      <c r="F954">
        <v>0</v>
      </c>
      <c r="G954">
        <f t="shared" si="36"/>
        <v>15.6666666666667</v>
      </c>
    </row>
    <row r="955" spans="1:7">
      <c r="A955" s="3">
        <v>963</v>
      </c>
      <c r="B955">
        <v>14804</v>
      </c>
      <c r="C955" s="41">
        <v>2381</v>
      </c>
      <c r="D955">
        <v>0</v>
      </c>
      <c r="E955">
        <v>0</v>
      </c>
      <c r="F955">
        <v>0</v>
      </c>
      <c r="G955">
        <f t="shared" si="36"/>
        <v>15.6666666666667</v>
      </c>
    </row>
    <row r="956" s="1" customFormat="1" spans="1:7">
      <c r="A956" s="3">
        <v>964</v>
      </c>
      <c r="B956" s="1">
        <v>401480104</v>
      </c>
      <c r="C956" s="43">
        <v>2376</v>
      </c>
      <c r="D956" s="1">
        <v>0</v>
      </c>
      <c r="E956" s="1">
        <v>0</v>
      </c>
      <c r="F956" s="1">
        <v>0</v>
      </c>
      <c r="G956" s="1">
        <f t="shared" si="36"/>
        <v>15.6666666666667</v>
      </c>
    </row>
    <row r="957" s="1" customFormat="1" spans="1:7">
      <c r="A957" s="3">
        <v>965</v>
      </c>
      <c r="B957" s="1">
        <v>401480104</v>
      </c>
      <c r="C957" s="43">
        <v>2377</v>
      </c>
      <c r="D957" s="1">
        <v>0</v>
      </c>
      <c r="E957" s="1">
        <v>0</v>
      </c>
      <c r="F957" s="1">
        <v>0</v>
      </c>
      <c r="G957" s="1">
        <f t="shared" si="36"/>
        <v>15.6666666666667</v>
      </c>
    </row>
    <row r="958" s="1" customFormat="1" spans="1:7">
      <c r="A958" s="3">
        <v>966</v>
      </c>
      <c r="B958" s="1">
        <v>401480104</v>
      </c>
      <c r="C958" s="43">
        <v>2378</v>
      </c>
      <c r="D958" s="1">
        <v>0</v>
      </c>
      <c r="E958" s="1">
        <v>0</v>
      </c>
      <c r="F958" s="1">
        <v>0</v>
      </c>
      <c r="G958" s="1">
        <f t="shared" si="36"/>
        <v>15.6666666666667</v>
      </c>
    </row>
    <row r="959" s="1" customFormat="1" spans="1:7">
      <c r="A959" s="3">
        <v>967</v>
      </c>
      <c r="B959" s="1">
        <v>401480104</v>
      </c>
      <c r="C959" s="43">
        <v>2379</v>
      </c>
      <c r="D959" s="1">
        <v>0</v>
      </c>
      <c r="E959" s="1">
        <v>0</v>
      </c>
      <c r="F959" s="1">
        <v>0</v>
      </c>
      <c r="G959" s="1">
        <f t="shared" si="36"/>
        <v>15.6666666666667</v>
      </c>
    </row>
    <row r="960" s="1" customFormat="1" spans="1:7">
      <c r="A960" s="3">
        <v>968</v>
      </c>
      <c r="B960" s="1">
        <v>401480104</v>
      </c>
      <c r="C960" s="43">
        <v>2380</v>
      </c>
      <c r="D960" s="1">
        <v>0</v>
      </c>
      <c r="E960" s="1">
        <v>0</v>
      </c>
      <c r="F960" s="1">
        <v>0</v>
      </c>
      <c r="G960" s="1">
        <f t="shared" si="36"/>
        <v>15.6666666666667</v>
      </c>
    </row>
    <row r="961" s="1" customFormat="1" spans="1:7">
      <c r="A961" s="3">
        <v>969</v>
      </c>
      <c r="B961" s="1">
        <v>401480104</v>
      </c>
      <c r="C961" s="43">
        <v>2381</v>
      </c>
      <c r="D961" s="1">
        <v>0</v>
      </c>
      <c r="E961" s="1">
        <v>0</v>
      </c>
      <c r="F961" s="1">
        <v>0</v>
      </c>
      <c r="G961" s="1">
        <f t="shared" si="36"/>
        <v>15.6666666666667</v>
      </c>
    </row>
    <row r="962" s="1" customFormat="1" spans="1:7">
      <c r="A962" s="3">
        <v>970</v>
      </c>
      <c r="B962" s="38">
        <v>14907</v>
      </c>
      <c r="C962" s="41">
        <v>2382</v>
      </c>
      <c r="D962" s="38">
        <v>0</v>
      </c>
      <c r="E962" s="38">
        <v>0</v>
      </c>
      <c r="F962" s="38">
        <v>0</v>
      </c>
      <c r="G962" s="8">
        <f>163/30</f>
        <v>5.43333333333333</v>
      </c>
    </row>
    <row r="963" s="1" customFormat="1" spans="1:7">
      <c r="A963" s="3">
        <v>971</v>
      </c>
      <c r="B963" s="38">
        <v>14907</v>
      </c>
      <c r="C963" s="41">
        <v>2383</v>
      </c>
      <c r="D963" s="38">
        <v>0</v>
      </c>
      <c r="E963" s="38">
        <v>0</v>
      </c>
      <c r="F963" s="38">
        <v>0</v>
      </c>
      <c r="G963" s="8">
        <f>163/30</f>
        <v>5.43333333333333</v>
      </c>
    </row>
    <row r="964" s="1" customFormat="1" spans="1:7">
      <c r="A964" s="3">
        <v>972</v>
      </c>
      <c r="B964" s="38">
        <v>401490107</v>
      </c>
      <c r="C964" s="41">
        <v>2382</v>
      </c>
      <c r="D964" s="38">
        <v>0</v>
      </c>
      <c r="E964" s="38">
        <v>0</v>
      </c>
      <c r="F964" s="38">
        <v>0</v>
      </c>
      <c r="G964" s="8">
        <f>163/30</f>
        <v>5.43333333333333</v>
      </c>
    </row>
    <row r="965" s="1" customFormat="1" spans="1:7">
      <c r="A965" s="3">
        <v>973</v>
      </c>
      <c r="B965" s="38">
        <v>401490107</v>
      </c>
      <c r="C965" s="41">
        <v>2383</v>
      </c>
      <c r="D965" s="38">
        <v>0</v>
      </c>
      <c r="E965" s="38">
        <v>0</v>
      </c>
      <c r="F965" s="38">
        <v>0</v>
      </c>
      <c r="G965" s="8">
        <f>163/30</f>
        <v>5.43333333333333</v>
      </c>
    </row>
    <row r="966" spans="1:7">
      <c r="A966" s="3">
        <v>974</v>
      </c>
      <c r="B966">
        <v>15007</v>
      </c>
      <c r="C966" s="41">
        <v>0</v>
      </c>
      <c r="D966" s="41">
        <v>2384</v>
      </c>
      <c r="E966" s="38">
        <v>0</v>
      </c>
      <c r="F966" s="38">
        <v>0</v>
      </c>
      <c r="G966" s="8">
        <v>8.2</v>
      </c>
    </row>
    <row r="967" spans="1:7">
      <c r="A967" s="3">
        <v>975</v>
      </c>
      <c r="B967">
        <v>15007</v>
      </c>
      <c r="C967" s="41">
        <v>0</v>
      </c>
      <c r="D967" s="41">
        <v>2385</v>
      </c>
      <c r="E967" s="38">
        <v>0</v>
      </c>
      <c r="F967" s="38">
        <v>0</v>
      </c>
      <c r="G967" s="8">
        <v>8.2</v>
      </c>
    </row>
    <row r="968" spans="1:7">
      <c r="A968" s="3">
        <v>976</v>
      </c>
      <c r="B968">
        <v>15007</v>
      </c>
      <c r="C968">
        <v>2387</v>
      </c>
      <c r="D968">
        <v>0</v>
      </c>
      <c r="E968" s="38">
        <v>0</v>
      </c>
      <c r="F968" s="38">
        <v>0</v>
      </c>
      <c r="G968" s="8">
        <v>8.2</v>
      </c>
    </row>
    <row r="969" spans="1:7">
      <c r="A969" s="3">
        <v>977</v>
      </c>
      <c r="B969">
        <v>15007</v>
      </c>
      <c r="C969" s="41">
        <v>2391</v>
      </c>
      <c r="D969">
        <v>0</v>
      </c>
      <c r="E969" s="38">
        <v>0</v>
      </c>
      <c r="F969" s="38">
        <v>0</v>
      </c>
      <c r="G969" s="8">
        <v>8.2</v>
      </c>
    </row>
    <row r="970" spans="1:7">
      <c r="A970" s="3">
        <v>978</v>
      </c>
      <c r="B970">
        <v>15007</v>
      </c>
      <c r="C970" s="41">
        <v>2392</v>
      </c>
      <c r="D970">
        <v>0</v>
      </c>
      <c r="E970" s="38">
        <v>0</v>
      </c>
      <c r="F970" s="38">
        <v>0</v>
      </c>
      <c r="G970" s="8">
        <v>8.2</v>
      </c>
    </row>
    <row r="971" customFormat="1" spans="1:7">
      <c r="A971" s="3">
        <v>979</v>
      </c>
      <c r="B971">
        <v>15007</v>
      </c>
      <c r="C971" s="41">
        <v>2390</v>
      </c>
      <c r="D971">
        <v>0</v>
      </c>
      <c r="E971" s="38">
        <v>0</v>
      </c>
      <c r="F971" s="38">
        <v>0</v>
      </c>
      <c r="G971" s="8">
        <v>8.2</v>
      </c>
    </row>
    <row r="972" spans="1:7">
      <c r="A972" s="3">
        <v>980</v>
      </c>
      <c r="B972">
        <v>15008</v>
      </c>
      <c r="C972">
        <v>0</v>
      </c>
      <c r="D972">
        <v>2386</v>
      </c>
      <c r="E972" s="38">
        <v>1</v>
      </c>
      <c r="F972" s="38">
        <f>100/30</f>
        <v>3.33333333333333</v>
      </c>
      <c r="G972" s="8">
        <v>4.33333333333334</v>
      </c>
    </row>
    <row r="973" spans="1:7">
      <c r="A973" s="3">
        <v>981</v>
      </c>
      <c r="B973">
        <v>15008</v>
      </c>
      <c r="C973">
        <v>2392</v>
      </c>
      <c r="D973">
        <v>0</v>
      </c>
      <c r="E973" s="38">
        <v>1</v>
      </c>
      <c r="F973" s="38">
        <f>100/30</f>
        <v>3.33333333333333</v>
      </c>
      <c r="G973" s="8">
        <v>4.33333333333334</v>
      </c>
    </row>
    <row r="974" customFormat="1" spans="1:7">
      <c r="A974" s="3">
        <v>982</v>
      </c>
      <c r="B974">
        <v>15008</v>
      </c>
      <c r="C974" s="41">
        <v>2390</v>
      </c>
      <c r="D974">
        <v>0</v>
      </c>
      <c r="E974" s="38">
        <v>0</v>
      </c>
      <c r="F974" s="38">
        <v>0</v>
      </c>
      <c r="G974" s="8">
        <v>7.66666666666667</v>
      </c>
    </row>
    <row r="975" spans="1:7">
      <c r="A975" s="3">
        <v>983</v>
      </c>
      <c r="B975">
        <v>15008</v>
      </c>
      <c r="C975">
        <v>2394</v>
      </c>
      <c r="D975">
        <v>0</v>
      </c>
      <c r="E975">
        <v>0</v>
      </c>
      <c r="F975">
        <v>0</v>
      </c>
      <c r="G975" s="8">
        <v>7.66666666666667</v>
      </c>
    </row>
    <row r="976" s="6" customFormat="1" spans="1:7">
      <c r="A976" s="3">
        <v>984</v>
      </c>
      <c r="B976" s="6">
        <v>401500107</v>
      </c>
      <c r="C976" s="44">
        <v>0</v>
      </c>
      <c r="D976" s="44">
        <v>2395</v>
      </c>
      <c r="E976" s="44">
        <v>0</v>
      </c>
      <c r="F976" s="44">
        <v>0</v>
      </c>
      <c r="G976" s="6">
        <v>8.2</v>
      </c>
    </row>
    <row r="977" s="6" customFormat="1" spans="1:7">
      <c r="A977" s="3">
        <v>985</v>
      </c>
      <c r="B977" s="6">
        <v>401500107</v>
      </c>
      <c r="C977" s="44">
        <v>0</v>
      </c>
      <c r="D977" s="44">
        <v>2396</v>
      </c>
      <c r="E977" s="44">
        <v>0</v>
      </c>
      <c r="F977" s="44">
        <v>0</v>
      </c>
      <c r="G977" s="6">
        <v>8.2</v>
      </c>
    </row>
    <row r="978" s="6" customFormat="1" spans="1:7">
      <c r="A978" s="3">
        <v>986</v>
      </c>
      <c r="B978" s="6">
        <v>401500107</v>
      </c>
      <c r="C978" s="44">
        <v>2398</v>
      </c>
      <c r="D978" s="6">
        <v>0</v>
      </c>
      <c r="E978" s="44">
        <v>0</v>
      </c>
      <c r="F978" s="44">
        <v>0</v>
      </c>
      <c r="G978" s="6">
        <v>8.2</v>
      </c>
    </row>
    <row r="979" s="6" customFormat="1" spans="1:7">
      <c r="A979" s="3">
        <v>987</v>
      </c>
      <c r="B979" s="6">
        <v>401500107</v>
      </c>
      <c r="C979" s="44">
        <v>2402</v>
      </c>
      <c r="D979" s="6">
        <v>0</v>
      </c>
      <c r="E979" s="44">
        <v>0</v>
      </c>
      <c r="F979" s="44">
        <v>0</v>
      </c>
      <c r="G979" s="6">
        <v>8.2</v>
      </c>
    </row>
    <row r="980" s="6" customFormat="1" spans="1:7">
      <c r="A980" s="3">
        <v>988</v>
      </c>
      <c r="B980" s="6">
        <v>401500107</v>
      </c>
      <c r="C980" s="44">
        <v>2403</v>
      </c>
      <c r="D980" s="6">
        <v>0</v>
      </c>
      <c r="E980" s="44">
        <v>0</v>
      </c>
      <c r="F980" s="44">
        <v>0</v>
      </c>
      <c r="G980" s="6">
        <v>8.2</v>
      </c>
    </row>
    <row r="981" s="6" customFormat="1" spans="1:7">
      <c r="A981" s="3">
        <v>989</v>
      </c>
      <c r="B981" s="6">
        <v>401500107</v>
      </c>
      <c r="C981" s="44">
        <v>2401</v>
      </c>
      <c r="D981" s="6">
        <v>0</v>
      </c>
      <c r="E981" s="44">
        <v>0</v>
      </c>
      <c r="F981" s="44">
        <v>0</v>
      </c>
      <c r="G981" s="6">
        <v>8.2</v>
      </c>
    </row>
    <row r="982" s="6" customFormat="1" spans="1:7">
      <c r="A982" s="3">
        <v>990</v>
      </c>
      <c r="B982" s="6">
        <v>401500108</v>
      </c>
      <c r="C982" s="6">
        <v>0</v>
      </c>
      <c r="D982" s="44">
        <v>2397</v>
      </c>
      <c r="E982" s="44">
        <v>1</v>
      </c>
      <c r="F982" s="44">
        <f>100/30</f>
        <v>3.33333333333333</v>
      </c>
      <c r="G982" s="6">
        <v>4.33333333333334</v>
      </c>
    </row>
    <row r="983" s="6" customFormat="1" spans="1:7">
      <c r="A983" s="3">
        <v>991</v>
      </c>
      <c r="B983" s="6">
        <v>401500108</v>
      </c>
      <c r="C983" s="44">
        <v>2403</v>
      </c>
      <c r="D983" s="6">
        <v>0</v>
      </c>
      <c r="E983" s="44">
        <v>1</v>
      </c>
      <c r="F983" s="44">
        <f>100/30</f>
        <v>3.33333333333333</v>
      </c>
      <c r="G983" s="6">
        <v>4.33333333333334</v>
      </c>
    </row>
    <row r="984" s="6" customFormat="1" spans="1:7">
      <c r="A984" s="3">
        <v>992</v>
      </c>
      <c r="B984" s="6">
        <v>401500108</v>
      </c>
      <c r="C984" s="44">
        <v>2401</v>
      </c>
      <c r="D984" s="6">
        <v>0</v>
      </c>
      <c r="E984" s="44">
        <v>0</v>
      </c>
      <c r="F984" s="44">
        <v>0</v>
      </c>
      <c r="G984" s="6">
        <v>7.66666666666667</v>
      </c>
    </row>
    <row r="985" s="6" customFormat="1" spans="1:7">
      <c r="A985" s="3">
        <v>993</v>
      </c>
      <c r="B985" s="6">
        <v>401500108</v>
      </c>
      <c r="C985" s="44">
        <v>2405</v>
      </c>
      <c r="D985" s="6">
        <v>0</v>
      </c>
      <c r="E985" s="6">
        <v>0</v>
      </c>
      <c r="F985" s="6">
        <v>0</v>
      </c>
      <c r="G985" s="6">
        <v>7.66666666666667</v>
      </c>
    </row>
    <row r="986" spans="1:7">
      <c r="A986" s="3">
        <v>994</v>
      </c>
      <c r="B986">
        <v>10313</v>
      </c>
      <c r="C986">
        <v>1766</v>
      </c>
      <c r="D986">
        <v>0</v>
      </c>
      <c r="E986">
        <v>0</v>
      </c>
      <c r="F986">
        <v>0</v>
      </c>
      <c r="G986" s="45">
        <f t="shared" ref="G986:G991" si="37">305/30</f>
        <v>10.1666666666667</v>
      </c>
    </row>
    <row r="987" spans="1:7">
      <c r="A987" s="3">
        <v>995</v>
      </c>
      <c r="B987">
        <v>10313</v>
      </c>
      <c r="C987">
        <v>1767</v>
      </c>
      <c r="D987">
        <v>0</v>
      </c>
      <c r="E987">
        <v>0</v>
      </c>
      <c r="F987">
        <v>0</v>
      </c>
      <c r="G987" s="45">
        <f t="shared" si="37"/>
        <v>10.1666666666667</v>
      </c>
    </row>
    <row r="988" spans="1:7">
      <c r="A988" s="3">
        <v>996</v>
      </c>
      <c r="B988">
        <v>10313</v>
      </c>
      <c r="C988">
        <v>1768</v>
      </c>
      <c r="D988">
        <v>0</v>
      </c>
      <c r="E988">
        <v>0</v>
      </c>
      <c r="F988">
        <v>0</v>
      </c>
      <c r="G988" s="45">
        <f t="shared" si="37"/>
        <v>10.1666666666667</v>
      </c>
    </row>
    <row r="989" spans="1:7">
      <c r="A989" s="3">
        <v>997</v>
      </c>
      <c r="B989" s="46" t="s">
        <v>207</v>
      </c>
      <c r="C989">
        <v>1769</v>
      </c>
      <c r="D989">
        <v>0</v>
      </c>
      <c r="E989">
        <v>0</v>
      </c>
      <c r="F989">
        <v>0</v>
      </c>
      <c r="G989" s="45">
        <f t="shared" si="37"/>
        <v>10.1666666666667</v>
      </c>
    </row>
    <row r="990" spans="1:7">
      <c r="A990" s="3">
        <v>998</v>
      </c>
      <c r="B990" s="46" t="s">
        <v>207</v>
      </c>
      <c r="C990">
        <v>1770</v>
      </c>
      <c r="D990">
        <v>0</v>
      </c>
      <c r="E990">
        <v>0</v>
      </c>
      <c r="F990">
        <v>0</v>
      </c>
      <c r="G990" s="45">
        <f t="shared" si="37"/>
        <v>10.1666666666667</v>
      </c>
    </row>
    <row r="991" spans="1:7">
      <c r="A991" s="3">
        <v>999</v>
      </c>
      <c r="B991" s="46" t="s">
        <v>207</v>
      </c>
      <c r="C991">
        <v>1771</v>
      </c>
      <c r="D991">
        <v>0</v>
      </c>
      <c r="E991">
        <v>0</v>
      </c>
      <c r="F991">
        <v>0</v>
      </c>
      <c r="G991" s="45">
        <f t="shared" si="37"/>
        <v>10.1666666666667</v>
      </c>
    </row>
    <row r="992" s="6" customFormat="1" spans="1:7">
      <c r="A992" s="3">
        <v>1000</v>
      </c>
      <c r="B992" s="6">
        <v>4210</v>
      </c>
      <c r="C992" s="44">
        <v>0</v>
      </c>
      <c r="D992" s="44">
        <v>2432</v>
      </c>
      <c r="E992" s="6">
        <v>0</v>
      </c>
      <c r="F992" s="6">
        <v>0</v>
      </c>
      <c r="G992" s="6">
        <f>86/30</f>
        <v>2.86666666666667</v>
      </c>
    </row>
    <row r="993" s="6" customFormat="1" spans="1:7">
      <c r="A993" s="3">
        <v>1001</v>
      </c>
      <c r="B993" s="6">
        <v>4211</v>
      </c>
      <c r="C993" s="44">
        <v>0</v>
      </c>
      <c r="D993" s="44">
        <v>2432</v>
      </c>
      <c r="E993" s="6">
        <v>0</v>
      </c>
      <c r="F993" s="6">
        <v>0</v>
      </c>
      <c r="G993" s="6">
        <f>105/30</f>
        <v>3.5</v>
      </c>
    </row>
    <row r="994" s="6" customFormat="1" spans="1:7">
      <c r="A994" s="3">
        <v>1002</v>
      </c>
      <c r="B994" s="6">
        <v>4212</v>
      </c>
      <c r="C994" s="44">
        <v>0</v>
      </c>
      <c r="D994" s="44">
        <v>2432</v>
      </c>
      <c r="E994" s="6">
        <v>0</v>
      </c>
      <c r="F994" s="6">
        <v>0</v>
      </c>
      <c r="G994" s="6">
        <f>406/30</f>
        <v>13.5333333333333</v>
      </c>
    </row>
    <row r="995" s="6" customFormat="1" spans="1:7">
      <c r="A995" s="3">
        <v>1003</v>
      </c>
      <c r="B995" s="6">
        <v>4212</v>
      </c>
      <c r="C995" s="44">
        <v>138</v>
      </c>
      <c r="D995" s="44">
        <v>0</v>
      </c>
      <c r="E995" s="6">
        <v>0</v>
      </c>
      <c r="F995" s="6">
        <v>0</v>
      </c>
      <c r="G995" s="6">
        <f>406/30</f>
        <v>13.5333333333333</v>
      </c>
    </row>
    <row r="996" s="6" customFormat="1" spans="1:7">
      <c r="A996" s="3">
        <v>1004</v>
      </c>
      <c r="B996" s="6">
        <v>4212</v>
      </c>
      <c r="C996" s="44">
        <v>139</v>
      </c>
      <c r="D996" s="44">
        <v>0</v>
      </c>
      <c r="E996" s="6">
        <v>0</v>
      </c>
      <c r="F996" s="6">
        <v>0</v>
      </c>
      <c r="G996" s="6">
        <f>406/30</f>
        <v>13.5333333333333</v>
      </c>
    </row>
    <row r="997" s="6" customFormat="1" spans="1:7">
      <c r="A997" s="3">
        <v>1005</v>
      </c>
      <c r="B997" s="6">
        <v>4212</v>
      </c>
      <c r="C997" s="44">
        <v>140</v>
      </c>
      <c r="D997" s="44">
        <v>0</v>
      </c>
      <c r="E997" s="6">
        <v>0</v>
      </c>
      <c r="F997" s="6">
        <v>0</v>
      </c>
      <c r="G997" s="6">
        <f>406/30</f>
        <v>13.5333333333333</v>
      </c>
    </row>
    <row r="998" s="6" customFormat="1" spans="1:7">
      <c r="A998" s="3">
        <v>1006</v>
      </c>
      <c r="B998" s="6" t="s">
        <v>208</v>
      </c>
      <c r="C998" s="44">
        <v>0</v>
      </c>
      <c r="D998" s="6">
        <v>2432</v>
      </c>
      <c r="E998" s="6">
        <v>0</v>
      </c>
      <c r="F998" s="6">
        <v>0</v>
      </c>
      <c r="G998" s="6">
        <f>86/30</f>
        <v>2.86666666666667</v>
      </c>
    </row>
    <row r="999" s="6" customFormat="1" spans="1:7">
      <c r="A999" s="3">
        <v>1007</v>
      </c>
      <c r="B999" s="6" t="s">
        <v>209</v>
      </c>
      <c r="C999" s="44">
        <v>0</v>
      </c>
      <c r="D999" s="6">
        <v>2432</v>
      </c>
      <c r="E999" s="6">
        <v>0</v>
      </c>
      <c r="F999" s="6">
        <v>0</v>
      </c>
      <c r="G999" s="6">
        <f>105/30</f>
        <v>3.5</v>
      </c>
    </row>
    <row r="1000" s="6" customFormat="1" spans="1:7">
      <c r="A1000" s="3">
        <v>1008</v>
      </c>
      <c r="B1000" s="6" t="s">
        <v>210</v>
      </c>
      <c r="C1000" s="44">
        <v>0</v>
      </c>
      <c r="D1000" s="6">
        <v>2432</v>
      </c>
      <c r="E1000" s="6">
        <v>0</v>
      </c>
      <c r="F1000" s="6">
        <v>0</v>
      </c>
      <c r="G1000" s="6">
        <f>406/30</f>
        <v>13.5333333333333</v>
      </c>
    </row>
    <row r="1001" spans="1:7">
      <c r="A1001" s="3">
        <v>1009</v>
      </c>
      <c r="B1001" s="6" t="s">
        <v>210</v>
      </c>
      <c r="C1001" s="44">
        <v>605</v>
      </c>
      <c r="D1001" s="44">
        <v>0</v>
      </c>
      <c r="E1001" s="6">
        <v>0</v>
      </c>
      <c r="F1001" s="6">
        <v>0</v>
      </c>
      <c r="G1001" s="6">
        <f>406/30</f>
        <v>13.5333333333333</v>
      </c>
    </row>
    <row r="1002" spans="1:7">
      <c r="A1002" s="3">
        <v>1010</v>
      </c>
      <c r="B1002" s="6" t="s">
        <v>210</v>
      </c>
      <c r="C1002" s="44">
        <v>606</v>
      </c>
      <c r="D1002" s="44">
        <v>0</v>
      </c>
      <c r="E1002" s="6">
        <v>0</v>
      </c>
      <c r="F1002" s="6">
        <v>0</v>
      </c>
      <c r="G1002" s="6">
        <f>406/30</f>
        <v>13.5333333333333</v>
      </c>
    </row>
    <row r="1003" spans="1:7">
      <c r="A1003" s="3">
        <v>1011</v>
      </c>
      <c r="B1003" s="6" t="s">
        <v>210</v>
      </c>
      <c r="C1003" s="44">
        <v>607</v>
      </c>
      <c r="D1003" s="44">
        <v>0</v>
      </c>
      <c r="E1003" s="6">
        <v>0</v>
      </c>
      <c r="F1003" s="6">
        <v>0</v>
      </c>
      <c r="G1003" s="6">
        <f>406/30</f>
        <v>13.5333333333333</v>
      </c>
    </row>
    <row r="1004" spans="1:7">
      <c r="A1004" s="3">
        <v>1012</v>
      </c>
      <c r="B1004" s="6">
        <v>404201012</v>
      </c>
      <c r="C1004" s="44">
        <v>608</v>
      </c>
      <c r="D1004" s="44">
        <v>0</v>
      </c>
      <c r="E1004" s="6">
        <v>0</v>
      </c>
      <c r="F1004" s="6">
        <v>0</v>
      </c>
      <c r="G1004" s="6">
        <f>406/30</f>
        <v>13.5333333333333</v>
      </c>
    </row>
    <row r="1005" spans="1:7">
      <c r="A1005" s="3">
        <v>1013</v>
      </c>
      <c r="B1005" s="6">
        <v>3010501</v>
      </c>
      <c r="C1005" s="44">
        <v>0</v>
      </c>
      <c r="D1005" s="44">
        <v>2440</v>
      </c>
      <c r="E1005" s="6">
        <v>0</v>
      </c>
      <c r="F1005" s="6">
        <v>0</v>
      </c>
      <c r="G1005" s="6">
        <f>70/30</f>
        <v>2.33333333333333</v>
      </c>
    </row>
    <row r="1006" customFormat="1" spans="1:7">
      <c r="A1006" s="3">
        <v>1014</v>
      </c>
      <c r="B1006" s="6">
        <v>3010503</v>
      </c>
      <c r="C1006" s="44">
        <v>0</v>
      </c>
      <c r="D1006" s="44">
        <v>2440</v>
      </c>
      <c r="E1006" s="6">
        <v>0</v>
      </c>
      <c r="F1006" s="6">
        <v>0</v>
      </c>
      <c r="G1006" s="6">
        <f>102/30</f>
        <v>3.4</v>
      </c>
    </row>
    <row r="1007" customFormat="1" spans="1:7">
      <c r="A1007" s="3">
        <v>1015</v>
      </c>
      <c r="B1007">
        <v>15206</v>
      </c>
      <c r="C1007" s="41">
        <v>2434</v>
      </c>
      <c r="D1007">
        <v>0</v>
      </c>
      <c r="E1007">
        <v>1</v>
      </c>
      <c r="F1007">
        <v>4</v>
      </c>
      <c r="G1007">
        <v>1.333333</v>
      </c>
    </row>
    <row r="1008" customFormat="1" spans="1:7">
      <c r="A1008" s="3">
        <v>1016</v>
      </c>
      <c r="B1008">
        <v>15206</v>
      </c>
      <c r="C1008" s="41">
        <v>2435</v>
      </c>
      <c r="D1008">
        <v>0</v>
      </c>
      <c r="E1008">
        <v>1</v>
      </c>
      <c r="F1008">
        <v>4</v>
      </c>
      <c r="G1008">
        <v>1.333333</v>
      </c>
    </row>
    <row r="1009" customFormat="1" spans="1:7">
      <c r="A1009" s="3">
        <v>1017</v>
      </c>
      <c r="B1009">
        <v>15206</v>
      </c>
      <c r="C1009" s="41">
        <v>2436</v>
      </c>
      <c r="D1009">
        <v>0</v>
      </c>
      <c r="E1009">
        <v>1</v>
      </c>
      <c r="F1009">
        <v>4</v>
      </c>
      <c r="G1009">
        <v>1.333333</v>
      </c>
    </row>
    <row r="1010" customFormat="1" spans="1:7">
      <c r="A1010" s="3">
        <v>1018</v>
      </c>
      <c r="B1010">
        <v>15206</v>
      </c>
      <c r="C1010" s="41">
        <v>2437</v>
      </c>
      <c r="D1010">
        <v>0</v>
      </c>
      <c r="E1010">
        <v>1</v>
      </c>
      <c r="F1010">
        <v>4</v>
      </c>
      <c r="G1010">
        <v>1.333333</v>
      </c>
    </row>
    <row r="1011" s="7" customFormat="1" spans="1:7">
      <c r="A1011" s="7">
        <v>1023</v>
      </c>
      <c r="B1011" s="47" t="s">
        <v>211</v>
      </c>
      <c r="C1011" s="7">
        <v>2099</v>
      </c>
      <c r="D1011" s="39">
        <v>0</v>
      </c>
      <c r="E1011" s="7">
        <v>0</v>
      </c>
      <c r="F1011" s="7">
        <v>0</v>
      </c>
      <c r="G1011" s="48">
        <f>403/30</f>
        <v>13.4333333333333</v>
      </c>
    </row>
    <row r="1012" s="7" customFormat="1" spans="1:7">
      <c r="A1012" s="7">
        <v>1024</v>
      </c>
      <c r="B1012" s="47" t="s">
        <v>211</v>
      </c>
      <c r="C1012" s="7">
        <v>2100</v>
      </c>
      <c r="D1012" s="39">
        <v>0</v>
      </c>
      <c r="E1012" s="7">
        <v>0</v>
      </c>
      <c r="F1012" s="7">
        <v>0</v>
      </c>
      <c r="G1012" s="48">
        <f>403/30</f>
        <v>13.4333333333333</v>
      </c>
    </row>
    <row r="1013" s="7" customFormat="1" spans="1:7">
      <c r="A1013" s="7">
        <v>1025</v>
      </c>
      <c r="B1013" s="47" t="s">
        <v>211</v>
      </c>
      <c r="C1013" s="7">
        <v>2101</v>
      </c>
      <c r="D1013" s="39">
        <v>0</v>
      </c>
      <c r="E1013" s="7">
        <v>0</v>
      </c>
      <c r="F1013" s="7">
        <v>0</v>
      </c>
      <c r="G1013" s="48">
        <f>403/30</f>
        <v>13.4333333333333</v>
      </c>
    </row>
    <row r="1014" s="7" customFormat="1" spans="1:7">
      <c r="A1014" s="7">
        <v>1026</v>
      </c>
      <c r="B1014" s="47" t="s">
        <v>211</v>
      </c>
      <c r="C1014" s="7">
        <v>2102</v>
      </c>
      <c r="D1014" s="39">
        <v>0</v>
      </c>
      <c r="E1014" s="7">
        <v>0</v>
      </c>
      <c r="F1014" s="7">
        <v>0</v>
      </c>
      <c r="G1014" s="48">
        <f>403/30</f>
        <v>13.4333333333333</v>
      </c>
    </row>
    <row r="1015" s="7" customFormat="1" spans="1:7">
      <c r="A1015" s="7">
        <v>1027</v>
      </c>
      <c r="B1015" s="7">
        <v>11817</v>
      </c>
      <c r="C1015" s="7">
        <v>2103</v>
      </c>
      <c r="D1015" s="39">
        <v>0</v>
      </c>
      <c r="E1015" s="7">
        <v>0</v>
      </c>
      <c r="F1015" s="7">
        <v>0</v>
      </c>
      <c r="G1015" s="48">
        <f>480/30</f>
        <v>16</v>
      </c>
    </row>
    <row r="1016" s="7" customFormat="1" spans="1:7">
      <c r="A1016" s="7">
        <v>1028</v>
      </c>
      <c r="B1016" s="7">
        <v>11817</v>
      </c>
      <c r="C1016" s="7">
        <v>2104</v>
      </c>
      <c r="D1016" s="39">
        <v>0</v>
      </c>
      <c r="E1016" s="7">
        <v>0</v>
      </c>
      <c r="F1016" s="7">
        <v>0</v>
      </c>
      <c r="G1016" s="48">
        <f>480/30</f>
        <v>16</v>
      </c>
    </row>
    <row r="1017" s="7" customFormat="1" spans="1:7">
      <c r="A1017" s="7">
        <v>1029</v>
      </c>
      <c r="B1017" s="7">
        <v>11817</v>
      </c>
      <c r="C1017" s="7">
        <v>2105</v>
      </c>
      <c r="D1017" s="39">
        <v>0</v>
      </c>
      <c r="E1017" s="7">
        <v>0</v>
      </c>
      <c r="F1017" s="7">
        <v>0</v>
      </c>
      <c r="G1017" s="48">
        <f>480/30</f>
        <v>16</v>
      </c>
    </row>
    <row r="1018" customFormat="1" spans="1:7">
      <c r="A1018" s="7">
        <v>1030</v>
      </c>
      <c r="B1018" s="49">
        <v>15303</v>
      </c>
      <c r="C1018">
        <v>0</v>
      </c>
      <c r="D1018">
        <v>2454</v>
      </c>
      <c r="E1018">
        <v>1</v>
      </c>
      <c r="F1018">
        <f>32/30</f>
        <v>1.06666666666667</v>
      </c>
      <c r="G1018">
        <f>51/30</f>
        <v>1.7</v>
      </c>
    </row>
    <row r="1019" spans="1:7">
      <c r="A1019" s="7">
        <v>1031</v>
      </c>
      <c r="B1019" s="49">
        <v>15304</v>
      </c>
      <c r="C1019">
        <v>2451</v>
      </c>
      <c r="D1019">
        <v>2447</v>
      </c>
      <c r="E1019">
        <v>1</v>
      </c>
      <c r="F1019">
        <f t="shared" ref="F1019:F1023" si="38">60/30</f>
        <v>2</v>
      </c>
      <c r="G1019">
        <f t="shared" ref="G1019:G1023" si="39">136/30</f>
        <v>4.53333333333333</v>
      </c>
    </row>
    <row r="1020" spans="1:7">
      <c r="A1020" s="7">
        <v>1032</v>
      </c>
      <c r="B1020" s="49">
        <v>15304</v>
      </c>
      <c r="C1020">
        <v>2453</v>
      </c>
      <c r="D1020">
        <v>2448</v>
      </c>
      <c r="E1020">
        <v>1</v>
      </c>
      <c r="F1020">
        <f t="shared" si="38"/>
        <v>2</v>
      </c>
      <c r="G1020">
        <f t="shared" si="39"/>
        <v>4.53333333333333</v>
      </c>
    </row>
    <row r="1021" spans="1:7">
      <c r="A1021" s="7">
        <v>1033</v>
      </c>
      <c r="B1021" s="50" t="s">
        <v>212</v>
      </c>
      <c r="C1021">
        <v>0</v>
      </c>
      <c r="D1021">
        <v>2476</v>
      </c>
      <c r="E1021">
        <v>1</v>
      </c>
      <c r="F1021">
        <f>32/30</f>
        <v>1.06666666666667</v>
      </c>
      <c r="G1021">
        <f>51/30</f>
        <v>1.7</v>
      </c>
    </row>
    <row r="1022" spans="1:7">
      <c r="A1022" s="7">
        <v>1034</v>
      </c>
      <c r="B1022" s="50" t="s">
        <v>213</v>
      </c>
      <c r="C1022">
        <v>2474</v>
      </c>
      <c r="D1022">
        <v>2470</v>
      </c>
      <c r="E1022">
        <v>1</v>
      </c>
      <c r="F1022">
        <f t="shared" si="38"/>
        <v>2</v>
      </c>
      <c r="G1022">
        <f t="shared" si="39"/>
        <v>4.53333333333333</v>
      </c>
    </row>
    <row r="1023" spans="1:7">
      <c r="A1023" s="7">
        <v>1035</v>
      </c>
      <c r="B1023" s="50" t="s">
        <v>213</v>
      </c>
      <c r="C1023">
        <v>2475</v>
      </c>
      <c r="D1023">
        <v>2471</v>
      </c>
      <c r="E1023">
        <v>1</v>
      </c>
      <c r="F1023">
        <f t="shared" si="38"/>
        <v>2</v>
      </c>
      <c r="G1023">
        <f t="shared" si="39"/>
        <v>4.53333333333333</v>
      </c>
    </row>
    <row r="1024" spans="1:7">
      <c r="A1024" s="7">
        <v>1036</v>
      </c>
      <c r="B1024" s="51" t="s">
        <v>214</v>
      </c>
      <c r="C1024">
        <v>0</v>
      </c>
      <c r="D1024">
        <v>2500</v>
      </c>
      <c r="E1024">
        <v>1</v>
      </c>
      <c r="F1024">
        <f>32/30</f>
        <v>1.06666666666667</v>
      </c>
      <c r="G1024">
        <f>51/30</f>
        <v>1.7</v>
      </c>
    </row>
    <row r="1025" spans="1:7">
      <c r="A1025" s="7">
        <v>1037</v>
      </c>
      <c r="B1025" s="51" t="s">
        <v>215</v>
      </c>
      <c r="C1025">
        <v>2498</v>
      </c>
      <c r="D1025">
        <v>2494</v>
      </c>
      <c r="E1025">
        <v>1</v>
      </c>
      <c r="F1025">
        <f>60/30</f>
        <v>2</v>
      </c>
      <c r="G1025">
        <f>51/30</f>
        <v>1.7</v>
      </c>
    </row>
    <row r="1026" spans="1:7">
      <c r="A1026" s="7">
        <v>1038</v>
      </c>
      <c r="B1026" s="51" t="s">
        <v>215</v>
      </c>
      <c r="C1026">
        <v>2499</v>
      </c>
      <c r="D1026">
        <v>2495</v>
      </c>
      <c r="E1026">
        <v>1</v>
      </c>
      <c r="F1026">
        <f>60/30</f>
        <v>2</v>
      </c>
      <c r="G1026">
        <f>51/30</f>
        <v>1.7</v>
      </c>
    </row>
    <row r="1027" spans="1:7">
      <c r="A1027" s="7">
        <v>1039</v>
      </c>
      <c r="B1027" s="50" t="s">
        <v>216</v>
      </c>
      <c r="C1027">
        <v>0</v>
      </c>
      <c r="D1027">
        <v>2525</v>
      </c>
      <c r="E1027">
        <v>1</v>
      </c>
      <c r="F1027">
        <f t="shared" ref="F1024:F1035" si="40">45/30</f>
        <v>1.5</v>
      </c>
      <c r="G1027">
        <f t="shared" ref="G1024:G1035" si="41">136/30</f>
        <v>4.53333333333333</v>
      </c>
    </row>
    <row r="1028" spans="1:7">
      <c r="A1028" s="7">
        <v>1040</v>
      </c>
      <c r="B1028" s="50" t="s">
        <v>217</v>
      </c>
      <c r="C1028">
        <v>0</v>
      </c>
      <c r="D1028">
        <v>2518</v>
      </c>
      <c r="E1028">
        <v>1</v>
      </c>
      <c r="F1028">
        <f t="shared" si="40"/>
        <v>1.5</v>
      </c>
      <c r="G1028">
        <f t="shared" si="41"/>
        <v>4.53333333333333</v>
      </c>
    </row>
    <row r="1029" spans="1:7">
      <c r="A1029" s="7">
        <v>1041</v>
      </c>
      <c r="B1029" s="50" t="s">
        <v>217</v>
      </c>
      <c r="C1029">
        <v>0</v>
      </c>
      <c r="D1029">
        <v>2519</v>
      </c>
      <c r="E1029">
        <v>1</v>
      </c>
      <c r="F1029">
        <f t="shared" si="40"/>
        <v>1.5</v>
      </c>
      <c r="G1029">
        <f t="shared" si="41"/>
        <v>4.53333333333333</v>
      </c>
    </row>
    <row r="1030" spans="1:7">
      <c r="A1030" s="7">
        <v>1042</v>
      </c>
      <c r="B1030" s="51" t="s">
        <v>218</v>
      </c>
      <c r="C1030">
        <v>0</v>
      </c>
      <c r="D1030">
        <v>2543</v>
      </c>
      <c r="E1030">
        <v>1</v>
      </c>
      <c r="F1030">
        <f t="shared" si="40"/>
        <v>1.5</v>
      </c>
      <c r="G1030">
        <f t="shared" si="41"/>
        <v>4.53333333333333</v>
      </c>
    </row>
    <row r="1031" spans="1:7">
      <c r="A1031" s="7">
        <v>1043</v>
      </c>
      <c r="B1031" s="51" t="s">
        <v>219</v>
      </c>
      <c r="C1031">
        <v>0</v>
      </c>
      <c r="D1031">
        <v>2536</v>
      </c>
      <c r="E1031">
        <v>1</v>
      </c>
      <c r="F1031">
        <f t="shared" si="40"/>
        <v>1.5</v>
      </c>
      <c r="G1031">
        <f t="shared" si="41"/>
        <v>4.53333333333333</v>
      </c>
    </row>
    <row r="1032" spans="1:7">
      <c r="A1032" s="7">
        <v>1044</v>
      </c>
      <c r="B1032" s="51" t="s">
        <v>219</v>
      </c>
      <c r="C1032">
        <v>0</v>
      </c>
      <c r="D1032">
        <v>2537</v>
      </c>
      <c r="E1032">
        <v>1</v>
      </c>
      <c r="F1032">
        <f t="shared" si="40"/>
        <v>1.5</v>
      </c>
      <c r="G1032">
        <f t="shared" si="41"/>
        <v>4.53333333333333</v>
      </c>
    </row>
    <row r="1033" spans="1:7">
      <c r="A1033" s="7">
        <v>1045</v>
      </c>
      <c r="B1033" s="50" t="s">
        <v>220</v>
      </c>
      <c r="C1033">
        <v>0</v>
      </c>
      <c r="D1033">
        <v>2561</v>
      </c>
      <c r="E1033">
        <v>1</v>
      </c>
      <c r="F1033">
        <f t="shared" si="40"/>
        <v>1.5</v>
      </c>
      <c r="G1033">
        <f t="shared" si="41"/>
        <v>4.53333333333333</v>
      </c>
    </row>
    <row r="1034" spans="1:7">
      <c r="A1034" s="7">
        <v>1046</v>
      </c>
      <c r="B1034" s="50" t="s">
        <v>221</v>
      </c>
      <c r="C1034">
        <v>0</v>
      </c>
      <c r="D1034">
        <v>2554</v>
      </c>
      <c r="E1034">
        <v>1</v>
      </c>
      <c r="F1034">
        <f t="shared" si="40"/>
        <v>1.5</v>
      </c>
      <c r="G1034">
        <f t="shared" si="41"/>
        <v>4.53333333333333</v>
      </c>
    </row>
    <row r="1035" spans="1:7">
      <c r="A1035" s="7">
        <v>1047</v>
      </c>
      <c r="B1035" s="50" t="s">
        <v>221</v>
      </c>
      <c r="C1035">
        <v>0</v>
      </c>
      <c r="D1035">
        <v>2555</v>
      </c>
      <c r="E1035">
        <v>1</v>
      </c>
      <c r="F1035">
        <f t="shared" si="40"/>
        <v>1.5</v>
      </c>
      <c r="G1035">
        <f t="shared" si="41"/>
        <v>4.53333333333333</v>
      </c>
    </row>
    <row r="1036" customFormat="1" spans="1:7">
      <c r="A1036" s="7">
        <v>1048</v>
      </c>
      <c r="B1036">
        <v>401220206</v>
      </c>
      <c r="C1036">
        <v>2140</v>
      </c>
      <c r="D1036">
        <v>0</v>
      </c>
      <c r="E1036">
        <v>0</v>
      </c>
      <c r="F1036">
        <v>0</v>
      </c>
      <c r="G1036">
        <f t="shared" ref="G1036:G1038" si="42">370/30</f>
        <v>12.3333333333333</v>
      </c>
    </row>
    <row r="1037" customFormat="1" spans="1:7">
      <c r="A1037" s="7">
        <v>1049</v>
      </c>
      <c r="B1037">
        <v>401220206</v>
      </c>
      <c r="C1037">
        <v>2141</v>
      </c>
      <c r="D1037">
        <v>0</v>
      </c>
      <c r="E1037">
        <v>0</v>
      </c>
      <c r="F1037">
        <v>0</v>
      </c>
      <c r="G1037">
        <f t="shared" si="42"/>
        <v>12.3333333333333</v>
      </c>
    </row>
    <row r="1038" customFormat="1" spans="1:7">
      <c r="A1038" s="7">
        <v>1050</v>
      </c>
      <c r="B1038">
        <v>401220206</v>
      </c>
      <c r="C1038">
        <v>2142</v>
      </c>
      <c r="D1038">
        <v>0</v>
      </c>
      <c r="E1038">
        <v>0</v>
      </c>
      <c r="F1038">
        <v>0</v>
      </c>
      <c r="G1038">
        <f t="shared" si="42"/>
        <v>12.3333333333333</v>
      </c>
    </row>
    <row r="1039" spans="1:7">
      <c r="A1039" s="7">
        <v>1051</v>
      </c>
      <c r="B1039" s="52">
        <v>3010704</v>
      </c>
      <c r="C1039">
        <v>2456</v>
      </c>
      <c r="D1039">
        <v>0</v>
      </c>
      <c r="E1039">
        <v>0</v>
      </c>
      <c r="F1039">
        <v>0</v>
      </c>
      <c r="G1039">
        <v>5.33333333333333</v>
      </c>
    </row>
    <row r="1040" spans="1:7">
      <c r="A1040" s="7">
        <v>1052</v>
      </c>
      <c r="B1040" s="52">
        <v>3010704</v>
      </c>
      <c r="C1040">
        <v>2457</v>
      </c>
      <c r="D1040">
        <v>0</v>
      </c>
      <c r="E1040">
        <v>0</v>
      </c>
      <c r="F1040">
        <v>0</v>
      </c>
      <c r="G1040">
        <v>5.33333333333333</v>
      </c>
    </row>
    <row r="1041" spans="1:7">
      <c r="A1041" s="7">
        <v>1053</v>
      </c>
      <c r="B1041" s="52">
        <v>3010704</v>
      </c>
      <c r="C1041">
        <v>2458</v>
      </c>
      <c r="D1041">
        <v>0</v>
      </c>
      <c r="E1041">
        <v>0</v>
      </c>
      <c r="F1041">
        <v>0</v>
      </c>
      <c r="G1041">
        <v>5.33333333333333</v>
      </c>
    </row>
    <row r="1042" spans="1:7">
      <c r="A1042" s="7">
        <v>1054</v>
      </c>
      <c r="B1042" s="52">
        <v>3010704</v>
      </c>
      <c r="C1042">
        <v>2459</v>
      </c>
      <c r="D1042">
        <v>0</v>
      </c>
      <c r="E1042">
        <v>0</v>
      </c>
      <c r="F1042">
        <v>0</v>
      </c>
      <c r="G1042">
        <v>5.33333333333333</v>
      </c>
    </row>
    <row r="1043" spans="1:7">
      <c r="A1043" s="7">
        <v>1055</v>
      </c>
      <c r="B1043" s="52">
        <v>3010704</v>
      </c>
      <c r="C1043">
        <v>2460</v>
      </c>
      <c r="D1043">
        <v>0</v>
      </c>
      <c r="E1043">
        <v>0</v>
      </c>
      <c r="F1043">
        <v>0</v>
      </c>
      <c r="G1043">
        <v>5.33333333333333</v>
      </c>
    </row>
    <row r="1044" spans="1:7">
      <c r="A1044" s="7">
        <v>1056</v>
      </c>
      <c r="B1044" s="53" t="s">
        <v>222</v>
      </c>
      <c r="C1044">
        <v>2456</v>
      </c>
      <c r="D1044">
        <v>0</v>
      </c>
      <c r="E1044">
        <v>0</v>
      </c>
      <c r="F1044">
        <v>0</v>
      </c>
      <c r="G1044">
        <v>9.8</v>
      </c>
    </row>
    <row r="1045" spans="1:7">
      <c r="A1045" s="7">
        <v>1057</v>
      </c>
      <c r="B1045" s="53">
        <v>3010705</v>
      </c>
      <c r="C1045">
        <v>2457</v>
      </c>
      <c r="D1045">
        <v>0</v>
      </c>
      <c r="E1045">
        <v>0</v>
      </c>
      <c r="F1045">
        <v>0</v>
      </c>
      <c r="G1045">
        <v>9.8</v>
      </c>
    </row>
    <row r="1046" spans="1:7">
      <c r="A1046" s="7">
        <v>1058</v>
      </c>
      <c r="B1046" s="53">
        <v>3010705</v>
      </c>
      <c r="C1046">
        <v>2458</v>
      </c>
      <c r="D1046">
        <v>0</v>
      </c>
      <c r="E1046">
        <v>0</v>
      </c>
      <c r="F1046">
        <v>0</v>
      </c>
      <c r="G1046">
        <v>9.8</v>
      </c>
    </row>
    <row r="1047" spans="1:7">
      <c r="A1047" s="7">
        <v>1059</v>
      </c>
      <c r="B1047" s="53">
        <v>3010705</v>
      </c>
      <c r="C1047">
        <v>2459</v>
      </c>
      <c r="D1047">
        <v>0</v>
      </c>
      <c r="E1047">
        <v>0</v>
      </c>
      <c r="F1047">
        <v>0</v>
      </c>
      <c r="G1047">
        <v>9.8</v>
      </c>
    </row>
    <row r="1048" spans="1:7">
      <c r="A1048" s="7">
        <v>1060</v>
      </c>
      <c r="B1048" s="53">
        <v>3010705</v>
      </c>
      <c r="C1048">
        <v>2460</v>
      </c>
      <c r="D1048">
        <v>0</v>
      </c>
      <c r="E1048">
        <v>0</v>
      </c>
      <c r="F1048">
        <v>0</v>
      </c>
      <c r="G1048">
        <v>9.8</v>
      </c>
    </row>
    <row r="1049" spans="1:7">
      <c r="A1049" s="7">
        <v>1061</v>
      </c>
      <c r="B1049" s="46" t="s">
        <v>223</v>
      </c>
      <c r="C1049">
        <v>2456</v>
      </c>
      <c r="D1049">
        <v>0</v>
      </c>
      <c r="E1049">
        <v>0</v>
      </c>
      <c r="F1049">
        <v>0</v>
      </c>
      <c r="G1049">
        <v>15.6666666666667</v>
      </c>
    </row>
    <row r="1050" spans="1:7">
      <c r="A1050" s="7">
        <v>1062</v>
      </c>
      <c r="B1050" s="46" t="s">
        <v>223</v>
      </c>
      <c r="C1050">
        <v>2457</v>
      </c>
      <c r="D1050">
        <v>0</v>
      </c>
      <c r="E1050">
        <v>0</v>
      </c>
      <c r="F1050">
        <v>0</v>
      </c>
      <c r="G1050">
        <v>15.6666666666667</v>
      </c>
    </row>
    <row r="1051" spans="1:7">
      <c r="A1051" s="7">
        <v>1063</v>
      </c>
      <c r="B1051" s="46" t="s">
        <v>223</v>
      </c>
      <c r="C1051">
        <v>2458</v>
      </c>
      <c r="D1051">
        <v>0</v>
      </c>
      <c r="E1051">
        <v>0</v>
      </c>
      <c r="F1051">
        <v>0</v>
      </c>
      <c r="G1051">
        <v>15.6666666666667</v>
      </c>
    </row>
    <row r="1052" spans="1:7">
      <c r="A1052" s="7">
        <v>1064</v>
      </c>
      <c r="B1052" s="46" t="s">
        <v>223</v>
      </c>
      <c r="C1052">
        <v>2459</v>
      </c>
      <c r="D1052">
        <v>0</v>
      </c>
      <c r="E1052">
        <v>0</v>
      </c>
      <c r="F1052">
        <v>0</v>
      </c>
      <c r="G1052">
        <v>15.6666666666667</v>
      </c>
    </row>
    <row r="1053" spans="1:7">
      <c r="A1053" s="7">
        <v>1065</v>
      </c>
      <c r="B1053" s="46" t="s">
        <v>223</v>
      </c>
      <c r="C1053">
        <v>2460</v>
      </c>
      <c r="D1053">
        <v>0</v>
      </c>
      <c r="E1053">
        <v>0</v>
      </c>
      <c r="F1053">
        <v>0</v>
      </c>
      <c r="G1053">
        <v>15.6666666666667</v>
      </c>
    </row>
    <row r="1054" spans="1:7">
      <c r="A1054" s="7">
        <v>1066</v>
      </c>
      <c r="B1054" s="54">
        <v>3010801</v>
      </c>
      <c r="C1054">
        <v>2461</v>
      </c>
      <c r="D1054">
        <v>0</v>
      </c>
      <c r="E1054">
        <v>0</v>
      </c>
      <c r="F1054">
        <v>0</v>
      </c>
      <c r="G1054">
        <v>10.1</v>
      </c>
    </row>
    <row r="1055" spans="1:7">
      <c r="A1055" s="7">
        <v>1067</v>
      </c>
      <c r="B1055" s="54">
        <v>3010801</v>
      </c>
      <c r="C1055">
        <v>2462</v>
      </c>
      <c r="D1055">
        <v>0</v>
      </c>
      <c r="E1055">
        <v>0</v>
      </c>
      <c r="F1055">
        <v>0</v>
      </c>
      <c r="G1055">
        <v>10.1</v>
      </c>
    </row>
    <row r="1056" spans="1:7">
      <c r="A1056" s="7">
        <v>1068</v>
      </c>
      <c r="B1056" s="54">
        <v>3010801</v>
      </c>
      <c r="C1056">
        <v>2463</v>
      </c>
      <c r="D1056">
        <v>0</v>
      </c>
      <c r="E1056">
        <v>0</v>
      </c>
      <c r="F1056">
        <v>0</v>
      </c>
      <c r="G1056">
        <v>10.1</v>
      </c>
    </row>
    <row r="1057" spans="1:7">
      <c r="A1057" s="7">
        <v>1069</v>
      </c>
      <c r="B1057" s="54">
        <v>3010801</v>
      </c>
      <c r="C1057">
        <v>2464</v>
      </c>
      <c r="D1057">
        <v>0</v>
      </c>
      <c r="E1057">
        <v>0</v>
      </c>
      <c r="F1057">
        <v>0</v>
      </c>
      <c r="G1057">
        <v>10.1</v>
      </c>
    </row>
    <row r="1058" spans="1:7">
      <c r="A1058" s="7">
        <v>1070</v>
      </c>
      <c r="B1058" s="54">
        <v>3010801</v>
      </c>
      <c r="C1058">
        <v>2465</v>
      </c>
      <c r="D1058">
        <v>0</v>
      </c>
      <c r="E1058">
        <v>0</v>
      </c>
      <c r="F1058">
        <v>0</v>
      </c>
      <c r="G1058">
        <v>10.1</v>
      </c>
    </row>
    <row r="1059" spans="1:7">
      <c r="A1059" s="7">
        <v>1071</v>
      </c>
      <c r="B1059" s="54">
        <v>3010801</v>
      </c>
      <c r="C1059">
        <v>2466</v>
      </c>
      <c r="D1059">
        <v>0</v>
      </c>
      <c r="E1059">
        <v>0</v>
      </c>
      <c r="F1059">
        <v>0</v>
      </c>
      <c r="G1059">
        <v>10.1</v>
      </c>
    </row>
    <row r="1060" spans="1:7">
      <c r="A1060" s="7">
        <v>1072</v>
      </c>
      <c r="B1060" s="54">
        <v>3010801</v>
      </c>
      <c r="C1060">
        <v>2467</v>
      </c>
      <c r="D1060">
        <v>0</v>
      </c>
      <c r="E1060">
        <v>0</v>
      </c>
      <c r="F1060">
        <v>0</v>
      </c>
      <c r="G1060">
        <v>10.1</v>
      </c>
    </row>
    <row r="1061" spans="1:7">
      <c r="A1061" s="7">
        <v>1073</v>
      </c>
      <c r="B1061" s="54">
        <v>3010801</v>
      </c>
      <c r="C1061">
        <v>2468</v>
      </c>
      <c r="D1061">
        <v>0</v>
      </c>
      <c r="E1061">
        <v>0</v>
      </c>
      <c r="F1061">
        <v>0</v>
      </c>
      <c r="G1061">
        <v>10.1</v>
      </c>
    </row>
    <row r="1062" spans="1:7">
      <c r="A1062" s="7">
        <v>1074</v>
      </c>
      <c r="B1062" s="54">
        <v>3010801</v>
      </c>
      <c r="C1062">
        <v>2469</v>
      </c>
      <c r="D1062">
        <v>0</v>
      </c>
      <c r="E1062">
        <v>0</v>
      </c>
      <c r="F1062">
        <v>0</v>
      </c>
      <c r="G1062">
        <v>10.1</v>
      </c>
    </row>
    <row r="1063" spans="1:7">
      <c r="A1063" s="7">
        <v>1075</v>
      </c>
      <c r="B1063" s="55">
        <v>3010802</v>
      </c>
      <c r="C1063">
        <v>2461</v>
      </c>
      <c r="D1063">
        <v>0</v>
      </c>
      <c r="E1063">
        <v>0</v>
      </c>
      <c r="F1063">
        <v>0</v>
      </c>
      <c r="G1063">
        <v>2</v>
      </c>
    </row>
    <row r="1064" spans="1:7">
      <c r="A1064" s="7">
        <v>1076</v>
      </c>
      <c r="B1064" s="55">
        <v>3010802</v>
      </c>
      <c r="C1064">
        <v>2462</v>
      </c>
      <c r="D1064">
        <v>0</v>
      </c>
      <c r="E1064">
        <v>0</v>
      </c>
      <c r="F1064">
        <v>0</v>
      </c>
      <c r="G1064">
        <v>2</v>
      </c>
    </row>
    <row r="1065" spans="1:7">
      <c r="A1065" s="7">
        <v>1077</v>
      </c>
      <c r="B1065" s="55">
        <v>3010802</v>
      </c>
      <c r="C1065">
        <v>2463</v>
      </c>
      <c r="D1065">
        <v>0</v>
      </c>
      <c r="E1065">
        <v>0</v>
      </c>
      <c r="F1065">
        <v>0</v>
      </c>
      <c r="G1065">
        <v>2</v>
      </c>
    </row>
    <row r="1066" spans="1:7">
      <c r="A1066" s="7">
        <v>1078</v>
      </c>
      <c r="B1066" s="55">
        <v>3010802</v>
      </c>
      <c r="C1066">
        <v>2464</v>
      </c>
      <c r="D1066">
        <v>0</v>
      </c>
      <c r="E1066">
        <v>0</v>
      </c>
      <c r="F1066">
        <v>0</v>
      </c>
      <c r="G1066">
        <v>2</v>
      </c>
    </row>
    <row r="1067" spans="1:7">
      <c r="A1067" s="7">
        <v>1079</v>
      </c>
      <c r="B1067" s="55">
        <v>3010802</v>
      </c>
      <c r="C1067">
        <v>2465</v>
      </c>
      <c r="D1067">
        <v>0</v>
      </c>
      <c r="E1067">
        <v>0</v>
      </c>
      <c r="F1067">
        <v>0</v>
      </c>
      <c r="G1067">
        <v>2</v>
      </c>
    </row>
    <row r="1068" spans="1:7">
      <c r="A1068" s="7">
        <v>1080</v>
      </c>
      <c r="B1068" s="55">
        <v>3010802</v>
      </c>
      <c r="C1068">
        <v>2466</v>
      </c>
      <c r="D1068">
        <v>0</v>
      </c>
      <c r="E1068">
        <v>0</v>
      </c>
      <c r="F1068">
        <v>0</v>
      </c>
      <c r="G1068">
        <v>2</v>
      </c>
    </row>
    <row r="1069" spans="1:7">
      <c r="A1069" s="7">
        <v>1081</v>
      </c>
      <c r="B1069" s="55">
        <v>3010802</v>
      </c>
      <c r="C1069">
        <v>2467</v>
      </c>
      <c r="D1069">
        <v>0</v>
      </c>
      <c r="E1069">
        <v>0</v>
      </c>
      <c r="F1069">
        <v>0</v>
      </c>
      <c r="G1069">
        <v>2</v>
      </c>
    </row>
    <row r="1070" spans="1:7">
      <c r="A1070" s="7">
        <v>1082</v>
      </c>
      <c r="B1070" s="55">
        <v>3010802</v>
      </c>
      <c r="C1070">
        <v>2468</v>
      </c>
      <c r="D1070">
        <v>0</v>
      </c>
      <c r="E1070">
        <v>0</v>
      </c>
      <c r="F1070">
        <v>0</v>
      </c>
      <c r="G1070">
        <v>2</v>
      </c>
    </row>
    <row r="1071" spans="1:7">
      <c r="A1071" s="7">
        <v>1083</v>
      </c>
      <c r="B1071" s="55">
        <v>3010802</v>
      </c>
      <c r="C1071">
        <v>2469</v>
      </c>
      <c r="D1071">
        <v>0</v>
      </c>
      <c r="E1071">
        <v>0</v>
      </c>
      <c r="F1071">
        <v>0</v>
      </c>
      <c r="G1071">
        <v>2</v>
      </c>
    </row>
    <row r="1072" spans="1:7">
      <c r="A1072" s="7">
        <v>1084</v>
      </c>
      <c r="B1072" s="52" t="s">
        <v>224</v>
      </c>
      <c r="C1072">
        <v>2479</v>
      </c>
      <c r="D1072">
        <v>0</v>
      </c>
      <c r="E1072">
        <v>0</v>
      </c>
      <c r="F1072">
        <v>0</v>
      </c>
      <c r="G1072">
        <v>5.33333333333333</v>
      </c>
    </row>
    <row r="1073" spans="1:7">
      <c r="A1073" s="7">
        <v>1085</v>
      </c>
      <c r="B1073" s="52" t="s">
        <v>224</v>
      </c>
      <c r="C1073">
        <v>2480</v>
      </c>
      <c r="D1073">
        <v>0</v>
      </c>
      <c r="E1073">
        <v>0</v>
      </c>
      <c r="F1073">
        <v>0</v>
      </c>
      <c r="G1073">
        <v>5.33333333333333</v>
      </c>
    </row>
    <row r="1074" spans="1:7">
      <c r="A1074" s="7">
        <v>1086</v>
      </c>
      <c r="B1074" s="52" t="s">
        <v>224</v>
      </c>
      <c r="C1074">
        <v>2481</v>
      </c>
      <c r="D1074">
        <v>0</v>
      </c>
      <c r="E1074">
        <v>0</v>
      </c>
      <c r="F1074">
        <v>0</v>
      </c>
      <c r="G1074">
        <v>5.33333333333333</v>
      </c>
    </row>
    <row r="1075" spans="1:7">
      <c r="A1075" s="7">
        <v>1087</v>
      </c>
      <c r="B1075" s="52" t="s">
        <v>224</v>
      </c>
      <c r="C1075">
        <v>2482</v>
      </c>
      <c r="D1075">
        <v>0</v>
      </c>
      <c r="E1075">
        <v>0</v>
      </c>
      <c r="F1075">
        <v>0</v>
      </c>
      <c r="G1075">
        <v>5.33333333333333</v>
      </c>
    </row>
    <row r="1076" spans="1:7">
      <c r="A1076" s="7">
        <v>1088</v>
      </c>
      <c r="B1076" s="52" t="s">
        <v>224</v>
      </c>
      <c r="C1076">
        <v>2483</v>
      </c>
      <c r="D1076">
        <v>0</v>
      </c>
      <c r="E1076">
        <v>0</v>
      </c>
      <c r="F1076">
        <v>0</v>
      </c>
      <c r="G1076">
        <v>5.33333333333333</v>
      </c>
    </row>
    <row r="1077" spans="1:7">
      <c r="A1077" s="7">
        <v>1089</v>
      </c>
      <c r="B1077" s="53" t="s">
        <v>225</v>
      </c>
      <c r="C1077">
        <v>2479</v>
      </c>
      <c r="D1077">
        <v>0</v>
      </c>
      <c r="E1077">
        <v>0</v>
      </c>
      <c r="F1077">
        <v>0</v>
      </c>
      <c r="G1077">
        <v>9.8</v>
      </c>
    </row>
    <row r="1078" spans="1:7">
      <c r="A1078" s="7">
        <v>1090</v>
      </c>
      <c r="B1078" s="53" t="s">
        <v>225</v>
      </c>
      <c r="C1078">
        <v>2480</v>
      </c>
      <c r="D1078">
        <v>0</v>
      </c>
      <c r="E1078">
        <v>0</v>
      </c>
      <c r="F1078">
        <v>0</v>
      </c>
      <c r="G1078">
        <v>9.8</v>
      </c>
    </row>
    <row r="1079" spans="1:7">
      <c r="A1079" s="7">
        <v>1091</v>
      </c>
      <c r="B1079" s="53" t="s">
        <v>225</v>
      </c>
      <c r="C1079">
        <v>2481</v>
      </c>
      <c r="D1079">
        <v>0</v>
      </c>
      <c r="E1079">
        <v>0</v>
      </c>
      <c r="F1079">
        <v>0</v>
      </c>
      <c r="G1079">
        <v>9.8</v>
      </c>
    </row>
    <row r="1080" spans="1:7">
      <c r="A1080" s="7">
        <v>1092</v>
      </c>
      <c r="B1080" s="53" t="s">
        <v>225</v>
      </c>
      <c r="C1080">
        <v>2482</v>
      </c>
      <c r="D1080">
        <v>0</v>
      </c>
      <c r="E1080">
        <v>0</v>
      </c>
      <c r="F1080">
        <v>0</v>
      </c>
      <c r="G1080">
        <v>9.8</v>
      </c>
    </row>
    <row r="1081" spans="1:7">
      <c r="A1081" s="7">
        <v>1093</v>
      </c>
      <c r="B1081" s="53" t="s">
        <v>225</v>
      </c>
      <c r="C1081">
        <v>2483</v>
      </c>
      <c r="D1081">
        <v>0</v>
      </c>
      <c r="E1081">
        <v>0</v>
      </c>
      <c r="F1081">
        <v>0</v>
      </c>
      <c r="G1081">
        <v>9.8</v>
      </c>
    </row>
    <row r="1082" spans="1:7">
      <c r="A1082" s="7">
        <v>1094</v>
      </c>
      <c r="B1082" s="46" t="s">
        <v>226</v>
      </c>
      <c r="C1082">
        <v>2479</v>
      </c>
      <c r="D1082">
        <v>0</v>
      </c>
      <c r="E1082">
        <v>0</v>
      </c>
      <c r="F1082">
        <v>0</v>
      </c>
      <c r="G1082">
        <v>15.6666666666667</v>
      </c>
    </row>
    <row r="1083" spans="1:7">
      <c r="A1083" s="7">
        <v>1095</v>
      </c>
      <c r="B1083" s="46" t="s">
        <v>226</v>
      </c>
      <c r="C1083">
        <v>2480</v>
      </c>
      <c r="D1083">
        <v>0</v>
      </c>
      <c r="E1083">
        <v>0</v>
      </c>
      <c r="F1083">
        <v>0</v>
      </c>
      <c r="G1083">
        <v>15.6666666666667</v>
      </c>
    </row>
    <row r="1084" spans="1:7">
      <c r="A1084" s="7">
        <v>1096</v>
      </c>
      <c r="B1084" s="46" t="s">
        <v>226</v>
      </c>
      <c r="C1084">
        <v>2481</v>
      </c>
      <c r="D1084">
        <v>0</v>
      </c>
      <c r="E1084">
        <v>0</v>
      </c>
      <c r="F1084">
        <v>0</v>
      </c>
      <c r="G1084">
        <v>15.6666666666667</v>
      </c>
    </row>
    <row r="1085" spans="1:7">
      <c r="A1085" s="7">
        <v>1097</v>
      </c>
      <c r="B1085" s="46" t="s">
        <v>226</v>
      </c>
      <c r="C1085">
        <v>2482</v>
      </c>
      <c r="D1085">
        <v>0</v>
      </c>
      <c r="E1085">
        <v>0</v>
      </c>
      <c r="F1085">
        <v>0</v>
      </c>
      <c r="G1085">
        <v>15.6666666666667</v>
      </c>
    </row>
    <row r="1086" spans="1:7">
      <c r="A1086" s="7">
        <v>1098</v>
      </c>
      <c r="B1086" s="46" t="s">
        <v>226</v>
      </c>
      <c r="C1086">
        <v>2483</v>
      </c>
      <c r="D1086">
        <v>0</v>
      </c>
      <c r="E1086">
        <v>0</v>
      </c>
      <c r="F1086">
        <v>0</v>
      </c>
      <c r="G1086">
        <v>15.6666666666667</v>
      </c>
    </row>
    <row r="1087" spans="1:7">
      <c r="A1087" s="7">
        <v>1099</v>
      </c>
      <c r="B1087" s="54" t="s">
        <v>227</v>
      </c>
      <c r="C1087" s="41">
        <v>2484</v>
      </c>
      <c r="D1087">
        <v>0</v>
      </c>
      <c r="E1087">
        <v>0</v>
      </c>
      <c r="F1087">
        <v>0</v>
      </c>
      <c r="G1087">
        <v>10.1</v>
      </c>
    </row>
    <row r="1088" spans="1:7">
      <c r="A1088" s="7">
        <v>1100</v>
      </c>
      <c r="B1088" s="54" t="s">
        <v>227</v>
      </c>
      <c r="C1088" s="41">
        <v>2485</v>
      </c>
      <c r="D1088">
        <v>0</v>
      </c>
      <c r="E1088">
        <v>0</v>
      </c>
      <c r="F1088">
        <v>0</v>
      </c>
      <c r="G1088">
        <v>10.1</v>
      </c>
    </row>
    <row r="1089" spans="1:7">
      <c r="A1089" s="7">
        <v>1101</v>
      </c>
      <c r="B1089" s="54" t="s">
        <v>227</v>
      </c>
      <c r="C1089" s="41">
        <v>2486</v>
      </c>
      <c r="D1089">
        <v>0</v>
      </c>
      <c r="E1089">
        <v>0</v>
      </c>
      <c r="F1089">
        <v>0</v>
      </c>
      <c r="G1089">
        <v>10.1</v>
      </c>
    </row>
    <row r="1090" spans="1:7">
      <c r="A1090" s="7">
        <v>1102</v>
      </c>
      <c r="B1090" s="54" t="s">
        <v>227</v>
      </c>
      <c r="C1090" s="41">
        <v>2487</v>
      </c>
      <c r="D1090">
        <v>0</v>
      </c>
      <c r="E1090">
        <v>0</v>
      </c>
      <c r="F1090">
        <v>0</v>
      </c>
      <c r="G1090">
        <v>10.1</v>
      </c>
    </row>
    <row r="1091" spans="1:7">
      <c r="A1091" s="7">
        <v>1103</v>
      </c>
      <c r="B1091" s="54" t="s">
        <v>227</v>
      </c>
      <c r="C1091" s="41">
        <v>2488</v>
      </c>
      <c r="D1091">
        <v>0</v>
      </c>
      <c r="E1091">
        <v>0</v>
      </c>
      <c r="F1091">
        <v>0</v>
      </c>
      <c r="G1091">
        <v>10.1</v>
      </c>
    </row>
    <row r="1092" spans="1:7">
      <c r="A1092" s="7">
        <v>1104</v>
      </c>
      <c r="B1092" s="54" t="s">
        <v>227</v>
      </c>
      <c r="C1092" s="41">
        <v>2489</v>
      </c>
      <c r="D1092">
        <v>0</v>
      </c>
      <c r="E1092">
        <v>0</v>
      </c>
      <c r="F1092">
        <v>0</v>
      </c>
      <c r="G1092">
        <v>10.1</v>
      </c>
    </row>
    <row r="1093" spans="1:7">
      <c r="A1093" s="7">
        <v>1105</v>
      </c>
      <c r="B1093" s="54" t="s">
        <v>227</v>
      </c>
      <c r="C1093" s="41">
        <v>2490</v>
      </c>
      <c r="D1093">
        <v>0</v>
      </c>
      <c r="E1093">
        <v>0</v>
      </c>
      <c r="F1093">
        <v>0</v>
      </c>
      <c r="G1093">
        <v>10.1</v>
      </c>
    </row>
    <row r="1094" spans="1:7">
      <c r="A1094" s="7">
        <v>1106</v>
      </c>
      <c r="B1094" s="54" t="s">
        <v>227</v>
      </c>
      <c r="C1094" s="41">
        <v>2491</v>
      </c>
      <c r="D1094">
        <v>0</v>
      </c>
      <c r="E1094">
        <v>0</v>
      </c>
      <c r="F1094">
        <v>0</v>
      </c>
      <c r="G1094">
        <v>10.1</v>
      </c>
    </row>
    <row r="1095" spans="1:7">
      <c r="A1095" s="7">
        <v>1107</v>
      </c>
      <c r="B1095" s="54" t="s">
        <v>227</v>
      </c>
      <c r="C1095" s="41">
        <v>2492</v>
      </c>
      <c r="D1095">
        <v>0</v>
      </c>
      <c r="E1095">
        <v>0</v>
      </c>
      <c r="F1095">
        <v>0</v>
      </c>
      <c r="G1095">
        <v>10.1</v>
      </c>
    </row>
    <row r="1096" spans="1:7">
      <c r="A1096" s="7">
        <v>1108</v>
      </c>
      <c r="B1096" s="54" t="s">
        <v>227</v>
      </c>
      <c r="C1096" s="41">
        <v>2493</v>
      </c>
      <c r="D1096">
        <v>0</v>
      </c>
      <c r="E1096">
        <v>0</v>
      </c>
      <c r="F1096">
        <v>0</v>
      </c>
      <c r="G1096">
        <v>10.1</v>
      </c>
    </row>
    <row r="1097" spans="1:7">
      <c r="A1097" s="7">
        <v>1109</v>
      </c>
      <c r="B1097" s="55" t="s">
        <v>228</v>
      </c>
      <c r="C1097" s="41">
        <v>2484</v>
      </c>
      <c r="D1097">
        <v>0</v>
      </c>
      <c r="E1097">
        <v>0</v>
      </c>
      <c r="F1097">
        <v>0</v>
      </c>
      <c r="G1097">
        <v>2</v>
      </c>
    </row>
    <row r="1098" spans="1:7">
      <c r="A1098" s="7">
        <v>1110</v>
      </c>
      <c r="B1098" s="55" t="s">
        <v>228</v>
      </c>
      <c r="C1098" s="41">
        <v>2485</v>
      </c>
      <c r="D1098">
        <v>0</v>
      </c>
      <c r="E1098">
        <v>0</v>
      </c>
      <c r="F1098">
        <v>0</v>
      </c>
      <c r="G1098">
        <v>2</v>
      </c>
    </row>
    <row r="1099" spans="1:7">
      <c r="A1099" s="7">
        <v>1111</v>
      </c>
      <c r="B1099" s="55" t="s">
        <v>228</v>
      </c>
      <c r="C1099" s="41">
        <v>2486</v>
      </c>
      <c r="D1099">
        <v>0</v>
      </c>
      <c r="E1099">
        <v>0</v>
      </c>
      <c r="F1099">
        <v>0</v>
      </c>
      <c r="G1099">
        <v>2</v>
      </c>
    </row>
    <row r="1100" spans="1:7">
      <c r="A1100" s="7">
        <v>1112</v>
      </c>
      <c r="B1100" s="55" t="s">
        <v>228</v>
      </c>
      <c r="C1100" s="41">
        <v>2487</v>
      </c>
      <c r="D1100">
        <v>0</v>
      </c>
      <c r="E1100">
        <v>0</v>
      </c>
      <c r="F1100">
        <v>0</v>
      </c>
      <c r="G1100">
        <v>2</v>
      </c>
    </row>
    <row r="1101" spans="1:7">
      <c r="A1101" s="7">
        <v>1113</v>
      </c>
      <c r="B1101" s="55" t="s">
        <v>228</v>
      </c>
      <c r="C1101" s="41">
        <v>2488</v>
      </c>
      <c r="D1101">
        <v>0</v>
      </c>
      <c r="E1101">
        <v>0</v>
      </c>
      <c r="F1101">
        <v>0</v>
      </c>
      <c r="G1101">
        <v>2</v>
      </c>
    </row>
    <row r="1102" spans="1:7">
      <c r="A1102" s="7">
        <v>1114</v>
      </c>
      <c r="B1102" s="55" t="s">
        <v>228</v>
      </c>
      <c r="C1102" s="41">
        <v>2489</v>
      </c>
      <c r="D1102">
        <v>0</v>
      </c>
      <c r="E1102">
        <v>0</v>
      </c>
      <c r="F1102">
        <v>0</v>
      </c>
      <c r="G1102">
        <v>2</v>
      </c>
    </row>
    <row r="1103" spans="1:7">
      <c r="A1103" s="7">
        <v>1115</v>
      </c>
      <c r="B1103" s="55" t="s">
        <v>228</v>
      </c>
      <c r="C1103" s="41">
        <v>2490</v>
      </c>
      <c r="D1103">
        <v>0</v>
      </c>
      <c r="E1103">
        <v>0</v>
      </c>
      <c r="F1103">
        <v>0</v>
      </c>
      <c r="G1103">
        <v>2</v>
      </c>
    </row>
    <row r="1104" spans="1:7">
      <c r="A1104" s="7">
        <v>1116</v>
      </c>
      <c r="B1104" s="55" t="s">
        <v>228</v>
      </c>
      <c r="C1104" s="41">
        <v>2491</v>
      </c>
      <c r="D1104">
        <v>0</v>
      </c>
      <c r="E1104">
        <v>0</v>
      </c>
      <c r="F1104">
        <v>0</v>
      </c>
      <c r="G1104">
        <v>2</v>
      </c>
    </row>
    <row r="1105" spans="1:7">
      <c r="A1105" s="7">
        <v>1117</v>
      </c>
      <c r="B1105" s="55" t="s">
        <v>228</v>
      </c>
      <c r="C1105" s="41">
        <v>2492</v>
      </c>
      <c r="D1105">
        <v>0</v>
      </c>
      <c r="E1105">
        <v>0</v>
      </c>
      <c r="F1105">
        <v>0</v>
      </c>
      <c r="G1105">
        <v>2</v>
      </c>
    </row>
    <row r="1106" spans="1:7">
      <c r="A1106" s="7">
        <v>1118</v>
      </c>
      <c r="B1106" s="55" t="s">
        <v>228</v>
      </c>
      <c r="C1106" s="41">
        <v>2493</v>
      </c>
      <c r="D1106">
        <v>0</v>
      </c>
      <c r="E1106">
        <v>0</v>
      </c>
      <c r="F1106">
        <v>0</v>
      </c>
      <c r="G1106">
        <v>2</v>
      </c>
    </row>
    <row r="1107" spans="1:7">
      <c r="A1107" s="7">
        <v>1119</v>
      </c>
      <c r="B1107" s="52" t="s">
        <v>229</v>
      </c>
      <c r="C1107" s="41">
        <v>2503</v>
      </c>
      <c r="D1107">
        <v>0</v>
      </c>
      <c r="E1107">
        <v>0</v>
      </c>
      <c r="F1107">
        <v>0</v>
      </c>
      <c r="G1107">
        <v>5.33333333333333</v>
      </c>
    </row>
    <row r="1108" spans="1:7">
      <c r="A1108" s="7">
        <v>1120</v>
      </c>
      <c r="B1108" s="52" t="s">
        <v>229</v>
      </c>
      <c r="C1108" s="41">
        <v>2504</v>
      </c>
      <c r="D1108">
        <v>0</v>
      </c>
      <c r="E1108">
        <v>0</v>
      </c>
      <c r="F1108">
        <v>0</v>
      </c>
      <c r="G1108">
        <v>5.33333333333333</v>
      </c>
    </row>
    <row r="1109" spans="1:7">
      <c r="A1109" s="7">
        <v>1121</v>
      </c>
      <c r="B1109" s="52" t="s">
        <v>229</v>
      </c>
      <c r="C1109" s="41">
        <v>2505</v>
      </c>
      <c r="D1109">
        <v>0</v>
      </c>
      <c r="E1109">
        <v>0</v>
      </c>
      <c r="F1109">
        <v>0</v>
      </c>
      <c r="G1109">
        <v>5.33333333333333</v>
      </c>
    </row>
    <row r="1110" spans="1:7">
      <c r="A1110" s="7">
        <v>1122</v>
      </c>
      <c r="B1110" s="52" t="s">
        <v>229</v>
      </c>
      <c r="C1110" s="41">
        <v>2506</v>
      </c>
      <c r="D1110">
        <v>0</v>
      </c>
      <c r="E1110">
        <v>0</v>
      </c>
      <c r="F1110">
        <v>0</v>
      </c>
      <c r="G1110">
        <v>5.33333333333333</v>
      </c>
    </row>
    <row r="1111" spans="1:7">
      <c r="A1111" s="7">
        <v>1123</v>
      </c>
      <c r="B1111" s="52" t="s">
        <v>229</v>
      </c>
      <c r="C1111" s="41">
        <v>2507</v>
      </c>
      <c r="D1111">
        <v>0</v>
      </c>
      <c r="E1111">
        <v>0</v>
      </c>
      <c r="F1111">
        <v>0</v>
      </c>
      <c r="G1111">
        <v>5.33333333333333</v>
      </c>
    </row>
    <row r="1112" spans="1:7">
      <c r="A1112" s="7">
        <v>1124</v>
      </c>
      <c r="B1112" s="53" t="s">
        <v>230</v>
      </c>
      <c r="C1112" s="41">
        <v>2503</v>
      </c>
      <c r="D1112">
        <v>0</v>
      </c>
      <c r="E1112">
        <v>0</v>
      </c>
      <c r="F1112">
        <v>0</v>
      </c>
      <c r="G1112">
        <v>9.8</v>
      </c>
    </row>
    <row r="1113" spans="1:7">
      <c r="A1113" s="7">
        <v>1125</v>
      </c>
      <c r="B1113" s="53" t="s">
        <v>230</v>
      </c>
      <c r="C1113" s="41">
        <v>2504</v>
      </c>
      <c r="D1113">
        <v>0</v>
      </c>
      <c r="E1113">
        <v>0</v>
      </c>
      <c r="F1113">
        <v>0</v>
      </c>
      <c r="G1113">
        <v>9.8</v>
      </c>
    </row>
    <row r="1114" spans="1:7">
      <c r="A1114" s="7">
        <v>1126</v>
      </c>
      <c r="B1114" s="53" t="s">
        <v>230</v>
      </c>
      <c r="C1114" s="41">
        <v>2505</v>
      </c>
      <c r="D1114">
        <v>0</v>
      </c>
      <c r="E1114">
        <v>0</v>
      </c>
      <c r="F1114">
        <v>0</v>
      </c>
      <c r="G1114">
        <v>9.8</v>
      </c>
    </row>
    <row r="1115" spans="1:7">
      <c r="A1115" s="7">
        <v>1127</v>
      </c>
      <c r="B1115" s="53" t="s">
        <v>230</v>
      </c>
      <c r="C1115" s="41">
        <v>2506</v>
      </c>
      <c r="D1115">
        <v>0</v>
      </c>
      <c r="E1115">
        <v>0</v>
      </c>
      <c r="F1115">
        <v>0</v>
      </c>
      <c r="G1115">
        <v>9.8</v>
      </c>
    </row>
    <row r="1116" spans="1:7">
      <c r="A1116" s="7">
        <v>1128</v>
      </c>
      <c r="B1116" s="53" t="s">
        <v>230</v>
      </c>
      <c r="C1116" s="41">
        <v>2507</v>
      </c>
      <c r="D1116">
        <v>0</v>
      </c>
      <c r="E1116">
        <v>0</v>
      </c>
      <c r="F1116">
        <v>0</v>
      </c>
      <c r="G1116">
        <v>9.8</v>
      </c>
    </row>
    <row r="1117" spans="1:7">
      <c r="A1117" s="7">
        <v>1129</v>
      </c>
      <c r="B1117" s="46" t="s">
        <v>231</v>
      </c>
      <c r="C1117" s="41">
        <v>2503</v>
      </c>
      <c r="D1117">
        <v>0</v>
      </c>
      <c r="E1117">
        <v>0</v>
      </c>
      <c r="F1117">
        <v>0</v>
      </c>
      <c r="G1117">
        <v>15.6666666666667</v>
      </c>
    </row>
    <row r="1118" spans="1:7">
      <c r="A1118" s="7">
        <v>1130</v>
      </c>
      <c r="B1118" s="46" t="s">
        <v>231</v>
      </c>
      <c r="C1118" s="41">
        <v>2504</v>
      </c>
      <c r="D1118">
        <v>0</v>
      </c>
      <c r="E1118">
        <v>0</v>
      </c>
      <c r="F1118">
        <v>0</v>
      </c>
      <c r="G1118">
        <v>15.6666666666667</v>
      </c>
    </row>
    <row r="1119" spans="1:7">
      <c r="A1119" s="7">
        <v>1131</v>
      </c>
      <c r="B1119" s="46" t="s">
        <v>231</v>
      </c>
      <c r="C1119" s="41">
        <v>2505</v>
      </c>
      <c r="D1119">
        <v>0</v>
      </c>
      <c r="E1119">
        <v>0</v>
      </c>
      <c r="F1119">
        <v>0</v>
      </c>
      <c r="G1119">
        <v>15.6666666666667</v>
      </c>
    </row>
    <row r="1120" spans="1:7">
      <c r="A1120" s="7">
        <v>1132</v>
      </c>
      <c r="B1120" s="46" t="s">
        <v>231</v>
      </c>
      <c r="C1120" s="41">
        <v>2506</v>
      </c>
      <c r="D1120">
        <v>0</v>
      </c>
      <c r="E1120">
        <v>0</v>
      </c>
      <c r="F1120">
        <v>0</v>
      </c>
      <c r="G1120">
        <v>15.6666666666667</v>
      </c>
    </row>
    <row r="1121" spans="1:7">
      <c r="A1121" s="7">
        <v>1133</v>
      </c>
      <c r="B1121" s="46" t="s">
        <v>231</v>
      </c>
      <c r="C1121" s="41">
        <v>2507</v>
      </c>
      <c r="D1121">
        <v>0</v>
      </c>
      <c r="E1121">
        <v>0</v>
      </c>
      <c r="F1121">
        <v>0</v>
      </c>
      <c r="G1121">
        <v>15.6666666666667</v>
      </c>
    </row>
    <row r="1122" spans="1:7">
      <c r="A1122" s="7">
        <v>1134</v>
      </c>
      <c r="B1122" s="54" t="s">
        <v>232</v>
      </c>
      <c r="C1122" s="41">
        <v>2508</v>
      </c>
      <c r="D1122">
        <v>0</v>
      </c>
      <c r="E1122">
        <v>0</v>
      </c>
      <c r="F1122">
        <v>0</v>
      </c>
      <c r="G1122">
        <v>10.1</v>
      </c>
    </row>
    <row r="1123" spans="1:7">
      <c r="A1123" s="7">
        <v>1135</v>
      </c>
      <c r="B1123" s="54" t="s">
        <v>232</v>
      </c>
      <c r="C1123" s="41">
        <v>2509</v>
      </c>
      <c r="D1123">
        <v>0</v>
      </c>
      <c r="E1123">
        <v>0</v>
      </c>
      <c r="F1123">
        <v>0</v>
      </c>
      <c r="G1123">
        <v>10.1</v>
      </c>
    </row>
    <row r="1124" spans="1:7">
      <c r="A1124" s="7">
        <v>1136</v>
      </c>
      <c r="B1124" s="54" t="s">
        <v>232</v>
      </c>
      <c r="C1124" s="41">
        <v>2510</v>
      </c>
      <c r="D1124">
        <v>0</v>
      </c>
      <c r="E1124">
        <v>0</v>
      </c>
      <c r="F1124">
        <v>0</v>
      </c>
      <c r="G1124">
        <v>10.1</v>
      </c>
    </row>
    <row r="1125" spans="1:7">
      <c r="A1125" s="7">
        <v>1137</v>
      </c>
      <c r="B1125" s="54" t="s">
        <v>232</v>
      </c>
      <c r="C1125" s="41">
        <v>2511</v>
      </c>
      <c r="D1125">
        <v>0</v>
      </c>
      <c r="E1125">
        <v>0</v>
      </c>
      <c r="F1125">
        <v>0</v>
      </c>
      <c r="G1125">
        <v>10.1</v>
      </c>
    </row>
    <row r="1126" spans="1:7">
      <c r="A1126" s="7">
        <v>1138</v>
      </c>
      <c r="B1126" s="54" t="s">
        <v>232</v>
      </c>
      <c r="C1126" s="41">
        <v>2512</v>
      </c>
      <c r="D1126">
        <v>0</v>
      </c>
      <c r="E1126">
        <v>0</v>
      </c>
      <c r="F1126">
        <v>0</v>
      </c>
      <c r="G1126">
        <v>10.1</v>
      </c>
    </row>
    <row r="1127" spans="1:7">
      <c r="A1127" s="7">
        <v>1139</v>
      </c>
      <c r="B1127" s="54" t="s">
        <v>232</v>
      </c>
      <c r="C1127" s="41">
        <v>2513</v>
      </c>
      <c r="D1127">
        <v>0</v>
      </c>
      <c r="E1127">
        <v>0</v>
      </c>
      <c r="F1127">
        <v>0</v>
      </c>
      <c r="G1127">
        <v>10.1</v>
      </c>
    </row>
    <row r="1128" spans="1:7">
      <c r="A1128" s="7">
        <v>1140</v>
      </c>
      <c r="B1128" s="54" t="s">
        <v>232</v>
      </c>
      <c r="C1128" s="41">
        <v>2514</v>
      </c>
      <c r="D1128">
        <v>0</v>
      </c>
      <c r="E1128">
        <v>0</v>
      </c>
      <c r="F1128">
        <v>0</v>
      </c>
      <c r="G1128">
        <v>10.1</v>
      </c>
    </row>
    <row r="1129" spans="1:7">
      <c r="A1129" s="7">
        <v>1141</v>
      </c>
      <c r="B1129" s="54" t="s">
        <v>232</v>
      </c>
      <c r="C1129" s="41">
        <v>2515</v>
      </c>
      <c r="D1129">
        <v>0</v>
      </c>
      <c r="E1129">
        <v>0</v>
      </c>
      <c r="F1129">
        <v>0</v>
      </c>
      <c r="G1129">
        <v>10.1</v>
      </c>
    </row>
    <row r="1130" spans="1:7">
      <c r="A1130" s="7">
        <v>1142</v>
      </c>
      <c r="B1130" s="54" t="s">
        <v>232</v>
      </c>
      <c r="C1130" s="41">
        <v>2516</v>
      </c>
      <c r="D1130">
        <v>0</v>
      </c>
      <c r="E1130">
        <v>0</v>
      </c>
      <c r="F1130">
        <v>0</v>
      </c>
      <c r="G1130">
        <v>10.1</v>
      </c>
    </row>
    <row r="1131" spans="1:7">
      <c r="A1131" s="7">
        <v>1143</v>
      </c>
      <c r="B1131" s="54" t="s">
        <v>232</v>
      </c>
      <c r="C1131" s="41">
        <v>2517</v>
      </c>
      <c r="D1131">
        <v>0</v>
      </c>
      <c r="E1131">
        <v>0</v>
      </c>
      <c r="F1131">
        <v>0</v>
      </c>
      <c r="G1131">
        <v>10.1</v>
      </c>
    </row>
    <row r="1132" spans="1:7">
      <c r="A1132" s="7">
        <v>1144</v>
      </c>
      <c r="B1132" s="55" t="s">
        <v>233</v>
      </c>
      <c r="C1132" s="41">
        <v>2508</v>
      </c>
      <c r="D1132">
        <v>0</v>
      </c>
      <c r="E1132">
        <v>0</v>
      </c>
      <c r="F1132">
        <v>0</v>
      </c>
      <c r="G1132">
        <v>2</v>
      </c>
    </row>
    <row r="1133" spans="1:7">
      <c r="A1133" s="7">
        <v>1145</v>
      </c>
      <c r="B1133" s="55" t="s">
        <v>233</v>
      </c>
      <c r="C1133" s="41">
        <v>2509</v>
      </c>
      <c r="D1133">
        <v>0</v>
      </c>
      <c r="E1133">
        <v>0</v>
      </c>
      <c r="F1133">
        <v>0</v>
      </c>
      <c r="G1133">
        <v>2</v>
      </c>
    </row>
    <row r="1134" spans="1:7">
      <c r="A1134" s="7">
        <v>1146</v>
      </c>
      <c r="B1134" s="55" t="s">
        <v>233</v>
      </c>
      <c r="C1134" s="41">
        <v>2510</v>
      </c>
      <c r="D1134">
        <v>0</v>
      </c>
      <c r="E1134">
        <v>0</v>
      </c>
      <c r="F1134">
        <v>0</v>
      </c>
      <c r="G1134">
        <v>2</v>
      </c>
    </row>
    <row r="1135" spans="1:7">
      <c r="A1135" s="7">
        <v>1147</v>
      </c>
      <c r="B1135" s="55" t="s">
        <v>233</v>
      </c>
      <c r="C1135" s="41">
        <v>2511</v>
      </c>
      <c r="D1135">
        <v>0</v>
      </c>
      <c r="E1135">
        <v>0</v>
      </c>
      <c r="F1135">
        <v>0</v>
      </c>
      <c r="G1135">
        <v>2</v>
      </c>
    </row>
    <row r="1136" spans="1:7">
      <c r="A1136" s="7">
        <v>1148</v>
      </c>
      <c r="B1136" s="55" t="s">
        <v>233</v>
      </c>
      <c r="C1136" s="41">
        <v>2512</v>
      </c>
      <c r="D1136">
        <v>0</v>
      </c>
      <c r="E1136">
        <v>0</v>
      </c>
      <c r="F1136">
        <v>0</v>
      </c>
      <c r="G1136">
        <v>2</v>
      </c>
    </row>
    <row r="1137" spans="1:7">
      <c r="A1137" s="7">
        <v>1149</v>
      </c>
      <c r="B1137" s="55" t="s">
        <v>233</v>
      </c>
      <c r="C1137" s="41">
        <v>2513</v>
      </c>
      <c r="D1137">
        <v>0</v>
      </c>
      <c r="E1137">
        <v>0</v>
      </c>
      <c r="F1137">
        <v>0</v>
      </c>
      <c r="G1137">
        <v>2</v>
      </c>
    </row>
    <row r="1138" spans="1:7">
      <c r="A1138" s="7">
        <v>1150</v>
      </c>
      <c r="B1138" s="55" t="s">
        <v>233</v>
      </c>
      <c r="C1138" s="41">
        <v>2514</v>
      </c>
      <c r="D1138">
        <v>0</v>
      </c>
      <c r="E1138">
        <v>0</v>
      </c>
      <c r="F1138">
        <v>0</v>
      </c>
      <c r="G1138">
        <v>2</v>
      </c>
    </row>
    <row r="1139" spans="1:7">
      <c r="A1139" s="7">
        <v>1151</v>
      </c>
      <c r="B1139" s="55" t="s">
        <v>233</v>
      </c>
      <c r="C1139" s="41">
        <v>2515</v>
      </c>
      <c r="D1139">
        <v>0</v>
      </c>
      <c r="E1139">
        <v>0</v>
      </c>
      <c r="F1139">
        <v>0</v>
      </c>
      <c r="G1139">
        <v>2</v>
      </c>
    </row>
    <row r="1140" spans="1:7">
      <c r="A1140" s="7">
        <v>1152</v>
      </c>
      <c r="B1140" s="55" t="s">
        <v>233</v>
      </c>
      <c r="C1140" s="41">
        <v>2516</v>
      </c>
      <c r="D1140">
        <v>0</v>
      </c>
      <c r="E1140">
        <v>0</v>
      </c>
      <c r="F1140">
        <v>0</v>
      </c>
      <c r="G1140">
        <v>2</v>
      </c>
    </row>
    <row r="1141" spans="1:7">
      <c r="A1141" s="7">
        <v>1153</v>
      </c>
      <c r="B1141" s="55" t="s">
        <v>233</v>
      </c>
      <c r="C1141" s="41">
        <v>2517</v>
      </c>
      <c r="D1141">
        <v>0</v>
      </c>
      <c r="E1141">
        <v>0</v>
      </c>
      <c r="F1141">
        <v>0</v>
      </c>
      <c r="G1141">
        <v>2</v>
      </c>
    </row>
    <row r="1142" customFormat="1" spans="1:7">
      <c r="A1142" s="7">
        <v>1154</v>
      </c>
      <c r="B1142" s="52">
        <v>15403</v>
      </c>
      <c r="C1142" s="41">
        <v>0</v>
      </c>
      <c r="D1142">
        <v>2578</v>
      </c>
      <c r="E1142">
        <v>0</v>
      </c>
      <c r="F1142">
        <v>0</v>
      </c>
      <c r="G1142">
        <f t="shared" ref="G1142:G1144" si="43">71/30</f>
        <v>2.36666666666667</v>
      </c>
    </row>
    <row r="1143" customFormat="1" spans="1:7">
      <c r="A1143" s="7">
        <v>1155</v>
      </c>
      <c r="B1143" s="52">
        <v>401540103</v>
      </c>
      <c r="C1143" s="41">
        <v>0</v>
      </c>
      <c r="D1143">
        <v>2583</v>
      </c>
      <c r="E1143">
        <v>0</v>
      </c>
      <c r="F1143">
        <v>0</v>
      </c>
      <c r="G1143">
        <f t="shared" si="43"/>
        <v>2.36666666666667</v>
      </c>
    </row>
    <row r="1144" customFormat="1" ht="13" customHeight="1" spans="1:7">
      <c r="A1144" s="7">
        <v>1156</v>
      </c>
      <c r="B1144" s="52">
        <v>401540203</v>
      </c>
      <c r="C1144" s="41">
        <v>0</v>
      </c>
      <c r="D1144">
        <v>2589</v>
      </c>
      <c r="E1144">
        <v>0</v>
      </c>
      <c r="F1144">
        <v>0</v>
      </c>
      <c r="G1144">
        <f t="shared" si="43"/>
        <v>2.36666666666667</v>
      </c>
    </row>
    <row r="1145" customFormat="1" spans="1:7">
      <c r="A1145" s="7">
        <v>1157</v>
      </c>
      <c r="B1145" s="56">
        <v>3012005</v>
      </c>
      <c r="C1145" s="41">
        <v>2604</v>
      </c>
      <c r="D1145">
        <v>0</v>
      </c>
      <c r="E1145">
        <v>0</v>
      </c>
      <c r="F1145">
        <v>0</v>
      </c>
      <c r="G1145" s="7">
        <v>7.66666666666667</v>
      </c>
    </row>
    <row r="1146" customFormat="1" spans="1:7">
      <c r="A1146" s="7">
        <v>1158</v>
      </c>
      <c r="B1146" s="56">
        <v>3012005</v>
      </c>
      <c r="C1146" s="41">
        <v>2605</v>
      </c>
      <c r="D1146">
        <v>0</v>
      </c>
      <c r="E1146">
        <v>0</v>
      </c>
      <c r="F1146">
        <v>0</v>
      </c>
      <c r="G1146" s="7">
        <v>7.66666666666667</v>
      </c>
    </row>
    <row r="1147" customFormat="1" spans="1:7">
      <c r="A1147" s="7">
        <v>1159</v>
      </c>
      <c r="B1147" s="56">
        <v>3012005</v>
      </c>
      <c r="C1147" s="41">
        <v>2606</v>
      </c>
      <c r="D1147">
        <v>0</v>
      </c>
      <c r="E1147">
        <v>0</v>
      </c>
      <c r="F1147">
        <v>0</v>
      </c>
      <c r="G1147" s="7">
        <v>7.66666666666667</v>
      </c>
    </row>
    <row r="1148" customFormat="1" spans="1:7">
      <c r="A1148" s="7">
        <v>1160</v>
      </c>
      <c r="B1148" s="56">
        <v>3012005</v>
      </c>
      <c r="C1148" s="41">
        <v>2608</v>
      </c>
      <c r="D1148">
        <v>0</v>
      </c>
      <c r="E1148">
        <v>0</v>
      </c>
      <c r="F1148">
        <v>0</v>
      </c>
      <c r="G1148" s="7">
        <v>7.66666666666667</v>
      </c>
    </row>
    <row r="1149" customFormat="1" spans="1:7">
      <c r="A1149" s="7">
        <v>1161</v>
      </c>
      <c r="B1149" s="57">
        <v>3012001</v>
      </c>
      <c r="C1149" s="41">
        <v>2604</v>
      </c>
      <c r="D1149">
        <v>0</v>
      </c>
      <c r="E1149">
        <v>0</v>
      </c>
      <c r="F1149">
        <v>0</v>
      </c>
      <c r="G1149">
        <v>10</v>
      </c>
    </row>
    <row r="1150" customFormat="1" spans="1:7">
      <c r="A1150" s="7">
        <v>1162</v>
      </c>
      <c r="B1150" s="57">
        <v>3012001</v>
      </c>
      <c r="C1150" s="41">
        <v>2605</v>
      </c>
      <c r="D1150">
        <v>0</v>
      </c>
      <c r="E1150">
        <v>0</v>
      </c>
      <c r="F1150">
        <v>0</v>
      </c>
      <c r="G1150">
        <v>10</v>
      </c>
    </row>
    <row r="1151" customFormat="1" spans="1:7">
      <c r="A1151" s="7">
        <v>1163</v>
      </c>
      <c r="B1151" s="57">
        <v>3012001</v>
      </c>
      <c r="C1151" s="41">
        <v>2606</v>
      </c>
      <c r="D1151">
        <v>0</v>
      </c>
      <c r="E1151">
        <v>0</v>
      </c>
      <c r="F1151">
        <v>0</v>
      </c>
      <c r="G1151">
        <v>10</v>
      </c>
    </row>
    <row r="1152" customFormat="1" spans="1:7">
      <c r="A1152" s="7">
        <v>1164</v>
      </c>
      <c r="B1152" s="57">
        <v>3012001</v>
      </c>
      <c r="C1152" s="41">
        <v>2608</v>
      </c>
      <c r="D1152">
        <v>0</v>
      </c>
      <c r="E1152">
        <v>0</v>
      </c>
      <c r="F1152">
        <v>0</v>
      </c>
      <c r="G1152">
        <v>10</v>
      </c>
    </row>
    <row r="1153" spans="1:7">
      <c r="A1153" s="7">
        <v>1165</v>
      </c>
      <c r="B1153" s="58" t="s">
        <v>234</v>
      </c>
      <c r="C1153" s="41">
        <v>0</v>
      </c>
      <c r="D1153">
        <v>2650</v>
      </c>
      <c r="E1153">
        <v>0</v>
      </c>
      <c r="F1153">
        <v>0</v>
      </c>
      <c r="G1153">
        <v>12.2</v>
      </c>
    </row>
    <row r="1154" customFormat="1" spans="1:7">
      <c r="A1154" s="7">
        <v>1166</v>
      </c>
      <c r="B1154" s="58">
        <v>3012702</v>
      </c>
      <c r="C1154" s="41">
        <v>0</v>
      </c>
      <c r="D1154">
        <v>2650</v>
      </c>
      <c r="E1154">
        <v>0</v>
      </c>
      <c r="F1154">
        <v>0</v>
      </c>
      <c r="G1154">
        <v>12.2</v>
      </c>
    </row>
    <row r="1155" spans="1:7">
      <c r="A1155" s="7">
        <v>1167</v>
      </c>
      <c r="B1155" s="56">
        <v>3012603</v>
      </c>
      <c r="C1155" s="41">
        <v>2647</v>
      </c>
      <c r="D1155">
        <v>0</v>
      </c>
      <c r="E1155">
        <v>0</v>
      </c>
      <c r="F1155">
        <v>0</v>
      </c>
      <c r="G1155">
        <f t="shared" ref="G1155:G1164" si="44">265/30</f>
        <v>8.83333333333333</v>
      </c>
    </row>
    <row r="1156" spans="1:7">
      <c r="A1156" s="7">
        <v>1168</v>
      </c>
      <c r="B1156" s="56">
        <v>3012603</v>
      </c>
      <c r="C1156" s="41">
        <v>2648</v>
      </c>
      <c r="D1156">
        <v>0</v>
      </c>
      <c r="E1156">
        <v>0</v>
      </c>
      <c r="F1156">
        <v>0</v>
      </c>
      <c r="G1156">
        <f t="shared" si="44"/>
        <v>8.83333333333333</v>
      </c>
    </row>
    <row r="1157" spans="1:7">
      <c r="A1157" s="7">
        <v>1169</v>
      </c>
      <c r="B1157" s="56">
        <v>3012603</v>
      </c>
      <c r="C1157" s="41">
        <v>2649</v>
      </c>
      <c r="D1157">
        <v>0</v>
      </c>
      <c r="E1157">
        <v>0</v>
      </c>
      <c r="F1157">
        <v>0</v>
      </c>
      <c r="G1157">
        <f t="shared" si="44"/>
        <v>8.83333333333333</v>
      </c>
    </row>
    <row r="1158" spans="1:7">
      <c r="A1158" s="7">
        <v>1170</v>
      </c>
      <c r="B1158" s="56">
        <v>3012603</v>
      </c>
      <c r="C1158" s="41">
        <v>2650</v>
      </c>
      <c r="D1158">
        <v>0</v>
      </c>
      <c r="E1158">
        <v>0</v>
      </c>
      <c r="F1158">
        <v>0</v>
      </c>
      <c r="G1158">
        <f t="shared" si="44"/>
        <v>8.83333333333333</v>
      </c>
    </row>
    <row r="1159" spans="1:7">
      <c r="A1159" s="7">
        <v>1171</v>
      </c>
      <c r="B1159" s="56">
        <v>3012603</v>
      </c>
      <c r="C1159" s="41">
        <v>2651</v>
      </c>
      <c r="D1159">
        <v>0</v>
      </c>
      <c r="E1159">
        <v>0</v>
      </c>
      <c r="F1159">
        <v>0</v>
      </c>
      <c r="G1159">
        <f t="shared" si="44"/>
        <v>8.83333333333333</v>
      </c>
    </row>
    <row r="1160" spans="1:7">
      <c r="A1160" s="7">
        <v>1172</v>
      </c>
      <c r="B1160" s="56">
        <v>3012703</v>
      </c>
      <c r="C1160" s="41">
        <v>2647</v>
      </c>
      <c r="D1160">
        <v>0</v>
      </c>
      <c r="E1160">
        <v>0</v>
      </c>
      <c r="F1160">
        <v>0</v>
      </c>
      <c r="G1160">
        <f t="shared" si="44"/>
        <v>8.83333333333333</v>
      </c>
    </row>
    <row r="1161" spans="1:7">
      <c r="A1161" s="7">
        <v>1173</v>
      </c>
      <c r="B1161" s="56">
        <v>3012703</v>
      </c>
      <c r="C1161" s="41">
        <v>2648</v>
      </c>
      <c r="D1161">
        <v>0</v>
      </c>
      <c r="E1161">
        <v>0</v>
      </c>
      <c r="F1161">
        <v>0</v>
      </c>
      <c r="G1161">
        <f t="shared" si="44"/>
        <v>8.83333333333333</v>
      </c>
    </row>
    <row r="1162" spans="1:7">
      <c r="A1162" s="7">
        <v>1174</v>
      </c>
      <c r="B1162" s="56">
        <v>3012703</v>
      </c>
      <c r="C1162" s="41">
        <v>2649</v>
      </c>
      <c r="D1162">
        <v>0</v>
      </c>
      <c r="E1162">
        <v>0</v>
      </c>
      <c r="F1162">
        <v>0</v>
      </c>
      <c r="G1162">
        <f t="shared" si="44"/>
        <v>8.83333333333333</v>
      </c>
    </row>
    <row r="1163" spans="1:7">
      <c r="A1163" s="7">
        <v>1175</v>
      </c>
      <c r="B1163" s="56">
        <v>3012703</v>
      </c>
      <c r="C1163" s="41">
        <v>2650</v>
      </c>
      <c r="D1163">
        <v>0</v>
      </c>
      <c r="E1163">
        <v>0</v>
      </c>
      <c r="F1163">
        <v>0</v>
      </c>
      <c r="G1163">
        <f t="shared" si="44"/>
        <v>8.83333333333333</v>
      </c>
    </row>
    <row r="1164" spans="1:7">
      <c r="A1164" s="7">
        <v>1176</v>
      </c>
      <c r="B1164" s="56">
        <v>3012703</v>
      </c>
      <c r="C1164" s="41">
        <v>2651</v>
      </c>
      <c r="D1164">
        <v>0</v>
      </c>
      <c r="E1164">
        <v>0</v>
      </c>
      <c r="F1164">
        <v>0</v>
      </c>
      <c r="G1164">
        <f t="shared" si="44"/>
        <v>8.83333333333333</v>
      </c>
    </row>
    <row r="1165" spans="1:7">
      <c r="A1165" s="7">
        <v>1177</v>
      </c>
      <c r="B1165" s="46">
        <v>8111</v>
      </c>
      <c r="C1165" s="41">
        <v>1179</v>
      </c>
      <c r="D1165">
        <v>0</v>
      </c>
      <c r="E1165">
        <v>0</v>
      </c>
      <c r="F1165">
        <v>0</v>
      </c>
      <c r="G1165" s="59">
        <f>310/30</f>
        <v>10.3333333333333</v>
      </c>
    </row>
    <row r="1166" spans="1:7">
      <c r="A1166" s="7">
        <v>1178</v>
      </c>
      <c r="B1166" s="46">
        <v>8111</v>
      </c>
      <c r="C1166" s="41">
        <v>1180</v>
      </c>
      <c r="D1166">
        <v>0</v>
      </c>
      <c r="E1166">
        <v>0</v>
      </c>
      <c r="F1166">
        <v>0</v>
      </c>
      <c r="G1166" s="59">
        <f>310/30</f>
        <v>10.3333333333333</v>
      </c>
    </row>
    <row r="1167" spans="1:7">
      <c r="A1167" s="7">
        <v>1179</v>
      </c>
      <c r="B1167" s="46">
        <v>8112</v>
      </c>
      <c r="C1167" s="41">
        <v>1179</v>
      </c>
      <c r="D1167">
        <v>0</v>
      </c>
      <c r="E1167">
        <v>0</v>
      </c>
      <c r="F1167">
        <v>0</v>
      </c>
      <c r="G1167" s="59">
        <f>300/30</f>
        <v>10</v>
      </c>
    </row>
    <row r="1168" spans="1:7">
      <c r="A1168" s="7">
        <v>1180</v>
      </c>
      <c r="B1168" s="46">
        <v>8112</v>
      </c>
      <c r="C1168" s="41">
        <v>1180</v>
      </c>
      <c r="D1168">
        <v>0</v>
      </c>
      <c r="E1168">
        <v>0</v>
      </c>
      <c r="F1168">
        <v>0</v>
      </c>
      <c r="G1168" s="59">
        <f>300/30</f>
        <v>10</v>
      </c>
    </row>
    <row r="1169" spans="1:7">
      <c r="A1169" s="7">
        <v>1184</v>
      </c>
      <c r="B1169" s="11">
        <v>3013003</v>
      </c>
      <c r="C1169" s="41">
        <v>2660</v>
      </c>
      <c r="D1169">
        <v>0</v>
      </c>
      <c r="E1169">
        <v>0</v>
      </c>
      <c r="F1169">
        <v>0</v>
      </c>
      <c r="G1169">
        <v>9.16666666666667</v>
      </c>
    </row>
    <row r="1170" spans="1:7">
      <c r="A1170" s="7">
        <v>1185</v>
      </c>
      <c r="B1170" s="11">
        <v>3013003</v>
      </c>
      <c r="C1170" s="41">
        <v>2661</v>
      </c>
      <c r="D1170">
        <v>0</v>
      </c>
      <c r="E1170">
        <v>0</v>
      </c>
      <c r="F1170">
        <v>0</v>
      </c>
      <c r="G1170">
        <v>9.16666666666667</v>
      </c>
    </row>
    <row r="1171" spans="1:7">
      <c r="A1171" s="7">
        <v>1186</v>
      </c>
      <c r="B1171" s="11">
        <v>3013003</v>
      </c>
      <c r="C1171" s="41">
        <v>2662</v>
      </c>
      <c r="D1171">
        <v>0</v>
      </c>
      <c r="E1171">
        <v>0</v>
      </c>
      <c r="F1171">
        <v>0</v>
      </c>
      <c r="G1171">
        <v>9.16666666666667</v>
      </c>
    </row>
    <row r="1172" spans="1:7">
      <c r="A1172" s="7">
        <v>1187</v>
      </c>
      <c r="B1172" s="11">
        <v>3013003</v>
      </c>
      <c r="C1172" s="41">
        <v>2663</v>
      </c>
      <c r="D1172">
        <v>0</v>
      </c>
      <c r="E1172">
        <v>0</v>
      </c>
      <c r="F1172">
        <v>0</v>
      </c>
      <c r="G1172">
        <v>9.16666666666667</v>
      </c>
    </row>
    <row r="1173" spans="1:7">
      <c r="A1173" s="7">
        <v>1188</v>
      </c>
      <c r="B1173" s="56">
        <v>15703</v>
      </c>
      <c r="C1173" s="41">
        <v>2671</v>
      </c>
      <c r="D1173">
        <v>2667</v>
      </c>
      <c r="E1173">
        <v>1</v>
      </c>
      <c r="F1173">
        <f>35/30</f>
        <v>1.16666666666667</v>
      </c>
      <c r="G1173">
        <f>145/30</f>
        <v>4.83333333333333</v>
      </c>
    </row>
    <row r="1174" spans="1:7">
      <c r="A1174" s="7">
        <v>1189</v>
      </c>
      <c r="B1174" s="56">
        <v>401570103</v>
      </c>
      <c r="C1174" s="41">
        <v>2678</v>
      </c>
      <c r="D1174">
        <v>2667</v>
      </c>
      <c r="E1174">
        <v>1</v>
      </c>
      <c r="F1174">
        <f>35/30</f>
        <v>1.16666666666667</v>
      </c>
      <c r="G1174">
        <f>145/30</f>
        <v>4.83333333333333</v>
      </c>
    </row>
    <row r="1175" spans="1:7">
      <c r="A1175" s="7">
        <v>1190</v>
      </c>
      <c r="B1175" s="60">
        <v>15709</v>
      </c>
      <c r="C1175" s="41">
        <v>2667</v>
      </c>
      <c r="D1175">
        <v>0</v>
      </c>
      <c r="E1175">
        <v>0</v>
      </c>
      <c r="F1175">
        <v>0</v>
      </c>
      <c r="G1175">
        <v>5</v>
      </c>
    </row>
    <row r="1176" spans="1:7">
      <c r="A1176" s="7">
        <v>1191</v>
      </c>
      <c r="B1176" s="60">
        <v>15709</v>
      </c>
      <c r="C1176" s="41">
        <v>2668</v>
      </c>
      <c r="D1176">
        <v>0</v>
      </c>
      <c r="E1176">
        <v>0</v>
      </c>
      <c r="F1176">
        <v>0</v>
      </c>
      <c r="G1176">
        <v>5</v>
      </c>
    </row>
    <row r="1177" spans="1:7">
      <c r="A1177" s="7">
        <v>1192</v>
      </c>
      <c r="B1177" s="60">
        <v>15709</v>
      </c>
      <c r="C1177" s="41">
        <v>2669</v>
      </c>
      <c r="D1177">
        <v>0</v>
      </c>
      <c r="E1177">
        <v>0</v>
      </c>
      <c r="F1177">
        <v>0</v>
      </c>
      <c r="G1177">
        <v>5</v>
      </c>
    </row>
    <row r="1178" spans="1:7">
      <c r="A1178" s="7">
        <v>1193</v>
      </c>
      <c r="B1178" s="60">
        <v>15709</v>
      </c>
      <c r="C1178" s="41">
        <v>2670</v>
      </c>
      <c r="D1178">
        <v>0</v>
      </c>
      <c r="E1178">
        <v>0</v>
      </c>
      <c r="F1178">
        <v>0</v>
      </c>
      <c r="G1178">
        <v>5</v>
      </c>
    </row>
    <row r="1179" spans="1:7">
      <c r="A1179" s="7">
        <v>1194</v>
      </c>
      <c r="B1179" s="60">
        <v>15709</v>
      </c>
      <c r="C1179" s="41">
        <v>2671</v>
      </c>
      <c r="D1179">
        <v>0</v>
      </c>
      <c r="E1179">
        <v>0</v>
      </c>
      <c r="F1179">
        <v>0</v>
      </c>
      <c r="G1179">
        <v>5</v>
      </c>
    </row>
    <row r="1180" spans="1:7">
      <c r="A1180" s="7">
        <v>1195</v>
      </c>
      <c r="B1180" s="49">
        <v>401570109</v>
      </c>
      <c r="C1180" s="41">
        <v>2672</v>
      </c>
      <c r="D1180">
        <v>0</v>
      </c>
      <c r="E1180">
        <v>0</v>
      </c>
      <c r="F1180">
        <v>0</v>
      </c>
      <c r="G1180">
        <v>5</v>
      </c>
    </row>
    <row r="1181" spans="1:7">
      <c r="A1181" s="7">
        <v>1196</v>
      </c>
      <c r="B1181" s="49">
        <v>401570109</v>
      </c>
      <c r="C1181" s="41">
        <v>2673</v>
      </c>
      <c r="D1181">
        <v>0</v>
      </c>
      <c r="E1181">
        <v>0</v>
      </c>
      <c r="F1181">
        <v>0</v>
      </c>
      <c r="G1181">
        <v>5</v>
      </c>
    </row>
    <row r="1182" spans="1:7">
      <c r="A1182" s="7">
        <v>1197</v>
      </c>
      <c r="B1182" s="49">
        <v>401570109</v>
      </c>
      <c r="C1182" s="41">
        <v>2674</v>
      </c>
      <c r="D1182">
        <v>0</v>
      </c>
      <c r="E1182">
        <v>0</v>
      </c>
      <c r="F1182">
        <v>0</v>
      </c>
      <c r="G1182">
        <v>5</v>
      </c>
    </row>
    <row r="1183" spans="1:7">
      <c r="A1183" s="7">
        <v>1198</v>
      </c>
      <c r="B1183" s="49">
        <v>401570109</v>
      </c>
      <c r="C1183" s="41">
        <v>2675</v>
      </c>
      <c r="D1183">
        <v>0</v>
      </c>
      <c r="E1183">
        <v>0</v>
      </c>
      <c r="F1183">
        <v>0</v>
      </c>
      <c r="G1183">
        <v>5</v>
      </c>
    </row>
    <row r="1184" spans="1:7">
      <c r="A1184" s="7">
        <v>1199</v>
      </c>
      <c r="B1184" s="49">
        <v>401570109</v>
      </c>
      <c r="C1184" s="41">
        <v>2676</v>
      </c>
      <c r="D1184">
        <v>0</v>
      </c>
      <c r="E1184">
        <v>0</v>
      </c>
      <c r="F1184">
        <v>0</v>
      </c>
      <c r="G1184">
        <v>5</v>
      </c>
    </row>
    <row r="1185" spans="1:7">
      <c r="A1185" s="7">
        <v>1200</v>
      </c>
      <c r="B1185" s="49">
        <v>401570109</v>
      </c>
      <c r="C1185" s="41">
        <v>2677</v>
      </c>
      <c r="D1185">
        <v>0</v>
      </c>
      <c r="E1185">
        <v>0</v>
      </c>
      <c r="F1185">
        <v>0</v>
      </c>
      <c r="G1185">
        <v>5</v>
      </c>
    </row>
    <row r="1186" spans="1:7">
      <c r="A1186" s="7">
        <v>1201</v>
      </c>
      <c r="B1186" s="49">
        <v>401570109</v>
      </c>
      <c r="C1186" s="41">
        <v>2678</v>
      </c>
      <c r="D1186">
        <v>0</v>
      </c>
      <c r="E1186">
        <v>0</v>
      </c>
      <c r="F1186">
        <v>0</v>
      </c>
      <c r="G1186">
        <v>5</v>
      </c>
    </row>
    <row r="1187" spans="1:7">
      <c r="A1187" s="7">
        <v>1202</v>
      </c>
      <c r="B1187" s="60">
        <v>15708</v>
      </c>
      <c r="C1187" s="41">
        <v>2667</v>
      </c>
      <c r="D1187">
        <v>0</v>
      </c>
      <c r="E1187">
        <v>0</v>
      </c>
      <c r="F1187">
        <v>0</v>
      </c>
      <c r="G1187">
        <v>15.5</v>
      </c>
    </row>
    <row r="1188" spans="1:7">
      <c r="A1188" s="7">
        <v>1203</v>
      </c>
      <c r="B1188" s="60">
        <v>15708</v>
      </c>
      <c r="C1188" s="41">
        <v>2668</v>
      </c>
      <c r="D1188">
        <v>0</v>
      </c>
      <c r="E1188">
        <v>0</v>
      </c>
      <c r="F1188">
        <v>0</v>
      </c>
      <c r="G1188">
        <v>15.5</v>
      </c>
    </row>
    <row r="1189" spans="1:7">
      <c r="A1189" s="7">
        <v>1204</v>
      </c>
      <c r="B1189" s="60">
        <v>15708</v>
      </c>
      <c r="C1189" s="41">
        <v>2669</v>
      </c>
      <c r="D1189">
        <v>0</v>
      </c>
      <c r="E1189">
        <v>0</v>
      </c>
      <c r="F1189">
        <v>0</v>
      </c>
      <c r="G1189">
        <v>15.5</v>
      </c>
    </row>
    <row r="1190" spans="1:7">
      <c r="A1190" s="7">
        <v>1205</v>
      </c>
      <c r="B1190" s="60">
        <v>15708</v>
      </c>
      <c r="C1190" s="41">
        <v>2670</v>
      </c>
      <c r="D1190">
        <v>0</v>
      </c>
      <c r="E1190">
        <v>0</v>
      </c>
      <c r="F1190">
        <v>0</v>
      </c>
      <c r="G1190">
        <v>15.5</v>
      </c>
    </row>
    <row r="1191" spans="1:7">
      <c r="A1191" s="7">
        <v>1206</v>
      </c>
      <c r="B1191" s="60">
        <v>15708</v>
      </c>
      <c r="C1191" s="41">
        <v>2671</v>
      </c>
      <c r="D1191">
        <v>0</v>
      </c>
      <c r="E1191">
        <v>0</v>
      </c>
      <c r="F1191">
        <v>0</v>
      </c>
      <c r="G1191">
        <v>15.5</v>
      </c>
    </row>
    <row r="1192" spans="1:7">
      <c r="A1192" s="7">
        <v>1207</v>
      </c>
      <c r="B1192" s="49">
        <v>401570108</v>
      </c>
      <c r="C1192" s="41">
        <v>2672</v>
      </c>
      <c r="D1192">
        <v>0</v>
      </c>
      <c r="E1192">
        <v>0</v>
      </c>
      <c r="F1192">
        <v>0</v>
      </c>
      <c r="G1192">
        <v>15.5</v>
      </c>
    </row>
    <row r="1193" spans="1:7">
      <c r="A1193" s="7">
        <v>1208</v>
      </c>
      <c r="B1193" s="49">
        <v>401570108</v>
      </c>
      <c r="C1193" s="41">
        <v>2673</v>
      </c>
      <c r="D1193">
        <v>0</v>
      </c>
      <c r="E1193">
        <v>0</v>
      </c>
      <c r="F1193">
        <v>0</v>
      </c>
      <c r="G1193">
        <v>15.5</v>
      </c>
    </row>
    <row r="1194" spans="1:7">
      <c r="A1194" s="7">
        <v>1209</v>
      </c>
      <c r="B1194" s="49">
        <v>401570108</v>
      </c>
      <c r="C1194" s="41">
        <v>2674</v>
      </c>
      <c r="D1194">
        <v>0</v>
      </c>
      <c r="E1194">
        <v>0</v>
      </c>
      <c r="F1194">
        <v>0</v>
      </c>
      <c r="G1194">
        <v>15.5</v>
      </c>
    </row>
    <row r="1195" spans="1:7">
      <c r="A1195" s="7">
        <v>1210</v>
      </c>
      <c r="B1195" s="49">
        <v>401570108</v>
      </c>
      <c r="C1195" s="41">
        <v>2675</v>
      </c>
      <c r="D1195">
        <v>0</v>
      </c>
      <c r="E1195">
        <v>0</v>
      </c>
      <c r="F1195">
        <v>0</v>
      </c>
      <c r="G1195">
        <v>15.5</v>
      </c>
    </row>
    <row r="1196" spans="1:7">
      <c r="A1196" s="7">
        <v>1211</v>
      </c>
      <c r="B1196" s="49">
        <v>401570108</v>
      </c>
      <c r="C1196" s="41">
        <v>2676</v>
      </c>
      <c r="D1196">
        <v>0</v>
      </c>
      <c r="E1196">
        <v>0</v>
      </c>
      <c r="F1196">
        <v>0</v>
      </c>
      <c r="G1196">
        <v>15.5</v>
      </c>
    </row>
    <row r="1197" spans="1:7">
      <c r="A1197" s="7">
        <v>1212</v>
      </c>
      <c r="B1197" s="49">
        <v>401570108</v>
      </c>
      <c r="C1197" s="41">
        <v>2677</v>
      </c>
      <c r="D1197">
        <v>0</v>
      </c>
      <c r="E1197">
        <v>0</v>
      </c>
      <c r="F1197">
        <v>0</v>
      </c>
      <c r="G1197">
        <v>15.5</v>
      </c>
    </row>
    <row r="1198" spans="1:7">
      <c r="A1198" s="7">
        <v>1213</v>
      </c>
      <c r="B1198" s="49">
        <v>401570108</v>
      </c>
      <c r="C1198" s="41">
        <v>2678</v>
      </c>
      <c r="D1198">
        <v>0</v>
      </c>
      <c r="E1198">
        <v>0</v>
      </c>
      <c r="F1198">
        <v>0</v>
      </c>
      <c r="G1198">
        <v>15.5</v>
      </c>
    </row>
    <row r="1199" spans="1:7">
      <c r="A1199" s="7">
        <v>1214</v>
      </c>
      <c r="B1199" s="60">
        <v>15741</v>
      </c>
      <c r="C1199" s="41">
        <v>2667</v>
      </c>
      <c r="D1199">
        <v>0</v>
      </c>
      <c r="E1199">
        <v>0</v>
      </c>
      <c r="F1199">
        <v>0</v>
      </c>
      <c r="G1199">
        <v>11.6666666666667</v>
      </c>
    </row>
    <row r="1200" spans="1:7">
      <c r="A1200" s="7">
        <v>1215</v>
      </c>
      <c r="B1200" s="60">
        <v>15741</v>
      </c>
      <c r="C1200" s="41">
        <v>2668</v>
      </c>
      <c r="D1200">
        <v>0</v>
      </c>
      <c r="E1200">
        <v>0</v>
      </c>
      <c r="F1200">
        <v>0</v>
      </c>
      <c r="G1200">
        <v>11.6666666666667</v>
      </c>
    </row>
    <row r="1201" spans="1:7">
      <c r="A1201" s="7">
        <v>1216</v>
      </c>
      <c r="B1201" s="60">
        <v>15741</v>
      </c>
      <c r="C1201" s="41">
        <v>2669</v>
      </c>
      <c r="D1201">
        <v>0</v>
      </c>
      <c r="E1201">
        <v>0</v>
      </c>
      <c r="F1201">
        <v>0</v>
      </c>
      <c r="G1201">
        <v>11.6666666666667</v>
      </c>
    </row>
    <row r="1202" spans="1:7">
      <c r="A1202" s="7">
        <v>1217</v>
      </c>
      <c r="B1202" s="60">
        <v>15741</v>
      </c>
      <c r="C1202" s="41">
        <v>2670</v>
      </c>
      <c r="D1202">
        <v>0</v>
      </c>
      <c r="E1202">
        <v>0</v>
      </c>
      <c r="F1202">
        <v>0</v>
      </c>
      <c r="G1202">
        <v>11.6666666666667</v>
      </c>
    </row>
    <row r="1203" spans="1:7">
      <c r="A1203" s="7">
        <v>1218</v>
      </c>
      <c r="B1203" s="60">
        <v>15741</v>
      </c>
      <c r="C1203" s="41">
        <v>2671</v>
      </c>
      <c r="D1203">
        <v>0</v>
      </c>
      <c r="E1203">
        <v>0</v>
      </c>
      <c r="F1203">
        <v>0</v>
      </c>
      <c r="G1203">
        <v>11.6666666666667</v>
      </c>
    </row>
    <row r="1204" spans="1:7">
      <c r="A1204" s="7">
        <v>1219</v>
      </c>
      <c r="B1204" s="61">
        <v>5013</v>
      </c>
      <c r="C1204" s="61">
        <v>238</v>
      </c>
      <c r="D1204" s="61">
        <v>0</v>
      </c>
      <c r="E1204" s="61">
        <v>0</v>
      </c>
      <c r="F1204" s="61">
        <v>0</v>
      </c>
      <c r="G1204" s="61">
        <v>8.933</v>
      </c>
    </row>
    <row r="1205" spans="1:7">
      <c r="A1205" s="7">
        <v>1220</v>
      </c>
      <c r="B1205" s="61">
        <v>5013</v>
      </c>
      <c r="C1205" s="61">
        <v>239</v>
      </c>
      <c r="D1205" s="61">
        <v>0</v>
      </c>
      <c r="E1205" s="61">
        <v>0</v>
      </c>
      <c r="F1205" s="61">
        <v>0</v>
      </c>
      <c r="G1205" s="61">
        <v>8.933</v>
      </c>
    </row>
    <row r="1206" spans="1:7">
      <c r="A1206" s="7">
        <v>1221</v>
      </c>
      <c r="B1206" s="62">
        <v>40500113</v>
      </c>
      <c r="C1206" s="62">
        <v>629</v>
      </c>
      <c r="D1206" s="62">
        <v>0</v>
      </c>
      <c r="E1206" s="62">
        <v>0</v>
      </c>
      <c r="F1206" s="62">
        <v>0</v>
      </c>
      <c r="G1206" s="61">
        <v>8.933</v>
      </c>
    </row>
    <row r="1207" spans="1:7">
      <c r="A1207" s="7">
        <v>1222</v>
      </c>
      <c r="B1207" s="62">
        <v>40500113</v>
      </c>
      <c r="C1207" s="62">
        <v>630</v>
      </c>
      <c r="D1207" s="62">
        <v>0</v>
      </c>
      <c r="E1207" s="62">
        <v>0</v>
      </c>
      <c r="F1207" s="62">
        <v>0</v>
      </c>
      <c r="G1207" s="61">
        <v>8.933</v>
      </c>
    </row>
    <row r="1208" spans="1:7">
      <c r="A1208" s="7">
        <v>1223</v>
      </c>
      <c r="B1208" s="62">
        <v>40500113</v>
      </c>
      <c r="C1208" s="62">
        <v>631</v>
      </c>
      <c r="D1208" s="62">
        <v>0</v>
      </c>
      <c r="E1208" s="62">
        <v>0</v>
      </c>
      <c r="F1208" s="62">
        <v>0</v>
      </c>
      <c r="G1208" s="61">
        <v>8.933</v>
      </c>
    </row>
    <row r="1209" spans="1:7">
      <c r="A1209" s="7">
        <v>1224</v>
      </c>
      <c r="B1209" s="61">
        <v>40500213</v>
      </c>
      <c r="C1209" s="61">
        <v>1403</v>
      </c>
      <c r="D1209" s="61">
        <v>0</v>
      </c>
      <c r="E1209" s="61">
        <v>0</v>
      </c>
      <c r="F1209" s="61">
        <v>0</v>
      </c>
      <c r="G1209" s="61">
        <v>8.933</v>
      </c>
    </row>
    <row r="1210" customFormat="1" spans="1:7">
      <c r="A1210" s="7">
        <v>1225</v>
      </c>
      <c r="B1210" s="61">
        <v>40500213</v>
      </c>
      <c r="C1210" s="61">
        <v>1404</v>
      </c>
      <c r="D1210" s="61">
        <v>0</v>
      </c>
      <c r="E1210" s="61">
        <v>0</v>
      </c>
      <c r="F1210" s="61">
        <v>0</v>
      </c>
      <c r="G1210" s="61">
        <v>8.933</v>
      </c>
    </row>
    <row r="1211" customFormat="1" spans="1:7">
      <c r="A1211" s="7">
        <v>1226</v>
      </c>
      <c r="B1211" s="61">
        <v>40500213</v>
      </c>
      <c r="C1211" s="61">
        <v>1405</v>
      </c>
      <c r="D1211" s="61">
        <v>0</v>
      </c>
      <c r="E1211" s="61">
        <v>0</v>
      </c>
      <c r="F1211" s="61">
        <v>0</v>
      </c>
      <c r="G1211" s="61">
        <v>8.933</v>
      </c>
    </row>
    <row r="1212" customFormat="1" spans="1:7">
      <c r="A1212" s="7">
        <v>1227</v>
      </c>
      <c r="B1212" s="62">
        <v>40500313</v>
      </c>
      <c r="C1212" s="62">
        <v>2682</v>
      </c>
      <c r="D1212" s="62">
        <v>0</v>
      </c>
      <c r="E1212" s="62">
        <v>0</v>
      </c>
      <c r="F1212" s="62">
        <v>0</v>
      </c>
      <c r="G1212" s="61">
        <v>8.933</v>
      </c>
    </row>
    <row r="1213" customFormat="1" spans="1:7">
      <c r="A1213" s="7">
        <v>1228</v>
      </c>
      <c r="B1213" s="62">
        <v>40500313</v>
      </c>
      <c r="C1213" s="62">
        <v>2683</v>
      </c>
      <c r="D1213" s="62">
        <v>0</v>
      </c>
      <c r="E1213" s="62">
        <v>0</v>
      </c>
      <c r="F1213" s="62">
        <v>0</v>
      </c>
      <c r="G1213" s="61">
        <v>8.933</v>
      </c>
    </row>
    <row r="1214" customFormat="1" spans="1:7">
      <c r="A1214" s="7">
        <v>1229</v>
      </c>
      <c r="B1214" s="63" t="s">
        <v>235</v>
      </c>
      <c r="C1214" s="63">
        <v>2684</v>
      </c>
      <c r="D1214">
        <v>2679</v>
      </c>
      <c r="E1214">
        <v>1</v>
      </c>
      <c r="F1214">
        <f>34/30</f>
        <v>1.13333333333333</v>
      </c>
      <c r="G1214">
        <f>56/30-34/30</f>
        <v>0.733333333333333</v>
      </c>
    </row>
    <row r="1215" customFormat="1" spans="1:7">
      <c r="A1215" s="7">
        <v>1230</v>
      </c>
      <c r="B1215" s="63" t="s">
        <v>236</v>
      </c>
      <c r="C1215" s="63">
        <v>2684</v>
      </c>
      <c r="D1215">
        <v>2679</v>
      </c>
      <c r="E1215">
        <v>1</v>
      </c>
      <c r="F1215">
        <v>0.266666666666667</v>
      </c>
      <c r="G1215">
        <f>49/30-F1215</f>
        <v>1.36666666666667</v>
      </c>
    </row>
    <row r="1216" customFormat="1" spans="1:7">
      <c r="A1216" s="7">
        <v>1231</v>
      </c>
      <c r="B1216" s="63" t="s">
        <v>237</v>
      </c>
      <c r="C1216" s="63">
        <v>2684</v>
      </c>
      <c r="D1216">
        <v>2679</v>
      </c>
      <c r="E1216">
        <v>1</v>
      </c>
      <c r="F1216">
        <f>25/30</f>
        <v>0.833333333333333</v>
      </c>
      <c r="G1216">
        <f>79/30-F1216</f>
        <v>1.8</v>
      </c>
    </row>
    <row r="1217" customFormat="1" spans="1:7">
      <c r="A1217" s="7">
        <v>1232</v>
      </c>
      <c r="B1217" s="63" t="s">
        <v>238</v>
      </c>
      <c r="C1217" s="63">
        <v>2684</v>
      </c>
      <c r="D1217">
        <v>2679</v>
      </c>
      <c r="E1217">
        <v>1</v>
      </c>
      <c r="F1217">
        <f>31/30</f>
        <v>1.03333333333333</v>
      </c>
      <c r="G1217">
        <f>57/30-F1217</f>
        <v>0.866666666666666</v>
      </c>
    </row>
    <row r="1218" customFormat="1" spans="1:7">
      <c r="A1218" s="7">
        <v>1233</v>
      </c>
      <c r="B1218" s="63" t="s">
        <v>239</v>
      </c>
      <c r="C1218" s="63">
        <v>2684</v>
      </c>
      <c r="D1218">
        <v>2679</v>
      </c>
      <c r="E1218">
        <v>1</v>
      </c>
      <c r="F1218">
        <f>42/30</f>
        <v>1.4</v>
      </c>
      <c r="G1218">
        <f>158/30-F1218</f>
        <v>3.86666666666667</v>
      </c>
    </row>
    <row r="1219" customFormat="1" spans="1:7">
      <c r="A1219" s="7">
        <v>1234</v>
      </c>
      <c r="B1219" s="63" t="s">
        <v>240</v>
      </c>
      <c r="C1219" s="63">
        <v>2684</v>
      </c>
      <c r="D1219">
        <v>2679</v>
      </c>
      <c r="E1219">
        <v>1</v>
      </c>
      <c r="F1219">
        <v>3.36666666666667</v>
      </c>
      <c r="G1219">
        <f>246/30-F1219</f>
        <v>4.83333333333333</v>
      </c>
    </row>
  </sheetData>
  <autoFilter xmlns:etc="http://www.wps.cn/officeDocument/2017/etCustomData" ref="A6:M1219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WPS_1638872795</cp:lastModifiedBy>
  <dcterms:created xsi:type="dcterms:W3CDTF">2016-10-21T06:27:00Z</dcterms:created>
  <dcterms:modified xsi:type="dcterms:W3CDTF">2026-02-04T07:45:32Z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C697F396409647BDACEFB697227FF753</vt:lpwstr>
  </property>
</Properties>
</file>