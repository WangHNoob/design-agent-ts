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45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<sst xmlns="http://schemas.openxmlformats.org/spreadsheetml/2006/main" count="26" uniqueCount="19">
  <si>
    <t>Id</t>
  </si>
  <si>
    <t>EmptyKey-B2</t>
  </si>
  <si>
    <t>EmptyKey-C2</t>
  </si>
  <si>
    <t>EmptyKey-D2</t>
  </si>
  <si>
    <t>切换场景模型名字</t>
  </si>
  <si>
    <t>EmptyKey-F2</t>
  </si>
  <si>
    <t>id</t>
  </si>
  <si>
    <t>SkillId</t>
  </si>
  <si>
    <t>Time</t>
  </si>
  <si>
    <t>IsShow</t>
  </si>
  <si>
    <t>ModelName</t>
  </si>
  <si>
    <t>int</t>
  </si>
  <si>
    <t>double</t>
  </si>
  <si>
    <t>string</t>
  </si>
  <si>
    <t>primary</t>
  </si>
  <si>
    <t>index</t>
  </si>
  <si>
    <t>none</t>
  </si>
  <si>
    <t>主线凯多雷鸣八卦</t>
  </si>
  <si>
    <t>1406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</si>
</sst>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sz val="11"/>
      <name val="Calibri"/>
      <charset val="134"/>
      <scheme val="minor"/>
    </font>
    <font>
      <sz val="11"/>
      <color rgb="FFFF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5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D5FF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-0.2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9083F1"/>
        <bgColor indexed="64"/>
      </patternFill>
    </fill>
    <fill>
      <patternFill patternType="solid">
        <fgColor rgb="FF33D8E3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F8C8FB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8DE9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22" borderId="2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3">
      <alignment vertical="center"/>
    </xf>
    <xf numFmtId="0" fontId="10" fillId="0" borderId="3">
      <alignment vertical="center"/>
    </xf>
    <xf numFmtId="0" fontId="11" fillId="0" borderId="4">
      <alignment vertical="center"/>
    </xf>
    <xf numFmtId="0" fontId="11" fillId="0" borderId="0">
      <alignment vertical="center"/>
    </xf>
    <xf numFmtId="0" fontId="12" fillId="23" borderId="5">
      <alignment vertical="center"/>
    </xf>
    <xf numFmtId="0" fontId="13" fillId="24" borderId="6">
      <alignment vertical="center"/>
    </xf>
    <xf numFmtId="0" fontId="14" fillId="24" borderId="5">
      <alignment vertical="center"/>
    </xf>
    <xf numFmtId="0" fontId="15" fillId="25" borderId="7">
      <alignment vertical="center"/>
    </xf>
    <xf numFmtId="0" fontId="16" fillId="0" borderId="8">
      <alignment vertical="center"/>
    </xf>
    <xf numFmtId="0" fontId="17" fillId="0" borderId="9">
      <alignment vertical="center"/>
    </xf>
    <xf numFmtId="0" fontId="18" fillId="26" borderId="0">
      <alignment vertical="center"/>
    </xf>
    <xf numFmtId="0" fontId="19" fillId="27" borderId="0">
      <alignment vertical="center"/>
    </xf>
    <xf numFmtId="0" fontId="20" fillId="28" borderId="0">
      <alignment vertical="center"/>
    </xf>
    <xf numFmtId="0" fontId="21" fillId="20" borderId="0">
      <alignment vertical="center"/>
    </xf>
    <xf numFmtId="0" fontId="22" fillId="29" borderId="0">
      <alignment vertical="center"/>
    </xf>
    <xf numFmtId="0" fontId="22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2" fillId="33" borderId="0">
      <alignment vertical="center"/>
    </xf>
    <xf numFmtId="0" fontId="22" fillId="34" borderId="0">
      <alignment vertical="center"/>
    </xf>
    <xf numFmtId="0" fontId="21" fillId="35" borderId="0">
      <alignment vertical="center"/>
    </xf>
    <xf numFmtId="0" fontId="21" fillId="36" borderId="0">
      <alignment vertical="center"/>
    </xf>
    <xf numFmtId="0" fontId="22" fillId="37" borderId="0">
      <alignment vertical="center"/>
    </xf>
    <xf numFmtId="0" fontId="22" fillId="38" borderId="0">
      <alignment vertical="center"/>
    </xf>
    <xf numFmtId="0" fontId="21" fillId="39" borderId="0">
      <alignment vertical="center"/>
    </xf>
    <xf numFmtId="0" fontId="21" fillId="9" borderId="0">
      <alignment vertical="center"/>
    </xf>
    <xf numFmtId="0" fontId="22" fillId="40" borderId="0">
      <alignment vertical="center"/>
    </xf>
    <xf numFmtId="0" fontId="22" fillId="41" borderId="0">
      <alignment vertical="center"/>
    </xf>
    <xf numFmtId="0" fontId="21" fillId="42" borderId="0">
      <alignment vertical="center"/>
    </xf>
    <xf numFmtId="0" fontId="21" fillId="43" borderId="0">
      <alignment vertical="center"/>
    </xf>
    <xf numFmtId="0" fontId="22" fillId="44" borderId="0">
      <alignment vertical="center"/>
    </xf>
    <xf numFmtId="0" fontId="22" fillId="45" borderId="0">
      <alignment vertical="center"/>
    </xf>
    <xf numFmtId="0" fontId="21" fillId="46" borderId="0">
      <alignment vertical="center"/>
    </xf>
    <xf numFmtId="0" fontId="21" fillId="47" borderId="0">
      <alignment vertical="center"/>
    </xf>
    <xf numFmtId="0" fontId="22" fillId="48" borderId="0">
      <alignment vertical="center"/>
    </xf>
    <xf numFmtId="0" fontId="22" fillId="49" borderId="0">
      <alignment vertical="center"/>
    </xf>
    <xf numFmtId="0" fontId="21" fillId="50" borderId="0">
      <alignment vertical="center"/>
    </xf>
    <xf numFmtId="0" fontId="0" fillId="0" borderId="0">
      <alignment vertical="center"/>
    </xf>
  </cellStyleXfs>
  <cellXfs count="36">
    <xf numFmtId="0" fontId="0" fillId="0" borderId="0" xfId="0" applyNumberFormat="1" applyFont="1" applyFill="1" applyBorder="1" applyAlignment="1" applyProtection="1">
      <alignment vertical="center"/>
    </xf>
    <xf numFmtId="0" fontId="0" fillId="2" borderId="0" xfId="0" applyNumberFormat="1" applyFont="1" applyFill="1" applyBorder="1" applyAlignment="1" applyProtection="1">
      <alignment vertical="center"/>
    </xf>
    <xf numFmtId="0" fontId="0" fillId="3" borderId="0" xfId="0" applyNumberFormat="1" applyFont="1" applyFill="1" applyBorder="1" applyAlignment="1" applyProtection="1">
      <alignment vertical="center"/>
    </xf>
    <xf numFmtId="0" fontId="0" fillId="4" borderId="0" xfId="0" applyNumberFormat="1" applyFont="1" applyFill="1" applyBorder="1" applyAlignment="1" applyProtection="1">
      <alignment vertical="center"/>
    </xf>
    <xf numFmtId="0" fontId="1" fillId="2" borderId="0" xfId="0" applyNumberFormat="1" applyFont="1" applyFill="1" applyBorder="1" applyAlignment="1" applyProtection="1">
      <alignment vertical="center"/>
    </xf>
    <xf numFmtId="0" fontId="0" fillId="5" borderId="0" xfId="0" applyNumberFormat="1" applyFont="1" applyFill="1" applyBorder="1" applyAlignment="1" applyProtection="1">
      <alignment vertical="center"/>
    </xf>
    <xf numFmtId="0" fontId="2" fillId="0" borderId="0" xfId="49" applyNumberFormat="1" applyFont="1" applyFill="1" applyBorder="1" applyAlignment="1" applyProtection="1">
      <alignment vertical="center"/>
    </xf>
    <xf numFmtId="0" fontId="2" fillId="6" borderId="0" xfId="49" applyNumberFormat="1" applyFont="1" applyFill="1" applyBorder="1" applyAlignment="1" applyProtection="1">
      <alignment vertical="center"/>
    </xf>
    <xf numFmtId="0" fontId="0" fillId="2" borderId="0" xfId="49" applyNumberFormat="1" applyFont="1" applyFill="1" applyBorder="1" applyAlignment="1" applyProtection="1">
      <alignment vertical="center"/>
    </xf>
    <xf numFmtId="0" fontId="3" fillId="2" borderId="0" xfId="49" applyNumberFormat="1" applyFont="1" applyFill="1" applyBorder="1" applyAlignment="1" applyProtection="1">
      <alignment vertical="center"/>
    </xf>
    <xf numFmtId="0" fontId="0" fillId="7" borderId="0" xfId="0" applyNumberFormat="1" applyFont="1" applyFill="1" applyBorder="1" applyAlignment="1" applyProtection="1">
      <alignment vertical="center"/>
    </xf>
    <xf numFmtId="0" fontId="2" fillId="3" borderId="0" xfId="49" applyNumberFormat="1" applyFont="1" applyFill="1" applyBorder="1" applyAlignment="1" applyProtection="1">
      <alignment vertical="center"/>
    </xf>
    <xf numFmtId="0" fontId="2" fillId="2" borderId="0" xfId="49" applyNumberFormat="1" applyFont="1" applyFill="1" applyBorder="1" applyAlignment="1" applyProtection="1">
      <alignment vertical="center"/>
    </xf>
    <xf numFmtId="49" fontId="0" fillId="8" borderId="0" xfId="0" applyNumberFormat="1" applyFont="1" applyFill="1" applyBorder="1" applyAlignment="1" applyProtection="1">
      <alignment horizontal="right"/>
    </xf>
    <xf numFmtId="0" fontId="0" fillId="9" borderId="0" xfId="0" applyNumberFormat="1" applyFont="1" applyFill="1" applyBorder="1" applyAlignment="1" applyProtection="1">
      <alignment horizontal="right"/>
    </xf>
    <xf numFmtId="0" fontId="0" fillId="10" borderId="0" xfId="0" applyNumberFormat="1" applyFont="1" applyFill="1" applyBorder="1" applyAlignment="1" applyProtection="1">
      <alignment vertical="center"/>
    </xf>
    <xf numFmtId="0" fontId="0" fillId="11" borderId="0" xfId="0" applyNumberFormat="1" applyFont="1" applyFill="1" applyBorder="1" applyAlignment="1" applyProtection="1">
      <alignment vertical="center"/>
    </xf>
    <xf numFmtId="0" fontId="2" fillId="12" borderId="0" xfId="0" applyNumberFormat="1" applyFont="1" applyFill="1" applyBorder="1" applyAlignment="1" applyProtection="1">
      <alignment vertical="center"/>
    </xf>
    <xf numFmtId="0" fontId="0" fillId="12" borderId="0" xfId="0" applyNumberFormat="1" applyFont="1" applyFill="1" applyBorder="1" applyAlignment="1" applyProtection="1">
      <alignment vertical="center"/>
    </xf>
    <xf numFmtId="0" fontId="2" fillId="0" borderId="0" xfId="0" applyNumberFormat="1" applyFont="1" applyFill="1" applyBorder="1" applyAlignment="1" applyProtection="1">
      <alignment vertical="center"/>
    </xf>
    <xf numFmtId="0" fontId="0" fillId="13" borderId="0" xfId="0" applyNumberFormat="1" applyFont="1" applyFill="1" applyBorder="1" applyAlignment="1" applyProtection="1">
      <alignment vertical="center"/>
    </xf>
    <xf numFmtId="0" fontId="0" fillId="14" borderId="0" xfId="0" applyNumberFormat="1" applyFont="1" applyFill="1" applyBorder="1" applyAlignment="1" applyProtection="1">
      <alignment vertical="center"/>
    </xf>
    <xf numFmtId="0" fontId="0" fillId="15" borderId="0" xfId="0" applyNumberFormat="1" applyFont="1" applyFill="1" applyBorder="1" applyAlignment="1" applyProtection="1">
      <alignment vertical="center"/>
    </xf>
    <xf numFmtId="0" fontId="0" fillId="16" borderId="0" xfId="0" applyNumberFormat="1" applyFont="1" applyFill="1" applyBorder="1" applyAlignment="1" applyProtection="1">
      <alignment vertical="center"/>
    </xf>
    <xf numFmtId="0" fontId="0" fillId="17" borderId="0" xfId="0" applyNumberFormat="1" applyFont="1" applyFill="1" applyBorder="1" applyAlignment="1" applyProtection="1">
      <alignment vertical="center"/>
    </xf>
    <xf numFmtId="0" fontId="2" fillId="18" borderId="0" xfId="0" applyNumberFormat="1" applyFont="1" applyFill="1" applyBorder="1" applyAlignment="1" applyProtection="1">
      <alignment vertical="center"/>
    </xf>
    <xf numFmtId="0" fontId="2" fillId="4" borderId="1" xfId="0" applyNumberFormat="1" applyFont="1" applyFill="1" applyBorder="1" applyAlignment="1" applyProtection="1">
      <alignment vertical="center"/>
    </xf>
    <xf numFmtId="0" fontId="0" fillId="19" borderId="0" xfId="0" applyNumberFormat="1" applyFont="1" applyFill="1" applyBorder="1" applyAlignment="1" applyProtection="1">
      <alignment vertical="center"/>
    </xf>
    <xf numFmtId="0" fontId="0" fillId="20" borderId="0" xfId="0" applyFill="1" applyAlignment="1" applyProtection="1">
      <alignment vertical="center"/>
    </xf>
    <xf numFmtId="0" fontId="0" fillId="2" borderId="0" xfId="0" applyFill="1" applyAlignment="1" applyProtection="1">
      <alignment vertical="center"/>
    </xf>
    <xf numFmtId="0" fontId="0" fillId="11" borderId="0" xfId="0" applyFill="1" applyAlignment="1" applyProtection="1">
      <alignment vertical="center"/>
    </xf>
    <xf numFmtId="0" fontId="0" fillId="21" borderId="0" xfId="0" applyNumberFormat="1" applyFont="1" applyFill="1" applyBorder="1" applyAlignment="1" applyProtection="1">
      <alignment vertical="center"/>
    </xf>
    <xf numFmtId="0" fontId="0" fillId="21" borderId="0" xfId="0" applyFill="1" applyAlignment="1" applyProtection="1">
      <alignment vertical="center"/>
    </xf>
    <xf numFmtId="0" fontId="0" fillId="2" borderId="0" xfId="49" applyFill="1" applyAlignment="1" applyProtection="1">
      <alignment vertical="center"/>
    </xf>
    <xf numFmtId="0" fontId="2" fillId="11" borderId="0" xfId="0" applyFont="1" applyFill="1" applyAlignment="1" applyProtection="1">
      <alignment vertical="center"/>
    </xf>
    <xf numFmtId="49" fontId="0" fillId="2" borderId="0" xfId="0" applyNumberFormat="1" applyFont="1" applyFill="1" applyBorder="1" applyAlignment="1" applyProtection="1">
      <alignment horizontal="right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常规 2 2" xfId="49"/>
  </cellStyles>
  <tableStyles count="0" defaultTableStyle="TableStyleMedium2"/>
  <colors>
    <mruColors>
      <color rgb="00F8C8FB"/>
      <color rgb="008DE9FF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33"/>
  <sheetViews>
    <sheetView tabSelected="1" workbookViewId="0">
      <pane ySplit="6" topLeftCell="A610" activePane="bottomLeft" state="frozen"/>
      <selection/>
      <selection pane="bottomLeft" activeCell="C633" sqref="C633"/>
    </sheetView>
  </sheetViews>
  <sheetFormatPr defaultColWidth="9" defaultRowHeight="15" outlineLevelCol="5"/>
  <cols>
    <col min="1" max="1" width="29.4190476190476" customWidth="1"/>
    <col min="2" max="2" width="17.247619047619" customWidth="1"/>
    <col min="3" max="3" width="19.9142857142857" customWidth="1"/>
    <col min="4" max="4" width="22.4190476190476" customWidth="1"/>
    <col min="5" max="5" width="26.752380952381" customWidth="1"/>
    <col min="6" max="6" width="28.6666666666667" customWidth="1"/>
    <col min="7" max="7" width="22.752380952381" customWidth="1"/>
    <col min="8" max="8" width="11.6666666666667" customWidth="1"/>
    <col min="9" max="10" width="16" customWidth="1"/>
  </cols>
  <sheetData>
    <row r="1" spans="1:4">
      <c r="A1">
        <v>7</v>
      </c>
      <c r="B1">
        <v>1</v>
      </c>
      <c r="C1">
        <v>9999</v>
      </c>
      <c r="D1">
        <v>5</v>
      </c>
    </row>
    <row r="2" spans="1:6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3" spans="1:5">
      <c r="A3" t="s">
        <v>6</v>
      </c>
      <c r="B3" t="s">
        <v>7</v>
      </c>
      <c r="C3" t="s">
        <v>8</v>
      </c>
      <c r="D3" t="s">
        <v>9</v>
      </c>
      <c r="E3" t="s">
        <v>10</v>
      </c>
    </row>
    <row r="4" spans="1:5">
      <c r="A4" t="s">
        <v>11</v>
      </c>
      <c r="B4" t="s">
        <v>11</v>
      </c>
      <c r="C4" t="s">
        <v>12</v>
      </c>
      <c r="D4" t="s">
        <v>11</v>
      </c>
      <c r="E4" t="s">
        <v>13</v>
      </c>
    </row>
    <row r="5" spans="1:5">
      <c r="A5" t="s">
        <v>14</v>
      </c>
      <c r="B5" t="s">
        <v>15</v>
      </c>
      <c r="C5" t="s">
        <v>16</v>
      </c>
      <c r="D5" t="s">
        <v>16</v>
      </c>
      <c r="E5" t="s">
        <v>16</v>
      </c>
    </row>
    <row r="6" spans="1:1">
      <c r="A6" t="s">
        <v>6</v>
      </c>
    </row>
    <row r="7" spans="1:4">
      <c r="A7">
        <f>ROW()-6</f>
        <v>1</v>
      </c>
      <c r="B7">
        <v>32</v>
      </c>
      <c r="C7">
        <v>5.6</v>
      </c>
      <c r="D7">
        <v>0</v>
      </c>
    </row>
    <row r="8" spans="1:4">
      <c r="A8">
        <f t="shared" ref="A8:A17" si="0">ROW()-6</f>
        <v>2</v>
      </c>
      <c r="B8">
        <v>32</v>
      </c>
      <c r="C8">
        <v>11.1666666666667</v>
      </c>
      <c r="D8">
        <v>1</v>
      </c>
    </row>
    <row r="9" spans="1:4">
      <c r="A9">
        <f t="shared" si="0"/>
        <v>3</v>
      </c>
      <c r="B9">
        <v>187</v>
      </c>
      <c r="C9">
        <v>3</v>
      </c>
      <c r="D9">
        <v>0</v>
      </c>
    </row>
    <row r="10" spans="1:4">
      <c r="A10">
        <f t="shared" si="0"/>
        <v>4</v>
      </c>
      <c r="B10">
        <v>187</v>
      </c>
      <c r="C10">
        <v>3.3</v>
      </c>
      <c r="D10">
        <v>1</v>
      </c>
    </row>
    <row r="11" spans="1:4">
      <c r="A11">
        <f t="shared" si="0"/>
        <v>5</v>
      </c>
      <c r="B11">
        <v>229</v>
      </c>
      <c r="C11">
        <v>0</v>
      </c>
      <c r="D11">
        <v>0</v>
      </c>
    </row>
    <row r="12" spans="1:4">
      <c r="A12">
        <f t="shared" si="0"/>
        <v>6</v>
      </c>
      <c r="B12">
        <v>229</v>
      </c>
      <c r="C12">
        <v>3.83333333333333</v>
      </c>
      <c r="D12">
        <v>1</v>
      </c>
    </row>
    <row r="13" spans="1:4">
      <c r="A13">
        <f t="shared" si="0"/>
        <v>7</v>
      </c>
      <c r="B13">
        <v>232</v>
      </c>
      <c r="C13">
        <v>1.45</v>
      </c>
      <c r="D13">
        <v>0</v>
      </c>
    </row>
    <row r="14" spans="1:4">
      <c r="A14">
        <f t="shared" si="0"/>
        <v>8</v>
      </c>
      <c r="B14">
        <v>232</v>
      </c>
      <c r="C14">
        <v>6.2</v>
      </c>
      <c r="D14">
        <v>1</v>
      </c>
    </row>
    <row r="15" spans="1:4">
      <c r="A15">
        <f t="shared" si="0"/>
        <v>9</v>
      </c>
      <c r="B15">
        <v>235</v>
      </c>
      <c r="C15">
        <v>0</v>
      </c>
      <c r="D15">
        <v>0</v>
      </c>
    </row>
    <row r="16" spans="1:4">
      <c r="A16">
        <f t="shared" si="0"/>
        <v>10</v>
      </c>
      <c r="B16">
        <v>235</v>
      </c>
      <c r="C16">
        <v>3</v>
      </c>
      <c r="D16">
        <v>1</v>
      </c>
    </row>
    <row r="17" spans="1:4">
      <c r="A17">
        <f t="shared" si="0"/>
        <v>11</v>
      </c>
      <c r="B17">
        <v>236</v>
      </c>
      <c r="C17">
        <v>0</v>
      </c>
      <c r="D17">
        <v>0</v>
      </c>
    </row>
    <row r="18" spans="1:4">
      <c r="A18">
        <f t="shared" ref="A18:A27" si="1">ROW()-6</f>
        <v>12</v>
      </c>
      <c r="B18">
        <v>236</v>
      </c>
      <c r="C18">
        <v>6.5</v>
      </c>
      <c r="D18">
        <v>1</v>
      </c>
    </row>
    <row r="19" spans="1:4">
      <c r="A19">
        <f t="shared" si="1"/>
        <v>13</v>
      </c>
      <c r="B19">
        <v>238</v>
      </c>
      <c r="C19">
        <v>0</v>
      </c>
      <c r="D19">
        <v>0</v>
      </c>
    </row>
    <row r="20" spans="1:4">
      <c r="A20">
        <f t="shared" si="1"/>
        <v>14</v>
      </c>
      <c r="B20">
        <v>238</v>
      </c>
      <c r="C20">
        <v>9</v>
      </c>
      <c r="D20">
        <v>1</v>
      </c>
    </row>
    <row r="21" spans="1:4">
      <c r="A21">
        <f t="shared" si="1"/>
        <v>15</v>
      </c>
      <c r="B21">
        <v>278</v>
      </c>
      <c r="C21">
        <v>3.5</v>
      </c>
      <c r="D21">
        <v>0</v>
      </c>
    </row>
    <row r="22" spans="1:4">
      <c r="A22">
        <f t="shared" si="1"/>
        <v>16</v>
      </c>
      <c r="B22">
        <v>278</v>
      </c>
      <c r="C22">
        <v>8</v>
      </c>
      <c r="D22">
        <v>1</v>
      </c>
    </row>
    <row r="23" spans="1:4">
      <c r="A23">
        <f t="shared" si="1"/>
        <v>17</v>
      </c>
      <c r="B23">
        <v>303</v>
      </c>
      <c r="C23">
        <v>3.4</v>
      </c>
      <c r="D23">
        <v>0</v>
      </c>
    </row>
    <row r="24" spans="1:4">
      <c r="A24">
        <f t="shared" si="1"/>
        <v>18</v>
      </c>
      <c r="B24">
        <v>303</v>
      </c>
      <c r="C24">
        <v>4.9</v>
      </c>
      <c r="D24">
        <v>1</v>
      </c>
    </row>
    <row r="25" spans="1:4">
      <c r="A25">
        <f t="shared" si="1"/>
        <v>19</v>
      </c>
      <c r="B25">
        <v>237</v>
      </c>
      <c r="C25">
        <v>0</v>
      </c>
      <c r="D25">
        <v>0</v>
      </c>
    </row>
    <row r="26" spans="1:4">
      <c r="A26">
        <f t="shared" si="1"/>
        <v>20</v>
      </c>
      <c r="B26">
        <v>237</v>
      </c>
      <c r="C26">
        <v>14.5</v>
      </c>
      <c r="D26">
        <v>1</v>
      </c>
    </row>
    <row r="27" spans="1:4">
      <c r="A27">
        <f t="shared" si="1"/>
        <v>21</v>
      </c>
      <c r="B27">
        <v>337</v>
      </c>
      <c r="C27">
        <v>3.06666666666667</v>
      </c>
      <c r="D27">
        <v>0</v>
      </c>
    </row>
    <row r="28" spans="1:4">
      <c r="A28">
        <f t="shared" ref="A28:A37" si="2">ROW()-6</f>
        <v>22</v>
      </c>
      <c r="B28">
        <v>337</v>
      </c>
      <c r="C28">
        <v>9.16666666666667</v>
      </c>
      <c r="D28">
        <v>1</v>
      </c>
    </row>
    <row r="29" spans="1:4">
      <c r="A29">
        <f t="shared" si="2"/>
        <v>23</v>
      </c>
      <c r="B29">
        <v>341</v>
      </c>
      <c r="C29">
        <v>6.26666666666667</v>
      </c>
      <c r="D29">
        <v>0</v>
      </c>
    </row>
    <row r="30" spans="1:4">
      <c r="A30">
        <f t="shared" si="2"/>
        <v>24</v>
      </c>
      <c r="B30">
        <v>341</v>
      </c>
      <c r="C30">
        <v>12.5</v>
      </c>
      <c r="D30">
        <v>1</v>
      </c>
    </row>
    <row r="31" spans="1:4">
      <c r="A31">
        <f t="shared" si="2"/>
        <v>25</v>
      </c>
      <c r="B31">
        <v>352</v>
      </c>
      <c r="C31">
        <v>5</v>
      </c>
      <c r="D31">
        <v>0</v>
      </c>
    </row>
    <row r="32" spans="1:4">
      <c r="A32">
        <f t="shared" si="2"/>
        <v>26</v>
      </c>
      <c r="B32">
        <v>352</v>
      </c>
      <c r="C32">
        <v>12</v>
      </c>
      <c r="D32">
        <v>1</v>
      </c>
    </row>
    <row r="33" spans="1:4">
      <c r="A33">
        <f t="shared" si="2"/>
        <v>27</v>
      </c>
      <c r="B33">
        <v>360</v>
      </c>
      <c r="C33">
        <v>7.6</v>
      </c>
      <c r="D33">
        <v>0</v>
      </c>
    </row>
    <row r="34" spans="1:4">
      <c r="A34">
        <f t="shared" si="2"/>
        <v>28</v>
      </c>
      <c r="B34">
        <v>360</v>
      </c>
      <c r="C34">
        <v>10</v>
      </c>
      <c r="D34">
        <v>1</v>
      </c>
    </row>
    <row r="35" spans="1:4">
      <c r="A35">
        <f t="shared" si="2"/>
        <v>29</v>
      </c>
      <c r="B35">
        <v>263</v>
      </c>
      <c r="C35">
        <v>0</v>
      </c>
      <c r="D35">
        <v>0</v>
      </c>
    </row>
    <row r="36" spans="1:4">
      <c r="A36">
        <f t="shared" si="2"/>
        <v>30</v>
      </c>
      <c r="B36">
        <v>263</v>
      </c>
      <c r="C36">
        <v>11</v>
      </c>
      <c r="D36">
        <v>1</v>
      </c>
    </row>
    <row r="37" spans="1:4">
      <c r="A37">
        <f t="shared" si="2"/>
        <v>31</v>
      </c>
      <c r="B37">
        <v>375</v>
      </c>
      <c r="C37">
        <v>8</v>
      </c>
      <c r="D37">
        <v>0</v>
      </c>
    </row>
    <row r="38" spans="1:4">
      <c r="A38">
        <f t="shared" ref="A38:A47" si="3">ROW()-6</f>
        <v>32</v>
      </c>
      <c r="B38">
        <v>375</v>
      </c>
      <c r="C38">
        <v>15</v>
      </c>
      <c r="D38">
        <v>1</v>
      </c>
    </row>
    <row r="39" spans="1:4">
      <c r="A39">
        <f t="shared" si="3"/>
        <v>33</v>
      </c>
      <c r="B39">
        <v>385</v>
      </c>
      <c r="C39">
        <v>1.13333333333333</v>
      </c>
      <c r="D39">
        <v>0</v>
      </c>
    </row>
    <row r="40" spans="1:4">
      <c r="A40">
        <f t="shared" si="3"/>
        <v>34</v>
      </c>
      <c r="B40">
        <v>385</v>
      </c>
      <c r="C40">
        <v>11.3333333333333</v>
      </c>
      <c r="D40">
        <v>1</v>
      </c>
    </row>
    <row r="41" spans="1:4">
      <c r="A41">
        <f t="shared" si="3"/>
        <v>35</v>
      </c>
      <c r="B41">
        <v>193</v>
      </c>
      <c r="C41">
        <v>0</v>
      </c>
      <c r="D41">
        <v>0</v>
      </c>
    </row>
    <row r="42" spans="1:4">
      <c r="A42">
        <f t="shared" si="3"/>
        <v>36</v>
      </c>
      <c r="B42">
        <v>193</v>
      </c>
      <c r="C42">
        <v>5</v>
      </c>
      <c r="D42">
        <v>1</v>
      </c>
    </row>
    <row r="43" spans="1:4">
      <c r="A43">
        <f t="shared" si="3"/>
        <v>37</v>
      </c>
      <c r="B43">
        <v>412</v>
      </c>
      <c r="C43">
        <v>0</v>
      </c>
      <c r="D43">
        <v>0</v>
      </c>
    </row>
    <row r="44" spans="1:4">
      <c r="A44">
        <f t="shared" si="3"/>
        <v>38</v>
      </c>
      <c r="B44">
        <v>412</v>
      </c>
      <c r="C44">
        <v>10.3333333333333</v>
      </c>
      <c r="D44">
        <v>1</v>
      </c>
    </row>
    <row r="45" spans="1:4">
      <c r="A45">
        <f t="shared" si="3"/>
        <v>39</v>
      </c>
      <c r="B45">
        <v>422</v>
      </c>
      <c r="C45">
        <v>6.73333333333333</v>
      </c>
      <c r="D45">
        <v>0</v>
      </c>
    </row>
    <row r="46" spans="1:4">
      <c r="A46">
        <f t="shared" si="3"/>
        <v>40</v>
      </c>
      <c r="B46">
        <v>422</v>
      </c>
      <c r="C46">
        <v>8.16666666666667</v>
      </c>
      <c r="D46">
        <v>1</v>
      </c>
    </row>
    <row r="47" spans="1:4">
      <c r="A47">
        <f t="shared" si="3"/>
        <v>41</v>
      </c>
      <c r="B47">
        <v>423</v>
      </c>
      <c r="C47">
        <v>7.5</v>
      </c>
      <c r="D47">
        <v>0</v>
      </c>
    </row>
    <row r="48" spans="1:4">
      <c r="A48">
        <f t="shared" ref="A48:A57" si="4">ROW()-6</f>
        <v>42</v>
      </c>
      <c r="B48">
        <v>423</v>
      </c>
      <c r="C48">
        <v>10.1666666666667</v>
      </c>
      <c r="D48">
        <v>1</v>
      </c>
    </row>
    <row r="49" spans="1:4">
      <c r="A49">
        <f t="shared" si="4"/>
        <v>43</v>
      </c>
      <c r="B49">
        <v>438</v>
      </c>
      <c r="C49">
        <v>3.25</v>
      </c>
      <c r="D49">
        <v>0</v>
      </c>
    </row>
    <row r="50" spans="1:4">
      <c r="A50">
        <f t="shared" si="4"/>
        <v>44</v>
      </c>
      <c r="B50">
        <v>438</v>
      </c>
      <c r="C50">
        <v>6.9</v>
      </c>
      <c r="D50">
        <v>1</v>
      </c>
    </row>
    <row r="51" spans="1:4">
      <c r="A51">
        <f t="shared" si="4"/>
        <v>45</v>
      </c>
      <c r="B51">
        <v>444</v>
      </c>
      <c r="C51">
        <v>7.16666666666667</v>
      </c>
      <c r="D51">
        <v>0</v>
      </c>
    </row>
    <row r="52" spans="1:4">
      <c r="A52">
        <f t="shared" si="4"/>
        <v>46</v>
      </c>
      <c r="B52">
        <v>444</v>
      </c>
      <c r="C52">
        <v>8</v>
      </c>
      <c r="D52">
        <v>1</v>
      </c>
    </row>
    <row r="53" spans="1:4">
      <c r="A53">
        <f t="shared" si="4"/>
        <v>47</v>
      </c>
      <c r="B53">
        <v>445</v>
      </c>
      <c r="C53">
        <v>4.5</v>
      </c>
      <c r="D53">
        <v>0</v>
      </c>
    </row>
    <row r="54" spans="1:4">
      <c r="A54">
        <f t="shared" si="4"/>
        <v>48</v>
      </c>
      <c r="B54">
        <v>445</v>
      </c>
      <c r="C54">
        <v>10.5333333333333</v>
      </c>
      <c r="D54">
        <v>1</v>
      </c>
    </row>
    <row r="55" spans="1:4">
      <c r="A55">
        <f t="shared" si="4"/>
        <v>49</v>
      </c>
      <c r="B55">
        <v>431</v>
      </c>
      <c r="C55">
        <v>0</v>
      </c>
      <c r="D55">
        <v>0</v>
      </c>
    </row>
    <row r="56" spans="1:4">
      <c r="A56">
        <f t="shared" si="4"/>
        <v>50</v>
      </c>
      <c r="B56">
        <v>431</v>
      </c>
      <c r="C56">
        <v>8.5</v>
      </c>
      <c r="D56">
        <v>1</v>
      </c>
    </row>
    <row r="57" spans="1:4">
      <c r="A57">
        <f t="shared" si="4"/>
        <v>51</v>
      </c>
      <c r="B57">
        <v>471</v>
      </c>
      <c r="C57" s="4">
        <v>0</v>
      </c>
      <c r="D57">
        <v>0</v>
      </c>
    </row>
    <row r="58" spans="1:4">
      <c r="A58">
        <f t="shared" ref="A58:A67" si="5">ROW()-6</f>
        <v>52</v>
      </c>
      <c r="B58">
        <v>471</v>
      </c>
      <c r="C58">
        <v>6.9</v>
      </c>
      <c r="D58">
        <v>1</v>
      </c>
    </row>
    <row r="59" spans="1:4">
      <c r="A59">
        <f t="shared" si="5"/>
        <v>53</v>
      </c>
      <c r="B59">
        <v>472</v>
      </c>
      <c r="C59">
        <v>5.2</v>
      </c>
      <c r="D59">
        <v>0</v>
      </c>
    </row>
    <row r="60" spans="1:4">
      <c r="A60">
        <f t="shared" si="5"/>
        <v>54</v>
      </c>
      <c r="B60">
        <v>472</v>
      </c>
      <c r="C60">
        <v>7.9</v>
      </c>
      <c r="D60">
        <v>1</v>
      </c>
    </row>
    <row r="61" spans="1:4">
      <c r="A61">
        <f t="shared" si="5"/>
        <v>55</v>
      </c>
      <c r="B61">
        <v>489</v>
      </c>
      <c r="C61">
        <v>5.7</v>
      </c>
      <c r="D61">
        <v>0</v>
      </c>
    </row>
    <row r="62" spans="1:4">
      <c r="A62">
        <f t="shared" si="5"/>
        <v>56</v>
      </c>
      <c r="B62">
        <v>489</v>
      </c>
      <c r="C62">
        <v>10</v>
      </c>
      <c r="D62">
        <v>1</v>
      </c>
    </row>
    <row r="63" spans="1:4">
      <c r="A63">
        <f t="shared" si="5"/>
        <v>57</v>
      </c>
      <c r="B63">
        <v>496</v>
      </c>
      <c r="C63">
        <v>6.3</v>
      </c>
      <c r="D63">
        <v>0</v>
      </c>
    </row>
    <row r="64" spans="1:4">
      <c r="A64">
        <f t="shared" si="5"/>
        <v>58</v>
      </c>
      <c r="B64">
        <v>496</v>
      </c>
      <c r="C64">
        <v>12.6666666666667</v>
      </c>
      <c r="D64">
        <v>1</v>
      </c>
    </row>
    <row r="65" spans="1:4">
      <c r="A65">
        <f t="shared" si="5"/>
        <v>59</v>
      </c>
      <c r="B65">
        <v>495</v>
      </c>
      <c r="C65">
        <f>83/30</f>
        <v>2.76666666666667</v>
      </c>
      <c r="D65">
        <v>0</v>
      </c>
    </row>
    <row r="66" spans="1:4">
      <c r="A66">
        <f t="shared" si="5"/>
        <v>60</v>
      </c>
      <c r="B66">
        <v>495</v>
      </c>
      <c r="C66">
        <f>256/30</f>
        <v>8.53333333333333</v>
      </c>
      <c r="D66">
        <v>1</v>
      </c>
    </row>
    <row r="67" spans="1:4">
      <c r="A67">
        <f t="shared" si="5"/>
        <v>61</v>
      </c>
      <c r="B67">
        <v>497</v>
      </c>
      <c r="C67">
        <v>7.93333333333333</v>
      </c>
      <c r="D67">
        <v>0</v>
      </c>
    </row>
    <row r="68" spans="1:4">
      <c r="A68">
        <f t="shared" ref="A68:A77" si="6">ROW()-6</f>
        <v>62</v>
      </c>
      <c r="B68">
        <v>497</v>
      </c>
      <c r="C68">
        <f>515/30</f>
        <v>17.1666666666667</v>
      </c>
      <c r="D68">
        <v>1</v>
      </c>
    </row>
    <row r="69" spans="1:4">
      <c r="A69">
        <f t="shared" si="6"/>
        <v>63</v>
      </c>
      <c r="B69">
        <v>505</v>
      </c>
      <c r="C69">
        <v>0</v>
      </c>
      <c r="D69">
        <v>0</v>
      </c>
    </row>
    <row r="70" spans="1:4">
      <c r="A70">
        <f t="shared" si="6"/>
        <v>64</v>
      </c>
      <c r="B70">
        <v>505</v>
      </c>
      <c r="C70">
        <f>435/30</f>
        <v>14.5</v>
      </c>
      <c r="D70">
        <v>1</v>
      </c>
    </row>
    <row r="71" spans="1:5">
      <c r="A71">
        <f t="shared" si="6"/>
        <v>65</v>
      </c>
      <c r="B71">
        <v>30048</v>
      </c>
      <c r="C71">
        <v>11</v>
      </c>
      <c r="D71">
        <v>1</v>
      </c>
      <c r="E71">
        <v>2</v>
      </c>
    </row>
    <row r="72" spans="1:4">
      <c r="A72">
        <f t="shared" si="6"/>
        <v>66</v>
      </c>
      <c r="B72">
        <v>10332</v>
      </c>
      <c r="C72">
        <v>0</v>
      </c>
      <c r="D72">
        <v>0</v>
      </c>
    </row>
    <row r="73" spans="1:4">
      <c r="A73">
        <f t="shared" si="6"/>
        <v>67</v>
      </c>
      <c r="B73">
        <v>10332</v>
      </c>
      <c r="C73">
        <f>332/30</f>
        <v>11.0666666666667</v>
      </c>
      <c r="D73">
        <v>1</v>
      </c>
    </row>
    <row r="74" spans="1:4">
      <c r="A74">
        <f t="shared" si="6"/>
        <v>68</v>
      </c>
      <c r="B74">
        <v>10367</v>
      </c>
      <c r="C74">
        <v>0</v>
      </c>
      <c r="D74">
        <v>0</v>
      </c>
    </row>
    <row r="75" spans="1:4">
      <c r="A75">
        <f t="shared" si="6"/>
        <v>69</v>
      </c>
      <c r="B75">
        <v>10367</v>
      </c>
      <c r="C75">
        <v>3.83333333333333</v>
      </c>
      <c r="D75">
        <v>1</v>
      </c>
    </row>
    <row r="76" spans="1:4">
      <c r="A76">
        <f t="shared" si="6"/>
        <v>70</v>
      </c>
      <c r="B76">
        <v>10370</v>
      </c>
      <c r="C76">
        <v>1.45</v>
      </c>
      <c r="D76">
        <v>0</v>
      </c>
    </row>
    <row r="77" spans="1:4">
      <c r="A77">
        <f t="shared" si="6"/>
        <v>71</v>
      </c>
      <c r="B77">
        <v>10370</v>
      </c>
      <c r="C77">
        <v>6.2</v>
      </c>
      <c r="D77">
        <v>1</v>
      </c>
    </row>
    <row r="78" spans="1:4">
      <c r="A78">
        <f t="shared" ref="A78:A87" si="7">ROW()-6</f>
        <v>72</v>
      </c>
      <c r="B78">
        <v>526</v>
      </c>
      <c r="C78">
        <f>203/30</f>
        <v>6.76666666666667</v>
      </c>
      <c r="D78">
        <v>0</v>
      </c>
    </row>
    <row r="79" spans="1:4">
      <c r="A79">
        <f t="shared" si="7"/>
        <v>73</v>
      </c>
      <c r="B79">
        <v>526</v>
      </c>
      <c r="C79">
        <v>10.9</v>
      </c>
      <c r="D79">
        <v>1</v>
      </c>
    </row>
    <row r="80" spans="1:4">
      <c r="A80">
        <f t="shared" si="7"/>
        <v>74</v>
      </c>
      <c r="B80">
        <v>540</v>
      </c>
      <c r="C80">
        <f>169/30</f>
        <v>5.63333333333333</v>
      </c>
      <c r="D80">
        <v>0</v>
      </c>
    </row>
    <row r="81" spans="1:4">
      <c r="A81">
        <f t="shared" si="7"/>
        <v>75</v>
      </c>
      <c r="B81">
        <v>540</v>
      </c>
      <c r="C81">
        <f>400/30</f>
        <v>13.3333333333333</v>
      </c>
      <c r="D81">
        <v>1</v>
      </c>
    </row>
    <row r="82" spans="1:4">
      <c r="A82">
        <f t="shared" si="7"/>
        <v>76</v>
      </c>
      <c r="B82">
        <v>541</v>
      </c>
      <c r="C82">
        <f>138/30</f>
        <v>4.6</v>
      </c>
      <c r="D82">
        <v>0</v>
      </c>
    </row>
    <row r="83" spans="1:4">
      <c r="A83">
        <f t="shared" si="7"/>
        <v>77</v>
      </c>
      <c r="B83">
        <v>541</v>
      </c>
      <c r="C83">
        <f>245/30</f>
        <v>8.16666666666667</v>
      </c>
      <c r="D83">
        <v>1</v>
      </c>
    </row>
    <row r="84" spans="1:4">
      <c r="A84">
        <f t="shared" si="7"/>
        <v>78</v>
      </c>
      <c r="B84">
        <v>542</v>
      </c>
      <c r="C84">
        <f>36/30</f>
        <v>1.2</v>
      </c>
      <c r="D84">
        <v>0</v>
      </c>
    </row>
    <row r="85" spans="1:4">
      <c r="A85">
        <f t="shared" si="7"/>
        <v>79</v>
      </c>
      <c r="B85">
        <v>542</v>
      </c>
      <c r="C85">
        <f>340/30</f>
        <v>11.3333333333333</v>
      </c>
      <c r="D85">
        <v>1</v>
      </c>
    </row>
    <row r="86" spans="1:4">
      <c r="A86">
        <f t="shared" si="7"/>
        <v>80</v>
      </c>
      <c r="B86">
        <v>551</v>
      </c>
      <c r="C86">
        <f>138/30</f>
        <v>4.6</v>
      </c>
      <c r="D86">
        <v>0</v>
      </c>
    </row>
    <row r="87" spans="1:4">
      <c r="A87">
        <f t="shared" si="7"/>
        <v>81</v>
      </c>
      <c r="B87">
        <v>551</v>
      </c>
      <c r="C87">
        <f>245/30</f>
        <v>8.16666666666667</v>
      </c>
      <c r="D87">
        <v>1</v>
      </c>
    </row>
    <row r="88" spans="1:4">
      <c r="A88">
        <f t="shared" ref="A88:A97" si="8">ROW()-6</f>
        <v>82</v>
      </c>
      <c r="B88">
        <v>560</v>
      </c>
      <c r="C88">
        <v>11.6</v>
      </c>
      <c r="D88">
        <v>0</v>
      </c>
    </row>
    <row r="89" spans="1:4">
      <c r="A89">
        <f t="shared" si="8"/>
        <v>83</v>
      </c>
      <c r="B89">
        <v>560</v>
      </c>
      <c r="C89">
        <v>14</v>
      </c>
      <c r="D89">
        <v>1</v>
      </c>
    </row>
    <row r="90" spans="1:4">
      <c r="A90">
        <f t="shared" si="8"/>
        <v>84</v>
      </c>
      <c r="B90">
        <v>10403</v>
      </c>
      <c r="C90">
        <v>0</v>
      </c>
      <c r="D90">
        <v>0</v>
      </c>
    </row>
    <row r="91" spans="1:4">
      <c r="A91">
        <f t="shared" si="8"/>
        <v>85</v>
      </c>
      <c r="B91">
        <v>10403</v>
      </c>
      <c r="C91">
        <f>229/30</f>
        <v>7.63333333333333</v>
      </c>
      <c r="D91">
        <v>1</v>
      </c>
    </row>
    <row r="92" spans="1:4">
      <c r="A92">
        <f t="shared" si="8"/>
        <v>86</v>
      </c>
      <c r="B92">
        <v>589</v>
      </c>
      <c r="C92">
        <f>143/30</f>
        <v>4.76666666666667</v>
      </c>
      <c r="D92">
        <v>0</v>
      </c>
    </row>
    <row r="93" spans="1:4">
      <c r="A93">
        <f t="shared" si="8"/>
        <v>87</v>
      </c>
      <c r="B93">
        <v>589</v>
      </c>
      <c r="C93">
        <f>400/30</f>
        <v>13.3333333333333</v>
      </c>
      <c r="D93">
        <v>1</v>
      </c>
    </row>
    <row r="94" spans="1:4">
      <c r="A94">
        <f t="shared" si="8"/>
        <v>88</v>
      </c>
      <c r="B94">
        <v>10408</v>
      </c>
      <c r="C94">
        <v>0</v>
      </c>
      <c r="D94">
        <v>0</v>
      </c>
    </row>
    <row r="95" spans="1:4">
      <c r="A95">
        <f t="shared" si="8"/>
        <v>89</v>
      </c>
      <c r="B95">
        <v>10408</v>
      </c>
      <c r="C95">
        <f>400/30</f>
        <v>13.3333333333333</v>
      </c>
      <c r="D95">
        <v>1</v>
      </c>
    </row>
    <row r="96" spans="1:4">
      <c r="A96">
        <f t="shared" si="8"/>
        <v>90</v>
      </c>
      <c r="B96">
        <v>10409</v>
      </c>
      <c r="C96">
        <v>0</v>
      </c>
      <c r="D96">
        <v>0</v>
      </c>
    </row>
    <row r="97" spans="1:4">
      <c r="A97">
        <f t="shared" si="8"/>
        <v>91</v>
      </c>
      <c r="B97">
        <v>10409</v>
      </c>
      <c r="C97">
        <f>308/30</f>
        <v>10.2666666666667</v>
      </c>
      <c r="D97">
        <v>1</v>
      </c>
    </row>
    <row r="98" spans="1:4">
      <c r="A98">
        <f t="shared" ref="A98:A107" si="9">ROW()-6</f>
        <v>92</v>
      </c>
      <c r="B98">
        <v>586</v>
      </c>
      <c r="C98">
        <v>0</v>
      </c>
      <c r="D98">
        <v>0</v>
      </c>
    </row>
    <row r="99" spans="1:4">
      <c r="A99">
        <f t="shared" si="9"/>
        <v>93</v>
      </c>
      <c r="B99">
        <v>586</v>
      </c>
      <c r="C99">
        <f>230/30</f>
        <v>7.66666666666667</v>
      </c>
      <c r="D99">
        <v>1</v>
      </c>
    </row>
    <row r="100" spans="1:4">
      <c r="A100">
        <f t="shared" si="9"/>
        <v>94</v>
      </c>
      <c r="B100">
        <v>10426</v>
      </c>
      <c r="C100">
        <f>62/30</f>
        <v>2.06666666666667</v>
      </c>
      <c r="D100">
        <v>0</v>
      </c>
    </row>
    <row r="101" spans="1:4">
      <c r="A101">
        <f t="shared" si="9"/>
        <v>95</v>
      </c>
      <c r="B101">
        <v>10426</v>
      </c>
      <c r="C101">
        <f>146/30</f>
        <v>4.86666666666667</v>
      </c>
      <c r="D101">
        <v>1</v>
      </c>
    </row>
    <row r="102" spans="1:4">
      <c r="A102">
        <f t="shared" si="9"/>
        <v>96</v>
      </c>
      <c r="B102">
        <v>10430</v>
      </c>
      <c r="C102">
        <f>220/30</f>
        <v>7.33333333333333</v>
      </c>
      <c r="D102">
        <v>0</v>
      </c>
    </row>
    <row r="103" spans="1:4">
      <c r="A103">
        <f t="shared" si="9"/>
        <v>97</v>
      </c>
      <c r="B103">
        <v>10430</v>
      </c>
      <c r="C103">
        <f>295/30</f>
        <v>9.83333333333333</v>
      </c>
      <c r="D103">
        <v>1</v>
      </c>
    </row>
    <row r="104" spans="1:4">
      <c r="A104">
        <f t="shared" si="9"/>
        <v>98</v>
      </c>
      <c r="B104">
        <v>10422</v>
      </c>
      <c r="C104">
        <f>80/30</f>
        <v>2.66666666666667</v>
      </c>
      <c r="D104">
        <v>0</v>
      </c>
    </row>
    <row r="105" spans="1:4">
      <c r="A105">
        <f t="shared" si="9"/>
        <v>99</v>
      </c>
      <c r="B105">
        <v>10422</v>
      </c>
      <c r="C105">
        <f>147/30</f>
        <v>4.9</v>
      </c>
      <c r="D105">
        <v>1</v>
      </c>
    </row>
    <row r="106" spans="1:4">
      <c r="A106">
        <f t="shared" si="9"/>
        <v>100</v>
      </c>
      <c r="B106">
        <v>594</v>
      </c>
      <c r="C106">
        <v>0</v>
      </c>
      <c r="D106">
        <v>0</v>
      </c>
    </row>
    <row r="107" spans="1:4">
      <c r="A107">
        <f t="shared" si="9"/>
        <v>101</v>
      </c>
      <c r="B107">
        <v>594</v>
      </c>
      <c r="C107">
        <v>6.16666666666667</v>
      </c>
      <c r="D107">
        <v>1</v>
      </c>
    </row>
    <row r="108" spans="1:4">
      <c r="A108">
        <f t="shared" ref="A108:A117" si="10">ROW()-6</f>
        <v>102</v>
      </c>
      <c r="B108">
        <v>595</v>
      </c>
      <c r="C108">
        <v>1.33333333333333</v>
      </c>
      <c r="D108">
        <v>0</v>
      </c>
    </row>
    <row r="109" spans="1:4">
      <c r="A109">
        <f t="shared" si="10"/>
        <v>103</v>
      </c>
      <c r="B109">
        <v>595</v>
      </c>
      <c r="C109">
        <v>8.33333333333333</v>
      </c>
      <c r="D109">
        <v>1</v>
      </c>
    </row>
    <row r="110" spans="1:4">
      <c r="A110">
        <f t="shared" si="10"/>
        <v>104</v>
      </c>
      <c r="B110">
        <v>598</v>
      </c>
      <c r="C110">
        <v>0</v>
      </c>
      <c r="D110">
        <v>0</v>
      </c>
    </row>
    <row r="111" spans="1:4">
      <c r="A111">
        <f t="shared" si="10"/>
        <v>105</v>
      </c>
      <c r="B111">
        <v>598</v>
      </c>
      <c r="C111">
        <v>11</v>
      </c>
      <c r="D111">
        <v>1</v>
      </c>
    </row>
    <row r="112" spans="1:4">
      <c r="A112">
        <f t="shared" si="10"/>
        <v>106</v>
      </c>
      <c r="B112">
        <v>612</v>
      </c>
      <c r="C112">
        <v>0</v>
      </c>
      <c r="D112">
        <v>0</v>
      </c>
    </row>
    <row r="113" spans="1:4">
      <c r="A113">
        <f t="shared" si="10"/>
        <v>107</v>
      </c>
      <c r="B113">
        <v>612</v>
      </c>
      <c r="C113">
        <f>140/30</f>
        <v>4.66666666666667</v>
      </c>
      <c r="D113">
        <v>1</v>
      </c>
    </row>
    <row r="114" spans="1:4">
      <c r="A114">
        <f t="shared" si="10"/>
        <v>108</v>
      </c>
      <c r="B114">
        <v>614</v>
      </c>
      <c r="C114">
        <v>0</v>
      </c>
      <c r="D114">
        <v>1</v>
      </c>
    </row>
    <row r="115" spans="1:4">
      <c r="A115">
        <f t="shared" si="10"/>
        <v>109</v>
      </c>
      <c r="B115">
        <v>614</v>
      </c>
      <c r="C115">
        <f>189/30</f>
        <v>6.3</v>
      </c>
      <c r="D115">
        <v>1</v>
      </c>
    </row>
    <row r="116" spans="1:4">
      <c r="A116">
        <f t="shared" si="10"/>
        <v>110</v>
      </c>
      <c r="B116">
        <v>613</v>
      </c>
      <c r="C116">
        <f>38/30</f>
        <v>1.26666666666667</v>
      </c>
      <c r="D116">
        <v>0</v>
      </c>
    </row>
    <row r="117" spans="1:4">
      <c r="A117">
        <f t="shared" si="10"/>
        <v>111</v>
      </c>
      <c r="B117">
        <v>613</v>
      </c>
      <c r="C117">
        <f>64/30</f>
        <v>2.13333333333333</v>
      </c>
      <c r="D117">
        <v>1</v>
      </c>
    </row>
    <row r="118" spans="1:4">
      <c r="A118">
        <f t="shared" ref="A118:A181" si="11">ROW()-6</f>
        <v>112</v>
      </c>
      <c r="B118">
        <v>606</v>
      </c>
      <c r="C118">
        <f>63/30</f>
        <v>2.1</v>
      </c>
      <c r="D118">
        <v>0</v>
      </c>
    </row>
    <row r="119" spans="1:4">
      <c r="A119">
        <f t="shared" si="11"/>
        <v>113</v>
      </c>
      <c r="B119">
        <v>606</v>
      </c>
      <c r="C119">
        <f>175/30</f>
        <v>5.83333333333333</v>
      </c>
      <c r="D119">
        <v>1</v>
      </c>
    </row>
    <row r="120" spans="1:4">
      <c r="A120">
        <f t="shared" si="11"/>
        <v>114</v>
      </c>
      <c r="B120">
        <v>648</v>
      </c>
      <c r="C120">
        <v>0</v>
      </c>
      <c r="D120">
        <v>0</v>
      </c>
    </row>
    <row r="121" spans="1:4">
      <c r="A121">
        <f t="shared" si="11"/>
        <v>115</v>
      </c>
      <c r="B121">
        <v>648</v>
      </c>
      <c r="C121">
        <f>205/30</f>
        <v>6.83333333333333</v>
      </c>
      <c r="D121">
        <v>1</v>
      </c>
    </row>
    <row r="122" spans="1:4">
      <c r="A122">
        <f t="shared" si="11"/>
        <v>116</v>
      </c>
      <c r="B122">
        <v>10439</v>
      </c>
      <c r="C122">
        <v>0</v>
      </c>
      <c r="D122">
        <v>0</v>
      </c>
    </row>
    <row r="123" spans="1:4">
      <c r="A123">
        <f t="shared" si="11"/>
        <v>117</v>
      </c>
      <c r="B123">
        <v>10439</v>
      </c>
      <c r="C123">
        <f>229/30</f>
        <v>7.63333333333333</v>
      </c>
      <c r="D123">
        <v>1</v>
      </c>
    </row>
    <row r="124" spans="1:4">
      <c r="A124">
        <f t="shared" si="11"/>
        <v>118</v>
      </c>
      <c r="B124">
        <v>649</v>
      </c>
      <c r="C124">
        <v>0</v>
      </c>
      <c r="D124">
        <v>0</v>
      </c>
    </row>
    <row r="125" spans="1:4">
      <c r="A125">
        <f t="shared" si="11"/>
        <v>119</v>
      </c>
      <c r="B125">
        <v>649</v>
      </c>
      <c r="C125">
        <f>205/30</f>
        <v>6.83333333333333</v>
      </c>
      <c r="D125">
        <v>1</v>
      </c>
    </row>
    <row r="126" spans="1:4">
      <c r="A126">
        <f t="shared" si="11"/>
        <v>120</v>
      </c>
      <c r="B126">
        <v>653</v>
      </c>
      <c r="C126">
        <f>103/30</f>
        <v>3.43333333333333</v>
      </c>
      <c r="D126">
        <v>0</v>
      </c>
    </row>
    <row r="127" spans="1:4">
      <c r="A127">
        <f t="shared" si="11"/>
        <v>121</v>
      </c>
      <c r="B127">
        <v>653</v>
      </c>
      <c r="C127">
        <f>261/30</f>
        <v>8.7</v>
      </c>
      <c r="D127">
        <v>1</v>
      </c>
    </row>
    <row r="128" spans="1:4">
      <c r="A128">
        <f t="shared" si="11"/>
        <v>122</v>
      </c>
      <c r="B128">
        <v>657</v>
      </c>
      <c r="C128">
        <f>95/30</f>
        <v>3.16666666666667</v>
      </c>
      <c r="D128">
        <v>0</v>
      </c>
    </row>
    <row r="129" spans="1:4">
      <c r="A129">
        <f t="shared" si="11"/>
        <v>123</v>
      </c>
      <c r="B129">
        <v>657</v>
      </c>
      <c r="C129">
        <f>155/30</f>
        <v>5.16666666666667</v>
      </c>
      <c r="D129">
        <v>1</v>
      </c>
    </row>
    <row r="130" spans="1:4">
      <c r="A130">
        <f t="shared" si="11"/>
        <v>124</v>
      </c>
      <c r="B130">
        <v>638</v>
      </c>
      <c r="C130">
        <f>64/30</f>
        <v>2.13333333333333</v>
      </c>
      <c r="D130">
        <v>0</v>
      </c>
    </row>
    <row r="131" spans="1:4">
      <c r="A131">
        <f t="shared" si="11"/>
        <v>125</v>
      </c>
      <c r="B131">
        <v>638</v>
      </c>
      <c r="C131">
        <v>10</v>
      </c>
      <c r="D131">
        <v>1</v>
      </c>
    </row>
    <row r="132" spans="1:4">
      <c r="A132">
        <f t="shared" si="11"/>
        <v>126</v>
      </c>
      <c r="B132">
        <v>666</v>
      </c>
      <c r="C132">
        <v>0</v>
      </c>
      <c r="D132">
        <v>0</v>
      </c>
    </row>
    <row r="133" spans="1:4">
      <c r="A133">
        <f t="shared" si="11"/>
        <v>127</v>
      </c>
      <c r="B133">
        <v>666</v>
      </c>
      <c r="C133">
        <f>260/30</f>
        <v>8.66666666666667</v>
      </c>
      <c r="D133">
        <v>1</v>
      </c>
    </row>
    <row r="134" spans="1:4">
      <c r="A134">
        <f t="shared" si="11"/>
        <v>128</v>
      </c>
      <c r="B134">
        <v>664</v>
      </c>
      <c r="C134">
        <f>195/30</f>
        <v>6.5</v>
      </c>
      <c r="D134">
        <v>0</v>
      </c>
    </row>
    <row r="135" spans="1:4">
      <c r="A135">
        <f t="shared" si="11"/>
        <v>129</v>
      </c>
      <c r="B135">
        <v>664</v>
      </c>
      <c r="C135">
        <f>245/30</f>
        <v>8.16666666666667</v>
      </c>
      <c r="D135">
        <v>1</v>
      </c>
    </row>
    <row r="136" spans="1:4">
      <c r="A136">
        <f t="shared" si="11"/>
        <v>130</v>
      </c>
      <c r="B136">
        <v>634</v>
      </c>
      <c r="C136">
        <v>0</v>
      </c>
      <c r="D136">
        <v>0</v>
      </c>
    </row>
    <row r="137" spans="1:4">
      <c r="A137">
        <f t="shared" si="11"/>
        <v>131</v>
      </c>
      <c r="B137">
        <v>634</v>
      </c>
      <c r="C137">
        <v>9.33333333333333</v>
      </c>
      <c r="D137">
        <v>1</v>
      </c>
    </row>
    <row r="138" spans="1:4">
      <c r="A138">
        <f t="shared" si="11"/>
        <v>132</v>
      </c>
      <c r="B138">
        <v>621</v>
      </c>
      <c r="C138">
        <f>11/30</f>
        <v>0.366666666666667</v>
      </c>
      <c r="D138">
        <v>0</v>
      </c>
    </row>
    <row r="139" spans="1:4">
      <c r="A139">
        <f t="shared" si="11"/>
        <v>133</v>
      </c>
      <c r="B139">
        <v>621</v>
      </c>
      <c r="C139">
        <f>193/30</f>
        <v>6.43333333333333</v>
      </c>
      <c r="D139">
        <v>1</v>
      </c>
    </row>
    <row r="140" spans="1:4">
      <c r="A140">
        <f t="shared" si="11"/>
        <v>134</v>
      </c>
      <c r="B140">
        <v>622</v>
      </c>
      <c r="C140">
        <v>0</v>
      </c>
      <c r="D140">
        <v>0</v>
      </c>
    </row>
    <row r="141" spans="1:4">
      <c r="A141">
        <f t="shared" si="11"/>
        <v>135</v>
      </c>
      <c r="B141">
        <v>622</v>
      </c>
      <c r="C141">
        <f>260/30</f>
        <v>8.66666666666667</v>
      </c>
      <c r="D141">
        <v>1</v>
      </c>
    </row>
    <row r="142" spans="1:4">
      <c r="A142">
        <f t="shared" si="11"/>
        <v>136</v>
      </c>
      <c r="B142">
        <v>629</v>
      </c>
      <c r="C142">
        <f>179/30</f>
        <v>5.96666666666667</v>
      </c>
      <c r="D142">
        <v>0</v>
      </c>
    </row>
    <row r="143" spans="1:4">
      <c r="A143">
        <f t="shared" si="11"/>
        <v>137</v>
      </c>
      <c r="B143">
        <v>629</v>
      </c>
      <c r="C143">
        <f>204/30</f>
        <v>6.8</v>
      </c>
      <c r="D143">
        <v>1</v>
      </c>
    </row>
    <row r="144" spans="1:4">
      <c r="A144">
        <f t="shared" si="11"/>
        <v>138</v>
      </c>
      <c r="B144">
        <v>672</v>
      </c>
      <c r="C144">
        <f>188/30</f>
        <v>6.26666666666667</v>
      </c>
      <c r="D144">
        <v>0</v>
      </c>
    </row>
    <row r="145" spans="1:4">
      <c r="A145">
        <f t="shared" si="11"/>
        <v>139</v>
      </c>
      <c r="B145">
        <v>672</v>
      </c>
      <c r="C145">
        <f>320/30</f>
        <v>10.6666666666667</v>
      </c>
      <c r="D145">
        <v>1</v>
      </c>
    </row>
    <row r="146" spans="1:4">
      <c r="A146">
        <f t="shared" si="11"/>
        <v>140</v>
      </c>
      <c r="B146">
        <v>674</v>
      </c>
      <c r="C146">
        <v>0</v>
      </c>
      <c r="D146">
        <v>0</v>
      </c>
    </row>
    <row r="147" spans="1:4">
      <c r="A147">
        <f t="shared" si="11"/>
        <v>141</v>
      </c>
      <c r="B147">
        <v>674</v>
      </c>
      <c r="C147">
        <f>330/30</f>
        <v>11</v>
      </c>
      <c r="D147">
        <v>1</v>
      </c>
    </row>
    <row r="148" spans="1:4">
      <c r="A148">
        <f t="shared" si="11"/>
        <v>142</v>
      </c>
      <c r="B148">
        <v>698</v>
      </c>
      <c r="C148">
        <f>191/30</f>
        <v>6.36666666666667</v>
      </c>
      <c r="D148">
        <v>0</v>
      </c>
    </row>
    <row r="149" spans="1:4">
      <c r="A149">
        <f t="shared" si="11"/>
        <v>143</v>
      </c>
      <c r="B149">
        <v>698</v>
      </c>
      <c r="C149">
        <f>390/30</f>
        <v>13</v>
      </c>
      <c r="D149">
        <v>1</v>
      </c>
    </row>
    <row r="150" spans="1:4">
      <c r="A150">
        <f t="shared" si="11"/>
        <v>144</v>
      </c>
      <c r="B150">
        <v>696</v>
      </c>
      <c r="C150">
        <f>190/30</f>
        <v>6.33333333333333</v>
      </c>
      <c r="D150">
        <v>0</v>
      </c>
    </row>
    <row r="151" spans="1:4">
      <c r="A151">
        <f t="shared" si="11"/>
        <v>145</v>
      </c>
      <c r="B151">
        <v>696</v>
      </c>
      <c r="C151">
        <f>274/30</f>
        <v>9.13333333333333</v>
      </c>
      <c r="D151">
        <v>1</v>
      </c>
    </row>
    <row r="152" spans="1:4">
      <c r="A152">
        <f t="shared" si="11"/>
        <v>146</v>
      </c>
      <c r="B152">
        <v>705</v>
      </c>
      <c r="C152">
        <f>120/30</f>
        <v>4</v>
      </c>
      <c r="D152">
        <v>0</v>
      </c>
    </row>
    <row r="153" spans="1:4">
      <c r="A153">
        <f t="shared" si="11"/>
        <v>147</v>
      </c>
      <c r="B153">
        <v>705</v>
      </c>
      <c r="C153">
        <f>310/30</f>
        <v>10.3333333333333</v>
      </c>
      <c r="D153">
        <v>1</v>
      </c>
    </row>
    <row r="154" spans="1:4">
      <c r="A154">
        <f t="shared" si="11"/>
        <v>148</v>
      </c>
      <c r="B154">
        <v>688</v>
      </c>
      <c r="C154">
        <f>172/30</f>
        <v>5.73333333333333</v>
      </c>
      <c r="D154">
        <v>0</v>
      </c>
    </row>
    <row r="155" spans="1:4">
      <c r="A155">
        <f t="shared" si="11"/>
        <v>149</v>
      </c>
      <c r="B155">
        <v>688</v>
      </c>
      <c r="C155">
        <f>250/30</f>
        <v>8.33333333333333</v>
      </c>
      <c r="D155">
        <v>1</v>
      </c>
    </row>
    <row r="156" spans="1:4">
      <c r="A156">
        <f t="shared" si="11"/>
        <v>150</v>
      </c>
      <c r="B156">
        <v>689</v>
      </c>
      <c r="C156">
        <v>0</v>
      </c>
      <c r="D156">
        <v>0</v>
      </c>
    </row>
    <row r="157" spans="1:4">
      <c r="A157">
        <f t="shared" si="11"/>
        <v>151</v>
      </c>
      <c r="B157">
        <v>689</v>
      </c>
      <c r="C157">
        <f>313/30</f>
        <v>10.4333333333333</v>
      </c>
      <c r="D157">
        <v>1</v>
      </c>
    </row>
    <row r="158" spans="1:4">
      <c r="A158">
        <f t="shared" si="11"/>
        <v>152</v>
      </c>
      <c r="B158">
        <v>690</v>
      </c>
      <c r="C158">
        <v>0</v>
      </c>
      <c r="D158">
        <v>0</v>
      </c>
    </row>
    <row r="159" spans="1:4">
      <c r="A159">
        <f t="shared" si="11"/>
        <v>153</v>
      </c>
      <c r="B159">
        <v>690</v>
      </c>
      <c r="C159">
        <f>340/30</f>
        <v>11.3333333333333</v>
      </c>
      <c r="D159">
        <v>1</v>
      </c>
    </row>
    <row r="160" spans="1:4">
      <c r="A160">
        <f t="shared" si="11"/>
        <v>154</v>
      </c>
      <c r="B160">
        <v>739</v>
      </c>
      <c r="C160">
        <f>172/30</f>
        <v>5.73333333333333</v>
      </c>
      <c r="D160">
        <v>0</v>
      </c>
    </row>
    <row r="161" spans="1:4">
      <c r="A161">
        <f t="shared" si="11"/>
        <v>155</v>
      </c>
      <c r="B161">
        <v>739</v>
      </c>
      <c r="C161">
        <f>250/30</f>
        <v>8.33333333333333</v>
      </c>
      <c r="D161">
        <v>1</v>
      </c>
    </row>
    <row r="162" spans="1:4">
      <c r="A162">
        <f t="shared" si="11"/>
        <v>156</v>
      </c>
      <c r="B162">
        <v>740</v>
      </c>
      <c r="C162">
        <v>0</v>
      </c>
      <c r="D162">
        <v>0</v>
      </c>
    </row>
    <row r="163" spans="1:4">
      <c r="A163">
        <f t="shared" si="11"/>
        <v>157</v>
      </c>
      <c r="B163">
        <v>740</v>
      </c>
      <c r="C163">
        <f>313/30</f>
        <v>10.4333333333333</v>
      </c>
      <c r="D163">
        <v>1</v>
      </c>
    </row>
    <row r="164" spans="1:4">
      <c r="A164">
        <f t="shared" si="11"/>
        <v>158</v>
      </c>
      <c r="B164">
        <v>682</v>
      </c>
      <c r="C164">
        <v>0</v>
      </c>
      <c r="D164">
        <v>0</v>
      </c>
    </row>
    <row r="165" spans="1:4">
      <c r="A165">
        <f t="shared" si="11"/>
        <v>159</v>
      </c>
      <c r="B165">
        <v>682</v>
      </c>
      <c r="C165">
        <f>300/30</f>
        <v>10</v>
      </c>
      <c r="D165">
        <v>1</v>
      </c>
    </row>
    <row r="166" spans="1:4">
      <c r="A166">
        <f t="shared" si="11"/>
        <v>160</v>
      </c>
      <c r="B166">
        <v>738</v>
      </c>
      <c r="C166">
        <f>90/30</f>
        <v>3</v>
      </c>
      <c r="D166">
        <v>0</v>
      </c>
    </row>
    <row r="167" spans="1:4">
      <c r="A167">
        <f t="shared" si="11"/>
        <v>161</v>
      </c>
      <c r="B167">
        <v>738</v>
      </c>
      <c r="C167">
        <f>246/30</f>
        <v>8.2</v>
      </c>
      <c r="D167">
        <v>1</v>
      </c>
    </row>
    <row r="168" spans="1:4">
      <c r="A168">
        <f t="shared" si="11"/>
        <v>162</v>
      </c>
      <c r="B168">
        <v>714</v>
      </c>
      <c r="C168">
        <v>0</v>
      </c>
      <c r="D168">
        <v>0</v>
      </c>
    </row>
    <row r="169" spans="1:4">
      <c r="A169">
        <f t="shared" si="11"/>
        <v>163</v>
      </c>
      <c r="B169">
        <v>714</v>
      </c>
      <c r="C169">
        <f>290/30</f>
        <v>9.66666666666667</v>
      </c>
      <c r="D169">
        <v>1</v>
      </c>
    </row>
    <row r="170" spans="1:4">
      <c r="A170">
        <f t="shared" si="11"/>
        <v>164</v>
      </c>
      <c r="B170">
        <v>711</v>
      </c>
      <c r="C170">
        <f>43/30</f>
        <v>1.43333333333333</v>
      </c>
      <c r="D170">
        <v>0</v>
      </c>
    </row>
    <row r="171" spans="1:4">
      <c r="A171">
        <f t="shared" si="11"/>
        <v>165</v>
      </c>
      <c r="B171">
        <v>711</v>
      </c>
      <c r="C171">
        <f>265/30</f>
        <v>8.83333333333333</v>
      </c>
      <c r="D171">
        <v>1</v>
      </c>
    </row>
    <row r="172" spans="1:4">
      <c r="A172">
        <f t="shared" si="11"/>
        <v>166</v>
      </c>
      <c r="B172">
        <v>715</v>
      </c>
      <c r="C172">
        <f>1/30</f>
        <v>0.0333333333333333</v>
      </c>
      <c r="D172">
        <v>0</v>
      </c>
    </row>
    <row r="173" spans="1:4">
      <c r="A173">
        <f t="shared" si="11"/>
        <v>167</v>
      </c>
      <c r="B173">
        <v>715</v>
      </c>
      <c r="C173">
        <f>255/30</f>
        <v>8.5</v>
      </c>
      <c r="D173">
        <v>0</v>
      </c>
    </row>
    <row r="174" spans="1:4">
      <c r="A174">
        <f t="shared" si="11"/>
        <v>168</v>
      </c>
      <c r="B174">
        <v>737</v>
      </c>
      <c r="C174">
        <f>20/30</f>
        <v>0.666666666666667</v>
      </c>
      <c r="D174">
        <v>0</v>
      </c>
    </row>
    <row r="175" spans="1:4">
      <c r="A175">
        <f t="shared" si="11"/>
        <v>169</v>
      </c>
      <c r="B175">
        <v>737</v>
      </c>
      <c r="C175">
        <f>201/30</f>
        <v>6.7</v>
      </c>
      <c r="D175">
        <v>1</v>
      </c>
    </row>
    <row r="176" spans="1:4">
      <c r="A176">
        <f t="shared" si="11"/>
        <v>170</v>
      </c>
      <c r="B176" s="5">
        <v>678</v>
      </c>
      <c r="C176">
        <f>20/30</f>
        <v>0.666666666666667</v>
      </c>
      <c r="D176">
        <v>0</v>
      </c>
    </row>
    <row r="177" spans="1:4">
      <c r="A177">
        <f t="shared" si="11"/>
        <v>171</v>
      </c>
      <c r="B177" s="5">
        <v>678</v>
      </c>
      <c r="C177">
        <f>201/30</f>
        <v>6.7</v>
      </c>
      <c r="D177">
        <v>1</v>
      </c>
    </row>
    <row r="178" spans="1:4">
      <c r="A178">
        <f t="shared" si="11"/>
        <v>172</v>
      </c>
      <c r="B178" s="5">
        <v>679</v>
      </c>
      <c r="C178">
        <f>90/30</f>
        <v>3</v>
      </c>
      <c r="D178">
        <v>0</v>
      </c>
    </row>
    <row r="179" spans="1:4">
      <c r="A179">
        <f t="shared" si="11"/>
        <v>173</v>
      </c>
      <c r="B179" s="5">
        <v>679</v>
      </c>
      <c r="C179">
        <f>246/30</f>
        <v>8.2</v>
      </c>
      <c r="D179">
        <v>1</v>
      </c>
    </row>
    <row r="180" spans="1:4">
      <c r="A180">
        <f t="shared" si="11"/>
        <v>174</v>
      </c>
      <c r="B180">
        <v>725</v>
      </c>
      <c r="C180">
        <v>4.8</v>
      </c>
      <c r="D180">
        <v>0</v>
      </c>
    </row>
    <row r="181" spans="1:4">
      <c r="A181">
        <f t="shared" si="11"/>
        <v>175</v>
      </c>
      <c r="B181">
        <v>725</v>
      </c>
      <c r="C181">
        <f>403/30</f>
        <v>13.4333333333333</v>
      </c>
      <c r="D181">
        <v>1</v>
      </c>
    </row>
    <row r="182" spans="1:4">
      <c r="A182">
        <f t="shared" ref="A182:A199" si="12">ROW()-6</f>
        <v>176</v>
      </c>
      <c r="B182">
        <v>724</v>
      </c>
      <c r="C182">
        <v>0</v>
      </c>
      <c r="D182">
        <v>0</v>
      </c>
    </row>
    <row r="183" spans="1:4">
      <c r="A183">
        <f t="shared" si="12"/>
        <v>177</v>
      </c>
      <c r="B183">
        <v>724</v>
      </c>
      <c r="C183">
        <f>280/30</f>
        <v>9.33333333333333</v>
      </c>
      <c r="D183">
        <v>1</v>
      </c>
    </row>
    <row r="184" spans="1:4">
      <c r="A184">
        <f t="shared" si="12"/>
        <v>178</v>
      </c>
      <c r="B184">
        <v>720</v>
      </c>
      <c r="C184">
        <f>78/30</f>
        <v>2.6</v>
      </c>
      <c r="D184">
        <v>0</v>
      </c>
    </row>
    <row r="185" spans="1:4">
      <c r="A185">
        <f t="shared" si="12"/>
        <v>179</v>
      </c>
      <c r="B185">
        <v>720</v>
      </c>
      <c r="C185">
        <f>101/30</f>
        <v>3.36666666666667</v>
      </c>
      <c r="D185">
        <v>1</v>
      </c>
    </row>
    <row r="186" spans="1:4">
      <c r="A186">
        <f t="shared" si="12"/>
        <v>180</v>
      </c>
      <c r="B186" s="6">
        <v>747</v>
      </c>
      <c r="C186">
        <v>0</v>
      </c>
      <c r="D186">
        <v>0</v>
      </c>
    </row>
    <row r="187" spans="1:4">
      <c r="A187">
        <f t="shared" si="12"/>
        <v>181</v>
      </c>
      <c r="B187" s="6">
        <v>747</v>
      </c>
      <c r="C187">
        <f>440/30</f>
        <v>14.6666666666667</v>
      </c>
      <c r="D187">
        <v>1</v>
      </c>
    </row>
    <row r="188" spans="1:4">
      <c r="A188">
        <f t="shared" si="12"/>
        <v>182</v>
      </c>
      <c r="B188" s="6">
        <v>748</v>
      </c>
      <c r="C188">
        <v>0</v>
      </c>
      <c r="D188">
        <v>0</v>
      </c>
    </row>
    <row r="189" spans="1:4">
      <c r="A189">
        <f t="shared" si="12"/>
        <v>183</v>
      </c>
      <c r="B189" s="6">
        <v>748</v>
      </c>
      <c r="C189">
        <f>410/30</f>
        <v>13.6666666666667</v>
      </c>
      <c r="D189">
        <v>1</v>
      </c>
    </row>
    <row r="190" spans="1:4">
      <c r="A190">
        <f t="shared" si="12"/>
        <v>184</v>
      </c>
      <c r="B190">
        <v>746</v>
      </c>
      <c r="C190">
        <f>99/30</f>
        <v>3.3</v>
      </c>
      <c r="D190">
        <v>0</v>
      </c>
    </row>
    <row r="191" spans="1:4">
      <c r="A191">
        <f t="shared" si="12"/>
        <v>185</v>
      </c>
      <c r="B191">
        <v>746</v>
      </c>
      <c r="C191">
        <v>13.6</v>
      </c>
      <c r="D191">
        <v>1</v>
      </c>
    </row>
    <row r="192" spans="1:4">
      <c r="A192">
        <f t="shared" si="12"/>
        <v>186</v>
      </c>
      <c r="B192">
        <v>757</v>
      </c>
      <c r="C192">
        <f>3/30</f>
        <v>0.1</v>
      </c>
      <c r="D192">
        <v>0</v>
      </c>
    </row>
    <row r="193" spans="1:4">
      <c r="A193">
        <f t="shared" si="12"/>
        <v>187</v>
      </c>
      <c r="B193">
        <v>757</v>
      </c>
      <c r="C193">
        <f>226/30</f>
        <v>7.53333333333333</v>
      </c>
      <c r="D193">
        <v>1</v>
      </c>
    </row>
    <row r="194" spans="1:4">
      <c r="A194">
        <f t="shared" si="12"/>
        <v>188</v>
      </c>
      <c r="B194" s="7">
        <v>760</v>
      </c>
      <c r="C194">
        <v>0</v>
      </c>
      <c r="D194">
        <v>0</v>
      </c>
    </row>
    <row r="195" spans="1:4">
      <c r="A195">
        <f t="shared" si="12"/>
        <v>189</v>
      </c>
      <c r="B195" s="7">
        <v>760</v>
      </c>
      <c r="C195">
        <f>348/30</f>
        <v>11.6</v>
      </c>
      <c r="D195">
        <v>1</v>
      </c>
    </row>
    <row r="196" spans="1:4">
      <c r="A196">
        <f t="shared" si="12"/>
        <v>190</v>
      </c>
      <c r="B196" s="7">
        <v>758</v>
      </c>
      <c r="C196">
        <v>0</v>
      </c>
      <c r="D196">
        <v>0</v>
      </c>
    </row>
    <row r="197" spans="1:4">
      <c r="A197">
        <f t="shared" si="12"/>
        <v>191</v>
      </c>
      <c r="B197" s="7">
        <v>758</v>
      </c>
      <c r="C197">
        <f>268/30</f>
        <v>8.93333333333333</v>
      </c>
      <c r="D197">
        <v>1</v>
      </c>
    </row>
    <row r="198" spans="1:4">
      <c r="A198">
        <f t="shared" si="12"/>
        <v>192</v>
      </c>
      <c r="B198" s="7">
        <v>759</v>
      </c>
      <c r="C198">
        <v>0</v>
      </c>
      <c r="D198">
        <v>0</v>
      </c>
    </row>
    <row r="199" spans="1:4">
      <c r="A199">
        <f t="shared" si="12"/>
        <v>193</v>
      </c>
      <c r="B199" s="7">
        <v>759</v>
      </c>
      <c r="C199">
        <f>185/30</f>
        <v>6.16666666666667</v>
      </c>
      <c r="D199">
        <v>1</v>
      </c>
    </row>
    <row r="200" spans="1:4">
      <c r="A200">
        <f t="shared" ref="A200:A215" si="13">ROW()-6</f>
        <v>194</v>
      </c>
      <c r="B200" s="6">
        <v>731</v>
      </c>
      <c r="C200">
        <v>0</v>
      </c>
      <c r="D200">
        <v>0</v>
      </c>
    </row>
    <row r="201" spans="1:4">
      <c r="A201">
        <f t="shared" si="13"/>
        <v>195</v>
      </c>
      <c r="B201" s="6">
        <v>731</v>
      </c>
      <c r="C201">
        <f>245/30</f>
        <v>8.16666666666667</v>
      </c>
      <c r="D201">
        <v>1</v>
      </c>
    </row>
    <row r="202" spans="1:4">
      <c r="A202">
        <f t="shared" si="13"/>
        <v>196</v>
      </c>
      <c r="B202" s="6">
        <v>732</v>
      </c>
      <c r="C202">
        <v>0</v>
      </c>
      <c r="D202">
        <v>0</v>
      </c>
    </row>
    <row r="203" spans="1:4">
      <c r="A203">
        <f t="shared" si="13"/>
        <v>197</v>
      </c>
      <c r="B203" s="6">
        <v>732</v>
      </c>
      <c r="C203">
        <f>282/30</f>
        <v>9.4</v>
      </c>
      <c r="D203">
        <v>1</v>
      </c>
    </row>
    <row r="204" spans="1:4">
      <c r="A204">
        <f t="shared" si="13"/>
        <v>198</v>
      </c>
      <c r="B204" s="6">
        <v>733</v>
      </c>
      <c r="C204">
        <v>0</v>
      </c>
      <c r="D204">
        <v>0</v>
      </c>
    </row>
    <row r="205" spans="1:4">
      <c r="A205">
        <f t="shared" si="13"/>
        <v>199</v>
      </c>
      <c r="B205" s="6">
        <v>733</v>
      </c>
      <c r="C205">
        <f>378/30</f>
        <v>12.6</v>
      </c>
      <c r="D205">
        <v>1</v>
      </c>
    </row>
    <row r="206" spans="1:4">
      <c r="A206">
        <f t="shared" si="13"/>
        <v>200</v>
      </c>
      <c r="B206" s="6">
        <v>766</v>
      </c>
      <c r="C206">
        <v>0</v>
      </c>
      <c r="D206">
        <v>0</v>
      </c>
    </row>
    <row r="207" spans="1:4">
      <c r="A207">
        <f t="shared" si="13"/>
        <v>201</v>
      </c>
      <c r="B207" s="6">
        <v>766</v>
      </c>
      <c r="C207">
        <f>340/30</f>
        <v>11.3333333333333</v>
      </c>
      <c r="D207">
        <v>1</v>
      </c>
    </row>
    <row r="208" spans="1:4">
      <c r="A208">
        <f t="shared" si="13"/>
        <v>202</v>
      </c>
      <c r="B208" s="6">
        <v>767</v>
      </c>
      <c r="C208">
        <v>0</v>
      </c>
      <c r="D208">
        <v>0</v>
      </c>
    </row>
    <row r="209" spans="1:4">
      <c r="A209">
        <f t="shared" si="13"/>
        <v>203</v>
      </c>
      <c r="B209" s="6">
        <v>767</v>
      </c>
      <c r="C209">
        <f>360/30</f>
        <v>12</v>
      </c>
      <c r="D209">
        <v>1</v>
      </c>
    </row>
    <row r="210" spans="1:4">
      <c r="A210">
        <f t="shared" si="13"/>
        <v>204</v>
      </c>
      <c r="B210" s="6">
        <v>768</v>
      </c>
      <c r="C210">
        <v>0</v>
      </c>
      <c r="D210">
        <v>0</v>
      </c>
    </row>
    <row r="211" spans="1:4">
      <c r="A211">
        <f t="shared" si="13"/>
        <v>205</v>
      </c>
      <c r="B211" s="6">
        <v>768</v>
      </c>
      <c r="C211">
        <f>408/30</f>
        <v>13.6</v>
      </c>
      <c r="D211">
        <v>1</v>
      </c>
    </row>
    <row r="212" spans="1:4">
      <c r="A212">
        <f t="shared" ref="A212:A217" si="14">ROW()-6</f>
        <v>206</v>
      </c>
      <c r="B212" s="6">
        <v>774</v>
      </c>
      <c r="C212">
        <f>161/30</f>
        <v>5.36666666666667</v>
      </c>
      <c r="D212">
        <v>0</v>
      </c>
    </row>
    <row r="213" spans="1:4">
      <c r="A213">
        <f t="shared" si="14"/>
        <v>207</v>
      </c>
      <c r="B213" s="6">
        <v>774</v>
      </c>
      <c r="C213">
        <f>191/30</f>
        <v>6.36666666666667</v>
      </c>
      <c r="D213">
        <v>1</v>
      </c>
    </row>
    <row r="214" spans="1:4">
      <c r="A214">
        <f t="shared" si="14"/>
        <v>208</v>
      </c>
      <c r="B214" s="8">
        <v>775</v>
      </c>
      <c r="C214">
        <v>3.3</v>
      </c>
      <c r="D214">
        <v>0</v>
      </c>
    </row>
    <row r="215" spans="1:6">
      <c r="A215">
        <f t="shared" ref="A215:A253" si="15">ROW()-6</f>
        <v>209</v>
      </c>
      <c r="B215" s="8">
        <v>775</v>
      </c>
      <c r="C215">
        <f>424/30</f>
        <v>14.1333333333333</v>
      </c>
      <c r="D215">
        <v>1</v>
      </c>
      <c r="F215">
        <v>10</v>
      </c>
    </row>
    <row r="216" spans="1:4">
      <c r="A216">
        <f t="shared" si="15"/>
        <v>210</v>
      </c>
      <c r="B216" s="8">
        <v>776</v>
      </c>
      <c r="C216">
        <v>0</v>
      </c>
      <c r="D216">
        <v>0</v>
      </c>
    </row>
    <row r="217" spans="1:4">
      <c r="A217">
        <f t="shared" si="15"/>
        <v>211</v>
      </c>
      <c r="B217" s="8">
        <v>776</v>
      </c>
      <c r="C217">
        <f>291/30</f>
        <v>9.7</v>
      </c>
      <c r="D217">
        <v>1</v>
      </c>
    </row>
    <row r="218" spans="1:4">
      <c r="A218">
        <f t="shared" si="15"/>
        <v>212</v>
      </c>
      <c r="B218">
        <v>783</v>
      </c>
      <c r="C218">
        <v>0</v>
      </c>
      <c r="D218">
        <v>0</v>
      </c>
    </row>
    <row r="219" spans="1:4">
      <c r="A219">
        <f t="shared" si="15"/>
        <v>213</v>
      </c>
      <c r="B219">
        <v>783</v>
      </c>
      <c r="C219">
        <f>290/30</f>
        <v>9.66666666666667</v>
      </c>
      <c r="D219">
        <v>1</v>
      </c>
    </row>
    <row r="220" spans="1:4">
      <c r="A220">
        <f t="shared" si="15"/>
        <v>214</v>
      </c>
      <c r="B220" s="8">
        <v>784</v>
      </c>
      <c r="C220">
        <v>0</v>
      </c>
      <c r="D220">
        <v>0</v>
      </c>
    </row>
    <row r="221" spans="1:4">
      <c r="A221">
        <f t="shared" si="15"/>
        <v>215</v>
      </c>
      <c r="B221" s="8">
        <v>784</v>
      </c>
      <c r="C221">
        <f>225/30</f>
        <v>7.5</v>
      </c>
      <c r="D221">
        <v>1</v>
      </c>
    </row>
    <row r="222" spans="1:4">
      <c r="A222">
        <f t="shared" si="15"/>
        <v>216</v>
      </c>
      <c r="B222" s="9">
        <v>785</v>
      </c>
      <c r="C222">
        <v>0</v>
      </c>
      <c r="D222">
        <v>0</v>
      </c>
    </row>
    <row r="223" spans="1:4">
      <c r="A223">
        <f t="shared" si="15"/>
        <v>217</v>
      </c>
      <c r="B223" s="9">
        <v>785</v>
      </c>
      <c r="C223">
        <f>315/30</f>
        <v>10.5</v>
      </c>
      <c r="D223">
        <v>1</v>
      </c>
    </row>
    <row r="224" spans="1:4">
      <c r="A224">
        <f t="shared" si="15"/>
        <v>218</v>
      </c>
      <c r="B224">
        <v>1052400</v>
      </c>
      <c r="C224">
        <f>124/30</f>
        <v>4.13333333333333</v>
      </c>
      <c r="D224">
        <v>0</v>
      </c>
    </row>
    <row r="225" spans="1:4">
      <c r="A225">
        <f t="shared" si="15"/>
        <v>219</v>
      </c>
      <c r="B225">
        <v>1052400</v>
      </c>
      <c r="C225">
        <f>189/30</f>
        <v>6.3</v>
      </c>
      <c r="D225">
        <v>1</v>
      </c>
    </row>
    <row r="226" spans="1:4">
      <c r="A226">
        <f t="shared" si="15"/>
        <v>220</v>
      </c>
      <c r="B226">
        <v>10548</v>
      </c>
      <c r="C226">
        <v>0</v>
      </c>
      <c r="D226">
        <v>0</v>
      </c>
    </row>
    <row r="227" spans="1:4">
      <c r="A227">
        <f t="shared" si="15"/>
        <v>221</v>
      </c>
      <c r="B227">
        <v>10548</v>
      </c>
      <c r="C227">
        <f>230/30</f>
        <v>7.66666666666667</v>
      </c>
      <c r="D227">
        <v>1</v>
      </c>
    </row>
    <row r="228" spans="1:4">
      <c r="A228">
        <f t="shared" si="15"/>
        <v>222</v>
      </c>
      <c r="B228">
        <v>792</v>
      </c>
      <c r="C228">
        <f>99/30</f>
        <v>3.3</v>
      </c>
      <c r="D228">
        <v>0</v>
      </c>
    </row>
    <row r="229" spans="1:4">
      <c r="A229">
        <f t="shared" si="15"/>
        <v>223</v>
      </c>
      <c r="B229">
        <v>792</v>
      </c>
      <c r="C229" s="10">
        <f>193/30</f>
        <v>6.43333333333333</v>
      </c>
      <c r="D229">
        <v>1</v>
      </c>
    </row>
    <row r="230" spans="1:4">
      <c r="A230">
        <f t="shared" si="15"/>
        <v>224</v>
      </c>
      <c r="B230">
        <v>801</v>
      </c>
      <c r="C230">
        <v>0</v>
      </c>
      <c r="D230">
        <v>0</v>
      </c>
    </row>
    <row r="231" spans="1:4">
      <c r="A231">
        <f t="shared" si="15"/>
        <v>225</v>
      </c>
      <c r="B231">
        <v>801</v>
      </c>
      <c r="C231">
        <v>7.433333333</v>
      </c>
      <c r="D231">
        <v>1</v>
      </c>
    </row>
    <row r="232" spans="1:4">
      <c r="A232">
        <f t="shared" si="15"/>
        <v>226</v>
      </c>
      <c r="B232">
        <v>802</v>
      </c>
      <c r="C232">
        <v>0</v>
      </c>
      <c r="D232">
        <v>0</v>
      </c>
    </row>
    <row r="233" spans="1:4">
      <c r="A233">
        <f t="shared" si="15"/>
        <v>227</v>
      </c>
      <c r="B233">
        <v>802</v>
      </c>
      <c r="C233">
        <v>8.766667</v>
      </c>
      <c r="D233">
        <v>1</v>
      </c>
    </row>
    <row r="234" spans="1:4">
      <c r="A234">
        <f t="shared" si="15"/>
        <v>228</v>
      </c>
      <c r="B234">
        <v>800</v>
      </c>
      <c r="C234">
        <v>3.3</v>
      </c>
      <c r="D234">
        <v>0</v>
      </c>
    </row>
    <row r="235" spans="1:4">
      <c r="A235">
        <f t="shared" si="15"/>
        <v>229</v>
      </c>
      <c r="B235">
        <v>800</v>
      </c>
      <c r="C235">
        <v>4</v>
      </c>
      <c r="D235">
        <v>1</v>
      </c>
    </row>
    <row r="236" spans="1:4">
      <c r="A236">
        <f t="shared" si="15"/>
        <v>230</v>
      </c>
      <c r="B236">
        <v>799</v>
      </c>
      <c r="C236">
        <v>4.56666666</v>
      </c>
      <c r="D236">
        <v>0</v>
      </c>
    </row>
    <row r="237" spans="1:4">
      <c r="A237">
        <f t="shared" si="15"/>
        <v>231</v>
      </c>
      <c r="B237">
        <v>799</v>
      </c>
      <c r="C237">
        <v>7.5</v>
      </c>
      <c r="D237">
        <v>1</v>
      </c>
    </row>
    <row r="238" customFormat="1" spans="1:4">
      <c r="A238">
        <f t="shared" si="15"/>
        <v>232</v>
      </c>
      <c r="B238" s="6">
        <v>817</v>
      </c>
      <c r="C238">
        <v>7.2</v>
      </c>
      <c r="D238">
        <v>0</v>
      </c>
    </row>
    <row r="239" customFormat="1" spans="1:4">
      <c r="A239">
        <f t="shared" si="15"/>
        <v>233</v>
      </c>
      <c r="B239" s="6">
        <v>817</v>
      </c>
      <c r="C239">
        <v>7.7</v>
      </c>
      <c r="D239">
        <v>1</v>
      </c>
    </row>
    <row r="240" customFormat="1" spans="1:4">
      <c r="A240">
        <f t="shared" si="15"/>
        <v>234</v>
      </c>
      <c r="B240" s="6">
        <v>818</v>
      </c>
      <c r="C240">
        <v>0</v>
      </c>
      <c r="D240">
        <v>0</v>
      </c>
    </row>
    <row r="241" customFormat="1" spans="1:4">
      <c r="A241">
        <f t="shared" si="15"/>
        <v>235</v>
      </c>
      <c r="B241" s="6">
        <v>818</v>
      </c>
      <c r="C241">
        <f>238/30</f>
        <v>7.93333333333333</v>
      </c>
      <c r="D241">
        <v>1</v>
      </c>
    </row>
    <row r="242" customFormat="1" spans="1:4">
      <c r="A242">
        <f t="shared" si="15"/>
        <v>236</v>
      </c>
      <c r="B242" s="6">
        <v>819</v>
      </c>
      <c r="C242">
        <v>5.65</v>
      </c>
      <c r="D242">
        <v>0</v>
      </c>
    </row>
    <row r="243" customFormat="1" spans="1:4">
      <c r="A243">
        <f t="shared" si="15"/>
        <v>237</v>
      </c>
      <c r="B243" s="6">
        <v>819</v>
      </c>
      <c r="C243">
        <v>8</v>
      </c>
      <c r="D243">
        <v>1</v>
      </c>
    </row>
    <row r="244" spans="1:4">
      <c r="A244">
        <f t="shared" si="15"/>
        <v>238</v>
      </c>
      <c r="B244" s="11">
        <v>10566</v>
      </c>
      <c r="C244">
        <f>36/30</f>
        <v>1.2</v>
      </c>
      <c r="D244">
        <v>0</v>
      </c>
    </row>
    <row r="245" spans="1:4">
      <c r="A245">
        <f t="shared" si="15"/>
        <v>239</v>
      </c>
      <c r="B245" s="11">
        <v>10566</v>
      </c>
      <c r="C245">
        <f>340/30</f>
        <v>11.3333333333333</v>
      </c>
      <c r="D245">
        <v>1</v>
      </c>
    </row>
    <row r="246" spans="1:4">
      <c r="A246">
        <f t="shared" si="15"/>
        <v>240</v>
      </c>
      <c r="B246" s="12">
        <v>829</v>
      </c>
      <c r="C246">
        <v>0</v>
      </c>
      <c r="D246">
        <v>0</v>
      </c>
    </row>
    <row r="247" spans="1:4">
      <c r="A247">
        <f t="shared" si="15"/>
        <v>241</v>
      </c>
      <c r="B247" s="12">
        <v>829</v>
      </c>
      <c r="C247">
        <f>378/30</f>
        <v>12.6</v>
      </c>
      <c r="D247">
        <v>1</v>
      </c>
    </row>
    <row r="248" spans="1:4">
      <c r="A248">
        <f t="shared" si="15"/>
        <v>242</v>
      </c>
      <c r="B248">
        <v>827</v>
      </c>
      <c r="C248">
        <f>42/30</f>
        <v>1.4</v>
      </c>
      <c r="D248">
        <v>0</v>
      </c>
    </row>
    <row r="249" spans="1:4">
      <c r="A249">
        <f t="shared" si="15"/>
        <v>243</v>
      </c>
      <c r="B249">
        <v>827</v>
      </c>
      <c r="C249">
        <f>90/30</f>
        <v>3</v>
      </c>
      <c r="D249">
        <v>1</v>
      </c>
    </row>
    <row r="250" spans="1:4">
      <c r="A250">
        <f t="shared" si="15"/>
        <v>244</v>
      </c>
      <c r="B250">
        <v>841</v>
      </c>
      <c r="C250">
        <v>0</v>
      </c>
      <c r="D250">
        <v>0</v>
      </c>
    </row>
    <row r="251" spans="1:4">
      <c r="A251">
        <f t="shared" si="15"/>
        <v>245</v>
      </c>
      <c r="B251">
        <v>841</v>
      </c>
      <c r="C251">
        <v>8.36666666666667</v>
      </c>
      <c r="D251">
        <v>1</v>
      </c>
    </row>
    <row r="252" spans="1:4">
      <c r="A252">
        <f t="shared" si="15"/>
        <v>246</v>
      </c>
      <c r="B252">
        <v>847</v>
      </c>
      <c r="C252">
        <f>218/30</f>
        <v>7.26666666666667</v>
      </c>
      <c r="D252">
        <v>0</v>
      </c>
    </row>
    <row r="253" spans="1:4">
      <c r="A253">
        <f t="shared" si="15"/>
        <v>247</v>
      </c>
      <c r="B253">
        <v>847</v>
      </c>
      <c r="C253">
        <f>378/30</f>
        <v>12.6</v>
      </c>
      <c r="D253">
        <v>1</v>
      </c>
    </row>
    <row r="254" spans="1:4">
      <c r="A254">
        <f t="shared" ref="A254:A263" si="16">ROW()-6</f>
        <v>248</v>
      </c>
      <c r="B254">
        <v>855</v>
      </c>
      <c r="C254">
        <v>2.9</v>
      </c>
      <c r="D254">
        <v>0</v>
      </c>
    </row>
    <row r="255" spans="1:4">
      <c r="A255">
        <f t="shared" si="16"/>
        <v>249</v>
      </c>
      <c r="B255">
        <v>855</v>
      </c>
      <c r="C255">
        <v>10.5333333333333</v>
      </c>
      <c r="D255">
        <v>1</v>
      </c>
    </row>
    <row r="256" spans="1:4">
      <c r="A256">
        <f t="shared" si="16"/>
        <v>250</v>
      </c>
      <c r="B256">
        <v>856</v>
      </c>
      <c r="C256">
        <v>0</v>
      </c>
      <c r="D256">
        <v>0</v>
      </c>
    </row>
    <row r="257" spans="1:4">
      <c r="A257">
        <f t="shared" si="16"/>
        <v>251</v>
      </c>
      <c r="B257">
        <v>856</v>
      </c>
      <c r="C257">
        <v>13.2333333333333</v>
      </c>
      <c r="D257">
        <v>1</v>
      </c>
    </row>
    <row r="258" spans="1:4">
      <c r="A258">
        <f t="shared" si="16"/>
        <v>252</v>
      </c>
      <c r="B258">
        <v>857</v>
      </c>
      <c r="C258">
        <v>0</v>
      </c>
      <c r="D258">
        <v>0</v>
      </c>
    </row>
    <row r="259" spans="1:4">
      <c r="A259">
        <f t="shared" si="16"/>
        <v>253</v>
      </c>
      <c r="B259">
        <v>857</v>
      </c>
      <c r="C259">
        <v>9.46666666666667</v>
      </c>
      <c r="D259">
        <v>1</v>
      </c>
    </row>
    <row r="260" spans="1:4">
      <c r="A260">
        <f t="shared" si="16"/>
        <v>254</v>
      </c>
      <c r="B260">
        <v>864</v>
      </c>
      <c r="C260">
        <v>0</v>
      </c>
      <c r="D260">
        <v>0</v>
      </c>
    </row>
    <row r="261" spans="1:4">
      <c r="A261">
        <f t="shared" si="16"/>
        <v>255</v>
      </c>
      <c r="B261">
        <v>864</v>
      </c>
      <c r="C261">
        <f>309/30</f>
        <v>10.3</v>
      </c>
      <c r="D261">
        <v>1</v>
      </c>
    </row>
    <row r="262" spans="1:4">
      <c r="A262">
        <f t="shared" si="16"/>
        <v>256</v>
      </c>
      <c r="B262">
        <v>865</v>
      </c>
      <c r="C262">
        <v>0</v>
      </c>
      <c r="D262">
        <v>0</v>
      </c>
    </row>
    <row r="263" spans="1:4">
      <c r="A263">
        <f t="shared" si="16"/>
        <v>257</v>
      </c>
      <c r="B263">
        <v>865</v>
      </c>
      <c r="C263">
        <f>290/30</f>
        <v>9.66666666666667</v>
      </c>
      <c r="D263">
        <v>1</v>
      </c>
    </row>
    <row r="264" spans="1:4">
      <c r="A264">
        <v>258</v>
      </c>
      <c r="B264">
        <v>871</v>
      </c>
      <c r="C264">
        <v>0</v>
      </c>
      <c r="D264">
        <v>0</v>
      </c>
    </row>
    <row r="265" spans="1:4">
      <c r="A265">
        <v>259</v>
      </c>
      <c r="B265">
        <v>871</v>
      </c>
      <c r="C265">
        <v>11.4</v>
      </c>
      <c r="D265">
        <v>1</v>
      </c>
    </row>
    <row r="266" spans="1:4">
      <c r="A266">
        <v>260</v>
      </c>
      <c r="B266">
        <v>874</v>
      </c>
      <c r="C266">
        <v>0</v>
      </c>
      <c r="D266">
        <v>0</v>
      </c>
    </row>
    <row r="267" spans="1:4">
      <c r="A267">
        <v>261</v>
      </c>
      <c r="B267">
        <v>874</v>
      </c>
      <c r="C267">
        <v>16.5</v>
      </c>
      <c r="D267">
        <v>1</v>
      </c>
    </row>
    <row r="268" spans="1:4">
      <c r="A268">
        <v>262</v>
      </c>
      <c r="B268">
        <v>889</v>
      </c>
      <c r="C268">
        <v>4</v>
      </c>
      <c r="D268">
        <v>0</v>
      </c>
    </row>
    <row r="269" s="1" customFormat="1" spans="1:4">
      <c r="A269" s="1">
        <v>263</v>
      </c>
      <c r="B269" s="1">
        <v>880</v>
      </c>
      <c r="C269" s="1">
        <v>0</v>
      </c>
      <c r="D269" s="1">
        <v>0</v>
      </c>
    </row>
    <row r="270" s="1" customFormat="1" spans="1:4">
      <c r="A270" s="1">
        <v>264</v>
      </c>
      <c r="B270" s="1">
        <v>880</v>
      </c>
      <c r="C270" s="1">
        <v>9.93333333333333</v>
      </c>
      <c r="D270" s="1">
        <v>1</v>
      </c>
    </row>
    <row r="271" spans="1:4">
      <c r="A271">
        <v>265</v>
      </c>
      <c r="B271">
        <v>882</v>
      </c>
      <c r="C271">
        <v>0</v>
      </c>
      <c r="D271">
        <v>0</v>
      </c>
    </row>
    <row r="272" spans="1:4">
      <c r="A272">
        <v>266</v>
      </c>
      <c r="B272">
        <v>882</v>
      </c>
      <c r="C272">
        <v>14</v>
      </c>
      <c r="D272">
        <v>1</v>
      </c>
    </row>
    <row r="273" s="1" customFormat="1" spans="1:4">
      <c r="A273" s="1">
        <v>267</v>
      </c>
      <c r="B273" s="1">
        <v>896</v>
      </c>
      <c r="C273" s="1">
        <v>0</v>
      </c>
      <c r="D273" s="1">
        <v>0</v>
      </c>
    </row>
    <row r="274" s="1" customFormat="1" spans="1:4">
      <c r="A274" s="1">
        <v>268</v>
      </c>
      <c r="B274" s="1">
        <v>896</v>
      </c>
      <c r="C274" s="1">
        <v>9.5</v>
      </c>
      <c r="D274" s="1">
        <v>1</v>
      </c>
    </row>
    <row r="275" s="1" customFormat="1" spans="1:4">
      <c r="A275" s="1">
        <v>269</v>
      </c>
      <c r="B275" s="1">
        <v>897</v>
      </c>
      <c r="C275" s="1">
        <v>0</v>
      </c>
      <c r="D275" s="1">
        <v>0</v>
      </c>
    </row>
    <row r="276" s="1" customFormat="1" spans="1:4">
      <c r="A276" s="1">
        <v>270</v>
      </c>
      <c r="B276" s="1">
        <v>897</v>
      </c>
      <c r="C276" s="1">
        <v>12</v>
      </c>
      <c r="D276" s="1">
        <v>1</v>
      </c>
    </row>
    <row r="277" s="1" customFormat="1" spans="1:4">
      <c r="A277" s="1">
        <v>271</v>
      </c>
      <c r="B277" s="1">
        <v>898</v>
      </c>
      <c r="C277" s="1">
        <v>0</v>
      </c>
      <c r="D277" s="1">
        <v>0</v>
      </c>
    </row>
    <row r="278" s="1" customFormat="1" spans="1:4">
      <c r="A278" s="1">
        <v>272</v>
      </c>
      <c r="B278" s="1">
        <v>898</v>
      </c>
      <c r="C278" s="1">
        <v>12.9</v>
      </c>
      <c r="D278" s="1">
        <v>1</v>
      </c>
    </row>
    <row r="279" spans="1:4">
      <c r="A279">
        <v>273</v>
      </c>
      <c r="B279" s="13">
        <v>904</v>
      </c>
      <c r="C279">
        <v>0</v>
      </c>
      <c r="D279">
        <v>0</v>
      </c>
    </row>
    <row r="280" spans="1:4">
      <c r="A280">
        <v>274</v>
      </c>
      <c r="B280" s="13">
        <v>904</v>
      </c>
      <c r="C280">
        <v>17.7666666666667</v>
      </c>
      <c r="D280">
        <v>1</v>
      </c>
    </row>
    <row r="281" spans="1:4">
      <c r="A281">
        <v>275</v>
      </c>
      <c r="B281" s="13">
        <v>905</v>
      </c>
      <c r="C281">
        <v>0</v>
      </c>
      <c r="D281">
        <v>0</v>
      </c>
    </row>
    <row r="282" spans="1:4">
      <c r="A282">
        <v>276</v>
      </c>
      <c r="B282" s="13">
        <v>905</v>
      </c>
      <c r="C282">
        <v>8.8</v>
      </c>
      <c r="D282">
        <v>1</v>
      </c>
    </row>
    <row r="283" spans="1:4">
      <c r="A283">
        <v>277</v>
      </c>
      <c r="B283" s="13">
        <v>906</v>
      </c>
      <c r="C283">
        <v>0</v>
      </c>
      <c r="D283">
        <v>0</v>
      </c>
    </row>
    <row r="284" spans="1:4">
      <c r="A284">
        <v>278</v>
      </c>
      <c r="B284" s="13">
        <v>906</v>
      </c>
      <c r="C284">
        <v>16.2</v>
      </c>
      <c r="D284">
        <v>1</v>
      </c>
    </row>
    <row r="285" spans="1:4">
      <c r="A285">
        <v>279</v>
      </c>
      <c r="B285" s="14">
        <v>912</v>
      </c>
      <c r="C285">
        <v>0</v>
      </c>
      <c r="D285">
        <v>0</v>
      </c>
    </row>
    <row r="286" spans="1:4">
      <c r="A286">
        <v>280</v>
      </c>
      <c r="B286" s="14">
        <v>912</v>
      </c>
      <c r="C286">
        <v>11</v>
      </c>
      <c r="D286">
        <v>1</v>
      </c>
    </row>
    <row r="287" spans="1:4">
      <c r="A287">
        <v>281</v>
      </c>
      <c r="B287" s="14">
        <v>913</v>
      </c>
      <c r="C287">
        <v>0</v>
      </c>
      <c r="D287">
        <v>0</v>
      </c>
    </row>
    <row r="288" spans="1:4">
      <c r="A288">
        <v>282</v>
      </c>
      <c r="B288" s="14">
        <v>913</v>
      </c>
      <c r="C288">
        <v>11.1666666666667</v>
      </c>
      <c r="D288">
        <v>1</v>
      </c>
    </row>
    <row r="289" spans="1:4">
      <c r="A289">
        <v>283</v>
      </c>
      <c r="B289" s="14">
        <v>914</v>
      </c>
      <c r="C289">
        <v>0</v>
      </c>
      <c r="D289">
        <v>0</v>
      </c>
    </row>
    <row r="290" spans="1:4">
      <c r="A290">
        <v>284</v>
      </c>
      <c r="B290" s="14">
        <v>914</v>
      </c>
      <c r="C290">
        <v>13.7333333333333</v>
      </c>
      <c r="D290">
        <v>1</v>
      </c>
    </row>
    <row r="291" spans="1:4">
      <c r="A291">
        <v>285</v>
      </c>
      <c r="B291">
        <v>916</v>
      </c>
      <c r="C291">
        <v>0</v>
      </c>
      <c r="D291">
        <v>0</v>
      </c>
    </row>
    <row r="292" spans="1:4">
      <c r="A292">
        <v>286</v>
      </c>
      <c r="B292">
        <v>916</v>
      </c>
      <c r="C292">
        <f>520/30</f>
        <v>17.3333333333333</v>
      </c>
      <c r="D292">
        <v>1</v>
      </c>
    </row>
    <row r="293" spans="1:4">
      <c r="A293">
        <v>287</v>
      </c>
      <c r="B293">
        <v>923</v>
      </c>
      <c r="C293">
        <v>0</v>
      </c>
      <c r="D293">
        <v>0</v>
      </c>
    </row>
    <row r="294" spans="1:4">
      <c r="A294">
        <v>288</v>
      </c>
      <c r="B294">
        <v>923</v>
      </c>
      <c r="C294">
        <v>7.83333333333333</v>
      </c>
      <c r="D294">
        <v>1</v>
      </c>
    </row>
    <row r="295" spans="1:4">
      <c r="A295">
        <v>289</v>
      </c>
      <c r="B295">
        <v>924</v>
      </c>
      <c r="C295">
        <v>0</v>
      </c>
      <c r="D295">
        <v>0</v>
      </c>
    </row>
    <row r="296" spans="1:4">
      <c r="A296">
        <v>290</v>
      </c>
      <c r="B296">
        <v>924</v>
      </c>
      <c r="C296">
        <f>350/30</f>
        <v>11.6666666666667</v>
      </c>
      <c r="D296">
        <v>1</v>
      </c>
    </row>
    <row r="297" spans="1:4">
      <c r="A297">
        <v>291</v>
      </c>
      <c r="B297">
        <v>925</v>
      </c>
      <c r="C297">
        <v>0</v>
      </c>
      <c r="D297">
        <v>0</v>
      </c>
    </row>
    <row r="298" spans="1:4">
      <c r="A298">
        <v>292</v>
      </c>
      <c r="B298">
        <v>925</v>
      </c>
      <c r="C298">
        <f>450/30</f>
        <v>15</v>
      </c>
      <c r="D298">
        <v>1</v>
      </c>
    </row>
    <row r="299" spans="1:4">
      <c r="A299">
        <v>293</v>
      </c>
      <c r="B299">
        <v>933</v>
      </c>
      <c r="C299">
        <v>0</v>
      </c>
      <c r="D299">
        <v>0</v>
      </c>
    </row>
    <row r="300" spans="1:4">
      <c r="A300">
        <v>294</v>
      </c>
      <c r="B300">
        <v>933</v>
      </c>
      <c r="C300">
        <f>410/30</f>
        <v>13.6666666666667</v>
      </c>
      <c r="D300">
        <v>1</v>
      </c>
    </row>
    <row r="301" spans="1:4">
      <c r="A301">
        <v>295</v>
      </c>
      <c r="B301">
        <v>934</v>
      </c>
      <c r="C301">
        <v>0</v>
      </c>
      <c r="D301">
        <v>0</v>
      </c>
    </row>
    <row r="302" spans="1:4">
      <c r="A302">
        <v>296</v>
      </c>
      <c r="B302">
        <v>934</v>
      </c>
      <c r="C302" s="15">
        <v>12.6666666666667</v>
      </c>
      <c r="D302">
        <v>1</v>
      </c>
    </row>
    <row r="303" spans="1:4">
      <c r="A303">
        <v>297</v>
      </c>
      <c r="B303">
        <v>942</v>
      </c>
      <c r="C303">
        <v>0</v>
      </c>
      <c r="D303">
        <v>0</v>
      </c>
    </row>
    <row r="304" spans="1:4">
      <c r="A304">
        <v>298</v>
      </c>
      <c r="B304">
        <v>942</v>
      </c>
      <c r="C304">
        <v>9.56666666666667</v>
      </c>
      <c r="D304">
        <v>1</v>
      </c>
    </row>
    <row r="305" spans="1:4">
      <c r="A305">
        <v>299</v>
      </c>
      <c r="B305">
        <v>944</v>
      </c>
      <c r="C305">
        <v>0</v>
      </c>
      <c r="D305">
        <v>0</v>
      </c>
    </row>
    <row r="306" spans="1:4">
      <c r="A306">
        <v>300</v>
      </c>
      <c r="B306">
        <v>944</v>
      </c>
      <c r="C306">
        <v>9.56666666666667</v>
      </c>
      <c r="D306">
        <v>1</v>
      </c>
    </row>
    <row r="307" spans="1:4">
      <c r="A307">
        <v>301</v>
      </c>
      <c r="B307">
        <v>943</v>
      </c>
      <c r="C307">
        <v>0</v>
      </c>
      <c r="D307">
        <v>0</v>
      </c>
    </row>
    <row r="308" spans="1:4">
      <c r="A308">
        <v>302</v>
      </c>
      <c r="B308">
        <v>943</v>
      </c>
      <c r="C308" s="16">
        <v>11.3333333333333</v>
      </c>
      <c r="D308">
        <v>1</v>
      </c>
    </row>
    <row r="309" spans="1:4">
      <c r="A309">
        <v>303</v>
      </c>
      <c r="B309">
        <v>941</v>
      </c>
      <c r="C309">
        <v>0</v>
      </c>
      <c r="D309">
        <v>0</v>
      </c>
    </row>
    <row r="310" spans="1:4">
      <c r="A310">
        <v>304</v>
      </c>
      <c r="B310">
        <v>941</v>
      </c>
      <c r="C310">
        <f>400/30</f>
        <v>13.3333333333333</v>
      </c>
      <c r="D310">
        <v>1</v>
      </c>
    </row>
    <row r="311" spans="1:4">
      <c r="A311">
        <v>305</v>
      </c>
      <c r="B311">
        <v>830</v>
      </c>
      <c r="C311">
        <v>0</v>
      </c>
      <c r="D311">
        <v>0</v>
      </c>
    </row>
    <row r="312" spans="1:4">
      <c r="A312">
        <v>306</v>
      </c>
      <c r="B312">
        <v>830</v>
      </c>
      <c r="C312">
        <v>14.9</v>
      </c>
      <c r="D312">
        <v>1</v>
      </c>
    </row>
    <row r="313" spans="1:4">
      <c r="A313">
        <v>307</v>
      </c>
      <c r="B313">
        <v>952</v>
      </c>
      <c r="C313">
        <v>6.6</v>
      </c>
      <c r="D313">
        <v>0</v>
      </c>
    </row>
    <row r="314" spans="1:4">
      <c r="A314">
        <v>308</v>
      </c>
      <c r="B314">
        <v>952</v>
      </c>
      <c r="C314" s="16">
        <f>385/30</f>
        <v>12.8333333333333</v>
      </c>
      <c r="D314">
        <v>1</v>
      </c>
    </row>
    <row r="315" spans="1:4">
      <c r="A315">
        <v>309</v>
      </c>
      <c r="B315">
        <v>953</v>
      </c>
      <c r="C315">
        <v>0</v>
      </c>
      <c r="D315">
        <v>0</v>
      </c>
    </row>
    <row r="316" spans="1:4">
      <c r="A316">
        <v>310</v>
      </c>
      <c r="B316">
        <v>953</v>
      </c>
      <c r="C316">
        <f>560/30</f>
        <v>18.6666666666667</v>
      </c>
      <c r="D316">
        <v>1</v>
      </c>
    </row>
    <row r="317" spans="1:4">
      <c r="A317">
        <v>311</v>
      </c>
      <c r="B317">
        <v>954</v>
      </c>
      <c r="C317">
        <v>0</v>
      </c>
      <c r="D317">
        <v>0</v>
      </c>
    </row>
    <row r="318" spans="1:4">
      <c r="A318">
        <v>312</v>
      </c>
      <c r="B318">
        <v>954</v>
      </c>
      <c r="C318">
        <v>14.5</v>
      </c>
      <c r="D318">
        <v>1</v>
      </c>
    </row>
    <row r="319" spans="1:4">
      <c r="A319">
        <v>313</v>
      </c>
      <c r="B319">
        <v>965</v>
      </c>
      <c r="C319">
        <v>0</v>
      </c>
      <c r="D319">
        <v>0</v>
      </c>
    </row>
    <row r="320" spans="1:4">
      <c r="A320">
        <v>314</v>
      </c>
      <c r="B320">
        <v>965</v>
      </c>
      <c r="C320">
        <f>414/30</f>
        <v>13.8</v>
      </c>
      <c r="D320">
        <v>1</v>
      </c>
    </row>
    <row r="321" spans="1:4">
      <c r="A321">
        <v>315</v>
      </c>
      <c r="B321">
        <v>964</v>
      </c>
      <c r="C321">
        <v>1.5</v>
      </c>
      <c r="D321">
        <v>0</v>
      </c>
    </row>
    <row r="322" spans="1:4">
      <c r="A322">
        <v>316</v>
      </c>
      <c r="B322">
        <v>964</v>
      </c>
      <c r="C322">
        <v>9</v>
      </c>
      <c r="D322">
        <v>1</v>
      </c>
    </row>
    <row r="323" spans="1:4">
      <c r="A323">
        <v>317</v>
      </c>
      <c r="B323">
        <v>966</v>
      </c>
      <c r="C323">
        <v>0</v>
      </c>
      <c r="D323">
        <v>0</v>
      </c>
    </row>
    <row r="324" spans="1:4">
      <c r="A324">
        <v>318</v>
      </c>
      <c r="B324">
        <v>966</v>
      </c>
      <c r="C324">
        <f>350/30</f>
        <v>11.6666666666667</v>
      </c>
      <c r="D324">
        <v>1</v>
      </c>
    </row>
    <row r="325" spans="1:4">
      <c r="A325">
        <v>319</v>
      </c>
      <c r="B325">
        <v>832</v>
      </c>
      <c r="C325">
        <v>0</v>
      </c>
      <c r="D325">
        <v>0</v>
      </c>
    </row>
    <row r="326" spans="1:4">
      <c r="A326">
        <v>320</v>
      </c>
      <c r="B326">
        <v>832</v>
      </c>
      <c r="C326">
        <f>316/30</f>
        <v>10.5333333333333</v>
      </c>
      <c r="D326">
        <v>1</v>
      </c>
    </row>
    <row r="327" spans="1:4">
      <c r="A327">
        <v>321</v>
      </c>
      <c r="B327">
        <v>794</v>
      </c>
      <c r="C327">
        <v>3</v>
      </c>
      <c r="D327">
        <v>0</v>
      </c>
    </row>
    <row r="328" spans="1:4">
      <c r="A328">
        <v>322</v>
      </c>
      <c r="B328">
        <v>794</v>
      </c>
      <c r="C328" s="10">
        <v>6.433333333</v>
      </c>
      <c r="D328">
        <v>1</v>
      </c>
    </row>
    <row r="329" spans="1:4">
      <c r="A329">
        <v>323</v>
      </c>
      <c r="B329">
        <v>996</v>
      </c>
      <c r="C329">
        <v>2.2</v>
      </c>
      <c r="D329">
        <v>0</v>
      </c>
    </row>
    <row r="330" spans="1:4">
      <c r="A330">
        <v>324</v>
      </c>
      <c r="B330">
        <v>996</v>
      </c>
      <c r="C330">
        <f>315/30</f>
        <v>10.5</v>
      </c>
      <c r="D330">
        <v>1</v>
      </c>
    </row>
    <row r="331" spans="1:4">
      <c r="A331">
        <v>325</v>
      </c>
      <c r="B331">
        <v>998</v>
      </c>
      <c r="C331">
        <v>3.4</v>
      </c>
      <c r="D331">
        <v>0</v>
      </c>
    </row>
    <row r="332" spans="1:4">
      <c r="A332">
        <v>326</v>
      </c>
      <c r="B332">
        <v>998</v>
      </c>
      <c r="C332">
        <v>11.5</v>
      </c>
      <c r="D332">
        <v>1</v>
      </c>
    </row>
    <row r="333" spans="1:4">
      <c r="A333">
        <v>327</v>
      </c>
      <c r="B333">
        <v>1002</v>
      </c>
      <c r="C333">
        <v>0</v>
      </c>
      <c r="D333">
        <v>0</v>
      </c>
    </row>
    <row r="334" spans="1:4">
      <c r="A334">
        <v>328</v>
      </c>
      <c r="B334">
        <v>1002</v>
      </c>
      <c r="C334">
        <v>15</v>
      </c>
      <c r="D334">
        <v>1</v>
      </c>
    </row>
    <row r="335" spans="1:4">
      <c r="A335">
        <v>329</v>
      </c>
      <c r="B335">
        <v>1007</v>
      </c>
      <c r="C335">
        <v>0</v>
      </c>
      <c r="D335">
        <v>0</v>
      </c>
    </row>
    <row r="336" spans="1:4">
      <c r="A336">
        <v>330</v>
      </c>
      <c r="B336">
        <v>1007</v>
      </c>
      <c r="C336">
        <v>15</v>
      </c>
      <c r="D336">
        <v>1</v>
      </c>
    </row>
    <row r="337" spans="1:4">
      <c r="A337">
        <v>331</v>
      </c>
      <c r="B337">
        <v>1011</v>
      </c>
      <c r="C337">
        <v>0</v>
      </c>
      <c r="D337">
        <v>0</v>
      </c>
    </row>
    <row r="338" spans="1:4">
      <c r="A338">
        <v>332</v>
      </c>
      <c r="B338">
        <v>1011</v>
      </c>
      <c r="C338">
        <v>15.5</v>
      </c>
      <c r="D338">
        <v>1</v>
      </c>
    </row>
    <row r="339" spans="1:4">
      <c r="A339">
        <v>333</v>
      </c>
      <c r="B339">
        <v>1015</v>
      </c>
      <c r="C339">
        <v>0</v>
      </c>
      <c r="D339">
        <v>0</v>
      </c>
    </row>
    <row r="340" spans="1:4">
      <c r="A340">
        <v>334</v>
      </c>
      <c r="B340">
        <v>1015</v>
      </c>
      <c r="C340">
        <v>14.4</v>
      </c>
      <c r="D340">
        <v>1</v>
      </c>
    </row>
    <row r="341" spans="1:4">
      <c r="A341">
        <v>335</v>
      </c>
      <c r="B341">
        <v>1017</v>
      </c>
      <c r="C341">
        <v>0</v>
      </c>
      <c r="D341">
        <v>0</v>
      </c>
    </row>
    <row r="342" spans="1:4">
      <c r="A342">
        <v>336</v>
      </c>
      <c r="B342">
        <v>1017</v>
      </c>
      <c r="C342">
        <f>308/30</f>
        <v>10.2666666666667</v>
      </c>
      <c r="D342">
        <v>1</v>
      </c>
    </row>
    <row r="343" spans="1:4">
      <c r="A343">
        <v>339</v>
      </c>
      <c r="B343">
        <v>1023</v>
      </c>
      <c r="C343">
        <v>0</v>
      </c>
      <c r="D343">
        <v>0</v>
      </c>
    </row>
    <row r="344" spans="1:4">
      <c r="A344">
        <v>340</v>
      </c>
      <c r="B344">
        <v>1023</v>
      </c>
      <c r="C344" s="10">
        <f>340/30</f>
        <v>11.3333333333333</v>
      </c>
      <c r="D344">
        <v>1</v>
      </c>
    </row>
    <row r="345" spans="1:4">
      <c r="A345">
        <v>341</v>
      </c>
      <c r="B345">
        <v>1024</v>
      </c>
      <c r="C345">
        <v>0</v>
      </c>
      <c r="D345">
        <v>0</v>
      </c>
    </row>
    <row r="346" spans="1:4">
      <c r="A346">
        <v>342</v>
      </c>
      <c r="B346">
        <v>1024</v>
      </c>
      <c r="C346" s="10">
        <f>250/30</f>
        <v>8.33333333333333</v>
      </c>
      <c r="D346">
        <v>1</v>
      </c>
    </row>
    <row r="347" spans="1:4">
      <c r="A347">
        <v>343</v>
      </c>
      <c r="B347">
        <v>1032</v>
      </c>
      <c r="C347">
        <v>0</v>
      </c>
      <c r="D347">
        <v>0</v>
      </c>
    </row>
    <row r="348" spans="1:4">
      <c r="A348">
        <v>344</v>
      </c>
      <c r="B348">
        <v>1032</v>
      </c>
      <c r="C348">
        <f>435/30</f>
        <v>14.5</v>
      </c>
      <c r="D348">
        <v>1</v>
      </c>
    </row>
    <row r="349" spans="1:4">
      <c r="A349">
        <v>345</v>
      </c>
      <c r="B349">
        <v>1033</v>
      </c>
      <c r="C349">
        <v>0</v>
      </c>
      <c r="D349">
        <v>0</v>
      </c>
    </row>
    <row r="350" spans="1:4">
      <c r="A350">
        <v>346</v>
      </c>
      <c r="B350">
        <v>1033</v>
      </c>
      <c r="C350">
        <f>370/30</f>
        <v>12.3333333333333</v>
      </c>
      <c r="D350">
        <v>1</v>
      </c>
    </row>
    <row r="351" spans="1:4">
      <c r="A351">
        <v>347</v>
      </c>
      <c r="B351">
        <v>1034</v>
      </c>
      <c r="C351">
        <v>0</v>
      </c>
      <c r="D351">
        <v>0</v>
      </c>
    </row>
    <row r="352" spans="1:4">
      <c r="A352">
        <v>348</v>
      </c>
      <c r="B352">
        <v>1034</v>
      </c>
      <c r="C352">
        <f>450/30</f>
        <v>15</v>
      </c>
      <c r="D352">
        <v>1</v>
      </c>
    </row>
    <row r="353" spans="1:4">
      <c r="A353">
        <v>349</v>
      </c>
      <c r="B353">
        <v>1035</v>
      </c>
      <c r="C353">
        <v>0</v>
      </c>
      <c r="D353">
        <v>0</v>
      </c>
    </row>
    <row r="354" spans="1:4">
      <c r="A354">
        <v>350</v>
      </c>
      <c r="B354">
        <v>1035</v>
      </c>
      <c r="C354">
        <f>264/30</f>
        <v>8.8</v>
      </c>
      <c r="D354">
        <v>1</v>
      </c>
    </row>
    <row r="355" spans="1:4">
      <c r="A355">
        <v>351</v>
      </c>
      <c r="B355">
        <v>1041</v>
      </c>
      <c r="C355">
        <f>200/30</f>
        <v>6.66666666666667</v>
      </c>
      <c r="D355">
        <v>0</v>
      </c>
    </row>
    <row r="356" spans="1:4">
      <c r="A356">
        <v>352</v>
      </c>
      <c r="B356">
        <v>1041</v>
      </c>
      <c r="C356">
        <f>290/30</f>
        <v>9.66666666666667</v>
      </c>
      <c r="D356">
        <v>1</v>
      </c>
    </row>
    <row r="357" spans="1:4">
      <c r="A357">
        <v>353</v>
      </c>
      <c r="B357">
        <v>1045</v>
      </c>
      <c r="C357">
        <v>0</v>
      </c>
      <c r="D357">
        <v>0</v>
      </c>
    </row>
    <row r="358" spans="1:4">
      <c r="A358">
        <v>354</v>
      </c>
      <c r="B358">
        <v>1045</v>
      </c>
      <c r="C358">
        <f>130/30</f>
        <v>4.33333333333333</v>
      </c>
      <c r="D358">
        <v>1</v>
      </c>
    </row>
    <row r="359" spans="1:4">
      <c r="A359">
        <v>355</v>
      </c>
      <c r="B359">
        <v>1050</v>
      </c>
      <c r="C359">
        <v>0</v>
      </c>
      <c r="D359">
        <v>0</v>
      </c>
    </row>
    <row r="360" spans="1:4">
      <c r="A360">
        <v>356</v>
      </c>
      <c r="B360">
        <v>1050</v>
      </c>
      <c r="C360">
        <f>449/30</f>
        <v>14.9666666666667</v>
      </c>
      <c r="D360">
        <v>1</v>
      </c>
    </row>
    <row r="361" spans="1:4">
      <c r="A361">
        <v>357</v>
      </c>
      <c r="B361">
        <v>1051</v>
      </c>
      <c r="C361">
        <v>0</v>
      </c>
      <c r="D361">
        <v>0</v>
      </c>
    </row>
    <row r="362" spans="1:4">
      <c r="A362">
        <v>358</v>
      </c>
      <c r="B362">
        <v>1051</v>
      </c>
      <c r="C362">
        <f>490/30</f>
        <v>16.3333333333333</v>
      </c>
      <c r="D362">
        <v>1</v>
      </c>
    </row>
    <row r="363" spans="1:4">
      <c r="A363">
        <v>359</v>
      </c>
      <c r="B363">
        <v>1049</v>
      </c>
      <c r="C363">
        <v>0</v>
      </c>
      <c r="D363">
        <v>0</v>
      </c>
    </row>
    <row r="364" spans="1:4">
      <c r="A364">
        <v>360</v>
      </c>
      <c r="B364">
        <v>1049</v>
      </c>
      <c r="C364">
        <f>450/30</f>
        <v>15</v>
      </c>
      <c r="D364">
        <v>1</v>
      </c>
    </row>
    <row r="365" spans="1:4">
      <c r="A365">
        <v>361</v>
      </c>
      <c r="B365">
        <v>1065</v>
      </c>
      <c r="C365">
        <v>0</v>
      </c>
      <c r="D365">
        <v>0</v>
      </c>
    </row>
    <row r="366" spans="1:4">
      <c r="A366">
        <v>362</v>
      </c>
      <c r="B366">
        <v>1065</v>
      </c>
      <c r="C366">
        <f>313/30</f>
        <v>10.4333333333333</v>
      </c>
      <c r="D366">
        <v>1</v>
      </c>
    </row>
    <row r="367" spans="1:4">
      <c r="A367">
        <v>363</v>
      </c>
      <c r="B367">
        <v>1066</v>
      </c>
      <c r="C367">
        <v>0</v>
      </c>
      <c r="D367">
        <v>0</v>
      </c>
    </row>
    <row r="368" spans="1:4">
      <c r="A368">
        <v>364</v>
      </c>
      <c r="B368">
        <v>1066</v>
      </c>
      <c r="C368">
        <f>370/30</f>
        <v>12.3333333333333</v>
      </c>
      <c r="D368">
        <v>1</v>
      </c>
    </row>
    <row r="369" spans="1:4">
      <c r="A369">
        <v>365</v>
      </c>
      <c r="B369">
        <v>1067</v>
      </c>
      <c r="C369">
        <v>0</v>
      </c>
      <c r="D369">
        <v>0</v>
      </c>
    </row>
    <row r="370" spans="1:4">
      <c r="A370">
        <v>366</v>
      </c>
      <c r="B370">
        <v>1067</v>
      </c>
      <c r="C370">
        <f>380/30</f>
        <v>12.6666666666667</v>
      </c>
      <c r="D370">
        <v>1</v>
      </c>
    </row>
    <row r="371" spans="1:4">
      <c r="A371">
        <v>367</v>
      </c>
      <c r="B371">
        <v>1073</v>
      </c>
      <c r="C371">
        <v>0</v>
      </c>
      <c r="D371">
        <v>0</v>
      </c>
    </row>
    <row r="372" spans="1:4">
      <c r="A372">
        <v>368</v>
      </c>
      <c r="B372">
        <v>1073</v>
      </c>
      <c r="C372">
        <f>290/30</f>
        <v>9.66666666666667</v>
      </c>
      <c r="D372">
        <v>1</v>
      </c>
    </row>
    <row r="373" spans="1:4">
      <c r="A373">
        <v>369</v>
      </c>
      <c r="B373">
        <v>1074</v>
      </c>
      <c r="C373">
        <v>0</v>
      </c>
      <c r="D373">
        <v>0</v>
      </c>
    </row>
    <row r="374" spans="1:4">
      <c r="A374">
        <v>370</v>
      </c>
      <c r="B374">
        <v>1074</v>
      </c>
      <c r="C374">
        <f>385/30</f>
        <v>12.8333333333333</v>
      </c>
      <c r="D374">
        <v>1</v>
      </c>
    </row>
    <row r="375" spans="1:4">
      <c r="A375">
        <v>371</v>
      </c>
      <c r="B375">
        <v>1075</v>
      </c>
      <c r="C375">
        <v>0</v>
      </c>
      <c r="D375">
        <v>0</v>
      </c>
    </row>
    <row r="376" spans="1:4">
      <c r="A376">
        <v>372</v>
      </c>
      <c r="B376">
        <v>1075</v>
      </c>
      <c r="C376">
        <v>10</v>
      </c>
      <c r="D376">
        <v>1</v>
      </c>
    </row>
    <row r="377" spans="1:4">
      <c r="A377">
        <v>373</v>
      </c>
      <c r="B377">
        <v>1081</v>
      </c>
      <c r="C377">
        <v>0</v>
      </c>
      <c r="D377">
        <v>0</v>
      </c>
    </row>
    <row r="378" spans="1:4">
      <c r="A378">
        <v>374</v>
      </c>
      <c r="B378">
        <v>1081</v>
      </c>
      <c r="C378">
        <v>9.8</v>
      </c>
      <c r="D378">
        <v>1</v>
      </c>
    </row>
    <row r="379" spans="1:4">
      <c r="A379">
        <v>375</v>
      </c>
      <c r="B379">
        <v>1082</v>
      </c>
      <c r="C379">
        <v>0</v>
      </c>
      <c r="D379">
        <v>0</v>
      </c>
    </row>
    <row r="380" spans="1:4">
      <c r="A380">
        <v>376</v>
      </c>
      <c r="B380">
        <v>1082</v>
      </c>
      <c r="C380">
        <v>10.1333333333333</v>
      </c>
      <c r="D380">
        <v>1</v>
      </c>
    </row>
    <row r="381" spans="1:4">
      <c r="A381">
        <v>377</v>
      </c>
      <c r="B381">
        <v>1083</v>
      </c>
      <c r="C381">
        <v>0</v>
      </c>
      <c r="D381">
        <v>0</v>
      </c>
    </row>
    <row r="382" spans="1:4">
      <c r="A382">
        <v>378</v>
      </c>
      <c r="B382">
        <v>1083</v>
      </c>
      <c r="C382">
        <v>7.63333333333333</v>
      </c>
      <c r="D382">
        <v>1</v>
      </c>
    </row>
    <row r="383" spans="1:4">
      <c r="A383">
        <v>379</v>
      </c>
      <c r="B383">
        <v>1089</v>
      </c>
      <c r="C383">
        <v>0</v>
      </c>
      <c r="D383">
        <v>0</v>
      </c>
    </row>
    <row r="384" spans="1:4">
      <c r="A384">
        <v>380</v>
      </c>
      <c r="B384">
        <v>1089</v>
      </c>
      <c r="C384">
        <f>460/30</f>
        <v>15.3333333333333</v>
      </c>
      <c r="D384">
        <v>1</v>
      </c>
    </row>
    <row r="385" spans="1:4">
      <c r="A385">
        <v>381</v>
      </c>
      <c r="B385">
        <v>1090</v>
      </c>
      <c r="C385">
        <v>0</v>
      </c>
      <c r="D385">
        <v>0</v>
      </c>
    </row>
    <row r="386" spans="1:4">
      <c r="A386">
        <v>382</v>
      </c>
      <c r="B386">
        <v>1090</v>
      </c>
      <c r="C386">
        <v>11</v>
      </c>
      <c r="D386">
        <v>1</v>
      </c>
    </row>
    <row r="387" spans="1:4">
      <c r="A387">
        <v>383</v>
      </c>
      <c r="B387">
        <v>1091</v>
      </c>
      <c r="C387">
        <v>0</v>
      </c>
      <c r="D387">
        <v>0</v>
      </c>
    </row>
    <row r="388" spans="1:4">
      <c r="A388">
        <v>384</v>
      </c>
      <c r="B388">
        <v>1091</v>
      </c>
      <c r="C388">
        <v>19.0666666666667</v>
      </c>
      <c r="D388">
        <v>1</v>
      </c>
    </row>
    <row r="389" spans="1:4">
      <c r="A389">
        <v>385</v>
      </c>
      <c r="B389">
        <v>1097</v>
      </c>
      <c r="C389">
        <v>0</v>
      </c>
      <c r="D389">
        <v>0</v>
      </c>
    </row>
    <row r="390" spans="1:4">
      <c r="A390">
        <v>386</v>
      </c>
      <c r="B390">
        <v>1097</v>
      </c>
      <c r="C390">
        <f>450/30</f>
        <v>15</v>
      </c>
      <c r="D390">
        <v>1</v>
      </c>
    </row>
    <row r="391" spans="1:4">
      <c r="A391">
        <v>387</v>
      </c>
      <c r="B391">
        <v>1098</v>
      </c>
      <c r="C391">
        <v>0</v>
      </c>
      <c r="D391">
        <v>0</v>
      </c>
    </row>
    <row r="392" spans="1:4">
      <c r="A392">
        <v>388</v>
      </c>
      <c r="B392">
        <v>1098</v>
      </c>
      <c r="C392">
        <f>450/30</f>
        <v>15</v>
      </c>
      <c r="D392">
        <v>1</v>
      </c>
    </row>
    <row r="393" spans="1:4">
      <c r="A393">
        <v>389</v>
      </c>
      <c r="B393">
        <v>1099</v>
      </c>
      <c r="C393">
        <v>0</v>
      </c>
      <c r="D393">
        <v>0</v>
      </c>
    </row>
    <row r="394" spans="1:4">
      <c r="A394">
        <v>390</v>
      </c>
      <c r="B394">
        <v>1099</v>
      </c>
      <c r="C394">
        <f>325/30</f>
        <v>10.8333333333333</v>
      </c>
      <c r="D394">
        <v>1</v>
      </c>
    </row>
    <row r="395" spans="1:4">
      <c r="A395">
        <v>391</v>
      </c>
      <c r="B395" s="17">
        <v>1103</v>
      </c>
      <c r="C395">
        <v>0</v>
      </c>
      <c r="D395">
        <v>0</v>
      </c>
    </row>
    <row r="396" spans="1:4">
      <c r="A396">
        <v>392</v>
      </c>
      <c r="B396" s="17">
        <v>1103</v>
      </c>
      <c r="C396" s="18">
        <v>5</v>
      </c>
      <c r="D396">
        <v>1</v>
      </c>
    </row>
    <row r="397" spans="1:4">
      <c r="A397">
        <v>393</v>
      </c>
      <c r="B397" s="17">
        <v>1105</v>
      </c>
      <c r="C397">
        <v>0</v>
      </c>
      <c r="D397">
        <v>0</v>
      </c>
    </row>
    <row r="398" spans="1:4">
      <c r="A398">
        <v>394</v>
      </c>
      <c r="B398" s="17">
        <v>1105</v>
      </c>
      <c r="C398" s="18">
        <f>507/30</f>
        <v>16.9</v>
      </c>
      <c r="D398">
        <v>1</v>
      </c>
    </row>
    <row r="399" spans="1:4">
      <c r="A399">
        <v>395</v>
      </c>
      <c r="B399" s="17">
        <v>1106</v>
      </c>
      <c r="C399">
        <v>0</v>
      </c>
      <c r="D399">
        <v>0</v>
      </c>
    </row>
    <row r="400" spans="1:4">
      <c r="A400">
        <v>396</v>
      </c>
      <c r="B400" s="17">
        <v>1106</v>
      </c>
      <c r="C400" s="18">
        <v>15</v>
      </c>
      <c r="D400">
        <v>1</v>
      </c>
    </row>
    <row r="401" spans="1:4">
      <c r="A401">
        <v>397</v>
      </c>
      <c r="B401" s="17">
        <v>1107</v>
      </c>
      <c r="C401">
        <v>0</v>
      </c>
      <c r="D401">
        <v>0</v>
      </c>
    </row>
    <row r="402" spans="1:4">
      <c r="A402">
        <v>398</v>
      </c>
      <c r="B402" s="17">
        <v>1107</v>
      </c>
      <c r="C402" s="18">
        <v>15.6666666666667</v>
      </c>
      <c r="D402">
        <v>1</v>
      </c>
    </row>
    <row r="403" spans="1:4">
      <c r="A403">
        <v>399</v>
      </c>
      <c r="B403">
        <v>1117</v>
      </c>
      <c r="C403">
        <v>0</v>
      </c>
      <c r="D403">
        <v>0</v>
      </c>
    </row>
    <row r="404" spans="1:4">
      <c r="A404">
        <v>400</v>
      </c>
      <c r="B404">
        <v>1117</v>
      </c>
      <c r="C404" s="18">
        <v>16</v>
      </c>
      <c r="D404">
        <v>1</v>
      </c>
    </row>
    <row r="405" spans="1:4">
      <c r="A405">
        <v>401</v>
      </c>
      <c r="B405">
        <v>1120</v>
      </c>
      <c r="C405">
        <v>0</v>
      </c>
      <c r="D405">
        <v>0</v>
      </c>
    </row>
    <row r="406" customFormat="1" spans="1:4">
      <c r="A406">
        <v>402</v>
      </c>
      <c r="B406">
        <v>1120</v>
      </c>
      <c r="C406">
        <f>291/30</f>
        <v>9.7</v>
      </c>
      <c r="D406">
        <v>1</v>
      </c>
    </row>
    <row r="407" customFormat="1" spans="1:4">
      <c r="A407">
        <v>403</v>
      </c>
      <c r="B407" s="19">
        <v>1126</v>
      </c>
      <c r="C407">
        <v>0</v>
      </c>
      <c r="D407">
        <v>0</v>
      </c>
    </row>
    <row r="408" customFormat="1" spans="1:4">
      <c r="A408">
        <v>404</v>
      </c>
      <c r="B408" s="19">
        <v>1126</v>
      </c>
      <c r="C408">
        <f>294/30</f>
        <v>9.8</v>
      </c>
      <c r="D408">
        <v>1</v>
      </c>
    </row>
    <row r="409" customFormat="1" spans="1:4">
      <c r="A409">
        <v>405</v>
      </c>
      <c r="B409" s="19">
        <v>1127</v>
      </c>
      <c r="C409">
        <v>0</v>
      </c>
      <c r="D409">
        <v>0</v>
      </c>
    </row>
    <row r="410" customFormat="1" spans="1:4">
      <c r="A410">
        <v>406</v>
      </c>
      <c r="B410" s="19">
        <v>1127</v>
      </c>
      <c r="C410">
        <f>404/30</f>
        <v>13.4666666666667</v>
      </c>
      <c r="D410">
        <v>1</v>
      </c>
    </row>
    <row r="411" customFormat="1" spans="1:4">
      <c r="A411">
        <v>407</v>
      </c>
      <c r="B411" s="19">
        <v>1128</v>
      </c>
      <c r="C411">
        <v>0</v>
      </c>
      <c r="D411">
        <v>0</v>
      </c>
    </row>
    <row r="412" customFormat="1" spans="1:4">
      <c r="A412">
        <v>408</v>
      </c>
      <c r="B412" s="19">
        <v>1128</v>
      </c>
      <c r="C412">
        <f>440/30</f>
        <v>14.6666666666667</v>
      </c>
      <c r="D412">
        <v>1</v>
      </c>
    </row>
    <row r="413" customFormat="1" spans="1:4">
      <c r="A413">
        <v>409</v>
      </c>
      <c r="B413" s="19">
        <v>1134</v>
      </c>
      <c r="C413">
        <v>0</v>
      </c>
      <c r="D413">
        <v>0</v>
      </c>
    </row>
    <row r="414" customFormat="1" spans="1:4">
      <c r="A414">
        <v>410</v>
      </c>
      <c r="B414" s="19">
        <v>1134</v>
      </c>
      <c r="C414">
        <v>14.3333333333333</v>
      </c>
      <c r="D414">
        <v>1</v>
      </c>
    </row>
    <row r="415" customFormat="1" spans="1:4">
      <c r="A415">
        <v>411</v>
      </c>
      <c r="B415" s="19">
        <v>1136</v>
      </c>
      <c r="C415">
        <v>0</v>
      </c>
      <c r="D415">
        <v>0</v>
      </c>
    </row>
    <row r="416" customFormat="1" spans="1:4">
      <c r="A416">
        <v>412</v>
      </c>
      <c r="B416" s="19">
        <v>1136</v>
      </c>
      <c r="C416">
        <v>16.2</v>
      </c>
      <c r="D416">
        <v>1</v>
      </c>
    </row>
    <row r="417" customFormat="1" spans="1:4">
      <c r="A417">
        <v>413</v>
      </c>
      <c r="B417">
        <v>1139</v>
      </c>
      <c r="C417">
        <v>0</v>
      </c>
      <c r="D417">
        <v>0</v>
      </c>
    </row>
    <row r="418" customFormat="1" spans="1:4">
      <c r="A418">
        <v>414</v>
      </c>
      <c r="B418">
        <v>1139</v>
      </c>
      <c r="C418">
        <f>400/30</f>
        <v>13.3333333333333</v>
      </c>
      <c r="D418">
        <v>1</v>
      </c>
    </row>
    <row r="419" s="2" customFormat="1" spans="1:4">
      <c r="A419" s="2">
        <v>415</v>
      </c>
      <c r="B419" s="2">
        <v>1143</v>
      </c>
      <c r="C419" s="2">
        <v>0</v>
      </c>
      <c r="D419" s="2">
        <v>0</v>
      </c>
    </row>
    <row r="420" s="2" customFormat="1" spans="1:4">
      <c r="A420" s="2">
        <v>416</v>
      </c>
      <c r="B420" s="2">
        <v>1143</v>
      </c>
      <c r="C420" s="2">
        <f>450/30</f>
        <v>15</v>
      </c>
      <c r="D420" s="2">
        <v>1</v>
      </c>
    </row>
    <row r="421" s="2" customFormat="1" spans="1:4">
      <c r="A421" s="2">
        <v>417</v>
      </c>
      <c r="B421" s="2">
        <v>1146</v>
      </c>
      <c r="C421" s="2">
        <v>0</v>
      </c>
      <c r="D421" s="2">
        <v>0</v>
      </c>
    </row>
    <row r="422" s="2" customFormat="1" spans="1:4">
      <c r="A422" s="2">
        <v>418</v>
      </c>
      <c r="B422" s="2">
        <v>1146</v>
      </c>
      <c r="C422" s="2">
        <f>468/30</f>
        <v>15.6</v>
      </c>
      <c r="D422" s="2">
        <v>1</v>
      </c>
    </row>
    <row r="423" s="2" customFormat="1" spans="1:4">
      <c r="A423" s="2">
        <v>419</v>
      </c>
      <c r="B423" s="2">
        <v>1147</v>
      </c>
      <c r="C423" s="2">
        <v>0</v>
      </c>
      <c r="D423" s="2">
        <v>0</v>
      </c>
    </row>
    <row r="424" s="2" customFormat="1" spans="1:4">
      <c r="A424" s="2">
        <v>420</v>
      </c>
      <c r="B424" s="2">
        <v>1147</v>
      </c>
      <c r="C424" s="2">
        <f>450/30</f>
        <v>15</v>
      </c>
      <c r="D424" s="2">
        <v>1</v>
      </c>
    </row>
    <row r="425" spans="1:4">
      <c r="A425" s="2">
        <v>421</v>
      </c>
      <c r="B425">
        <v>1152</v>
      </c>
      <c r="C425">
        <v>0</v>
      </c>
      <c r="D425">
        <v>0</v>
      </c>
    </row>
    <row r="426" spans="1:4">
      <c r="A426" s="2">
        <v>422</v>
      </c>
      <c r="B426">
        <v>1152</v>
      </c>
      <c r="C426" s="20">
        <f>380/30</f>
        <v>12.6666666666667</v>
      </c>
      <c r="D426">
        <v>1</v>
      </c>
    </row>
    <row r="427" spans="1:4">
      <c r="A427" s="2">
        <v>423</v>
      </c>
      <c r="B427">
        <v>1153</v>
      </c>
      <c r="C427">
        <v>0</v>
      </c>
      <c r="D427">
        <v>0</v>
      </c>
    </row>
    <row r="428" spans="1:4">
      <c r="A428" s="2">
        <v>424</v>
      </c>
      <c r="B428">
        <v>1153</v>
      </c>
      <c r="C428" s="20">
        <f>270/30</f>
        <v>9</v>
      </c>
      <c r="D428">
        <v>1</v>
      </c>
    </row>
    <row r="429" spans="1:4">
      <c r="A429" s="2">
        <v>425</v>
      </c>
      <c r="B429">
        <v>1159</v>
      </c>
      <c r="C429">
        <v>0</v>
      </c>
      <c r="D429">
        <v>0</v>
      </c>
    </row>
    <row r="430" spans="1:4">
      <c r="A430" s="2">
        <v>426</v>
      </c>
      <c r="B430">
        <v>1159</v>
      </c>
      <c r="C430" s="10">
        <f>300/30</f>
        <v>10</v>
      </c>
      <c r="D430">
        <v>1</v>
      </c>
    </row>
    <row r="431" spans="1:4">
      <c r="A431" s="2">
        <v>427</v>
      </c>
      <c r="B431">
        <v>1166</v>
      </c>
      <c r="C431">
        <v>10.56667</v>
      </c>
      <c r="D431">
        <v>1</v>
      </c>
    </row>
    <row r="432" spans="1:4">
      <c r="A432" s="2">
        <v>428</v>
      </c>
      <c r="B432">
        <v>1166</v>
      </c>
      <c r="C432">
        <v>0</v>
      </c>
      <c r="D432">
        <v>0</v>
      </c>
    </row>
    <row r="433" spans="1:4">
      <c r="A433" s="2">
        <v>429</v>
      </c>
      <c r="B433">
        <v>1167</v>
      </c>
      <c r="C433">
        <v>13.2</v>
      </c>
      <c r="D433">
        <v>1</v>
      </c>
    </row>
    <row r="434" spans="1:4">
      <c r="A434" s="2">
        <v>430</v>
      </c>
      <c r="B434">
        <v>1167</v>
      </c>
      <c r="C434">
        <v>0</v>
      </c>
      <c r="D434">
        <v>0</v>
      </c>
    </row>
    <row r="435" spans="1:4">
      <c r="A435" s="2">
        <v>431</v>
      </c>
      <c r="B435">
        <v>1168</v>
      </c>
      <c r="C435">
        <v>10.6667</v>
      </c>
      <c r="D435">
        <v>1</v>
      </c>
    </row>
    <row r="436" spans="1:4">
      <c r="A436" s="2">
        <v>432</v>
      </c>
      <c r="B436">
        <v>1168</v>
      </c>
      <c r="C436">
        <v>0</v>
      </c>
      <c r="D436">
        <v>0</v>
      </c>
    </row>
    <row r="437" spans="1:4">
      <c r="A437" s="2">
        <v>433</v>
      </c>
      <c r="B437" s="21">
        <v>1174</v>
      </c>
      <c r="C437" s="2">
        <v>0</v>
      </c>
      <c r="D437" s="2">
        <v>0</v>
      </c>
    </row>
    <row r="438" spans="1:4">
      <c r="A438" s="2">
        <v>434</v>
      </c>
      <c r="B438" s="21">
        <v>1174</v>
      </c>
      <c r="C438" s="21">
        <f>240/30</f>
        <v>8</v>
      </c>
      <c r="D438" s="2">
        <v>1</v>
      </c>
    </row>
    <row r="439" spans="1:4">
      <c r="A439" s="2">
        <v>435</v>
      </c>
      <c r="B439" s="21">
        <v>1175</v>
      </c>
      <c r="C439" s="2">
        <v>0</v>
      </c>
      <c r="D439" s="2">
        <v>0</v>
      </c>
    </row>
    <row r="440" spans="1:4">
      <c r="A440" s="2">
        <v>436</v>
      </c>
      <c r="B440" s="21">
        <v>1175</v>
      </c>
      <c r="C440" s="21">
        <f>400/30</f>
        <v>13.3333333333333</v>
      </c>
      <c r="D440" s="2">
        <v>1</v>
      </c>
    </row>
    <row r="441" spans="1:4">
      <c r="A441" s="2">
        <v>437</v>
      </c>
      <c r="B441" s="21">
        <v>1176</v>
      </c>
      <c r="C441" s="2">
        <v>0</v>
      </c>
      <c r="D441" s="2">
        <v>0</v>
      </c>
    </row>
    <row r="442" spans="1:4">
      <c r="A442" s="2">
        <v>438</v>
      </c>
      <c r="B442" s="21">
        <v>1176</v>
      </c>
      <c r="C442" s="21">
        <f>360/30</f>
        <v>12</v>
      </c>
      <c r="D442" s="2">
        <v>1</v>
      </c>
    </row>
    <row r="443" spans="1:4">
      <c r="A443" s="2">
        <v>439</v>
      </c>
      <c r="B443">
        <v>1177</v>
      </c>
      <c r="C443" s="2">
        <v>0</v>
      </c>
      <c r="D443" s="2">
        <v>0</v>
      </c>
    </row>
    <row r="444" spans="1:4">
      <c r="A444" s="2">
        <v>440</v>
      </c>
      <c r="B444">
        <v>1177</v>
      </c>
      <c r="C444" s="22">
        <v>8.03333333333333</v>
      </c>
      <c r="D444" s="2">
        <v>1</v>
      </c>
    </row>
    <row r="445" spans="1:4">
      <c r="A445" s="2">
        <v>441</v>
      </c>
      <c r="B445">
        <v>1183</v>
      </c>
      <c r="C445">
        <v>0</v>
      </c>
      <c r="D445">
        <v>0</v>
      </c>
    </row>
    <row r="446" spans="1:4">
      <c r="A446" s="2">
        <v>442</v>
      </c>
      <c r="B446">
        <v>1183</v>
      </c>
      <c r="C446" s="23">
        <v>14.8666666666667</v>
      </c>
      <c r="D446">
        <v>1</v>
      </c>
    </row>
    <row r="447" spans="1:4">
      <c r="A447" s="2">
        <v>443</v>
      </c>
      <c r="B447">
        <v>1184</v>
      </c>
      <c r="C447">
        <v>0</v>
      </c>
      <c r="D447">
        <v>0</v>
      </c>
    </row>
    <row r="448" spans="1:4">
      <c r="A448" s="2">
        <v>444</v>
      </c>
      <c r="B448">
        <v>1184</v>
      </c>
      <c r="C448" s="23">
        <v>15</v>
      </c>
      <c r="D448">
        <v>1</v>
      </c>
    </row>
    <row r="449" spans="1:4">
      <c r="A449" s="2">
        <v>445</v>
      </c>
      <c r="B449">
        <v>1188</v>
      </c>
      <c r="C449">
        <v>0</v>
      </c>
      <c r="D449">
        <v>0</v>
      </c>
    </row>
    <row r="450" spans="1:4">
      <c r="A450" s="2">
        <v>446</v>
      </c>
      <c r="B450">
        <v>1188</v>
      </c>
      <c r="C450" s="23">
        <v>9.33333333333333</v>
      </c>
      <c r="D450">
        <v>1</v>
      </c>
    </row>
    <row r="451" spans="1:4">
      <c r="A451" s="2">
        <v>447</v>
      </c>
      <c r="B451" s="10">
        <v>1194</v>
      </c>
      <c r="C451">
        <v>0</v>
      </c>
      <c r="D451">
        <v>0</v>
      </c>
    </row>
    <row r="452" spans="1:4">
      <c r="A452" s="2">
        <v>448</v>
      </c>
      <c r="B452" s="10">
        <v>1194</v>
      </c>
      <c r="C452" s="10">
        <v>10.1666666666667</v>
      </c>
      <c r="D452">
        <v>1</v>
      </c>
    </row>
    <row r="453" spans="1:4">
      <c r="A453" s="2">
        <v>449</v>
      </c>
      <c r="B453" s="10">
        <v>1195</v>
      </c>
      <c r="C453">
        <v>0</v>
      </c>
      <c r="D453">
        <v>0</v>
      </c>
    </row>
    <row r="454" spans="1:4">
      <c r="A454" s="2">
        <v>450</v>
      </c>
      <c r="B454" s="10">
        <v>1195</v>
      </c>
      <c r="C454" s="10">
        <v>9.66666666666667</v>
      </c>
      <c r="D454">
        <v>1</v>
      </c>
    </row>
    <row r="455" spans="1:4">
      <c r="A455" s="2">
        <v>451</v>
      </c>
      <c r="B455" s="10">
        <v>1196</v>
      </c>
      <c r="C455">
        <v>0</v>
      </c>
      <c r="D455">
        <v>0</v>
      </c>
    </row>
    <row r="456" spans="1:4">
      <c r="A456" s="2">
        <v>452</v>
      </c>
      <c r="B456" s="10">
        <v>1196</v>
      </c>
      <c r="C456" s="10">
        <v>13.0333333333333</v>
      </c>
      <c r="D456">
        <v>1</v>
      </c>
    </row>
    <row r="457" spans="1:4">
      <c r="A457" s="2">
        <v>453</v>
      </c>
      <c r="B457">
        <v>1197</v>
      </c>
      <c r="C457">
        <f t="shared" ref="C457:C461" si="17">470/30</f>
        <v>15.6666666666667</v>
      </c>
      <c r="D457">
        <v>1</v>
      </c>
    </row>
    <row r="458" spans="1:4">
      <c r="A458" s="2">
        <v>454</v>
      </c>
      <c r="B458">
        <v>1197</v>
      </c>
      <c r="C458">
        <v>0</v>
      </c>
      <c r="D458">
        <v>0</v>
      </c>
    </row>
    <row r="459" spans="1:4">
      <c r="A459" s="2">
        <v>455</v>
      </c>
      <c r="B459">
        <v>1198</v>
      </c>
      <c r="C459">
        <f t="shared" si="17"/>
        <v>15.6666666666667</v>
      </c>
      <c r="D459">
        <v>1</v>
      </c>
    </row>
    <row r="460" spans="1:4">
      <c r="A460" s="2">
        <v>456</v>
      </c>
      <c r="B460">
        <v>1198</v>
      </c>
      <c r="C460">
        <v>0</v>
      </c>
      <c r="D460">
        <v>0</v>
      </c>
    </row>
    <row r="461" spans="1:4">
      <c r="A461" s="2">
        <v>457</v>
      </c>
      <c r="B461">
        <v>1204</v>
      </c>
      <c r="C461">
        <v>10.0333333</v>
      </c>
      <c r="D461">
        <v>1</v>
      </c>
    </row>
    <row r="462" spans="1:4">
      <c r="A462" s="2">
        <v>458</v>
      </c>
      <c r="B462">
        <v>1204</v>
      </c>
      <c r="C462">
        <v>0</v>
      </c>
      <c r="D462">
        <v>0</v>
      </c>
    </row>
    <row r="463" spans="1:4">
      <c r="A463" s="2">
        <v>459</v>
      </c>
      <c r="B463">
        <v>1205</v>
      </c>
      <c r="C463">
        <v>13.933333</v>
      </c>
      <c r="D463">
        <v>1</v>
      </c>
    </row>
    <row r="464" spans="1:4">
      <c r="A464" s="2">
        <v>460</v>
      </c>
      <c r="B464">
        <v>1205</v>
      </c>
      <c r="C464">
        <v>0</v>
      </c>
      <c r="D464">
        <v>0</v>
      </c>
    </row>
    <row r="465" spans="1:4">
      <c r="A465" s="2">
        <v>461</v>
      </c>
      <c r="B465">
        <v>1206</v>
      </c>
      <c r="C465">
        <v>11.333333</v>
      </c>
      <c r="D465">
        <v>1</v>
      </c>
    </row>
    <row r="466" spans="1:4">
      <c r="A466" s="2">
        <v>462</v>
      </c>
      <c r="B466">
        <v>1206</v>
      </c>
      <c r="C466">
        <v>0</v>
      </c>
      <c r="D466">
        <v>0</v>
      </c>
    </row>
    <row r="467" spans="1:4">
      <c r="A467" s="2">
        <v>463</v>
      </c>
      <c r="B467">
        <v>1212</v>
      </c>
      <c r="C467">
        <v>12.43333</v>
      </c>
      <c r="D467">
        <v>1</v>
      </c>
    </row>
    <row r="468" spans="1:4">
      <c r="A468" s="2">
        <v>464</v>
      </c>
      <c r="B468">
        <v>1212</v>
      </c>
      <c r="C468">
        <v>0</v>
      </c>
      <c r="D468">
        <v>0</v>
      </c>
    </row>
    <row r="469" spans="1:4">
      <c r="A469" s="2">
        <v>465</v>
      </c>
      <c r="B469">
        <v>1213</v>
      </c>
      <c r="C469">
        <v>12</v>
      </c>
      <c r="D469">
        <v>1</v>
      </c>
    </row>
    <row r="470" spans="1:4">
      <c r="A470" s="2">
        <v>466</v>
      </c>
      <c r="B470">
        <v>1213</v>
      </c>
      <c r="C470">
        <v>0</v>
      </c>
      <c r="D470">
        <v>0</v>
      </c>
    </row>
    <row r="471" spans="1:4">
      <c r="A471" s="2">
        <v>467</v>
      </c>
      <c r="B471">
        <v>1214</v>
      </c>
      <c r="C471">
        <v>9.033333</v>
      </c>
      <c r="D471">
        <v>1</v>
      </c>
    </row>
    <row r="472" spans="1:4">
      <c r="A472" s="2">
        <v>468</v>
      </c>
      <c r="B472">
        <v>1214</v>
      </c>
      <c r="C472">
        <v>0</v>
      </c>
      <c r="D472">
        <v>0</v>
      </c>
    </row>
    <row r="473" spans="1:4">
      <c r="A473" s="2">
        <v>469</v>
      </c>
      <c r="B473" s="16">
        <v>1216</v>
      </c>
      <c r="C473" s="16">
        <v>0</v>
      </c>
      <c r="D473" s="16">
        <v>0</v>
      </c>
    </row>
    <row r="474" spans="1:4">
      <c r="A474" s="2">
        <v>470</v>
      </c>
      <c r="B474" s="16">
        <v>1216</v>
      </c>
      <c r="C474" s="16">
        <v>3.8</v>
      </c>
      <c r="D474" s="16">
        <v>1</v>
      </c>
    </row>
    <row r="475" spans="1:4">
      <c r="A475" s="2">
        <v>471</v>
      </c>
      <c r="B475" s="16">
        <v>1220</v>
      </c>
      <c r="C475" s="16">
        <v>0</v>
      </c>
      <c r="D475" s="16">
        <v>0</v>
      </c>
    </row>
    <row r="476" spans="1:4">
      <c r="A476" s="2">
        <v>472</v>
      </c>
      <c r="B476" s="16">
        <v>1220</v>
      </c>
      <c r="C476" s="16">
        <v>10.7</v>
      </c>
      <c r="D476" s="16">
        <v>1</v>
      </c>
    </row>
    <row r="477" spans="1:4">
      <c r="A477" s="2">
        <v>473</v>
      </c>
      <c r="B477" s="16">
        <v>1221</v>
      </c>
      <c r="C477" s="16">
        <v>0</v>
      </c>
      <c r="D477" s="16">
        <v>0</v>
      </c>
    </row>
    <row r="478" spans="1:4">
      <c r="A478" s="2">
        <v>474</v>
      </c>
      <c r="B478" s="16">
        <v>1221</v>
      </c>
      <c r="C478" s="16">
        <v>10.3333333333333</v>
      </c>
      <c r="D478" s="16">
        <v>1</v>
      </c>
    </row>
    <row r="479" spans="1:4">
      <c r="A479" s="2">
        <v>475</v>
      </c>
      <c r="B479" s="16">
        <v>1222</v>
      </c>
      <c r="C479" s="16">
        <v>0</v>
      </c>
      <c r="D479" s="16">
        <v>0</v>
      </c>
    </row>
    <row r="480" spans="1:4">
      <c r="A480" s="2">
        <v>476</v>
      </c>
      <c r="B480" s="16">
        <v>1222</v>
      </c>
      <c r="C480" s="16">
        <v>10.8666666666667</v>
      </c>
      <c r="D480" s="16">
        <v>1</v>
      </c>
    </row>
    <row r="481" spans="1:4">
      <c r="A481" s="2">
        <v>477</v>
      </c>
      <c r="B481" s="24">
        <v>1223</v>
      </c>
      <c r="C481" s="24">
        <v>0</v>
      </c>
      <c r="D481" s="24">
        <v>0</v>
      </c>
    </row>
    <row r="482" spans="1:4">
      <c r="A482" s="2">
        <v>478</v>
      </c>
      <c r="B482" s="24">
        <v>1223</v>
      </c>
      <c r="C482" s="24">
        <v>3.8</v>
      </c>
      <c r="D482" s="24">
        <v>1</v>
      </c>
    </row>
    <row r="483" spans="1:4">
      <c r="A483" s="2">
        <v>479</v>
      </c>
      <c r="B483" s="24">
        <v>1227</v>
      </c>
      <c r="C483" s="24">
        <v>0</v>
      </c>
      <c r="D483" s="24">
        <v>0</v>
      </c>
    </row>
    <row r="484" spans="1:4">
      <c r="A484" s="2">
        <v>480</v>
      </c>
      <c r="B484" s="24">
        <v>1227</v>
      </c>
      <c r="C484" s="24">
        <v>10.7</v>
      </c>
      <c r="D484" s="24">
        <v>1</v>
      </c>
    </row>
    <row r="485" spans="1:4">
      <c r="A485" s="2">
        <v>481</v>
      </c>
      <c r="B485" s="24">
        <v>1228</v>
      </c>
      <c r="C485" s="24">
        <v>0</v>
      </c>
      <c r="D485" s="24">
        <v>0</v>
      </c>
    </row>
    <row r="486" spans="1:4">
      <c r="A486" s="2">
        <v>482</v>
      </c>
      <c r="B486" s="24">
        <v>1228</v>
      </c>
      <c r="C486" s="24">
        <v>10.8666666666667</v>
      </c>
      <c r="D486" s="24">
        <v>1</v>
      </c>
    </row>
    <row r="487" spans="1:4">
      <c r="A487" s="2">
        <v>483</v>
      </c>
      <c r="B487">
        <v>1234</v>
      </c>
      <c r="C487" s="24">
        <v>0</v>
      </c>
      <c r="D487" s="24">
        <v>0</v>
      </c>
    </row>
    <row r="488" spans="1:5">
      <c r="A488" s="2">
        <v>484</v>
      </c>
      <c r="B488">
        <v>1234</v>
      </c>
      <c r="C488" s="25">
        <f>368/30</f>
        <v>12.2666666666667</v>
      </c>
      <c r="D488">
        <v>1</v>
      </c>
      <c r="E488" s="25"/>
    </row>
    <row r="489" spans="1:5">
      <c r="A489" s="2">
        <v>485</v>
      </c>
      <c r="B489">
        <v>1235</v>
      </c>
      <c r="C489" s="24">
        <v>0</v>
      </c>
      <c r="D489" s="24">
        <v>0</v>
      </c>
      <c r="E489" s="25"/>
    </row>
    <row r="490" spans="1:5">
      <c r="A490" s="2">
        <v>486</v>
      </c>
      <c r="B490">
        <v>1235</v>
      </c>
      <c r="C490" s="25">
        <f>323/30</f>
        <v>10.7666666666667</v>
      </c>
      <c r="D490">
        <v>1</v>
      </c>
      <c r="E490" s="25"/>
    </row>
    <row r="491" spans="1:4">
      <c r="A491" s="2">
        <v>487</v>
      </c>
      <c r="B491">
        <v>1236</v>
      </c>
      <c r="C491" s="24">
        <v>0</v>
      </c>
      <c r="D491" s="24">
        <v>0</v>
      </c>
    </row>
    <row r="492" spans="1:4">
      <c r="A492" s="2">
        <v>488</v>
      </c>
      <c r="B492">
        <v>1236</v>
      </c>
      <c r="C492" s="25">
        <f>388/30</f>
        <v>12.9333333333333</v>
      </c>
      <c r="D492">
        <v>1</v>
      </c>
    </row>
    <row r="493" customFormat="1" spans="1:4">
      <c r="A493" s="2">
        <v>489</v>
      </c>
      <c r="B493">
        <v>1239</v>
      </c>
      <c r="C493" s="24">
        <v>0</v>
      </c>
      <c r="D493" s="24">
        <v>0</v>
      </c>
    </row>
    <row r="494" customFormat="1" spans="1:4">
      <c r="A494" s="2">
        <v>490</v>
      </c>
      <c r="B494">
        <v>1239</v>
      </c>
      <c r="C494" s="25">
        <f>510/30</f>
        <v>17</v>
      </c>
      <c r="D494">
        <v>1</v>
      </c>
    </row>
    <row r="495" customFormat="1" spans="1:4">
      <c r="A495" s="2">
        <v>491</v>
      </c>
      <c r="B495">
        <v>1245</v>
      </c>
      <c r="C495" s="24">
        <v>0</v>
      </c>
      <c r="D495" s="24">
        <v>0</v>
      </c>
    </row>
    <row r="496" customFormat="1" spans="1:4">
      <c r="A496" s="2">
        <v>492</v>
      </c>
      <c r="B496">
        <v>1245</v>
      </c>
      <c r="C496" s="25">
        <f>258/30</f>
        <v>8.6</v>
      </c>
      <c r="D496">
        <v>1</v>
      </c>
    </row>
    <row r="497" customFormat="1" spans="1:4">
      <c r="A497" s="2">
        <v>493</v>
      </c>
      <c r="B497">
        <v>1246</v>
      </c>
      <c r="C497" s="24">
        <v>0</v>
      </c>
      <c r="D497" s="24">
        <v>0</v>
      </c>
    </row>
    <row r="498" customFormat="1" spans="1:4">
      <c r="A498" s="2">
        <v>494</v>
      </c>
      <c r="B498">
        <v>1246</v>
      </c>
      <c r="C498" s="25">
        <f>390/30</f>
        <v>13</v>
      </c>
      <c r="D498">
        <v>1</v>
      </c>
    </row>
    <row r="499" customFormat="1" spans="1:4">
      <c r="A499" s="2">
        <v>495</v>
      </c>
      <c r="B499">
        <v>1247</v>
      </c>
      <c r="C499" s="24">
        <v>0</v>
      </c>
      <c r="D499" s="24">
        <v>0</v>
      </c>
    </row>
    <row r="500" customFormat="1" spans="1:4">
      <c r="A500" s="2">
        <v>496</v>
      </c>
      <c r="B500">
        <v>1247</v>
      </c>
      <c r="C500" s="25">
        <f>376/30</f>
        <v>12.5333333333333</v>
      </c>
      <c r="D500">
        <v>1</v>
      </c>
    </row>
    <row r="501" customFormat="1" spans="1:4">
      <c r="A501" s="2">
        <v>497</v>
      </c>
      <c r="B501">
        <v>1248</v>
      </c>
      <c r="C501" s="24">
        <v>0</v>
      </c>
      <c r="D501" s="24">
        <v>0</v>
      </c>
    </row>
    <row r="502" customFormat="1" spans="1:4">
      <c r="A502" s="2">
        <v>498</v>
      </c>
      <c r="B502">
        <v>1248</v>
      </c>
      <c r="C502" s="25">
        <f>258/30</f>
        <v>8.6</v>
      </c>
      <c r="D502">
        <v>1</v>
      </c>
    </row>
    <row r="503" customFormat="1" spans="1:4">
      <c r="A503" s="2">
        <v>499</v>
      </c>
      <c r="B503">
        <v>1251</v>
      </c>
      <c r="C503" s="24">
        <v>0</v>
      </c>
      <c r="D503" s="24">
        <v>0</v>
      </c>
    </row>
    <row r="504" customFormat="1" spans="1:4">
      <c r="A504" s="2">
        <v>500</v>
      </c>
      <c r="B504">
        <v>1251</v>
      </c>
      <c r="C504" s="1">
        <f>296/30</f>
        <v>9.86666666666667</v>
      </c>
      <c r="D504">
        <v>1</v>
      </c>
    </row>
    <row r="505" spans="1:6">
      <c r="A505" s="2">
        <v>501</v>
      </c>
      <c r="B505" s="1">
        <v>10726</v>
      </c>
      <c r="C505" s="1">
        <v>3.3</v>
      </c>
      <c r="D505" s="1">
        <v>0</v>
      </c>
      <c r="E505" s="1"/>
      <c r="F505" s="1" t="s">
        <v>17</v>
      </c>
    </row>
    <row r="506" spans="1:6">
      <c r="A506" s="2">
        <v>502</v>
      </c>
      <c r="B506" s="1">
        <v>10726</v>
      </c>
      <c r="C506" s="1">
        <v>13.6</v>
      </c>
      <c r="D506" s="1">
        <v>1</v>
      </c>
      <c r="E506" s="1"/>
      <c r="F506" s="1" t="s">
        <v>17</v>
      </c>
    </row>
    <row r="507" customFormat="1" spans="1:4">
      <c r="A507" s="2">
        <v>503</v>
      </c>
      <c r="B507">
        <v>1257</v>
      </c>
      <c r="C507" s="24">
        <v>0</v>
      </c>
      <c r="D507" s="24">
        <v>0</v>
      </c>
    </row>
    <row r="508" customFormat="1" spans="1:4">
      <c r="A508" s="2">
        <v>504</v>
      </c>
      <c r="B508">
        <v>1257</v>
      </c>
      <c r="C508" s="19">
        <f>310/30</f>
        <v>10.3333333333333</v>
      </c>
      <c r="D508">
        <v>1</v>
      </c>
    </row>
    <row r="509" customFormat="1" spans="1:4">
      <c r="A509" s="2">
        <v>505</v>
      </c>
      <c r="B509">
        <v>1258</v>
      </c>
      <c r="C509" s="24">
        <v>0</v>
      </c>
      <c r="D509" s="24">
        <v>0</v>
      </c>
    </row>
    <row r="510" customFormat="1" spans="1:4">
      <c r="A510" s="2">
        <v>506</v>
      </c>
      <c r="B510">
        <v>1258</v>
      </c>
      <c r="C510" s="19">
        <f>366/30</f>
        <v>12.2</v>
      </c>
      <c r="D510">
        <v>1</v>
      </c>
    </row>
    <row r="511" customFormat="1" spans="1:4">
      <c r="A511" s="2">
        <v>507</v>
      </c>
      <c r="B511">
        <v>1259</v>
      </c>
      <c r="C511" s="24">
        <v>0</v>
      </c>
      <c r="D511" s="24">
        <v>0</v>
      </c>
    </row>
    <row r="512" customFormat="1" spans="1:4">
      <c r="A512" s="2">
        <v>508</v>
      </c>
      <c r="B512">
        <v>1259</v>
      </c>
      <c r="C512" s="19">
        <f>308/30</f>
        <v>10.2666666666667</v>
      </c>
      <c r="D512">
        <v>1</v>
      </c>
    </row>
    <row r="513" customFormat="1" spans="1:4">
      <c r="A513" s="2">
        <v>509</v>
      </c>
      <c r="B513">
        <v>1265</v>
      </c>
      <c r="C513" s="24">
        <v>0</v>
      </c>
      <c r="D513" s="24">
        <v>0</v>
      </c>
    </row>
    <row r="514" customFormat="1" spans="1:4">
      <c r="A514" s="2">
        <v>510</v>
      </c>
      <c r="B514">
        <v>1265</v>
      </c>
      <c r="C514" s="26">
        <f>329/30</f>
        <v>10.9666666666667</v>
      </c>
      <c r="D514">
        <v>1</v>
      </c>
    </row>
    <row r="515" customFormat="1" spans="1:4">
      <c r="A515" s="2">
        <v>511</v>
      </c>
      <c r="B515">
        <v>1266</v>
      </c>
      <c r="C515" s="24">
        <v>0</v>
      </c>
      <c r="D515" s="24">
        <v>0</v>
      </c>
    </row>
    <row r="516" customFormat="1" spans="1:4">
      <c r="A516" s="2">
        <v>512</v>
      </c>
      <c r="B516">
        <v>1266</v>
      </c>
      <c r="C516" s="26">
        <f>265/30</f>
        <v>8.83333333333333</v>
      </c>
      <c r="D516">
        <v>1</v>
      </c>
    </row>
    <row r="517" customFormat="1" spans="1:4">
      <c r="A517" s="2">
        <v>513</v>
      </c>
      <c r="B517">
        <v>1267</v>
      </c>
      <c r="C517" s="24">
        <v>0</v>
      </c>
      <c r="D517" s="24">
        <v>0</v>
      </c>
    </row>
    <row r="518" customFormat="1" spans="1:4">
      <c r="A518" s="2">
        <v>514</v>
      </c>
      <c r="B518">
        <v>1267</v>
      </c>
      <c r="C518" s="26">
        <f>243/30</f>
        <v>8.1</v>
      </c>
      <c r="D518">
        <v>1</v>
      </c>
    </row>
    <row r="519" customFormat="1" spans="1:4">
      <c r="A519" s="2">
        <v>515</v>
      </c>
      <c r="B519">
        <v>1268</v>
      </c>
      <c r="C519" s="24">
        <v>0</v>
      </c>
      <c r="D519" s="24">
        <v>0</v>
      </c>
    </row>
    <row r="520" customFormat="1" spans="1:4">
      <c r="A520" s="2">
        <v>516</v>
      </c>
      <c r="B520">
        <v>1268</v>
      </c>
      <c r="C520" s="26">
        <f>457/30</f>
        <v>15.2333333333333</v>
      </c>
      <c r="D520">
        <v>1</v>
      </c>
    </row>
    <row r="521" customFormat="1" spans="1:4">
      <c r="A521" s="2">
        <v>517</v>
      </c>
      <c r="B521">
        <v>1272</v>
      </c>
      <c r="C521" s="24">
        <v>0</v>
      </c>
      <c r="D521" s="24">
        <v>0</v>
      </c>
    </row>
    <row r="522" customFormat="1" spans="1:4">
      <c r="A522" s="2">
        <v>518</v>
      </c>
      <c r="B522">
        <v>1272</v>
      </c>
      <c r="C522" s="1">
        <f>306/30</f>
        <v>10.2</v>
      </c>
      <c r="D522">
        <v>1</v>
      </c>
    </row>
    <row r="523" s="3" customFormat="1" spans="1:4">
      <c r="A523" s="3">
        <v>519</v>
      </c>
      <c r="B523" s="3">
        <v>1276</v>
      </c>
      <c r="C523" s="3">
        <f>42/30</f>
        <v>1.4</v>
      </c>
      <c r="D523" s="3">
        <v>0</v>
      </c>
    </row>
    <row r="524" s="3" customFormat="1" spans="1:4">
      <c r="A524" s="3">
        <v>520</v>
      </c>
      <c r="B524" s="3">
        <v>1276</v>
      </c>
      <c r="C524" s="3">
        <f>470/30</f>
        <v>15.6666666666667</v>
      </c>
      <c r="D524" s="3">
        <v>1</v>
      </c>
    </row>
    <row r="525" s="3" customFormat="1" spans="1:4">
      <c r="A525" s="3">
        <v>521</v>
      </c>
      <c r="B525" s="3">
        <v>1279</v>
      </c>
      <c r="C525" s="3">
        <v>0</v>
      </c>
      <c r="D525" s="3">
        <v>0</v>
      </c>
    </row>
    <row r="526" s="3" customFormat="1" spans="1:4">
      <c r="A526" s="3">
        <v>522</v>
      </c>
      <c r="B526" s="3">
        <v>1279</v>
      </c>
      <c r="C526" s="3">
        <f>460/30</f>
        <v>15.3333333333333</v>
      </c>
      <c r="D526" s="3">
        <v>1</v>
      </c>
    </row>
    <row r="527" s="3" customFormat="1" spans="1:4">
      <c r="A527" s="3">
        <v>523</v>
      </c>
      <c r="B527" s="3">
        <v>1282</v>
      </c>
      <c r="C527" s="3">
        <v>0</v>
      </c>
      <c r="D527" s="3">
        <v>0</v>
      </c>
    </row>
    <row r="528" s="3" customFormat="1" spans="1:4">
      <c r="A528" s="3">
        <v>524</v>
      </c>
      <c r="B528" s="3">
        <v>1282</v>
      </c>
      <c r="C528" s="3">
        <f>334/30</f>
        <v>11.1333333333333</v>
      </c>
      <c r="D528" s="3">
        <v>1</v>
      </c>
    </row>
    <row r="529" s="3" customFormat="1" spans="1:4">
      <c r="A529" s="3">
        <v>525</v>
      </c>
      <c r="B529" s="3">
        <v>1283</v>
      </c>
      <c r="C529" s="3">
        <v>0</v>
      </c>
      <c r="D529" s="3">
        <v>0</v>
      </c>
    </row>
    <row r="530" s="3" customFormat="1" spans="1:4">
      <c r="A530" s="3">
        <v>526</v>
      </c>
      <c r="B530" s="3">
        <v>1283</v>
      </c>
      <c r="C530" s="3">
        <f>460/30</f>
        <v>15.3333333333333</v>
      </c>
      <c r="D530" s="3">
        <v>1</v>
      </c>
    </row>
    <row r="531" s="3" customFormat="1" spans="1:4">
      <c r="A531" s="3">
        <v>527</v>
      </c>
      <c r="B531" s="3">
        <v>1286</v>
      </c>
      <c r="C531" s="3">
        <v>0</v>
      </c>
      <c r="D531" s="3">
        <v>0</v>
      </c>
    </row>
    <row r="532" s="3" customFormat="1" spans="1:4">
      <c r="A532" s="3">
        <v>528</v>
      </c>
      <c r="B532" s="3">
        <v>1286</v>
      </c>
      <c r="C532" s="3">
        <f>220/30</f>
        <v>7.33333333333333</v>
      </c>
      <c r="D532" s="3">
        <v>1</v>
      </c>
    </row>
    <row r="533" s="3" customFormat="1" spans="1:4">
      <c r="A533" s="3">
        <v>529</v>
      </c>
      <c r="B533" s="3">
        <v>1287</v>
      </c>
      <c r="C533" s="3">
        <v>0</v>
      </c>
      <c r="D533" s="3">
        <v>0</v>
      </c>
    </row>
    <row r="534" s="3" customFormat="1" spans="1:4">
      <c r="A534" s="3">
        <v>530</v>
      </c>
      <c r="B534" s="3">
        <v>1287</v>
      </c>
      <c r="C534" s="3">
        <v>6.5</v>
      </c>
      <c r="D534" s="3">
        <v>1</v>
      </c>
    </row>
    <row r="535" s="1" customFormat="1" spans="1:4">
      <c r="A535" s="1">
        <v>531</v>
      </c>
      <c r="B535" s="1">
        <v>1298</v>
      </c>
      <c r="C535" s="1">
        <v>0</v>
      </c>
      <c r="D535" s="1">
        <v>0</v>
      </c>
    </row>
    <row r="536" s="1" customFormat="1" spans="1:4">
      <c r="A536" s="1">
        <v>532</v>
      </c>
      <c r="B536" s="1">
        <v>1298</v>
      </c>
      <c r="C536" s="27">
        <v>11.0333333333333</v>
      </c>
      <c r="D536" s="1">
        <v>1</v>
      </c>
    </row>
    <row r="537" customFormat="1" spans="1:4">
      <c r="A537">
        <f>A536+1</f>
        <v>533</v>
      </c>
      <c r="B537" s="6">
        <v>10748</v>
      </c>
      <c r="C537">
        <f>125/30</f>
        <v>4.16666666666667</v>
      </c>
      <c r="D537">
        <v>0</v>
      </c>
    </row>
    <row r="538" customFormat="1" spans="1:4">
      <c r="A538">
        <f t="shared" ref="A538:A547" si="18">A537+1</f>
        <v>534</v>
      </c>
      <c r="B538" s="28">
        <v>1304</v>
      </c>
      <c r="C538" s="1">
        <v>0</v>
      </c>
      <c r="D538" s="1">
        <v>0</v>
      </c>
    </row>
    <row r="539" spans="1:4">
      <c r="A539">
        <f t="shared" si="18"/>
        <v>535</v>
      </c>
      <c r="B539" s="28">
        <v>1304</v>
      </c>
      <c r="C539" s="27">
        <v>11.4</v>
      </c>
      <c r="D539" s="1">
        <v>1</v>
      </c>
    </row>
    <row r="540" spans="1:4">
      <c r="A540">
        <f t="shared" si="18"/>
        <v>536</v>
      </c>
      <c r="B540" s="28">
        <v>1305</v>
      </c>
      <c r="C540" s="1">
        <v>0</v>
      </c>
      <c r="D540" s="1">
        <v>0</v>
      </c>
    </row>
    <row r="541" spans="1:4">
      <c r="A541">
        <f t="shared" si="18"/>
        <v>537</v>
      </c>
      <c r="B541" s="28">
        <v>1305</v>
      </c>
      <c r="C541" s="27">
        <v>8.2</v>
      </c>
      <c r="D541" s="1">
        <v>1</v>
      </c>
    </row>
    <row r="542" spans="1:4">
      <c r="A542">
        <f t="shared" si="18"/>
        <v>538</v>
      </c>
      <c r="B542" s="28">
        <v>1306</v>
      </c>
      <c r="C542" s="1">
        <v>0</v>
      </c>
      <c r="D542" s="1">
        <v>0</v>
      </c>
    </row>
    <row r="543" spans="1:4">
      <c r="A543">
        <f t="shared" si="18"/>
        <v>539</v>
      </c>
      <c r="B543" s="28">
        <v>1306</v>
      </c>
      <c r="C543" s="27">
        <v>7.66666666666667</v>
      </c>
      <c r="D543" s="1">
        <v>1</v>
      </c>
    </row>
    <row r="544" customFormat="1" spans="1:4">
      <c r="A544">
        <f t="shared" si="18"/>
        <v>540</v>
      </c>
      <c r="B544" s="28">
        <v>1310</v>
      </c>
      <c r="C544" s="1">
        <f>40/30</f>
        <v>1.33333333333333</v>
      </c>
      <c r="D544" s="1">
        <v>0</v>
      </c>
    </row>
    <row r="545" customFormat="1" spans="1:4">
      <c r="A545">
        <f t="shared" si="18"/>
        <v>541</v>
      </c>
      <c r="B545" s="28">
        <v>1310</v>
      </c>
      <c r="C545" s="29">
        <f>305/30</f>
        <v>10.1666666666667</v>
      </c>
      <c r="D545" s="1">
        <v>1</v>
      </c>
    </row>
    <row r="546" customFormat="1" spans="1:4">
      <c r="A546">
        <f t="shared" si="18"/>
        <v>542</v>
      </c>
      <c r="B546" s="30">
        <v>1314</v>
      </c>
      <c r="C546" s="16">
        <v>0</v>
      </c>
      <c r="D546" s="16">
        <v>0</v>
      </c>
    </row>
    <row r="547" customFormat="1" spans="1:4">
      <c r="A547">
        <f t="shared" si="18"/>
        <v>543</v>
      </c>
      <c r="B547" s="30">
        <v>1314</v>
      </c>
      <c r="C547" s="30">
        <v>13.1</v>
      </c>
      <c r="D547" s="16">
        <v>1</v>
      </c>
    </row>
    <row r="548" customFormat="1" spans="1:4">
      <c r="A548">
        <f t="shared" ref="A548:A563" si="19">A547+1</f>
        <v>544</v>
      </c>
      <c r="B548" s="30">
        <v>1315</v>
      </c>
      <c r="C548" s="16">
        <v>0</v>
      </c>
      <c r="D548" s="16">
        <v>0</v>
      </c>
    </row>
    <row r="549" customFormat="1" spans="1:4">
      <c r="A549">
        <f t="shared" si="19"/>
        <v>545</v>
      </c>
      <c r="B549" s="30">
        <v>1315</v>
      </c>
      <c r="C549" s="30">
        <v>6.267</v>
      </c>
      <c r="D549" s="16">
        <v>1</v>
      </c>
    </row>
    <row r="550" customFormat="1" spans="1:4">
      <c r="A550">
        <f t="shared" si="19"/>
        <v>546</v>
      </c>
      <c r="B550" s="30">
        <v>1319</v>
      </c>
      <c r="C550" s="16">
        <v>0</v>
      </c>
      <c r="D550" s="16">
        <v>0</v>
      </c>
    </row>
    <row r="551" customFormat="1" spans="1:4">
      <c r="A551">
        <f t="shared" si="19"/>
        <v>547</v>
      </c>
      <c r="B551" s="30">
        <v>1319</v>
      </c>
      <c r="C551" s="30">
        <v>6.3</v>
      </c>
      <c r="D551" s="16">
        <v>1</v>
      </c>
    </row>
    <row r="552" customFormat="1" spans="1:4">
      <c r="A552">
        <f t="shared" si="19"/>
        <v>548</v>
      </c>
      <c r="B552" s="28">
        <v>1320</v>
      </c>
      <c r="C552" s="1">
        <v>0</v>
      </c>
      <c r="D552" s="1">
        <v>0</v>
      </c>
    </row>
    <row r="553" customFormat="1" spans="1:4">
      <c r="A553">
        <f t="shared" si="19"/>
        <v>549</v>
      </c>
      <c r="B553" s="28">
        <v>1320</v>
      </c>
      <c r="C553" s="27">
        <v>4.233</v>
      </c>
      <c r="D553" s="1">
        <v>1</v>
      </c>
    </row>
    <row r="554" customFormat="1" spans="1:4">
      <c r="A554">
        <f t="shared" si="19"/>
        <v>550</v>
      </c>
      <c r="B554" s="28">
        <v>1321</v>
      </c>
      <c r="C554" s="1">
        <v>0</v>
      </c>
      <c r="D554" s="1">
        <v>0</v>
      </c>
    </row>
    <row r="555" customFormat="1" spans="1:4">
      <c r="A555">
        <f t="shared" si="19"/>
        <v>551</v>
      </c>
      <c r="B555" s="28">
        <v>1321</v>
      </c>
      <c r="C555" s="29">
        <v>7.767</v>
      </c>
      <c r="D555" s="1">
        <v>1</v>
      </c>
    </row>
    <row r="556" spans="1:4">
      <c r="A556">
        <f t="shared" si="19"/>
        <v>552</v>
      </c>
      <c r="B556" s="29">
        <v>1324</v>
      </c>
      <c r="C556" s="1">
        <v>0</v>
      </c>
      <c r="D556" s="1">
        <v>0</v>
      </c>
    </row>
    <row r="557" spans="1:4">
      <c r="A557">
        <f t="shared" si="19"/>
        <v>553</v>
      </c>
      <c r="B557" s="29">
        <v>1324</v>
      </c>
      <c r="C557" s="1">
        <f>406/30</f>
        <v>13.5333333333333</v>
      </c>
      <c r="D557" s="1">
        <v>1</v>
      </c>
    </row>
    <row r="558" spans="1:4">
      <c r="A558">
        <f t="shared" si="19"/>
        <v>554</v>
      </c>
      <c r="B558" s="31">
        <v>1329</v>
      </c>
      <c r="C558" s="31">
        <v>0</v>
      </c>
      <c r="D558" s="31">
        <v>0</v>
      </c>
    </row>
    <row r="559" spans="1:4">
      <c r="A559">
        <f t="shared" si="19"/>
        <v>555</v>
      </c>
      <c r="B559" s="31">
        <v>1329</v>
      </c>
      <c r="C559" s="32">
        <v>11.666667</v>
      </c>
      <c r="D559" s="31">
        <v>1</v>
      </c>
    </row>
    <row r="560" spans="1:4">
      <c r="A560">
        <f t="shared" si="19"/>
        <v>556</v>
      </c>
      <c r="B560" s="32">
        <v>1331</v>
      </c>
      <c r="C560" s="31">
        <v>0</v>
      </c>
      <c r="D560" s="31">
        <v>0</v>
      </c>
    </row>
    <row r="561" spans="1:4">
      <c r="A561">
        <f t="shared" si="19"/>
        <v>557</v>
      </c>
      <c r="B561" s="32">
        <v>1331</v>
      </c>
      <c r="C561" s="32">
        <v>12</v>
      </c>
      <c r="D561" s="31">
        <v>1</v>
      </c>
    </row>
    <row r="562" spans="1:4">
      <c r="A562">
        <f t="shared" si="19"/>
        <v>558</v>
      </c>
      <c r="B562" s="31">
        <v>1333</v>
      </c>
      <c r="C562" s="31">
        <v>0</v>
      </c>
      <c r="D562" s="31">
        <v>0</v>
      </c>
    </row>
    <row r="563" spans="1:4">
      <c r="A563">
        <f t="shared" ref="A563:A613" si="20">A562+1</f>
        <v>559</v>
      </c>
      <c r="B563" s="31">
        <v>1333</v>
      </c>
      <c r="C563" s="32">
        <v>8.33333333333333</v>
      </c>
      <c r="D563" s="31">
        <v>1</v>
      </c>
    </row>
    <row r="564" spans="1:4">
      <c r="A564">
        <f t="shared" si="20"/>
        <v>560</v>
      </c>
      <c r="B564" s="33">
        <v>1334</v>
      </c>
      <c r="C564" s="1">
        <v>0</v>
      </c>
      <c r="D564" s="1">
        <v>0</v>
      </c>
    </row>
    <row r="565" spans="1:4">
      <c r="A565">
        <f t="shared" si="20"/>
        <v>561</v>
      </c>
      <c r="B565" s="33">
        <v>1334</v>
      </c>
      <c r="C565" s="30">
        <f>375/30</f>
        <v>12.5</v>
      </c>
      <c r="D565" s="1">
        <v>1</v>
      </c>
    </row>
    <row r="566" spans="1:4">
      <c r="A566">
        <f t="shared" si="20"/>
        <v>562</v>
      </c>
      <c r="B566" s="33">
        <v>1335</v>
      </c>
      <c r="C566" s="1">
        <v>0</v>
      </c>
      <c r="D566" s="1">
        <v>0</v>
      </c>
    </row>
    <row r="567" spans="1:4">
      <c r="A567">
        <f t="shared" si="20"/>
        <v>563</v>
      </c>
      <c r="B567" s="33">
        <v>1335</v>
      </c>
      <c r="C567" s="30">
        <f>403/30</f>
        <v>13.4333333333333</v>
      </c>
      <c r="D567" s="1">
        <v>1</v>
      </c>
    </row>
    <row r="568" spans="1:4">
      <c r="A568">
        <f t="shared" si="20"/>
        <v>564</v>
      </c>
      <c r="B568" s="33">
        <v>1336</v>
      </c>
      <c r="C568" s="1">
        <v>0</v>
      </c>
      <c r="D568" s="1">
        <v>0</v>
      </c>
    </row>
    <row r="569" spans="1:4">
      <c r="A569">
        <f t="shared" si="20"/>
        <v>565</v>
      </c>
      <c r="B569" s="33">
        <v>1336</v>
      </c>
      <c r="C569" s="30">
        <f>480/30</f>
        <v>16</v>
      </c>
      <c r="D569" s="1">
        <v>1</v>
      </c>
    </row>
    <row r="570" spans="1:4">
      <c r="A570">
        <f t="shared" si="20"/>
        <v>566</v>
      </c>
      <c r="B570" s="10">
        <v>1340</v>
      </c>
      <c r="C570" s="10">
        <v>0</v>
      </c>
      <c r="D570" s="10">
        <v>0</v>
      </c>
    </row>
    <row r="571" spans="1:4">
      <c r="A571">
        <f t="shared" si="20"/>
        <v>567</v>
      </c>
      <c r="B571" s="10">
        <v>1340</v>
      </c>
      <c r="C571" s="34">
        <v>6.03333333333333</v>
      </c>
      <c r="D571" s="10">
        <v>1</v>
      </c>
    </row>
    <row r="572" spans="1:4">
      <c r="A572">
        <f t="shared" si="20"/>
        <v>568</v>
      </c>
      <c r="B572" s="10">
        <v>1341</v>
      </c>
      <c r="C572" s="10">
        <v>0</v>
      </c>
      <c r="D572" s="10">
        <v>0</v>
      </c>
    </row>
    <row r="573" spans="1:4">
      <c r="A573">
        <f t="shared" si="20"/>
        <v>569</v>
      </c>
      <c r="B573" s="10">
        <v>1341</v>
      </c>
      <c r="C573" s="34">
        <v>10</v>
      </c>
      <c r="D573" s="10">
        <v>1</v>
      </c>
    </row>
    <row r="574" spans="1:4">
      <c r="A574">
        <f t="shared" si="20"/>
        <v>570</v>
      </c>
      <c r="B574" s="10">
        <v>1345</v>
      </c>
      <c r="C574" s="10">
        <v>0</v>
      </c>
      <c r="D574" s="10">
        <v>0</v>
      </c>
    </row>
    <row r="575" spans="1:4">
      <c r="A575">
        <f t="shared" si="20"/>
        <v>571</v>
      </c>
      <c r="B575" s="10">
        <v>1345</v>
      </c>
      <c r="C575" s="34">
        <v>5.33333333333333</v>
      </c>
      <c r="D575" s="10">
        <v>1</v>
      </c>
    </row>
    <row r="576" spans="1:4">
      <c r="A576">
        <f t="shared" si="20"/>
        <v>572</v>
      </c>
      <c r="B576" s="10">
        <v>1346</v>
      </c>
      <c r="C576" s="10">
        <v>0</v>
      </c>
      <c r="D576" s="10">
        <v>0</v>
      </c>
    </row>
    <row r="577" spans="1:4">
      <c r="A577">
        <f t="shared" si="20"/>
        <v>573</v>
      </c>
      <c r="B577" s="10">
        <v>1346</v>
      </c>
      <c r="C577" s="34">
        <v>9.8</v>
      </c>
      <c r="D577" s="10">
        <v>1</v>
      </c>
    </row>
    <row r="578" spans="1:4">
      <c r="A578">
        <f t="shared" si="20"/>
        <v>574</v>
      </c>
      <c r="B578" s="10">
        <v>1347</v>
      </c>
      <c r="C578" s="10">
        <v>0</v>
      </c>
      <c r="D578" s="10">
        <v>0</v>
      </c>
    </row>
    <row r="579" spans="1:4">
      <c r="A579">
        <f t="shared" si="20"/>
        <v>575</v>
      </c>
      <c r="B579" s="10">
        <v>1347</v>
      </c>
      <c r="C579" s="34">
        <v>15.6666666666667</v>
      </c>
      <c r="D579" s="10">
        <v>1</v>
      </c>
    </row>
    <row r="580" spans="1:4">
      <c r="A580">
        <f t="shared" si="20"/>
        <v>576</v>
      </c>
      <c r="B580" s="10">
        <v>1348</v>
      </c>
      <c r="C580" s="10">
        <v>0</v>
      </c>
      <c r="D580" s="10">
        <v>0</v>
      </c>
    </row>
    <row r="581" spans="1:4">
      <c r="A581">
        <f t="shared" si="20"/>
        <v>577</v>
      </c>
      <c r="B581" s="10">
        <v>1348</v>
      </c>
      <c r="C581" s="34">
        <v>10.1</v>
      </c>
      <c r="D581" s="10">
        <v>1</v>
      </c>
    </row>
    <row r="582" spans="1:4">
      <c r="A582">
        <f t="shared" si="20"/>
        <v>578</v>
      </c>
      <c r="B582" s="10">
        <v>1349</v>
      </c>
      <c r="C582" s="10">
        <v>0</v>
      </c>
      <c r="D582" s="10">
        <v>0</v>
      </c>
    </row>
    <row r="583" spans="1:4">
      <c r="A583">
        <f t="shared" si="20"/>
        <v>579</v>
      </c>
      <c r="B583" s="10">
        <v>1349</v>
      </c>
      <c r="C583" s="34">
        <v>5.83333333333333</v>
      </c>
      <c r="D583" s="10">
        <v>1</v>
      </c>
    </row>
    <row r="584" spans="1:4">
      <c r="A584">
        <f t="shared" si="20"/>
        <v>580</v>
      </c>
      <c r="B584" s="10">
        <v>1350</v>
      </c>
      <c r="C584" s="10">
        <v>0</v>
      </c>
      <c r="D584" s="10">
        <v>0</v>
      </c>
    </row>
    <row r="585" spans="1:4">
      <c r="A585">
        <f t="shared" si="20"/>
        <v>581</v>
      </c>
      <c r="B585" s="10">
        <v>1350</v>
      </c>
      <c r="C585" s="34">
        <v>2</v>
      </c>
      <c r="D585" s="10">
        <v>1</v>
      </c>
    </row>
    <row r="586" spans="1:4">
      <c r="A586">
        <f t="shared" si="20"/>
        <v>582</v>
      </c>
      <c r="B586" s="29">
        <v>1353</v>
      </c>
      <c r="C586" s="29">
        <v>0</v>
      </c>
      <c r="D586" s="29">
        <v>0</v>
      </c>
    </row>
    <row r="587" spans="1:4">
      <c r="A587">
        <f t="shared" si="20"/>
        <v>583</v>
      </c>
      <c r="B587" s="29">
        <v>1353</v>
      </c>
      <c r="C587" s="30">
        <v>14</v>
      </c>
      <c r="D587" s="29">
        <v>1</v>
      </c>
    </row>
    <row r="588" spans="1:4">
      <c r="A588">
        <f t="shared" si="20"/>
        <v>584</v>
      </c>
      <c r="B588" s="29">
        <v>1354</v>
      </c>
      <c r="C588" s="29">
        <v>0</v>
      </c>
      <c r="D588" s="29">
        <v>0</v>
      </c>
    </row>
    <row r="589" spans="1:4">
      <c r="A589">
        <f t="shared" si="20"/>
        <v>585</v>
      </c>
      <c r="B589" s="29">
        <v>1354</v>
      </c>
      <c r="C589" s="30">
        <v>14</v>
      </c>
      <c r="D589" s="29">
        <v>1</v>
      </c>
    </row>
    <row r="590" customFormat="1" spans="1:4">
      <c r="A590">
        <f t="shared" si="20"/>
        <v>586</v>
      </c>
      <c r="B590" s="10">
        <v>1363</v>
      </c>
      <c r="C590" s="10">
        <v>0</v>
      </c>
      <c r="D590" s="10">
        <v>0</v>
      </c>
    </row>
    <row r="591" customFormat="1" spans="1:4">
      <c r="A591">
        <f t="shared" si="20"/>
        <v>587</v>
      </c>
      <c r="B591" s="10">
        <v>1363</v>
      </c>
      <c r="C591" s="34">
        <v>15</v>
      </c>
      <c r="D591" s="10">
        <v>1</v>
      </c>
    </row>
    <row r="592" customFormat="1" spans="1:4">
      <c r="A592">
        <f t="shared" si="20"/>
        <v>588</v>
      </c>
      <c r="B592" s="10">
        <v>1363</v>
      </c>
      <c r="C592" s="10">
        <v>0</v>
      </c>
      <c r="D592" s="10">
        <v>0</v>
      </c>
    </row>
    <row r="593" customFormat="1" spans="1:4">
      <c r="A593">
        <f t="shared" si="20"/>
        <v>589</v>
      </c>
      <c r="B593" s="10">
        <v>1363</v>
      </c>
      <c r="C593" s="34">
        <v>15</v>
      </c>
      <c r="D593" s="10">
        <v>1</v>
      </c>
    </row>
    <row r="594" customFormat="1" spans="1:4">
      <c r="A594">
        <f t="shared" si="20"/>
        <v>590</v>
      </c>
      <c r="B594" s="29">
        <v>1364</v>
      </c>
      <c r="C594" s="29">
        <v>0</v>
      </c>
      <c r="D594" s="29">
        <v>0</v>
      </c>
    </row>
    <row r="595" customFormat="1" spans="1:4">
      <c r="A595">
        <f t="shared" si="20"/>
        <v>591</v>
      </c>
      <c r="B595" s="29">
        <v>1364</v>
      </c>
      <c r="C595" s="30">
        <v>7.8</v>
      </c>
      <c r="D595" s="29">
        <v>1</v>
      </c>
    </row>
    <row r="596" customFormat="1" spans="1:4">
      <c r="A596">
        <f t="shared" si="20"/>
        <v>592</v>
      </c>
      <c r="B596" s="29">
        <v>1364</v>
      </c>
      <c r="C596" s="29">
        <v>0</v>
      </c>
      <c r="D596" s="29">
        <v>0</v>
      </c>
    </row>
    <row r="597" customFormat="1" spans="1:4">
      <c r="A597">
        <f t="shared" si="20"/>
        <v>593</v>
      </c>
      <c r="B597" s="29">
        <v>1364</v>
      </c>
      <c r="C597" s="30">
        <v>7.8</v>
      </c>
      <c r="D597" s="29">
        <v>1</v>
      </c>
    </row>
    <row r="598" customFormat="1" spans="1:4">
      <c r="A598">
        <f t="shared" si="20"/>
        <v>594</v>
      </c>
      <c r="B598" s="10">
        <v>1367</v>
      </c>
      <c r="C598" s="10">
        <v>0</v>
      </c>
      <c r="D598" s="10">
        <v>0</v>
      </c>
    </row>
    <row r="599" customFormat="1" spans="1:4">
      <c r="A599">
        <f t="shared" si="20"/>
        <v>595</v>
      </c>
      <c r="B599" s="10">
        <v>1367</v>
      </c>
      <c r="C599" s="34">
        <v>7.6</v>
      </c>
      <c r="D599" s="10">
        <v>1</v>
      </c>
    </row>
    <row r="600" customFormat="1" spans="1:4">
      <c r="A600">
        <f t="shared" si="20"/>
        <v>596</v>
      </c>
      <c r="B600" s="10">
        <v>1367</v>
      </c>
      <c r="C600" s="10">
        <v>0</v>
      </c>
      <c r="D600" s="10">
        <v>0</v>
      </c>
    </row>
    <row r="601" customFormat="1" spans="1:4">
      <c r="A601">
        <f t="shared" si="20"/>
        <v>597</v>
      </c>
      <c r="B601" s="10">
        <v>1367</v>
      </c>
      <c r="C601" s="34">
        <v>7.6</v>
      </c>
      <c r="D601" s="10">
        <v>1</v>
      </c>
    </row>
    <row r="602" spans="1:4">
      <c r="A602">
        <f t="shared" si="20"/>
        <v>598</v>
      </c>
      <c r="B602" s="10">
        <v>1367</v>
      </c>
      <c r="C602" s="10">
        <v>0</v>
      </c>
      <c r="D602" s="10">
        <v>0</v>
      </c>
    </row>
    <row r="603" spans="1:4">
      <c r="A603">
        <f t="shared" si="20"/>
        <v>599</v>
      </c>
      <c r="B603" s="10">
        <v>1367</v>
      </c>
      <c r="C603" s="34">
        <v>7.6</v>
      </c>
      <c r="D603" s="10">
        <v>1</v>
      </c>
    </row>
    <row r="604" spans="1:4">
      <c r="A604">
        <f t="shared" si="20"/>
        <v>600</v>
      </c>
      <c r="B604" s="29">
        <v>1377</v>
      </c>
      <c r="C604" s="29">
        <v>0</v>
      </c>
      <c r="D604" s="29">
        <v>0</v>
      </c>
    </row>
    <row r="605" spans="1:4">
      <c r="A605">
        <f t="shared" si="20"/>
        <v>601</v>
      </c>
      <c r="B605" s="29">
        <v>1377</v>
      </c>
      <c r="C605" s="30">
        <f>366/30</f>
        <v>12.2</v>
      </c>
      <c r="D605" s="29">
        <v>1</v>
      </c>
    </row>
    <row r="606" spans="1:4">
      <c r="A606">
        <f t="shared" si="20"/>
        <v>602</v>
      </c>
      <c r="B606" s="29">
        <v>1379</v>
      </c>
      <c r="C606" s="29">
        <v>0</v>
      </c>
      <c r="D606" s="29">
        <v>0</v>
      </c>
    </row>
    <row r="607" spans="1:4">
      <c r="A607">
        <f t="shared" si="20"/>
        <v>603</v>
      </c>
      <c r="B607" s="29">
        <v>1379</v>
      </c>
      <c r="C607" s="30">
        <v>8.83333333333333</v>
      </c>
      <c r="D607" s="29">
        <v>1</v>
      </c>
    </row>
    <row r="608" spans="1:4">
      <c r="A608">
        <f t="shared" si="20"/>
        <v>604</v>
      </c>
      <c r="B608" s="29">
        <v>1380</v>
      </c>
      <c r="C608" s="29">
        <v>0</v>
      </c>
      <c r="D608" s="29">
        <v>0</v>
      </c>
    </row>
    <row r="609" spans="1:4">
      <c r="A609">
        <f t="shared" si="20"/>
        <v>605</v>
      </c>
      <c r="B609" s="29">
        <v>1380</v>
      </c>
      <c r="C609" s="30">
        <v>12</v>
      </c>
      <c r="D609" s="29">
        <v>1</v>
      </c>
    </row>
    <row r="610" spans="1:4">
      <c r="A610">
        <f t="shared" si="20"/>
        <v>606</v>
      </c>
      <c r="B610" s="10">
        <v>1385</v>
      </c>
      <c r="C610" s="10">
        <v>0</v>
      </c>
      <c r="D610" s="10">
        <v>0</v>
      </c>
    </row>
    <row r="611" spans="1:4">
      <c r="A611">
        <f t="shared" si="20"/>
        <v>607</v>
      </c>
      <c r="B611" s="10">
        <v>1385</v>
      </c>
      <c r="C611" s="34">
        <v>10.333</v>
      </c>
      <c r="D611" s="10">
        <v>1</v>
      </c>
    </row>
    <row r="612" spans="1:4">
      <c r="A612">
        <f t="shared" si="20"/>
        <v>608</v>
      </c>
      <c r="B612" s="10">
        <v>1386</v>
      </c>
      <c r="C612" s="10">
        <v>0</v>
      </c>
      <c r="D612" s="10">
        <v>0</v>
      </c>
    </row>
    <row r="613" spans="1:4">
      <c r="A613">
        <f t="shared" si="20"/>
        <v>609</v>
      </c>
      <c r="B613" s="10">
        <v>1386</v>
      </c>
      <c r="C613" s="34">
        <v>10</v>
      </c>
      <c r="D613" s="10">
        <v>1</v>
      </c>
    </row>
    <row r="614" spans="1:4">
      <c r="A614">
        <f t="shared" ref="A614:A619" si="21">A613+1</f>
        <v>610</v>
      </c>
      <c r="B614" s="29">
        <v>1390</v>
      </c>
      <c r="C614" s="29">
        <v>0</v>
      </c>
      <c r="D614" s="29">
        <v>0</v>
      </c>
    </row>
    <row r="615" spans="1:4">
      <c r="A615">
        <f t="shared" si="21"/>
        <v>611</v>
      </c>
      <c r="B615" s="29">
        <v>1390</v>
      </c>
      <c r="C615" s="30">
        <v>11.4</v>
      </c>
      <c r="D615" s="29">
        <v>1</v>
      </c>
    </row>
    <row r="616" spans="1:4">
      <c r="A616">
        <f t="shared" si="21"/>
        <v>612</v>
      </c>
      <c r="B616" s="29">
        <v>1393</v>
      </c>
      <c r="C616" s="29">
        <v>0</v>
      </c>
      <c r="D616" s="29">
        <v>0</v>
      </c>
    </row>
    <row r="617" spans="1:4">
      <c r="A617">
        <f t="shared" si="21"/>
        <v>613</v>
      </c>
      <c r="B617" s="29">
        <v>1393</v>
      </c>
      <c r="C617" s="30">
        <v>9.16666666666667</v>
      </c>
      <c r="D617" s="29">
        <v>1</v>
      </c>
    </row>
    <row r="618" spans="1:4">
      <c r="A618">
        <f t="shared" si="21"/>
        <v>614</v>
      </c>
      <c r="B618" s="29">
        <v>1394</v>
      </c>
      <c r="C618" s="29">
        <v>0</v>
      </c>
      <c r="D618" s="29">
        <v>0</v>
      </c>
    </row>
    <row r="619" spans="1:4">
      <c r="A619">
        <f t="shared" si="21"/>
        <v>615</v>
      </c>
      <c r="B619" s="29">
        <v>1394</v>
      </c>
      <c r="C619" s="30">
        <v>8.6</v>
      </c>
      <c r="D619" s="29">
        <v>1</v>
      </c>
    </row>
    <row r="620" spans="1:4">
      <c r="A620">
        <f t="shared" ref="A620:A633" si="22">A619+1</f>
        <v>616</v>
      </c>
      <c r="B620" s="10">
        <v>1400</v>
      </c>
      <c r="C620" s="10">
        <v>0</v>
      </c>
      <c r="D620" s="10">
        <v>0</v>
      </c>
    </row>
    <row r="621" spans="1:4">
      <c r="A621">
        <f t="shared" si="22"/>
        <v>617</v>
      </c>
      <c r="B621" s="10">
        <v>1400</v>
      </c>
      <c r="C621" s="34">
        <v>14.7</v>
      </c>
      <c r="D621" s="10">
        <v>1</v>
      </c>
    </row>
    <row r="622" spans="1:4">
      <c r="A622">
        <f t="shared" si="22"/>
        <v>618</v>
      </c>
      <c r="B622" s="10">
        <v>1401</v>
      </c>
      <c r="C622" s="10">
        <v>0</v>
      </c>
      <c r="D622" s="10">
        <v>0</v>
      </c>
    </row>
    <row r="623" spans="1:4">
      <c r="A623">
        <f t="shared" si="22"/>
        <v>619</v>
      </c>
      <c r="B623" s="10">
        <v>1401</v>
      </c>
      <c r="C623" s="34">
        <v>10.2</v>
      </c>
      <c r="D623" s="10">
        <v>1</v>
      </c>
    </row>
    <row r="624" spans="1:4">
      <c r="A624">
        <f t="shared" si="22"/>
        <v>620</v>
      </c>
      <c r="B624" s="10">
        <v>1402</v>
      </c>
      <c r="C624" s="10">
        <v>0</v>
      </c>
      <c r="D624" s="10">
        <v>0</v>
      </c>
    </row>
    <row r="625" spans="1:4">
      <c r="A625">
        <f t="shared" si="22"/>
        <v>621</v>
      </c>
      <c r="B625" s="10">
        <v>1402</v>
      </c>
      <c r="C625" s="34">
        <v>15.5</v>
      </c>
      <c r="D625" s="10">
        <v>1</v>
      </c>
    </row>
    <row r="626" spans="1:4">
      <c r="A626">
        <f t="shared" si="22"/>
        <v>622</v>
      </c>
      <c r="B626" s="10">
        <v>1403</v>
      </c>
      <c r="C626" s="10">
        <v>0</v>
      </c>
      <c r="D626" s="10">
        <v>0</v>
      </c>
    </row>
    <row r="627" spans="1:4">
      <c r="A627">
        <f t="shared" si="22"/>
        <v>623</v>
      </c>
      <c r="B627" s="10">
        <v>1403</v>
      </c>
      <c r="C627" s="34">
        <v>5</v>
      </c>
      <c r="D627" s="10">
        <v>1</v>
      </c>
    </row>
    <row r="628" spans="1:4">
      <c r="A628">
        <f t="shared" si="22"/>
        <v>624</v>
      </c>
      <c r="B628" s="10">
        <v>1404</v>
      </c>
      <c r="C628" s="10">
        <v>0</v>
      </c>
      <c r="D628" s="10">
        <v>0</v>
      </c>
    </row>
    <row r="629" spans="1:4">
      <c r="A629">
        <f t="shared" si="22"/>
        <v>625</v>
      </c>
      <c r="B629" s="10">
        <v>1404</v>
      </c>
      <c r="C629" s="34">
        <f>108/30</f>
        <v>3.6</v>
      </c>
      <c r="D629" s="10">
        <v>1</v>
      </c>
    </row>
    <row r="630" spans="1:4">
      <c r="A630">
        <f t="shared" si="22"/>
        <v>626</v>
      </c>
      <c r="B630" s="10">
        <v>1399</v>
      </c>
      <c r="C630" s="10">
        <v>0</v>
      </c>
      <c r="D630" s="10">
        <v>0</v>
      </c>
    </row>
    <row r="631" spans="1:4">
      <c r="A631">
        <f t="shared" si="22"/>
        <v>627</v>
      </c>
      <c r="B631" s="10">
        <v>1399</v>
      </c>
      <c r="C631" s="34">
        <v>8.46666666666667</v>
      </c>
      <c r="D631" s="10">
        <v>1</v>
      </c>
    </row>
    <row r="632" spans="1:4">
      <c r="A632">
        <f t="shared" si="22"/>
        <v>628</v>
      </c>
      <c r="B632" s="35" t="s">
        <v>18</v>
      </c>
      <c r="C632" s="1">
        <v>0.2</v>
      </c>
      <c r="D632" s="1">
        <v>0</v>
      </c>
    </row>
    <row r="633" spans="1:4">
      <c r="A633">
        <f t="shared" si="22"/>
        <v>629</v>
      </c>
      <c r="B633" s="35" t="s">
        <v>18</v>
      </c>
      <c r="C633" s="1">
        <v>8.9</v>
      </c>
      <c r="D633" s="1">
        <v>1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Shao</dc:creator>
  <cp:lastModifiedBy>WPS_1638872795</cp:lastModifiedBy>
  <dcterms:created xsi:type="dcterms:W3CDTF">2016-10-21T04:52:00Z</dcterms:created>
  <dcterms:modified xsi:type="dcterms:W3CDTF">2026-02-05T02:34:34Z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1033-12.2.0.17545</vt:lpwstr>
  </property>
  <property fmtid="{D5CDD505-2E9C-101B-9397-08002B2CF9AE}" pid="3" name="ICV">
    <vt:lpwstr>9013C962CECE4542B3BF4991BAE19D1B</vt:lpwstr>
  </property>
</Properties>
</file>