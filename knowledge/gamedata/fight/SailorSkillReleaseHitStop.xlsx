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definedNames>
    <definedName name="_xlnm._FilterDatabase" localSheetId="0" hidden="1">Sheet1!$A$6:$F$376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</author>
  </authors>
  <commentList>
    <comment ref="C172" authorId="0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7.9
</t>
        </r>
      </text>
    </comment>
  </commentList>
</comments>
</file>

<file path=xl/sharedStrings.xml><?xml version="1.0" encoding="utf-8"?>
<sst xmlns="http://schemas.openxmlformats.org/spreadsheetml/2006/main" count="366" uniqueCount="30">
  <si>
    <t>Id</t>
  </si>
  <si>
    <t>EmptyKey-B2</t>
  </si>
  <si>
    <t>时间点</t>
  </si>
  <si>
    <t>顿帧的持续时间</t>
  </si>
  <si>
    <t>顿帧曲线</t>
  </si>
  <si>
    <r>
      <rPr>
        <sz val="11"/>
        <color theme="1"/>
        <rFont val="等线"/>
        <charset val="134"/>
      </rPr>
      <t xml:space="preserve">摄像机震动类型， </t>
    </r>
    <r>
      <rPr>
        <sz val="11"/>
        <color theme="1"/>
        <rFont val="等线"/>
        <charset val="134"/>
      </rPr>
      <t>0：不震动 1：普通震动 2：强震动</t>
    </r>
  </si>
  <si>
    <t>EmptyKey-G2</t>
  </si>
  <si>
    <t>EmptyKey-H2</t>
  </si>
  <si>
    <r>
      <rPr>
        <sz val="11"/>
        <color theme="1"/>
        <rFont val="等线"/>
        <charset val="134"/>
      </rPr>
      <t>H</t>
    </r>
    <r>
      <rPr>
        <sz val="11"/>
        <color theme="1"/>
        <rFont val="等线"/>
        <charset val="134"/>
      </rPr>
      <t>itStopId</t>
    </r>
  </si>
  <si>
    <t>SkillId</t>
  </si>
  <si>
    <t>HitStopTime</t>
  </si>
  <si>
    <r>
      <rPr>
        <sz val="11"/>
        <color theme="1"/>
        <rFont val="等线"/>
        <charset val="134"/>
      </rPr>
      <t>H</t>
    </r>
    <r>
      <rPr>
        <sz val="11"/>
        <color theme="1"/>
        <rFont val="等线"/>
        <charset val="134"/>
      </rPr>
      <t>itStopDuration</t>
    </r>
  </si>
  <si>
    <t>HitStopCurve</t>
  </si>
  <si>
    <t>ShakeType</t>
  </si>
  <si>
    <t>int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</si>
  <si>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nt</t>
    </r>
  </si>
  <si>
    <r>
      <rPr>
        <sz val="11"/>
        <color theme="1"/>
        <rFont val="等线"/>
        <charset val="134"/>
      </rPr>
      <t>d</t>
    </r>
    <r>
      <rPr>
        <sz val="11"/>
        <color theme="1"/>
        <rFont val="等线"/>
        <charset val="134"/>
      </rPr>
      <t>ouble</t>
    </r>
  </si>
  <si>
    <t>double</t>
  </si>
  <si>
    <t>string(intern)</t>
  </si>
  <si>
    <r>
      <rPr>
        <sz val="11"/>
        <color theme="1"/>
        <rFont val="等线"/>
        <charset val="134"/>
      </rPr>
      <t>p</t>
    </r>
    <r>
      <rPr>
        <sz val="11"/>
        <color theme="1"/>
        <rFont val="等线"/>
        <charset val="134"/>
      </rPr>
      <t>rimary</t>
    </r>
  </si>
  <si>
    <t>index</t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</si>
  <si>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one</t>
    </r>
  </si>
  <si>
    <t>none</t>
  </si>
  <si>
    <t>HitStopId</t>
  </si>
  <si>
    <t>HitStopDuration</t>
  </si>
  <si>
    <t>HitStopCurve001</t>
  </si>
  <si>
    <r>
      <rPr>
        <sz val="11"/>
        <color theme="1"/>
        <rFont val="等线"/>
        <charset val="134"/>
      </rPr>
      <t>H</t>
    </r>
    <r>
      <rPr>
        <sz val="11"/>
        <color theme="1"/>
        <rFont val="等线"/>
        <charset val="134"/>
      </rPr>
      <t>itStopCurve001</t>
    </r>
  </si>
  <si>
    <t>HitStopCurve003</t>
  </si>
  <si>
    <t>HitStopCurve002</t>
  </si>
  <si>
    <t>HitStopCurve004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</si>
</sst>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4628742332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2E1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6A84B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6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17" borderId="5">
      <alignment vertical="center"/>
    </xf>
    <xf numFmtId="0" fontId="13" fillId="18" borderId="6">
      <alignment vertical="center"/>
    </xf>
    <xf numFmtId="0" fontId="14" fillId="18" borderId="5">
      <alignment vertical="center"/>
    </xf>
    <xf numFmtId="0" fontId="15" fillId="19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5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1" fillId="41" borderId="0">
      <alignment vertical="center"/>
    </xf>
    <xf numFmtId="0" fontId="21" fillId="42" borderId="0">
      <alignment vertical="center"/>
    </xf>
    <xf numFmtId="0" fontId="22" fillId="43" borderId="0">
      <alignment vertical="center"/>
    </xf>
    <xf numFmtId="0" fontId="22" fillId="44" borderId="0">
      <alignment vertical="center"/>
    </xf>
    <xf numFmtId="0" fontId="21" fillId="45" borderId="0">
      <alignment vertical="center"/>
    </xf>
    <xf numFmtId="0" fontId="0" fillId="0" borderId="0">
      <alignment vertical="center"/>
    </xf>
  </cellStyleXfs>
  <cellXfs count="30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0" fillId="0" borderId="0" xfId="49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49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3" fillId="0" borderId="0" xfId="49" applyNumberFormat="1" applyFont="1" applyFill="1" applyBorder="1" applyAlignment="1" applyProtection="1">
      <alignment vertical="center"/>
    </xf>
    <xf numFmtId="0" fontId="0" fillId="3" borderId="0" xfId="49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8" borderId="0" xfId="49" applyNumberFormat="1" applyFont="1" applyFill="1" applyBorder="1" applyAlignment="1" applyProtection="1">
      <alignment vertical="center"/>
    </xf>
    <xf numFmtId="0" fontId="3" fillId="9" borderId="0" xfId="49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3" fillId="3" borderId="0" xfId="49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2" borderId="0" xfId="0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NumberFormat="1" applyFont="1" applyFill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8"/>
  <sheetViews>
    <sheetView tabSelected="1" workbookViewId="0">
      <pane ySplit="6" topLeftCell="A349" activePane="bottomLeft" state="frozen"/>
      <selection/>
      <selection pane="bottomLeft" activeCell="D380" sqref="D380"/>
    </sheetView>
  </sheetViews>
  <sheetFormatPr defaultColWidth="9" defaultRowHeight="13.85"/>
  <cols>
    <col min="3" max="3" width="14.0796460176991" customWidth="1"/>
    <col min="4" max="4" width="17.0796460176991" customWidth="1"/>
    <col min="5" max="5" width="27.3362831858407" customWidth="1"/>
    <col min="6" max="6" width="50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ht="13.9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ht="13.9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ht="13.9" spans="1:6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15</v>
      </c>
    </row>
    <row r="5" ht="13.9" spans="1:6">
      <c r="A5" t="s">
        <v>19</v>
      </c>
      <c r="B5" t="s">
        <v>20</v>
      </c>
      <c r="C5" t="s">
        <v>21</v>
      </c>
      <c r="D5" t="s">
        <v>22</v>
      </c>
      <c r="E5" t="s">
        <v>22</v>
      </c>
      <c r="F5" t="s">
        <v>21</v>
      </c>
    </row>
    <row r="6" spans="1:6">
      <c r="A6" t="s">
        <v>23</v>
      </c>
      <c r="B6" t="s">
        <v>9</v>
      </c>
      <c r="C6" t="s">
        <v>10</v>
      </c>
      <c r="D6" t="s">
        <v>24</v>
      </c>
      <c r="E6" t="s">
        <v>12</v>
      </c>
      <c r="F6" t="s">
        <v>13</v>
      </c>
    </row>
    <row r="7" spans="1:6">
      <c r="A7">
        <f>ROW()-6</f>
        <v>1</v>
      </c>
      <c r="B7">
        <v>1</v>
      </c>
      <c r="C7">
        <v>0.4</v>
      </c>
      <c r="D7">
        <v>0</v>
      </c>
      <c r="F7">
        <v>1</v>
      </c>
    </row>
    <row r="8" spans="1:6">
      <c r="A8">
        <f t="shared" ref="A8:A17" si="0">ROW()-6</f>
        <v>2</v>
      </c>
      <c r="B8">
        <v>1</v>
      </c>
      <c r="C8">
        <v>0.766666666666667</v>
      </c>
      <c r="D8">
        <v>0</v>
      </c>
      <c r="F8">
        <v>1</v>
      </c>
    </row>
    <row r="9" spans="1:6">
      <c r="A9">
        <f t="shared" si="0"/>
        <v>3</v>
      </c>
      <c r="B9">
        <v>1</v>
      </c>
      <c r="C9">
        <v>1.26666666666667</v>
      </c>
      <c r="D9">
        <v>0</v>
      </c>
      <c r="F9">
        <v>1</v>
      </c>
    </row>
    <row r="10" spans="1:6">
      <c r="A10">
        <f t="shared" si="0"/>
        <v>4</v>
      </c>
      <c r="B10">
        <v>1</v>
      </c>
      <c r="C10">
        <v>2.26666666666667</v>
      </c>
      <c r="D10">
        <v>0</v>
      </c>
      <c r="F10">
        <v>2</v>
      </c>
    </row>
    <row r="11" spans="1:6">
      <c r="A11">
        <f t="shared" si="0"/>
        <v>5</v>
      </c>
      <c r="B11">
        <v>5</v>
      </c>
      <c r="C11">
        <v>6.13333333333333</v>
      </c>
      <c r="D11">
        <v>0</v>
      </c>
      <c r="F11">
        <v>0</v>
      </c>
    </row>
    <row r="12" spans="1:6">
      <c r="A12">
        <f t="shared" si="0"/>
        <v>6</v>
      </c>
      <c r="B12">
        <v>5</v>
      </c>
      <c r="C12">
        <v>6.7</v>
      </c>
      <c r="D12">
        <v>0</v>
      </c>
      <c r="F12">
        <v>0</v>
      </c>
    </row>
    <row r="13" spans="1:6">
      <c r="A13">
        <f t="shared" si="0"/>
        <v>7</v>
      </c>
      <c r="B13">
        <v>5</v>
      </c>
      <c r="C13">
        <v>8.46666666666667</v>
      </c>
      <c r="D13">
        <v>0</v>
      </c>
      <c r="F13">
        <v>0</v>
      </c>
    </row>
    <row r="14" spans="1:6">
      <c r="A14">
        <f t="shared" si="0"/>
        <v>8</v>
      </c>
      <c r="B14">
        <v>5</v>
      </c>
      <c r="C14">
        <v>10.1666666666667</v>
      </c>
      <c r="D14">
        <v>0</v>
      </c>
      <c r="F14">
        <v>0</v>
      </c>
    </row>
    <row r="15" spans="1:6">
      <c r="A15">
        <f t="shared" si="0"/>
        <v>9</v>
      </c>
      <c r="B15">
        <v>1</v>
      </c>
      <c r="C15">
        <v>2.46666666666667</v>
      </c>
      <c r="D15">
        <v>0</v>
      </c>
      <c r="F15">
        <v>0</v>
      </c>
    </row>
    <row r="16" spans="1:6">
      <c r="A16">
        <f t="shared" si="0"/>
        <v>10</v>
      </c>
      <c r="B16">
        <v>3</v>
      </c>
      <c r="C16">
        <v>3</v>
      </c>
      <c r="D16">
        <v>0.4</v>
      </c>
      <c r="E16" t="s">
        <v>25</v>
      </c>
      <c r="F16">
        <v>2</v>
      </c>
    </row>
    <row r="17" spans="1:6">
      <c r="A17">
        <f t="shared" si="0"/>
        <v>11</v>
      </c>
      <c r="B17">
        <v>8</v>
      </c>
      <c r="C17">
        <f>27/30</f>
        <v>0.9</v>
      </c>
      <c r="D17">
        <v>0</v>
      </c>
      <c r="F17">
        <v>2</v>
      </c>
    </row>
    <row r="18" spans="1:6">
      <c r="A18">
        <f t="shared" ref="A18:A27" si="1">ROW()-6</f>
        <v>12</v>
      </c>
      <c r="B18">
        <v>9</v>
      </c>
      <c r="C18">
        <v>0.3</v>
      </c>
      <c r="D18">
        <v>0</v>
      </c>
      <c r="F18">
        <v>0</v>
      </c>
    </row>
    <row r="19" spans="1:6">
      <c r="A19">
        <f t="shared" si="1"/>
        <v>13</v>
      </c>
      <c r="B19">
        <v>9</v>
      </c>
      <c r="C19">
        <v>0.633333</v>
      </c>
      <c r="D19">
        <v>0</v>
      </c>
      <c r="F19">
        <v>0</v>
      </c>
    </row>
    <row r="20" spans="1:6">
      <c r="A20">
        <f t="shared" si="1"/>
        <v>14</v>
      </c>
      <c r="B20">
        <v>9</v>
      </c>
      <c r="C20">
        <v>0.966667</v>
      </c>
      <c r="D20">
        <v>0</v>
      </c>
      <c r="F20">
        <v>1</v>
      </c>
    </row>
    <row r="21" spans="1:6">
      <c r="A21">
        <f t="shared" si="1"/>
        <v>15</v>
      </c>
      <c r="B21">
        <v>9</v>
      </c>
      <c r="C21">
        <v>1.866667</v>
      </c>
      <c r="D21">
        <v>0</v>
      </c>
      <c r="F21">
        <v>2</v>
      </c>
    </row>
    <row r="22" spans="1:6">
      <c r="A22">
        <f t="shared" si="1"/>
        <v>16</v>
      </c>
      <c r="B22">
        <v>15</v>
      </c>
      <c r="C22">
        <f>11/30</f>
        <v>0.366666666666667</v>
      </c>
      <c r="D22">
        <v>0</v>
      </c>
      <c r="F22">
        <v>1</v>
      </c>
    </row>
    <row r="23" spans="1:6">
      <c r="A23">
        <f t="shared" si="1"/>
        <v>17</v>
      </c>
      <c r="B23">
        <v>15</v>
      </c>
      <c r="C23">
        <f>13/30</f>
        <v>0.433333333333333</v>
      </c>
      <c r="D23">
        <v>0</v>
      </c>
      <c r="F23">
        <v>1</v>
      </c>
    </row>
    <row r="24" spans="1:6">
      <c r="A24">
        <f t="shared" si="1"/>
        <v>18</v>
      </c>
      <c r="B24">
        <v>15</v>
      </c>
      <c r="C24">
        <f>15/30</f>
        <v>0.5</v>
      </c>
      <c r="D24">
        <v>0</v>
      </c>
      <c r="F24">
        <v>1</v>
      </c>
    </row>
    <row r="25" spans="1:6">
      <c r="A25">
        <f t="shared" si="1"/>
        <v>19</v>
      </c>
      <c r="B25">
        <v>15</v>
      </c>
      <c r="C25">
        <f>17/30</f>
        <v>0.566666666666667</v>
      </c>
      <c r="D25">
        <v>0</v>
      </c>
      <c r="F25">
        <v>1</v>
      </c>
    </row>
    <row r="26" spans="1:6">
      <c r="A26">
        <f t="shared" si="1"/>
        <v>20</v>
      </c>
      <c r="B26">
        <v>15</v>
      </c>
      <c r="C26">
        <f>19/30</f>
        <v>0.633333333333333</v>
      </c>
      <c r="D26">
        <v>0</v>
      </c>
      <c r="F26">
        <v>2</v>
      </c>
    </row>
    <row r="27" spans="1:6">
      <c r="A27">
        <f t="shared" si="1"/>
        <v>21</v>
      </c>
      <c r="B27">
        <v>14</v>
      </c>
      <c r="C27">
        <f>37/30</f>
        <v>1.23333333333333</v>
      </c>
      <c r="D27">
        <v>0</v>
      </c>
      <c r="F27">
        <v>2</v>
      </c>
    </row>
    <row r="28" spans="1:6">
      <c r="A28">
        <f t="shared" ref="A28:A37" si="2">ROW()-6</f>
        <v>22</v>
      </c>
      <c r="B28">
        <v>10</v>
      </c>
      <c r="C28">
        <v>2.3</v>
      </c>
      <c r="D28">
        <v>0</v>
      </c>
      <c r="F28">
        <v>2</v>
      </c>
    </row>
    <row r="29" spans="1:6">
      <c r="A29">
        <f t="shared" si="2"/>
        <v>23</v>
      </c>
      <c r="B29">
        <v>17</v>
      </c>
      <c r="C29" s="1">
        <f>5/30</f>
        <v>0.166666666666667</v>
      </c>
      <c r="D29">
        <v>0</v>
      </c>
      <c r="F29">
        <v>0</v>
      </c>
    </row>
    <row r="30" spans="1:6">
      <c r="A30">
        <f t="shared" si="2"/>
        <v>24</v>
      </c>
      <c r="B30">
        <v>17</v>
      </c>
      <c r="C30" s="1">
        <v>0.533333333333333</v>
      </c>
      <c r="D30">
        <v>0</v>
      </c>
      <c r="F30">
        <v>0</v>
      </c>
    </row>
    <row r="31" spans="1:6">
      <c r="A31">
        <f t="shared" si="2"/>
        <v>25</v>
      </c>
      <c r="B31">
        <v>17</v>
      </c>
      <c r="C31" s="1">
        <v>1.16666666666667</v>
      </c>
      <c r="D31">
        <v>0</v>
      </c>
      <c r="F31">
        <v>1</v>
      </c>
    </row>
    <row r="32" spans="1:6">
      <c r="A32">
        <f t="shared" si="2"/>
        <v>26</v>
      </c>
      <c r="B32">
        <v>19</v>
      </c>
      <c r="C32">
        <v>1.433333</v>
      </c>
      <c r="D32">
        <v>0</v>
      </c>
      <c r="F32">
        <v>1</v>
      </c>
    </row>
    <row r="33" spans="1:6">
      <c r="A33">
        <f t="shared" si="2"/>
        <v>27</v>
      </c>
      <c r="B33">
        <v>19</v>
      </c>
      <c r="C33">
        <v>1.966667</v>
      </c>
      <c r="D33">
        <v>0</v>
      </c>
      <c r="F33">
        <v>2</v>
      </c>
    </row>
    <row r="34" spans="1:6">
      <c r="A34">
        <f t="shared" si="2"/>
        <v>28</v>
      </c>
      <c r="B34">
        <v>18</v>
      </c>
      <c r="C34" s="1">
        <f>10/30</f>
        <v>0.333333333333333</v>
      </c>
      <c r="D34">
        <v>0</v>
      </c>
      <c r="F34">
        <v>1</v>
      </c>
    </row>
    <row r="35" spans="1:6">
      <c r="A35">
        <f t="shared" si="2"/>
        <v>29</v>
      </c>
      <c r="B35">
        <v>18</v>
      </c>
      <c r="C35" s="1">
        <f>79/30</f>
        <v>2.63333333333333</v>
      </c>
      <c r="D35" s="1">
        <v>0</v>
      </c>
      <c r="F35" s="1">
        <v>2</v>
      </c>
    </row>
    <row r="36" spans="1:6">
      <c r="A36">
        <f t="shared" si="2"/>
        <v>30</v>
      </c>
      <c r="B36" s="1">
        <v>20</v>
      </c>
      <c r="C36" s="1">
        <f>49/30</f>
        <v>1.63333333333333</v>
      </c>
      <c r="D36">
        <v>0</v>
      </c>
      <c r="F36">
        <v>2</v>
      </c>
    </row>
    <row r="37" spans="1:6">
      <c r="A37">
        <f t="shared" si="2"/>
        <v>31</v>
      </c>
      <c r="B37">
        <v>21</v>
      </c>
      <c r="C37">
        <v>6.3</v>
      </c>
      <c r="D37">
        <v>0.7</v>
      </c>
      <c r="F37">
        <v>2</v>
      </c>
    </row>
    <row r="38" spans="1:6">
      <c r="A38">
        <f t="shared" ref="A38:A47" si="3">ROW()-6</f>
        <v>32</v>
      </c>
      <c r="B38">
        <v>28</v>
      </c>
      <c r="C38" s="2">
        <v>0.6</v>
      </c>
      <c r="D38">
        <v>0</v>
      </c>
      <c r="F38">
        <v>1</v>
      </c>
    </row>
    <row r="39" spans="1:6">
      <c r="A39">
        <f t="shared" si="3"/>
        <v>33</v>
      </c>
      <c r="B39">
        <v>28</v>
      </c>
      <c r="C39" s="2">
        <v>1.2</v>
      </c>
      <c r="D39">
        <v>0</v>
      </c>
      <c r="F39">
        <v>1</v>
      </c>
    </row>
    <row r="40" spans="1:6">
      <c r="A40">
        <f t="shared" si="3"/>
        <v>34</v>
      </c>
      <c r="B40">
        <v>28</v>
      </c>
      <c r="C40" s="2">
        <v>1.8</v>
      </c>
      <c r="D40">
        <v>0</v>
      </c>
      <c r="F40">
        <v>1</v>
      </c>
    </row>
    <row r="41" spans="1:6">
      <c r="A41">
        <f t="shared" si="3"/>
        <v>35</v>
      </c>
      <c r="B41">
        <v>28</v>
      </c>
      <c r="C41" s="2">
        <v>2.53333</v>
      </c>
      <c r="D41">
        <v>0</v>
      </c>
      <c r="F41">
        <v>2</v>
      </c>
    </row>
    <row r="42" spans="1:6">
      <c r="A42">
        <f t="shared" si="3"/>
        <v>36</v>
      </c>
      <c r="B42" s="2">
        <v>25</v>
      </c>
      <c r="C42" s="2">
        <f>75/30</f>
        <v>2.5</v>
      </c>
      <c r="D42">
        <v>0</v>
      </c>
      <c r="F42">
        <v>2</v>
      </c>
    </row>
    <row r="43" ht="15" spans="1:6">
      <c r="A43">
        <f t="shared" si="3"/>
        <v>37</v>
      </c>
      <c r="B43" s="1">
        <v>120</v>
      </c>
      <c r="C43" s="3">
        <v>5.666666666666</v>
      </c>
      <c r="D43">
        <v>0</v>
      </c>
      <c r="F43">
        <v>2</v>
      </c>
    </row>
    <row r="44" ht="13.9" spans="1:6">
      <c r="A44">
        <f t="shared" si="3"/>
        <v>38</v>
      </c>
      <c r="B44">
        <v>253</v>
      </c>
      <c r="C44" s="2">
        <v>1.5</v>
      </c>
      <c r="D44">
        <v>0.7</v>
      </c>
      <c r="E44" t="s">
        <v>26</v>
      </c>
      <c r="F44">
        <v>2</v>
      </c>
    </row>
    <row r="45" ht="13.9" spans="1:6">
      <c r="A45">
        <f t="shared" si="3"/>
        <v>39</v>
      </c>
      <c r="B45">
        <v>265</v>
      </c>
      <c r="C45">
        <v>2.16666666666667</v>
      </c>
      <c r="D45">
        <v>0.7</v>
      </c>
      <c r="E45" t="s">
        <v>26</v>
      </c>
      <c r="F45">
        <v>1</v>
      </c>
    </row>
    <row r="46" ht="13.9" spans="1:6">
      <c r="A46">
        <f t="shared" si="3"/>
        <v>40</v>
      </c>
      <c r="B46">
        <v>127</v>
      </c>
      <c r="C46" s="2">
        <v>3.4</v>
      </c>
      <c r="D46">
        <v>0.4</v>
      </c>
      <c r="E46" t="s">
        <v>26</v>
      </c>
      <c r="F46">
        <v>2</v>
      </c>
    </row>
    <row r="47" ht="13.9" spans="1:6">
      <c r="A47">
        <f t="shared" si="3"/>
        <v>41</v>
      </c>
      <c r="B47">
        <v>200</v>
      </c>
      <c r="C47">
        <v>2.2</v>
      </c>
      <c r="D47">
        <v>0.35</v>
      </c>
      <c r="E47" t="s">
        <v>26</v>
      </c>
      <c r="F47">
        <v>2</v>
      </c>
    </row>
    <row r="48" ht="13.9" spans="1:6">
      <c r="A48">
        <f t="shared" ref="A48:A57" si="4">ROW()-6</f>
        <v>42</v>
      </c>
      <c r="B48">
        <v>156</v>
      </c>
      <c r="C48">
        <v>1.2</v>
      </c>
      <c r="D48">
        <v>0.3</v>
      </c>
      <c r="E48" t="s">
        <v>26</v>
      </c>
      <c r="F48">
        <v>0</v>
      </c>
    </row>
    <row r="49" ht="13.9" spans="1:6">
      <c r="A49">
        <f t="shared" si="4"/>
        <v>43</v>
      </c>
      <c r="B49">
        <v>26</v>
      </c>
      <c r="C49">
        <v>4.4</v>
      </c>
      <c r="D49">
        <v>0.5</v>
      </c>
      <c r="E49" t="s">
        <v>26</v>
      </c>
      <c r="F49">
        <v>0</v>
      </c>
    </row>
    <row r="50" ht="13.9" spans="1:6">
      <c r="A50">
        <f t="shared" si="4"/>
        <v>44</v>
      </c>
      <c r="B50">
        <v>88</v>
      </c>
      <c r="C50">
        <v>2.3</v>
      </c>
      <c r="D50">
        <v>0.4</v>
      </c>
      <c r="E50" t="s">
        <v>26</v>
      </c>
      <c r="F50">
        <v>0</v>
      </c>
    </row>
    <row r="51" ht="13.9" spans="1:6">
      <c r="A51">
        <f t="shared" si="4"/>
        <v>45</v>
      </c>
      <c r="B51">
        <v>27</v>
      </c>
      <c r="C51">
        <v>2.43333333333333</v>
      </c>
      <c r="D51">
        <v>0.6</v>
      </c>
      <c r="E51" t="s">
        <v>26</v>
      </c>
      <c r="F51">
        <v>0</v>
      </c>
    </row>
    <row r="52" ht="13.9" spans="1:6">
      <c r="A52">
        <f t="shared" si="4"/>
        <v>46</v>
      </c>
      <c r="B52">
        <v>21</v>
      </c>
      <c r="C52">
        <v>5.63333333333333</v>
      </c>
      <c r="D52">
        <v>0.7</v>
      </c>
      <c r="E52" t="s">
        <v>26</v>
      </c>
      <c r="F52">
        <v>0</v>
      </c>
    </row>
    <row r="53" ht="13.9" spans="1:6">
      <c r="A53">
        <f t="shared" si="4"/>
        <v>47</v>
      </c>
      <c r="B53">
        <v>145</v>
      </c>
      <c r="C53">
        <v>5.9</v>
      </c>
      <c r="D53">
        <v>0.6</v>
      </c>
      <c r="E53" t="s">
        <v>26</v>
      </c>
      <c r="F53">
        <v>0</v>
      </c>
    </row>
    <row r="54" ht="13.9" spans="1:6">
      <c r="A54">
        <f t="shared" si="4"/>
        <v>48</v>
      </c>
      <c r="B54">
        <v>319</v>
      </c>
      <c r="C54">
        <v>6.55</v>
      </c>
      <c r="D54">
        <v>0.6</v>
      </c>
      <c r="E54" t="s">
        <v>26</v>
      </c>
      <c r="F54">
        <v>0</v>
      </c>
    </row>
    <row r="55" ht="13.9" spans="1:6">
      <c r="A55">
        <f t="shared" si="4"/>
        <v>49</v>
      </c>
      <c r="B55">
        <v>182</v>
      </c>
      <c r="C55">
        <v>3.2</v>
      </c>
      <c r="D55">
        <v>0.6</v>
      </c>
      <c r="E55" t="s">
        <v>26</v>
      </c>
      <c r="F55">
        <v>2</v>
      </c>
    </row>
    <row r="56" ht="13.9" spans="1:6">
      <c r="A56">
        <f t="shared" si="4"/>
        <v>50</v>
      </c>
      <c r="B56">
        <v>352</v>
      </c>
      <c r="C56">
        <v>11</v>
      </c>
      <c r="D56">
        <v>0</v>
      </c>
      <c r="E56" t="s">
        <v>26</v>
      </c>
      <c r="F56">
        <v>2</v>
      </c>
    </row>
    <row r="57" ht="13.9" spans="1:6">
      <c r="A57">
        <f t="shared" si="4"/>
        <v>51</v>
      </c>
      <c r="B57">
        <v>356</v>
      </c>
      <c r="C57">
        <f>103/30</f>
        <v>3.43333333333333</v>
      </c>
      <c r="D57">
        <v>0.6</v>
      </c>
      <c r="E57" t="s">
        <v>26</v>
      </c>
      <c r="F57">
        <v>2</v>
      </c>
    </row>
    <row r="58" ht="13.9" spans="1:6">
      <c r="A58">
        <f t="shared" ref="A58:A67" si="5">ROW()-6</f>
        <v>52</v>
      </c>
      <c r="B58">
        <v>360</v>
      </c>
      <c r="C58">
        <f>200/30</f>
        <v>6.66666666666667</v>
      </c>
      <c r="D58">
        <v>0.6</v>
      </c>
      <c r="E58" t="s">
        <v>26</v>
      </c>
      <c r="F58">
        <v>2</v>
      </c>
    </row>
    <row r="59" ht="13.9" spans="1:6">
      <c r="A59">
        <f t="shared" si="5"/>
        <v>53</v>
      </c>
      <c r="B59">
        <v>292</v>
      </c>
      <c r="C59">
        <v>2.55</v>
      </c>
      <c r="D59">
        <v>0.6</v>
      </c>
      <c r="E59" t="s">
        <v>26</v>
      </c>
      <c r="F59">
        <v>2</v>
      </c>
    </row>
    <row r="60" ht="13.9" spans="1:6">
      <c r="A60">
        <f t="shared" si="5"/>
        <v>54</v>
      </c>
      <c r="B60">
        <v>286</v>
      </c>
      <c r="C60">
        <v>4.45</v>
      </c>
      <c r="D60">
        <v>0.6</v>
      </c>
      <c r="E60" t="s">
        <v>26</v>
      </c>
      <c r="F60">
        <v>2</v>
      </c>
    </row>
    <row r="61" ht="13.9" spans="1:6">
      <c r="A61">
        <f t="shared" si="5"/>
        <v>55</v>
      </c>
      <c r="B61">
        <v>386</v>
      </c>
      <c r="C61">
        <v>4.7</v>
      </c>
      <c r="D61">
        <v>0.6</v>
      </c>
      <c r="E61" t="s">
        <v>26</v>
      </c>
      <c r="F61">
        <v>2</v>
      </c>
    </row>
    <row r="62" ht="13.9" spans="1:6">
      <c r="A62">
        <f t="shared" si="5"/>
        <v>56</v>
      </c>
      <c r="B62">
        <v>381</v>
      </c>
      <c r="C62">
        <v>3.05</v>
      </c>
      <c r="D62">
        <v>0.6</v>
      </c>
      <c r="E62" t="s">
        <v>26</v>
      </c>
      <c r="F62">
        <v>2</v>
      </c>
    </row>
    <row r="63" ht="13.9" spans="1:6">
      <c r="A63">
        <f t="shared" si="5"/>
        <v>57</v>
      </c>
      <c r="B63">
        <v>192</v>
      </c>
      <c r="C63">
        <v>3.7</v>
      </c>
      <c r="D63">
        <v>0.6</v>
      </c>
      <c r="E63" t="s">
        <v>26</v>
      </c>
      <c r="F63">
        <v>2</v>
      </c>
    </row>
    <row r="64" ht="13.9" spans="1:6">
      <c r="A64">
        <f t="shared" si="5"/>
        <v>58</v>
      </c>
      <c r="B64">
        <v>195</v>
      </c>
      <c r="C64">
        <v>4.833333333</v>
      </c>
      <c r="D64">
        <v>0.6</v>
      </c>
      <c r="E64" t="s">
        <v>26</v>
      </c>
      <c r="F64">
        <v>2</v>
      </c>
    </row>
    <row r="65" spans="1:3">
      <c r="A65">
        <f t="shared" si="5"/>
        <v>59</v>
      </c>
      <c r="B65" s="4">
        <v>396</v>
      </c>
      <c r="C65">
        <v>0.766666666666667</v>
      </c>
    </row>
    <row r="66" spans="1:3">
      <c r="A66">
        <f t="shared" si="5"/>
        <v>60</v>
      </c>
      <c r="B66" s="4">
        <v>396</v>
      </c>
      <c r="C66">
        <v>1.03333333333333</v>
      </c>
    </row>
    <row r="67" spans="1:3">
      <c r="A67">
        <f t="shared" si="5"/>
        <v>61</v>
      </c>
      <c r="B67" s="4">
        <v>396</v>
      </c>
      <c r="C67">
        <v>1.62</v>
      </c>
    </row>
    <row r="68" spans="1:6">
      <c r="A68">
        <f t="shared" ref="A68:A77" si="6">ROW()-6</f>
        <v>62</v>
      </c>
      <c r="B68" s="4">
        <v>392</v>
      </c>
      <c r="C68">
        <v>1.05</v>
      </c>
      <c r="D68">
        <v>0.4</v>
      </c>
      <c r="E68" s="5" t="s">
        <v>27</v>
      </c>
      <c r="F68">
        <v>2</v>
      </c>
    </row>
    <row r="69" spans="1:6">
      <c r="A69">
        <f t="shared" si="6"/>
        <v>63</v>
      </c>
      <c r="B69" s="4">
        <v>392</v>
      </c>
      <c r="C69">
        <v>1.3</v>
      </c>
      <c r="D69">
        <v>0.4</v>
      </c>
      <c r="E69" s="5" t="s">
        <v>27</v>
      </c>
      <c r="F69">
        <v>2</v>
      </c>
    </row>
    <row r="70" ht="13.9" spans="1:6">
      <c r="A70">
        <f t="shared" si="6"/>
        <v>64</v>
      </c>
      <c r="B70" s="4">
        <v>403</v>
      </c>
      <c r="C70">
        <v>6.95</v>
      </c>
      <c r="D70">
        <v>0.4</v>
      </c>
      <c r="E70" t="s">
        <v>26</v>
      </c>
      <c r="F70">
        <v>2</v>
      </c>
    </row>
    <row r="71" ht="13.9" spans="1:6">
      <c r="A71">
        <f t="shared" si="6"/>
        <v>65</v>
      </c>
      <c r="B71" s="4">
        <v>394</v>
      </c>
      <c r="C71">
        <v>4.4</v>
      </c>
      <c r="D71">
        <v>0.6</v>
      </c>
      <c r="E71" t="s">
        <v>26</v>
      </c>
      <c r="F71">
        <v>2</v>
      </c>
    </row>
    <row r="72" ht="13.9" spans="1:6">
      <c r="A72">
        <f t="shared" si="6"/>
        <v>66</v>
      </c>
      <c r="B72">
        <v>429</v>
      </c>
      <c r="C72">
        <v>3.19</v>
      </c>
      <c r="D72">
        <v>0.3</v>
      </c>
      <c r="E72" t="s">
        <v>26</v>
      </c>
      <c r="F72">
        <v>2</v>
      </c>
    </row>
    <row r="73" ht="13.9" spans="1:6">
      <c r="A73">
        <f t="shared" si="6"/>
        <v>67</v>
      </c>
      <c r="B73">
        <v>423</v>
      </c>
      <c r="C73">
        <f>286/30</f>
        <v>9.53333333333333</v>
      </c>
      <c r="D73">
        <v>0.4</v>
      </c>
      <c r="E73" t="s">
        <v>26</v>
      </c>
      <c r="F73">
        <v>2</v>
      </c>
    </row>
    <row r="74" ht="13.9" spans="1:6">
      <c r="A74">
        <f t="shared" si="6"/>
        <v>68</v>
      </c>
      <c r="B74">
        <v>430</v>
      </c>
      <c r="C74">
        <f>64/30</f>
        <v>2.13333333333333</v>
      </c>
      <c r="D74">
        <v>0.3</v>
      </c>
      <c r="E74" t="s">
        <v>26</v>
      </c>
      <c r="F74">
        <v>2</v>
      </c>
    </row>
    <row r="75" ht="13.9" spans="1:6">
      <c r="A75">
        <f t="shared" si="6"/>
        <v>69</v>
      </c>
      <c r="B75">
        <v>30042</v>
      </c>
      <c r="C75">
        <f>103/30</f>
        <v>3.43333333333333</v>
      </c>
      <c r="D75">
        <v>0.6</v>
      </c>
      <c r="E75" t="s">
        <v>26</v>
      </c>
      <c r="F75">
        <v>2</v>
      </c>
    </row>
    <row r="76" spans="1:6">
      <c r="A76">
        <f t="shared" si="6"/>
        <v>70</v>
      </c>
      <c r="B76">
        <v>432</v>
      </c>
      <c r="C76">
        <f>11/30</f>
        <v>0.366666666666667</v>
      </c>
      <c r="D76">
        <v>0.4</v>
      </c>
      <c r="E76" s="5" t="s">
        <v>27</v>
      </c>
      <c r="F76">
        <v>1</v>
      </c>
    </row>
    <row r="77" spans="1:8">
      <c r="A77">
        <f t="shared" si="6"/>
        <v>71</v>
      </c>
      <c r="B77">
        <v>432</v>
      </c>
      <c r="C77">
        <f>26/30</f>
        <v>0.866666666666667</v>
      </c>
      <c r="D77">
        <v>0.3</v>
      </c>
      <c r="E77" s="5" t="s">
        <v>27</v>
      </c>
      <c r="F77">
        <v>0</v>
      </c>
      <c r="G77">
        <v>0.733333333333333</v>
      </c>
      <c r="H77">
        <v>0.966666666666667</v>
      </c>
    </row>
    <row r="78" spans="1:6">
      <c r="A78">
        <f t="shared" ref="A78:A87" si="7">ROW()-6</f>
        <v>72</v>
      </c>
      <c r="B78">
        <v>432</v>
      </c>
      <c r="C78">
        <v>1.93333333333333</v>
      </c>
      <c r="D78">
        <v>0.6</v>
      </c>
      <c r="E78" s="5" t="s">
        <v>27</v>
      </c>
      <c r="F78">
        <v>2</v>
      </c>
    </row>
    <row r="79" spans="1:6">
      <c r="A79">
        <f t="shared" si="7"/>
        <v>73</v>
      </c>
      <c r="B79">
        <v>433</v>
      </c>
      <c r="C79">
        <v>1.36666666666667</v>
      </c>
      <c r="D79">
        <v>0.2</v>
      </c>
      <c r="E79" s="5" t="s">
        <v>27</v>
      </c>
      <c r="F79">
        <v>1</v>
      </c>
    </row>
    <row r="80" spans="1:6">
      <c r="A80">
        <f t="shared" si="7"/>
        <v>74</v>
      </c>
      <c r="B80">
        <v>433</v>
      </c>
      <c r="C80">
        <v>2.3</v>
      </c>
      <c r="D80">
        <v>0.4</v>
      </c>
      <c r="E80" s="5" t="s">
        <v>27</v>
      </c>
      <c r="F80">
        <v>2</v>
      </c>
    </row>
    <row r="81" spans="1:6">
      <c r="A81">
        <f t="shared" si="7"/>
        <v>75</v>
      </c>
      <c r="B81">
        <v>433</v>
      </c>
      <c r="C81">
        <v>2.46666666666667</v>
      </c>
      <c r="D81">
        <v>0.3</v>
      </c>
      <c r="E81" s="5" t="s">
        <v>27</v>
      </c>
      <c r="F81">
        <v>1</v>
      </c>
    </row>
    <row r="82" spans="1:6">
      <c r="A82">
        <f t="shared" si="7"/>
        <v>76</v>
      </c>
      <c r="B82">
        <v>435</v>
      </c>
      <c r="C82">
        <v>0.4</v>
      </c>
      <c r="D82">
        <v>0.4</v>
      </c>
      <c r="E82" s="5" t="s">
        <v>25</v>
      </c>
      <c r="F82">
        <v>0</v>
      </c>
    </row>
    <row r="83" spans="1:6">
      <c r="A83">
        <f t="shared" si="7"/>
        <v>77</v>
      </c>
      <c r="B83">
        <v>437</v>
      </c>
      <c r="C83">
        <f>159/30</f>
        <v>5.3</v>
      </c>
      <c r="D83">
        <v>0.4</v>
      </c>
      <c r="E83" s="5" t="s">
        <v>25</v>
      </c>
      <c r="F83">
        <v>0</v>
      </c>
    </row>
    <row r="84" spans="1:6">
      <c r="A84">
        <f t="shared" si="7"/>
        <v>78</v>
      </c>
      <c r="B84">
        <v>438</v>
      </c>
      <c r="C84">
        <v>3.2</v>
      </c>
      <c r="D84">
        <v>0.4</v>
      </c>
      <c r="E84" s="5" t="s">
        <v>25</v>
      </c>
      <c r="F84">
        <v>2</v>
      </c>
    </row>
    <row r="85" spans="1:6">
      <c r="A85">
        <f t="shared" si="7"/>
        <v>79</v>
      </c>
      <c r="B85">
        <v>438</v>
      </c>
      <c r="C85">
        <v>4.55</v>
      </c>
      <c r="D85">
        <v>0.4</v>
      </c>
      <c r="E85" s="5" t="s">
        <v>27</v>
      </c>
      <c r="F85">
        <v>2</v>
      </c>
    </row>
    <row r="86" spans="1:6">
      <c r="A86">
        <f t="shared" si="7"/>
        <v>80</v>
      </c>
      <c r="B86">
        <v>441</v>
      </c>
      <c r="C86">
        <v>1.15</v>
      </c>
      <c r="D86">
        <v>0.3</v>
      </c>
      <c r="E86" s="5" t="s">
        <v>25</v>
      </c>
      <c r="F86">
        <v>0</v>
      </c>
    </row>
    <row r="87" ht="13.9" spans="1:6">
      <c r="A87">
        <f t="shared" si="7"/>
        <v>81</v>
      </c>
      <c r="B87">
        <v>30041</v>
      </c>
      <c r="C87" s="2">
        <v>1.5</v>
      </c>
      <c r="D87">
        <v>0.7</v>
      </c>
      <c r="E87" t="s">
        <v>26</v>
      </c>
      <c r="F87">
        <v>2</v>
      </c>
    </row>
    <row r="88" ht="13.9" spans="1:6">
      <c r="A88">
        <f t="shared" ref="A88:A97" si="8">ROW()-6</f>
        <v>82</v>
      </c>
      <c r="B88">
        <v>444</v>
      </c>
      <c r="C88">
        <v>4.43333333333333</v>
      </c>
      <c r="D88">
        <v>0.4</v>
      </c>
      <c r="E88" t="s">
        <v>26</v>
      </c>
      <c r="F88">
        <v>2</v>
      </c>
    </row>
    <row r="89" ht="13.9" spans="1:6">
      <c r="A89">
        <f t="shared" si="8"/>
        <v>83</v>
      </c>
      <c r="B89">
        <v>444</v>
      </c>
      <c r="C89">
        <v>4.43333333333333</v>
      </c>
      <c r="D89">
        <v>0.4</v>
      </c>
      <c r="E89" t="s">
        <v>26</v>
      </c>
      <c r="F89">
        <v>2</v>
      </c>
    </row>
    <row r="90" spans="1:6">
      <c r="A90">
        <f t="shared" si="8"/>
        <v>84</v>
      </c>
      <c r="B90">
        <v>444</v>
      </c>
      <c r="C90">
        <f>220/30</f>
        <v>7.33333333333333</v>
      </c>
      <c r="D90">
        <v>0.8</v>
      </c>
      <c r="E90" s="5" t="s">
        <v>27</v>
      </c>
      <c r="F90">
        <v>2</v>
      </c>
    </row>
    <row r="91" ht="13.9" spans="1:6">
      <c r="A91">
        <f t="shared" si="8"/>
        <v>85</v>
      </c>
      <c r="B91">
        <v>10210</v>
      </c>
      <c r="C91">
        <f>80/30</f>
        <v>2.66666666666667</v>
      </c>
      <c r="D91">
        <v>0.3</v>
      </c>
      <c r="E91" t="s">
        <v>26</v>
      </c>
      <c r="F91">
        <v>2</v>
      </c>
    </row>
    <row r="92" ht="13.9" spans="1:6">
      <c r="A92">
        <f t="shared" si="8"/>
        <v>86</v>
      </c>
      <c r="B92">
        <v>480</v>
      </c>
      <c r="C92">
        <v>5.9</v>
      </c>
      <c r="D92">
        <v>0.4</v>
      </c>
      <c r="E92" t="s">
        <v>26</v>
      </c>
      <c r="F92">
        <v>2</v>
      </c>
    </row>
    <row r="93" ht="13.9" spans="1:6">
      <c r="A93">
        <f t="shared" si="8"/>
        <v>87</v>
      </c>
      <c r="B93">
        <v>480</v>
      </c>
      <c r="C93">
        <v>6.4</v>
      </c>
      <c r="D93">
        <v>0.4</v>
      </c>
      <c r="E93" t="s">
        <v>26</v>
      </c>
      <c r="F93">
        <v>2</v>
      </c>
    </row>
    <row r="94" ht="13.9" spans="1:6">
      <c r="A94">
        <f t="shared" si="8"/>
        <v>88</v>
      </c>
      <c r="B94">
        <v>481</v>
      </c>
      <c r="C94">
        <f>67/30</f>
        <v>2.23333333333333</v>
      </c>
      <c r="D94">
        <v>0.4</v>
      </c>
      <c r="E94" t="s">
        <v>26</v>
      </c>
      <c r="F94">
        <v>2</v>
      </c>
    </row>
    <row r="95" ht="13.9" spans="1:6">
      <c r="A95">
        <f t="shared" si="8"/>
        <v>89</v>
      </c>
      <c r="B95">
        <v>481</v>
      </c>
      <c r="C95">
        <f>124/30</f>
        <v>4.13333333333333</v>
      </c>
      <c r="D95">
        <v>0.5</v>
      </c>
      <c r="E95" t="s">
        <v>26</v>
      </c>
      <c r="F95">
        <v>2</v>
      </c>
    </row>
    <row r="96" ht="13.9" spans="1:6">
      <c r="A96">
        <f t="shared" si="8"/>
        <v>90</v>
      </c>
      <c r="B96">
        <v>481</v>
      </c>
      <c r="C96">
        <v>6.15</v>
      </c>
      <c r="D96">
        <v>0.6</v>
      </c>
      <c r="E96" t="s">
        <v>26</v>
      </c>
      <c r="F96">
        <v>2</v>
      </c>
    </row>
    <row r="97" ht="13.9" spans="1:6">
      <c r="A97">
        <f t="shared" si="8"/>
        <v>91</v>
      </c>
      <c r="B97">
        <v>454</v>
      </c>
      <c r="C97">
        <v>6.5</v>
      </c>
      <c r="D97">
        <v>0.5</v>
      </c>
      <c r="E97" t="s">
        <v>26</v>
      </c>
      <c r="F97">
        <v>2</v>
      </c>
    </row>
    <row r="98" spans="1:6">
      <c r="A98">
        <f t="shared" ref="A98:A107" si="9">ROW()-6</f>
        <v>92</v>
      </c>
      <c r="B98">
        <v>469</v>
      </c>
      <c r="C98">
        <v>2.06666666666667</v>
      </c>
      <c r="D98">
        <v>0.5</v>
      </c>
      <c r="E98" s="5" t="s">
        <v>28</v>
      </c>
      <c r="F98">
        <v>2</v>
      </c>
    </row>
    <row r="99" spans="1:6">
      <c r="A99">
        <f t="shared" si="9"/>
        <v>93</v>
      </c>
      <c r="B99">
        <v>468</v>
      </c>
      <c r="C99">
        <v>5.4</v>
      </c>
      <c r="D99">
        <v>0.8</v>
      </c>
      <c r="E99" s="5" t="s">
        <v>27</v>
      </c>
      <c r="F99">
        <v>2</v>
      </c>
    </row>
    <row r="100" ht="13.9" spans="1:6">
      <c r="A100">
        <f t="shared" si="9"/>
        <v>94</v>
      </c>
      <c r="B100">
        <v>472</v>
      </c>
      <c r="C100">
        <v>7.2</v>
      </c>
      <c r="D100">
        <v>0.5</v>
      </c>
      <c r="E100" t="s">
        <v>26</v>
      </c>
      <c r="F100">
        <v>2</v>
      </c>
    </row>
    <row r="101" ht="13.9" spans="1:6">
      <c r="A101">
        <f t="shared" si="9"/>
        <v>95</v>
      </c>
      <c r="B101">
        <v>10260</v>
      </c>
      <c r="C101">
        <f>15/30</f>
        <v>0.5</v>
      </c>
      <c r="D101">
        <v>0.2</v>
      </c>
      <c r="E101" t="s">
        <v>26</v>
      </c>
      <c r="F101">
        <v>2</v>
      </c>
    </row>
    <row r="102" spans="1:6">
      <c r="A102">
        <f t="shared" si="9"/>
        <v>96</v>
      </c>
      <c r="B102">
        <v>484</v>
      </c>
      <c r="C102">
        <v>0.93</v>
      </c>
      <c r="D102">
        <v>0.4</v>
      </c>
      <c r="E102" s="5" t="s">
        <v>28</v>
      </c>
      <c r="F102">
        <v>2</v>
      </c>
    </row>
    <row r="103" ht="13.9" spans="1:6">
      <c r="A103">
        <f t="shared" si="9"/>
        <v>97</v>
      </c>
      <c r="B103">
        <v>485</v>
      </c>
      <c r="C103">
        <v>1.23333333333333</v>
      </c>
      <c r="D103">
        <v>0.2</v>
      </c>
      <c r="E103" t="s">
        <v>26</v>
      </c>
      <c r="F103">
        <v>2</v>
      </c>
    </row>
    <row r="104" ht="13.9" spans="1:6">
      <c r="A104">
        <f t="shared" si="9"/>
        <v>98</v>
      </c>
      <c r="B104">
        <v>487</v>
      </c>
      <c r="C104">
        <f>207/30</f>
        <v>6.9</v>
      </c>
      <c r="D104">
        <v>0.4</v>
      </c>
      <c r="E104" t="s">
        <v>26</v>
      </c>
      <c r="F104">
        <v>2</v>
      </c>
    </row>
    <row r="105" spans="1:6">
      <c r="A105">
        <f t="shared" si="9"/>
        <v>99</v>
      </c>
      <c r="B105">
        <v>489</v>
      </c>
      <c r="C105">
        <v>4.75</v>
      </c>
      <c r="D105">
        <v>0.6</v>
      </c>
      <c r="E105" s="5" t="s">
        <v>27</v>
      </c>
      <c r="F105">
        <v>2</v>
      </c>
    </row>
    <row r="106" ht="13.9" spans="1:6">
      <c r="A106">
        <f t="shared" si="9"/>
        <v>100</v>
      </c>
      <c r="B106">
        <v>488</v>
      </c>
      <c r="C106">
        <v>8.7</v>
      </c>
      <c r="D106">
        <v>0.6</v>
      </c>
      <c r="E106" t="s">
        <v>26</v>
      </c>
      <c r="F106">
        <v>2</v>
      </c>
    </row>
    <row r="107" ht="13.9" spans="1:6">
      <c r="A107">
        <f t="shared" si="9"/>
        <v>101</v>
      </c>
      <c r="B107">
        <v>471</v>
      </c>
      <c r="C107">
        <f>211/30</f>
        <v>7.03333333333333</v>
      </c>
      <c r="D107">
        <v>0.6</v>
      </c>
      <c r="E107" t="s">
        <v>26</v>
      </c>
      <c r="F107">
        <v>2</v>
      </c>
    </row>
    <row r="108" spans="1:6">
      <c r="A108">
        <f t="shared" ref="A108:A117" si="10">ROW()-6</f>
        <v>102</v>
      </c>
      <c r="B108">
        <v>475</v>
      </c>
      <c r="C108">
        <v>7.15</v>
      </c>
      <c r="D108">
        <v>0.6</v>
      </c>
      <c r="E108" s="5" t="s">
        <v>27</v>
      </c>
      <c r="F108">
        <v>2</v>
      </c>
    </row>
    <row r="109" ht="13.9" spans="1:6">
      <c r="A109">
        <f t="shared" si="10"/>
        <v>103</v>
      </c>
      <c r="B109">
        <v>475</v>
      </c>
      <c r="C109">
        <v>8</v>
      </c>
      <c r="D109">
        <v>0.4</v>
      </c>
      <c r="E109" t="s">
        <v>26</v>
      </c>
      <c r="F109">
        <v>2</v>
      </c>
    </row>
    <row r="110" ht="13.9" spans="1:6">
      <c r="A110">
        <f t="shared" si="10"/>
        <v>104</v>
      </c>
      <c r="B110" s="2">
        <v>491</v>
      </c>
      <c r="C110">
        <v>1.45</v>
      </c>
      <c r="D110">
        <v>0.4</v>
      </c>
      <c r="E110" t="s">
        <v>26</v>
      </c>
      <c r="F110">
        <v>2</v>
      </c>
    </row>
    <row r="111" ht="13.9" spans="1:6">
      <c r="A111">
        <f t="shared" si="10"/>
        <v>105</v>
      </c>
      <c r="B111" s="2">
        <v>494</v>
      </c>
      <c r="C111">
        <v>2.8</v>
      </c>
      <c r="D111">
        <v>0.4</v>
      </c>
      <c r="E111" t="s">
        <v>26</v>
      </c>
      <c r="F111">
        <v>2</v>
      </c>
    </row>
    <row r="112" ht="13.9" spans="1:6">
      <c r="A112">
        <f t="shared" si="10"/>
        <v>106</v>
      </c>
      <c r="B112" s="2">
        <v>494</v>
      </c>
      <c r="C112">
        <v>3.2</v>
      </c>
      <c r="D112">
        <v>0.4</v>
      </c>
      <c r="E112" t="s">
        <v>26</v>
      </c>
      <c r="F112">
        <v>2</v>
      </c>
    </row>
    <row r="113" ht="13.9" spans="1:6">
      <c r="A113">
        <f t="shared" si="10"/>
        <v>107</v>
      </c>
      <c r="B113" s="2">
        <v>494</v>
      </c>
      <c r="C113">
        <v>3.6</v>
      </c>
      <c r="D113">
        <v>0.4</v>
      </c>
      <c r="E113" t="s">
        <v>26</v>
      </c>
      <c r="F113">
        <v>2</v>
      </c>
    </row>
    <row r="114" spans="1:6">
      <c r="A114">
        <f t="shared" si="10"/>
        <v>108</v>
      </c>
      <c r="B114" s="2">
        <v>492</v>
      </c>
      <c r="C114">
        <v>3.3</v>
      </c>
      <c r="D114">
        <v>0.4</v>
      </c>
      <c r="E114" s="5" t="s">
        <v>28</v>
      </c>
      <c r="F114">
        <v>0</v>
      </c>
    </row>
    <row r="115" ht="13.9" spans="1:6">
      <c r="A115">
        <f t="shared" si="10"/>
        <v>109</v>
      </c>
      <c r="B115">
        <v>499</v>
      </c>
      <c r="C115">
        <f>34/30</f>
        <v>1.13333333333333</v>
      </c>
      <c r="D115">
        <v>0.15</v>
      </c>
      <c r="E115" t="s">
        <v>26</v>
      </c>
      <c r="F115">
        <v>2</v>
      </c>
    </row>
    <row r="116" ht="13.9" spans="1:6">
      <c r="A116">
        <f t="shared" si="10"/>
        <v>110</v>
      </c>
      <c r="B116">
        <v>507</v>
      </c>
      <c r="C116">
        <f>34/30</f>
        <v>1.13333333333333</v>
      </c>
      <c r="D116">
        <v>0.15</v>
      </c>
      <c r="E116" t="s">
        <v>26</v>
      </c>
      <c r="F116">
        <v>2</v>
      </c>
    </row>
    <row r="117" ht="13.9" spans="1:6">
      <c r="A117">
        <f t="shared" si="10"/>
        <v>111</v>
      </c>
      <c r="B117">
        <v>506</v>
      </c>
      <c r="C117">
        <f>54/30</f>
        <v>1.8</v>
      </c>
      <c r="D117">
        <v>0.15</v>
      </c>
      <c r="E117" t="s">
        <v>26</v>
      </c>
      <c r="F117">
        <v>2</v>
      </c>
    </row>
    <row r="118" ht="13.9" spans="1:6">
      <c r="A118">
        <f t="shared" ref="A118:A127" si="11">ROW()-6</f>
        <v>112</v>
      </c>
      <c r="B118">
        <v>510</v>
      </c>
      <c r="C118">
        <f>49/30</f>
        <v>1.63333333333333</v>
      </c>
      <c r="D118">
        <v>0.15</v>
      </c>
      <c r="E118" t="s">
        <v>26</v>
      </c>
      <c r="F118">
        <v>2</v>
      </c>
    </row>
    <row r="119" spans="1:6">
      <c r="A119">
        <f t="shared" si="11"/>
        <v>113</v>
      </c>
      <c r="B119">
        <v>503</v>
      </c>
      <c r="C119">
        <f>224/30</f>
        <v>7.46666666666667</v>
      </c>
      <c r="D119">
        <v>0.2</v>
      </c>
      <c r="E119" s="5" t="s">
        <v>28</v>
      </c>
      <c r="F119">
        <v>2</v>
      </c>
    </row>
    <row r="120" ht="13.9" spans="1:6">
      <c r="A120">
        <f t="shared" si="11"/>
        <v>114</v>
      </c>
      <c r="B120">
        <v>516</v>
      </c>
      <c r="C120">
        <v>7.03</v>
      </c>
      <c r="D120">
        <v>0.4</v>
      </c>
      <c r="E120" t="s">
        <v>26</v>
      </c>
      <c r="F120">
        <v>2</v>
      </c>
    </row>
    <row r="121" ht="13.9" spans="1:6">
      <c r="A121">
        <f t="shared" si="11"/>
        <v>115</v>
      </c>
      <c r="B121">
        <v>496</v>
      </c>
      <c r="C121">
        <f>210/30</f>
        <v>7</v>
      </c>
      <c r="D121">
        <v>0.45</v>
      </c>
      <c r="E121" t="s">
        <v>26</v>
      </c>
      <c r="F121">
        <v>2</v>
      </c>
    </row>
    <row r="122" ht="13.9" spans="1:6">
      <c r="A122">
        <f t="shared" si="11"/>
        <v>116</v>
      </c>
      <c r="B122">
        <v>519</v>
      </c>
      <c r="C122">
        <f>52/30</f>
        <v>1.73333333333333</v>
      </c>
      <c r="D122">
        <v>0.25</v>
      </c>
      <c r="E122" t="s">
        <v>26</v>
      </c>
      <c r="F122">
        <v>2</v>
      </c>
    </row>
    <row r="123" ht="13.9" spans="1:6">
      <c r="A123">
        <f t="shared" si="11"/>
        <v>117</v>
      </c>
      <c r="B123">
        <v>520</v>
      </c>
      <c r="C123">
        <f>21/30</f>
        <v>0.7</v>
      </c>
      <c r="D123">
        <v>0.2</v>
      </c>
      <c r="E123" t="s">
        <v>26</v>
      </c>
      <c r="F123">
        <v>2</v>
      </c>
    </row>
    <row r="124" ht="13.9" spans="1:6">
      <c r="A124">
        <f t="shared" si="11"/>
        <v>118</v>
      </c>
      <c r="B124">
        <v>520</v>
      </c>
      <c r="C124">
        <v>1</v>
      </c>
      <c r="D124">
        <v>0.2</v>
      </c>
      <c r="E124" t="s">
        <v>26</v>
      </c>
      <c r="F124">
        <v>2</v>
      </c>
    </row>
    <row r="125" ht="13.9" spans="1:6">
      <c r="A125">
        <f t="shared" si="11"/>
        <v>119</v>
      </c>
      <c r="B125">
        <v>520</v>
      </c>
      <c r="C125">
        <f>49/30</f>
        <v>1.63333333333333</v>
      </c>
      <c r="D125">
        <v>0.2</v>
      </c>
      <c r="E125" t="s">
        <v>26</v>
      </c>
      <c r="F125">
        <v>2</v>
      </c>
    </row>
    <row r="126" ht="13.9" spans="1:6">
      <c r="A126">
        <f t="shared" si="11"/>
        <v>120</v>
      </c>
      <c r="B126">
        <v>10340</v>
      </c>
      <c r="C126">
        <f>26/30</f>
        <v>0.866666666666667</v>
      </c>
      <c r="D126">
        <v>0.25</v>
      </c>
      <c r="E126" t="s">
        <v>26</v>
      </c>
      <c r="F126">
        <v>2</v>
      </c>
    </row>
    <row r="127" ht="13.9" spans="1:6">
      <c r="A127">
        <f t="shared" si="11"/>
        <v>121</v>
      </c>
      <c r="B127">
        <v>10341</v>
      </c>
      <c r="C127">
        <f>29/30</f>
        <v>0.966666666666667</v>
      </c>
      <c r="D127">
        <v>0.2</v>
      </c>
      <c r="E127" t="s">
        <v>26</v>
      </c>
      <c r="F127">
        <v>2</v>
      </c>
    </row>
    <row r="128" ht="13.9" spans="1:6">
      <c r="A128">
        <f t="shared" ref="A128:A137" si="12">ROW()-6</f>
        <v>122</v>
      </c>
      <c r="B128">
        <v>10327</v>
      </c>
      <c r="C128">
        <f>5/30</f>
        <v>0.166666666666667</v>
      </c>
      <c r="D128">
        <v>0.2</v>
      </c>
      <c r="E128" t="s">
        <v>26</v>
      </c>
      <c r="F128">
        <v>2</v>
      </c>
    </row>
    <row r="129" ht="13.9" spans="1:6">
      <c r="A129">
        <f t="shared" si="12"/>
        <v>123</v>
      </c>
      <c r="B129">
        <v>10330</v>
      </c>
      <c r="C129">
        <v>2.1</v>
      </c>
      <c r="D129">
        <v>0.2</v>
      </c>
      <c r="E129" t="s">
        <v>26</v>
      </c>
      <c r="F129">
        <v>2</v>
      </c>
    </row>
    <row r="130" ht="13.9" spans="1:6">
      <c r="A130">
        <f t="shared" si="12"/>
        <v>124</v>
      </c>
      <c r="B130" s="4">
        <v>10378</v>
      </c>
      <c r="C130">
        <v>6.95</v>
      </c>
      <c r="D130">
        <v>0.4</v>
      </c>
      <c r="E130" t="s">
        <v>26</v>
      </c>
      <c r="F130">
        <v>2</v>
      </c>
    </row>
    <row r="131" ht="13.9" spans="1:6">
      <c r="A131">
        <f t="shared" si="12"/>
        <v>125</v>
      </c>
      <c r="B131">
        <v>10379</v>
      </c>
      <c r="C131">
        <f>26/30</f>
        <v>0.866666666666667</v>
      </c>
      <c r="D131">
        <v>0.25</v>
      </c>
      <c r="E131" t="s">
        <v>26</v>
      </c>
      <c r="F131">
        <v>2</v>
      </c>
    </row>
    <row r="132" spans="1:6">
      <c r="A132">
        <f t="shared" si="12"/>
        <v>126</v>
      </c>
      <c r="B132">
        <v>535</v>
      </c>
      <c r="C132">
        <v>0.833333333333333</v>
      </c>
      <c r="D132">
        <v>0.4</v>
      </c>
      <c r="E132" s="5" t="s">
        <v>27</v>
      </c>
      <c r="F132">
        <v>2</v>
      </c>
    </row>
    <row r="133" spans="1:6">
      <c r="A133">
        <f t="shared" si="12"/>
        <v>127</v>
      </c>
      <c r="B133">
        <v>536</v>
      </c>
      <c r="C133">
        <v>1.83</v>
      </c>
      <c r="D133">
        <v>0.2</v>
      </c>
      <c r="E133" s="5" t="s">
        <v>25</v>
      </c>
      <c r="F133">
        <v>0</v>
      </c>
    </row>
    <row r="134" ht="13.9" spans="1:12">
      <c r="A134">
        <f t="shared" si="12"/>
        <v>128</v>
      </c>
      <c r="B134">
        <v>538</v>
      </c>
      <c r="C134">
        <v>1.6</v>
      </c>
      <c r="D134">
        <v>0.6</v>
      </c>
      <c r="E134" t="s">
        <v>26</v>
      </c>
      <c r="F134">
        <v>1</v>
      </c>
      <c r="G134" s="6">
        <v>128</v>
      </c>
      <c r="H134" s="6">
        <v>537</v>
      </c>
      <c r="I134" s="6">
        <v>1.93333333333333</v>
      </c>
      <c r="J134" s="6">
        <v>0.2</v>
      </c>
      <c r="K134" s="6" t="s">
        <v>26</v>
      </c>
      <c r="L134" s="6">
        <v>2</v>
      </c>
    </row>
    <row r="135" ht="13.9" spans="1:6">
      <c r="A135">
        <f t="shared" si="12"/>
        <v>129</v>
      </c>
      <c r="B135">
        <v>541</v>
      </c>
      <c r="C135">
        <v>5.8</v>
      </c>
      <c r="D135">
        <v>0.7</v>
      </c>
      <c r="E135" t="s">
        <v>26</v>
      </c>
      <c r="F135">
        <v>0</v>
      </c>
    </row>
    <row r="136" ht="13.9" spans="1:6">
      <c r="A136">
        <f t="shared" si="12"/>
        <v>130</v>
      </c>
      <c r="B136">
        <v>542</v>
      </c>
      <c r="C136">
        <v>7.9</v>
      </c>
      <c r="D136">
        <v>0.7</v>
      </c>
      <c r="E136" t="s">
        <v>26</v>
      </c>
      <c r="F136">
        <v>0</v>
      </c>
    </row>
    <row r="137" ht="13.9" spans="1:6">
      <c r="A137">
        <f t="shared" si="12"/>
        <v>131</v>
      </c>
      <c r="B137">
        <v>532</v>
      </c>
      <c r="C137" s="7">
        <f>323/30</f>
        <v>10.7666666666667</v>
      </c>
      <c r="D137">
        <v>0.25</v>
      </c>
      <c r="E137" t="s">
        <v>26</v>
      </c>
      <c r="F137">
        <v>0</v>
      </c>
    </row>
    <row r="138" ht="13.9" spans="1:6">
      <c r="A138">
        <f t="shared" ref="A138:A147" si="13">ROW()-6</f>
        <v>132</v>
      </c>
      <c r="B138">
        <v>532</v>
      </c>
      <c r="C138" s="7">
        <f>333/30</f>
        <v>11.1</v>
      </c>
      <c r="D138">
        <v>0.25</v>
      </c>
      <c r="E138" t="s">
        <v>26</v>
      </c>
      <c r="F138">
        <v>0</v>
      </c>
    </row>
    <row r="139" spans="1:6">
      <c r="A139">
        <f t="shared" si="13"/>
        <v>133</v>
      </c>
      <c r="B139">
        <v>527</v>
      </c>
      <c r="C139">
        <f>82/30</f>
        <v>2.73333333333333</v>
      </c>
      <c r="D139">
        <v>0.5</v>
      </c>
      <c r="E139" s="5" t="s">
        <v>25</v>
      </c>
      <c r="F139">
        <v>0</v>
      </c>
    </row>
    <row r="140" spans="1:6">
      <c r="A140">
        <f t="shared" si="13"/>
        <v>134</v>
      </c>
      <c r="B140">
        <v>534</v>
      </c>
      <c r="C140">
        <f>290/30</f>
        <v>9.66666666666667</v>
      </c>
      <c r="D140">
        <v>0.6</v>
      </c>
      <c r="E140" s="5" t="s">
        <v>25</v>
      </c>
      <c r="F140">
        <v>2</v>
      </c>
    </row>
    <row r="141" ht="13.9" spans="1:6">
      <c r="A141">
        <f t="shared" si="13"/>
        <v>135</v>
      </c>
      <c r="B141">
        <v>551</v>
      </c>
      <c r="C141">
        <v>5.8</v>
      </c>
      <c r="D141">
        <v>0.7</v>
      </c>
      <c r="E141" t="s">
        <v>26</v>
      </c>
      <c r="F141">
        <v>0</v>
      </c>
    </row>
    <row r="142" ht="13.9" spans="1:6">
      <c r="A142">
        <f t="shared" si="13"/>
        <v>136</v>
      </c>
      <c r="B142">
        <v>543</v>
      </c>
      <c r="C142">
        <f>43/30</f>
        <v>1.43333333333333</v>
      </c>
      <c r="D142">
        <v>0.3</v>
      </c>
      <c r="E142" t="s">
        <v>26</v>
      </c>
      <c r="F142">
        <v>2</v>
      </c>
    </row>
    <row r="143" ht="13.9" spans="1:6">
      <c r="A143">
        <f t="shared" si="13"/>
        <v>137</v>
      </c>
      <c r="B143">
        <v>546</v>
      </c>
      <c r="C143">
        <f>46/30</f>
        <v>1.53333333333333</v>
      </c>
      <c r="D143">
        <v>0.4</v>
      </c>
      <c r="E143" t="s">
        <v>26</v>
      </c>
      <c r="F143">
        <v>2</v>
      </c>
    </row>
    <row r="144" ht="13.9" spans="1:6">
      <c r="A144">
        <f t="shared" si="13"/>
        <v>138</v>
      </c>
      <c r="B144">
        <v>549</v>
      </c>
      <c r="C144">
        <v>5.0333333</v>
      </c>
      <c r="D144">
        <v>0.45</v>
      </c>
      <c r="E144" t="s">
        <v>26</v>
      </c>
      <c r="F144">
        <v>0</v>
      </c>
    </row>
    <row r="145" ht="13.9" spans="1:6">
      <c r="A145">
        <f t="shared" si="13"/>
        <v>139</v>
      </c>
      <c r="B145">
        <v>544</v>
      </c>
      <c r="C145">
        <v>4.56666667</v>
      </c>
      <c r="D145">
        <v>0.25</v>
      </c>
      <c r="E145" t="s">
        <v>26</v>
      </c>
      <c r="F145">
        <v>2</v>
      </c>
    </row>
    <row r="146" ht="13.9" spans="1:6">
      <c r="A146">
        <f t="shared" si="13"/>
        <v>140</v>
      </c>
      <c r="B146">
        <v>545</v>
      </c>
      <c r="C146">
        <v>2.5666667</v>
      </c>
      <c r="D146">
        <v>0.2</v>
      </c>
      <c r="E146" t="s">
        <v>26</v>
      </c>
      <c r="F146">
        <v>2</v>
      </c>
    </row>
    <row r="147" ht="13.9" spans="1:6">
      <c r="A147">
        <f t="shared" si="13"/>
        <v>141</v>
      </c>
      <c r="B147">
        <v>553</v>
      </c>
      <c r="C147">
        <f>43/30</f>
        <v>1.43333333333333</v>
      </c>
      <c r="D147">
        <v>0.3</v>
      </c>
      <c r="E147" t="s">
        <v>26</v>
      </c>
      <c r="F147">
        <v>2</v>
      </c>
    </row>
    <row r="148" ht="13.9" spans="1:6">
      <c r="A148">
        <f t="shared" ref="A148:A157" si="14">ROW()-6</f>
        <v>142</v>
      </c>
      <c r="B148">
        <v>556</v>
      </c>
      <c r="C148">
        <f>46/30</f>
        <v>1.53333333333333</v>
      </c>
      <c r="D148">
        <v>0.4</v>
      </c>
      <c r="E148" t="s">
        <v>26</v>
      </c>
      <c r="F148">
        <v>2</v>
      </c>
    </row>
    <row r="149" spans="1:6">
      <c r="A149">
        <f t="shared" si="14"/>
        <v>143</v>
      </c>
      <c r="B149">
        <v>556</v>
      </c>
      <c r="C149">
        <v>1.8</v>
      </c>
      <c r="D149">
        <v>0.4</v>
      </c>
      <c r="E149" t="s">
        <v>25</v>
      </c>
      <c r="F149">
        <v>2</v>
      </c>
    </row>
    <row r="150" spans="1:6">
      <c r="A150">
        <f t="shared" si="14"/>
        <v>144</v>
      </c>
      <c r="B150">
        <v>556</v>
      </c>
      <c r="C150">
        <v>2</v>
      </c>
      <c r="D150">
        <v>0.4</v>
      </c>
      <c r="E150" t="s">
        <v>25</v>
      </c>
      <c r="F150">
        <v>2</v>
      </c>
    </row>
    <row r="151" ht="13.9" spans="1:6">
      <c r="A151">
        <f t="shared" si="14"/>
        <v>145</v>
      </c>
      <c r="B151">
        <v>559</v>
      </c>
      <c r="C151">
        <v>5.0333333</v>
      </c>
      <c r="D151">
        <v>0.45</v>
      </c>
      <c r="E151" t="s">
        <v>26</v>
      </c>
      <c r="F151">
        <v>0</v>
      </c>
    </row>
    <row r="152" ht="13.9" spans="1:6">
      <c r="A152">
        <f t="shared" si="14"/>
        <v>146</v>
      </c>
      <c r="B152">
        <v>554</v>
      </c>
      <c r="C152">
        <v>4.56666667</v>
      </c>
      <c r="D152">
        <v>0.25</v>
      </c>
      <c r="E152" t="s">
        <v>26</v>
      </c>
      <c r="F152">
        <v>2</v>
      </c>
    </row>
    <row r="153" spans="1:6">
      <c r="A153">
        <f t="shared" si="14"/>
        <v>147</v>
      </c>
      <c r="B153">
        <v>555</v>
      </c>
      <c r="C153">
        <v>2.5666667</v>
      </c>
      <c r="D153">
        <v>0.2</v>
      </c>
      <c r="E153" t="s">
        <v>25</v>
      </c>
      <c r="F153">
        <v>2</v>
      </c>
    </row>
    <row r="154" spans="1:6">
      <c r="A154">
        <f t="shared" si="14"/>
        <v>148</v>
      </c>
      <c r="B154">
        <v>561</v>
      </c>
      <c r="C154">
        <f>290/30</f>
        <v>9.66666666666667</v>
      </c>
      <c r="D154">
        <v>0.6</v>
      </c>
      <c r="E154" s="5" t="s">
        <v>25</v>
      </c>
      <c r="F154">
        <v>2</v>
      </c>
    </row>
    <row r="155" spans="1:6">
      <c r="A155">
        <f t="shared" si="14"/>
        <v>149</v>
      </c>
      <c r="B155">
        <v>562</v>
      </c>
      <c r="C155">
        <v>0.3</v>
      </c>
      <c r="D155">
        <v>0.2</v>
      </c>
      <c r="E155" s="5" t="s">
        <v>28</v>
      </c>
      <c r="F155">
        <v>2</v>
      </c>
    </row>
    <row r="156" spans="1:6">
      <c r="A156">
        <f t="shared" si="14"/>
        <v>150</v>
      </c>
      <c r="B156">
        <v>562</v>
      </c>
      <c r="C156">
        <v>0.633333333333333</v>
      </c>
      <c r="D156">
        <v>0.2</v>
      </c>
      <c r="E156" s="5" t="s">
        <v>28</v>
      </c>
      <c r="F156">
        <v>2</v>
      </c>
    </row>
    <row r="157" spans="1:6">
      <c r="A157">
        <f t="shared" si="14"/>
        <v>151</v>
      </c>
      <c r="B157">
        <v>562</v>
      </c>
      <c r="C157">
        <v>0.933333333333333</v>
      </c>
      <c r="D157">
        <v>0.2</v>
      </c>
      <c r="E157" s="5" t="s">
        <v>28</v>
      </c>
      <c r="F157">
        <v>2</v>
      </c>
    </row>
    <row r="158" spans="1:6">
      <c r="A158">
        <f t="shared" ref="A158:A167" si="15">ROW()-6</f>
        <v>152</v>
      </c>
      <c r="B158">
        <v>562</v>
      </c>
      <c r="C158">
        <v>1.43333333333333</v>
      </c>
      <c r="D158">
        <v>0.2</v>
      </c>
      <c r="E158" s="5" t="s">
        <v>28</v>
      </c>
      <c r="F158">
        <v>1</v>
      </c>
    </row>
    <row r="159" spans="1:6">
      <c r="A159">
        <f t="shared" si="15"/>
        <v>153</v>
      </c>
      <c r="B159">
        <v>562</v>
      </c>
      <c r="C159">
        <v>1.56666666666667</v>
      </c>
      <c r="D159">
        <v>0.2</v>
      </c>
      <c r="E159" s="5" t="s">
        <v>28</v>
      </c>
      <c r="F159">
        <v>1</v>
      </c>
    </row>
    <row r="160" spans="1:6">
      <c r="A160">
        <f t="shared" si="15"/>
        <v>154</v>
      </c>
      <c r="B160">
        <v>562</v>
      </c>
      <c r="C160">
        <v>1.7</v>
      </c>
      <c r="D160">
        <v>0.2</v>
      </c>
      <c r="E160" s="5" t="s">
        <v>28</v>
      </c>
      <c r="F160">
        <v>2</v>
      </c>
    </row>
    <row r="161" spans="1:6">
      <c r="A161">
        <f t="shared" si="15"/>
        <v>155</v>
      </c>
      <c r="B161">
        <v>563</v>
      </c>
      <c r="C161">
        <v>0.8</v>
      </c>
      <c r="D161">
        <v>0.2</v>
      </c>
      <c r="E161" s="5" t="s">
        <v>28</v>
      </c>
      <c r="F161">
        <v>0</v>
      </c>
    </row>
    <row r="162" spans="1:6">
      <c r="A162">
        <f t="shared" si="15"/>
        <v>156</v>
      </c>
      <c r="B162">
        <v>564</v>
      </c>
      <c r="C162">
        <v>2.76666666666</v>
      </c>
      <c r="D162">
        <v>0.1</v>
      </c>
      <c r="E162" s="5" t="s">
        <v>25</v>
      </c>
      <c r="F162">
        <v>2</v>
      </c>
    </row>
    <row r="163" spans="1:6">
      <c r="A163">
        <f t="shared" si="15"/>
        <v>157</v>
      </c>
      <c r="B163">
        <v>564</v>
      </c>
      <c r="C163">
        <v>2.8666666666666</v>
      </c>
      <c r="D163">
        <v>0.1</v>
      </c>
      <c r="E163" s="5" t="s">
        <v>25</v>
      </c>
      <c r="F163">
        <v>2</v>
      </c>
    </row>
    <row r="164" spans="1:6">
      <c r="A164">
        <f t="shared" si="15"/>
        <v>158</v>
      </c>
      <c r="B164">
        <v>564</v>
      </c>
      <c r="C164">
        <v>2.96666666666</v>
      </c>
      <c r="D164">
        <v>0.1</v>
      </c>
      <c r="E164" s="5" t="s">
        <v>25</v>
      </c>
      <c r="F164">
        <v>2</v>
      </c>
    </row>
    <row r="165" spans="1:6">
      <c r="A165">
        <f t="shared" si="15"/>
        <v>159</v>
      </c>
      <c r="B165">
        <v>565</v>
      </c>
      <c r="C165">
        <f>2.98333333333333+0.3</f>
        <v>3.28333333333333</v>
      </c>
      <c r="D165">
        <v>0.25</v>
      </c>
      <c r="E165" s="5" t="s">
        <v>25</v>
      </c>
      <c r="F165">
        <v>2</v>
      </c>
    </row>
    <row r="166" spans="1:6">
      <c r="A166">
        <f t="shared" si="15"/>
        <v>160</v>
      </c>
      <c r="B166">
        <v>10389</v>
      </c>
      <c r="C166">
        <f>25/30</f>
        <v>0.833333333333333</v>
      </c>
      <c r="D166">
        <v>0.2</v>
      </c>
      <c r="E166" s="5" t="s">
        <v>25</v>
      </c>
      <c r="F166">
        <v>2</v>
      </c>
    </row>
    <row r="167" spans="1:6">
      <c r="A167">
        <f t="shared" si="15"/>
        <v>161</v>
      </c>
      <c r="B167">
        <v>10389</v>
      </c>
      <c r="C167">
        <f>34/30</f>
        <v>1.13333333333333</v>
      </c>
      <c r="D167">
        <v>0.35</v>
      </c>
      <c r="E167" s="5" t="s">
        <v>25</v>
      </c>
      <c r="F167">
        <v>2</v>
      </c>
    </row>
    <row r="168" spans="1:6">
      <c r="A168">
        <f t="shared" ref="A168:A177" si="16">ROW()-6</f>
        <v>162</v>
      </c>
      <c r="B168">
        <v>567</v>
      </c>
      <c r="C168">
        <f>131/30</f>
        <v>4.36666666666667</v>
      </c>
      <c r="D168">
        <v>0.3</v>
      </c>
      <c r="E168" s="5" t="s">
        <v>25</v>
      </c>
      <c r="F168">
        <v>2</v>
      </c>
    </row>
    <row r="169" spans="1:6">
      <c r="A169">
        <f t="shared" si="16"/>
        <v>163</v>
      </c>
      <c r="B169">
        <v>570</v>
      </c>
      <c r="C169">
        <f>131/30</f>
        <v>4.36666666666667</v>
      </c>
      <c r="D169">
        <v>0.3</v>
      </c>
      <c r="E169" s="5" t="s">
        <v>25</v>
      </c>
      <c r="F169">
        <v>2</v>
      </c>
    </row>
    <row r="170" spans="1:6">
      <c r="A170">
        <f t="shared" si="16"/>
        <v>164</v>
      </c>
      <c r="B170">
        <v>568</v>
      </c>
      <c r="C170">
        <f>237/30</f>
        <v>7.9</v>
      </c>
      <c r="D170">
        <v>0.2</v>
      </c>
      <c r="E170" s="5" t="s">
        <v>25</v>
      </c>
      <c r="F170">
        <v>2</v>
      </c>
    </row>
    <row r="171" spans="1:6">
      <c r="A171">
        <f t="shared" si="16"/>
        <v>165</v>
      </c>
      <c r="B171">
        <v>560</v>
      </c>
      <c r="C171">
        <f>240/30</f>
        <v>8</v>
      </c>
      <c r="D171">
        <v>1.5</v>
      </c>
      <c r="E171" s="5" t="s">
        <v>27</v>
      </c>
      <c r="F171">
        <v>0</v>
      </c>
    </row>
    <row r="172" spans="1:6">
      <c r="A172">
        <f t="shared" si="16"/>
        <v>166</v>
      </c>
      <c r="B172">
        <v>576</v>
      </c>
      <c r="C172">
        <v>7.9</v>
      </c>
      <c r="D172">
        <v>0.5</v>
      </c>
      <c r="E172" s="5" t="s">
        <v>25</v>
      </c>
      <c r="F172" s="5">
        <v>0</v>
      </c>
    </row>
    <row r="173" spans="1:6">
      <c r="A173">
        <f t="shared" si="16"/>
        <v>167</v>
      </c>
      <c r="B173">
        <v>578</v>
      </c>
      <c r="C173">
        <f>234/30</f>
        <v>7.8</v>
      </c>
      <c r="D173">
        <v>0.15</v>
      </c>
      <c r="E173" s="5" t="s">
        <v>25</v>
      </c>
      <c r="F173">
        <v>2</v>
      </c>
    </row>
    <row r="174" spans="1:6">
      <c r="A174">
        <f t="shared" si="16"/>
        <v>168</v>
      </c>
      <c r="B174">
        <v>578</v>
      </c>
      <c r="C174">
        <f>261/30</f>
        <v>8.7</v>
      </c>
      <c r="D174">
        <v>0.15</v>
      </c>
      <c r="E174" s="5" t="s">
        <v>25</v>
      </c>
      <c r="F174">
        <v>2</v>
      </c>
    </row>
    <row r="175" spans="1:6">
      <c r="A175">
        <f t="shared" si="16"/>
        <v>169</v>
      </c>
      <c r="B175">
        <v>579</v>
      </c>
      <c r="C175">
        <v>1.63333333333333</v>
      </c>
      <c r="D175">
        <v>0.6</v>
      </c>
      <c r="E175" s="5" t="s">
        <v>28</v>
      </c>
      <c r="F175">
        <v>2</v>
      </c>
    </row>
    <row r="176" spans="1:6">
      <c r="A176">
        <f t="shared" si="16"/>
        <v>170</v>
      </c>
      <c r="B176">
        <v>581</v>
      </c>
      <c r="C176">
        <v>1.1</v>
      </c>
      <c r="D176">
        <v>0.6</v>
      </c>
      <c r="E176" s="5" t="s">
        <v>28</v>
      </c>
      <c r="F176">
        <v>2</v>
      </c>
    </row>
    <row r="177" spans="1:6">
      <c r="A177">
        <f t="shared" si="16"/>
        <v>171</v>
      </c>
      <c r="B177">
        <v>582</v>
      </c>
      <c r="C177">
        <v>1.8</v>
      </c>
      <c r="D177">
        <v>0.6</v>
      </c>
      <c r="E177" s="5" t="s">
        <v>28</v>
      </c>
      <c r="F177">
        <v>2</v>
      </c>
    </row>
    <row r="178" spans="1:6">
      <c r="A178">
        <f t="shared" ref="A178:A187" si="17">ROW()-6</f>
        <v>172</v>
      </c>
      <c r="B178">
        <v>10401</v>
      </c>
      <c r="C178">
        <f>32/30</f>
        <v>1.06666666666667</v>
      </c>
      <c r="D178">
        <v>0.2</v>
      </c>
      <c r="E178" s="5" t="s">
        <v>25</v>
      </c>
      <c r="F178">
        <v>2</v>
      </c>
    </row>
    <row r="179" spans="1:6">
      <c r="A179">
        <f t="shared" si="17"/>
        <v>173</v>
      </c>
      <c r="B179">
        <v>10418</v>
      </c>
      <c r="C179">
        <f>83/30</f>
        <v>2.76666666666667</v>
      </c>
      <c r="D179">
        <v>0.2</v>
      </c>
      <c r="E179" s="5" t="s">
        <v>25</v>
      </c>
      <c r="F179">
        <v>2</v>
      </c>
    </row>
    <row r="180" spans="1:6">
      <c r="A180">
        <f t="shared" si="17"/>
        <v>174</v>
      </c>
      <c r="B180">
        <v>590</v>
      </c>
      <c r="C180">
        <v>0.2</v>
      </c>
      <c r="D180">
        <v>0.2</v>
      </c>
      <c r="E180" s="5" t="s">
        <v>28</v>
      </c>
      <c r="F180">
        <v>2</v>
      </c>
    </row>
    <row r="181" spans="1:6">
      <c r="A181">
        <f t="shared" si="17"/>
        <v>175</v>
      </c>
      <c r="B181">
        <v>590</v>
      </c>
      <c r="C181">
        <v>0.666666666666667</v>
      </c>
      <c r="D181">
        <v>0</v>
      </c>
      <c r="E181" s="5" t="s">
        <v>27</v>
      </c>
      <c r="F181">
        <v>1</v>
      </c>
    </row>
    <row r="182" spans="1:6">
      <c r="A182">
        <f t="shared" si="17"/>
        <v>176</v>
      </c>
      <c r="B182">
        <v>590</v>
      </c>
      <c r="C182">
        <v>0.9</v>
      </c>
      <c r="D182">
        <v>0</v>
      </c>
      <c r="E182" s="5" t="s">
        <v>27</v>
      </c>
      <c r="F182">
        <v>1</v>
      </c>
    </row>
    <row r="183" spans="1:6">
      <c r="A183">
        <f t="shared" si="17"/>
        <v>177</v>
      </c>
      <c r="B183">
        <v>590</v>
      </c>
      <c r="C183">
        <v>1.83333333333333</v>
      </c>
      <c r="D183">
        <v>0.3</v>
      </c>
      <c r="E183" s="5" t="s">
        <v>28</v>
      </c>
      <c r="F183">
        <v>2</v>
      </c>
    </row>
    <row r="184" spans="1:6">
      <c r="A184">
        <f t="shared" si="17"/>
        <v>178</v>
      </c>
      <c r="B184">
        <v>592</v>
      </c>
      <c r="C184">
        <v>1.3</v>
      </c>
      <c r="D184">
        <v>0</v>
      </c>
      <c r="E184" s="5" t="s">
        <v>25</v>
      </c>
      <c r="F184">
        <v>2</v>
      </c>
    </row>
    <row r="185" spans="1:6">
      <c r="A185">
        <f t="shared" si="17"/>
        <v>179</v>
      </c>
      <c r="B185">
        <v>592</v>
      </c>
      <c r="C185">
        <v>1.6</v>
      </c>
      <c r="D185">
        <v>0.2</v>
      </c>
      <c r="E185" s="5" t="s">
        <v>25</v>
      </c>
      <c r="F185">
        <v>2</v>
      </c>
    </row>
    <row r="186" spans="1:6">
      <c r="A186">
        <f t="shared" si="17"/>
        <v>180</v>
      </c>
      <c r="B186">
        <v>592</v>
      </c>
      <c r="C186">
        <v>1.9</v>
      </c>
      <c r="D186">
        <v>0.2</v>
      </c>
      <c r="E186" s="5" t="s">
        <v>25</v>
      </c>
      <c r="F186">
        <v>2</v>
      </c>
    </row>
    <row r="187" spans="1:6">
      <c r="A187">
        <f t="shared" si="17"/>
        <v>181</v>
      </c>
      <c r="B187">
        <v>597</v>
      </c>
      <c r="C187">
        <v>0.966666666666667</v>
      </c>
      <c r="D187">
        <v>0.35</v>
      </c>
      <c r="E187" s="5" t="s">
        <v>25</v>
      </c>
      <c r="F187">
        <v>2</v>
      </c>
    </row>
    <row r="188" spans="1:6">
      <c r="A188">
        <f t="shared" ref="A188:A197" si="18">ROW()-6</f>
        <v>182</v>
      </c>
      <c r="B188">
        <v>612</v>
      </c>
      <c r="C188">
        <f>161/30</f>
        <v>5.36666666666667</v>
      </c>
      <c r="D188">
        <v>0.3</v>
      </c>
      <c r="E188" s="5" t="s">
        <v>27</v>
      </c>
      <c r="F188">
        <v>2</v>
      </c>
    </row>
    <row r="189" spans="1:6">
      <c r="A189">
        <f t="shared" si="18"/>
        <v>183</v>
      </c>
      <c r="B189">
        <v>607</v>
      </c>
      <c r="C189">
        <v>0.54</v>
      </c>
      <c r="D189">
        <v>0.2</v>
      </c>
      <c r="E189" s="5" t="s">
        <v>25</v>
      </c>
      <c r="F189" s="5">
        <v>0</v>
      </c>
    </row>
    <row r="190" spans="1:6">
      <c r="A190">
        <f t="shared" si="18"/>
        <v>184</v>
      </c>
      <c r="B190">
        <v>608</v>
      </c>
      <c r="C190">
        <v>1.21</v>
      </c>
      <c r="D190">
        <v>0.2</v>
      </c>
      <c r="E190" s="5" t="s">
        <v>25</v>
      </c>
      <c r="F190" s="5">
        <v>0</v>
      </c>
    </row>
    <row r="191" spans="1:6">
      <c r="A191">
        <f t="shared" si="18"/>
        <v>185</v>
      </c>
      <c r="B191">
        <v>609</v>
      </c>
      <c r="C191">
        <v>1.14</v>
      </c>
      <c r="D191">
        <v>0.2</v>
      </c>
      <c r="E191" s="5" t="s">
        <v>28</v>
      </c>
      <c r="F191" s="5">
        <v>0</v>
      </c>
    </row>
    <row r="192" spans="1:6">
      <c r="A192">
        <f t="shared" si="18"/>
        <v>186</v>
      </c>
      <c r="B192">
        <v>609</v>
      </c>
      <c r="C192">
        <v>1.6</v>
      </c>
      <c r="D192">
        <v>0.3</v>
      </c>
      <c r="E192" s="5" t="s">
        <v>25</v>
      </c>
      <c r="F192" s="5">
        <v>0</v>
      </c>
    </row>
    <row r="193" spans="1:6">
      <c r="A193">
        <f t="shared" si="18"/>
        <v>187</v>
      </c>
      <c r="B193">
        <v>610</v>
      </c>
      <c r="C193">
        <v>2.26666666666667</v>
      </c>
      <c r="D193">
        <v>0.3</v>
      </c>
      <c r="E193" s="5" t="s">
        <v>25</v>
      </c>
      <c r="F193" s="5">
        <v>2</v>
      </c>
    </row>
    <row r="194" spans="1:6">
      <c r="A194">
        <f t="shared" si="18"/>
        <v>188</v>
      </c>
      <c r="B194">
        <v>610</v>
      </c>
      <c r="C194">
        <v>3.01666666666667</v>
      </c>
      <c r="D194">
        <v>0.3</v>
      </c>
      <c r="E194" s="5" t="s">
        <v>25</v>
      </c>
      <c r="F194" s="5">
        <v>2</v>
      </c>
    </row>
    <row r="195" spans="1:6">
      <c r="A195">
        <f t="shared" si="18"/>
        <v>189</v>
      </c>
      <c r="B195">
        <v>610</v>
      </c>
      <c r="C195">
        <v>3.76666666666667</v>
      </c>
      <c r="D195">
        <v>0.3</v>
      </c>
      <c r="E195" s="5" t="s">
        <v>25</v>
      </c>
      <c r="F195" s="5">
        <v>2</v>
      </c>
    </row>
    <row r="196" spans="1:6">
      <c r="A196">
        <f t="shared" si="18"/>
        <v>190</v>
      </c>
      <c r="B196">
        <v>612</v>
      </c>
      <c r="C196">
        <v>4.8</v>
      </c>
      <c r="D196">
        <v>0.3</v>
      </c>
      <c r="E196" s="5" t="s">
        <v>28</v>
      </c>
      <c r="F196" s="5">
        <v>2</v>
      </c>
    </row>
    <row r="197" spans="1:6">
      <c r="A197">
        <f t="shared" si="18"/>
        <v>191</v>
      </c>
      <c r="B197">
        <v>600</v>
      </c>
      <c r="C197">
        <v>1.35</v>
      </c>
      <c r="D197">
        <v>0.3</v>
      </c>
      <c r="E197" s="5" t="s">
        <v>25</v>
      </c>
      <c r="F197" s="5">
        <v>0</v>
      </c>
    </row>
    <row r="198" spans="1:6">
      <c r="A198">
        <f t="shared" ref="A198:A207" si="19">ROW()-6</f>
        <v>192</v>
      </c>
      <c r="B198">
        <v>604</v>
      </c>
      <c r="C198">
        <v>5.25</v>
      </c>
      <c r="D198">
        <v>0.4</v>
      </c>
      <c r="E198" s="5" t="s">
        <v>25</v>
      </c>
      <c r="F198" s="5">
        <v>0</v>
      </c>
    </row>
    <row r="199" spans="1:6">
      <c r="A199">
        <f t="shared" si="19"/>
        <v>193</v>
      </c>
      <c r="B199">
        <v>605</v>
      </c>
      <c r="C199">
        <f>126/30</f>
        <v>4.2</v>
      </c>
      <c r="D199">
        <v>0.3</v>
      </c>
      <c r="E199" s="5" t="s">
        <v>25</v>
      </c>
      <c r="F199" s="5">
        <v>0</v>
      </c>
    </row>
    <row r="200" spans="1:6">
      <c r="A200">
        <f t="shared" si="19"/>
        <v>194</v>
      </c>
      <c r="B200">
        <v>606</v>
      </c>
      <c r="C200">
        <f>131/30</f>
        <v>4.36666666666667</v>
      </c>
      <c r="D200">
        <v>0.6</v>
      </c>
      <c r="E200" s="5" t="s">
        <v>25</v>
      </c>
      <c r="F200" s="5">
        <v>0</v>
      </c>
    </row>
    <row r="201" spans="1:6">
      <c r="A201">
        <f t="shared" si="19"/>
        <v>195</v>
      </c>
      <c r="B201">
        <v>641</v>
      </c>
      <c r="C201">
        <f>49/30</f>
        <v>1.63333333333333</v>
      </c>
      <c r="D201">
        <v>0.2</v>
      </c>
      <c r="E201" s="5" t="s">
        <v>25</v>
      </c>
      <c r="F201" s="5">
        <v>2</v>
      </c>
    </row>
    <row r="202" spans="1:6">
      <c r="A202">
        <f t="shared" si="19"/>
        <v>196</v>
      </c>
      <c r="B202">
        <v>642</v>
      </c>
      <c r="C202">
        <f>48/30</f>
        <v>1.6</v>
      </c>
      <c r="D202">
        <v>0.2</v>
      </c>
      <c r="E202" s="5" t="s">
        <v>25</v>
      </c>
      <c r="F202" s="5">
        <v>2</v>
      </c>
    </row>
    <row r="203" spans="1:6">
      <c r="A203">
        <f t="shared" si="19"/>
        <v>197</v>
      </c>
      <c r="B203">
        <v>645</v>
      </c>
      <c r="C203">
        <f>37/30</f>
        <v>1.23333333333333</v>
      </c>
      <c r="D203">
        <v>0.3</v>
      </c>
      <c r="E203" s="5" t="s">
        <v>25</v>
      </c>
      <c r="F203">
        <v>2</v>
      </c>
    </row>
    <row r="204" spans="1:6">
      <c r="A204">
        <f t="shared" si="19"/>
        <v>198</v>
      </c>
      <c r="B204">
        <v>647</v>
      </c>
      <c r="C204">
        <f>227/30</f>
        <v>7.56666666666667</v>
      </c>
      <c r="D204">
        <v>0.3</v>
      </c>
      <c r="E204" s="5" t="s">
        <v>25</v>
      </c>
      <c r="F204">
        <v>0</v>
      </c>
    </row>
    <row r="205" spans="1:6">
      <c r="A205">
        <f t="shared" si="19"/>
        <v>199</v>
      </c>
      <c r="B205">
        <v>644</v>
      </c>
      <c r="C205">
        <f>34/30</f>
        <v>1.13333333333333</v>
      </c>
      <c r="D205">
        <v>0.3</v>
      </c>
      <c r="E205" s="5" t="s">
        <v>25</v>
      </c>
      <c r="F205">
        <v>2</v>
      </c>
    </row>
    <row r="206" spans="1:6">
      <c r="A206">
        <f t="shared" si="19"/>
        <v>200</v>
      </c>
      <c r="B206">
        <v>646</v>
      </c>
      <c r="C206">
        <f>167/30</f>
        <v>5.56666666666667</v>
      </c>
      <c r="D206">
        <v>0.36</v>
      </c>
      <c r="E206" s="5" t="s">
        <v>25</v>
      </c>
      <c r="F206">
        <v>0</v>
      </c>
    </row>
    <row r="207" spans="1:6">
      <c r="A207">
        <f t="shared" si="19"/>
        <v>201</v>
      </c>
      <c r="B207">
        <v>654</v>
      </c>
      <c r="C207">
        <f>124/30</f>
        <v>4.13333333333333</v>
      </c>
      <c r="D207">
        <v>0.34</v>
      </c>
      <c r="E207" s="5" t="s">
        <v>25</v>
      </c>
      <c r="F207">
        <v>0</v>
      </c>
    </row>
    <row r="208" spans="1:6">
      <c r="A208">
        <f t="shared" ref="A208:A227" si="20">ROW()-6</f>
        <v>202</v>
      </c>
      <c r="B208">
        <v>655</v>
      </c>
      <c r="C208">
        <f>36/30</f>
        <v>1.2</v>
      </c>
      <c r="D208">
        <v>0.24</v>
      </c>
      <c r="E208" s="5" t="s">
        <v>25</v>
      </c>
      <c r="F208">
        <v>2</v>
      </c>
    </row>
    <row r="209" spans="1:6">
      <c r="A209">
        <f t="shared" si="20"/>
        <v>203</v>
      </c>
      <c r="B209">
        <v>656</v>
      </c>
      <c r="C209">
        <f>(58+13)/30</f>
        <v>2.36666666666667</v>
      </c>
      <c r="D209">
        <v>0.15</v>
      </c>
      <c r="E209" s="5" t="s">
        <v>25</v>
      </c>
      <c r="F209">
        <v>2</v>
      </c>
    </row>
    <row r="210" spans="1:6">
      <c r="A210">
        <f t="shared" si="20"/>
        <v>204</v>
      </c>
      <c r="B210">
        <v>657</v>
      </c>
      <c r="C210">
        <f>166/30</f>
        <v>5.53333333333333</v>
      </c>
      <c r="D210">
        <v>0.35</v>
      </c>
      <c r="E210" s="5" t="s">
        <v>25</v>
      </c>
      <c r="F210">
        <v>0</v>
      </c>
    </row>
    <row r="211" spans="1:6">
      <c r="A211">
        <f t="shared" si="20"/>
        <v>205</v>
      </c>
      <c r="B211">
        <v>653</v>
      </c>
      <c r="C211">
        <f>256/30</f>
        <v>8.53333333333333</v>
      </c>
      <c r="D211">
        <v>0.7</v>
      </c>
      <c r="E211" s="5" t="s">
        <v>25</v>
      </c>
      <c r="F211">
        <v>0</v>
      </c>
    </row>
    <row r="212" spans="1:6">
      <c r="A212">
        <f t="shared" si="20"/>
        <v>206</v>
      </c>
      <c r="B212">
        <v>652</v>
      </c>
      <c r="C212">
        <v>0.7</v>
      </c>
      <c r="D212">
        <v>0.31</v>
      </c>
      <c r="E212" s="5" t="s">
        <v>25</v>
      </c>
      <c r="F212">
        <v>2</v>
      </c>
    </row>
    <row r="213" spans="1:6">
      <c r="A213">
        <f t="shared" si="20"/>
        <v>207</v>
      </c>
      <c r="B213">
        <v>658</v>
      </c>
      <c r="C213" s="8">
        <f>203/30</f>
        <v>6.76666666666667</v>
      </c>
      <c r="D213">
        <v>0.3</v>
      </c>
      <c r="E213" s="5" t="s">
        <v>25</v>
      </c>
      <c r="F213">
        <v>0</v>
      </c>
    </row>
    <row r="214" spans="1:6">
      <c r="A214">
        <f t="shared" si="20"/>
        <v>208</v>
      </c>
      <c r="B214">
        <v>658</v>
      </c>
      <c r="C214" s="8">
        <f>C213+0.18</f>
        <v>6.94666666666667</v>
      </c>
      <c r="D214">
        <v>0.3</v>
      </c>
      <c r="E214" s="5" t="s">
        <v>25</v>
      </c>
      <c r="F214">
        <v>0</v>
      </c>
    </row>
    <row r="215" spans="1:6">
      <c r="A215">
        <f t="shared" si="20"/>
        <v>209</v>
      </c>
      <c r="B215">
        <v>659</v>
      </c>
      <c r="C215">
        <f>55/30</f>
        <v>1.83333333333333</v>
      </c>
      <c r="D215">
        <v>0.2</v>
      </c>
      <c r="E215" s="5" t="s">
        <v>25</v>
      </c>
      <c r="F215">
        <v>2</v>
      </c>
    </row>
    <row r="216" spans="1:6">
      <c r="A216">
        <f t="shared" si="20"/>
        <v>210</v>
      </c>
      <c r="B216">
        <v>660</v>
      </c>
      <c r="C216">
        <f>96/30</f>
        <v>3.2</v>
      </c>
      <c r="D216">
        <v>0.26</v>
      </c>
      <c r="E216" s="5" t="s">
        <v>25</v>
      </c>
      <c r="F216">
        <v>2</v>
      </c>
    </row>
    <row r="217" spans="1:6">
      <c r="A217">
        <f t="shared" si="20"/>
        <v>211</v>
      </c>
      <c r="B217">
        <v>665</v>
      </c>
      <c r="C217">
        <f>233/30</f>
        <v>7.76666666666667</v>
      </c>
      <c r="D217">
        <v>0.28</v>
      </c>
      <c r="E217" s="5" t="s">
        <v>25</v>
      </c>
      <c r="F217">
        <v>0</v>
      </c>
    </row>
    <row r="218" spans="1:6">
      <c r="A218">
        <f t="shared" si="20"/>
        <v>212</v>
      </c>
      <c r="B218">
        <v>662</v>
      </c>
      <c r="C218">
        <f>42/30</f>
        <v>1.4</v>
      </c>
      <c r="D218">
        <v>0.2</v>
      </c>
      <c r="E218" s="5" t="s">
        <v>28</v>
      </c>
      <c r="F218">
        <v>0</v>
      </c>
    </row>
    <row r="219" spans="1:6">
      <c r="A219">
        <f t="shared" si="20"/>
        <v>213</v>
      </c>
      <c r="B219">
        <v>663</v>
      </c>
      <c r="C219">
        <f>54/30</f>
        <v>1.8</v>
      </c>
      <c r="D219">
        <v>0.28</v>
      </c>
      <c r="E219" s="5" t="s">
        <v>25</v>
      </c>
      <c r="F219">
        <v>0</v>
      </c>
    </row>
    <row r="220" spans="1:6">
      <c r="A220">
        <f t="shared" si="20"/>
        <v>214</v>
      </c>
      <c r="B220">
        <v>666</v>
      </c>
      <c r="C220">
        <f>191/30</f>
        <v>6.36666666666667</v>
      </c>
      <c r="D220">
        <v>0.46</v>
      </c>
      <c r="E220" s="5" t="s">
        <v>25</v>
      </c>
      <c r="F220">
        <v>0</v>
      </c>
    </row>
    <row r="221" spans="1:6">
      <c r="A221">
        <f t="shared" si="20"/>
        <v>215</v>
      </c>
      <c r="B221">
        <v>623</v>
      </c>
      <c r="C221">
        <f>56/30</f>
        <v>1.86666666666667</v>
      </c>
      <c r="D221">
        <v>0.23</v>
      </c>
      <c r="E221" s="5" t="s">
        <v>25</v>
      </c>
      <c r="F221">
        <v>0</v>
      </c>
    </row>
    <row r="222" spans="1:6">
      <c r="A222">
        <f t="shared" si="20"/>
        <v>216</v>
      </c>
      <c r="B222">
        <v>625</v>
      </c>
      <c r="C222">
        <f>57/30</f>
        <v>1.9</v>
      </c>
      <c r="D222">
        <v>0.18</v>
      </c>
      <c r="E222" s="5" t="s">
        <v>25</v>
      </c>
      <c r="F222">
        <v>0</v>
      </c>
    </row>
    <row r="223" spans="1:6">
      <c r="A223">
        <f t="shared" si="20"/>
        <v>217</v>
      </c>
      <c r="B223">
        <v>626</v>
      </c>
      <c r="C223">
        <f>59/30</f>
        <v>1.96666666666667</v>
      </c>
      <c r="D223">
        <v>0.42</v>
      </c>
      <c r="E223" s="5" t="s">
        <v>28</v>
      </c>
      <c r="F223">
        <v>0</v>
      </c>
    </row>
    <row r="224" spans="1:6">
      <c r="A224">
        <f t="shared" si="20"/>
        <v>218</v>
      </c>
      <c r="B224">
        <v>627</v>
      </c>
      <c r="C224">
        <f>24/30</f>
        <v>0.8</v>
      </c>
      <c r="D224">
        <v>0.25</v>
      </c>
      <c r="E224" s="5" t="s">
        <v>25</v>
      </c>
      <c r="F224">
        <v>0</v>
      </c>
    </row>
    <row r="225" spans="1:6">
      <c r="A225">
        <f t="shared" si="20"/>
        <v>219</v>
      </c>
      <c r="B225">
        <v>634</v>
      </c>
      <c r="C225">
        <v>7.7</v>
      </c>
      <c r="D225">
        <v>0.6</v>
      </c>
      <c r="E225" s="5" t="s">
        <v>25</v>
      </c>
      <c r="F225">
        <v>0</v>
      </c>
    </row>
    <row r="226" spans="1:6">
      <c r="A226">
        <f t="shared" ref="A226:A237" si="21">ROW()-6</f>
        <v>220</v>
      </c>
      <c r="B226">
        <v>628</v>
      </c>
      <c r="C226">
        <f>92/30</f>
        <v>3.06666666666667</v>
      </c>
      <c r="D226">
        <v>0.3</v>
      </c>
      <c r="E226" s="5" t="s">
        <v>28</v>
      </c>
      <c r="F226">
        <v>0</v>
      </c>
    </row>
    <row r="227" spans="1:6">
      <c r="A227">
        <f t="shared" si="21"/>
        <v>221</v>
      </c>
      <c r="B227">
        <v>628</v>
      </c>
      <c r="C227">
        <f>130/30</f>
        <v>4.33333333333333</v>
      </c>
      <c r="D227">
        <v>0.8</v>
      </c>
      <c r="E227" s="5" t="s">
        <v>28</v>
      </c>
      <c r="F227">
        <v>0</v>
      </c>
    </row>
    <row r="228" spans="1:6">
      <c r="A228">
        <f t="shared" si="21"/>
        <v>222</v>
      </c>
      <c r="B228">
        <v>629</v>
      </c>
      <c r="C228">
        <f>208/30</f>
        <v>6.93333333333333</v>
      </c>
      <c r="D228">
        <v>0.28</v>
      </c>
      <c r="E228" s="5" t="s">
        <v>25</v>
      </c>
      <c r="F228">
        <v>0</v>
      </c>
    </row>
    <row r="229" spans="1:6">
      <c r="A229">
        <f t="shared" si="21"/>
        <v>223</v>
      </c>
      <c r="B229">
        <v>630</v>
      </c>
      <c r="C229">
        <f>173/30</f>
        <v>5.76666666666667</v>
      </c>
      <c r="D229">
        <v>0.45</v>
      </c>
      <c r="E229" s="5" t="s">
        <v>25</v>
      </c>
      <c r="F229">
        <v>0</v>
      </c>
    </row>
    <row r="230" spans="1:6">
      <c r="A230">
        <f t="shared" si="21"/>
        <v>224</v>
      </c>
      <c r="B230" s="2">
        <v>669</v>
      </c>
      <c r="C230">
        <f>24/30</f>
        <v>0.8</v>
      </c>
      <c r="D230">
        <v>0.37</v>
      </c>
      <c r="E230" s="5" t="s">
        <v>28</v>
      </c>
      <c r="F230">
        <v>0</v>
      </c>
    </row>
    <row r="231" spans="1:6">
      <c r="A231">
        <f t="shared" si="21"/>
        <v>225</v>
      </c>
      <c r="B231" s="2">
        <v>669</v>
      </c>
      <c r="C231">
        <f>70/30</f>
        <v>2.33333333333333</v>
      </c>
      <c r="D231">
        <v>0.48</v>
      </c>
      <c r="E231" s="5" t="s">
        <v>28</v>
      </c>
      <c r="F231">
        <v>0</v>
      </c>
    </row>
    <row r="232" spans="1:6">
      <c r="A232">
        <f t="shared" si="21"/>
        <v>226</v>
      </c>
      <c r="B232">
        <v>671</v>
      </c>
      <c r="C232">
        <f>41/30</f>
        <v>1.36666666666667</v>
      </c>
      <c r="D232">
        <v>0.3</v>
      </c>
      <c r="E232" s="5" t="s">
        <v>25</v>
      </c>
      <c r="F232">
        <v>0</v>
      </c>
    </row>
    <row r="233" spans="1:6">
      <c r="A233">
        <f t="shared" si="21"/>
        <v>227</v>
      </c>
      <c r="B233">
        <v>672</v>
      </c>
      <c r="C233">
        <v>7.2</v>
      </c>
      <c r="D233">
        <v>0.4</v>
      </c>
      <c r="E233" s="5" t="s">
        <v>28</v>
      </c>
      <c r="F233">
        <v>0</v>
      </c>
    </row>
    <row r="234" spans="1:6">
      <c r="A234">
        <f t="shared" si="21"/>
        <v>228</v>
      </c>
      <c r="B234">
        <v>672</v>
      </c>
      <c r="C234">
        <v>7.45</v>
      </c>
      <c r="D234">
        <v>0.4</v>
      </c>
      <c r="E234" s="5" t="s">
        <v>28</v>
      </c>
      <c r="F234">
        <v>0</v>
      </c>
    </row>
    <row r="235" spans="1:6">
      <c r="A235">
        <f t="shared" si="21"/>
        <v>229</v>
      </c>
      <c r="B235">
        <v>673</v>
      </c>
      <c r="C235">
        <v>8.2</v>
      </c>
      <c r="D235">
        <v>0.4</v>
      </c>
      <c r="E235" s="5" t="s">
        <v>25</v>
      </c>
      <c r="F235" s="5">
        <v>0</v>
      </c>
    </row>
    <row r="236" spans="1:6">
      <c r="A236">
        <f t="shared" si="21"/>
        <v>230</v>
      </c>
      <c r="B236">
        <v>674</v>
      </c>
      <c r="C236">
        <v>6.23333333333333</v>
      </c>
      <c r="D236">
        <v>0.4</v>
      </c>
      <c r="E236" s="5" t="s">
        <v>25</v>
      </c>
      <c r="F236" s="5">
        <v>0</v>
      </c>
    </row>
    <row r="237" spans="1:6">
      <c r="A237">
        <f t="shared" si="21"/>
        <v>231</v>
      </c>
      <c r="B237">
        <v>694</v>
      </c>
      <c r="C237">
        <v>3.1</v>
      </c>
      <c r="D237">
        <v>0.35</v>
      </c>
      <c r="E237" s="5" t="s">
        <v>25</v>
      </c>
      <c r="F237">
        <v>0</v>
      </c>
    </row>
    <row r="238" spans="1:6">
      <c r="A238">
        <f t="shared" ref="A238:A292" si="22">ROW()-6</f>
        <v>232</v>
      </c>
      <c r="B238">
        <v>698</v>
      </c>
      <c r="C238">
        <f>191/30</f>
        <v>6.36666666666667</v>
      </c>
      <c r="D238">
        <v>0.29</v>
      </c>
      <c r="E238" s="5" t="s">
        <v>25</v>
      </c>
      <c r="F238">
        <v>0</v>
      </c>
    </row>
    <row r="239" spans="1:6">
      <c r="A239">
        <f t="shared" si="22"/>
        <v>233</v>
      </c>
      <c r="B239">
        <v>696</v>
      </c>
      <c r="C239">
        <f>255/30</f>
        <v>8.5</v>
      </c>
      <c r="D239">
        <v>0.88</v>
      </c>
      <c r="E239" s="5" t="s">
        <v>28</v>
      </c>
      <c r="F239">
        <v>0</v>
      </c>
    </row>
    <row r="240" spans="1:6">
      <c r="A240">
        <f t="shared" si="22"/>
        <v>234</v>
      </c>
      <c r="B240">
        <v>693</v>
      </c>
      <c r="C240">
        <v>3.09</v>
      </c>
      <c r="D240">
        <v>0.3</v>
      </c>
      <c r="E240" s="5" t="s">
        <v>25</v>
      </c>
      <c r="F240">
        <v>0</v>
      </c>
    </row>
    <row r="241" spans="1:6">
      <c r="A241">
        <f t="shared" si="22"/>
        <v>235</v>
      </c>
      <c r="B241">
        <v>695</v>
      </c>
      <c r="C241">
        <f>47/30</f>
        <v>1.56666666666667</v>
      </c>
      <c r="D241">
        <v>0.45</v>
      </c>
      <c r="E241" s="5" t="s">
        <v>28</v>
      </c>
      <c r="F241">
        <v>0</v>
      </c>
    </row>
    <row r="242" spans="1:6">
      <c r="A242">
        <f t="shared" si="22"/>
        <v>236</v>
      </c>
      <c r="B242">
        <v>704</v>
      </c>
      <c r="C242">
        <f>189/30</f>
        <v>6.3</v>
      </c>
      <c r="D242">
        <v>0.67</v>
      </c>
      <c r="E242" s="5" t="s">
        <v>28</v>
      </c>
      <c r="F242">
        <v>0</v>
      </c>
    </row>
    <row r="243" spans="1:6">
      <c r="A243">
        <f t="shared" si="22"/>
        <v>237</v>
      </c>
      <c r="B243">
        <v>616</v>
      </c>
      <c r="C243">
        <f>16/30</f>
        <v>0.533333333333333</v>
      </c>
      <c r="D243">
        <v>0.44</v>
      </c>
      <c r="E243" s="5" t="s">
        <v>28</v>
      </c>
      <c r="F243">
        <v>0</v>
      </c>
    </row>
    <row r="244" spans="1:6">
      <c r="A244">
        <f t="shared" si="22"/>
        <v>238</v>
      </c>
      <c r="B244">
        <v>619</v>
      </c>
      <c r="C244">
        <f>31/30</f>
        <v>1.03333333333333</v>
      </c>
      <c r="D244">
        <v>0.23</v>
      </c>
      <c r="E244" s="5" t="s">
        <v>25</v>
      </c>
      <c r="F244">
        <v>0</v>
      </c>
    </row>
    <row r="245" spans="1:6">
      <c r="A245">
        <f t="shared" si="22"/>
        <v>239</v>
      </c>
      <c r="B245">
        <v>621</v>
      </c>
      <c r="C245">
        <f>54/30</f>
        <v>1.8</v>
      </c>
      <c r="D245">
        <v>0.45</v>
      </c>
      <c r="E245" s="5" t="s">
        <v>28</v>
      </c>
      <c r="F245">
        <v>0</v>
      </c>
    </row>
    <row r="246" spans="1:6">
      <c r="A246">
        <f t="shared" si="22"/>
        <v>240</v>
      </c>
      <c r="B246">
        <v>683</v>
      </c>
      <c r="C246">
        <f>56.7/30</f>
        <v>1.89</v>
      </c>
      <c r="D246">
        <v>0.46</v>
      </c>
      <c r="E246" s="5" t="s">
        <v>28</v>
      </c>
      <c r="F246">
        <v>0</v>
      </c>
    </row>
    <row r="247" spans="1:6">
      <c r="A247">
        <f t="shared" si="22"/>
        <v>241</v>
      </c>
      <c r="B247">
        <v>689</v>
      </c>
      <c r="C247">
        <f>232/30</f>
        <v>7.73333333333333</v>
      </c>
      <c r="D247">
        <v>0.5</v>
      </c>
      <c r="E247" s="5" t="s">
        <v>28</v>
      </c>
      <c r="F247">
        <v>0</v>
      </c>
    </row>
    <row r="248" spans="1:6">
      <c r="A248">
        <f t="shared" si="22"/>
        <v>242</v>
      </c>
      <c r="B248">
        <v>684</v>
      </c>
      <c r="C248">
        <v>2.3</v>
      </c>
      <c r="D248">
        <v>0.2</v>
      </c>
      <c r="E248" s="5" t="s">
        <v>25</v>
      </c>
      <c r="F248">
        <v>0</v>
      </c>
    </row>
    <row r="249" spans="1:6">
      <c r="A249">
        <f t="shared" si="22"/>
        <v>243</v>
      </c>
      <c r="B249">
        <v>685</v>
      </c>
      <c r="C249">
        <v>0.75</v>
      </c>
      <c r="D249">
        <v>0.4</v>
      </c>
      <c r="E249" s="5" t="s">
        <v>28</v>
      </c>
      <c r="F249">
        <v>0</v>
      </c>
    </row>
    <row r="250" spans="1:6">
      <c r="A250">
        <f t="shared" si="22"/>
        <v>244</v>
      </c>
      <c r="B250">
        <v>686</v>
      </c>
      <c r="C250">
        <v>2.8</v>
      </c>
      <c r="D250">
        <v>0.3</v>
      </c>
      <c r="E250" s="5" t="s">
        <v>25</v>
      </c>
      <c r="F250">
        <v>0</v>
      </c>
    </row>
    <row r="251" spans="1:6">
      <c r="A251">
        <f t="shared" si="22"/>
        <v>245</v>
      </c>
      <c r="B251">
        <v>687</v>
      </c>
      <c r="C251">
        <v>2.2</v>
      </c>
      <c r="D251">
        <v>0.4</v>
      </c>
      <c r="E251" s="5" t="s">
        <v>29</v>
      </c>
      <c r="F251">
        <v>0</v>
      </c>
    </row>
    <row r="252" spans="1:6">
      <c r="A252">
        <f t="shared" si="22"/>
        <v>246</v>
      </c>
      <c r="B252">
        <v>10471</v>
      </c>
      <c r="C252">
        <f>7/30</f>
        <v>0.233333333333333</v>
      </c>
      <c r="D252">
        <v>0.27</v>
      </c>
      <c r="E252" s="5" t="s">
        <v>28</v>
      </c>
      <c r="F252">
        <v>0</v>
      </c>
    </row>
    <row r="253" spans="1:6">
      <c r="A253">
        <f t="shared" si="22"/>
        <v>247</v>
      </c>
      <c r="B253">
        <v>10468</v>
      </c>
      <c r="C253">
        <f>52/30</f>
        <v>1.73333333333333</v>
      </c>
      <c r="D253">
        <v>0.22</v>
      </c>
      <c r="E253" s="5" t="s">
        <v>25</v>
      </c>
      <c r="F253">
        <v>0</v>
      </c>
    </row>
    <row r="254" spans="1:6">
      <c r="A254">
        <f t="shared" si="22"/>
        <v>248</v>
      </c>
      <c r="B254">
        <v>740</v>
      </c>
      <c r="C254">
        <f>232/30</f>
        <v>7.73333333333333</v>
      </c>
      <c r="D254">
        <v>0.5</v>
      </c>
      <c r="E254" s="5" t="s">
        <v>28</v>
      </c>
      <c r="F254">
        <v>0</v>
      </c>
    </row>
    <row r="255" spans="1:6">
      <c r="A255">
        <f t="shared" si="22"/>
        <v>249</v>
      </c>
      <c r="B255">
        <v>707</v>
      </c>
      <c r="C255">
        <f>76/30</f>
        <v>2.53333333333333</v>
      </c>
      <c r="D255">
        <v>0.27</v>
      </c>
      <c r="E255" t="s">
        <v>25</v>
      </c>
      <c r="F255">
        <v>0</v>
      </c>
    </row>
    <row r="256" spans="1:6">
      <c r="A256">
        <f t="shared" si="22"/>
        <v>250</v>
      </c>
      <c r="B256">
        <v>712</v>
      </c>
      <c r="C256">
        <f>26.4/30</f>
        <v>0.88</v>
      </c>
      <c r="D256">
        <v>0.45</v>
      </c>
      <c r="E256" t="s">
        <v>28</v>
      </c>
      <c r="F256">
        <v>0</v>
      </c>
    </row>
    <row r="257" spans="1:6">
      <c r="A257">
        <f t="shared" si="22"/>
        <v>251</v>
      </c>
      <c r="B257">
        <v>715</v>
      </c>
      <c r="C257">
        <f>217/30</f>
        <v>7.23333333333333</v>
      </c>
      <c r="D257">
        <v>0.35</v>
      </c>
      <c r="E257" t="s">
        <v>25</v>
      </c>
      <c r="F257">
        <v>0</v>
      </c>
    </row>
    <row r="258" spans="1:6">
      <c r="A258">
        <f t="shared" si="22"/>
        <v>252</v>
      </c>
      <c r="B258">
        <v>720</v>
      </c>
      <c r="C258">
        <f>79/30</f>
        <v>2.63333333333333</v>
      </c>
      <c r="D258">
        <v>0.65</v>
      </c>
      <c r="E258" t="s">
        <v>25</v>
      </c>
      <c r="F258">
        <v>0</v>
      </c>
    </row>
    <row r="259" spans="1:6">
      <c r="A259">
        <f t="shared" si="22"/>
        <v>253</v>
      </c>
      <c r="B259">
        <v>718</v>
      </c>
      <c r="C259">
        <f>34/30</f>
        <v>1.13333333333333</v>
      </c>
      <c r="D259">
        <v>0.25</v>
      </c>
      <c r="E259" t="s">
        <v>25</v>
      </c>
      <c r="F259">
        <v>0</v>
      </c>
    </row>
    <row r="260" spans="1:6">
      <c r="A260">
        <f t="shared" si="22"/>
        <v>254</v>
      </c>
      <c r="B260" s="9">
        <v>741</v>
      </c>
      <c r="C260">
        <f>53/30</f>
        <v>1.76666666666667</v>
      </c>
      <c r="D260">
        <v>0.35</v>
      </c>
      <c r="E260" t="s">
        <v>25</v>
      </c>
      <c r="F260">
        <v>0</v>
      </c>
    </row>
    <row r="261" spans="1:6">
      <c r="A261">
        <f t="shared" si="22"/>
        <v>255</v>
      </c>
      <c r="B261">
        <v>742</v>
      </c>
      <c r="C261">
        <v>2.78</v>
      </c>
      <c r="D261">
        <v>0.28</v>
      </c>
      <c r="E261" t="s">
        <v>25</v>
      </c>
      <c r="F261">
        <v>0</v>
      </c>
    </row>
    <row r="262" spans="1:6">
      <c r="A262">
        <f t="shared" si="22"/>
        <v>256</v>
      </c>
      <c r="B262">
        <v>744</v>
      </c>
      <c r="C262">
        <f>31/30</f>
        <v>1.03333333333333</v>
      </c>
      <c r="D262">
        <v>0.58</v>
      </c>
      <c r="E262" t="s">
        <v>28</v>
      </c>
      <c r="F262">
        <v>0</v>
      </c>
    </row>
    <row r="263" spans="1:6">
      <c r="A263">
        <f t="shared" si="22"/>
        <v>257</v>
      </c>
      <c r="B263">
        <v>750</v>
      </c>
      <c r="C263">
        <f>42/30</f>
        <v>1.4</v>
      </c>
      <c r="D263">
        <v>0.3</v>
      </c>
      <c r="E263" t="s">
        <v>28</v>
      </c>
      <c r="F263">
        <v>0</v>
      </c>
    </row>
    <row r="264" spans="1:6">
      <c r="A264">
        <f t="shared" si="22"/>
        <v>258</v>
      </c>
      <c r="B264">
        <v>759</v>
      </c>
      <c r="C264" s="10">
        <f>75/30</f>
        <v>2.5</v>
      </c>
      <c r="D264">
        <v>0.23</v>
      </c>
      <c r="E264" t="s">
        <v>25</v>
      </c>
      <c r="F264">
        <v>0</v>
      </c>
    </row>
    <row r="265" spans="1:6">
      <c r="A265">
        <f t="shared" si="22"/>
        <v>259</v>
      </c>
      <c r="B265">
        <v>759</v>
      </c>
      <c r="C265" s="10">
        <f>C264+0.55</f>
        <v>3.05</v>
      </c>
      <c r="D265">
        <v>0.23</v>
      </c>
      <c r="E265" t="s">
        <v>25</v>
      </c>
      <c r="F265">
        <v>0</v>
      </c>
    </row>
    <row r="266" spans="1:6">
      <c r="A266">
        <f t="shared" si="22"/>
        <v>260</v>
      </c>
      <c r="B266">
        <v>759</v>
      </c>
      <c r="C266" s="10">
        <f>130/30</f>
        <v>4.33333333333333</v>
      </c>
      <c r="D266">
        <v>0.35</v>
      </c>
      <c r="E266" t="s">
        <v>25</v>
      </c>
      <c r="F266">
        <v>0</v>
      </c>
    </row>
    <row r="267" spans="1:6">
      <c r="A267">
        <f t="shared" si="22"/>
        <v>261</v>
      </c>
      <c r="B267" s="8">
        <v>727</v>
      </c>
      <c r="C267">
        <f>18.5/30</f>
        <v>0.616666666666667</v>
      </c>
      <c r="D267">
        <v>0.4</v>
      </c>
      <c r="E267" t="s">
        <v>28</v>
      </c>
      <c r="F267">
        <v>0</v>
      </c>
    </row>
    <row r="268" spans="1:6">
      <c r="A268">
        <f t="shared" si="22"/>
        <v>262</v>
      </c>
      <c r="B268" s="11">
        <v>727</v>
      </c>
      <c r="C268">
        <f>86.3/30</f>
        <v>2.87666666666667</v>
      </c>
      <c r="D268">
        <v>0.3</v>
      </c>
      <c r="E268" t="s">
        <v>25</v>
      </c>
      <c r="F268">
        <v>0</v>
      </c>
    </row>
    <row r="269" spans="1:6">
      <c r="A269">
        <f t="shared" si="22"/>
        <v>263</v>
      </c>
      <c r="B269">
        <v>729</v>
      </c>
      <c r="C269">
        <f>9/30</f>
        <v>0.3</v>
      </c>
      <c r="D269">
        <v>0.2</v>
      </c>
      <c r="E269" t="s">
        <v>28</v>
      </c>
      <c r="F269">
        <v>0</v>
      </c>
    </row>
    <row r="270" spans="1:6">
      <c r="A270">
        <f t="shared" si="22"/>
        <v>264</v>
      </c>
      <c r="B270">
        <v>729</v>
      </c>
      <c r="C270">
        <f>20/30</f>
        <v>0.666666666666667</v>
      </c>
      <c r="D270">
        <v>0.2</v>
      </c>
      <c r="E270" t="s">
        <v>28</v>
      </c>
      <c r="F270">
        <v>0</v>
      </c>
    </row>
    <row r="271" spans="1:6">
      <c r="A271">
        <f t="shared" si="22"/>
        <v>265</v>
      </c>
      <c r="B271">
        <v>729</v>
      </c>
      <c r="C271">
        <f>39/30</f>
        <v>1.3</v>
      </c>
      <c r="D271">
        <v>0.25</v>
      </c>
      <c r="E271" t="s">
        <v>25</v>
      </c>
      <c r="F271">
        <v>0</v>
      </c>
    </row>
    <row r="272" spans="1:6">
      <c r="A272">
        <f t="shared" si="22"/>
        <v>266</v>
      </c>
      <c r="B272">
        <v>733</v>
      </c>
      <c r="C272">
        <f>179.7/30</f>
        <v>5.99</v>
      </c>
      <c r="D272">
        <v>0.15</v>
      </c>
      <c r="E272" t="s">
        <v>28</v>
      </c>
      <c r="F272">
        <v>0</v>
      </c>
    </row>
    <row r="273" spans="1:6">
      <c r="A273">
        <f t="shared" si="22"/>
        <v>267</v>
      </c>
      <c r="B273">
        <v>772</v>
      </c>
      <c r="C273">
        <f>89/30</f>
        <v>2.96666666666667</v>
      </c>
      <c r="D273">
        <v>0.2</v>
      </c>
      <c r="E273" t="s">
        <v>25</v>
      </c>
      <c r="F273">
        <v>0</v>
      </c>
    </row>
    <row r="274" spans="1:6">
      <c r="A274">
        <f t="shared" si="22"/>
        <v>268</v>
      </c>
      <c r="B274" s="12">
        <v>779</v>
      </c>
      <c r="C274">
        <f>75/30</f>
        <v>2.5</v>
      </c>
      <c r="D274">
        <v>0.2</v>
      </c>
      <c r="E274" t="s">
        <v>25</v>
      </c>
      <c r="F274">
        <v>0</v>
      </c>
    </row>
    <row r="275" customFormat="1" ht="13.9" spans="1:6">
      <c r="A275">
        <f t="shared" si="22"/>
        <v>269</v>
      </c>
      <c r="B275">
        <v>10558</v>
      </c>
      <c r="C275" s="7">
        <f>323/30</f>
        <v>10.7666666666667</v>
      </c>
      <c r="D275">
        <v>0.25</v>
      </c>
      <c r="E275" t="s">
        <v>26</v>
      </c>
      <c r="F275">
        <v>0</v>
      </c>
    </row>
    <row r="276" customFormat="1" ht="13.9" spans="1:6">
      <c r="A276">
        <f t="shared" si="22"/>
        <v>270</v>
      </c>
      <c r="B276">
        <v>10558</v>
      </c>
      <c r="C276" s="7">
        <f>333/30</f>
        <v>11.1</v>
      </c>
      <c r="D276">
        <v>0.25</v>
      </c>
      <c r="E276" t="s">
        <v>26</v>
      </c>
      <c r="F276">
        <v>0</v>
      </c>
    </row>
    <row r="277" customFormat="1" spans="1:6">
      <c r="A277">
        <f t="shared" si="22"/>
        <v>271</v>
      </c>
      <c r="B277">
        <v>10553</v>
      </c>
      <c r="C277">
        <f>82/30</f>
        <v>2.73333333333333</v>
      </c>
      <c r="D277">
        <v>0.5</v>
      </c>
      <c r="E277" s="5" t="s">
        <v>25</v>
      </c>
      <c r="F277">
        <v>0</v>
      </c>
    </row>
    <row r="278" customFormat="1" spans="1:6">
      <c r="A278">
        <f t="shared" si="22"/>
        <v>272</v>
      </c>
      <c r="B278">
        <v>10560</v>
      </c>
      <c r="C278">
        <f>290/30</f>
        <v>9.66666666666667</v>
      </c>
      <c r="D278">
        <v>0.6</v>
      </c>
      <c r="E278" s="5" t="s">
        <v>25</v>
      </c>
      <c r="F278">
        <v>2</v>
      </c>
    </row>
    <row r="279" customFormat="1" spans="1:6">
      <c r="A279">
        <f t="shared" si="22"/>
        <v>273</v>
      </c>
      <c r="B279" s="11">
        <v>787</v>
      </c>
      <c r="C279" s="13">
        <f>49/30</f>
        <v>1.63333333333333</v>
      </c>
      <c r="D279">
        <v>0.35</v>
      </c>
      <c r="E279" s="5" t="s">
        <v>25</v>
      </c>
      <c r="F279">
        <v>2</v>
      </c>
    </row>
    <row r="280" customFormat="1" spans="1:6">
      <c r="A280">
        <f t="shared" si="22"/>
        <v>274</v>
      </c>
      <c r="B280" s="11">
        <v>788</v>
      </c>
      <c r="C280" s="13">
        <v>0.66</v>
      </c>
      <c r="D280">
        <v>0.12</v>
      </c>
      <c r="E280" s="5" t="s">
        <v>25</v>
      </c>
      <c r="F280">
        <v>2</v>
      </c>
    </row>
    <row r="281" customFormat="1" spans="1:6">
      <c r="A281">
        <f t="shared" si="22"/>
        <v>275</v>
      </c>
      <c r="B281" s="11">
        <v>788</v>
      </c>
      <c r="C281" s="13">
        <v>1.06</v>
      </c>
      <c r="D281">
        <v>0.12</v>
      </c>
      <c r="E281" s="5" t="s">
        <v>25</v>
      </c>
      <c r="F281">
        <v>2</v>
      </c>
    </row>
    <row r="282" customFormat="1" spans="1:6">
      <c r="A282">
        <f t="shared" si="22"/>
        <v>276</v>
      </c>
      <c r="B282" s="11">
        <v>788</v>
      </c>
      <c r="C282" s="13">
        <v>1.9</v>
      </c>
      <c r="D282">
        <v>0.25</v>
      </c>
      <c r="E282" s="5" t="s">
        <v>25</v>
      </c>
      <c r="F282">
        <v>0</v>
      </c>
    </row>
    <row r="283" customFormat="1" spans="1:6">
      <c r="A283">
        <f t="shared" si="22"/>
        <v>277</v>
      </c>
      <c r="B283" s="11">
        <v>789</v>
      </c>
      <c r="C283" s="13">
        <v>2.06666</v>
      </c>
      <c r="D283">
        <v>0.27</v>
      </c>
      <c r="E283" s="5" t="s">
        <v>25</v>
      </c>
      <c r="F283">
        <v>2</v>
      </c>
    </row>
    <row r="284" spans="1:6">
      <c r="A284">
        <f t="shared" si="22"/>
        <v>278</v>
      </c>
      <c r="B284">
        <v>791</v>
      </c>
      <c r="C284">
        <f>131/30</f>
        <v>4.36666666666667</v>
      </c>
      <c r="D284">
        <v>0.5</v>
      </c>
      <c r="E284" s="5" t="s">
        <v>25</v>
      </c>
      <c r="F284">
        <v>0</v>
      </c>
    </row>
    <row r="285" spans="1:6">
      <c r="A285">
        <f t="shared" si="22"/>
        <v>279</v>
      </c>
      <c r="B285" s="14">
        <v>795</v>
      </c>
      <c r="C285">
        <v>0.83333333</v>
      </c>
      <c r="D285">
        <v>0.2</v>
      </c>
      <c r="E285" s="5" t="s">
        <v>28</v>
      </c>
      <c r="F285">
        <v>0</v>
      </c>
    </row>
    <row r="286" spans="1:6">
      <c r="A286">
        <f t="shared" si="22"/>
        <v>280</v>
      </c>
      <c r="B286" s="14">
        <v>795</v>
      </c>
      <c r="C286">
        <v>1.866666666</v>
      </c>
      <c r="D286">
        <v>0.2</v>
      </c>
      <c r="E286" s="5" t="s">
        <v>25</v>
      </c>
      <c r="F286">
        <v>0</v>
      </c>
    </row>
    <row r="287" spans="1:6">
      <c r="A287">
        <f t="shared" si="22"/>
        <v>281</v>
      </c>
      <c r="B287">
        <v>796</v>
      </c>
      <c r="C287" s="13">
        <v>0.3</v>
      </c>
      <c r="D287">
        <v>0.15</v>
      </c>
      <c r="E287" s="5" t="s">
        <v>28</v>
      </c>
      <c r="F287">
        <v>1</v>
      </c>
    </row>
    <row r="288" spans="1:6">
      <c r="A288">
        <f t="shared" si="22"/>
        <v>282</v>
      </c>
      <c r="B288">
        <v>796</v>
      </c>
      <c r="C288" s="13">
        <v>0.7</v>
      </c>
      <c r="D288">
        <v>0.15</v>
      </c>
      <c r="E288" s="5" t="s">
        <v>28</v>
      </c>
      <c r="F288">
        <v>1</v>
      </c>
    </row>
    <row r="289" spans="1:6">
      <c r="A289">
        <f t="shared" ref="A289:A300" si="23">ROW()-6</f>
        <v>283</v>
      </c>
      <c r="B289">
        <v>796</v>
      </c>
      <c r="C289">
        <v>2.7666666</v>
      </c>
      <c r="D289">
        <v>0.2</v>
      </c>
      <c r="E289" s="5" t="s">
        <v>25</v>
      </c>
      <c r="F289">
        <v>2</v>
      </c>
    </row>
    <row r="290" spans="1:6">
      <c r="A290">
        <f t="shared" si="23"/>
        <v>284</v>
      </c>
      <c r="B290">
        <v>797</v>
      </c>
      <c r="C290" s="13">
        <v>2.56666666</v>
      </c>
      <c r="D290">
        <v>0.2</v>
      </c>
      <c r="E290" s="5" t="s">
        <v>25</v>
      </c>
      <c r="F290">
        <v>2</v>
      </c>
    </row>
    <row r="291" spans="1:6">
      <c r="A291">
        <f t="shared" si="23"/>
        <v>285</v>
      </c>
      <c r="B291">
        <v>798</v>
      </c>
      <c r="C291">
        <v>1.9</v>
      </c>
      <c r="D291">
        <v>0.1</v>
      </c>
      <c r="E291" s="5" t="s">
        <v>25</v>
      </c>
      <c r="F291">
        <v>1</v>
      </c>
    </row>
    <row r="292" spans="1:8">
      <c r="A292">
        <f t="shared" si="23"/>
        <v>286</v>
      </c>
      <c r="B292">
        <v>798</v>
      </c>
      <c r="C292">
        <v>2.3</v>
      </c>
      <c r="D292">
        <v>0.1</v>
      </c>
      <c r="E292" s="5" t="s">
        <v>25</v>
      </c>
      <c r="F292">
        <v>1</v>
      </c>
      <c r="H292" s="1"/>
    </row>
    <row r="293" spans="1:6">
      <c r="A293">
        <f t="shared" si="23"/>
        <v>287</v>
      </c>
      <c r="B293">
        <v>798</v>
      </c>
      <c r="C293">
        <v>2.5</v>
      </c>
      <c r="D293">
        <v>0.1</v>
      </c>
      <c r="E293" s="5" t="s">
        <v>25</v>
      </c>
      <c r="F293">
        <v>1</v>
      </c>
    </row>
    <row r="294" spans="1:6">
      <c r="A294">
        <f t="shared" si="23"/>
        <v>288</v>
      </c>
      <c r="B294">
        <v>803</v>
      </c>
      <c r="C294">
        <f>53.45/30</f>
        <v>1.78166666666667</v>
      </c>
      <c r="D294">
        <v>0.25</v>
      </c>
      <c r="E294" s="5" t="s">
        <v>25</v>
      </c>
      <c r="F294">
        <v>2</v>
      </c>
    </row>
    <row r="295" spans="1:6">
      <c r="A295">
        <f t="shared" si="23"/>
        <v>289</v>
      </c>
      <c r="B295">
        <v>805</v>
      </c>
      <c r="C295" s="1">
        <f>30/30</f>
        <v>1</v>
      </c>
      <c r="D295">
        <v>0.18</v>
      </c>
      <c r="E295" s="5" t="s">
        <v>28</v>
      </c>
      <c r="F295">
        <v>2</v>
      </c>
    </row>
    <row r="296" spans="1:6">
      <c r="A296">
        <f t="shared" si="23"/>
        <v>290</v>
      </c>
      <c r="B296">
        <v>818</v>
      </c>
      <c r="C296">
        <v>5.33333333</v>
      </c>
      <c r="D296">
        <v>0.85</v>
      </c>
      <c r="E296" s="5" t="s">
        <v>25</v>
      </c>
      <c r="F296">
        <v>0</v>
      </c>
    </row>
    <row r="297" spans="1:6">
      <c r="A297">
        <f t="shared" si="23"/>
        <v>291</v>
      </c>
      <c r="B297" s="15">
        <v>10562</v>
      </c>
      <c r="C297">
        <v>0.833333333333333</v>
      </c>
      <c r="D297">
        <v>0.4</v>
      </c>
      <c r="E297" s="5" t="s">
        <v>27</v>
      </c>
      <c r="F297">
        <v>2</v>
      </c>
    </row>
    <row r="298" spans="1:6">
      <c r="A298">
        <f t="shared" si="23"/>
        <v>292</v>
      </c>
      <c r="B298" s="15">
        <v>10563</v>
      </c>
      <c r="C298">
        <v>1.83</v>
      </c>
      <c r="D298">
        <v>0.2</v>
      </c>
      <c r="E298" s="5" t="s">
        <v>25</v>
      </c>
      <c r="F298">
        <v>0</v>
      </c>
    </row>
    <row r="299" ht="13.9" spans="1:6">
      <c r="A299">
        <f t="shared" si="23"/>
        <v>293</v>
      </c>
      <c r="B299" s="15">
        <v>10564</v>
      </c>
      <c r="C299">
        <v>1.6</v>
      </c>
      <c r="D299">
        <v>0.6</v>
      </c>
      <c r="E299" t="s">
        <v>26</v>
      </c>
      <c r="F299">
        <v>1</v>
      </c>
    </row>
    <row r="300" spans="1:6">
      <c r="A300">
        <f t="shared" si="23"/>
        <v>294</v>
      </c>
      <c r="B300" s="15">
        <v>10566</v>
      </c>
      <c r="C300">
        <v>7.9</v>
      </c>
      <c r="D300">
        <v>0.7</v>
      </c>
      <c r="E300" s="5" t="s">
        <v>25</v>
      </c>
      <c r="F300">
        <v>0</v>
      </c>
    </row>
    <row r="301" spans="1:6">
      <c r="A301">
        <f t="shared" ref="A301:A310" si="24">ROW()-6</f>
        <v>295</v>
      </c>
      <c r="B301">
        <v>813</v>
      </c>
      <c r="C301" s="16">
        <v>1.1</v>
      </c>
      <c r="D301">
        <v>0.4</v>
      </c>
      <c r="E301" s="5" t="s">
        <v>28</v>
      </c>
      <c r="F301">
        <v>2</v>
      </c>
    </row>
    <row r="302" spans="1:6">
      <c r="A302">
        <f t="shared" si="24"/>
        <v>296</v>
      </c>
      <c r="B302">
        <v>815</v>
      </c>
      <c r="C302" s="2">
        <v>2.3</v>
      </c>
      <c r="D302">
        <v>0.35</v>
      </c>
      <c r="E302" s="5" t="s">
        <v>28</v>
      </c>
      <c r="F302">
        <v>2</v>
      </c>
    </row>
    <row r="303" spans="1:6">
      <c r="A303">
        <f t="shared" si="24"/>
        <v>297</v>
      </c>
      <c r="B303">
        <v>820</v>
      </c>
      <c r="C303">
        <v>1.133333333</v>
      </c>
      <c r="D303">
        <v>0.3</v>
      </c>
      <c r="E303" t="s">
        <v>28</v>
      </c>
      <c r="F303">
        <v>2</v>
      </c>
    </row>
    <row r="304" spans="1:6">
      <c r="A304">
        <f t="shared" si="24"/>
        <v>298</v>
      </c>
      <c r="B304" s="17">
        <v>821</v>
      </c>
      <c r="C304" s="18">
        <v>1.8</v>
      </c>
      <c r="D304">
        <v>0.55</v>
      </c>
      <c r="E304" s="5" t="s">
        <v>28</v>
      </c>
      <c r="F304">
        <v>2</v>
      </c>
    </row>
    <row r="305" spans="1:6">
      <c r="A305">
        <f t="shared" si="24"/>
        <v>299</v>
      </c>
      <c r="B305">
        <v>824</v>
      </c>
      <c r="C305">
        <v>0.466666666666667</v>
      </c>
      <c r="D305">
        <v>0.35</v>
      </c>
      <c r="E305" s="5" t="s">
        <v>28</v>
      </c>
      <c r="F305">
        <v>2</v>
      </c>
    </row>
    <row r="306" spans="1:6">
      <c r="A306">
        <f t="shared" si="24"/>
        <v>300</v>
      </c>
      <c r="B306">
        <v>838</v>
      </c>
      <c r="C306">
        <v>1.33333333333333</v>
      </c>
      <c r="D306">
        <v>0.3</v>
      </c>
      <c r="E306" s="5" t="s">
        <v>25</v>
      </c>
      <c r="F306">
        <v>2</v>
      </c>
    </row>
    <row r="307" spans="1:6">
      <c r="A307">
        <f t="shared" si="24"/>
        <v>301</v>
      </c>
      <c r="B307">
        <v>857</v>
      </c>
      <c r="C307">
        <v>3.53333333333333</v>
      </c>
      <c r="D307">
        <v>0.35</v>
      </c>
      <c r="E307" s="5" t="s">
        <v>28</v>
      </c>
      <c r="F307">
        <v>2</v>
      </c>
    </row>
    <row r="308" spans="1:6">
      <c r="A308">
        <f t="shared" si="24"/>
        <v>302</v>
      </c>
      <c r="B308">
        <v>864</v>
      </c>
      <c r="C308">
        <v>1.6</v>
      </c>
      <c r="D308">
        <v>0.2</v>
      </c>
      <c r="E308" s="5" t="s">
        <v>28</v>
      </c>
      <c r="F308">
        <v>2</v>
      </c>
    </row>
    <row r="309" spans="1:6">
      <c r="A309">
        <f t="shared" si="24"/>
        <v>303</v>
      </c>
      <c r="B309">
        <v>865</v>
      </c>
      <c r="C309">
        <v>8.6</v>
      </c>
      <c r="D309">
        <v>0.5</v>
      </c>
      <c r="E309" s="5" t="s">
        <v>28</v>
      </c>
      <c r="F309">
        <v>2</v>
      </c>
    </row>
    <row r="310" spans="1:6">
      <c r="A310">
        <f t="shared" si="24"/>
        <v>304</v>
      </c>
      <c r="B310">
        <v>888</v>
      </c>
      <c r="C310">
        <v>6.3</v>
      </c>
      <c r="D310">
        <v>0.67</v>
      </c>
      <c r="E310" s="5" t="s">
        <v>28</v>
      </c>
      <c r="F310">
        <v>0</v>
      </c>
    </row>
    <row r="311" spans="1:6">
      <c r="A311">
        <f t="shared" ref="A311:A323" si="25">ROW()-6</f>
        <v>305</v>
      </c>
      <c r="B311">
        <v>882</v>
      </c>
      <c r="C311">
        <v>7.3</v>
      </c>
      <c r="D311">
        <v>0.4</v>
      </c>
      <c r="E311" s="5" t="s">
        <v>25</v>
      </c>
      <c r="F311">
        <v>0</v>
      </c>
    </row>
    <row r="312" spans="1:6">
      <c r="A312">
        <f t="shared" si="25"/>
        <v>306</v>
      </c>
      <c r="B312">
        <v>880</v>
      </c>
      <c r="C312">
        <v>9.66666666666667</v>
      </c>
      <c r="D312">
        <v>0.5</v>
      </c>
      <c r="E312" s="5" t="s">
        <v>28</v>
      </c>
      <c r="F312">
        <v>0</v>
      </c>
    </row>
    <row r="313" spans="1:6">
      <c r="A313">
        <f t="shared" si="25"/>
        <v>307</v>
      </c>
      <c r="B313">
        <v>893</v>
      </c>
      <c r="C313">
        <v>1.8</v>
      </c>
      <c r="D313">
        <v>0.2</v>
      </c>
      <c r="E313" s="5" t="s">
        <v>28</v>
      </c>
      <c r="F313">
        <v>1</v>
      </c>
    </row>
    <row r="314" spans="1:6">
      <c r="A314">
        <f t="shared" si="25"/>
        <v>308</v>
      </c>
      <c r="B314">
        <v>895</v>
      </c>
      <c r="C314">
        <v>3</v>
      </c>
      <c r="D314">
        <v>0.2</v>
      </c>
      <c r="E314" s="5" t="s">
        <v>28</v>
      </c>
      <c r="F314">
        <v>2</v>
      </c>
    </row>
    <row r="315" spans="1:6">
      <c r="A315">
        <f t="shared" si="25"/>
        <v>309</v>
      </c>
      <c r="B315">
        <v>907</v>
      </c>
      <c r="C315">
        <v>2.3</v>
      </c>
      <c r="D315">
        <v>0.25</v>
      </c>
      <c r="E315" s="5" t="s">
        <v>25</v>
      </c>
      <c r="F315">
        <v>2</v>
      </c>
    </row>
    <row r="316" spans="1:6">
      <c r="A316">
        <f t="shared" si="25"/>
        <v>310</v>
      </c>
      <c r="B316">
        <v>912</v>
      </c>
      <c r="C316">
        <v>5.3</v>
      </c>
      <c r="D316">
        <v>0.65</v>
      </c>
      <c r="E316" s="5" t="s">
        <v>29</v>
      </c>
      <c r="F316">
        <v>0</v>
      </c>
    </row>
    <row r="317" spans="1:6">
      <c r="A317">
        <f t="shared" si="25"/>
        <v>311</v>
      </c>
      <c r="B317">
        <v>912</v>
      </c>
      <c r="C317">
        <v>5.95</v>
      </c>
      <c r="D317">
        <v>0.6</v>
      </c>
      <c r="E317" s="5" t="s">
        <v>25</v>
      </c>
      <c r="F317">
        <v>2</v>
      </c>
    </row>
    <row r="318" spans="1:6">
      <c r="A318">
        <f t="shared" si="25"/>
        <v>312</v>
      </c>
      <c r="B318">
        <v>909</v>
      </c>
      <c r="C318">
        <v>1.9</v>
      </c>
      <c r="D318">
        <v>0.15</v>
      </c>
      <c r="E318" s="5" t="s">
        <v>25</v>
      </c>
      <c r="F318">
        <v>2</v>
      </c>
    </row>
    <row r="319" spans="1:6">
      <c r="A319">
        <f t="shared" si="25"/>
        <v>313</v>
      </c>
      <c r="B319">
        <v>910</v>
      </c>
      <c r="C319" s="2">
        <v>1.86666666666667</v>
      </c>
      <c r="D319">
        <v>0.2</v>
      </c>
      <c r="E319" s="5" t="s">
        <v>25</v>
      </c>
      <c r="F319">
        <v>2</v>
      </c>
    </row>
    <row r="320" spans="1:6">
      <c r="A320">
        <f t="shared" si="25"/>
        <v>314</v>
      </c>
      <c r="B320">
        <v>979</v>
      </c>
      <c r="C320">
        <f>81/30</f>
        <v>2.7</v>
      </c>
      <c r="D320">
        <v>0.15</v>
      </c>
      <c r="E320" s="5" t="s">
        <v>25</v>
      </c>
      <c r="F320">
        <v>2</v>
      </c>
    </row>
    <row r="321" spans="1:6">
      <c r="A321">
        <f t="shared" si="25"/>
        <v>315</v>
      </c>
      <c r="B321">
        <v>982</v>
      </c>
      <c r="C321">
        <f>64/30</f>
        <v>2.13333333333333</v>
      </c>
      <c r="D321">
        <v>0.15</v>
      </c>
      <c r="E321" s="5" t="s">
        <v>25</v>
      </c>
      <c r="F321">
        <v>2</v>
      </c>
    </row>
    <row r="322" spans="1:6">
      <c r="A322">
        <f t="shared" si="25"/>
        <v>316</v>
      </c>
      <c r="B322">
        <v>993</v>
      </c>
      <c r="C322">
        <v>0.59999</v>
      </c>
      <c r="D322">
        <v>0.1</v>
      </c>
      <c r="E322" s="5" t="s">
        <v>28</v>
      </c>
      <c r="F322">
        <v>2</v>
      </c>
    </row>
    <row r="323" spans="1:6">
      <c r="A323">
        <f t="shared" si="25"/>
        <v>317</v>
      </c>
      <c r="B323">
        <v>994</v>
      </c>
      <c r="C323">
        <v>0.9</v>
      </c>
      <c r="D323">
        <v>0.1</v>
      </c>
      <c r="E323" s="5" t="s">
        <v>25</v>
      </c>
      <c r="F323">
        <v>2</v>
      </c>
    </row>
    <row r="324" spans="1:6">
      <c r="A324">
        <v>318</v>
      </c>
      <c r="B324">
        <v>993</v>
      </c>
      <c r="C324">
        <v>1.75</v>
      </c>
      <c r="D324">
        <v>0.05</v>
      </c>
      <c r="E324" s="5" t="s">
        <v>25</v>
      </c>
      <c r="F324">
        <v>2</v>
      </c>
    </row>
    <row r="325" spans="1:6">
      <c r="A325">
        <v>319</v>
      </c>
      <c r="B325" s="19">
        <v>1004</v>
      </c>
      <c r="C325" s="19">
        <f>56/30</f>
        <v>1.86666666666667</v>
      </c>
      <c r="D325">
        <v>0.35</v>
      </c>
      <c r="E325" t="s">
        <v>25</v>
      </c>
      <c r="F325">
        <v>2</v>
      </c>
    </row>
    <row r="326" spans="1:6">
      <c r="A326">
        <v>320</v>
      </c>
      <c r="B326" s="19">
        <v>1005</v>
      </c>
      <c r="C326" s="19">
        <f>100.5/30</f>
        <v>3.35</v>
      </c>
      <c r="D326">
        <v>0.35</v>
      </c>
      <c r="E326" t="s">
        <v>25</v>
      </c>
      <c r="F326">
        <v>0</v>
      </c>
    </row>
    <row r="327" spans="1:6">
      <c r="A327">
        <v>321</v>
      </c>
      <c r="B327" s="19">
        <v>1006</v>
      </c>
      <c r="C327" s="19">
        <f>89.5/30</f>
        <v>2.98333333333333</v>
      </c>
      <c r="D327">
        <v>0.3</v>
      </c>
      <c r="E327" t="s">
        <v>25</v>
      </c>
      <c r="F327">
        <v>0</v>
      </c>
    </row>
    <row r="328" spans="1:6">
      <c r="A328">
        <v>322</v>
      </c>
      <c r="B328">
        <v>1018</v>
      </c>
      <c r="C328">
        <f>53/30</f>
        <v>1.76666666666667</v>
      </c>
      <c r="D328">
        <v>0.35</v>
      </c>
      <c r="E328" t="s">
        <v>25</v>
      </c>
      <c r="F328">
        <v>2</v>
      </c>
    </row>
    <row r="329" spans="1:6">
      <c r="A329">
        <v>323</v>
      </c>
      <c r="B329">
        <v>1019</v>
      </c>
      <c r="C329">
        <f>52/30</f>
        <v>1.73333333333333</v>
      </c>
      <c r="D329">
        <v>0.35</v>
      </c>
      <c r="E329" t="s">
        <v>25</v>
      </c>
      <c r="F329">
        <v>0</v>
      </c>
    </row>
    <row r="330" spans="1:6">
      <c r="A330">
        <v>324</v>
      </c>
      <c r="B330">
        <v>1021</v>
      </c>
      <c r="C330">
        <f>100/30</f>
        <v>3.33333333333333</v>
      </c>
      <c r="D330">
        <v>0.3</v>
      </c>
      <c r="E330" t="s">
        <v>25</v>
      </c>
      <c r="F330">
        <v>2</v>
      </c>
    </row>
    <row r="331" spans="1:6">
      <c r="A331">
        <v>325</v>
      </c>
      <c r="B331">
        <v>1112</v>
      </c>
      <c r="C331" s="20">
        <v>1.06666666666667</v>
      </c>
      <c r="D331">
        <v>0.15</v>
      </c>
      <c r="E331" t="s">
        <v>25</v>
      </c>
      <c r="F331">
        <v>0</v>
      </c>
    </row>
    <row r="332" spans="1:6">
      <c r="A332">
        <v>326</v>
      </c>
      <c r="B332">
        <v>1112</v>
      </c>
      <c r="C332" s="21">
        <v>2.13333333333333</v>
      </c>
      <c r="D332">
        <v>0.2</v>
      </c>
      <c r="E332" t="s">
        <v>25</v>
      </c>
      <c r="F332">
        <v>1</v>
      </c>
    </row>
    <row r="333" spans="1:6">
      <c r="A333">
        <v>327</v>
      </c>
      <c r="B333">
        <v>1113</v>
      </c>
      <c r="C333" s="21">
        <v>3.2</v>
      </c>
      <c r="D333">
        <v>0.3</v>
      </c>
      <c r="E333" t="s">
        <v>25</v>
      </c>
      <c r="F333">
        <v>1</v>
      </c>
    </row>
    <row r="334" spans="1:6">
      <c r="A334">
        <v>328</v>
      </c>
      <c r="B334">
        <v>1115</v>
      </c>
      <c r="C334" s="21">
        <v>3.4</v>
      </c>
      <c r="D334">
        <v>0.3</v>
      </c>
      <c r="E334" t="s">
        <v>25</v>
      </c>
      <c r="F334">
        <v>1</v>
      </c>
    </row>
    <row r="335" spans="1:6">
      <c r="A335">
        <v>329</v>
      </c>
      <c r="B335">
        <v>1119</v>
      </c>
      <c r="C335" s="20">
        <v>1.33333333333333</v>
      </c>
      <c r="D335">
        <v>0.2</v>
      </c>
      <c r="E335" t="s">
        <v>25</v>
      </c>
      <c r="F335">
        <v>0</v>
      </c>
    </row>
    <row r="336" spans="1:6">
      <c r="A336">
        <v>330</v>
      </c>
      <c r="B336">
        <v>1121</v>
      </c>
      <c r="C336" s="22">
        <f>44/30</f>
        <v>1.46666666666667</v>
      </c>
      <c r="D336">
        <v>0.15</v>
      </c>
      <c r="E336" t="s">
        <v>25</v>
      </c>
      <c r="F336">
        <v>0</v>
      </c>
    </row>
    <row r="337" spans="1:6">
      <c r="A337">
        <v>331</v>
      </c>
      <c r="B337">
        <v>1122</v>
      </c>
      <c r="C337" s="22">
        <f>0.8+0.03+0.03+0.03+0.03</f>
        <v>0.92</v>
      </c>
      <c r="D337">
        <v>0.2</v>
      </c>
      <c r="E337" t="s">
        <v>25</v>
      </c>
      <c r="F337">
        <v>2</v>
      </c>
    </row>
    <row r="338" spans="1:6">
      <c r="A338">
        <v>332</v>
      </c>
      <c r="B338" s="23">
        <v>1123</v>
      </c>
      <c r="C338" s="22">
        <f>22/30</f>
        <v>0.733333333333333</v>
      </c>
      <c r="D338">
        <v>0.2</v>
      </c>
      <c r="E338" t="s">
        <v>25</v>
      </c>
      <c r="F338">
        <v>1</v>
      </c>
    </row>
    <row r="339" spans="1:6">
      <c r="A339">
        <v>333</v>
      </c>
      <c r="B339" s="23">
        <v>1123</v>
      </c>
      <c r="C339" s="22">
        <f>54/30</f>
        <v>1.8</v>
      </c>
      <c r="D339">
        <v>0.2</v>
      </c>
      <c r="E339" t="s">
        <v>25</v>
      </c>
      <c r="F339">
        <v>1</v>
      </c>
    </row>
    <row r="340" spans="1:6">
      <c r="A340">
        <v>334</v>
      </c>
      <c r="B340" s="23">
        <v>1123</v>
      </c>
      <c r="C340" s="22">
        <f>69/30</f>
        <v>2.3</v>
      </c>
      <c r="D340">
        <v>0.2</v>
      </c>
      <c r="E340" t="s">
        <v>25</v>
      </c>
      <c r="F340">
        <v>1</v>
      </c>
    </row>
    <row r="341" spans="1:6">
      <c r="A341">
        <v>335</v>
      </c>
      <c r="B341" s="23">
        <v>1125</v>
      </c>
      <c r="C341" s="22">
        <f>66/30</f>
        <v>2.2</v>
      </c>
      <c r="D341">
        <v>0.3</v>
      </c>
      <c r="E341" t="s">
        <v>25</v>
      </c>
      <c r="F341">
        <v>0</v>
      </c>
    </row>
    <row r="342" spans="1:6">
      <c r="A342">
        <v>336</v>
      </c>
      <c r="B342">
        <v>1130</v>
      </c>
      <c r="C342" s="24">
        <v>0.533333333333333</v>
      </c>
      <c r="D342">
        <v>0.2</v>
      </c>
      <c r="E342" t="s">
        <v>25</v>
      </c>
      <c r="F342">
        <v>0</v>
      </c>
    </row>
    <row r="343" spans="1:6">
      <c r="A343">
        <v>337</v>
      </c>
      <c r="B343">
        <v>1131</v>
      </c>
      <c r="C343" s="24">
        <v>1.8</v>
      </c>
      <c r="D343">
        <v>0.3</v>
      </c>
      <c r="E343" t="s">
        <v>25</v>
      </c>
      <c r="F343">
        <v>0</v>
      </c>
    </row>
    <row r="344" spans="1:6">
      <c r="A344">
        <v>338</v>
      </c>
      <c r="B344" s="1">
        <v>1132</v>
      </c>
      <c r="C344" s="24">
        <v>1.6</v>
      </c>
      <c r="D344">
        <v>0.4</v>
      </c>
      <c r="E344" t="s">
        <v>25</v>
      </c>
      <c r="F344">
        <v>0</v>
      </c>
    </row>
    <row r="345" spans="1:6">
      <c r="A345">
        <v>339</v>
      </c>
      <c r="B345" s="1">
        <v>1133</v>
      </c>
      <c r="C345" s="24">
        <v>1.26666666666667</v>
      </c>
      <c r="D345">
        <v>0.3</v>
      </c>
      <c r="E345" t="s">
        <v>25</v>
      </c>
      <c r="F345">
        <v>0</v>
      </c>
    </row>
    <row r="346" spans="1:6">
      <c r="A346">
        <v>340</v>
      </c>
      <c r="B346">
        <v>1137</v>
      </c>
      <c r="C346" s="25">
        <f>19/30</f>
        <v>0.633333333333333</v>
      </c>
      <c r="D346">
        <v>0.1</v>
      </c>
      <c r="E346" t="s">
        <v>25</v>
      </c>
      <c r="F346">
        <v>0</v>
      </c>
    </row>
    <row r="347" spans="1:6">
      <c r="A347">
        <v>341</v>
      </c>
      <c r="B347">
        <v>1137</v>
      </c>
      <c r="C347" s="25">
        <f>77/30</f>
        <v>2.56666666666667</v>
      </c>
      <c r="D347">
        <v>0.25</v>
      </c>
      <c r="E347" t="s">
        <v>25</v>
      </c>
      <c r="F347">
        <v>0</v>
      </c>
    </row>
    <row r="348" spans="1:6">
      <c r="A348">
        <v>342</v>
      </c>
      <c r="B348">
        <v>1138</v>
      </c>
      <c r="C348" s="25">
        <f>56/30</f>
        <v>1.86666666666667</v>
      </c>
      <c r="D348">
        <v>0.25</v>
      </c>
      <c r="E348" t="s">
        <v>25</v>
      </c>
      <c r="F348">
        <v>0</v>
      </c>
    </row>
    <row r="349" spans="1:6">
      <c r="A349">
        <v>343</v>
      </c>
      <c r="B349">
        <v>1140</v>
      </c>
      <c r="C349" s="25">
        <f>9/30</f>
        <v>0.3</v>
      </c>
      <c r="D349">
        <v>0.15</v>
      </c>
      <c r="E349" t="s">
        <v>25</v>
      </c>
      <c r="F349">
        <v>0</v>
      </c>
    </row>
    <row r="350" spans="1:6">
      <c r="A350">
        <v>344</v>
      </c>
      <c r="B350">
        <v>1140</v>
      </c>
      <c r="C350" s="25">
        <f>18/30</f>
        <v>0.6</v>
      </c>
      <c r="D350">
        <v>0.15</v>
      </c>
      <c r="E350" t="s">
        <v>25</v>
      </c>
      <c r="F350">
        <v>0</v>
      </c>
    </row>
    <row r="351" spans="1:6">
      <c r="A351">
        <v>345</v>
      </c>
      <c r="B351">
        <v>1140</v>
      </c>
      <c r="C351" s="25">
        <f>30/30</f>
        <v>1</v>
      </c>
      <c r="D351">
        <v>0.3</v>
      </c>
      <c r="E351" t="s">
        <v>25</v>
      </c>
      <c r="F351">
        <v>0</v>
      </c>
    </row>
    <row r="352" spans="1:6">
      <c r="A352">
        <v>346</v>
      </c>
      <c r="B352">
        <v>1141</v>
      </c>
      <c r="C352" s="25">
        <v>0.95</v>
      </c>
      <c r="D352">
        <v>0.3</v>
      </c>
      <c r="E352" t="s">
        <v>25</v>
      </c>
      <c r="F352">
        <v>0</v>
      </c>
    </row>
    <row r="353" spans="1:6">
      <c r="A353">
        <v>347</v>
      </c>
      <c r="B353">
        <v>1142</v>
      </c>
      <c r="C353" s="25">
        <f>52/30</f>
        <v>1.73333333333333</v>
      </c>
      <c r="D353">
        <v>0.15</v>
      </c>
      <c r="E353" t="s">
        <v>25</v>
      </c>
      <c r="F353">
        <v>0</v>
      </c>
    </row>
    <row r="354" spans="1:6">
      <c r="A354">
        <v>348</v>
      </c>
      <c r="B354">
        <v>1144</v>
      </c>
      <c r="C354" s="25">
        <f>32/30</f>
        <v>1.06666666666667</v>
      </c>
      <c r="D354">
        <v>0.3</v>
      </c>
      <c r="E354" t="s">
        <v>25</v>
      </c>
      <c r="F354">
        <v>0</v>
      </c>
    </row>
    <row r="355" spans="1:6">
      <c r="A355">
        <v>349</v>
      </c>
      <c r="B355">
        <v>1148</v>
      </c>
      <c r="C355" s="25">
        <f>9/30</f>
        <v>0.3</v>
      </c>
      <c r="D355">
        <v>0.15</v>
      </c>
      <c r="E355" t="s">
        <v>25</v>
      </c>
      <c r="F355">
        <v>0</v>
      </c>
    </row>
    <row r="356" spans="1:6">
      <c r="A356">
        <v>350</v>
      </c>
      <c r="B356">
        <v>1148</v>
      </c>
      <c r="C356" s="25">
        <f>18/30</f>
        <v>0.6</v>
      </c>
      <c r="D356">
        <v>0.15</v>
      </c>
      <c r="E356" t="s">
        <v>25</v>
      </c>
      <c r="F356">
        <v>0</v>
      </c>
    </row>
    <row r="357" spans="1:6">
      <c r="A357">
        <v>351</v>
      </c>
      <c r="B357">
        <v>1148</v>
      </c>
      <c r="C357" s="25">
        <f>30/30</f>
        <v>1</v>
      </c>
      <c r="D357">
        <v>0.3</v>
      </c>
      <c r="E357" t="s">
        <v>25</v>
      </c>
      <c r="F357">
        <v>0</v>
      </c>
    </row>
    <row r="358" spans="1:6">
      <c r="A358">
        <v>352</v>
      </c>
      <c r="B358" s="1">
        <v>1150</v>
      </c>
      <c r="C358" s="26">
        <v>2.71</v>
      </c>
      <c r="D358">
        <v>0.2</v>
      </c>
      <c r="E358" t="s">
        <v>27</v>
      </c>
      <c r="F358">
        <v>0</v>
      </c>
    </row>
    <row r="359" spans="1:6">
      <c r="A359">
        <v>353</v>
      </c>
      <c r="B359" s="1">
        <v>1149</v>
      </c>
      <c r="C359" s="26">
        <f>36/30</f>
        <v>1.2</v>
      </c>
      <c r="D359">
        <v>0.3</v>
      </c>
      <c r="E359" t="s">
        <v>25</v>
      </c>
      <c r="F359">
        <v>0</v>
      </c>
    </row>
    <row r="360" spans="1:6">
      <c r="A360">
        <v>354</v>
      </c>
      <c r="B360" s="1">
        <v>1151</v>
      </c>
      <c r="C360" s="26">
        <v>0.85</v>
      </c>
      <c r="D360">
        <v>0.3</v>
      </c>
      <c r="E360" t="s">
        <v>25</v>
      </c>
      <c r="F360">
        <v>0</v>
      </c>
    </row>
    <row r="361" spans="1:6">
      <c r="A361">
        <v>355</v>
      </c>
      <c r="B361" s="1">
        <v>1151</v>
      </c>
      <c r="C361" s="26">
        <v>2.34</v>
      </c>
      <c r="D361">
        <v>0.3</v>
      </c>
      <c r="E361" t="s">
        <v>25</v>
      </c>
      <c r="F361">
        <v>0</v>
      </c>
    </row>
    <row r="362" spans="1:6">
      <c r="A362">
        <v>356</v>
      </c>
      <c r="B362" s="1">
        <v>1155</v>
      </c>
      <c r="C362" s="26">
        <v>2.3</v>
      </c>
      <c r="D362">
        <v>0.3</v>
      </c>
      <c r="E362" t="s">
        <v>25</v>
      </c>
      <c r="F362">
        <v>0</v>
      </c>
    </row>
    <row r="363" spans="1:6">
      <c r="A363">
        <v>357</v>
      </c>
      <c r="B363" s="1">
        <v>1156</v>
      </c>
      <c r="C363" s="26">
        <v>1.1</v>
      </c>
      <c r="D363">
        <v>0.3</v>
      </c>
      <c r="E363" t="s">
        <v>25</v>
      </c>
      <c r="F363">
        <v>0</v>
      </c>
    </row>
    <row r="364" spans="1:6">
      <c r="A364">
        <v>358</v>
      </c>
      <c r="B364">
        <v>1158</v>
      </c>
      <c r="C364">
        <f>66/30</f>
        <v>2.2</v>
      </c>
      <c r="D364">
        <v>0.5</v>
      </c>
      <c r="E364" t="s">
        <v>28</v>
      </c>
      <c r="F364">
        <v>0</v>
      </c>
    </row>
    <row r="365" spans="1:6">
      <c r="A365">
        <v>359</v>
      </c>
      <c r="B365">
        <v>1158</v>
      </c>
      <c r="C365">
        <v>3.14</v>
      </c>
      <c r="D365">
        <v>0.3</v>
      </c>
      <c r="E365" t="s">
        <v>25</v>
      </c>
      <c r="F365">
        <v>0</v>
      </c>
    </row>
    <row r="366" spans="1:6">
      <c r="A366">
        <v>360</v>
      </c>
      <c r="B366">
        <v>1164</v>
      </c>
      <c r="C366">
        <v>1.21</v>
      </c>
      <c r="D366">
        <v>0.3</v>
      </c>
      <c r="E366" t="s">
        <v>28</v>
      </c>
      <c r="F366">
        <v>0</v>
      </c>
    </row>
    <row r="367" spans="1:6">
      <c r="A367">
        <v>361</v>
      </c>
      <c r="B367">
        <v>1165</v>
      </c>
      <c r="C367">
        <f>6/30+1.89</f>
        <v>2.09</v>
      </c>
      <c r="D367">
        <v>0.3</v>
      </c>
      <c r="E367" t="s">
        <v>25</v>
      </c>
      <c r="F367">
        <v>0</v>
      </c>
    </row>
    <row r="368" spans="1:6">
      <c r="A368">
        <v>362</v>
      </c>
      <c r="B368">
        <v>1180</v>
      </c>
      <c r="C368" s="27">
        <f>45/30</f>
        <v>1.5</v>
      </c>
      <c r="D368">
        <v>0.3</v>
      </c>
      <c r="E368" t="s">
        <v>25</v>
      </c>
      <c r="F368">
        <v>0</v>
      </c>
    </row>
    <row r="369" spans="1:6">
      <c r="A369">
        <v>363</v>
      </c>
      <c r="B369">
        <v>1182</v>
      </c>
      <c r="C369" s="27">
        <f>75/30</f>
        <v>2.5</v>
      </c>
      <c r="D369">
        <v>0.15</v>
      </c>
      <c r="E369" t="s">
        <v>28</v>
      </c>
      <c r="F369">
        <v>0</v>
      </c>
    </row>
    <row r="370" spans="1:6">
      <c r="A370">
        <v>364</v>
      </c>
      <c r="B370">
        <v>1185</v>
      </c>
      <c r="C370" s="27">
        <f>4/30</f>
        <v>0.133333333333333</v>
      </c>
      <c r="D370">
        <v>0.2</v>
      </c>
      <c r="E370" t="s">
        <v>25</v>
      </c>
      <c r="F370">
        <v>0</v>
      </c>
    </row>
    <row r="371" spans="1:6">
      <c r="A371">
        <v>365</v>
      </c>
      <c r="B371">
        <v>1185</v>
      </c>
      <c r="C371" s="27">
        <f>15/30</f>
        <v>0.5</v>
      </c>
      <c r="D371">
        <v>0.1</v>
      </c>
      <c r="E371" t="s">
        <v>28</v>
      </c>
      <c r="F371">
        <v>0</v>
      </c>
    </row>
    <row r="372" spans="1:6">
      <c r="A372">
        <v>366</v>
      </c>
      <c r="B372">
        <v>1185</v>
      </c>
      <c r="C372" s="27">
        <f>29/30</f>
        <v>0.966666666666667</v>
      </c>
      <c r="D372">
        <v>0.1</v>
      </c>
      <c r="E372" t="s">
        <v>25</v>
      </c>
      <c r="F372">
        <v>0</v>
      </c>
    </row>
    <row r="373" spans="1:6">
      <c r="A373">
        <v>367</v>
      </c>
      <c r="B373">
        <v>1185</v>
      </c>
      <c r="C373" s="27">
        <f>34/30</f>
        <v>1.13333333333333</v>
      </c>
      <c r="D373">
        <v>0.2</v>
      </c>
      <c r="E373" t="s">
        <v>25</v>
      </c>
      <c r="F373">
        <v>0</v>
      </c>
    </row>
    <row r="374" spans="1:6">
      <c r="A374">
        <v>368</v>
      </c>
      <c r="B374">
        <v>1186</v>
      </c>
      <c r="C374" s="27">
        <f>15/30</f>
        <v>0.5</v>
      </c>
      <c r="D374">
        <v>0.3</v>
      </c>
      <c r="E374" t="s">
        <v>25</v>
      </c>
      <c r="F374">
        <v>0</v>
      </c>
    </row>
    <row r="375" spans="1:6">
      <c r="A375">
        <v>369</v>
      </c>
      <c r="B375">
        <v>1189</v>
      </c>
      <c r="C375">
        <f>66/30</f>
        <v>2.2</v>
      </c>
      <c r="D375">
        <v>0.2</v>
      </c>
      <c r="E375" t="s">
        <v>25</v>
      </c>
      <c r="F375">
        <v>0</v>
      </c>
    </row>
    <row r="376" spans="1:6">
      <c r="A376">
        <v>370</v>
      </c>
      <c r="B376" s="28">
        <v>1200</v>
      </c>
      <c r="C376" s="29">
        <v>1.36666666666667</v>
      </c>
      <c r="D376">
        <v>0.1</v>
      </c>
      <c r="E376" t="s">
        <v>25</v>
      </c>
      <c r="F376">
        <v>0</v>
      </c>
    </row>
    <row r="377" spans="1:6">
      <c r="A377">
        <v>371</v>
      </c>
      <c r="B377" s="19">
        <v>1230</v>
      </c>
      <c r="C377" s="19">
        <f>16/30</f>
        <v>0.533333333333333</v>
      </c>
      <c r="D377">
        <v>0.2</v>
      </c>
      <c r="E377" t="s">
        <v>25</v>
      </c>
      <c r="F377">
        <v>2</v>
      </c>
    </row>
    <row r="378" spans="1:6">
      <c r="A378">
        <v>372</v>
      </c>
      <c r="B378">
        <v>1229</v>
      </c>
      <c r="C378">
        <f>57/30</f>
        <v>1.9</v>
      </c>
      <c r="D378">
        <v>0.2</v>
      </c>
      <c r="E378" t="s">
        <v>25</v>
      </c>
      <c r="F378">
        <v>2</v>
      </c>
    </row>
  </sheetData>
  <autoFilter ref="A6:F376">
    <extLst/>
  </autoFilter>
  <conditionalFormatting sqref="A$1:A$1048576">
    <cfRule type="cellIs" dxfId="0" priority="1" operator="equal">
      <formula>157</formula>
    </cfRule>
  </conditionalFormatting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zhangjunhao</cp:lastModifiedBy>
  <dcterms:created xsi:type="dcterms:W3CDTF">2016-10-21T07:38:00Z</dcterms:created>
  <dcterms:modified xsi:type="dcterms:W3CDTF">2024-09-24T08:26:34Z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D4C0FBA0AE374CF8891213E843B4BB75</vt:lpwstr>
  </property>
</Properties>
</file>