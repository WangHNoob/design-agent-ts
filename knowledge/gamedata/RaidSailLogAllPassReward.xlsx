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  <sheet name="Sheet2" sheetId="2" r:id="rId2"/>
  </sheets>
  <calcPr calcId="144525" fullCalcOnLoad="1"/>
</workbook>
</file>

<file path=xl/comments1.xml><?xml version="1.0" encoding="utf-8"?>
<comments xmlns="http://schemas.openxmlformats.org/spreadsheetml/2006/main">
  <authors>
    <author>PC</author>
  </authors>
  <commentList>
    <comment ref="B3" authorId="0">
      <text>
        <r>
          <rPr>
            <sz val="9"/>
            <rFont val="宋体"/>
            <charset val="134"/>
          </rPr>
          <t>1总星数
2开启X个SR角色传记
3开启X个SSR角色传记
4SR星级达到X个
5SSR星级达到X个</t>
        </r>
      </text>
    </comment>
  </commentList>
</comments>
</file>

<file path=xl/sharedStrings.xml><?xml version="1.0" encoding="utf-8"?>
<sst xmlns="http://schemas.openxmlformats.org/spreadsheetml/2006/main" count="49" uniqueCount="49">
  <si>
    <t>id</t>
  </si>
  <si>
    <t>类型</t>
  </si>
  <si>
    <t>EmptyKey-C2</t>
  </si>
  <si>
    <t>EmptyKey-D2</t>
  </si>
  <si>
    <t>EmptyKey-E2</t>
  </si>
  <si>
    <t>type</t>
  </si>
  <si>
    <t>needNum</t>
  </si>
  <si>
    <t>reward</t>
  </si>
  <si>
    <t>int</t>
  </si>
  <si>
    <t>string(intern)</t>
  </si>
  <si>
    <t>none</t>
  </si>
  <si>
    <r xmlns="http://schemas.openxmlformats.org/spreadsheetml/2006/main">
      <rPr>
        <sz val="11"/>
        <color theme="1"/>
        <rFont val="宋体"/>
        <charset val="134"/>
        <scheme val="minor"/>
      </rPr>
      <t>n</t>
    </r>
    <r xmlns="http://schemas.openxmlformats.org/spreadsheetml/2006/main">
      <rPr>
        <sz val="11"/>
        <color theme="1"/>
        <rFont val="宋体"/>
        <charset val="134"/>
        <scheme val="minor"/>
      </rPr>
      <t>one</t>
    </r>
  </si>
  <si>
    <r xmlns="http://schemas.openxmlformats.org/spreadsheetml/2006/main">
      <rPr>
        <sz val="11"/>
        <color theme="1"/>
        <rFont val="宋体"/>
        <charset val="134"/>
        <scheme val="minor"/>
      </rPr>
      <t>t</t>
    </r>
    <r xmlns="http://schemas.openxmlformats.org/spreadsheetml/2006/main">
      <rPr>
        <sz val="11"/>
        <color theme="1"/>
        <rFont val="宋体"/>
        <charset val="134"/>
        <scheme val="minor"/>
      </rPr>
      <t>ype</t>
    </r>
  </si>
  <si>
    <t>1总星数</t>
  </si>
  <si>
    <t>5,0,0</t>
  </si>
  <si>
    <t>2开启X个SR角色传记</t>
  </si>
  <si>
    <r xmlns="http://schemas.openxmlformats.org/spreadsheetml/2006/main">
      <rPr>
        <sz val="11"/>
        <color theme="1"/>
        <rFont val="宋体"/>
        <charset val="134"/>
        <scheme val="minor"/>
      </rPr>
      <t>3</t>
    </r>
    <r xmlns="http://schemas.openxmlformats.org/spreadsheetml/2006/main">
      <rPr>
        <sz val="11"/>
        <color theme="1"/>
        <rFont val="宋体"/>
        <charset val="134"/>
        <scheme val="minor"/>
      </rPr>
      <t>开启X个SSR角色传记</t>
    </r>
  </si>
  <si>
    <r xmlns="http://schemas.openxmlformats.org/spreadsheetml/2006/main">
      <rPr>
        <sz val="11"/>
        <color theme="1"/>
        <rFont val="宋体"/>
        <charset val="134"/>
        <scheme val="minor"/>
      </rPr>
      <t>4</t>
    </r>
    <r xmlns="http://schemas.openxmlformats.org/spreadsheetml/2006/main">
      <rPr>
        <sz val="11"/>
        <color theme="1"/>
        <rFont val="宋体"/>
        <charset val="134"/>
        <scheme val="minor"/>
      </rPr>
      <t>SR星级达到X个</t>
    </r>
  </si>
  <si>
    <r xmlns="http://schemas.openxmlformats.org/spreadsheetml/2006/main">
      <rPr>
        <sz val="11"/>
        <color theme="1"/>
        <rFont val="宋体"/>
        <charset val="134"/>
        <scheme val="minor"/>
      </rPr>
      <t>5</t>
    </r>
    <r xmlns="http://schemas.openxmlformats.org/spreadsheetml/2006/main">
      <rPr>
        <sz val="11"/>
        <color theme="1"/>
        <rFont val="宋体"/>
        <charset val="134"/>
        <scheme val="minor"/>
      </rPr>
      <t>SSR</t>
    </r>
    <r xmlns="http://schemas.openxmlformats.org/spreadsheetml/2006/main">
      <rPr>
        <sz val="11"/>
        <color theme="1"/>
        <rFont val="宋体"/>
        <charset val="134"/>
        <scheme val="minor"/>
      </rPr>
      <t>星级达到</t>
    </r>
    <r xmlns="http://schemas.openxmlformats.org/spreadsheetml/2006/main">
      <rPr>
        <sz val="11"/>
        <color theme="1"/>
        <rFont val="宋体"/>
        <charset val="134"/>
        <scheme val="minor"/>
      </rPr>
      <t>X</t>
    </r>
    <r xmlns="http://schemas.openxmlformats.org/spreadsheetml/2006/main">
      <rPr>
        <sz val="11"/>
        <color theme="1"/>
        <rFont val="宋体"/>
        <charset val="134"/>
        <scheme val="minor"/>
      </rPr>
      <t>个</t>
    </r>
  </si>
  <si>
    <t>6开启X个角色传记</t>
  </si>
  <si>
    <t>航海日志</t>
  </si>
  <si>
    <t>钻石</t>
  </si>
  <si>
    <t>金块</t>
  </si>
  <si>
    <t>高级抽卡券</t>
  </si>
  <si>
    <t>金色战魂</t>
  </si>
  <si>
    <t>星级10</t>
  </si>
  <si>
    <t>;</t>
  </si>
  <si>
    <t>星级20</t>
  </si>
  <si>
    <t>星级30</t>
  </si>
  <si>
    <t>星级40</t>
  </si>
  <si>
    <t>星级50</t>
  </si>
  <si>
    <t>1001,215011,1</t>
  </si>
  <si>
    <t>星级100</t>
  </si>
  <si>
    <t>1001,215005,1</t>
  </si>
  <si>
    <t>星级150</t>
  </si>
  <si>
    <t>星级200</t>
  </si>
  <si>
    <t>星级250</t>
  </si>
  <si>
    <t>星级300</t>
  </si>
  <si>
    <t>暂废10</t>
  </si>
  <si>
    <t>3,0,400;5,0,10000</t>
  </si>
  <si>
    <t>蓝钻</t>
  </si>
  <si>
    <t>3,0,600;5,0,10000</t>
  </si>
  <si>
    <t>3,0,375;5,0,7000</t>
  </si>
  <si>
    <t>金币</t>
  </si>
  <si>
    <t>3,0,100;4,0,2000</t>
  </si>
  <si>
    <t>3,0,200;4,0,2000;1001,215011,1</t>
  </si>
  <si>
    <t>3,0,180;4,0,3500</t>
  </si>
  <si>
    <t>3,0,200;4,0,3500</t>
  </si>
  <si>
    <t>3,0,200;4,0,3500;1001,215005,1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</si>
</sst>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indexed="8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BBFDBD"/>
        <bgColor indexed="64"/>
      </patternFill>
    </fill>
    <fill>
      <patternFill patternType="solid">
        <fgColor rgb="FFF2FDB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2">
    <xf numFmtId="0" fontId="0" fillId="0" borderId="0"/>
    <xf numFmtId="42" fontId="0" fillId="0" borderId="0">
      <alignment vertical="center"/>
    </xf>
    <xf numFmtId="0" fontId="3" fillId="29" borderId="0">
      <alignment vertical="center"/>
    </xf>
    <xf numFmtId="0" fontId="19" fillId="26" borderId="9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11" borderId="0">
      <alignment vertical="center"/>
    </xf>
    <xf numFmtId="0" fontId="10" fillId="12" borderId="0">
      <alignment vertical="center"/>
    </xf>
    <xf numFmtId="43" fontId="0" fillId="0" borderId="0">
      <alignment vertical="center"/>
    </xf>
    <xf numFmtId="0" fontId="12" fillId="25" borderId="0">
      <alignment vertical="center"/>
    </xf>
    <xf numFmtId="0" fontId="17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8" borderId="6">
      <alignment vertical="center"/>
    </xf>
    <xf numFmtId="0" fontId="12" fillId="31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7" fillId="0" borderId="0">
      <alignment vertical="center"/>
    </xf>
    <xf numFmtId="0" fontId="14" fillId="0" borderId="4">
      <alignment vertical="center"/>
    </xf>
    <xf numFmtId="0" fontId="5" fillId="0" borderId="4">
      <alignment vertical="center"/>
    </xf>
    <xf numFmtId="0" fontId="12" fillId="24" borderId="0">
      <alignment vertical="center"/>
    </xf>
    <xf numFmtId="0" fontId="8" fillId="0" borderId="8">
      <alignment vertical="center"/>
    </xf>
    <xf numFmtId="0" fontId="12" fillId="23" borderId="0">
      <alignment vertical="center"/>
    </xf>
    <xf numFmtId="0" fontId="13" fillId="17" borderId="5">
      <alignment vertical="center"/>
    </xf>
    <xf numFmtId="0" fontId="22" fillId="17" borderId="9">
      <alignment vertical="center"/>
    </xf>
    <xf numFmtId="0" fontId="4" fillId="9" borderId="3">
      <alignment vertical="center"/>
    </xf>
    <xf numFmtId="0" fontId="3" fillId="28" borderId="0">
      <alignment vertical="center"/>
    </xf>
    <xf numFmtId="0" fontId="12" fillId="16" borderId="0">
      <alignment vertical="center"/>
    </xf>
    <xf numFmtId="0" fontId="21" fillId="0" borderId="10">
      <alignment vertical="center"/>
    </xf>
    <xf numFmtId="0" fontId="15" fillId="0" borderId="7">
      <alignment vertical="center"/>
    </xf>
    <xf numFmtId="0" fontId="20" fillId="27" borderId="0">
      <alignment vertical="center"/>
    </xf>
    <xf numFmtId="0" fontId="18" fillId="22" borderId="0">
      <alignment vertical="center"/>
    </xf>
    <xf numFmtId="0" fontId="3" fillId="35" borderId="0">
      <alignment vertical="center"/>
    </xf>
    <xf numFmtId="0" fontId="12" fillId="15" borderId="0">
      <alignment vertical="center"/>
    </xf>
    <xf numFmtId="0" fontId="3" fillId="34" borderId="0">
      <alignment vertical="center"/>
    </xf>
    <xf numFmtId="0" fontId="3" fillId="8" borderId="0">
      <alignment vertical="center"/>
    </xf>
    <xf numFmtId="0" fontId="3" fillId="33" borderId="0">
      <alignment vertical="center"/>
    </xf>
    <xf numFmtId="0" fontId="3" fillId="7" borderId="0">
      <alignment vertical="center"/>
    </xf>
    <xf numFmtId="0" fontId="12" fillId="20" borderId="0">
      <alignment vertical="center"/>
    </xf>
    <xf numFmtId="0" fontId="12" fillId="14" borderId="0">
      <alignment vertical="center"/>
    </xf>
    <xf numFmtId="0" fontId="3" fillId="32" borderId="0">
      <alignment vertical="center"/>
    </xf>
    <xf numFmtId="0" fontId="3" fillId="6" borderId="0">
      <alignment vertical="center"/>
    </xf>
    <xf numFmtId="0" fontId="12" fillId="13" borderId="0">
      <alignment vertical="center"/>
    </xf>
    <xf numFmtId="0" fontId="3" fillId="5" borderId="0">
      <alignment vertical="center"/>
    </xf>
    <xf numFmtId="0" fontId="12" fillId="30" borderId="0">
      <alignment vertical="center"/>
    </xf>
    <xf numFmtId="0" fontId="12" fillId="19" borderId="0">
      <alignment vertical="center"/>
    </xf>
    <xf numFmtId="0" fontId="3" fillId="10" borderId="0">
      <alignment vertical="center"/>
    </xf>
    <xf numFmtId="0" fontId="12" fillId="21" borderId="0">
      <alignment vertical="center"/>
    </xf>
    <xf numFmtId="0" fontId="11" fillId="0" borderId="0">
      <alignment vertical="center"/>
    </xf>
    <xf numFmtId="0" fontId="0" fillId="0" borderId="0"/>
    <xf numFmtId="0" fontId="0" fillId="0" borderId="0"/>
  </cellStyleXfs>
  <cellXfs count="52">
    <xf numFmtId="0" applyNumberFormat="1" fontId="0" applyFont="1" fillId="0" applyFill="1" borderId="0" applyBorder="1" xfId="0" applyProtection="1"/>
    <xf numFmtId="0" applyNumberFormat="1" fontId="0" applyFont="1" fillId="0" applyFill="1" borderId="1" applyBorder="1" xfId="0" applyProtection="1"/>
    <xf numFmtId="0" applyNumberFormat="1" fontId="1" applyFont="1" fillId="0" applyFill="1" borderId="1" applyBorder="1" xfId="0" applyProtection="1"/>
    <xf numFmtId="0" applyNumberFormat="1" fontId="1" applyFont="1" fillId="0" applyFill="1" borderId="2" applyBorder="1" xfId="0" applyProtection="1"/>
    <xf numFmtId="0" applyNumberFormat="1" fontId="1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/>
    </xf>
    <xf numFmtId="0" applyNumberFormat="1" fontId="0" applyFont="1" fillId="0" applyFill="1" borderId="0" applyBorder="1" xfId="0" applyProtection="1"/>
    <xf numFmtId="9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0" applyFont="1" fillId="3" applyFill="1" borderId="0" applyBorder="1" xfId="0" applyProtection="1"/>
    <xf numFmtId="0" applyNumberFormat="1" fontId="0" applyFont="1" fillId="3" applyFill="1" borderId="0" applyBorder="1" xfId="0" applyProtection="1"/>
    <xf numFmtId="0" applyNumberFormat="1" fontId="0" applyFont="1" fillId="4" applyFill="1" borderId="0" applyBorder="1" xfId="0" applyProtection="1"/>
    <xf numFmtId="0" applyNumberFormat="1" fontId="0" applyFont="1" fillId="4" applyFill="1" borderId="0" applyBorder="1" xfId="0" applyProtection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  <cellStyle name="常规 2" xfId="50"/>
    <cellStyle name="常规 4" xfId="51"/>
  </cellStyles>
  <tableStyles count="0" defaultTableStyle="TableStyleMedium2"/>
  <colors>
    <mruColors>
      <color rgb="00BBFDBD"/>
      <color rgb="00F2FDB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24"/>
  <sheetViews>
    <sheetView tabSelected="1" zoomScale="115" zoomScaleNormal="115" workbookViewId="0">
      <selection activeCell="D4" sqref="D4"/>
    </sheetView>
  </sheetViews>
  <sheetFormatPr defaultColWidth="9" defaultRowHeight="13.5"/>
  <cols>
    <col min="1" max="1" width="24.875" customWidth="1"/>
    <col min="2" max="3" width="32.125" customWidth="1"/>
    <col min="4" max="4" width="52.75" customWidth="1"/>
    <col min="5" max="5" width="23.75" customWidth="1"/>
    <col min="7" max="7" width="11.25" customWidth="1"/>
    <col min="8" max="8" width="10.25" customWidth="1"/>
    <col min="9" max="9" width="11.25" customWidth="1"/>
    <col min="10" max="10" width="10.25" customWidth="1"/>
    <col min="11" max="11" width="11.875" customWidth="1"/>
  </cols>
  <sheetData>
    <row r="1">
      <c r="A1" s="8">
        <v>7</v>
      </c>
      <c r="B1" s="8">
        <v>1</v>
      </c>
      <c r="C1" s="8">
        <v>9999</v>
      </c>
      <c r="D1" s="8">
        <v>4</v>
      </c>
    </row>
    <row r="2">
      <c r="A2" s="6" t="s">
        <v>0</v>
      </c>
      <c r="B2" s="6" t="s">
        <v>1</v>
      </c>
      <c r="C2" s="0" t="s">
        <v>2</v>
      </c>
      <c r="D2" s="6" t="s">
        <v>3</v>
      </c>
      <c r="E2" s="0" t="s">
        <v>4</v>
      </c>
    </row>
    <row r="3">
      <c r="A3" s="6" t="s">
        <v>0</v>
      </c>
      <c r="B3" s="6" t="s">
        <v>5</v>
      </c>
      <c r="C3" s="6" t="s">
        <v>6</v>
      </c>
      <c r="D3" s="0" t="s">
        <v>7</v>
      </c>
    </row>
    <row r="4">
      <c r="A4" s="6" t="s">
        <v>8</v>
      </c>
      <c r="B4" s="6" t="s">
        <v>8</v>
      </c>
      <c r="C4" s="6" t="s">
        <v>8</v>
      </c>
      <c r="D4" s="6" t="s">
        <v>9</v>
      </c>
    </row>
    <row r="5">
      <c r="A5" s="0" t="s">
        <v>10</v>
      </c>
      <c r="B5" s="0" t="s">
        <v>10</v>
      </c>
      <c r="C5" s="0" t="s">
        <v>10</v>
      </c>
      <c r="D5" s="6" t="s">
        <v>11</v>
      </c>
      <c r="E5" s="6" t="s">
        <v>12</v>
      </c>
    </row>
    <row r="6">
      <c r="A6" s="6" t="s">
        <v>0</v>
      </c>
      <c r="B6" s="6" t="s">
        <v>5</v>
      </c>
      <c r="C6" s="6" t="s">
        <v>6</v>
      </c>
      <c r="D6" s="0" t="s">
        <v>7</v>
      </c>
      <c r="E6" s="9" t="s">
        <v>13</v>
      </c>
    </row>
    <row r="7">
      <c r="A7" s="10">
        <v>1</v>
      </c>
      <c r="B7" s="10">
        <v>1</v>
      </c>
      <c r="C7" s="10">
        <v>50</v>
      </c>
      <c r="D7" s="11" t="s">
        <v>14</v>
      </c>
      <c r="E7" s="6" t="s">
        <v>15</v>
      </c>
    </row>
    <row r="8">
      <c r="A8" s="10">
        <v>2</v>
      </c>
      <c r="B8" s="10">
        <v>1</v>
      </c>
      <c r="C8" s="10">
        <v>100</v>
      </c>
      <c r="D8" s="11" t="s">
        <v>14</v>
      </c>
      <c r="E8" s="6" t="s">
        <v>16</v>
      </c>
    </row>
    <row r="9">
      <c r="A9" s="10">
        <v>3</v>
      </c>
      <c r="B9" s="10">
        <v>1</v>
      </c>
      <c r="C9" s="10">
        <v>150</v>
      </c>
      <c r="D9" s="11" t="s">
        <v>14</v>
      </c>
      <c r="E9" s="6" t="s">
        <v>17</v>
      </c>
    </row>
    <row r="10">
      <c r="A10" s="10">
        <v>4</v>
      </c>
      <c r="B10" s="10">
        <v>1</v>
      </c>
      <c r="C10" s="10">
        <v>200</v>
      </c>
      <c r="D10" s="11" t="s">
        <v>14</v>
      </c>
      <c r="E10" s="6" t="s">
        <v>18</v>
      </c>
    </row>
    <row r="11">
      <c r="A11" s="10">
        <v>5</v>
      </c>
      <c r="B11" s="10">
        <v>1</v>
      </c>
      <c r="C11" s="10">
        <v>250</v>
      </c>
      <c r="D11" s="11" t="s">
        <v>14</v>
      </c>
      <c r="E11" s="6" t="s">
        <v>19</v>
      </c>
    </row>
    <row r="12">
      <c r="A12" s="10">
        <v>6</v>
      </c>
      <c r="B12" s="10">
        <v>1</v>
      </c>
      <c r="C12" s="10">
        <v>300</v>
      </c>
      <c r="D12" s="11" t="s">
        <v>14</v>
      </c>
    </row>
    <row r="13">
      <c r="A13" s="10">
        <v>7</v>
      </c>
      <c r="B13" s="10">
        <v>1</v>
      </c>
      <c r="C13" s="10">
        <v>350</v>
      </c>
      <c r="D13" s="11" t="s">
        <v>14</v>
      </c>
    </row>
    <row r="14">
      <c r="A14" s="10">
        <v>8</v>
      </c>
      <c r="B14" s="10">
        <v>1</v>
      </c>
      <c r="C14" s="10">
        <v>400</v>
      </c>
      <c r="D14" s="11" t="s">
        <v>14</v>
      </c>
    </row>
    <row r="15">
      <c r="A15" s="10">
        <v>9</v>
      </c>
      <c r="B15" s="10">
        <v>1</v>
      </c>
      <c r="C15" s="10">
        <v>500</v>
      </c>
      <c r="D15" s="11" t="s">
        <v>14</v>
      </c>
    </row>
    <row r="16">
      <c r="A16" s="10">
        <v>10</v>
      </c>
      <c r="B16" s="10">
        <v>1</v>
      </c>
      <c r="C16" s="10">
        <v>600</v>
      </c>
      <c r="D16" s="11" t="s">
        <v>14</v>
      </c>
    </row>
    <row r="17">
      <c r="A17" s="10">
        <v>11</v>
      </c>
      <c r="B17" s="10">
        <v>1</v>
      </c>
      <c r="C17" s="10">
        <v>700</v>
      </c>
      <c r="D17" s="11" t="s">
        <v>14</v>
      </c>
    </row>
    <row r="18">
      <c r="A18" s="12">
        <v>12</v>
      </c>
      <c r="B18" s="12">
        <v>6</v>
      </c>
      <c r="C18" s="12">
        <v>5</v>
      </c>
      <c r="D18" s="13" t="s">
        <v>14</v>
      </c>
    </row>
    <row r="19">
      <c r="A19" s="12">
        <v>13</v>
      </c>
      <c r="B19" s="12">
        <v>6</v>
      </c>
      <c r="C19" s="12">
        <v>8</v>
      </c>
      <c r="D19" s="13" t="s">
        <v>14</v>
      </c>
    </row>
    <row r="20">
      <c r="A20" s="12">
        <v>14</v>
      </c>
      <c r="B20" s="12">
        <v>6</v>
      </c>
      <c r="C20" s="12">
        <v>10</v>
      </c>
      <c r="D20" s="13" t="s">
        <v>14</v>
      </c>
    </row>
    <row r="21">
      <c r="A21" s="12">
        <v>15</v>
      </c>
      <c r="B21" s="12">
        <v>6</v>
      </c>
      <c r="C21" s="12">
        <v>13</v>
      </c>
      <c r="D21" s="13" t="s">
        <v>14</v>
      </c>
    </row>
    <row r="22">
      <c r="A22" s="12">
        <v>16</v>
      </c>
      <c r="B22" s="12">
        <v>6</v>
      </c>
      <c r="C22" s="12">
        <v>15</v>
      </c>
      <c r="D22" s="13" t="s">
        <v>14</v>
      </c>
    </row>
    <row r="23">
      <c r="A23" s="12">
        <v>17</v>
      </c>
      <c r="B23" s="12">
        <v>6</v>
      </c>
      <c r="C23" s="12">
        <v>18</v>
      </c>
      <c r="D23" s="13" t="s">
        <v>14</v>
      </c>
    </row>
    <row r="24">
      <c r="A24" s="12">
        <v>18</v>
      </c>
      <c r="B24" s="12">
        <v>6</v>
      </c>
      <c r="C24" s="12">
        <v>20</v>
      </c>
      <c r="D24" s="13" t="s">
        <v>14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P43"/>
  <sheetViews>
    <sheetView topLeftCell="A12" workbookViewId="0">
      <selection activeCell="P27" sqref="P27:P43"/>
    </sheetView>
  </sheetViews>
  <sheetFormatPr defaultColWidth="9" defaultRowHeight="13.5"/>
  <cols>
    <col min="11" max="11" width="10.5" customWidth="1"/>
    <col min="12" max="12" width="15" customWidth="1"/>
    <col min="16" max="16" width="52.75" customWidth="1"/>
  </cols>
  <sheetData>
    <row r="1">
      <c r="A1" s="1" t="s">
        <v>20</v>
      </c>
      <c r="B1" s="1"/>
      <c r="C1" s="1"/>
      <c r="D1" s="1"/>
      <c r="E1" s="1"/>
    </row>
    <row r="2" ht="16.5">
      <c r="A2" s="2" t="s">
        <v>20</v>
      </c>
      <c r="B2" s="1" t="s">
        <v>21</v>
      </c>
      <c r="C2" s="1" t="s">
        <v>22</v>
      </c>
      <c r="D2" s="2" t="s">
        <v>23</v>
      </c>
      <c r="E2" s="1" t="s">
        <v>24</v>
      </c>
    </row>
    <row r="3" ht="16.5">
      <c r="A3" s="2" t="s">
        <v>25</v>
      </c>
      <c r="B3" s="2">
        <v>1000</v>
      </c>
      <c r="C3" s="1">
        <v>10000</v>
      </c>
      <c r="D3" s="1"/>
      <c r="E3" s="1"/>
      <c r="G3" s="0">
        <v>3</v>
      </c>
      <c r="H3" s="0">
        <v>5</v>
      </c>
      <c r="J3" s="0" t="str">
        <f>G3&amp;","&amp;0&amp;","&amp;B3</f>
        <v>3,0,1000</v>
      </c>
      <c r="K3" s="0" t="str">
        <f>H3&amp;","&amp;0&amp;","&amp;C3</f>
        <v>5,0,10000</v>
      </c>
      <c r="O3" s="6" t="s">
        <v>26</v>
      </c>
      <c r="P3" s="0" t="str">
        <f>J3&amp;O3&amp;K3&amp;O3&amp;L3&amp;O3&amp;M3</f>
        <v>3,0,1000;5,0,10000;;</v>
      </c>
    </row>
    <row r="4" ht="16.5">
      <c r="A4" s="2" t="s">
        <v>27</v>
      </c>
      <c r="B4" s="2">
        <v>2000</v>
      </c>
      <c r="C4" s="1">
        <v>15000</v>
      </c>
      <c r="D4" s="1"/>
      <c r="E4" s="1"/>
      <c r="G4" s="0">
        <v>3</v>
      </c>
      <c r="H4" s="0">
        <v>5</v>
      </c>
      <c r="J4" s="0" t="str">
        <f ref="J4:J12" t="shared" si="0">G4&amp;","&amp;0&amp;","&amp;B4</f>
        <v>3,0,2000</v>
      </c>
      <c r="K4" s="0" t="str">
        <f ref="K4:K12" t="shared" si="1">H4&amp;","&amp;0&amp;","&amp;C4</f>
        <v>5,0,15000</v>
      </c>
      <c r="O4" s="6" t="s">
        <v>26</v>
      </c>
      <c r="P4" s="0" t="str">
        <f ref="P4:P12" t="shared" si="2">J4&amp;O4&amp;K4&amp;O4&amp;L4&amp;O4&amp;M4</f>
        <v>3,0,2000;5,0,15000;;</v>
      </c>
    </row>
    <row r="5" ht="16.5">
      <c r="A5" s="2" t="s">
        <v>28</v>
      </c>
      <c r="B5" s="2">
        <v>3000</v>
      </c>
      <c r="C5" s="1">
        <v>20000</v>
      </c>
      <c r="D5" s="1"/>
      <c r="E5" s="1"/>
      <c r="G5" s="0">
        <v>3</v>
      </c>
      <c r="H5" s="0">
        <v>5</v>
      </c>
      <c r="J5" s="0" t="str">
        <f t="shared" si="0"/>
        <v>3,0,3000</v>
      </c>
      <c r="K5" s="0" t="str">
        <f t="shared" si="1"/>
        <v>5,0,20000</v>
      </c>
      <c r="O5" s="6" t="s">
        <v>26</v>
      </c>
      <c r="P5" s="0" t="str">
        <f t="shared" si="2"/>
        <v>3,0,3000;5,0,20000;;</v>
      </c>
    </row>
    <row r="6" ht="16.5">
      <c r="A6" s="2" t="s">
        <v>29</v>
      </c>
      <c r="B6" s="2">
        <v>4000</v>
      </c>
      <c r="C6" s="1">
        <v>25000</v>
      </c>
      <c r="D6" s="1"/>
      <c r="E6" s="1"/>
      <c r="G6" s="0">
        <v>3</v>
      </c>
      <c r="H6" s="0">
        <v>5</v>
      </c>
      <c r="J6" s="0" t="str">
        <f t="shared" si="0"/>
        <v>3,0,4000</v>
      </c>
      <c r="K6" s="0" t="str">
        <f t="shared" si="1"/>
        <v>5,0,25000</v>
      </c>
      <c r="O6" s="6" t="s">
        <v>26</v>
      </c>
      <c r="P6" s="0" t="str">
        <f t="shared" si="2"/>
        <v>3,0,4000;5,0,25000;;</v>
      </c>
    </row>
    <row r="7" ht="16.5">
      <c r="A7" s="2" t="s">
        <v>30</v>
      </c>
      <c r="B7" s="2">
        <v>5000</v>
      </c>
      <c r="C7" s="1">
        <v>30000</v>
      </c>
      <c r="D7" s="2">
        <v>1</v>
      </c>
      <c r="E7" s="1"/>
      <c r="G7" s="0">
        <v>3</v>
      </c>
      <c r="H7" s="0">
        <v>5</v>
      </c>
      <c r="J7" s="0" t="str">
        <f t="shared" si="0"/>
        <v>3,0,5000</v>
      </c>
      <c r="K7" s="0" t="str">
        <f t="shared" si="1"/>
        <v>5,0,30000</v>
      </c>
      <c r="L7" s="0" t="s">
        <v>31</v>
      </c>
      <c r="O7" s="6" t="s">
        <v>26</v>
      </c>
      <c r="P7" s="0" t="str">
        <f t="shared" si="2"/>
        <v>3,0,5000;5,0,30000;1001,215011,1;</v>
      </c>
    </row>
    <row r="8" ht="16.5">
      <c r="A8" s="2" t="s">
        <v>32</v>
      </c>
      <c r="B8" s="2">
        <v>6000</v>
      </c>
      <c r="C8" s="1">
        <v>35000</v>
      </c>
      <c r="D8" s="2">
        <v>1</v>
      </c>
      <c r="E8" s="2">
        <v>1</v>
      </c>
      <c r="G8" s="3">
        <v>3</v>
      </c>
      <c r="H8" s="3">
        <v>5</v>
      </c>
      <c r="J8" s="0" t="str">
        <f t="shared" si="0"/>
        <v>3,0,6000</v>
      </c>
      <c r="K8" s="0" t="str">
        <f t="shared" si="1"/>
        <v>5,0,35000</v>
      </c>
      <c r="L8" s="0" t="s">
        <v>31</v>
      </c>
      <c r="M8" s="0" t="s">
        <v>33</v>
      </c>
      <c r="O8" s="6" t="s">
        <v>26</v>
      </c>
      <c r="P8" s="0" t="str">
        <f t="shared" si="2"/>
        <v>3,0,6000;5,0,35000;1001,215011,1;1001,215005,1</v>
      </c>
    </row>
    <row r="9" ht="16.5">
      <c r="A9" s="2" t="s">
        <v>34</v>
      </c>
      <c r="B9" s="2">
        <v>7000</v>
      </c>
      <c r="C9" s="1">
        <v>40000</v>
      </c>
      <c r="D9" s="2">
        <v>1</v>
      </c>
      <c r="E9" s="2">
        <v>1</v>
      </c>
      <c r="G9" s="3">
        <v>3</v>
      </c>
      <c r="H9" s="3">
        <v>5</v>
      </c>
      <c r="J9" s="0" t="str">
        <f t="shared" si="0"/>
        <v>3,0,7000</v>
      </c>
      <c r="K9" s="0" t="str">
        <f t="shared" si="1"/>
        <v>5,0,40000</v>
      </c>
      <c r="L9" s="0" t="s">
        <v>31</v>
      </c>
      <c r="M9" s="0" t="s">
        <v>33</v>
      </c>
      <c r="O9" s="6" t="s">
        <v>26</v>
      </c>
      <c r="P9" s="0" t="str">
        <f t="shared" si="2"/>
        <v>3,0,7000;5,0,40000;1001,215011,1;1001,215005,1</v>
      </c>
    </row>
    <row r="10" ht="16.5">
      <c r="A10" s="2" t="s">
        <v>35</v>
      </c>
      <c r="B10" s="2">
        <v>8000</v>
      </c>
      <c r="C10" s="1">
        <v>45000</v>
      </c>
      <c r="D10" s="2">
        <v>1</v>
      </c>
      <c r="E10" s="2">
        <v>1</v>
      </c>
      <c r="G10" s="3">
        <v>3</v>
      </c>
      <c r="H10" s="3">
        <v>5</v>
      </c>
      <c r="J10" s="0" t="str">
        <f t="shared" si="0"/>
        <v>3,0,8000</v>
      </c>
      <c r="K10" s="0" t="str">
        <f t="shared" si="1"/>
        <v>5,0,45000</v>
      </c>
      <c r="L10" s="0" t="s">
        <v>31</v>
      </c>
      <c r="M10" s="0" t="s">
        <v>33</v>
      </c>
      <c r="O10" s="6" t="s">
        <v>26</v>
      </c>
      <c r="P10" s="0" t="str">
        <f t="shared" si="2"/>
        <v>3,0,8000;5,0,45000;1001,215011,1;1001,215005,1</v>
      </c>
    </row>
    <row r="11" ht="16.5">
      <c r="A11" s="2" t="s">
        <v>36</v>
      </c>
      <c r="B11" s="2">
        <v>9000</v>
      </c>
      <c r="C11" s="1">
        <v>50000</v>
      </c>
      <c r="D11" s="2">
        <v>1</v>
      </c>
      <c r="E11" s="2">
        <v>1</v>
      </c>
      <c r="G11" s="4">
        <v>3</v>
      </c>
      <c r="H11" s="4">
        <v>5</v>
      </c>
      <c r="J11" s="0" t="str">
        <f t="shared" si="0"/>
        <v>3,0,9000</v>
      </c>
      <c r="K11" s="0" t="str">
        <f t="shared" si="1"/>
        <v>5,0,50000</v>
      </c>
      <c r="L11" s="0" t="s">
        <v>31</v>
      </c>
      <c r="M11" s="0" t="s">
        <v>33</v>
      </c>
      <c r="O11" s="6" t="s">
        <v>26</v>
      </c>
      <c r="P11" s="0" t="str">
        <f t="shared" si="2"/>
        <v>3,0,9000;5,0,50000;1001,215011,1;1001,215005,1</v>
      </c>
    </row>
    <row r="12" ht="16.5">
      <c r="A12" s="2" t="s">
        <v>37</v>
      </c>
      <c r="B12" s="2">
        <v>10000</v>
      </c>
      <c r="C12" s="1">
        <v>55000</v>
      </c>
      <c r="D12" s="2">
        <v>1</v>
      </c>
      <c r="E12" s="2">
        <v>1</v>
      </c>
      <c r="G12" s="4">
        <v>3</v>
      </c>
      <c r="H12" s="4">
        <v>5</v>
      </c>
      <c r="J12" s="0" t="str">
        <f t="shared" si="0"/>
        <v>3,0,10000</v>
      </c>
      <c r="K12" s="0" t="str">
        <f t="shared" si="1"/>
        <v>5,0,55000</v>
      </c>
      <c r="L12" s="0" t="s">
        <v>31</v>
      </c>
      <c r="M12" s="0" t="s">
        <v>33</v>
      </c>
      <c r="O12" s="6" t="s">
        <v>26</v>
      </c>
      <c r="P12" s="0" t="str">
        <f t="shared" si="2"/>
        <v>3,0,10000;5,0,55000;1001,215011,1;1001,215005,1</v>
      </c>
    </row>
    <row r="15">
      <c r="L15" s="7">
        <v>0.65</v>
      </c>
      <c r="M15" s="7">
        <v>0.35</v>
      </c>
    </row>
    <row r="16">
      <c r="A16" s="5" t="s">
        <v>38</v>
      </c>
      <c r="B16" s="0">
        <v>2</v>
      </c>
      <c r="C16" s="0">
        <v>5</v>
      </c>
      <c r="D16" s="0" t="s">
        <v>39</v>
      </c>
      <c r="I16" s="6" t="s">
        <v>40</v>
      </c>
      <c r="J16" s="6">
        <v>9000</v>
      </c>
      <c r="L16" s="0">
        <v>6000</v>
      </c>
      <c r="M16" s="0">
        <v>3000</v>
      </c>
      <c r="O16" s="0">
        <f>L16/5</f>
        <v>1200</v>
      </c>
    </row>
    <row r="17">
      <c r="A17" s="0">
        <v>11</v>
      </c>
      <c r="B17" s="0">
        <v>2</v>
      </c>
      <c r="C17" s="0">
        <v>10</v>
      </c>
      <c r="D17" s="0" t="s">
        <v>41</v>
      </c>
      <c r="I17" s="6" t="s">
        <v>22</v>
      </c>
      <c r="J17" s="6">
        <v>97000</v>
      </c>
      <c r="L17" s="0">
        <v>63000</v>
      </c>
      <c r="M17" s="0">
        <v>34000</v>
      </c>
    </row>
    <row r="18">
      <c r="A18" s="0">
        <v>12</v>
      </c>
      <c r="B18" s="0">
        <v>3</v>
      </c>
      <c r="C18" s="0">
        <v>1</v>
      </c>
      <c r="D18" s="0" t="s">
        <v>42</v>
      </c>
      <c r="I18" s="6" t="s">
        <v>43</v>
      </c>
      <c r="J18" s="6">
        <v>46000</v>
      </c>
      <c r="L18" s="0">
        <v>30000</v>
      </c>
      <c r="M18" s="0">
        <v>16000</v>
      </c>
    </row>
    <row r="19">
      <c r="A19" s="0">
        <v>13</v>
      </c>
      <c r="B19" s="0">
        <v>3</v>
      </c>
      <c r="C19" s="0">
        <v>2</v>
      </c>
      <c r="D19" s="0" t="s">
        <v>42</v>
      </c>
      <c r="I19" s="6" t="s">
        <v>23</v>
      </c>
      <c r="J19" s="6">
        <v>6</v>
      </c>
    </row>
    <row r="20">
      <c r="A20" s="0">
        <v>14</v>
      </c>
      <c r="B20" s="0">
        <v>3</v>
      </c>
      <c r="C20" s="0">
        <v>3</v>
      </c>
      <c r="D20" s="0" t="s">
        <v>42</v>
      </c>
      <c r="I20" s="6" t="s">
        <v>24</v>
      </c>
      <c r="J20" s="6">
        <v>5</v>
      </c>
    </row>
    <row r="21">
      <c r="A21" s="0">
        <v>15</v>
      </c>
      <c r="B21" s="0">
        <v>3</v>
      </c>
      <c r="C21" s="0">
        <v>4</v>
      </c>
      <c r="D21" s="0" t="s">
        <v>42</v>
      </c>
    </row>
    <row r="22">
      <c r="A22" s="0">
        <v>16</v>
      </c>
      <c r="B22" s="0">
        <v>4</v>
      </c>
      <c r="C22" s="0">
        <v>50</v>
      </c>
      <c r="D22" s="0" t="s">
        <v>44</v>
      </c>
    </row>
    <row r="23">
      <c r="A23" s="0">
        <v>17</v>
      </c>
      <c r="B23" s="0">
        <v>4</v>
      </c>
      <c r="C23" s="0">
        <v>100</v>
      </c>
      <c r="D23" s="0" t="s">
        <v>44</v>
      </c>
    </row>
    <row r="24">
      <c r="A24" s="0">
        <v>18</v>
      </c>
      <c r="B24" s="0">
        <v>4</v>
      </c>
      <c r="C24" s="0">
        <v>150</v>
      </c>
      <c r="D24" s="0" t="s">
        <v>44</v>
      </c>
    </row>
    <row r="25">
      <c r="A25" s="0">
        <v>19</v>
      </c>
      <c r="B25" s="0">
        <v>4</v>
      </c>
      <c r="C25" s="0">
        <v>200</v>
      </c>
      <c r="D25" s="0" t="s">
        <v>44</v>
      </c>
    </row>
    <row r="26">
      <c r="A26" s="0">
        <v>20</v>
      </c>
      <c r="B26" s="0">
        <v>4</v>
      </c>
      <c r="C26" s="0">
        <v>250</v>
      </c>
      <c r="D26" s="0" t="s">
        <v>44</v>
      </c>
      <c r="M26" s="6" t="s">
        <v>40</v>
      </c>
      <c r="N26" s="6" t="s">
        <v>22</v>
      </c>
      <c r="O26" s="6" t="s">
        <v>43</v>
      </c>
    </row>
    <row r="27">
      <c r="A27" s="0">
        <v>21</v>
      </c>
      <c r="B27" s="0">
        <v>4</v>
      </c>
      <c r="C27" s="0">
        <v>300</v>
      </c>
      <c r="D27" s="0" t="s">
        <v>44</v>
      </c>
      <c r="L27" s="0">
        <v>1</v>
      </c>
      <c r="M27" s="0">
        <v>200</v>
      </c>
      <c r="N27" s="0">
        <v>2000</v>
      </c>
      <c r="O27" s="0">
        <v>2200</v>
      </c>
      <c r="P27" s="0" t="str">
        <f>"3,0,"&amp;M27&amp;";4,0,"&amp;O27&amp;";5,0,"&amp;N27</f>
        <v>3,0,200;4,0,2200;5,0,2000</v>
      </c>
    </row>
    <row r="28">
      <c r="A28" s="0">
        <v>22</v>
      </c>
      <c r="B28" s="0">
        <v>4</v>
      </c>
      <c r="C28" s="0">
        <v>350</v>
      </c>
      <c r="D28" s="0" t="s">
        <v>44</v>
      </c>
      <c r="L28" s="0">
        <v>1</v>
      </c>
      <c r="M28" s="0">
        <v>300</v>
      </c>
      <c r="N28" s="0">
        <v>3000</v>
      </c>
      <c r="O28" s="0">
        <v>2400</v>
      </c>
      <c r="P28" s="0" t="str">
        <f ref="P28:P43" t="shared" si="3">"3,0,"&amp;M28&amp;";4,0,"&amp;O28&amp;";5,0,"&amp;N28</f>
        <v>3,0,300;4,0,2400;5,0,3000</v>
      </c>
    </row>
    <row r="29">
      <c r="A29" s="0">
        <v>23</v>
      </c>
      <c r="B29" s="0">
        <v>4</v>
      </c>
      <c r="C29" s="0">
        <v>400</v>
      </c>
      <c r="D29" s="0" t="s">
        <v>44</v>
      </c>
      <c r="L29" s="0">
        <v>1</v>
      </c>
      <c r="M29" s="0">
        <v>400</v>
      </c>
      <c r="N29" s="0">
        <v>4000</v>
      </c>
      <c r="O29" s="0">
        <v>2600</v>
      </c>
      <c r="P29" s="0" t="str">
        <f t="shared" si="3"/>
        <v>3,0,400;4,0,2600;5,0,4000</v>
      </c>
    </row>
    <row r="30">
      <c r="A30" s="0">
        <v>24</v>
      </c>
      <c r="B30" s="0">
        <v>4</v>
      </c>
      <c r="C30" s="0">
        <v>468</v>
      </c>
      <c r="D30" s="0" t="s">
        <v>45</v>
      </c>
      <c r="L30" s="0">
        <v>1</v>
      </c>
      <c r="M30" s="0">
        <v>500</v>
      </c>
      <c r="N30" s="0">
        <v>5000</v>
      </c>
      <c r="O30" s="0">
        <v>2800</v>
      </c>
      <c r="P30" s="0" t="str">
        <f t="shared" si="3"/>
        <v>3,0,500;4,0,2800;5,0,5000</v>
      </c>
    </row>
    <row r="31">
      <c r="A31" s="0">
        <v>25</v>
      </c>
      <c r="B31" s="0">
        <v>5</v>
      </c>
      <c r="C31" s="0">
        <v>20</v>
      </c>
      <c r="D31" s="0" t="s">
        <v>46</v>
      </c>
      <c r="L31" s="0">
        <v>1</v>
      </c>
      <c r="M31" s="0">
        <v>600</v>
      </c>
      <c r="N31" s="0">
        <v>6000</v>
      </c>
      <c r="O31" s="0">
        <v>3000</v>
      </c>
      <c r="P31" s="0" t="str">
        <f t="shared" si="3"/>
        <v>3,0,600;4,0,3000;5,0,6000</v>
      </c>
    </row>
    <row r="32">
      <c r="A32" s="0">
        <v>26</v>
      </c>
      <c r="B32" s="0">
        <v>5</v>
      </c>
      <c r="C32" s="0">
        <v>40</v>
      </c>
      <c r="D32" s="0" t="s">
        <v>46</v>
      </c>
      <c r="L32" s="0">
        <v>1</v>
      </c>
      <c r="M32" s="0">
        <v>600</v>
      </c>
      <c r="N32" s="0">
        <v>7000</v>
      </c>
      <c r="O32" s="0">
        <v>3000</v>
      </c>
      <c r="P32" s="0" t="str">
        <f t="shared" si="3"/>
        <v>3,0,600;4,0,3000;5,0,7000</v>
      </c>
    </row>
    <row r="33">
      <c r="A33" s="0">
        <v>27</v>
      </c>
      <c r="B33" s="0">
        <v>5</v>
      </c>
      <c r="C33" s="0">
        <v>60</v>
      </c>
      <c r="D33" s="0" t="s">
        <v>46</v>
      </c>
      <c r="L33" s="0">
        <v>1</v>
      </c>
      <c r="M33" s="0">
        <v>700</v>
      </c>
      <c r="N33" s="0">
        <v>8000</v>
      </c>
      <c r="O33" s="0">
        <v>3200</v>
      </c>
      <c r="P33" s="0" t="str">
        <f t="shared" si="3"/>
        <v>3,0,700;4,0,3200;5,0,8000</v>
      </c>
    </row>
    <row r="34">
      <c r="A34" s="0">
        <v>28</v>
      </c>
      <c r="B34" s="0">
        <v>5</v>
      </c>
      <c r="C34" s="0">
        <v>80</v>
      </c>
      <c r="D34" s="0" t="s">
        <v>46</v>
      </c>
      <c r="L34" s="0">
        <v>1</v>
      </c>
      <c r="M34" s="0">
        <v>800</v>
      </c>
      <c r="N34" s="0">
        <v>9000</v>
      </c>
      <c r="O34" s="0">
        <v>3400</v>
      </c>
      <c r="P34" s="0" t="str">
        <f t="shared" si="3"/>
        <v>3,0,800;4,0,3400;5,0,9000</v>
      </c>
    </row>
    <row r="35">
      <c r="A35" s="0">
        <v>29</v>
      </c>
      <c r="B35" s="0">
        <v>5</v>
      </c>
      <c r="C35" s="0">
        <v>100</v>
      </c>
      <c r="D35" s="0" t="s">
        <v>46</v>
      </c>
      <c r="L35" s="0">
        <v>1</v>
      </c>
      <c r="M35" s="0">
        <v>900</v>
      </c>
      <c r="N35" s="0">
        <v>9000</v>
      </c>
      <c r="O35" s="0">
        <v>3600</v>
      </c>
      <c r="P35" s="0" t="str">
        <f t="shared" si="3"/>
        <v>3,0,900;4,0,3600;5,0,9000</v>
      </c>
    </row>
    <row r="36">
      <c r="A36" s="0">
        <v>30</v>
      </c>
      <c r="B36" s="0">
        <v>5</v>
      </c>
      <c r="C36" s="0">
        <v>120</v>
      </c>
      <c r="D36" s="0" t="s">
        <v>47</v>
      </c>
      <c r="L36" s="0">
        <v>1</v>
      </c>
      <c r="M36" s="0">
        <v>1000</v>
      </c>
      <c r="N36" s="0">
        <v>10000</v>
      </c>
      <c r="O36" s="0">
        <v>3800</v>
      </c>
      <c r="P36" s="0" t="str">
        <f t="shared" si="3"/>
        <v>3,0,1000;4,0,3800;5,0,10000</v>
      </c>
    </row>
    <row r="37">
      <c r="A37" s="0">
        <v>31</v>
      </c>
      <c r="B37" s="0">
        <v>5</v>
      </c>
      <c r="C37" s="0">
        <v>140</v>
      </c>
      <c r="D37" s="0" t="s">
        <v>47</v>
      </c>
      <c r="L37" s="0">
        <v>6</v>
      </c>
      <c r="M37" s="6">
        <v>200</v>
      </c>
      <c r="N37" s="0">
        <v>2000</v>
      </c>
      <c r="O37" s="0">
        <v>1700</v>
      </c>
      <c r="P37" s="0" t="str">
        <f t="shared" si="3"/>
        <v>3,0,200;4,0,1700;5,0,2000</v>
      </c>
    </row>
    <row r="38">
      <c r="A38" s="0">
        <v>32</v>
      </c>
      <c r="B38" s="0">
        <v>5</v>
      </c>
      <c r="C38" s="0">
        <v>156</v>
      </c>
      <c r="D38" s="0" t="s">
        <v>48</v>
      </c>
      <c r="L38" s="0">
        <v>6</v>
      </c>
      <c r="M38" s="6">
        <v>200</v>
      </c>
      <c r="N38" s="0">
        <v>3000</v>
      </c>
      <c r="O38" s="0">
        <v>1800</v>
      </c>
      <c r="P38" s="0" t="str">
        <f t="shared" si="3"/>
        <v>3,0,200;4,0,1800;5,0,3000</v>
      </c>
    </row>
    <row r="39">
      <c r="L39" s="0">
        <v>6</v>
      </c>
      <c r="M39" s="6">
        <v>300</v>
      </c>
      <c r="N39" s="0">
        <v>4000</v>
      </c>
      <c r="O39" s="0">
        <v>1900</v>
      </c>
      <c r="P39" s="0" t="str">
        <f t="shared" si="3"/>
        <v>3,0,300;4,0,1900;5,0,4000</v>
      </c>
    </row>
    <row r="40">
      <c r="L40" s="0">
        <v>6</v>
      </c>
      <c r="M40" s="0">
        <v>400</v>
      </c>
      <c r="N40" s="0">
        <v>5000</v>
      </c>
      <c r="O40" s="0">
        <v>2000</v>
      </c>
      <c r="P40" s="0" t="str">
        <f t="shared" si="3"/>
        <v>3,0,400;4,0,2000;5,0,5000</v>
      </c>
    </row>
    <row r="41">
      <c r="L41" s="0">
        <v>6</v>
      </c>
      <c r="M41" s="0">
        <v>500</v>
      </c>
      <c r="N41" s="0">
        <v>6000</v>
      </c>
      <c r="O41" s="0">
        <v>2100</v>
      </c>
      <c r="P41" s="0" t="str">
        <f t="shared" si="3"/>
        <v>3,0,500;4,0,2100;5,0,6000</v>
      </c>
    </row>
    <row r="42">
      <c r="L42" s="0">
        <v>6</v>
      </c>
      <c r="M42" s="0">
        <v>600</v>
      </c>
      <c r="N42" s="0">
        <v>7000</v>
      </c>
      <c r="O42" s="0">
        <v>2300</v>
      </c>
      <c r="P42" s="0" t="str">
        <f t="shared" si="3"/>
        <v>3,0,600;4,0,2300;5,0,7000</v>
      </c>
    </row>
    <row r="43">
      <c r="L43" s="0">
        <v>6</v>
      </c>
      <c r="M43" s="0">
        <v>800</v>
      </c>
      <c r="N43" s="0">
        <v>7000</v>
      </c>
      <c r="O43" s="0">
        <v>2400</v>
      </c>
      <c r="P43" s="0" t="str">
        <f t="shared" si="3"/>
        <v>3,0,800;4,0,2400;5,0,7000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2019-03-14T03:46:52Z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2052-11.1.0.8415</vt:lpwstr>
  </property>
</Properties>
</file>