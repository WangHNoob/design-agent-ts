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7029"/>
  <x:workbookPr/>
  <mc:AlternateContent xmlns:mc="http://schemas.openxmlformats.org/markup-compatibility/2006">
    <mc:Choice Requires="x15">
      <x15ac:absPath xmlns:x15ac="http://schemas.microsoft.com/office/spreadsheetml/2010/11/ac" url="G:\op_new\data\excel_v1\recruit\"/>
    </mc:Choice>
  </mc:AlternateContent>
  <xr:revisionPtr revIDLastSave="0" documentId="13_ncr:1_{6B01EA90-135B-4498-AA7F-26CA10FF20DE}" xr6:coauthVersionLast="47" xr6:coauthVersionMax="47" xr10:uidLastSave="{00000000-0000-0000-0000-000000000000}"/>
  <x:bookViews>
    <x:workbookView xWindow="-120" yWindow="-120" windowWidth="29040" windowHeight="15840" xr2:uid="{00000000-000D-0000-FFFF-FFFF00000000}"/>
  </x:bookViews>
  <x:sheets>
    <x:sheet name="Sheet1" sheetId="1" r:id="rId1"/>
    <x:sheet name="制作表" sheetId="2" r:id="rId2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B12" i="2" l="1"/>
  <c r="C12" i="2"/>
  <c r="D12" i="2"/>
  <c r="F3" i="2"/>
  <c r="F4" i="2"/>
  <c r="F5" i="2"/>
  <c r="F6" i="2"/>
  <c r="F7" i="2"/>
  <c r="F8" i="2"/>
  <c r="F9" i="2"/>
  <c r="F10" i="2"/>
  <c r="F11" i="2"/>
  <c r="G11" i="2"/>
  <c r="D11" i="2"/>
  <c r="C11" i="2"/>
  <c r="B11" i="2"/>
  <c r="G10" i="2"/>
  <c r="D10" i="2"/>
  <c r="C10" i="2"/>
  <c r="B10" i="2"/>
  <c r="G9" i="2"/>
  <c r="D9" i="2"/>
  <c r="C9" i="2"/>
  <c r="B9" i="2"/>
  <c r="G8" i="2"/>
  <c r="D8" i="2"/>
  <c r="C8" i="2"/>
  <c r="B8" i="2"/>
  <c r="G7" i="2"/>
  <c r="D7" i="2"/>
  <c r="C7" i="2"/>
  <c r="B7" i="2"/>
  <c r="G6" i="2"/>
  <c r="D6" i="2"/>
  <c r="C6" i="2"/>
  <c r="B6" i="2"/>
  <c r="G5" i="2"/>
  <c r="D5" i="2"/>
  <c r="C5" i="2"/>
  <c r="B5" i="2"/>
  <c r="G4" i="2"/>
  <c r="D4" i="2"/>
  <c r="C4" i="2"/>
  <c r="B4" i="2"/>
  <c r="G3" i="2"/>
  <c r="D3" i="2"/>
  <c r="C3" i="2"/>
  <c r="B3" i="2"/>
  <c r="G2" i="2"/>
  <c r="D2" i="2"/>
  <c r="C2" i="2"/>
  <c r="B2" i="2"/>
</calcChain>
</file>

<file path=xl/sharedStrings.xml><?xml version="1.0" encoding="utf-8"?>
<x:sst xmlns:x="http://schemas.openxmlformats.org/spreadsheetml/2006/main" count="188" uniqueCount="149">
  <x:si>
    <x:t>自增id</x:t>
  </x:si>
  <x:si>
    <x:t>开启时间</x:t>
  </x:si>
  <x:si>
    <x:t>结束时间</x:t>
  </x:si>
  <x:si>
    <x:t>up角色id</x:t>
  </x:si>
  <x:si>
    <x:t>UP角色</x:t>
  </x:si>
  <x:si>
    <x:t>开始时间</x:t>
  </x:si>
  <x:si>
    <x:t>id</x:t>
  </x:si>
  <x:si>
    <x:t>openTime</x:t>
  </x:si>
  <x:si>
    <x:t>endTime</x:t>
  </x:si>
  <x:si>
    <x:t>upHeroId</x:t>
  </x:si>
  <x:si>
    <x:t>int</x:t>
  </x:si>
  <x:si>
    <x:t>long</x:t>
  </x:si>
  <x:si>
    <x:t>id控制奇偶期，不可改动</x:t>
  </x:si>
  <x:si>
    <x:t>primary</x:t>
  </x:si>
  <x:si>
    <x:t>none</x:t>
  </x:si>
  <x:si>
    <x:t>上一期结束比新一期开始至少要早1毫秒，此处配置早1秒。</x:t>
  </x:si>
  <x:si>
    <x:t>沙·鳄鱼</x:t>
  </x:si>
  <x:si>
    <x:t>艾尼路</x:t>
  </x:si>
  <x:si>
    <x:t>heroId</x:t>
  </x:si>
  <x:si>
    <x:t>sourceHeroId</x:t>
  </x:si>
  <x:si>
    <x:t>heroName</x:t>
  </x:si>
  <x:si>
    <x:t>quality</x:t>
  </x:si>
  <x:si>
    <x:t>战桃丸</x:t>
  </x:si>
  <x:si>
    <x:t>可比</x:t>
  </x:si>
  <x:si>
    <x:t>摩根</x:t>
  </x:si>
  <x:si>
    <x:t>卡巴奇</x:t>
  </x:si>
  <x:si>
    <x:t>克洛</x:t>
  </x:si>
  <x:si>
    <x:t>强高</x:t>
  </x:si>
  <x:si>
    <x:t>克里克</x:t>
  </x:si>
  <x:si>
    <x:t>阿金</x:t>
  </x:si>
  <x:si>
    <x:t>帕鲁</x:t>
  </x:si>
  <x:si>
    <x:t>阿龙</x:t>
  </x:si>
  <x:si>
    <x:t>小八</x:t>
  </x:si>
  <x:si>
    <x:t>薇薇</x:t>
  </x:si>
  <x:si>
    <x:t>Mr.5</x:t>
  </x:si>
  <x:si>
    <x:t>瓦波尔</x:t>
  </x:si>
  <x:si>
    <x:t>Mr.4</x:t>
  </x:si>
  <x:si>
    <x:t>Ms.黄金周</x:t>
  </x:si>
  <x:si>
    <x:t>约撒</x:t>
  </x:si>
  <x:si>
    <x:t>路飞</x:t>
  </x:si>
  <x:si>
    <x:t>佐罗</x:t>
  </x:si>
  <x:si>
    <x:t>奈美</x:t>
  </x:si>
  <x:si>
    <x:t>撒谎布</x:t>
  </x:si>
  <x:si>
    <x:t>山智</x:t>
  </x:si>
  <x:si>
    <x:t>乔巴</x:t>
  </x:si>
  <x:si>
    <x:t>罗宾</x:t>
  </x:si>
  <x:si>
    <x:t>弗兰奇</x:t>
  </x:si>
  <x:si>
    <x:t>布鲁克</x:t>
  </x:si>
  <x:si>
    <x:t>巴奇</x:t>
  </x:si>
  <x:si>
    <x:t>烟鬼</x:t>
  </x:si>
  <x:si>
    <x:t>塔希米</x:t>
  </x:si>
  <x:si>
    <x:t>Mr.1</x:t>
  </x:si>
  <x:si>
    <x:t>Mr.2</x:t>
  </x:si>
  <x:si>
    <x:t>Mr.3</x:t>
  </x:si>
  <x:si>
    <x:t>Ms.双手指</x:t>
  </x:si>
  <x:si>
    <x:t>贝拉密</x:t>
  </x:si>
  <x:si>
    <x:t>杰布拉</x:t>
  </x:si>
  <x:si>
    <x:t>佳妮法</x:t>
  </x:si>
  <x:si>
    <x:t>卡古</x:t>
  </x:si>
  <x:si>
    <x:t>阿布萨罗姆</x:t>
  </x:si>
  <x:si>
    <x:t>豪格巴克</x:t>
  </x:si>
  <x:si>
    <x:t>佩罗娜</x:t>
  </x:si>
  <x:si>
    <x:t>龙马</x:t>
  </x:si>
  <x:si>
    <x:t>贝宝</x:t>
  </x:si>
  <x:si>
    <x:t>Baby5</x:t>
  </x:si>
  <x:si>
    <x:t>莉贝卡</x:t>
  </x:si>
  <x:si>
    <x:t>青雉</x:t>
  </x:si>
  <x:si>
    <x:t>戈普</x:t>
  </x:si>
  <x:si>
    <x:t>莫利亚</x:t>
  </x:si>
  <x:si>
    <x:t>大熊</x:t>
  </x:si>
  <x:si>
    <x:t>黄猿</x:t>
  </x:si>
  <x:si>
    <x:t>艾斯</x:t>
  </x:si>
  <x:si>
    <x:t>赤犬</x:t>
  </x:si>
  <x:si>
    <x:t>米霍克</x:t>
  </x:si>
  <x:si>
    <x:t>鲁兹</x:t>
  </x:si>
  <x:si>
    <x:t>甚平</x:t>
  </x:si>
  <x:si>
    <x:t>汉库珂</x:t>
  </x:si>
  <x:si>
    <x:t>罗</x:t>
  </x:si>
  <x:si>
    <x:t>基德</x:t>
  </x:si>
  <x:si>
    <x:t>雷利</x:t>
  </x:si>
  <x:si>
    <x:t>战国</x:t>
  </x:si>
  <x:si>
    <x:t>麦哲伦</x:t>
  </x:si>
  <x:si>
    <x:t>伊娃科夫</x:t>
  </x:si>
  <x:si>
    <x:t>乔兹</x:t>
  </x:si>
  <x:si>
    <x:t>白胡子</x:t>
  </x:si>
  <x:si>
    <x:t>马尔高</x:t>
  </x:si>
  <x:si>
    <x:t>比斯塔</x:t>
  </x:si>
  <x:si>
    <x:t>杰克斯</x:t>
  </x:si>
  <x:si>
    <x:t>新世界撒谎布</x:t>
  </x:si>
  <x:si>
    <x:t>新世界佐罗</x:t>
  </x:si>
  <x:si>
    <x:t>黑胡子</x:t>
  </x:si>
  <x:si>
    <x:t>新世界奈美</x:t>
  </x:si>
  <x:si>
    <x:t>新世界罗宾</x:t>
  </x:si>
  <x:si>
    <x:t>多弗拉门戈</x:t>
  </x:si>
  <x:si>
    <x:t>新世界路飞</x:t>
  </x:si>
  <x:si>
    <x:t>新世界烟鬼</x:t>
  </x:si>
  <x:si>
    <x:t>新世界塔希米</x:t>
  </x:si>
  <x:si>
    <x:t>锦卫门</x:t>
  </x:si>
  <x:si>
    <x:t>新世界弗兰奇</x:t>
  </x:si>
  <x:si>
    <x:t>新世界布鲁克</x:t>
  </x:si>
  <x:si>
    <x:t>新世界山智</x:t>
  </x:si>
  <x:si>
    <x:t>新世界乔巴</x:t>
  </x:si>
  <x:si>
    <x:t>新世界罗</x:t>
  </x:si>
  <x:si>
    <x:t>卡塔库栗</x:t>
  </x:si>
  <x:si>
    <x:t>凯撒</x:t>
  </x:si>
  <x:si>
    <x:t>萨波</x:t>
  </x:si>
  <x:si>
    <x:t>藤虎</x:t>
  </x:si>
  <x:si>
    <x:t>夏洛特·玲玲</x:t>
  </x:si>
  <x:si>
    <x:t>苏打饼</x:t>
  </x:si>
  <x:si>
    <x:t>奶昔</x:t>
  </x:si>
  <x:si>
    <x:t>凯多</x:t>
  </x:si>
  <x:si>
    <x:t>新世界库赞</x:t>
  </x:si>
  <x:si>
    <x:t>新世界赤犬</x:t>
  </x:si>
  <x:si>
    <x:t>丽久</x:t>
  </x:si>
  <x:si>
    <x:t>新世界鲁兹</x:t>
  </x:si>
  <x:si>
    <x:t>推进城汉库珂</x:t>
  </x:si>
  <x:si>
    <x:t>巴尔托洛梅奥</x:t>
  </x:si>
  <x:si>
    <x:t>新世界马尔高</x:t>
  </x:si>
  <x:si>
    <x:t>新世界米霍克</x:t>
  </x:si>
  <x:si>
    <x:t>糖糖</x:t>
  </x:si>
  <x:si>
    <x:t>凯文迪修</x:t>
  </x:si>
  <x:si>
    <x:t>光月御殿</x:t>
  </x:si>
  <x:si>
    <x:t>青年雷利</x:t>
  </x:si>
  <x:si>
    <x:t>凯罗特</x:t>
  </x:si>
  <x:si>
    <x:t>阿菊</x:t>
  </x:si>
  <x:si>
    <x:t>年轻白胡子</x:t>
  </x:si>
  <x:si>
    <x:t>新世界佩罗娜</x:t>
  </x:si>
  <x:si>
    <x:t>英雄戈普</x:t>
  </x:si>
  <x:si>
    <x:t>新世界黑胡子</x:t>
  </x:si>
  <x:si>
    <x:t>犬岚</x:t>
  </x:si>
  <x:si>
    <x:t>猫蝮蛇</x:t>
  </x:si>
  <x:si>
    <x:t>布玲</x:t>
  </x:si>
  <x:si>
    <x:t>霍金斯</x:t>
  </x:si>
  <x:si>
    <x:t>德雷克</x:t>
  </x:si>
  <x:si>
    <x:t>希流</x:t>
  </x:si>
  <x:si>
    <x:t>大将战国</x:t>
  </x:si>
  <x:si>
    <x:t>龙人凯多</x:t>
  </x:si>
  <x:si>
    <x:t>杰克</x:t>
  </x:si>
  <x:si>
    <x:t>昆因</x:t>
  </x:si>
  <x:si>
    <x:t>大和</x:t>
  </x:si>
  <x:si>
    <x:t>乌塔</x:t>
  </x:si>
  <x:si>
    <x:t>润媞</x:t>
  </x:si>
  <x:si>
    <x:t>烬</x:t>
  </x:si>
  <x:si>
    <x:t>佩吉旺</x:t>
  </x:si>
  <x:si>
    <x:t>基拉</x:t>
  </x:si>
  <x:si>
    <x:t>新世界基德</x:t>
  </x:si>
  <x:si>
    <x:t>和之国罗</x:t>
  </x:si>
  <x:si>
    <x:t>花魁阿玲</x:t>
  </x:si>
  <x:si>
    <x:t>和之国路飞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</x:si>
</x:sst>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_);[Red]\(0\)"/>
    <x:numFmt numFmtId="177" formatCode="yyyy/m/d\ h:mm:ss"/>
  </x:numFmts>
  <x:fonts count="7" x14ac:knownFonts="1">
    <x:font>
      <x:sz val="11"/>
      <x:color theme="1"/>
      <x:name val="宋体"/>
      <x:charset val="134"/>
      <x:scheme val="minor"/>
    </x:font>
    <x:font>
      <x:sz val="11"/>
      <x:name val="宋体"/>
      <x:charset val="134"/>
      <x:scheme val="minor"/>
    </x:font>
    <x:font>
      <x:sz val="12"/>
      <x:name val="宋体"/>
      <x:charset val="134"/>
    </x:font>
    <x:font>
      <x:sz val="10.5"/>
      <x:color rgb="FF171A1D"/>
      <x:name val="宋体"/>
      <x:charset val="134"/>
    </x:font>
    <x:font>
      <x:sz val="11"/>
      <x:color rgb="FFFF0000"/>
      <x:name val="宋体"/>
      <x:charset val="134"/>
      <x:scheme val="minor"/>
    </x:font>
    <x:font>
      <x:sz val="9"/>
      <x:name val="宋体"/>
      <x:charset val="134"/>
      <x:scheme val="minor"/>
    </x:font>
    <x:font>
      <x:sz val="9"/>
      <x:name val="宋体"/>
      <x:family val="3"/>
      <x:charset val="134"/>
      <x:scheme val="minor"/>
    </x:font>
  </x:fonts>
  <x:fills count="10">
    <x:fill>
      <x:patternFill patternType="none"/>
    </x:fill>
    <x:fill>
      <x:patternFill patternType="gray125"/>
    </x:fill>
    <x:fill>
      <x:patternFill patternType="solid">
        <x:fgColor theme="0" tint="-0.14993743705557422"/>
        <x:bgColor indexed="64"/>
      </x:patternFill>
    </x:fill>
    <x:fill>
      <x:patternFill patternType="solid">
        <x:fgColor rgb="FF7DF4F7"/>
        <x:bgColor indexed="64"/>
      </x:patternFill>
    </x:fill>
    <x:fill>
      <x:patternFill patternType="solid">
        <x:fgColor rgb="FFF3D979"/>
        <x:bgColor indexed="64"/>
      </x:patternFill>
    </x:fill>
    <x:fill>
      <x:patternFill patternType="solid">
        <x:fgColor rgb="FFED4533"/>
        <x:bgColor indexed="64"/>
      </x:patternFill>
    </x:fill>
    <x:fill>
      <x:patternFill patternType="solid">
        <x:fgColor theme="5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39991454817346722"/>
        <x:bgColor indexed="64"/>
      </x:patternFill>
    </x:fill>
    <x:fill>
      <x:patternFill patternType="solid">
        <x:fgColor rgb="FF00B0F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vertical="center"/>
    </x:xf>
  </x:cellStyleXfs>
  <x:cellXfs count="27">
    <x:xf numFmtId="0" fontId="0" fillId="0" borderId="0" xfId="0">
      <x:alignment vertical="center"/>
    </x:xf>
    <x:xf numFmtId="0" fontId="0" fillId="0" borderId="0" xfId="0" applyAlignment="1"/>
    <x:xf numFmtId="176" fontId="0" fillId="2" borderId="0" xfId="0" applyNumberFormat="1" applyFill="1">
      <x:alignment vertical="center"/>
    </x:xf>
    <x:xf numFmtId="0" fontId="0" fillId="2" borderId="0" xfId="0" applyFill="1">
      <x:alignment vertical="center"/>
    </x:xf>
    <x:xf numFmtId="0" fontId="1" fillId="0" borderId="0" xfId="0" applyFont="1">
      <x:alignment vertical="center"/>
    </x:xf>
    <x:xf numFmtId="177" fontId="0" fillId="0" borderId="0" xfId="0" applyNumberFormat="1">
      <x:alignment vertical="center"/>
    </x:xf>
    <x:xf numFmtId="176" fontId="0" fillId="0" borderId="0" xfId="0" applyNumberFormat="1">
      <x:alignment vertical="center"/>
    </x:xf>
    <x:xf numFmtId="0" fontId="0" fillId="3" borderId="0" xfId="0" applyFill="1">
      <x:alignment vertical="center"/>
    </x:xf>
    <x:xf numFmtId="0" fontId="2" fillId="4" borderId="0" xfId="0" applyFont="1" applyFill="1">
      <x:alignment vertical="center"/>
    </x:xf>
    <x:xf numFmtId="0" fontId="0" fillId="3" borderId="0" xfId="0" applyFill="1" applyAlignment="1"/>
    <x:xf numFmtId="0" fontId="0" fillId="4" borderId="0" xfId="0" applyFill="1">
      <x:alignment vertical="center"/>
    </x:xf>
    <x:xf numFmtId="0" fontId="0" fillId="4" borderId="0" xfId="0" applyFill="1" applyAlignment="1"/>
    <x:xf numFmtId="0" fontId="0" fillId="5" borderId="0" xfId="0" applyFill="1">
      <x:alignment vertical="center"/>
    </x:xf>
    <x:xf numFmtId="0" fontId="0" fillId="5" borderId="0" xfId="0" applyFill="1" applyAlignment="1"/>
    <x:xf numFmtId="0" fontId="0" fillId="6" borderId="0" xfId="0" applyFill="1">
      <x:alignment vertical="center"/>
    </x:xf>
    <x:xf numFmtId="0" fontId="0" fillId="7" borderId="0" xfId="0" applyFill="1" applyAlignment="1"/>
    <x:xf numFmtId="0" fontId="3" fillId="5" borderId="0" xfId="0" applyFont="1" applyFill="1" applyAlignment="1"/>
    <x:xf numFmtId="0" fontId="0" fillId="7" borderId="0" xfId="0" applyFill="1">
      <x:alignment vertical="center"/>
    </x:xf>
    <x:xf numFmtId="0" fontId="3" fillId="7" borderId="0" xfId="0" applyFont="1" applyFill="1" applyAlignment="1"/>
    <x:xf numFmtId="0" fontId="2" fillId="7" borderId="0" xfId="0" applyFont="1" applyFill="1">
      <x:alignment vertical="center"/>
    </x:xf>
    <x:xf numFmtId="0" fontId="0" fillId="8" borderId="0" xfId="0" applyFill="1" applyAlignment="1"/>
    <x:xf numFmtId="0" fontId="0" fillId="8" borderId="0" xfId="0" applyFill="1">
      <x:alignment vertical="center"/>
    </x:xf>
    <x:xf numFmtId="0" fontId="2" fillId="8" borderId="0" xfId="0" applyFont="1" applyFill="1">
      <x:alignment vertical="center"/>
    </x:xf>
    <x:xf numFmtId="0" fontId="0" fillId="9" borderId="0" xfId="0" applyFill="1">
      <x:alignment vertical="center"/>
    </x:xf>
    <x:xf numFmtId="0" fontId="2" fillId="9" borderId="0" xfId="0" applyFont="1" applyFill="1">
      <x:alignment vertical="center"/>
    </x:xf>
    <x:xf numFmtId="0" fontId="0" fillId="9" borderId="0" xfId="0" applyFill="1" applyAlignment="1"/>
    <x:xf numFmtId="0" fontId="4" fillId="0" borderId="0" xfId="0" applyFont="1" applyAlignment="1"/>
  </x:cellXfs>
  <x:cellStyles count="1">
    <x:cellStyle name="常规" xfId="0" builtinId="0"/>
  </x:cellStyles>
  <x:dxfs count="57"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G69"/>
  <x:sheetViews>
    <x:sheetView tabSelected="1" workbookViewId="0">
      <x:selection activeCell="F29" sqref="F29"/>
    </x:sheetView>
  </x:sheetViews>
  <x:sheetFormatPr defaultColWidth="9" defaultRowHeight="13.5" x14ac:dyDescent="0.15"/>
  <x:cols>
    <x:col min="2" max="2" width="16.125" customWidth="1"/>
    <x:col min="3" max="3" width="17.25" customWidth="1"/>
    <x:col min="4" max="4" width="15.125" customWidth="1"/>
    <x:col min="5" max="5" width="9" customWidth="1"/>
    <x:col min="6" max="7" width="20.5" customWidth="1"/>
    <x:col min="8" max="8" width="19.625" customWidth="1"/>
    <x:col min="9" max="9" width="19.125" customWidth="1"/>
  </x:cols>
  <x:sheetData>
    <x:row r="1" spans="1:7" x14ac:dyDescent="0.15">
      <x:c r="A1" s="1">
        <x:v>7</x:v>
      </x:c>
      <x:c r="B1" s="1">
        <x:v>1</x:v>
      </x:c>
      <x:c r="C1" s="1">
        <x:v>9999</x:v>
      </x:c>
      <x:c r="D1">
        <x:v>10</x:v>
      </x:c>
    </x:row>
    <x:row r="2" spans="1:7" x14ac:dyDescent="0.15">
      <x:c r="A2" s="1" t="s">
        <x:v>0</x:v>
      </x:c>
      <x:c r="B2" s="1" t="s">
        <x:v>1</x:v>
      </x:c>
      <x:c r="C2" t="s">
        <x:v>2</x:v>
      </x:c>
      <x:c r="D2" t="s">
        <x:v>3</x:v>
      </x:c>
      <x:c r="E2" t="s">
        <x:v>4</x:v>
      </x:c>
      <x:c r="F2" t="s">
        <x:v>5</x:v>
      </x:c>
      <x:c r="G2" t="s">
        <x:v>2</x:v>
      </x:c>
    </x:row>
    <x:row r="3" spans="1:7" x14ac:dyDescent="0.15">
      <x:c r="A3" s="1" t="s">
        <x:v>6</x:v>
      </x:c>
      <x:c r="B3" s="1" t="s">
        <x:v>7</x:v>
      </x:c>
      <x:c r="C3" t="s">
        <x:v>8</x:v>
      </x:c>
      <x:c r="D3" t="s">
        <x:v>9</x:v>
      </x:c>
    </x:row>
    <x:row r="4" spans="1:7" x14ac:dyDescent="0.15">
      <x:c r="A4" s="1" t="s">
        <x:v>10</x:v>
      </x:c>
      <x:c r="B4" s="1" t="s">
        <x:v>11</x:v>
      </x:c>
      <x:c r="C4" s="1" t="s">
        <x:v>11</x:v>
      </x:c>
      <x:c r="D4" s="1" t="s">
        <x:v>10</x:v>
      </x:c>
      <x:c r="E4" s="1"/>
      <x:c r="F4" s="1"/>
      <x:c r="G4" s="26" t="s">
        <x:v>12</x:v>
      </x:c>
    </x:row>
    <x:row r="5" spans="1:7" x14ac:dyDescent="0.15">
      <x:c r="A5" s="1" t="s">
        <x:v>13</x:v>
      </x:c>
      <x:c r="B5" s="1" t="s">
        <x:v>14</x:v>
      </x:c>
      <x:c r="C5" s="1" t="s">
        <x:v>14</x:v>
      </x:c>
      <x:c r="D5" s="1" t="s">
        <x:v>14</x:v>
      </x:c>
      <x:c r="E5" s="1"/>
      <x:c r="F5" s="1"/>
      <x:c r="G5" s="26" t="s">
        <x:v>15</x:v>
      </x:c>
    </x:row>
    <x:row r="6" spans="1:7" x14ac:dyDescent="0.15">
      <x:c r="A6" s="1" t="s">
        <x:v>6</x:v>
      </x:c>
      <x:c r="B6" s="1" t="s">
        <x:v>7</x:v>
      </x:c>
      <x:c r="C6" t="s">
        <x:v>8</x:v>
      </x:c>
      <x:c r="D6" t="s">
        <x:v>9</x:v>
      </x:c>
    </x:row>
    <x:row r="7" spans="1:7" x14ac:dyDescent="0.15">
      <x:c r="A7">
        <x:v>1</x:v>
      </x:c>
      <x:c r="B7" s="6">
        <x:v>1696453200000</x:v>
      </x:c>
      <x:c r="C7" s="6">
        <x:v>1697057999000</x:v>
      </x:c>
      <x:c r="D7">
        <x:v>113001</x:v>
      </x:c>
      <x:c r="E7" t="s">
        <x:v>16</x:v>
      </x:c>
      <x:c r="F7" s="5">
        <x:v>45204.208333333299</x:v>
      </x:c>
      <x:c r="G7" s="5">
        <x:v>45211.208321759201</x:v>
      </x:c>
    </x:row>
    <x:row r="8" spans="1:7" x14ac:dyDescent="0.15">
      <x:c r="A8">
        <x:v>2</x:v>
      </x:c>
      <x:c r="B8" s="6">
        <x:v>1697058000000</x:v>
      </x:c>
      <x:c r="C8" s="6">
        <x:v>1697662799000</x:v>
      </x:c>
      <x:c r="D8">
        <x:v>113002</x:v>
      </x:c>
      <x:c r="E8" t="s">
        <x:v>17</x:v>
      </x:c>
      <x:c r="F8" s="5">
        <x:v>45211.208333333299</x:v>
      </x:c>
      <x:c r="G8" s="5">
        <x:v>45218.208321759201</x:v>
      </x:c>
    </x:row>
    <x:row r="9" spans="1:7" x14ac:dyDescent="0.15">
      <x:c r="A9">
        <x:v>3</x:v>
      </x:c>
      <x:c r="B9" s="6">
        <x:v>1697662800000</x:v>
      </x:c>
      <x:c r="C9" s="6">
        <x:v>1698267599000</x:v>
      </x:c>
      <x:c r="D9">
        <x:v>113001</x:v>
      </x:c>
      <x:c r="E9" t="s">
        <x:v>16</x:v>
      </x:c>
      <x:c r="F9" s="5">
        <x:v>45218.208333333299</x:v>
      </x:c>
      <x:c r="G9" s="5">
        <x:v>45225.208321759201</x:v>
      </x:c>
    </x:row>
    <x:row r="10" spans="1:7" x14ac:dyDescent="0.15">
      <x:c r="A10">
        <x:v>4</x:v>
      </x:c>
      <x:c r="B10" s="6">
        <x:v>1698267600000</x:v>
      </x:c>
      <x:c r="C10" s="6">
        <x:v>1698872399000</x:v>
      </x:c>
      <x:c r="D10">
        <x:v>113002</x:v>
      </x:c>
      <x:c r="E10" t="s">
        <x:v>17</x:v>
      </x:c>
      <x:c r="F10" s="5">
        <x:v>45225.208333333299</x:v>
      </x:c>
      <x:c r="G10" s="5">
        <x:v>45232.208321759201</x:v>
      </x:c>
    </x:row>
    <x:row r="11" spans="1:7" x14ac:dyDescent="0.15">
      <x:c r="A11">
        <x:v>5</x:v>
      </x:c>
      <x:c r="B11" s="6">
        <x:v>1698872400000</x:v>
      </x:c>
      <x:c r="C11" s="6">
        <x:v>1699477199000</x:v>
      </x:c>
      <x:c r="D11">
        <x:v>113001</x:v>
      </x:c>
      <x:c r="E11" t="s">
        <x:v>16</x:v>
      </x:c>
      <x:c r="F11" s="5">
        <x:v>45232.208333333299</x:v>
      </x:c>
      <x:c r="G11" s="5">
        <x:v>45239.208321759201</x:v>
      </x:c>
    </x:row>
    <x:row r="12" spans="1:7" x14ac:dyDescent="0.15">
      <x:c r="A12">
        <x:v>6</x:v>
      </x:c>
      <x:c r="B12" s="6">
        <x:v>1699477200000</x:v>
      </x:c>
      <x:c r="C12" s="6">
        <x:v>1700081999000</x:v>
      </x:c>
      <x:c r="D12">
        <x:v>113002</x:v>
      </x:c>
      <x:c r="E12" t="s">
        <x:v>17</x:v>
      </x:c>
      <x:c r="F12" s="5">
        <x:v>45239.208333333299</x:v>
      </x:c>
      <x:c r="G12" s="5">
        <x:v>45246.208321759201</x:v>
      </x:c>
    </x:row>
    <x:row r="13" spans="1:7" x14ac:dyDescent="0.15">
      <x:c r="A13">
        <x:v>7</x:v>
      </x:c>
      <x:c r="B13" s="6">
        <x:v>1700082000000</x:v>
      </x:c>
      <x:c r="C13" s="6">
        <x:v>1700686799000</x:v>
      </x:c>
      <x:c r="D13">
        <x:v>113001</x:v>
      </x:c>
      <x:c r="E13" t="s">
        <x:v>16</x:v>
      </x:c>
      <x:c r="F13" s="5">
        <x:v>45246.208333333299</x:v>
      </x:c>
      <x:c r="G13" s="5">
        <x:v>45253.208321759201</x:v>
      </x:c>
    </x:row>
    <x:row r="14" spans="1:7" x14ac:dyDescent="0.15">
      <x:c r="A14">
        <x:v>8</x:v>
      </x:c>
      <x:c r="B14" s="6">
        <x:v>1700686800000</x:v>
      </x:c>
      <x:c r="C14" s="6">
        <x:v>1701291599000</x:v>
      </x:c>
      <x:c r="D14">
        <x:v>113002</x:v>
      </x:c>
      <x:c r="E14" t="s">
        <x:v>17</x:v>
      </x:c>
      <x:c r="F14" s="5">
        <x:v>45253.208333333299</x:v>
      </x:c>
      <x:c r="G14" s="5">
        <x:v>45260.208321759201</x:v>
      </x:c>
    </x:row>
    <x:row r="15" spans="1:7" x14ac:dyDescent="0.15">
      <x:c r="A15">
        <x:v>9</x:v>
      </x:c>
      <x:c r="B15" s="6">
        <x:v>1701291600000</x:v>
      </x:c>
      <x:c r="C15" s="6">
        <x:v>1701896399000</x:v>
      </x:c>
      <x:c r="D15">
        <x:v>113001</x:v>
      </x:c>
      <x:c r="E15" t="s">
        <x:v>16</x:v>
      </x:c>
      <x:c r="F15" s="5">
        <x:v>45260.208333333299</x:v>
      </x:c>
      <x:c r="G15" s="5">
        <x:v>45267.208321759201</x:v>
      </x:c>
    </x:row>
    <x:row r="16" spans="1:7" x14ac:dyDescent="0.15">
      <x:c r="A16">
        <x:v>10</x:v>
      </x:c>
      <x:c r="B16" s="6">
        <x:v>1701896400000</x:v>
      </x:c>
      <x:c r="C16" s="6">
        <x:v>1702501199000</x:v>
      </x:c>
      <x:c r="D16">
        <x:v>113002</x:v>
      </x:c>
      <x:c r="E16" t="s">
        <x:v>17</x:v>
      </x:c>
      <x:c r="F16" s="5">
        <x:v>45267.208333333299</x:v>
      </x:c>
      <x:c r="G16" s="5">
        <x:v>45274.208321759201</x:v>
      </x:c>
    </x:row>
    <x:row r="17" spans="1:7" x14ac:dyDescent="0.15">
      <x:c r="A17">
        <x:v>11</x:v>
      </x:c>
      <x:c r="B17" s="6">
        <x:v>1703019600000</x:v>
      </x:c>
      <x:c r="C17" s="6">
        <x:v>1703238840000</x:v>
      </x:c>
      <x:c r="D17">
        <x:v>113002</x:v>
      </x:c>
      <x:c r="E17" t="s">
        <x:v>17</x:v>
      </x:c>
      <x:c r="F17" s="5">
        <x:v>45280.208333333336</x:v>
      </x:c>
      <x:c r="G17" s="5">
        <x:v>45282.745833333334</x:v>
      </x:c>
    </x:row>
    <x:row r="18" spans="1:7" x14ac:dyDescent="0.15">
      <x:c r="B18" s="6"/>
      <x:c r="C18" s="6"/>
      <x:c r="F18" s="5"/>
      <x:c r="G18" s="5"/>
    </x:row>
    <x:row r="19" spans="1:7" x14ac:dyDescent="0.15">
      <x:c r="B19" s="6"/>
      <x:c r="C19" s="6"/>
      <x:c r="F19" s="5"/>
      <x:c r="G19" s="5"/>
    </x:row>
    <x:row r="20" spans="1:7" x14ac:dyDescent="0.15">
      <x:c r="B20" s="6"/>
      <x:c r="C20" s="6"/>
      <x:c r="F20" s="5"/>
      <x:c r="G20" s="5"/>
    </x:row>
    <x:row r="21" spans="1:7" x14ac:dyDescent="0.15">
      <x:c r="B21" s="6"/>
      <x:c r="C21" s="6"/>
      <x:c r="F21" s="5"/>
      <x:c r="G21" s="5"/>
    </x:row>
    <x:row r="22" spans="1:7" x14ac:dyDescent="0.15">
      <x:c r="B22" s="6"/>
      <x:c r="C22" s="6"/>
      <x:c r="F22" s="5"/>
      <x:c r="G22" s="5"/>
    </x:row>
    <x:row r="23" spans="1:7" x14ac:dyDescent="0.15">
      <x:c r="B23" s="6"/>
      <x:c r="C23" s="6"/>
      <x:c r="F23" s="5"/>
      <x:c r="G23" s="5"/>
    </x:row>
    <x:row r="24" spans="1:7" x14ac:dyDescent="0.15">
      <x:c r="B24" s="6"/>
      <x:c r="C24" s="6"/>
      <x:c r="F24" s="5"/>
      <x:c r="G24" s="5"/>
    </x:row>
    <x:row r="25" spans="1:7" x14ac:dyDescent="0.15">
      <x:c r="B25" s="6"/>
      <x:c r="C25" s="6"/>
      <x:c r="F25" s="5"/>
      <x:c r="G25" s="5"/>
    </x:row>
    <x:row r="26" spans="1:7" x14ac:dyDescent="0.15">
      <x:c r="B26" s="6"/>
      <x:c r="C26" s="6"/>
      <x:c r="F26" s="5"/>
      <x:c r="G26" s="5"/>
    </x:row>
    <x:row r="27" spans="1:7" x14ac:dyDescent="0.15">
      <x:c r="B27" s="6"/>
      <x:c r="C27" s="6"/>
      <x:c r="F27" s="5"/>
      <x:c r="G27" s="5"/>
    </x:row>
    <x:row r="28" spans="1:7" x14ac:dyDescent="0.15">
      <x:c r="B28" s="6"/>
      <x:c r="C28" s="6"/>
      <x:c r="F28" s="5"/>
      <x:c r="G28" s="5"/>
    </x:row>
    <x:row r="29" spans="1:7" x14ac:dyDescent="0.15">
      <x:c r="B29" s="6"/>
      <x:c r="C29" s="6"/>
      <x:c r="F29" s="5"/>
      <x:c r="G29" s="5"/>
    </x:row>
    <x:row r="30" spans="1:7" x14ac:dyDescent="0.15">
      <x:c r="B30" s="6"/>
      <x:c r="C30" s="6"/>
      <x:c r="F30" s="5"/>
      <x:c r="G30" s="5"/>
    </x:row>
    <x:row r="31" spans="1:7" x14ac:dyDescent="0.15">
      <x:c r="B31" s="6"/>
      <x:c r="C31" s="6"/>
      <x:c r="F31" s="5"/>
      <x:c r="G31" s="5"/>
    </x:row>
    <x:row r="32" spans="1:7" x14ac:dyDescent="0.15">
      <x:c r="B32" s="6"/>
      <x:c r="C32" s="6"/>
      <x:c r="F32" s="5"/>
      <x:c r="G32" s="5"/>
    </x:row>
    <x:row r="33" spans="2:7" x14ac:dyDescent="0.15">
      <x:c r="B33" s="6"/>
      <x:c r="C33" s="6"/>
      <x:c r="F33" s="5"/>
      <x:c r="G33" s="5"/>
    </x:row>
    <x:row r="34" spans="2:7" x14ac:dyDescent="0.15">
      <x:c r="B34" s="6"/>
      <x:c r="C34" s="6"/>
      <x:c r="F34" s="5"/>
      <x:c r="G34" s="5"/>
    </x:row>
    <x:row r="35" spans="2:7" x14ac:dyDescent="0.15">
      <x:c r="B35" s="6"/>
      <x:c r="C35" s="6"/>
      <x:c r="F35" s="5"/>
      <x:c r="G35" s="5"/>
    </x:row>
    <x:row r="36" spans="2:7" x14ac:dyDescent="0.15">
      <x:c r="B36" s="6"/>
      <x:c r="C36" s="6"/>
      <x:c r="F36" s="5"/>
      <x:c r="G36" s="5"/>
    </x:row>
    <x:row r="37" spans="2:7" x14ac:dyDescent="0.15">
      <x:c r="B37" s="6"/>
      <x:c r="C37" s="6"/>
      <x:c r="F37" s="5"/>
      <x:c r="G37" s="5"/>
    </x:row>
    <x:row r="38" spans="2:7" x14ac:dyDescent="0.15">
      <x:c r="B38" s="6"/>
      <x:c r="C38" s="6"/>
      <x:c r="F38" s="5"/>
      <x:c r="G38" s="5"/>
    </x:row>
    <x:row r="39" spans="2:7" x14ac:dyDescent="0.15">
      <x:c r="B39" s="6"/>
      <x:c r="C39" s="6"/>
      <x:c r="F39" s="5"/>
      <x:c r="G39" s="5"/>
    </x:row>
    <x:row r="40" spans="2:7" x14ac:dyDescent="0.15">
      <x:c r="B40" s="6"/>
      <x:c r="C40" s="6"/>
      <x:c r="F40" s="5"/>
      <x:c r="G40" s="5"/>
    </x:row>
    <x:row r="41" spans="2:7" x14ac:dyDescent="0.15">
      <x:c r="B41" s="6"/>
      <x:c r="C41" s="6"/>
      <x:c r="F41" s="5"/>
      <x:c r="G41" s="5"/>
    </x:row>
    <x:row r="42" spans="2:7" x14ac:dyDescent="0.15">
      <x:c r="B42" s="6"/>
      <x:c r="C42" s="6"/>
      <x:c r="F42" s="5"/>
      <x:c r="G42" s="5"/>
    </x:row>
    <x:row r="43" spans="2:7" x14ac:dyDescent="0.15">
      <x:c r="B43" s="6"/>
      <x:c r="C43" s="6"/>
      <x:c r="F43" s="5"/>
      <x:c r="G43" s="5"/>
    </x:row>
    <x:row r="44" spans="2:7" x14ac:dyDescent="0.15">
      <x:c r="B44" s="6"/>
      <x:c r="C44" s="6"/>
      <x:c r="F44" s="5"/>
      <x:c r="G44" s="5"/>
    </x:row>
    <x:row r="45" spans="2:7" x14ac:dyDescent="0.15">
      <x:c r="B45" s="6"/>
      <x:c r="C45" s="6"/>
      <x:c r="F45" s="5"/>
      <x:c r="G45" s="5"/>
    </x:row>
    <x:row r="46" spans="2:7" x14ac:dyDescent="0.15">
      <x:c r="B46" s="6"/>
      <x:c r="C46" s="6"/>
      <x:c r="F46" s="5"/>
      <x:c r="G46" s="5"/>
    </x:row>
    <x:row r="47" spans="2:7" x14ac:dyDescent="0.15">
      <x:c r="B47" s="6"/>
      <x:c r="C47" s="6"/>
      <x:c r="F47" s="5"/>
      <x:c r="G47" s="5"/>
    </x:row>
    <x:row r="48" spans="2:7" x14ac:dyDescent="0.15">
      <x:c r="B48" s="6"/>
      <x:c r="C48" s="6"/>
      <x:c r="F48" s="5"/>
      <x:c r="G48" s="5"/>
    </x:row>
    <x:row r="49" spans="2:7" x14ac:dyDescent="0.15">
      <x:c r="B49" s="6"/>
      <x:c r="C49" s="6"/>
      <x:c r="F49" s="5"/>
      <x:c r="G49" s="5"/>
    </x:row>
    <x:row r="50" spans="2:7" x14ac:dyDescent="0.15">
      <x:c r="B50" s="6"/>
      <x:c r="C50" s="6"/>
      <x:c r="F50" s="5"/>
      <x:c r="G50" s="5"/>
    </x:row>
    <x:row r="51" spans="2:7" x14ac:dyDescent="0.15">
      <x:c r="B51" s="6"/>
      <x:c r="C51" s="6"/>
      <x:c r="F51" s="5"/>
      <x:c r="G51" s="5"/>
    </x:row>
    <x:row r="52" spans="2:7" x14ac:dyDescent="0.15">
      <x:c r="B52" s="6"/>
      <x:c r="C52" s="6"/>
      <x:c r="F52" s="5"/>
      <x:c r="G52" s="5"/>
    </x:row>
    <x:row r="53" spans="2:7" x14ac:dyDescent="0.15">
      <x:c r="B53" s="6"/>
      <x:c r="C53" s="6"/>
      <x:c r="F53" s="5"/>
      <x:c r="G53" s="5"/>
    </x:row>
    <x:row r="54" spans="2:7" x14ac:dyDescent="0.15">
      <x:c r="B54" s="6"/>
      <x:c r="C54" s="6"/>
      <x:c r="F54" s="5"/>
      <x:c r="G54" s="5"/>
    </x:row>
    <x:row r="55" spans="2:7" x14ac:dyDescent="0.15">
      <x:c r="B55" s="6"/>
      <x:c r="C55" s="6"/>
      <x:c r="F55" s="5"/>
      <x:c r="G55" s="5"/>
    </x:row>
    <x:row r="56" spans="2:7" x14ac:dyDescent="0.15">
      <x:c r="B56" s="6"/>
      <x:c r="C56" s="6"/>
      <x:c r="F56" s="5"/>
      <x:c r="G56" s="5"/>
    </x:row>
    <x:row r="57" spans="2:7" x14ac:dyDescent="0.15">
      <x:c r="B57" s="6"/>
      <x:c r="C57" s="6"/>
      <x:c r="F57" s="5"/>
      <x:c r="G57" s="5"/>
    </x:row>
    <x:row r="58" spans="2:7" x14ac:dyDescent="0.15">
      <x:c r="B58" s="6"/>
      <x:c r="C58" s="6"/>
      <x:c r="F58" s="5"/>
      <x:c r="G58" s="5"/>
    </x:row>
    <x:row r="59" spans="2:7" x14ac:dyDescent="0.15">
      <x:c r="B59" s="6"/>
      <x:c r="C59" s="6"/>
      <x:c r="F59" s="5"/>
      <x:c r="G59" s="5"/>
    </x:row>
    <x:row r="60" spans="2:7" x14ac:dyDescent="0.15">
      <x:c r="B60" s="6"/>
      <x:c r="C60" s="6"/>
      <x:c r="F60" s="5"/>
      <x:c r="G60" s="5"/>
    </x:row>
    <x:row r="61" spans="2:7" x14ac:dyDescent="0.15">
      <x:c r="B61" s="6"/>
      <x:c r="C61" s="6"/>
      <x:c r="F61" s="5"/>
      <x:c r="G61" s="5"/>
    </x:row>
    <x:row r="62" spans="2:7" x14ac:dyDescent="0.15">
      <x:c r="B62" s="6"/>
      <x:c r="C62" s="6"/>
      <x:c r="F62" s="5"/>
      <x:c r="G62" s="5"/>
    </x:row>
    <x:row r="63" spans="2:7" x14ac:dyDescent="0.15">
      <x:c r="B63" s="6"/>
      <x:c r="C63" s="6"/>
      <x:c r="F63" s="5"/>
      <x:c r="G63" s="5"/>
    </x:row>
    <x:row r="64" spans="2:7" x14ac:dyDescent="0.15">
      <x:c r="B64" s="6"/>
      <x:c r="C64" s="6"/>
      <x:c r="F64" s="5"/>
      <x:c r="G64" s="5"/>
    </x:row>
    <x:row r="65" spans="2:7" x14ac:dyDescent="0.15">
      <x:c r="B65" s="6"/>
      <x:c r="C65" s="6"/>
      <x:c r="F65" s="5"/>
      <x:c r="G65" s="5"/>
    </x:row>
    <x:row r="66" spans="2:7" x14ac:dyDescent="0.15">
      <x:c r="B66" s="6"/>
      <x:c r="C66" s="6"/>
      <x:c r="F66" s="5"/>
      <x:c r="G66" s="5"/>
    </x:row>
    <x:row r="67" spans="2:7" x14ac:dyDescent="0.15">
      <x:c r="B67" s="6"/>
      <x:c r="C67" s="6"/>
      <x:c r="F67" s="5"/>
      <x:c r="G67" s="5"/>
    </x:row>
    <x:row r="68" spans="2:7" x14ac:dyDescent="0.15">
      <x:c r="B68" s="6"/>
      <x:c r="C68" s="6"/>
      <x:c r="F68" s="5"/>
      <x:c r="G68" s="5"/>
    </x:row>
    <x:row r="69" spans="2:7" x14ac:dyDescent="0.15">
      <x:c r="B69" s="6"/>
      <x:c r="C69" s="6"/>
      <x:c r="F69" s="5"/>
      <x:c r="G69" s="5"/>
    </x:row>
  </x:sheetData>
  <x:phoneticPr fontId="6" type="noConversion"/>
  <x:pageMargins left="0.7" right="0.7" top="0.75" bottom="0.75" header="0.3" footer="0.3"/>
  <x:pageSetup paperSize="9" orientation="portrait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L131"/>
  <x:sheetViews>
    <x:sheetView workbookViewId="0">
      <x:selection activeCell="G12" sqref="A12:G12"/>
    </x:sheetView>
  </x:sheetViews>
  <x:sheetFormatPr defaultColWidth="9" defaultRowHeight="13.5" x14ac:dyDescent="0.15"/>
  <x:cols>
    <x:col min="1" max="1" width="3.5" customWidth="1"/>
    <x:col min="2" max="3" width="16.125" customWidth="1"/>
    <x:col min="4" max="4" width="9.5" customWidth="1"/>
    <x:col min="6" max="7" width="20.5" customWidth="1"/>
    <x:col min="9" max="9" width="7.5" customWidth="1"/>
    <x:col min="10" max="10" width="13.875" customWidth="1"/>
    <x:col min="11" max="11" width="13" customWidth="1"/>
    <x:col min="12" max="12" width="8.5" customWidth="1"/>
  </x:cols>
  <x:sheetData>
    <x:row r="1" spans="1:12" x14ac:dyDescent="0.15">
      <x:c r="A1" s="1" t="s">
        <x:v>6</x:v>
      </x:c>
      <x:c r="B1" s="1" t="s">
        <x:v>7</x:v>
      </x:c>
      <x:c r="C1" t="s">
        <x:v>8</x:v>
      </x:c>
      <x:c r="D1" t="s">
        <x:v>9</x:v>
      </x:c>
      <x:c r="E1" t="s">
        <x:v>4</x:v>
      </x:c>
      <x:c r="F1" t="s">
        <x:v>5</x:v>
      </x:c>
      <x:c r="G1" t="s">
        <x:v>2</x:v>
      </x:c>
      <x:c r="I1" s="1" t="s">
        <x:v>18</x:v>
      </x:c>
      <x:c r="J1" s="1" t="s">
        <x:v>19</x:v>
      </x:c>
      <x:c r="K1" s="1" t="s">
        <x:v>20</x:v>
      </x:c>
      <x:c r="L1" s="1" t="s">
        <x:v>21</x:v>
      </x:c>
    </x:row>
    <x:row r="2" spans="1:12" ht="14.25" x14ac:dyDescent="0.15">
      <x:c r="A2">
        <x:v>1</x:v>
      </x:c>
      <x:c r="B2" s="2">
        <x:f>INT(((F2-19-70*365)*86400-8*3600)*1000)</x:f>
        <x:v>1696453200000</x:v>
      </x:c>
      <x:c r="C2" s="2">
        <x:f>INT(((G2-19-70*365)*86400-8*3600)*1000)</x:f>
        <x:v>1697057999000</x:v>
      </x:c>
      <x:c r="D2" s="3">
        <x:f>_xlfn.XLOOKUP(E2,K:K,I:I,FALSE,0)</x:f>
        <x:v>112028</x:v>
      </x:c>
      <x:c r="E2" s="4" t="s">
        <x:v>22</x:v>
      </x:c>
      <x:c r="F2" s="5">
        <x:v>45204.208333333299</x:v>
      </x:c>
      <x:c r="G2" s="5">
        <x:f>F2+7-(1/24/60/60)</x:f>
        <x:v>45211.208321759223</x:v>
      </x:c>
      <x:c r="I2" s="7">
        <x:v>111001</x:v>
      </x:c>
      <x:c r="J2" s="7">
        <x:v>111001</x:v>
      </x:c>
      <x:c r="K2" s="8" t="s">
        <x:v>23</x:v>
      </x:c>
      <x:c r="L2" s="9">
        <x:v>1</x:v>
      </x:c>
    </x:row>
    <x:row r="3" spans="1:12" ht="14.25" x14ac:dyDescent="0.15">
      <x:c r="A3">
        <x:v>2</x:v>
      </x:c>
      <x:c r="B3" s="2">
        <x:f t="shared" ref="B3:B11" si="0">INT(((F3-19-70*365)*86400-8*3600)*1000)</x:f>
        <x:v>1697058000000</x:v>
      </x:c>
      <x:c r="C3" s="2">
        <x:f t="shared" ref="C3:C11" si="1">INT(((G3-19-70*365)*86400-8*3600)*1000)</x:f>
        <x:v>1697662799000</x:v>
      </x:c>
      <x:c r="D3" s="3">
        <x:f>_xlfn.XLOOKUP(E3,K:K,I:I,FALSE,0)</x:f>
        <x:v>113001</x:v>
      </x:c>
      <x:c r="E3" s="4" t="s">
        <x:v>16</x:v>
      </x:c>
      <x:c r="F3" s="5">
        <x:f>F2+7</x:f>
        <x:v>45211.208333333299</x:v>
      </x:c>
      <x:c r="G3" s="5">
        <x:f>F3+7-(1/24/60/60)</x:f>
        <x:v>45218.208321759223</x:v>
      </x:c>
      <x:c r="I3" s="7">
        <x:v>111002</x:v>
      </x:c>
      <x:c r="J3" s="7">
        <x:v>111002</x:v>
      </x:c>
      <x:c r="K3" s="8" t="s">
        <x:v>24</x:v>
      </x:c>
      <x:c r="L3" s="9">
        <x:v>1</x:v>
      </x:c>
    </x:row>
    <x:row r="4" spans="1:12" ht="14.25" x14ac:dyDescent="0.15">
      <x:c r="A4">
        <x:v>3</x:v>
      </x:c>
      <x:c r="B4" s="2">
        <x:f t="shared" si="0"/>
        <x:v>1697662800000</x:v>
      </x:c>
      <x:c r="C4" s="2">
        <x:f t="shared" si="1"/>
        <x:v>1698267599000</x:v>
      </x:c>
      <x:c r="D4" s="3">
        <x:f>_xlfn.XLOOKUP(E4,K:K,I:I,FALSE,0)</x:f>
        <x:v>113002</x:v>
      </x:c>
      <x:c r="E4" s="4" t="s">
        <x:v>17</x:v>
      </x:c>
      <x:c r="F4" s="5">
        <x:f>F3+7</x:f>
        <x:v>45218.208333333299</x:v>
      </x:c>
      <x:c r="G4" s="5">
        <x:f>F4+7-(1/24/60/60)</x:f>
        <x:v>45225.208321759223</x:v>
      </x:c>
      <x:c r="I4" s="7">
        <x:v>111003</x:v>
      </x:c>
      <x:c r="J4" s="7">
        <x:v>111003</x:v>
      </x:c>
      <x:c r="K4" s="8" t="s">
        <x:v>25</x:v>
      </x:c>
      <x:c r="L4" s="9">
        <x:v>1</x:v>
      </x:c>
    </x:row>
    <x:row r="5" spans="1:12" ht="14.25" x14ac:dyDescent="0.15">
      <x:c r="A5">
        <x:v>4</x:v>
      </x:c>
      <x:c r="B5" s="2">
        <x:f t="shared" si="0"/>
        <x:v>1698267600000</x:v>
      </x:c>
      <x:c r="C5" s="2">
        <x:f t="shared" si="1"/>
        <x:v>1698872399000</x:v>
      </x:c>
      <x:c r="D5" s="3">
        <x:f t="shared" ref="D5:D11" si="2">_xlfn.XLOOKUP(E5,K:K,I:I,FALSE,0)</x:f>
        <x:v>112028</x:v>
      </x:c>
      <x:c r="E5" s="4" t="s">
        <x:v>22</x:v>
      </x:c>
      <x:c r="F5" s="5">
        <x:f t="shared" ref="F5:F11" si="3">F4+7</x:f>
        <x:v>45225.208333333299</x:v>
      </x:c>
      <x:c r="G5" s="5">
        <x:f t="shared" ref="G5:G11" si="4">F5+7-(1/24/60/60)</x:f>
        <x:v>45232.208321759223</x:v>
      </x:c>
      <x:c r="I5" s="7">
        <x:v>111004</x:v>
      </x:c>
      <x:c r="J5" s="7">
        <x:v>111004</x:v>
      </x:c>
      <x:c r="K5" s="8" t="s">
        <x:v>26</x:v>
      </x:c>
      <x:c r="L5" s="9">
        <x:v>1</x:v>
      </x:c>
    </x:row>
    <x:row r="6" spans="1:12" ht="14.25" x14ac:dyDescent="0.15">
      <x:c r="A6">
        <x:v>5</x:v>
      </x:c>
      <x:c r="B6" s="2">
        <x:f t="shared" si="0"/>
        <x:v>1698872400000</x:v>
      </x:c>
      <x:c r="C6" s="2">
        <x:f t="shared" si="1"/>
        <x:v>1699477199000</x:v>
      </x:c>
      <x:c r="D6" s="3">
        <x:f t="shared" si="2"/>
        <x:v>113001</x:v>
      </x:c>
      <x:c r="E6" s="4" t="s">
        <x:v>16</x:v>
      </x:c>
      <x:c r="F6" s="5">
        <x:f t="shared" si="3"/>
        <x:v>45232.208333333299</x:v>
      </x:c>
      <x:c r="G6" s="5">
        <x:f t="shared" si="4"/>
        <x:v>45239.208321759223</x:v>
      </x:c>
      <x:c r="I6" s="7">
        <x:v>111005</x:v>
      </x:c>
      <x:c r="J6" s="7">
        <x:v>111005</x:v>
      </x:c>
      <x:c r="K6" s="8" t="s">
        <x:v>27</x:v>
      </x:c>
      <x:c r="L6" s="9">
        <x:v>1</x:v>
      </x:c>
    </x:row>
    <x:row r="7" spans="1:12" ht="14.25" x14ac:dyDescent="0.15">
      <x:c r="A7">
        <x:v>6</x:v>
      </x:c>
      <x:c r="B7" s="2">
        <x:f t="shared" si="0"/>
        <x:v>1699477200000</x:v>
      </x:c>
      <x:c r="C7" s="2">
        <x:f t="shared" si="1"/>
        <x:v>1700081999000</x:v>
      </x:c>
      <x:c r="D7" s="3">
        <x:f t="shared" si="2"/>
        <x:v>113002</x:v>
      </x:c>
      <x:c r="E7" s="4" t="s">
        <x:v>17</x:v>
      </x:c>
      <x:c r="F7" s="5">
        <x:f t="shared" si="3"/>
        <x:v>45239.208333333299</x:v>
      </x:c>
      <x:c r="G7" s="5">
        <x:f t="shared" si="4"/>
        <x:v>45246.208321759223</x:v>
      </x:c>
      <x:c r="I7" s="7">
        <x:v>111006</x:v>
      </x:c>
      <x:c r="J7" s="7">
        <x:v>111006</x:v>
      </x:c>
      <x:c r="K7" s="8" t="s">
        <x:v>28</x:v>
      </x:c>
      <x:c r="L7" s="9">
        <x:v>1</x:v>
      </x:c>
    </x:row>
    <x:row r="8" spans="1:12" ht="14.25" x14ac:dyDescent="0.15">
      <x:c r="A8">
        <x:v>7</x:v>
      </x:c>
      <x:c r="B8" s="2">
        <x:f t="shared" si="0"/>
        <x:v>1700082000000</x:v>
      </x:c>
      <x:c r="C8" s="2">
        <x:f t="shared" si="1"/>
        <x:v>1700686799000</x:v>
      </x:c>
      <x:c r="D8" s="3">
        <x:f t="shared" si="2"/>
        <x:v>112028</x:v>
      </x:c>
      <x:c r="E8" s="4" t="s">
        <x:v>22</x:v>
      </x:c>
      <x:c r="F8" s="5">
        <x:f t="shared" si="3"/>
        <x:v>45246.208333333299</x:v>
      </x:c>
      <x:c r="G8" s="5">
        <x:f t="shared" si="4"/>
        <x:v>45253.208321759223</x:v>
      </x:c>
      <x:c r="I8" s="7">
        <x:v>111007</x:v>
      </x:c>
      <x:c r="J8" s="7">
        <x:v>111007</x:v>
      </x:c>
      <x:c r="K8" s="8" t="s">
        <x:v>29</x:v>
      </x:c>
      <x:c r="L8" s="9">
        <x:v>1</x:v>
      </x:c>
    </x:row>
    <x:row r="9" spans="1:12" ht="14.25" x14ac:dyDescent="0.15">
      <x:c r="A9">
        <x:v>8</x:v>
      </x:c>
      <x:c r="B9" s="2">
        <x:f t="shared" si="0"/>
        <x:v>1700686800000</x:v>
      </x:c>
      <x:c r="C9" s="2">
        <x:f t="shared" si="1"/>
        <x:v>1701291599000</x:v>
      </x:c>
      <x:c r="D9" s="3">
        <x:f t="shared" si="2"/>
        <x:v>113001</x:v>
      </x:c>
      <x:c r="E9" s="4" t="s">
        <x:v>16</x:v>
      </x:c>
      <x:c r="F9" s="5">
        <x:f t="shared" si="3"/>
        <x:v>45253.208333333299</x:v>
      </x:c>
      <x:c r="G9" s="5">
        <x:f t="shared" si="4"/>
        <x:v>45260.208321759223</x:v>
      </x:c>
      <x:c r="I9" s="7">
        <x:v>111008</x:v>
      </x:c>
      <x:c r="J9" s="7">
        <x:v>111008</x:v>
      </x:c>
      <x:c r="K9" s="8" t="s">
        <x:v>30</x:v>
      </x:c>
      <x:c r="L9" s="9">
        <x:v>1</x:v>
      </x:c>
    </x:row>
    <x:row r="10" spans="1:12" ht="14.25" x14ac:dyDescent="0.15">
      <x:c r="A10">
        <x:v>9</x:v>
      </x:c>
      <x:c r="B10" s="2">
        <x:f t="shared" si="0"/>
        <x:v>1701291600000</x:v>
      </x:c>
      <x:c r="C10" s="2">
        <x:f t="shared" si="1"/>
        <x:v>1701896399000</x:v>
      </x:c>
      <x:c r="D10" s="3">
        <x:f t="shared" si="2"/>
        <x:v>113002</x:v>
      </x:c>
      <x:c r="E10" s="4" t="s">
        <x:v>17</x:v>
      </x:c>
      <x:c r="F10" s="5">
        <x:f t="shared" si="3"/>
        <x:v>45260.208333333299</x:v>
      </x:c>
      <x:c r="G10" s="5">
        <x:f t="shared" si="4"/>
        <x:v>45267.208321759223</x:v>
      </x:c>
      <x:c r="I10" s="7">
        <x:v>111009</x:v>
      </x:c>
      <x:c r="J10" s="7">
        <x:v>111009</x:v>
      </x:c>
      <x:c r="K10" s="8" t="s">
        <x:v>31</x:v>
      </x:c>
      <x:c r="L10" s="9">
        <x:v>1</x:v>
      </x:c>
    </x:row>
    <x:row r="11" spans="1:12" ht="14.25" x14ac:dyDescent="0.15">
      <x:c r="A11">
        <x:v>10</x:v>
      </x:c>
      <x:c r="B11" s="2">
        <x:f t="shared" si="0"/>
        <x:v>1701896400000</x:v>
      </x:c>
      <x:c r="C11" s="2">
        <x:f t="shared" si="1"/>
        <x:v>1702501199000</x:v>
      </x:c>
      <x:c r="D11" s="3">
        <x:f t="shared" si="2"/>
        <x:v>112028</x:v>
      </x:c>
      <x:c r="E11" s="4" t="s">
        <x:v>22</x:v>
      </x:c>
      <x:c r="F11" s="5">
        <x:f t="shared" si="3"/>
        <x:v>45267.208333333299</x:v>
      </x:c>
      <x:c r="G11" s="5">
        <x:f t="shared" si="4"/>
        <x:v>45274.208321759223</x:v>
      </x:c>
      <x:c r="I11" s="7">
        <x:v>111010</x:v>
      </x:c>
      <x:c r="J11" s="7">
        <x:v>111010</x:v>
      </x:c>
      <x:c r="K11" s="8" t="s">
        <x:v>32</x:v>
      </x:c>
      <x:c r="L11" s="9">
        <x:v>1</x:v>
      </x:c>
    </x:row>
    <x:row r="12" spans="1:12" ht="14.25" x14ac:dyDescent="0.15">
      <x:c r="A12">
        <x:v>11</x:v>
      </x:c>
      <x:c r="B12" s="2">
        <x:f t="shared" ref="B12" si="5">INT(((F12-19-70*365)*86400-8*3600)*1000)</x:f>
        <x:v>1703019600000</x:v>
      </x:c>
      <x:c r="C12" s="2">
        <x:f t="shared" ref="C12" si="6">INT(((G12-19-70*365)*86400-8*3600)*1000)</x:f>
        <x:v>1703238840000</x:v>
      </x:c>
      <x:c r="D12" s="3">
        <x:f t="shared" ref="D12" si="7">_xlfn.XLOOKUP(E12,K:K,I:I,FALSE,0)</x:f>
        <x:v>113002</x:v>
      </x:c>
      <x:c r="E12" s="4" t="s">
        <x:v>17</x:v>
      </x:c>
      <x:c r="F12" s="5">
        <x:v>45280.208333333336</x:v>
      </x:c>
      <x:c r="G12" s="5">
        <x:v>45282.745833333334</x:v>
      </x:c>
      <x:c r="I12" s="7">
        <x:v>111011</x:v>
      </x:c>
      <x:c r="J12" s="7">
        <x:v>111011</x:v>
      </x:c>
      <x:c r="K12" s="8" t="s">
        <x:v>33</x:v>
      </x:c>
      <x:c r="L12" s="9">
        <x:v>1</x:v>
      </x:c>
    </x:row>
    <x:row r="13" spans="1:12" ht="14.25" x14ac:dyDescent="0.15">
      <x:c r="B13" s="6"/>
      <x:c r="C13" s="6"/>
      <x:c r="E13" s="4"/>
      <x:c r="F13" s="5"/>
      <x:c r="G13" s="5"/>
      <x:c r="I13" s="7">
        <x:v>111012</x:v>
      </x:c>
      <x:c r="J13" s="7">
        <x:v>111012</x:v>
      </x:c>
      <x:c r="K13" s="8" t="s">
        <x:v>34</x:v>
      </x:c>
      <x:c r="L13" s="9">
        <x:v>1</x:v>
      </x:c>
    </x:row>
    <x:row r="14" spans="1:12" ht="14.25" x14ac:dyDescent="0.15">
      <x:c r="B14" s="6"/>
      <x:c r="C14" s="6"/>
      <x:c r="E14" s="4"/>
      <x:c r="F14" s="5"/>
      <x:c r="G14" s="5"/>
      <x:c r="I14" s="7">
        <x:v>111013</x:v>
      </x:c>
      <x:c r="J14" s="7">
        <x:v>111013</x:v>
      </x:c>
      <x:c r="K14" s="8" t="s">
        <x:v>35</x:v>
      </x:c>
      <x:c r="L14" s="9">
        <x:v>1</x:v>
      </x:c>
    </x:row>
    <x:row r="15" spans="1:12" ht="14.25" x14ac:dyDescent="0.15">
      <x:c r="I15" s="7">
        <x:v>111014</x:v>
      </x:c>
      <x:c r="J15" s="7">
        <x:v>111014</x:v>
      </x:c>
      <x:c r="K15" s="8" t="s">
        <x:v>36</x:v>
      </x:c>
      <x:c r="L15" s="9">
        <x:v>1</x:v>
      </x:c>
    </x:row>
    <x:row r="16" spans="1:12" ht="14.25" x14ac:dyDescent="0.15">
      <x:c r="I16" s="7">
        <x:v>111015</x:v>
      </x:c>
      <x:c r="J16" s="7">
        <x:v>111015</x:v>
      </x:c>
      <x:c r="K16" s="8" t="s">
        <x:v>37</x:v>
      </x:c>
      <x:c r="L16" s="9">
        <x:v>1</x:v>
      </x:c>
    </x:row>
    <x:row r="17" spans="9:12" ht="14.25" x14ac:dyDescent="0.15">
      <x:c r="I17" s="7">
        <x:v>111018</x:v>
      </x:c>
      <x:c r="J17" s="7">
        <x:v>111018</x:v>
      </x:c>
      <x:c r="K17" s="8" t="s">
        <x:v>38</x:v>
      </x:c>
      <x:c r="L17" s="9">
        <x:v>1</x:v>
      </x:c>
    </x:row>
    <x:row r="18" spans="9:12" ht="14.25" x14ac:dyDescent="0.15">
      <x:c r="I18" s="10">
        <x:v>112001</x:v>
      </x:c>
      <x:c r="J18" s="10">
        <x:v>112001</x:v>
      </x:c>
      <x:c r="K18" s="8" t="s">
        <x:v>39</x:v>
      </x:c>
      <x:c r="L18" s="11">
        <x:v>2</x:v>
      </x:c>
    </x:row>
    <x:row r="19" spans="9:12" ht="14.25" x14ac:dyDescent="0.15">
      <x:c r="I19" s="10">
        <x:v>112002</x:v>
      </x:c>
      <x:c r="J19" s="10">
        <x:v>112002</x:v>
      </x:c>
      <x:c r="K19" s="8" t="s">
        <x:v>40</x:v>
      </x:c>
      <x:c r="L19" s="11">
        <x:v>2</x:v>
      </x:c>
    </x:row>
    <x:row r="20" spans="9:12" ht="14.25" x14ac:dyDescent="0.15">
      <x:c r="I20" s="10">
        <x:v>112003</x:v>
      </x:c>
      <x:c r="J20" s="10">
        <x:v>112003</x:v>
      </x:c>
      <x:c r="K20" s="8" t="s">
        <x:v>41</x:v>
      </x:c>
      <x:c r="L20" s="11">
        <x:v>2</x:v>
      </x:c>
    </x:row>
    <x:row r="21" spans="9:12" ht="14.25" x14ac:dyDescent="0.15">
      <x:c r="I21" s="10">
        <x:v>112004</x:v>
      </x:c>
      <x:c r="J21" s="10">
        <x:v>112004</x:v>
      </x:c>
      <x:c r="K21" s="8" t="s">
        <x:v>42</x:v>
      </x:c>
      <x:c r="L21" s="11">
        <x:v>2</x:v>
      </x:c>
    </x:row>
    <x:row r="22" spans="9:12" ht="14.25" x14ac:dyDescent="0.15">
      <x:c r="I22" s="10">
        <x:v>112005</x:v>
      </x:c>
      <x:c r="J22" s="10">
        <x:v>112005</x:v>
      </x:c>
      <x:c r="K22" s="8" t="s">
        <x:v>43</x:v>
      </x:c>
      <x:c r="L22" s="11">
        <x:v>2</x:v>
      </x:c>
    </x:row>
    <x:row r="23" spans="9:12" ht="14.25" x14ac:dyDescent="0.15">
      <x:c r="I23" s="10">
        <x:v>112006</x:v>
      </x:c>
      <x:c r="J23" s="10">
        <x:v>112006</x:v>
      </x:c>
      <x:c r="K23" s="8" t="s">
        <x:v>44</x:v>
      </x:c>
      <x:c r="L23" s="11">
        <x:v>2</x:v>
      </x:c>
    </x:row>
    <x:row r="24" spans="9:12" ht="14.25" x14ac:dyDescent="0.15">
      <x:c r="I24" s="10">
        <x:v>112007</x:v>
      </x:c>
      <x:c r="J24" s="10">
        <x:v>112007</x:v>
      </x:c>
      <x:c r="K24" s="8" t="s">
        <x:v>45</x:v>
      </x:c>
      <x:c r="L24" s="11">
        <x:v>2</x:v>
      </x:c>
    </x:row>
    <x:row r="25" spans="9:12" ht="14.25" x14ac:dyDescent="0.15">
      <x:c r="I25" s="10">
        <x:v>112008</x:v>
      </x:c>
      <x:c r="J25" s="10">
        <x:v>112008</x:v>
      </x:c>
      <x:c r="K25" s="8" t="s">
        <x:v>46</x:v>
      </x:c>
      <x:c r="L25" s="11">
        <x:v>2</x:v>
      </x:c>
    </x:row>
    <x:row r="26" spans="9:12" ht="14.25" x14ac:dyDescent="0.15">
      <x:c r="I26" s="10">
        <x:v>112009</x:v>
      </x:c>
      <x:c r="J26" s="10">
        <x:v>112009</x:v>
      </x:c>
      <x:c r="K26" s="8" t="s">
        <x:v>47</x:v>
      </x:c>
      <x:c r="L26" s="11">
        <x:v>2</x:v>
      </x:c>
    </x:row>
    <x:row r="27" spans="9:12" ht="14.25" x14ac:dyDescent="0.15">
      <x:c r="I27" s="10">
        <x:v>112010</x:v>
      </x:c>
      <x:c r="J27" s="10">
        <x:v>112010</x:v>
      </x:c>
      <x:c r="K27" s="8" t="s">
        <x:v>48</x:v>
      </x:c>
      <x:c r="L27" s="11">
        <x:v>2</x:v>
      </x:c>
    </x:row>
    <x:row r="28" spans="9:12" ht="14.25" x14ac:dyDescent="0.15">
      <x:c r="I28" s="10">
        <x:v>112011</x:v>
      </x:c>
      <x:c r="J28" s="10">
        <x:v>112011</x:v>
      </x:c>
      <x:c r="K28" s="8" t="s">
        <x:v>49</x:v>
      </x:c>
      <x:c r="L28" s="11">
        <x:v>2</x:v>
      </x:c>
    </x:row>
    <x:row r="29" spans="9:12" ht="14.25" x14ac:dyDescent="0.15">
      <x:c r="I29" s="10">
        <x:v>112012</x:v>
      </x:c>
      <x:c r="J29" s="10">
        <x:v>112012</x:v>
      </x:c>
      <x:c r="K29" s="8" t="s">
        <x:v>50</x:v>
      </x:c>
      <x:c r="L29" s="11">
        <x:v>2</x:v>
      </x:c>
    </x:row>
    <x:row r="30" spans="9:12" ht="14.25" x14ac:dyDescent="0.15">
      <x:c r="I30" s="10">
        <x:v>112013</x:v>
      </x:c>
      <x:c r="J30" s="10">
        <x:v>112013</x:v>
      </x:c>
      <x:c r="K30" s="8" t="s">
        <x:v>51</x:v>
      </x:c>
      <x:c r="L30" s="11">
        <x:v>2</x:v>
      </x:c>
    </x:row>
    <x:row r="31" spans="9:12" ht="14.25" x14ac:dyDescent="0.15">
      <x:c r="I31" s="10">
        <x:v>112014</x:v>
      </x:c>
      <x:c r="J31" s="10">
        <x:v>112014</x:v>
      </x:c>
      <x:c r="K31" s="8" t="s">
        <x:v>52</x:v>
      </x:c>
      <x:c r="L31" s="11">
        <x:v>2</x:v>
      </x:c>
    </x:row>
    <x:row r="32" spans="9:12" ht="14.25" x14ac:dyDescent="0.15">
      <x:c r="I32" s="10">
        <x:v>112015</x:v>
      </x:c>
      <x:c r="J32" s="10">
        <x:v>112015</x:v>
      </x:c>
      <x:c r="K32" s="8" t="s">
        <x:v>53</x:v>
      </x:c>
      <x:c r="L32" s="11">
        <x:v>2</x:v>
      </x:c>
    </x:row>
    <x:row r="33" spans="9:12" ht="14.25" x14ac:dyDescent="0.15">
      <x:c r="I33" s="10">
        <x:v>112016</x:v>
      </x:c>
      <x:c r="J33" s="10">
        <x:v>112016</x:v>
      </x:c>
      <x:c r="K33" s="8" t="s">
        <x:v>54</x:v>
      </x:c>
      <x:c r="L33" s="11">
        <x:v>2</x:v>
      </x:c>
    </x:row>
    <x:row r="34" spans="9:12" ht="14.25" x14ac:dyDescent="0.15">
      <x:c r="I34" s="10">
        <x:v>112017</x:v>
      </x:c>
      <x:c r="J34" s="10">
        <x:v>112017</x:v>
      </x:c>
      <x:c r="K34" s="8" t="s">
        <x:v>55</x:v>
      </x:c>
      <x:c r="L34" s="11">
        <x:v>2</x:v>
      </x:c>
    </x:row>
    <x:row r="35" spans="9:12" ht="14.25" x14ac:dyDescent="0.15">
      <x:c r="I35" s="10">
        <x:v>112019</x:v>
      </x:c>
      <x:c r="J35" s="10">
        <x:v>112019</x:v>
      </x:c>
      <x:c r="K35" s="8" t="s">
        <x:v>56</x:v>
      </x:c>
      <x:c r="L35" s="11">
        <x:v>2</x:v>
      </x:c>
    </x:row>
    <x:row r="36" spans="9:12" ht="14.25" x14ac:dyDescent="0.15">
      <x:c r="I36" s="10">
        <x:v>112020</x:v>
      </x:c>
      <x:c r="J36" s="10">
        <x:v>112020</x:v>
      </x:c>
      <x:c r="K36" s="8" t="s">
        <x:v>57</x:v>
      </x:c>
      <x:c r="L36" s="11">
        <x:v>2</x:v>
      </x:c>
    </x:row>
    <x:row r="37" spans="9:12" ht="14.25" x14ac:dyDescent="0.15">
      <x:c r="I37" s="10">
        <x:v>112021</x:v>
      </x:c>
      <x:c r="J37" s="10">
        <x:v>112021</x:v>
      </x:c>
      <x:c r="K37" s="8" t="s">
        <x:v>58</x:v>
      </x:c>
      <x:c r="L37" s="11">
        <x:v>2</x:v>
      </x:c>
    </x:row>
    <x:row r="38" spans="9:12" ht="14.25" x14ac:dyDescent="0.15">
      <x:c r="I38" s="10">
        <x:v>112023</x:v>
      </x:c>
      <x:c r="J38" s="10">
        <x:v>112023</x:v>
      </x:c>
      <x:c r="K38" s="8" t="s">
        <x:v>59</x:v>
      </x:c>
      <x:c r="L38" s="11">
        <x:v>2</x:v>
      </x:c>
    </x:row>
    <x:row r="39" spans="9:12" ht="14.25" x14ac:dyDescent="0.15">
      <x:c r="I39" s="10">
        <x:v>112024</x:v>
      </x:c>
      <x:c r="J39" s="10">
        <x:v>112024</x:v>
      </x:c>
      <x:c r="K39" s="8" t="s">
        <x:v>60</x:v>
      </x:c>
      <x:c r="L39" s="11">
        <x:v>2</x:v>
      </x:c>
    </x:row>
    <x:row r="40" spans="9:12" ht="14.25" x14ac:dyDescent="0.15">
      <x:c r="I40" s="10">
        <x:v>112025</x:v>
      </x:c>
      <x:c r="J40" s="10">
        <x:v>112025</x:v>
      </x:c>
      <x:c r="K40" s="8" t="s">
        <x:v>61</x:v>
      </x:c>
      <x:c r="L40" s="11">
        <x:v>2</x:v>
      </x:c>
    </x:row>
    <x:row r="41" spans="9:12" ht="14.25" x14ac:dyDescent="0.15">
      <x:c r="I41" s="10">
        <x:v>112026</x:v>
      </x:c>
      <x:c r="J41" s="10">
        <x:v>112026</x:v>
      </x:c>
      <x:c r="K41" s="8" t="s">
        <x:v>62</x:v>
      </x:c>
      <x:c r="L41" s="11">
        <x:v>2</x:v>
      </x:c>
    </x:row>
    <x:row r="42" spans="9:12" ht="14.25" x14ac:dyDescent="0.15">
      <x:c r="I42" s="10">
        <x:v>112027</x:v>
      </x:c>
      <x:c r="J42" s="10">
        <x:v>112027</x:v>
      </x:c>
      <x:c r="K42" s="8" t="s">
        <x:v>63</x:v>
      </x:c>
      <x:c r="L42" s="11">
        <x:v>2</x:v>
      </x:c>
    </x:row>
    <x:row r="43" spans="9:12" x14ac:dyDescent="0.15">
      <x:c r="I43" s="12">
        <x:v>112028</x:v>
      </x:c>
      <x:c r="J43" s="12">
        <x:v>112028</x:v>
      </x:c>
      <x:c r="K43" s="12" t="s">
        <x:v>22</x:v>
      </x:c>
      <x:c r="L43" s="13">
        <x:v>3</x:v>
      </x:c>
    </x:row>
    <x:row r="44" spans="9:12" x14ac:dyDescent="0.15">
      <x:c r="I44" s="10">
        <x:v>112029</x:v>
      </x:c>
      <x:c r="J44" s="10">
        <x:v>112029</x:v>
      </x:c>
      <x:c r="K44" s="10" t="s">
        <x:v>64</x:v>
      </x:c>
      <x:c r="L44" s="11">
        <x:v>2</x:v>
      </x:c>
    </x:row>
    <x:row r="45" spans="9:12" x14ac:dyDescent="0.15">
      <x:c r="I45" s="10">
        <x:v>112030</x:v>
      </x:c>
      <x:c r="J45" s="10">
        <x:v>112030</x:v>
      </x:c>
      <x:c r="K45" s="10" t="s">
        <x:v>65</x:v>
      </x:c>
      <x:c r="L45" s="11">
        <x:v>2</x:v>
      </x:c>
    </x:row>
    <x:row r="46" spans="9:12" x14ac:dyDescent="0.15">
      <x:c r="I46" s="12">
        <x:v>113001</x:v>
      </x:c>
      <x:c r="J46" s="12">
        <x:v>113001</x:v>
      </x:c>
      <x:c r="K46" s="12" t="s">
        <x:v>16</x:v>
      </x:c>
      <x:c r="L46" s="13">
        <x:v>3</x:v>
      </x:c>
    </x:row>
    <x:row r="47" spans="9:12" x14ac:dyDescent="0.15">
      <x:c r="I47" s="12">
        <x:v>113002</x:v>
      </x:c>
      <x:c r="J47" s="12">
        <x:v>113002</x:v>
      </x:c>
      <x:c r="K47" s="12" t="s">
        <x:v>17</x:v>
      </x:c>
      <x:c r="L47" s="13">
        <x:v>3</x:v>
      </x:c>
    </x:row>
    <x:row r="48" spans="9:12" x14ac:dyDescent="0.15">
      <x:c r="I48" s="12">
        <x:v>113003</x:v>
      </x:c>
      <x:c r="J48" s="12">
        <x:v>113003</x:v>
      </x:c>
      <x:c r="K48" s="12" t="s">
        <x:v>66</x:v>
      </x:c>
      <x:c r="L48" s="13">
        <x:v>3</x:v>
      </x:c>
    </x:row>
    <x:row r="49" spans="9:12" x14ac:dyDescent="0.15">
      <x:c r="I49" s="12">
        <x:v>113004</x:v>
      </x:c>
      <x:c r="J49" s="12">
        <x:v>113004</x:v>
      </x:c>
      <x:c r="K49" s="12" t="s">
        <x:v>67</x:v>
      </x:c>
      <x:c r="L49" s="13">
        <x:v>3</x:v>
      </x:c>
    </x:row>
    <x:row r="50" spans="9:12" x14ac:dyDescent="0.15">
      <x:c r="I50" s="12">
        <x:v>113005</x:v>
      </x:c>
      <x:c r="J50" s="12">
        <x:v>113005</x:v>
      </x:c>
      <x:c r="K50" s="12" t="s">
        <x:v>68</x:v>
      </x:c>
      <x:c r="L50" s="13">
        <x:v>3</x:v>
      </x:c>
    </x:row>
    <x:row r="51" spans="9:12" x14ac:dyDescent="0.15">
      <x:c r="I51" s="12">
        <x:v>113006</x:v>
      </x:c>
      <x:c r="J51" s="12">
        <x:v>113006</x:v>
      </x:c>
      <x:c r="K51" s="12" t="s">
        <x:v>69</x:v>
      </x:c>
      <x:c r="L51" s="13">
        <x:v>3</x:v>
      </x:c>
    </x:row>
    <x:row r="52" spans="9:12" x14ac:dyDescent="0.15">
      <x:c r="I52" s="12">
        <x:v>113007</x:v>
      </x:c>
      <x:c r="J52" s="12">
        <x:v>113007</x:v>
      </x:c>
      <x:c r="K52" s="12" t="s">
        <x:v>70</x:v>
      </x:c>
      <x:c r="L52" s="13">
        <x:v>3</x:v>
      </x:c>
    </x:row>
    <x:row r="53" spans="9:12" x14ac:dyDescent="0.15">
      <x:c r="I53" s="12">
        <x:v>113008</x:v>
      </x:c>
      <x:c r="J53" s="12">
        <x:v>113008</x:v>
      </x:c>
      <x:c r="K53" s="12" t="s">
        <x:v>71</x:v>
      </x:c>
      <x:c r="L53" s="13">
        <x:v>3</x:v>
      </x:c>
    </x:row>
    <x:row r="54" spans="9:12" x14ac:dyDescent="0.15">
      <x:c r="I54" s="12">
        <x:v>113009</x:v>
      </x:c>
      <x:c r="J54" s="12">
        <x:v>113009</x:v>
      </x:c>
      <x:c r="K54" s="12" t="s">
        <x:v>72</x:v>
      </x:c>
      <x:c r="L54" s="13">
        <x:v>3</x:v>
      </x:c>
    </x:row>
    <x:row r="55" spans="9:12" x14ac:dyDescent="0.15">
      <x:c r="I55" s="12">
        <x:v>113010</x:v>
      </x:c>
      <x:c r="J55" s="12">
        <x:v>113010</x:v>
      </x:c>
      <x:c r="K55" s="12" t="s">
        <x:v>73</x:v>
      </x:c>
      <x:c r="L55" s="13">
        <x:v>3</x:v>
      </x:c>
    </x:row>
    <x:row r="56" spans="9:12" x14ac:dyDescent="0.15">
      <x:c r="I56" s="12">
        <x:v>113011</x:v>
      </x:c>
      <x:c r="J56" s="12">
        <x:v>113011</x:v>
      </x:c>
      <x:c r="K56" s="12" t="s">
        <x:v>74</x:v>
      </x:c>
      <x:c r="L56" s="13">
        <x:v>3</x:v>
      </x:c>
    </x:row>
    <x:row r="57" spans="9:12" x14ac:dyDescent="0.15">
      <x:c r="I57" s="12">
        <x:v>113012</x:v>
      </x:c>
      <x:c r="J57" s="12">
        <x:v>113012</x:v>
      </x:c>
      <x:c r="K57" s="12" t="s">
        <x:v>75</x:v>
      </x:c>
      <x:c r="L57" s="13">
        <x:v>3</x:v>
      </x:c>
    </x:row>
    <x:row r="58" spans="9:12" x14ac:dyDescent="0.15">
      <x:c r="I58" s="12">
        <x:v>113013</x:v>
      </x:c>
      <x:c r="J58" s="12">
        <x:v>113013</x:v>
      </x:c>
      <x:c r="K58" s="12" t="s">
        <x:v>76</x:v>
      </x:c>
      <x:c r="L58" s="13">
        <x:v>3</x:v>
      </x:c>
    </x:row>
    <x:row r="59" spans="9:12" x14ac:dyDescent="0.15">
      <x:c r="I59" s="12">
        <x:v>113014</x:v>
      </x:c>
      <x:c r="J59" s="12">
        <x:v>113014</x:v>
      </x:c>
      <x:c r="K59" s="12" t="s">
        <x:v>77</x:v>
      </x:c>
      <x:c r="L59" s="13">
        <x:v>3</x:v>
      </x:c>
    </x:row>
    <x:row r="60" spans="9:12" x14ac:dyDescent="0.15">
      <x:c r="I60" s="12">
        <x:v>113015</x:v>
      </x:c>
      <x:c r="J60" s="12">
        <x:v>113015</x:v>
      </x:c>
      <x:c r="K60" s="12" t="s">
        <x:v>78</x:v>
      </x:c>
      <x:c r="L60" s="13">
        <x:v>3</x:v>
      </x:c>
    </x:row>
    <x:row r="61" spans="9:12" x14ac:dyDescent="0.15">
      <x:c r="I61" s="12">
        <x:v>113016</x:v>
      </x:c>
      <x:c r="J61" s="12">
        <x:v>113016</x:v>
      </x:c>
      <x:c r="K61" s="12" t="s">
        <x:v>79</x:v>
      </x:c>
      <x:c r="L61" s="13">
        <x:v>3</x:v>
      </x:c>
    </x:row>
    <x:row r="62" spans="9:12" x14ac:dyDescent="0.15">
      <x:c r="I62" s="12">
        <x:v>113017</x:v>
      </x:c>
      <x:c r="J62" s="12">
        <x:v>113017</x:v>
      </x:c>
      <x:c r="K62" s="12" t="s">
        <x:v>80</x:v>
      </x:c>
      <x:c r="L62" s="13">
        <x:v>3</x:v>
      </x:c>
    </x:row>
    <x:row r="63" spans="9:12" x14ac:dyDescent="0.15">
      <x:c r="I63" s="12">
        <x:v>113018</x:v>
      </x:c>
      <x:c r="J63" s="12">
        <x:v>113018</x:v>
      </x:c>
      <x:c r="K63" s="12" t="s">
        <x:v>81</x:v>
      </x:c>
      <x:c r="L63" s="13">
        <x:v>3</x:v>
      </x:c>
    </x:row>
    <x:row r="64" spans="9:12" x14ac:dyDescent="0.15">
      <x:c r="I64" s="12">
        <x:v>113019</x:v>
      </x:c>
      <x:c r="J64" s="12">
        <x:v>113019</x:v>
      </x:c>
      <x:c r="K64" s="12" t="s">
        <x:v>82</x:v>
      </x:c>
      <x:c r="L64" s="13">
        <x:v>3</x:v>
      </x:c>
    </x:row>
    <x:row r="65" spans="9:12" x14ac:dyDescent="0.15">
      <x:c r="I65" s="12">
        <x:v>113020</x:v>
      </x:c>
      <x:c r="J65" s="12">
        <x:v>113020</x:v>
      </x:c>
      <x:c r="K65" s="12" t="s">
        <x:v>83</x:v>
      </x:c>
      <x:c r="L65" s="13">
        <x:v>3</x:v>
      </x:c>
    </x:row>
    <x:row r="66" spans="9:12" x14ac:dyDescent="0.15">
      <x:c r="I66" s="12">
        <x:v>113021</x:v>
      </x:c>
      <x:c r="J66" s="12">
        <x:v>113021</x:v>
      </x:c>
      <x:c r="K66" s="12" t="s">
        <x:v>84</x:v>
      </x:c>
      <x:c r="L66" s="13">
        <x:v>3</x:v>
      </x:c>
    </x:row>
    <x:row r="67" spans="9:12" x14ac:dyDescent="0.15">
      <x:c r="I67" s="12">
        <x:v>113022</x:v>
      </x:c>
      <x:c r="J67" s="12">
        <x:v>113022</x:v>
      </x:c>
      <x:c r="K67" s="12" t="s">
        <x:v>85</x:v>
      </x:c>
      <x:c r="L67" s="13">
        <x:v>3</x:v>
      </x:c>
    </x:row>
    <x:row r="68" spans="9:12" x14ac:dyDescent="0.15">
      <x:c r="I68" s="12">
        <x:v>113023</x:v>
      </x:c>
      <x:c r="J68" s="12">
        <x:v>113023</x:v>
      </x:c>
      <x:c r="K68" s="12" t="s">
        <x:v>86</x:v>
      </x:c>
      <x:c r="L68" s="13">
        <x:v>3</x:v>
      </x:c>
    </x:row>
    <x:row r="69" spans="9:12" x14ac:dyDescent="0.15">
      <x:c r="I69" s="12">
        <x:v>113024</x:v>
      </x:c>
      <x:c r="J69" s="12">
        <x:v>113024</x:v>
      </x:c>
      <x:c r="K69" s="12" t="s">
        <x:v>87</x:v>
      </x:c>
      <x:c r="L69" s="13">
        <x:v>3</x:v>
      </x:c>
    </x:row>
    <x:row r="70" spans="9:12" x14ac:dyDescent="0.15">
      <x:c r="I70" s="12">
        <x:v>113025</x:v>
      </x:c>
      <x:c r="J70" s="14">
        <x:v>112004</x:v>
      </x:c>
      <x:c r="K70" s="12" t="s">
        <x:v>88</x:v>
      </x:c>
      <x:c r="L70" s="13">
        <x:v>3</x:v>
      </x:c>
    </x:row>
    <x:row r="71" spans="9:12" x14ac:dyDescent="0.15">
      <x:c r="I71" s="12">
        <x:v>113026</x:v>
      </x:c>
      <x:c r="J71" s="14">
        <x:v>112002</x:v>
      </x:c>
      <x:c r="K71" s="12" t="s">
        <x:v>89</x:v>
      </x:c>
      <x:c r="L71" s="13">
        <x:v>3</x:v>
      </x:c>
    </x:row>
    <x:row r="72" spans="9:12" x14ac:dyDescent="0.15">
      <x:c r="I72" s="12">
        <x:v>113027</x:v>
      </x:c>
      <x:c r="J72" s="12">
        <x:v>113027</x:v>
      </x:c>
      <x:c r="K72" s="12" t="s">
        <x:v>90</x:v>
      </x:c>
      <x:c r="L72" s="13">
        <x:v>3</x:v>
      </x:c>
    </x:row>
    <x:row r="73" spans="9:12" x14ac:dyDescent="0.15">
      <x:c r="I73" s="12">
        <x:v>113028</x:v>
      </x:c>
      <x:c r="J73" s="14">
        <x:v>112003</x:v>
      </x:c>
      <x:c r="K73" s="12" t="s">
        <x:v>91</x:v>
      </x:c>
      <x:c r="L73" s="13">
        <x:v>3</x:v>
      </x:c>
    </x:row>
    <x:row r="74" spans="9:12" x14ac:dyDescent="0.15">
      <x:c r="I74" s="12">
        <x:v>113029</x:v>
      </x:c>
      <x:c r="J74" s="14">
        <x:v>112007</x:v>
      </x:c>
      <x:c r="K74" s="12" t="s">
        <x:v>92</x:v>
      </x:c>
      <x:c r="L74" s="13">
        <x:v>3</x:v>
      </x:c>
    </x:row>
    <x:row r="75" spans="9:12" x14ac:dyDescent="0.15">
      <x:c r="I75" s="12">
        <x:v>113030</x:v>
      </x:c>
      <x:c r="J75" s="12">
        <x:v>113030</x:v>
      </x:c>
      <x:c r="K75" s="12" t="s">
        <x:v>93</x:v>
      </x:c>
      <x:c r="L75" s="13">
        <x:v>3</x:v>
      </x:c>
    </x:row>
    <x:row r="76" spans="9:12" x14ac:dyDescent="0.15">
      <x:c r="I76" s="12">
        <x:v>113031</x:v>
      </x:c>
      <x:c r="J76" s="14">
        <x:v>112001</x:v>
      </x:c>
      <x:c r="K76" s="12" t="s">
        <x:v>94</x:v>
      </x:c>
      <x:c r="L76" s="13">
        <x:v>3</x:v>
      </x:c>
    </x:row>
    <x:row r="77" spans="9:12" x14ac:dyDescent="0.15">
      <x:c r="I77" s="12">
        <x:v>113032</x:v>
      </x:c>
      <x:c r="J77" s="14">
        <x:v>112011</x:v>
      </x:c>
      <x:c r="K77" s="12" t="s">
        <x:v>95</x:v>
      </x:c>
      <x:c r="L77" s="13">
        <x:v>3</x:v>
      </x:c>
    </x:row>
    <x:row r="78" spans="9:12" x14ac:dyDescent="0.15">
      <x:c r="I78" s="12">
        <x:v>113033</x:v>
      </x:c>
      <x:c r="J78" s="14">
        <x:v>112012</x:v>
      </x:c>
      <x:c r="K78" s="12" t="s">
        <x:v>96</x:v>
      </x:c>
      <x:c r="L78" s="13">
        <x:v>3</x:v>
      </x:c>
    </x:row>
    <x:row r="79" spans="9:12" x14ac:dyDescent="0.15">
      <x:c r="I79" s="12">
        <x:v>113034</x:v>
      </x:c>
      <x:c r="J79" s="12">
        <x:v>113034</x:v>
      </x:c>
      <x:c r="K79" s="12" t="s">
        <x:v>97</x:v>
      </x:c>
      <x:c r="L79" s="13">
        <x:v>3</x:v>
      </x:c>
    </x:row>
    <x:row r="80" spans="9:12" x14ac:dyDescent="0.15">
      <x:c r="I80" s="12">
        <x:v>113035</x:v>
      </x:c>
      <x:c r="J80" s="12">
        <x:v>112008</x:v>
      </x:c>
      <x:c r="K80" s="12" t="s">
        <x:v>98</x:v>
      </x:c>
      <x:c r="L80" s="13">
        <x:v>3</x:v>
      </x:c>
    </x:row>
    <x:row r="81" spans="9:12" x14ac:dyDescent="0.15">
      <x:c r="I81" s="12">
        <x:v>113036</x:v>
      </x:c>
      <x:c r="J81" s="12">
        <x:v>112009</x:v>
      </x:c>
      <x:c r="K81" s="12" t="s">
        <x:v>99</x:v>
      </x:c>
      <x:c r="L81" s="13">
        <x:v>3</x:v>
      </x:c>
    </x:row>
    <x:row r="82" spans="9:12" x14ac:dyDescent="0.15">
      <x:c r="I82" s="12">
        <x:v>113037</x:v>
      </x:c>
      <x:c r="J82" s="12">
        <x:v>112005</x:v>
      </x:c>
      <x:c r="K82" s="12" t="s">
        <x:v>100</x:v>
      </x:c>
      <x:c r="L82" s="13">
        <x:v>3</x:v>
      </x:c>
    </x:row>
    <x:row r="83" spans="9:12" x14ac:dyDescent="0.15">
      <x:c r="I83" s="12">
        <x:v>113038</x:v>
      </x:c>
      <x:c r="J83" s="12">
        <x:v>112006</x:v>
      </x:c>
      <x:c r="K83" s="12" t="s">
        <x:v>101</x:v>
      </x:c>
      <x:c r="L83" s="13">
        <x:v>3</x:v>
      </x:c>
    </x:row>
    <x:row r="84" spans="9:12" x14ac:dyDescent="0.15">
      <x:c r="I84" s="12">
        <x:v>113039</x:v>
      </x:c>
      <x:c r="J84" s="12">
        <x:v>113014</x:v>
      </x:c>
      <x:c r="K84" s="12" t="s">
        <x:v>102</x:v>
      </x:c>
      <x:c r="L84" s="13">
        <x:v>3</x:v>
      </x:c>
    </x:row>
    <x:row r="85" spans="9:12" x14ac:dyDescent="0.15">
      <x:c r="I85" s="12">
        <x:v>113040</x:v>
      </x:c>
      <x:c r="J85" s="12">
        <x:v>113040</x:v>
      </x:c>
      <x:c r="K85" s="12" t="s">
        <x:v>103</x:v>
      </x:c>
      <x:c r="L85" s="13">
        <x:v>3</x:v>
      </x:c>
    </x:row>
    <x:row r="86" spans="9:12" x14ac:dyDescent="0.15">
      <x:c r="I86" s="13">
        <x:v>113041</x:v>
      </x:c>
      <x:c r="J86" s="13">
        <x:v>113041</x:v>
      </x:c>
      <x:c r="K86" s="13" t="s">
        <x:v>104</x:v>
      </x:c>
      <x:c r="L86" s="13">
        <x:v>3</x:v>
      </x:c>
    </x:row>
    <x:row r="87" spans="9:12" x14ac:dyDescent="0.15">
      <x:c r="I87" s="13">
        <x:v>113042</x:v>
      </x:c>
      <x:c r="J87" s="13">
        <x:v>113042</x:v>
      </x:c>
      <x:c r="K87" s="13" t="s">
        <x:v>105</x:v>
      </x:c>
      <x:c r="L87" s="13">
        <x:v>3</x:v>
      </x:c>
    </x:row>
    <x:row r="88" spans="9:12" x14ac:dyDescent="0.15">
      <x:c r="I88" s="13">
        <x:v>113043</x:v>
      </x:c>
      <x:c r="J88" s="13">
        <x:v>113043</x:v>
      </x:c>
      <x:c r="K88" s="13" t="s">
        <x:v>106</x:v>
      </x:c>
      <x:c r="L88" s="13">
        <x:v>3</x:v>
      </x:c>
    </x:row>
    <x:row r="89" spans="9:12" x14ac:dyDescent="0.15">
      <x:c r="I89" s="13">
        <x:v>113044</x:v>
      </x:c>
      <x:c r="J89" s="13">
        <x:v>113044</x:v>
      </x:c>
      <x:c r="K89" s="13" t="s">
        <x:v>107</x:v>
      </x:c>
      <x:c r="L89" s="13">
        <x:v>3</x:v>
      </x:c>
    </x:row>
    <x:row r="90" spans="9:12" x14ac:dyDescent="0.15">
      <x:c r="I90" s="13">
        <x:v>113045</x:v>
      </x:c>
      <x:c r="J90" s="13">
        <x:v>113045</x:v>
      </x:c>
      <x:c r="K90" s="13" t="s">
        <x:v>108</x:v>
      </x:c>
      <x:c r="L90" s="13">
        <x:v>3</x:v>
      </x:c>
    </x:row>
    <x:row r="91" spans="9:12" x14ac:dyDescent="0.15">
      <x:c r="I91" s="13">
        <x:v>113046</x:v>
      </x:c>
      <x:c r="J91" s="13">
        <x:v>113046</x:v>
      </x:c>
      <x:c r="K91" s="13" t="s">
        <x:v>109</x:v>
      </x:c>
      <x:c r="L91" s="13">
        <x:v>3</x:v>
      </x:c>
    </x:row>
    <x:row r="92" spans="9:12" x14ac:dyDescent="0.15">
      <x:c r="I92" s="13">
        <x:v>113047</x:v>
      </x:c>
      <x:c r="J92" s="13">
        <x:v>113047</x:v>
      </x:c>
      <x:c r="K92" s="13" t="s">
        <x:v>110</x:v>
      </x:c>
      <x:c r="L92" s="13">
        <x:v>3</x:v>
      </x:c>
    </x:row>
    <x:row r="93" spans="9:12" x14ac:dyDescent="0.15">
      <x:c r="I93" s="13">
        <x:v>113049</x:v>
      </x:c>
      <x:c r="J93" s="15">
        <x:v>113003</x:v>
      </x:c>
      <x:c r="K93" s="13" t="s">
        <x:v>111</x:v>
      </x:c>
      <x:c r="L93" s="13">
        <x:v>3</x:v>
      </x:c>
    </x:row>
    <x:row r="94" spans="9:12" x14ac:dyDescent="0.15">
      <x:c r="I94" s="13">
        <x:v>113050</x:v>
      </x:c>
      <x:c r="J94" s="15">
        <x:v>113009</x:v>
      </x:c>
      <x:c r="K94" s="13" t="s">
        <x:v>112</x:v>
      </x:c>
      <x:c r="L94" s="13">
        <x:v>3</x:v>
      </x:c>
    </x:row>
    <x:row r="95" spans="9:12" x14ac:dyDescent="0.15">
      <x:c r="I95" s="13">
        <x:v>113051</x:v>
      </x:c>
      <x:c r="J95" s="13">
        <x:v>113051</x:v>
      </x:c>
      <x:c r="K95" s="13" t="s">
        <x:v>113</x:v>
      </x:c>
      <x:c r="L95" s="13">
        <x:v>3</x:v>
      </x:c>
    </x:row>
    <x:row r="96" spans="9:12" x14ac:dyDescent="0.15">
      <x:c r="I96" s="13">
        <x:v>113052</x:v>
      </x:c>
      <x:c r="J96" s="12">
        <x:v>113011</x:v>
      </x:c>
      <x:c r="K96" s="13" t="s">
        <x:v>114</x:v>
      </x:c>
      <x:c r="L96" s="13">
        <x:v>3</x:v>
      </x:c>
    </x:row>
    <x:row r="97" spans="9:12" x14ac:dyDescent="0.15">
      <x:c r="I97" s="13">
        <x:v>113053</x:v>
      </x:c>
      <x:c r="J97" s="12">
        <x:v>113013</x:v>
      </x:c>
      <x:c r="K97" s="13" t="s">
        <x:v>115</x:v>
      </x:c>
      <x:c r="L97" s="13">
        <x:v>3</x:v>
      </x:c>
    </x:row>
    <x:row r="98" spans="9:12" x14ac:dyDescent="0.15">
      <x:c r="I98" s="13">
        <x:v>113054</x:v>
      </x:c>
      <x:c r="J98" s="13">
        <x:v>113054</x:v>
      </x:c>
      <x:c r="K98" s="13" t="s">
        <x:v>116</x:v>
      </x:c>
      <x:c r="L98" s="13">
        <x:v>3</x:v>
      </x:c>
    </x:row>
    <x:row r="99" spans="9:12" x14ac:dyDescent="0.15">
      <x:c r="I99" s="13">
        <x:v>113055</x:v>
      </x:c>
      <x:c r="J99" s="13">
        <x:v>113022</x:v>
      </x:c>
      <x:c r="K99" s="13" t="s">
        <x:v>117</x:v>
      </x:c>
      <x:c r="L99" s="13">
        <x:v>3</x:v>
      </x:c>
    </x:row>
    <x:row r="100" spans="9:12" x14ac:dyDescent="0.15">
      <x:c r="I100" s="13">
        <x:v>113056</x:v>
      </x:c>
      <x:c r="J100" s="13">
        <x:v>113010</x:v>
      </x:c>
      <x:c r="K100" s="13" t="s">
        <x:v>118</x:v>
      </x:c>
      <x:c r="L100" s="13">
        <x:v>3</x:v>
      </x:c>
    </x:row>
    <x:row r="101" spans="9:12" x14ac:dyDescent="0.15">
      <x:c r="I101" s="13">
        <x:v>113057</x:v>
      </x:c>
      <x:c r="J101" s="12">
        <x:v>113057</x:v>
      </x:c>
      <x:c r="K101" s="13" t="s">
        <x:v>119</x:v>
      </x:c>
      <x:c r="L101" s="13">
        <x:v>3</x:v>
      </x:c>
    </x:row>
    <x:row r="102" spans="9:12" x14ac:dyDescent="0.15">
      <x:c r="I102" s="13">
        <x:v>113058</x:v>
      </x:c>
      <x:c r="J102" s="12">
        <x:v>113058</x:v>
      </x:c>
      <x:c r="K102" s="13" t="s">
        <x:v>120</x:v>
      </x:c>
      <x:c r="L102" s="13">
        <x:v>3</x:v>
      </x:c>
    </x:row>
    <x:row r="103" spans="9:12" x14ac:dyDescent="0.15">
      <x:c r="I103" s="13">
        <x:v>113059</x:v>
      </x:c>
      <x:c r="J103" s="12">
        <x:v>113059</x:v>
      </x:c>
      <x:c r="K103" s="16" t="s">
        <x:v>121</x:v>
      </x:c>
      <x:c r="L103" s="13">
        <x:v>3</x:v>
      </x:c>
    </x:row>
    <x:row r="104" spans="9:12" x14ac:dyDescent="0.15">
      <x:c r="I104" s="13">
        <x:v>113060</x:v>
      </x:c>
      <x:c r="J104" s="12">
        <x:v>113016</x:v>
      </x:c>
      <x:c r="K104" s="16" t="s">
        <x:v>122</x:v>
      </x:c>
      <x:c r="L104" s="13">
        <x:v>3</x:v>
      </x:c>
    </x:row>
    <x:row r="105" spans="9:12" x14ac:dyDescent="0.15">
      <x:c r="I105" s="13">
        <x:v>113061</x:v>
      </x:c>
      <x:c r="J105" s="12">
        <x:v>113061</x:v>
      </x:c>
      <x:c r="K105" s="16" t="s">
        <x:v>123</x:v>
      </x:c>
      <x:c r="L105" s="13">
        <x:v>3</x:v>
      </x:c>
    </x:row>
    <x:row r="106" spans="9:12" x14ac:dyDescent="0.15">
      <x:c r="I106" s="13">
        <x:v>113062</x:v>
      </x:c>
      <x:c r="J106" s="12">
        <x:v>113062</x:v>
      </x:c>
      <x:c r="K106" s="16" t="s">
        <x:v>124</x:v>
      </x:c>
      <x:c r="L106" s="13">
        <x:v>3</x:v>
      </x:c>
    </x:row>
    <x:row r="107" spans="9:12" x14ac:dyDescent="0.15">
      <x:c r="I107" s="13">
        <x:v>113063</x:v>
      </x:c>
      <x:c r="J107" s="12">
        <x:v>113063</x:v>
      </x:c>
      <x:c r="K107" s="16" t="s">
        <x:v>64</x:v>
      </x:c>
      <x:c r="L107" s="13">
        <x:v>3</x:v>
      </x:c>
    </x:row>
    <x:row r="108" spans="9:12" x14ac:dyDescent="0.15">
      <x:c r="I108" s="13">
        <x:v>113064</x:v>
      </x:c>
      <x:c r="J108" s="12">
        <x:v>113021</x:v>
      </x:c>
      <x:c r="K108" s="16" t="s">
        <x:v>125</x:v>
      </x:c>
      <x:c r="L108" s="13">
        <x:v>3</x:v>
      </x:c>
    </x:row>
    <x:row r="109" spans="9:12" x14ac:dyDescent="0.15">
      <x:c r="I109" s="15">
        <x:v>113065</x:v>
      </x:c>
      <x:c r="J109" s="17">
        <x:v>112025</x:v>
      </x:c>
      <x:c r="K109" s="18" t="s">
        <x:v>126</x:v>
      </x:c>
      <x:c r="L109" s="15">
        <x:v>3</x:v>
      </x:c>
    </x:row>
    <x:row r="110" spans="9:12" x14ac:dyDescent="0.15">
      <x:c r="I110" s="15">
        <x:v>113066</x:v>
      </x:c>
      <x:c r="J110" s="17">
        <x:v>113004</x:v>
      </x:c>
      <x:c r="K110" s="17" t="s">
        <x:v>127</x:v>
      </x:c>
      <x:c r="L110" s="15">
        <x:v>3</x:v>
      </x:c>
    </x:row>
    <x:row r="111" spans="9:12" x14ac:dyDescent="0.15">
      <x:c r="I111" s="15">
        <x:v>113067</x:v>
      </x:c>
      <x:c r="J111" s="17">
        <x:v>113027</x:v>
      </x:c>
      <x:c r="K111" s="17" t="s">
        <x:v>128</x:v>
      </x:c>
      <x:c r="L111" s="15">
        <x:v>3</x:v>
      </x:c>
    </x:row>
    <x:row r="112" spans="9:12" x14ac:dyDescent="0.15">
      <x:c r="I112" s="15">
        <x:v>113068</x:v>
      </x:c>
      <x:c r="J112" s="17">
        <x:v>113068</x:v>
      </x:c>
      <x:c r="K112" s="17" t="s">
        <x:v>129</x:v>
      </x:c>
      <x:c r="L112" s="15">
        <x:v>3</x:v>
      </x:c>
    </x:row>
    <x:row r="113" spans="9:12" x14ac:dyDescent="0.15">
      <x:c r="I113" s="15">
        <x:v>113069</x:v>
      </x:c>
      <x:c r="J113" s="17">
        <x:v>113069</x:v>
      </x:c>
      <x:c r="K113" s="17" t="s">
        <x:v>130</x:v>
      </x:c>
      <x:c r="L113" s="15">
        <x:v>3</x:v>
      </x:c>
    </x:row>
    <x:row r="114" spans="9:12" x14ac:dyDescent="0.15">
      <x:c r="I114" s="15">
        <x:v>113070</x:v>
      </x:c>
      <x:c r="J114" s="17">
        <x:v>113070</x:v>
      </x:c>
      <x:c r="K114" s="17" t="s">
        <x:v>131</x:v>
      </x:c>
      <x:c r="L114" s="15">
        <x:v>3</x:v>
      </x:c>
    </x:row>
    <x:row r="115" spans="9:12" x14ac:dyDescent="0.15">
      <x:c r="I115" s="15">
        <x:v>113071</x:v>
      </x:c>
      <x:c r="J115" s="17">
        <x:v>113071</x:v>
      </x:c>
      <x:c r="K115" s="17" t="s">
        <x:v>132</x:v>
      </x:c>
      <x:c r="L115" s="15">
        <x:v>3</x:v>
      </x:c>
    </x:row>
    <x:row r="116" spans="9:12" x14ac:dyDescent="0.15">
      <x:c r="I116" s="15">
        <x:v>113072</x:v>
      </x:c>
      <x:c r="J116" s="17">
        <x:v>113072</x:v>
      </x:c>
      <x:c r="K116" s="17" t="s">
        <x:v>133</x:v>
      </x:c>
      <x:c r="L116" s="15">
        <x:v>3</x:v>
      </x:c>
    </x:row>
    <x:row r="117" spans="9:12" x14ac:dyDescent="0.15">
      <x:c r="I117" s="15">
        <x:v>113073</x:v>
      </x:c>
      <x:c r="J117" s="17">
        <x:v>113073</x:v>
      </x:c>
      <x:c r="K117" s="15" t="s">
        <x:v>134</x:v>
      </x:c>
      <x:c r="L117" s="15">
        <x:v>3</x:v>
      </x:c>
    </x:row>
    <x:row r="118" spans="9:12" x14ac:dyDescent="0.15">
      <x:c r="I118" s="15">
        <x:v>113076</x:v>
      </x:c>
      <x:c r="J118" s="17">
        <x:v>113017</x:v>
      </x:c>
      <x:c r="K118" s="15" t="s">
        <x:v>135</x:v>
      </x:c>
      <x:c r="L118" s="15">
        <x:v>3</x:v>
      </x:c>
    </x:row>
    <x:row r="119" spans="9:12" x14ac:dyDescent="0.15">
      <x:c r="I119" s="15">
        <x:v>113077</x:v>
      </x:c>
      <x:c r="J119" s="15">
        <x:v>113047</x:v>
      </x:c>
      <x:c r="K119" s="15" t="s">
        <x:v>136</x:v>
      </x:c>
      <x:c r="L119" s="15">
        <x:v>4</x:v>
      </x:c>
    </x:row>
    <x:row r="120" spans="9:12" x14ac:dyDescent="0.15">
      <x:c r="I120" s="15">
        <x:v>113078</x:v>
      </x:c>
      <x:c r="J120" s="15">
        <x:v>113078</x:v>
      </x:c>
      <x:c r="K120" s="15" t="s">
        <x:v>137</x:v>
      </x:c>
      <x:c r="L120" s="15">
        <x:v>3</x:v>
      </x:c>
    </x:row>
    <x:row r="121" spans="9:12" x14ac:dyDescent="0.15">
      <x:c r="I121" s="15">
        <x:v>113079</x:v>
      </x:c>
      <x:c r="J121" s="15">
        <x:v>113079</x:v>
      </x:c>
      <x:c r="K121" s="15" t="s">
        <x:v>138</x:v>
      </x:c>
      <x:c r="L121" s="15">
        <x:v>3</x:v>
      </x:c>
    </x:row>
    <x:row r="122" spans="9:12" x14ac:dyDescent="0.15">
      <x:c r="I122" s="15">
        <x:v>113080</x:v>
      </x:c>
      <x:c r="J122" s="15">
        <x:v>113080</x:v>
      </x:c>
      <x:c r="K122" s="15" t="s">
        <x:v>139</x:v>
      </x:c>
      <x:c r="L122" s="15">
        <x:v>3</x:v>
      </x:c>
    </x:row>
    <x:row r="123" spans="9:12" x14ac:dyDescent="0.15">
      <x:c r="I123" s="15">
        <x:v>113081</x:v>
      </x:c>
      <x:c r="J123" s="15">
        <x:v>113081</x:v>
      </x:c>
      <x:c r="K123" s="15" t="s">
        <x:v>140</x:v>
      </x:c>
      <x:c r="L123" s="15">
        <x:v>3</x:v>
      </x:c>
    </x:row>
    <x:row r="124" spans="9:12" x14ac:dyDescent="0.15">
      <x:c r="I124" s="15">
        <x:v>113082</x:v>
      </x:c>
      <x:c r="J124" s="15">
        <x:v>113082</x:v>
      </x:c>
      <x:c r="K124" s="15" t="s">
        <x:v>141</x:v>
      </x:c>
      <x:c r="L124" s="15">
        <x:v>3</x:v>
      </x:c>
    </x:row>
    <x:row r="125" spans="9:12" x14ac:dyDescent="0.15">
      <x:c r="I125" s="15">
        <x:v>113083</x:v>
      </x:c>
      <x:c r="J125" s="15">
        <x:v>113083</x:v>
      </x:c>
      <x:c r="K125" s="15" t="s">
        <x:v>142</x:v>
      </x:c>
      <x:c r="L125" s="15">
        <x:v>3</x:v>
      </x:c>
    </x:row>
    <x:row r="126" spans="9:12" x14ac:dyDescent="0.15">
      <x:c r="I126" s="15">
        <x:v>113084</x:v>
      </x:c>
      <x:c r="J126" s="15">
        <x:v>113084</x:v>
      </x:c>
      <x:c r="K126" s="15" t="s">
        <x:v>143</x:v>
      </x:c>
      <x:c r="L126" s="15">
        <x:v>3</x:v>
      </x:c>
    </x:row>
    <x:row r="127" spans="9:12" ht="14.25" x14ac:dyDescent="0.15">
      <x:c r="I127" s="15">
        <x:v>113085</x:v>
      </x:c>
      <x:c r="J127" s="15">
        <x:v>113085</x:v>
      </x:c>
      <x:c r="K127" s="19" t="s">
        <x:v>144</x:v>
      </x:c>
      <x:c r="L127" s="15">
        <x:v>3</x:v>
      </x:c>
    </x:row>
    <x:row r="128" spans="9:12" ht="14.25" x14ac:dyDescent="0.15">
      <x:c r="I128" s="15">
        <x:v>113086</x:v>
      </x:c>
      <x:c r="J128" s="15">
        <x:v>113015</x:v>
      </x:c>
      <x:c r="K128" s="19" t="s">
        <x:v>145</x:v>
      </x:c>
      <x:c r="L128" s="15">
        <x:v>3</x:v>
      </x:c>
    </x:row>
    <x:row r="129" spans="9:12" ht="14.25" x14ac:dyDescent="0.15">
      <x:c r="I129" s="15">
        <x:v>113087</x:v>
      </x:c>
      <x:c r="J129" s="17">
        <x:v>113014</x:v>
      </x:c>
      <x:c r="K129" s="19" t="s">
        <x:v>146</x:v>
      </x:c>
      <x:c r="L129" s="15">
        <x:v>3</x:v>
      </x:c>
    </x:row>
    <x:row r="130" spans="9:12" ht="14.25" x14ac:dyDescent="0.15">
      <x:c r="I130" s="20">
        <x:v>113088</x:v>
      </x:c>
      <x:c r="J130" s="21">
        <x:v>113044</x:v>
      </x:c>
      <x:c r="K130" s="22" t="s">
        <x:v>147</x:v>
      </x:c>
      <x:c r="L130" s="20">
        <x:v>4</x:v>
      </x:c>
    </x:row>
    <x:row r="131" spans="9:12" ht="14.25" x14ac:dyDescent="0.15">
      <x:c r="I131" s="23">
        <x:v>113089</x:v>
      </x:c>
      <x:c r="J131" s="23">
        <x:v>121309</x:v>
      </x:c>
      <x:c r="K131" s="24" t="s">
        <x:v>148</x:v>
      </x:c>
      <x:c r="L131" s="25">
        <x:v>3</x:v>
      </x:c>
    </x:row>
  </x:sheetData>
  <x:phoneticPr fontId="5" type="noConversion"/>
  <x:conditionalFormatting sqref="I37">
    <x:cfRule type="duplicateValues" dxfId="56" priority="52"/>
  </x:conditionalFormatting>
  <x:conditionalFormatting sqref="I38">
    <x:cfRule type="duplicateValues" dxfId="55" priority="47"/>
  </x:conditionalFormatting>
  <x:conditionalFormatting sqref="I40 I19:I25 I27:I36">
    <x:cfRule type="duplicateValues" dxfId="54" priority="54"/>
  </x:conditionalFormatting>
  <x:conditionalFormatting sqref="I43:I45">
    <x:cfRule type="duplicateValues" dxfId="53" priority="40"/>
  </x:conditionalFormatting>
  <x:conditionalFormatting sqref="I46 I18 J1 I1:I11">
    <x:cfRule type="duplicateValues" dxfId="52" priority="57"/>
  </x:conditionalFormatting>
  <x:conditionalFormatting sqref="I47:I49 I58 I51 I53:I56 I60 I62">
    <x:cfRule type="duplicateValues" dxfId="51" priority="48"/>
  </x:conditionalFormatting>
  <x:conditionalFormatting sqref="I50">
    <x:cfRule type="duplicateValues" dxfId="50" priority="45"/>
  </x:conditionalFormatting>
  <x:conditionalFormatting sqref="I52">
    <x:cfRule type="duplicateValues" dxfId="49" priority="46"/>
  </x:conditionalFormatting>
  <x:conditionalFormatting sqref="I57 I59">
    <x:cfRule type="duplicateValues" dxfId="48" priority="44"/>
  </x:conditionalFormatting>
  <x:conditionalFormatting sqref="I61">
    <x:cfRule type="duplicateValues" dxfId="47" priority="43"/>
  </x:conditionalFormatting>
  <x:conditionalFormatting sqref="I63">
    <x:cfRule type="duplicateValues" dxfId="46" priority="41"/>
  </x:conditionalFormatting>
  <x:conditionalFormatting sqref="I64:I65">
    <x:cfRule type="duplicateValues" dxfId="45" priority="42"/>
  </x:conditionalFormatting>
  <x:conditionalFormatting sqref="I66">
    <x:cfRule type="duplicateValues" dxfId="44" priority="37"/>
  </x:conditionalFormatting>
  <x:conditionalFormatting sqref="I67:I68">
    <x:cfRule type="duplicateValues" dxfId="43" priority="39"/>
  </x:conditionalFormatting>
  <x:conditionalFormatting sqref="I69:I73 I75">
    <x:cfRule type="duplicateValues" dxfId="42" priority="38"/>
  </x:conditionalFormatting>
  <x:conditionalFormatting sqref="I74">
    <x:cfRule type="duplicateValues" dxfId="41" priority="22"/>
    <x:cfRule type="duplicateValues" dxfId="40" priority="23"/>
  </x:conditionalFormatting>
  <x:conditionalFormatting sqref="I75 I1:I73">
    <x:cfRule type="duplicateValues" dxfId="39" priority="55"/>
  </x:conditionalFormatting>
  <x:conditionalFormatting sqref="I76:I85">
    <x:cfRule type="duplicateValues" dxfId="38" priority="20"/>
    <x:cfRule type="duplicateValues" dxfId="37" priority="21"/>
  </x:conditionalFormatting>
  <x:conditionalFormatting sqref="J37">
    <x:cfRule type="duplicateValues" dxfId="36" priority="51"/>
  </x:conditionalFormatting>
  <x:conditionalFormatting sqref="J38">
    <x:cfRule type="duplicateValues" dxfId="35" priority="35"/>
  </x:conditionalFormatting>
  <x:conditionalFormatting sqref="J40 J19:J25 J27:J36">
    <x:cfRule type="duplicateValues" dxfId="34" priority="53"/>
  </x:conditionalFormatting>
  <x:conditionalFormatting sqref="J43:J45">
    <x:cfRule type="duplicateValues" dxfId="33" priority="28"/>
  </x:conditionalFormatting>
  <x:conditionalFormatting sqref="J46 J18 J2:J11">
    <x:cfRule type="duplicateValues" dxfId="32" priority="56"/>
  </x:conditionalFormatting>
  <x:conditionalFormatting sqref="J47:J49 J58 J51 J53:J56 J60 J62">
    <x:cfRule type="duplicateValues" dxfId="31" priority="36"/>
  </x:conditionalFormatting>
  <x:conditionalFormatting sqref="J50">
    <x:cfRule type="duplicateValues" dxfId="30" priority="33"/>
  </x:conditionalFormatting>
  <x:conditionalFormatting sqref="J52">
    <x:cfRule type="duplicateValues" dxfId="29" priority="34"/>
  </x:conditionalFormatting>
  <x:conditionalFormatting sqref="J57 J59">
    <x:cfRule type="duplicateValues" dxfId="28" priority="32"/>
  </x:conditionalFormatting>
  <x:conditionalFormatting sqref="J61">
    <x:cfRule type="duplicateValues" dxfId="27" priority="31"/>
  </x:conditionalFormatting>
  <x:conditionalFormatting sqref="J63">
    <x:cfRule type="duplicateValues" dxfId="26" priority="29"/>
  </x:conditionalFormatting>
  <x:conditionalFormatting sqref="J64:J65">
    <x:cfRule type="duplicateValues" dxfId="25" priority="30"/>
  </x:conditionalFormatting>
  <x:conditionalFormatting sqref="J66">
    <x:cfRule type="duplicateValues" dxfId="24" priority="25"/>
  </x:conditionalFormatting>
  <x:conditionalFormatting sqref="J67:J68">
    <x:cfRule type="duplicateValues" dxfId="23" priority="27"/>
  </x:conditionalFormatting>
  <x:conditionalFormatting sqref="J69 J72">
    <x:cfRule type="duplicateValues" dxfId="22" priority="26"/>
  </x:conditionalFormatting>
  <x:conditionalFormatting sqref="J70">
    <x:cfRule type="duplicateValues" dxfId="21" priority="9"/>
    <x:cfRule type="duplicateValues" dxfId="20" priority="8"/>
  </x:conditionalFormatting>
  <x:conditionalFormatting sqref="J71">
    <x:cfRule type="duplicateValues" dxfId="19" priority="11"/>
    <x:cfRule type="duplicateValues" dxfId="18" priority="10"/>
  </x:conditionalFormatting>
  <x:conditionalFormatting sqref="J73">
    <x:cfRule type="duplicateValues" dxfId="17" priority="13"/>
    <x:cfRule type="duplicateValues" dxfId="16" priority="12"/>
  </x:conditionalFormatting>
  <x:conditionalFormatting sqref="J74">
    <x:cfRule type="duplicateValues" dxfId="15" priority="15"/>
    <x:cfRule type="duplicateValues" dxfId="14" priority="14"/>
  </x:conditionalFormatting>
  <x:conditionalFormatting sqref="J75">
    <x:cfRule type="duplicateValues" dxfId="13" priority="24"/>
  </x:conditionalFormatting>
  <x:conditionalFormatting sqref="J76">
    <x:cfRule type="duplicateValues" dxfId="12" priority="19"/>
    <x:cfRule type="duplicateValues" dxfId="11" priority="18"/>
  </x:conditionalFormatting>
  <x:conditionalFormatting sqref="J77:J78">
    <x:cfRule type="duplicateValues" dxfId="10" priority="7"/>
    <x:cfRule type="duplicateValues" dxfId="9" priority="6"/>
  </x:conditionalFormatting>
  <x:conditionalFormatting sqref="J79:J85">
    <x:cfRule type="duplicateValues" dxfId="8" priority="16"/>
    <x:cfRule type="duplicateValues" dxfId="7" priority="17"/>
  </x:conditionalFormatting>
  <x:conditionalFormatting sqref="J96">
    <x:cfRule type="duplicateValues" dxfId="6" priority="5"/>
  </x:conditionalFormatting>
  <x:conditionalFormatting sqref="J97">
    <x:cfRule type="duplicateValues" dxfId="5" priority="4"/>
  </x:conditionalFormatting>
  <x:conditionalFormatting sqref="J111:J117">
    <x:cfRule type="duplicateValues" dxfId="4" priority="58"/>
    <x:cfRule type="duplicateValues" dxfId="3" priority="59"/>
  </x:conditionalFormatting>
  <x:conditionalFormatting sqref="J115:J117">
    <x:cfRule type="duplicateValues" dxfId="2" priority="60"/>
    <x:cfRule type="duplicateValues" dxfId="1" priority="61"/>
  </x:conditionalFormatting>
  <x:conditionalFormatting sqref="J118">
    <x:cfRule type="duplicateValues" dxfId="0" priority="1"/>
  </x:conditionalFormatting>
  <x:pageMargins left="0.7" right="0.7" top="0.75" bottom="0.75" header="0.3" footer="0.3"/>
  <x:pageSetup paperSize="9" orientation="portrait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工作表</vt:lpstr>
      </vt:variant>
      <vt:variant>
        <vt:i4>2</vt:i4>
      </vt:variant>
    </vt:vector>
  </ap:HeadingPairs>
  <ap:TitlesOfParts>
    <vt:vector baseType="lpstr" size="2">
      <vt:lpstr>Sheet1</vt:lpstr>
      <vt:lpstr>制作表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created xsi:type="dcterms:W3CDTF">2023-05-12T11:15:00Z</dcterms:created>
  <dcterms:modified xsi:type="dcterms:W3CDTF">2023-12-22T09:52:31Z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