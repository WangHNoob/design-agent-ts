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G:\op_new\data\excel\RoguePVE\"/>
    </mc:Choice>
  </mc:AlternateContent>
  <xr:revisionPtr revIDLastSave="0" documentId="13_ncr:1_{95060FFC-E45A-4687-A460-9A14901AB57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属性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 a="1"/>
  <c r="D8" i="2"/>
  <c r="D7" i="2" a="1"/>
  <c r="D7" i="2"/>
  <c r="D6" i="2" a="1"/>
  <c r="D6" i="2"/>
  <c r="D5" i="2" a="1"/>
  <c r="D5" i="2"/>
  <c r="D4" i="2" a="1"/>
  <c r="D4" i="2"/>
  <c r="D3" i="2" a="1"/>
  <c r="D3" i="2"/>
  <c r="K24" i="1"/>
  <c r="K23" i="1"/>
  <c r="K22" i="1"/>
  <c r="K21" i="1"/>
  <c r="K20" i="1"/>
  <c r="K18" i="1"/>
  <c r="K17" i="1"/>
  <c r="K16" i="1"/>
  <c r="K15" i="1"/>
  <c r="K14" i="1"/>
  <c r="K12" i="1"/>
  <c r="K11" i="1"/>
  <c r="K10" i="1"/>
  <c r="K9" i="1"/>
  <c r="K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shanjinhu</author>
  </authors>
  <commentList>
    <comment ref="G2" authorId="0" shapeId="0" xr:uid="{9F4DC8AC-C718-4EA7-846A-4CE74FDDC6B5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解锁该等级增强的天数显示，上线未使用。</t>
        </r>
      </text>
    </comment>
    <comment ref="J2" authorId="1" shapeId="0" xr:uid="{00000000-0006-0000-0000-000001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该级增强解锁的技能。
使用 ; 分号划分多技能</t>
        </r>
      </text>
    </comment>
    <comment ref="K2" authorId="0" shapeId="0" xr:uid="{41E8BA81-834D-4610-81B3-E31ACC3A7C4F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到达该级增强，解锁的所有技能。分号;连接。</t>
        </r>
      </text>
    </comment>
    <comment ref="L2" authorId="0" shapeId="0" xr:uid="{0A44044F-3C0D-4058-8E29-2AD5419B9F75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对应RogueHero表的英雄ID</t>
        </r>
      </text>
    </comment>
    <comment ref="M2" authorId="0" shapeId="0" xr:uid="{B1094D56-D6B2-459B-9BFF-82CCAA57C53E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该级增强提升的属性。
属性枚举,属性值;属性枚举,属性值</t>
        </r>
      </text>
    </comment>
    <comment ref="O2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如果有技能，则显示图标和描述。如果没技能，则只显示描述。
</t>
        </r>
      </text>
    </comment>
    <comment ref="P2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shanjinhu:</t>
        </r>
        <r>
          <rPr>
            <sz val="9"/>
            <rFont val="宋体"/>
            <family val="3"/>
            <charset val="134"/>
          </rPr>
          <t xml:space="preserve">
下一级增强解锁的技能，用于客户端预览。
使用 ; 分号划分多技能</t>
        </r>
      </text>
    </comment>
  </commentList>
</comments>
</file>

<file path=xl/sharedStrings.xml><?xml version="1.0" encoding="utf-8"?>
<sst xmlns="http://schemas.openxmlformats.org/spreadsheetml/2006/main" count="186" uniqueCount="84">
  <si>
    <t>自增id</t>
  </si>
  <si>
    <t>天赋ID</t>
  </si>
  <si>
    <t>lv等级</t>
  </si>
  <si>
    <t>图标</t>
  </si>
  <si>
    <t>名称</t>
  </si>
  <si>
    <t>升级消耗</t>
  </si>
  <si>
    <t>解锁限制</t>
  </si>
  <si>
    <t>初始额外掉落</t>
  </si>
  <si>
    <t>BOSS额外掉落</t>
  </si>
  <si>
    <t>解锁技能</t>
  </si>
  <si>
    <t>解锁技能总(应该是个list)</t>
  </si>
  <si>
    <t>指定英雄</t>
  </si>
  <si>
    <t>属性值</t>
  </si>
  <si>
    <t>描述</t>
  </si>
  <si>
    <t>升级描述</t>
  </si>
  <si>
    <t>id</t>
  </si>
  <si>
    <t>tId</t>
  </si>
  <si>
    <t>lv</t>
  </si>
  <si>
    <t>Icon</t>
  </si>
  <si>
    <t>name</t>
  </si>
  <si>
    <t>expend</t>
  </si>
  <si>
    <t>unlockDay</t>
  </si>
  <si>
    <t>initialExDrop</t>
  </si>
  <si>
    <t>bossExDrop</t>
  </si>
  <si>
    <t>unlockSkillId</t>
  </si>
  <si>
    <t>unlockSkillIds</t>
  </si>
  <si>
    <t>heroId</t>
  </si>
  <si>
    <t>property</t>
  </si>
  <si>
    <t>info</t>
  </si>
  <si>
    <t>lvUpInfo</t>
  </si>
  <si>
    <t>lvUpShowSkill</t>
  </si>
  <si>
    <t>int</t>
  </si>
  <si>
    <t>string</t>
  </si>
  <si>
    <t>primary</t>
  </si>
  <si>
    <t>none</t>
  </si>
  <si>
    <t>hero_2d_3080</t>
  </si>
  <si>
    <t>基拉·增强</t>
  </si>
  <si>
    <t>20005,0,0</t>
  </si>
  <si>
    <t>2,0;1,0;3,0</t>
  </si>
  <si>
    <t>初始无增强效果</t>
  </si>
  <si>
    <t>下一级效果：\n提升属性，解锁技能弹反</t>
  </si>
  <si>
    <t>20005,0,100</t>
  </si>
  <si>
    <t>2,400;1,50;3,10</t>
  </si>
  <si>
    <t>提升属性，解锁技能弹反</t>
  </si>
  <si>
    <t>下一级效果：\n提升属性，解锁技能震慑</t>
  </si>
  <si>
    <t>20005,0,150</t>
  </si>
  <si>
    <t>2,1000;1,125;3,25</t>
  </si>
  <si>
    <t>提升属性，解锁技能震慑</t>
  </si>
  <si>
    <t>下一级效果：\n提升属性，初始增加一次技能选择，解锁技能愈强</t>
  </si>
  <si>
    <t>20005,0,250</t>
  </si>
  <si>
    <t>2,1900;1,240;3,50</t>
  </si>
  <si>
    <t>提升属性，初始增加一次技能选择，解锁技能愈强</t>
  </si>
  <si>
    <t>下一级效果：\n提升属性，解锁技能决断</t>
  </si>
  <si>
    <t>2,3250;1,410;3,85</t>
  </si>
  <si>
    <t>提升属性，解锁技能决断</t>
  </si>
  <si>
    <t>下一级效果：\n提升属性，解锁技能坚韧</t>
  </si>
  <si>
    <t>2,5275;1,660;3,135</t>
  </si>
  <si>
    <t>提升属性，解锁技能坚韧</t>
  </si>
  <si>
    <t>已满级，无法再增强</t>
  </si>
  <si>
    <t>hero_2d_3081</t>
  </si>
  <si>
    <t>新世界基德·增强</t>
  </si>
  <si>
    <t>下一级效果：\n提升属性，解锁技能暴击</t>
  </si>
  <si>
    <t>提升属性，解锁技能暴击</t>
  </si>
  <si>
    <t>下一级效果：\n提升属性，解锁技能召唤</t>
  </si>
  <si>
    <t>提升属性，解锁技能召唤</t>
  </si>
  <si>
    <t>下一级效果：\n提升属性，初始增加一次技能选择，解锁技能积攒</t>
  </si>
  <si>
    <t>提升属性，初始增加一次技能选择，解锁技能积攒</t>
  </si>
  <si>
    <t>下一级效果：\n提升属性，解锁技能强化</t>
  </si>
  <si>
    <t>提升属性，解锁技能强化</t>
  </si>
  <si>
    <t>下一级效果：\n提升属性，解锁技能收集</t>
  </si>
  <si>
    <t>提升属性，解锁技能收集</t>
  </si>
  <si>
    <t>hero_2d_3082</t>
  </si>
  <si>
    <t>和之国罗·增强</t>
  </si>
  <si>
    <t>下一级效果：\n提升属性，解锁技能医疗</t>
  </si>
  <si>
    <t>提升属性，解锁技能医疗</t>
  </si>
  <si>
    <t>下一级效果：\n提升属性，解锁技能牺牲</t>
  </si>
  <si>
    <t>提升属性，解锁技能牺牲</t>
  </si>
  <si>
    <t>下一级效果：\n提升属性，初始增加一次技能选择，解锁技能重生</t>
  </si>
  <si>
    <t>提升属性，初始增加一次技能选择，解锁技能重生</t>
  </si>
  <si>
    <t>下一级效果：\n提升属性，解锁技能手术</t>
  </si>
  <si>
    <t>提升属性，解锁技能手术</t>
  </si>
  <si>
    <t>血</t>
  </si>
  <si>
    <t>攻</t>
  </si>
  <si>
    <t>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</si>
</sst>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4"/>
  <sheetViews>
    <sheetView tabSelected="1" workbookViewId="0">
      <selection activeCell="M32" sqref="M32"/>
    </sheetView>
  </sheetViews>
  <sheetFormatPr defaultColWidth="9" defaultRowHeight="13.5" x14ac:dyDescent="0.15"/>
  <cols>
    <col min="1" max="1" width="9" style="1"/>
    <col min="2" max="2" width="17.5" style="1" customWidth="1"/>
    <col min="3" max="3" width="9" style="1"/>
    <col min="4" max="4" width="13.75" style="1" customWidth="1"/>
    <col min="5" max="5" width="14.75" style="1" customWidth="1"/>
    <col min="6" max="6" width="12.625" style="1" customWidth="1"/>
    <col min="7" max="7" width="9" style="1"/>
    <col min="8" max="8" width="14.875" style="1" customWidth="1"/>
    <col min="9" max="9" width="13.25" style="1" customWidth="1"/>
    <col min="10" max="10" width="15.25" style="1" customWidth="1"/>
    <col min="11" max="11" width="38.25" style="1" customWidth="1"/>
    <col min="12" max="12" width="8.875" style="1" customWidth="1"/>
    <col min="13" max="13" width="26" style="1" customWidth="1"/>
    <col min="14" max="14" width="32.875" style="1" customWidth="1"/>
    <col min="15" max="15" width="33.625" style="1" customWidth="1"/>
    <col min="16" max="16" width="15.25" style="1" customWidth="1"/>
    <col min="17" max="16384" width="9" style="1"/>
  </cols>
  <sheetData>
    <row r="1" spans="1:16" x14ac:dyDescent="0.15">
      <c r="A1" s="1">
        <v>7</v>
      </c>
      <c r="B1" s="1">
        <v>1</v>
      </c>
      <c r="C1" s="1">
        <v>9999</v>
      </c>
      <c r="D1">
        <v>21</v>
      </c>
    </row>
    <row r="2" spans="1:16" x14ac:dyDescent="0.1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t="s">
        <v>14</v>
      </c>
      <c r="P2" s="1" t="s">
        <v>9</v>
      </c>
    </row>
    <row r="3" spans="1:16" x14ac:dyDescent="0.1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3" t="s">
        <v>27</v>
      </c>
      <c r="N3" s="1" t="s">
        <v>28</v>
      </c>
      <c r="O3" s="1" t="s">
        <v>29</v>
      </c>
      <c r="P3" s="1" t="s">
        <v>30</v>
      </c>
    </row>
    <row r="4" spans="1:16" x14ac:dyDescent="0.15">
      <c r="A4" s="1" t="s">
        <v>31</v>
      </c>
      <c r="B4" s="1" t="s">
        <v>31</v>
      </c>
      <c r="C4" s="1" t="s">
        <v>31</v>
      </c>
      <c r="D4" s="1" t="s">
        <v>32</v>
      </c>
      <c r="E4" s="1" t="s">
        <v>32</v>
      </c>
      <c r="F4" s="1" t="s">
        <v>32</v>
      </c>
      <c r="G4" s="1" t="s">
        <v>31</v>
      </c>
      <c r="H4" s="1" t="s">
        <v>31</v>
      </c>
      <c r="I4" s="1" t="s">
        <v>31</v>
      </c>
      <c r="J4" s="1" t="s">
        <v>32</v>
      </c>
      <c r="K4" s="1" t="s">
        <v>32</v>
      </c>
      <c r="L4" s="1" t="s">
        <v>31</v>
      </c>
      <c r="M4" s="1" t="s">
        <v>32</v>
      </c>
      <c r="N4" s="1" t="s">
        <v>32</v>
      </c>
      <c r="O4" s="1" t="s">
        <v>32</v>
      </c>
      <c r="P4" s="1" t="s">
        <v>32</v>
      </c>
    </row>
    <row r="5" spans="1:16" x14ac:dyDescent="0.15">
      <c r="A5" s="1" t="s">
        <v>33</v>
      </c>
      <c r="B5" s="1" t="s">
        <v>34</v>
      </c>
      <c r="C5" s="1" t="s">
        <v>34</v>
      </c>
      <c r="D5" s="1" t="s">
        <v>34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34</v>
      </c>
    </row>
    <row r="6" spans="1:16" x14ac:dyDescent="0.15">
      <c r="A6" s="1" t="s">
        <v>15</v>
      </c>
      <c r="B6" s="1" t="s">
        <v>16</v>
      </c>
      <c r="C6" s="1" t="s">
        <v>17</v>
      </c>
      <c r="F6" s="1" t="s">
        <v>20</v>
      </c>
      <c r="G6" s="1" t="s">
        <v>21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3" t="s">
        <v>27</v>
      </c>
    </row>
    <row r="7" spans="1:16" x14ac:dyDescent="0.15">
      <c r="A7" s="2">
        <v>1</v>
      </c>
      <c r="B7" s="2">
        <v>1</v>
      </c>
      <c r="C7" s="2">
        <v>0</v>
      </c>
      <c r="D7" s="1" t="s">
        <v>35</v>
      </c>
      <c r="E7" s="1" t="s">
        <v>36</v>
      </c>
      <c r="F7" s="1" t="s">
        <v>37</v>
      </c>
      <c r="G7" s="2">
        <v>0</v>
      </c>
      <c r="H7" s="2">
        <v>0</v>
      </c>
      <c r="I7" s="2">
        <v>0</v>
      </c>
      <c r="L7" s="2">
        <v>1113085</v>
      </c>
      <c r="M7" s="4" t="s">
        <v>38</v>
      </c>
      <c r="N7" s="4" t="s">
        <v>39</v>
      </c>
      <c r="O7" s="5" t="s">
        <v>40</v>
      </c>
      <c r="P7" s="2">
        <v>740240</v>
      </c>
    </row>
    <row r="8" spans="1:16" x14ac:dyDescent="0.15">
      <c r="A8" s="2">
        <v>2</v>
      </c>
      <c r="B8" s="2">
        <v>1</v>
      </c>
      <c r="C8" s="2">
        <v>1</v>
      </c>
      <c r="D8" s="1" t="s">
        <v>35</v>
      </c>
      <c r="E8" s="1" t="s">
        <v>36</v>
      </c>
      <c r="F8" s="1" t="s">
        <v>41</v>
      </c>
      <c r="G8" s="2">
        <v>0</v>
      </c>
      <c r="H8" s="2">
        <v>0</v>
      </c>
      <c r="I8" s="2">
        <v>0</v>
      </c>
      <c r="J8" s="2">
        <v>740240</v>
      </c>
      <c r="K8" s="2" t="str">
        <f>_xlfn.TEXTJOIN(";",1,J$8:J8)</f>
        <v>740240</v>
      </c>
      <c r="L8" s="2">
        <v>1113085</v>
      </c>
      <c r="M8" s="4" t="s">
        <v>42</v>
      </c>
      <c r="N8" s="4" t="s">
        <v>43</v>
      </c>
      <c r="O8" s="5" t="s">
        <v>44</v>
      </c>
      <c r="P8" s="2">
        <v>740241</v>
      </c>
    </row>
    <row r="9" spans="1:16" x14ac:dyDescent="0.15">
      <c r="A9" s="2">
        <v>3</v>
      </c>
      <c r="B9" s="2">
        <v>1</v>
      </c>
      <c r="C9" s="2">
        <v>2</v>
      </c>
      <c r="D9" s="1" t="s">
        <v>35</v>
      </c>
      <c r="E9" s="1" t="s">
        <v>36</v>
      </c>
      <c r="F9" s="1" t="s">
        <v>45</v>
      </c>
      <c r="G9" s="2">
        <v>0</v>
      </c>
      <c r="H9" s="2">
        <v>0</v>
      </c>
      <c r="I9" s="2">
        <v>0</v>
      </c>
      <c r="J9" s="2">
        <v>740241</v>
      </c>
      <c r="K9" s="2" t="str">
        <f>_xlfn.TEXTJOIN(";",1,J$8:J9)</f>
        <v>740240;740241</v>
      </c>
      <c r="L9" s="2">
        <v>1113085</v>
      </c>
      <c r="M9" s="4" t="s">
        <v>46</v>
      </c>
      <c r="N9" s="4" t="s">
        <v>47</v>
      </c>
      <c r="O9" s="5" t="s">
        <v>48</v>
      </c>
      <c r="P9" s="2">
        <v>740242</v>
      </c>
    </row>
    <row r="10" spans="1:16" x14ac:dyDescent="0.15">
      <c r="A10" s="2">
        <v>4</v>
      </c>
      <c r="B10" s="2">
        <v>1</v>
      </c>
      <c r="C10" s="2">
        <v>3</v>
      </c>
      <c r="D10" s="1" t="s">
        <v>35</v>
      </c>
      <c r="E10" s="1" t="s">
        <v>36</v>
      </c>
      <c r="F10" s="1" t="s">
        <v>49</v>
      </c>
      <c r="G10" s="2">
        <v>0</v>
      </c>
      <c r="H10" s="2">
        <v>1</v>
      </c>
      <c r="I10" s="2">
        <v>0</v>
      </c>
      <c r="J10" s="2">
        <v>740242</v>
      </c>
      <c r="K10" s="2" t="str">
        <f>_xlfn.TEXTJOIN(";",1,J$8:J10)</f>
        <v>740240;740241;740242</v>
      </c>
      <c r="L10" s="2">
        <v>1113085</v>
      </c>
      <c r="M10" s="4" t="s">
        <v>50</v>
      </c>
      <c r="N10" s="4" t="s">
        <v>51</v>
      </c>
      <c r="O10" s="5" t="s">
        <v>52</v>
      </c>
      <c r="P10" s="2">
        <v>740243</v>
      </c>
    </row>
    <row r="11" spans="1:16" x14ac:dyDescent="0.15">
      <c r="A11" s="2">
        <v>5</v>
      </c>
      <c r="B11" s="2">
        <v>1</v>
      </c>
      <c r="C11" s="2">
        <v>4</v>
      </c>
      <c r="D11" s="1" t="s">
        <v>35</v>
      </c>
      <c r="E11" s="1" t="s">
        <v>36</v>
      </c>
      <c r="F11" s="1" t="s">
        <v>49</v>
      </c>
      <c r="G11" s="2">
        <v>0</v>
      </c>
      <c r="H11" s="2">
        <v>1</v>
      </c>
      <c r="I11" s="2">
        <v>0</v>
      </c>
      <c r="J11" s="2">
        <v>740243</v>
      </c>
      <c r="K11" s="2" t="str">
        <f>_xlfn.TEXTJOIN(";",1,J$8:J11)</f>
        <v>740240;740241;740242;740243</v>
      </c>
      <c r="L11" s="2">
        <v>1113085</v>
      </c>
      <c r="M11" s="4" t="s">
        <v>53</v>
      </c>
      <c r="N11" s="4" t="s">
        <v>54</v>
      </c>
      <c r="O11" s="5" t="s">
        <v>55</v>
      </c>
      <c r="P11" s="2">
        <v>740244</v>
      </c>
    </row>
    <row r="12" spans="1:16" x14ac:dyDescent="0.15">
      <c r="A12" s="2">
        <v>6</v>
      </c>
      <c r="B12" s="2">
        <v>1</v>
      </c>
      <c r="C12" s="2">
        <v>5</v>
      </c>
      <c r="D12" s="1" t="s">
        <v>35</v>
      </c>
      <c r="E12" s="1" t="s">
        <v>36</v>
      </c>
      <c r="F12" s="1" t="s">
        <v>49</v>
      </c>
      <c r="G12" s="2">
        <v>0</v>
      </c>
      <c r="H12" s="2">
        <v>1</v>
      </c>
      <c r="I12" s="2">
        <v>0</v>
      </c>
      <c r="J12" s="2">
        <v>740244</v>
      </c>
      <c r="K12" s="2" t="str">
        <f>_xlfn.TEXTJOIN(";",1,J$8:J12)</f>
        <v>740240;740241;740242;740243;740244</v>
      </c>
      <c r="L12" s="2">
        <v>1113085</v>
      </c>
      <c r="M12" s="4" t="s">
        <v>56</v>
      </c>
      <c r="N12" s="4" t="s">
        <v>57</v>
      </c>
      <c r="O12" s="4" t="s">
        <v>58</v>
      </c>
    </row>
    <row r="13" spans="1:16" x14ac:dyDescent="0.15">
      <c r="A13" s="2">
        <v>7</v>
      </c>
      <c r="B13" s="2">
        <v>2</v>
      </c>
      <c r="C13" s="2">
        <v>0</v>
      </c>
      <c r="D13" s="1" t="s">
        <v>59</v>
      </c>
      <c r="E13" s="1" t="s">
        <v>60</v>
      </c>
      <c r="F13" s="1" t="s">
        <v>37</v>
      </c>
      <c r="G13" s="2">
        <v>0</v>
      </c>
      <c r="H13" s="2">
        <v>0</v>
      </c>
      <c r="I13" s="2">
        <v>0</v>
      </c>
      <c r="L13" s="2">
        <v>1113086</v>
      </c>
      <c r="M13" s="4" t="s">
        <v>38</v>
      </c>
      <c r="N13" s="4" t="s">
        <v>39</v>
      </c>
      <c r="O13" s="5" t="s">
        <v>61</v>
      </c>
      <c r="P13" s="2">
        <v>740252</v>
      </c>
    </row>
    <row r="14" spans="1:16" x14ac:dyDescent="0.15">
      <c r="A14" s="2">
        <v>8</v>
      </c>
      <c r="B14" s="2">
        <v>2</v>
      </c>
      <c r="C14" s="2">
        <v>1</v>
      </c>
      <c r="D14" s="1" t="s">
        <v>59</v>
      </c>
      <c r="E14" s="1" t="s">
        <v>60</v>
      </c>
      <c r="F14" s="1" t="s">
        <v>41</v>
      </c>
      <c r="G14" s="2">
        <v>0</v>
      </c>
      <c r="H14" s="2">
        <v>0</v>
      </c>
      <c r="I14" s="2">
        <v>0</v>
      </c>
      <c r="J14" s="2">
        <v>740252</v>
      </c>
      <c r="K14" s="2" t="str">
        <f>_xlfn.TEXTJOIN(";",1,J$14:J14)</f>
        <v>740252</v>
      </c>
      <c r="L14" s="2">
        <v>1113086</v>
      </c>
      <c r="M14" s="4" t="s">
        <v>42</v>
      </c>
      <c r="N14" s="4" t="s">
        <v>62</v>
      </c>
      <c r="O14" s="5" t="s">
        <v>63</v>
      </c>
      <c r="P14" s="2">
        <v>740253</v>
      </c>
    </row>
    <row r="15" spans="1:16" x14ac:dyDescent="0.15">
      <c r="A15" s="2">
        <v>9</v>
      </c>
      <c r="B15" s="2">
        <v>2</v>
      </c>
      <c r="C15" s="2">
        <v>2</v>
      </c>
      <c r="D15" s="1" t="s">
        <v>59</v>
      </c>
      <c r="E15" s="1" t="s">
        <v>60</v>
      </c>
      <c r="F15" s="1" t="s">
        <v>45</v>
      </c>
      <c r="G15" s="2">
        <v>0</v>
      </c>
      <c r="H15" s="2">
        <v>0</v>
      </c>
      <c r="I15" s="2">
        <v>0</v>
      </c>
      <c r="J15" s="2">
        <v>740253</v>
      </c>
      <c r="K15" s="2" t="str">
        <f>_xlfn.TEXTJOIN(";",1,J$14:J15)</f>
        <v>740252;740253</v>
      </c>
      <c r="L15" s="2">
        <v>1113086</v>
      </c>
      <c r="M15" s="4" t="s">
        <v>46</v>
      </c>
      <c r="N15" s="4" t="s">
        <v>64</v>
      </c>
      <c r="O15" s="5" t="s">
        <v>65</v>
      </c>
      <c r="P15" s="2">
        <v>740254</v>
      </c>
    </row>
    <row r="16" spans="1:16" x14ac:dyDescent="0.15">
      <c r="A16" s="2">
        <v>10</v>
      </c>
      <c r="B16" s="2">
        <v>2</v>
      </c>
      <c r="C16" s="2">
        <v>3</v>
      </c>
      <c r="D16" s="1" t="s">
        <v>59</v>
      </c>
      <c r="E16" s="1" t="s">
        <v>60</v>
      </c>
      <c r="F16" s="1" t="s">
        <v>49</v>
      </c>
      <c r="G16" s="2">
        <v>0</v>
      </c>
      <c r="H16" s="2">
        <v>1</v>
      </c>
      <c r="I16" s="2">
        <v>0</v>
      </c>
      <c r="J16" s="2">
        <v>740254</v>
      </c>
      <c r="K16" s="2" t="str">
        <f>_xlfn.TEXTJOIN(";",1,J$14:J16)</f>
        <v>740252;740253;740254</v>
      </c>
      <c r="L16" s="2">
        <v>1113086</v>
      </c>
      <c r="M16" s="4" t="s">
        <v>50</v>
      </c>
      <c r="N16" s="4" t="s">
        <v>66</v>
      </c>
      <c r="O16" s="5" t="s">
        <v>67</v>
      </c>
      <c r="P16" s="2">
        <v>740255</v>
      </c>
    </row>
    <row r="17" spans="1:16" x14ac:dyDescent="0.15">
      <c r="A17" s="2">
        <v>11</v>
      </c>
      <c r="B17" s="2">
        <v>2</v>
      </c>
      <c r="C17" s="2">
        <v>4</v>
      </c>
      <c r="D17" s="1" t="s">
        <v>59</v>
      </c>
      <c r="E17" s="1" t="s">
        <v>60</v>
      </c>
      <c r="F17" s="1" t="s">
        <v>49</v>
      </c>
      <c r="G17" s="2">
        <v>0</v>
      </c>
      <c r="H17" s="2">
        <v>1</v>
      </c>
      <c r="I17" s="2">
        <v>0</v>
      </c>
      <c r="J17" s="2">
        <v>740255</v>
      </c>
      <c r="K17" s="2" t="str">
        <f>_xlfn.TEXTJOIN(";",1,J$14:J17)</f>
        <v>740252;740253;740254;740255</v>
      </c>
      <c r="L17" s="2">
        <v>1113086</v>
      </c>
      <c r="M17" s="4" t="s">
        <v>53</v>
      </c>
      <c r="N17" s="4" t="s">
        <v>68</v>
      </c>
      <c r="O17" s="5" t="s">
        <v>69</v>
      </c>
      <c r="P17" s="2">
        <v>740256</v>
      </c>
    </row>
    <row r="18" spans="1:16" x14ac:dyDescent="0.15">
      <c r="A18" s="2">
        <v>12</v>
      </c>
      <c r="B18" s="2">
        <v>2</v>
      </c>
      <c r="C18" s="2">
        <v>5</v>
      </c>
      <c r="D18" s="1" t="s">
        <v>59</v>
      </c>
      <c r="E18" s="1" t="s">
        <v>60</v>
      </c>
      <c r="F18" s="1" t="s">
        <v>49</v>
      </c>
      <c r="G18" s="2">
        <v>0</v>
      </c>
      <c r="H18" s="2">
        <v>1</v>
      </c>
      <c r="I18" s="2">
        <v>0</v>
      </c>
      <c r="J18" s="2">
        <v>740256</v>
      </c>
      <c r="K18" s="2" t="str">
        <f>_xlfn.TEXTJOIN(";",1,J$14:J18)</f>
        <v>740252;740253;740254;740255;740256</v>
      </c>
      <c r="L18" s="2">
        <v>1113086</v>
      </c>
      <c r="M18" s="4" t="s">
        <v>56</v>
      </c>
      <c r="N18" s="4" t="s">
        <v>70</v>
      </c>
      <c r="O18" s="4" t="s">
        <v>58</v>
      </c>
    </row>
    <row r="19" spans="1:16" x14ac:dyDescent="0.15">
      <c r="A19" s="2">
        <v>13</v>
      </c>
      <c r="B19" s="2">
        <v>3</v>
      </c>
      <c r="C19" s="2">
        <v>0</v>
      </c>
      <c r="D19" s="1" t="s">
        <v>71</v>
      </c>
      <c r="E19" s="1" t="s">
        <v>72</v>
      </c>
      <c r="F19" s="1" t="s">
        <v>37</v>
      </c>
      <c r="G19" s="2">
        <v>0</v>
      </c>
      <c r="H19" s="2">
        <v>0</v>
      </c>
      <c r="I19" s="2">
        <v>0</v>
      </c>
      <c r="L19" s="2">
        <v>1113087</v>
      </c>
      <c r="M19" s="4" t="s">
        <v>38</v>
      </c>
      <c r="N19" s="4" t="s">
        <v>39</v>
      </c>
      <c r="O19" s="5" t="s">
        <v>73</v>
      </c>
      <c r="P19" s="2">
        <v>740265</v>
      </c>
    </row>
    <row r="20" spans="1:16" x14ac:dyDescent="0.15">
      <c r="A20" s="2">
        <v>14</v>
      </c>
      <c r="B20" s="2">
        <v>3</v>
      </c>
      <c r="C20" s="2">
        <v>1</v>
      </c>
      <c r="D20" s="1" t="s">
        <v>71</v>
      </c>
      <c r="E20" s="1" t="s">
        <v>72</v>
      </c>
      <c r="F20" s="1" t="s">
        <v>41</v>
      </c>
      <c r="G20" s="2">
        <v>0</v>
      </c>
      <c r="H20" s="2">
        <v>0</v>
      </c>
      <c r="I20" s="2">
        <v>0</v>
      </c>
      <c r="J20" s="2">
        <v>740265</v>
      </c>
      <c r="K20" s="2" t="str">
        <f>_xlfn.TEXTJOIN(";",1,J$20:J20)</f>
        <v>740265</v>
      </c>
      <c r="L20" s="2">
        <v>1113087</v>
      </c>
      <c r="M20" s="4" t="s">
        <v>42</v>
      </c>
      <c r="N20" s="4" t="s">
        <v>74</v>
      </c>
      <c r="O20" s="5" t="s">
        <v>75</v>
      </c>
      <c r="P20" s="2">
        <v>740266</v>
      </c>
    </row>
    <row r="21" spans="1:16" x14ac:dyDescent="0.15">
      <c r="A21" s="2">
        <v>15</v>
      </c>
      <c r="B21" s="2">
        <v>3</v>
      </c>
      <c r="C21" s="2">
        <v>2</v>
      </c>
      <c r="D21" s="1" t="s">
        <v>71</v>
      </c>
      <c r="E21" s="1" t="s">
        <v>72</v>
      </c>
      <c r="F21" s="1" t="s">
        <v>45</v>
      </c>
      <c r="G21" s="2">
        <v>0</v>
      </c>
      <c r="H21" s="2">
        <v>0</v>
      </c>
      <c r="I21" s="2">
        <v>0</v>
      </c>
      <c r="J21" s="2">
        <v>740266</v>
      </c>
      <c r="K21" s="2" t="str">
        <f>_xlfn.TEXTJOIN(";",1,J$20:J21)</f>
        <v>740265;740266</v>
      </c>
      <c r="L21" s="2">
        <v>1113087</v>
      </c>
      <c r="M21" s="4" t="s">
        <v>46</v>
      </c>
      <c r="N21" s="4" t="s">
        <v>76</v>
      </c>
      <c r="O21" s="5" t="s">
        <v>77</v>
      </c>
      <c r="P21" s="2">
        <v>740267</v>
      </c>
    </row>
    <row r="22" spans="1:16" x14ac:dyDescent="0.15">
      <c r="A22" s="2">
        <v>16</v>
      </c>
      <c r="B22" s="2">
        <v>3</v>
      </c>
      <c r="C22" s="2">
        <v>3</v>
      </c>
      <c r="D22" s="1" t="s">
        <v>71</v>
      </c>
      <c r="E22" s="1" t="s">
        <v>72</v>
      </c>
      <c r="F22" s="1" t="s">
        <v>49</v>
      </c>
      <c r="G22" s="2">
        <v>0</v>
      </c>
      <c r="H22" s="2">
        <v>1</v>
      </c>
      <c r="I22" s="2">
        <v>0</v>
      </c>
      <c r="J22" s="2">
        <v>740267</v>
      </c>
      <c r="K22" s="2" t="str">
        <f>_xlfn.TEXTJOIN(";",1,J$20:J22)</f>
        <v>740265;740266;740267</v>
      </c>
      <c r="L22" s="2">
        <v>1113087</v>
      </c>
      <c r="M22" s="4" t="s">
        <v>50</v>
      </c>
      <c r="N22" s="4" t="s">
        <v>78</v>
      </c>
      <c r="O22" s="5" t="s">
        <v>79</v>
      </c>
      <c r="P22" s="2">
        <v>740268</v>
      </c>
    </row>
    <row r="23" spans="1:16" x14ac:dyDescent="0.15">
      <c r="A23" s="2">
        <v>17</v>
      </c>
      <c r="B23" s="2">
        <v>3</v>
      </c>
      <c r="C23" s="2">
        <v>4</v>
      </c>
      <c r="D23" s="1" t="s">
        <v>71</v>
      </c>
      <c r="E23" s="1" t="s">
        <v>72</v>
      </c>
      <c r="F23" s="1" t="s">
        <v>49</v>
      </c>
      <c r="G23" s="2">
        <v>0</v>
      </c>
      <c r="H23" s="2">
        <v>1</v>
      </c>
      <c r="I23" s="2">
        <v>0</v>
      </c>
      <c r="J23" s="2">
        <v>740268</v>
      </c>
      <c r="K23" s="2" t="str">
        <f>_xlfn.TEXTJOIN(";",1,J$20:J23)</f>
        <v>740265;740266;740267;740268</v>
      </c>
      <c r="L23" s="2">
        <v>1113087</v>
      </c>
      <c r="M23" s="4" t="s">
        <v>53</v>
      </c>
      <c r="N23" s="4" t="s">
        <v>80</v>
      </c>
      <c r="O23" s="5" t="s">
        <v>67</v>
      </c>
      <c r="P23" s="2">
        <v>740269</v>
      </c>
    </row>
    <row r="24" spans="1:16" x14ac:dyDescent="0.15">
      <c r="A24" s="2">
        <v>18</v>
      </c>
      <c r="B24" s="2">
        <v>3</v>
      </c>
      <c r="C24" s="2">
        <v>5</v>
      </c>
      <c r="D24" s="1" t="s">
        <v>71</v>
      </c>
      <c r="E24" s="1" t="s">
        <v>72</v>
      </c>
      <c r="F24" s="1" t="s">
        <v>49</v>
      </c>
      <c r="G24" s="2">
        <v>0</v>
      </c>
      <c r="H24" s="2">
        <v>1</v>
      </c>
      <c r="I24" s="2">
        <v>0</v>
      </c>
      <c r="J24" s="2">
        <v>740269</v>
      </c>
      <c r="K24" s="2" t="str">
        <f>_xlfn.TEXTJOIN(";",1,J$20:J24)</f>
        <v>740265;740266;740267;740268;740269</v>
      </c>
      <c r="L24" s="2">
        <v>1113087</v>
      </c>
      <c r="M24" s="4" t="s">
        <v>56</v>
      </c>
      <c r="N24" s="4" t="s">
        <v>68</v>
      </c>
      <c r="O24" s="4" t="s">
        <v>58</v>
      </c>
    </row>
  </sheetData>
  <phoneticPr fontId="5" type="noConversion"/>
  <pageMargins left="0.7" right="0.7" top="0.75" bottom="0.75" header="0.3" footer="0.3"/>
  <pageSetup paperSize="9" orientation="portrait"/>
  <ignoredErrors>
    <ignoredError sqref="K21:K24 K15:K18 K9:K12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8"/>
  <sheetViews>
    <sheetView workbookViewId="0">
      <selection activeCell="D3" sqref="D3:D8"/>
    </sheetView>
  </sheetViews>
  <sheetFormatPr defaultColWidth="9" defaultRowHeight="13.5" x14ac:dyDescent="0.15"/>
  <cols>
    <col min="4" max="4" width="20.375" customWidth="1"/>
  </cols>
  <sheetData>
    <row r="1" spans="1:4" x14ac:dyDescent="0.15">
      <c r="A1">
        <v>2</v>
      </c>
      <c r="B1">
        <v>1</v>
      </c>
      <c r="C1">
        <v>3</v>
      </c>
    </row>
    <row r="2" spans="1:4" x14ac:dyDescent="0.15">
      <c r="A2" t="s">
        <v>81</v>
      </c>
      <c r="B2" t="s">
        <v>82</v>
      </c>
      <c r="C2" t="s">
        <v>83</v>
      </c>
    </row>
    <row r="3" spans="1:4" x14ac:dyDescent="0.15">
      <c r="A3">
        <v>0</v>
      </c>
      <c r="B3">
        <v>0</v>
      </c>
      <c r="C3">
        <v>0</v>
      </c>
      <c r="D3" t="str">
        <f t="array" ref="D3">_xlfn.TEXTJOIN(";",1,A$1:C$1&amp;","&amp;A3:C3)</f>
        <v>2,0;1,0;3,0</v>
      </c>
    </row>
    <row r="4" spans="1:4" x14ac:dyDescent="0.15">
      <c r="A4">
        <v>400</v>
      </c>
      <c r="B4">
        <v>50</v>
      </c>
      <c r="C4">
        <v>10</v>
      </c>
      <c r="D4" t="str">
        <f t="array" ref="D4">_xlfn.TEXTJOIN(";",1,A$1:C$1&amp;","&amp;A4:C4)</f>
        <v>2,400;1,50;3,10</v>
      </c>
    </row>
    <row r="5" spans="1:4" x14ac:dyDescent="0.15">
      <c r="A5">
        <v>1000</v>
      </c>
      <c r="B5">
        <v>125</v>
      </c>
      <c r="C5">
        <v>25</v>
      </c>
      <c r="D5" t="str">
        <f t="array" ref="D5">_xlfn.TEXTJOIN(";",1,A$1:C$1&amp;","&amp;A5:C5)</f>
        <v>2,1000;1,125;3,25</v>
      </c>
    </row>
    <row r="6" spans="1:4" x14ac:dyDescent="0.15">
      <c r="A6">
        <v>1900</v>
      </c>
      <c r="B6">
        <v>240</v>
      </c>
      <c r="C6">
        <v>50</v>
      </c>
      <c r="D6" t="str">
        <f t="array" ref="D6">_xlfn.TEXTJOIN(";",1,A$1:C$1&amp;","&amp;A6:C6)</f>
        <v>2,1900;1,240;3,50</v>
      </c>
    </row>
    <row r="7" spans="1:4" x14ac:dyDescent="0.15">
      <c r="A7">
        <v>3250</v>
      </c>
      <c r="B7">
        <v>410</v>
      </c>
      <c r="C7">
        <v>85</v>
      </c>
      <c r="D7" t="str">
        <f t="array" ref="D7">_xlfn.TEXTJOIN(";",1,A$1:C$1&amp;","&amp;A7:C7)</f>
        <v>2,3250;1,410;3,85</v>
      </c>
    </row>
    <row r="8" spans="1:4" x14ac:dyDescent="0.15">
      <c r="A8">
        <v>5275</v>
      </c>
      <c r="B8">
        <v>660</v>
      </c>
      <c r="C8">
        <v>135</v>
      </c>
      <c r="D8" t="str">
        <f t="array" ref="D8">_xlfn.TEXTJOIN(";",1,A$1:C$1&amp;","&amp;A8:C8)</f>
        <v>2,5275;1,660;3,135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2023-02-13T14:00:00Z</dcterms:created>
  <dcterms:modified xsi:type="dcterms:W3CDTF">2024-03-21T04:01:49Z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F165394024374CF3A33D4BB1469C7B23</vt:lpwstr>
  </property>
  <property fmtid="{D5CDD505-2E9C-101B-9397-08002B2CF9AE}" pid="3" name="KSOProductBuildVer">
    <vt:lpwstr>2052-12.1.0.15120</vt:lpwstr>
  </property>
</Properties>
</file>