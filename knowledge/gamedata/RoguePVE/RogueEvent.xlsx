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7328"/>
  <x:workbookPr codeName="ThisWorkbook"/>
  <mc:AlternateContent xmlns:mc="http://schemas.openxmlformats.org/markup-compatibility/2006">
    <mc:Choice Requires="x15">
      <x15ac:absPath xmlns:x15ac="http://schemas.microsoft.com/office/spreadsheetml/2010/11/ac" url="G:\op_new\data\excel\RoguePVE\"/>
    </mc:Choice>
  </mc:AlternateContent>
  <xr:revisionPtr revIDLastSave="0" documentId="13_ncr:1_{90B2DA88-42EC-4290-AD44-F451997831B0}" xr6:coauthVersionLast="47" xr6:coauthVersionMax="47" xr10:uidLastSave="{00000000-0000-0000-0000-000000000000}"/>
  <x:bookViews>
    <x:workbookView xWindow="28680" yWindow="-120" windowWidth="29040" windowHeight="15840" xr2:uid="{00000000-000D-0000-FFFF-FFFF00000000}"/>
  </x:bookViews>
  <x:sheets>
    <x:sheet name="Sheet1" sheetId="1" r:id="rId1"/>
    <x:sheet name="第1期组合关" sheetId="2" r:id="rId2"/>
    <x:sheet name="怪立绘" sheetId="3" r:id="rId3"/>
    <x:sheet name="第2期组合关" sheetId="4" r:id="rId4"/>
    <x:sheet name="2期怪立绘" sheetId="5" r:id="rId5"/>
  </x:sheets>
  <x:calcPr calcId="191029" concurrentCalc="0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calcChain xmlns="http://schemas.openxmlformats.org/spreadsheetml/2006/main">
  <c r="D188" i="5" l="1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K32" i="5"/>
  <c r="J32" i="5"/>
  <c r="G32" i="5"/>
  <c r="H32" i="5"/>
  <c r="D32" i="5"/>
  <c r="K31" i="5"/>
  <c r="J31" i="5"/>
  <c r="G31" i="5"/>
  <c r="H31" i="5"/>
  <c r="D31" i="5"/>
  <c r="K30" i="5"/>
  <c r="J30" i="5"/>
  <c r="G30" i="5"/>
  <c r="H30" i="5"/>
  <c r="D30" i="5"/>
  <c r="K29" i="5"/>
  <c r="J29" i="5"/>
  <c r="G29" i="5"/>
  <c r="H29" i="5"/>
  <c r="D29" i="5"/>
  <c r="K28" i="5"/>
  <c r="J28" i="5"/>
  <c r="G28" i="5"/>
  <c r="H28" i="5"/>
  <c r="D28" i="5"/>
  <c r="K27" i="5"/>
  <c r="J27" i="5"/>
  <c r="G27" i="5"/>
  <c r="H27" i="5"/>
  <c r="D27" i="5"/>
  <c r="K26" i="5"/>
  <c r="J26" i="5"/>
  <c r="G26" i="5"/>
  <c r="H26" i="5"/>
  <c r="D26" i="5"/>
  <c r="K25" i="5"/>
  <c r="J25" i="5"/>
  <c r="G25" i="5"/>
  <c r="H25" i="5"/>
  <c r="D25" i="5"/>
  <c r="K24" i="5"/>
  <c r="J24" i="5"/>
  <c r="G24" i="5"/>
  <c r="H24" i="5"/>
  <c r="D24" i="5"/>
  <c r="K23" i="5"/>
  <c r="J23" i="5"/>
  <c r="G23" i="5"/>
  <c r="H23" i="5"/>
  <c r="D23" i="5"/>
  <c r="K22" i="5"/>
  <c r="J22" i="5"/>
  <c r="G22" i="5"/>
  <c r="H22" i="5"/>
  <c r="D22" i="5"/>
  <c r="K21" i="5"/>
  <c r="J21" i="5"/>
  <c r="G21" i="5"/>
  <c r="H21" i="5"/>
  <c r="D21" i="5"/>
  <c r="K20" i="5"/>
  <c r="J20" i="5"/>
  <c r="G20" i="5"/>
  <c r="H20" i="5"/>
  <c r="D20" i="5"/>
  <c r="K19" i="5"/>
  <c r="J19" i="5"/>
  <c r="G19" i="5"/>
  <c r="H19" i="5"/>
  <c r="D19" i="5"/>
  <c r="K18" i="5"/>
  <c r="J18" i="5"/>
  <c r="G18" i="5"/>
  <c r="H18" i="5"/>
  <c r="D18" i="5"/>
  <c r="K17" i="5"/>
  <c r="J17" i="5"/>
  <c r="G17" i="5"/>
  <c r="H17" i="5"/>
  <c r="D17" i="5"/>
  <c r="K16" i="5"/>
  <c r="J16" i="5"/>
  <c r="G16" i="5"/>
  <c r="H16" i="5"/>
  <c r="D16" i="5"/>
  <c r="K15" i="5"/>
  <c r="J15" i="5"/>
  <c r="G15" i="5"/>
  <c r="H15" i="5"/>
  <c r="D15" i="5"/>
  <c r="K14" i="5"/>
  <c r="J14" i="5"/>
  <c r="G14" i="5"/>
  <c r="H14" i="5"/>
  <c r="D14" i="5"/>
  <c r="K13" i="5"/>
  <c r="J13" i="5"/>
  <c r="G13" i="5"/>
  <c r="H13" i="5"/>
  <c r="D13" i="5"/>
  <c r="K12" i="5"/>
  <c r="J12" i="5"/>
  <c r="G12" i="5"/>
  <c r="H12" i="5"/>
  <c r="D12" i="5"/>
  <c r="K11" i="5"/>
  <c r="J11" i="5"/>
  <c r="G11" i="5"/>
  <c r="H11" i="5"/>
  <c r="D11" i="5"/>
  <c r="K10" i="5"/>
  <c r="J10" i="5"/>
  <c r="G10" i="5"/>
  <c r="H10" i="5"/>
  <c r="D10" i="5"/>
  <c r="K9" i="5"/>
  <c r="J9" i="5"/>
  <c r="G9" i="5"/>
  <c r="H9" i="5"/>
  <c r="D9" i="5"/>
  <c r="K8" i="5"/>
  <c r="J8" i="5"/>
  <c r="G8" i="5"/>
  <c r="H8" i="5"/>
  <c r="D8" i="5"/>
  <c r="K7" i="5"/>
  <c r="J7" i="5"/>
  <c r="G7" i="5"/>
  <c r="H7" i="5"/>
  <c r="D7" i="5"/>
  <c r="K6" i="5"/>
  <c r="J6" i="5"/>
  <c r="G6" i="5"/>
  <c r="H6" i="5"/>
  <c r="D6" i="5"/>
  <c r="K5" i="5"/>
  <c r="J5" i="5"/>
  <c r="G5" i="5"/>
  <c r="H5" i="5"/>
  <c r="D5" i="5"/>
  <c r="K4" i="5"/>
  <c r="J4" i="5"/>
  <c r="G4" i="5"/>
  <c r="H4" i="5"/>
  <c r="D4" i="5"/>
  <c r="K3" i="5"/>
  <c r="J3" i="5"/>
  <c r="G3" i="5"/>
  <c r="H3" i="5"/>
  <c r="D3" i="5"/>
  <c r="K2" i="5"/>
  <c r="D2" i="5"/>
  <c r="J2" i="5"/>
  <c r="G2" i="5"/>
  <c r="H2" i="5"/>
  <c r="E31" i="4"/>
  <c r="G31" i="4"/>
  <c r="H31" i="4"/>
  <c r="E30" i="4"/>
  <c r="F30" i="4"/>
  <c r="G30" i="4"/>
  <c r="H30" i="4"/>
  <c r="E29" i="4"/>
  <c r="F29" i="4"/>
  <c r="G29" i="4"/>
  <c r="H29" i="4"/>
  <c r="E28" i="4"/>
  <c r="F28" i="4"/>
  <c r="G28" i="4"/>
  <c r="H28" i="4"/>
  <c r="E27" i="4"/>
  <c r="F27" i="4"/>
  <c r="G27" i="4"/>
  <c r="H27" i="4"/>
  <c r="E26" i="4"/>
  <c r="F26" i="4"/>
  <c r="G26" i="4"/>
  <c r="H26" i="4"/>
  <c r="E25" i="4"/>
  <c r="F25" i="4"/>
  <c r="G25" i="4"/>
  <c r="H25" i="4"/>
  <c r="E24" i="4"/>
  <c r="F24" i="4"/>
  <c r="G24" i="4"/>
  <c r="H24" i="4"/>
  <c r="E23" i="4"/>
  <c r="F23" i="4"/>
  <c r="G23" i="4"/>
  <c r="H23" i="4"/>
  <c r="E22" i="4"/>
  <c r="F22" i="4"/>
  <c r="G22" i="4"/>
  <c r="H22" i="4"/>
  <c r="E21" i="4"/>
  <c r="F21" i="4"/>
  <c r="G21" i="4"/>
  <c r="H21" i="4"/>
  <c r="E20" i="4"/>
  <c r="F20" i="4"/>
  <c r="G20" i="4"/>
  <c r="H20" i="4"/>
  <c r="E19" i="4"/>
  <c r="F19" i="4"/>
  <c r="G19" i="4"/>
  <c r="H19" i="4"/>
  <c r="E18" i="4"/>
  <c r="F18" i="4"/>
  <c r="G18" i="4"/>
  <c r="H18" i="4"/>
  <c r="E17" i="4"/>
  <c r="F17" i="4"/>
  <c r="G17" i="4"/>
  <c r="H17" i="4"/>
  <c r="E16" i="4"/>
  <c r="F16" i="4"/>
  <c r="G16" i="4"/>
  <c r="H16" i="4"/>
  <c r="E15" i="4"/>
  <c r="F15" i="4"/>
  <c r="G15" i="4"/>
  <c r="H15" i="4"/>
  <c r="E14" i="4"/>
  <c r="F14" i="4"/>
  <c r="G14" i="4"/>
  <c r="H14" i="4"/>
  <c r="E13" i="4"/>
  <c r="F13" i="4"/>
  <c r="G13" i="4"/>
  <c r="H13" i="4"/>
  <c r="E12" i="4"/>
  <c r="F12" i="4"/>
  <c r="G12" i="4"/>
  <c r="H12" i="4"/>
  <c r="E11" i="4"/>
  <c r="F11" i="4"/>
  <c r="G11" i="4"/>
  <c r="H11" i="4"/>
  <c r="E10" i="4"/>
  <c r="F10" i="4"/>
  <c r="G10" i="4"/>
  <c r="H10" i="4"/>
  <c r="E9" i="4"/>
  <c r="F9" i="4"/>
  <c r="G9" i="4"/>
  <c r="H9" i="4"/>
  <c r="E8" i="4"/>
  <c r="F8" i="4"/>
  <c r="G8" i="4"/>
  <c r="H8" i="4"/>
  <c r="E7" i="4"/>
  <c r="F7" i="4"/>
  <c r="G7" i="4"/>
  <c r="H7" i="4"/>
  <c r="E6" i="4"/>
  <c r="F6" i="4"/>
  <c r="G6" i="4"/>
  <c r="H6" i="4"/>
  <c r="E5" i="4"/>
  <c r="F5" i="4"/>
  <c r="G5" i="4"/>
  <c r="H5" i="4"/>
  <c r="E4" i="4"/>
  <c r="F4" i="4"/>
  <c r="G4" i="4"/>
  <c r="H4" i="4"/>
  <c r="E3" i="4"/>
  <c r="F3" i="4"/>
  <c r="G3" i="4"/>
  <c r="H3" i="4"/>
  <c r="E2" i="4"/>
  <c r="F2" i="4"/>
  <c r="G2" i="4"/>
  <c r="H2" i="4"/>
  <c r="E1" i="4"/>
  <c r="F1" i="4"/>
  <c r="G1" i="4"/>
  <c r="H1" i="4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K32" i="3"/>
  <c r="J32" i="3"/>
  <c r="G32" i="3"/>
  <c r="H32" i="3"/>
  <c r="D32" i="3"/>
  <c r="K31" i="3"/>
  <c r="J31" i="3"/>
  <c r="G31" i="3"/>
  <c r="H31" i="3"/>
  <c r="D31" i="3"/>
  <c r="K30" i="3"/>
  <c r="J30" i="3"/>
  <c r="H30" i="3"/>
  <c r="D30" i="3"/>
  <c r="K29" i="3"/>
  <c r="J29" i="3"/>
  <c r="G29" i="3"/>
  <c r="H29" i="3"/>
  <c r="D29" i="3"/>
  <c r="K28" i="3"/>
  <c r="J28" i="3"/>
  <c r="H28" i="3"/>
  <c r="D28" i="3"/>
  <c r="K27" i="3"/>
  <c r="J27" i="3"/>
  <c r="G27" i="3"/>
  <c r="H27" i="3"/>
  <c r="D27" i="3"/>
  <c r="K26" i="3"/>
  <c r="J26" i="3"/>
  <c r="H26" i="3"/>
  <c r="D26" i="3"/>
  <c r="K25" i="3"/>
  <c r="J25" i="3"/>
  <c r="G25" i="3"/>
  <c r="H25" i="3"/>
  <c r="D25" i="3"/>
  <c r="K24" i="3"/>
  <c r="J24" i="3"/>
  <c r="G24" i="3"/>
  <c r="H24" i="3"/>
  <c r="D24" i="3"/>
  <c r="K23" i="3"/>
  <c r="J23" i="3"/>
  <c r="H23" i="3"/>
  <c r="D23" i="3"/>
  <c r="K22" i="3"/>
  <c r="J22" i="3"/>
  <c r="G22" i="3"/>
  <c r="H22" i="3"/>
  <c r="D22" i="3"/>
  <c r="K21" i="3"/>
  <c r="J21" i="3"/>
  <c r="G21" i="3"/>
  <c r="H21" i="3"/>
  <c r="D21" i="3"/>
  <c r="K20" i="3"/>
  <c r="J20" i="3"/>
  <c r="H20" i="3"/>
  <c r="D20" i="3"/>
  <c r="K19" i="3"/>
  <c r="J19" i="3"/>
  <c r="H19" i="3"/>
  <c r="D19" i="3"/>
  <c r="K18" i="3"/>
  <c r="J18" i="3"/>
  <c r="G18" i="3"/>
  <c r="H18" i="3"/>
  <c r="D18" i="3"/>
  <c r="K17" i="3"/>
  <c r="J17" i="3"/>
  <c r="G17" i="3"/>
  <c r="H17" i="3"/>
  <c r="D17" i="3"/>
  <c r="K16" i="3"/>
  <c r="J16" i="3"/>
  <c r="G16" i="3"/>
  <c r="H16" i="3"/>
  <c r="D16" i="3"/>
  <c r="K15" i="3"/>
  <c r="J15" i="3"/>
  <c r="H15" i="3"/>
  <c r="D15" i="3"/>
  <c r="K14" i="3"/>
  <c r="J14" i="3"/>
  <c r="G14" i="3"/>
  <c r="H14" i="3"/>
  <c r="D14" i="3"/>
  <c r="K13" i="3"/>
  <c r="J13" i="3"/>
  <c r="H13" i="3"/>
  <c r="D13" i="3"/>
  <c r="K12" i="3"/>
  <c r="J12" i="3"/>
  <c r="G12" i="3"/>
  <c r="H12" i="3"/>
  <c r="D12" i="3"/>
  <c r="K11" i="3"/>
  <c r="J11" i="3"/>
  <c r="H11" i="3"/>
  <c r="D11" i="3"/>
  <c r="K10" i="3"/>
  <c r="J10" i="3"/>
  <c r="G10" i="3"/>
  <c r="H10" i="3"/>
  <c r="D10" i="3"/>
  <c r="K9" i="3"/>
  <c r="J9" i="3"/>
  <c r="G9" i="3"/>
  <c r="H9" i="3"/>
  <c r="D9" i="3"/>
  <c r="K8" i="3"/>
  <c r="J8" i="3"/>
  <c r="H8" i="3"/>
  <c r="D8" i="3"/>
  <c r="K7" i="3"/>
  <c r="J7" i="3"/>
  <c r="G7" i="3"/>
  <c r="H7" i="3"/>
  <c r="D7" i="3"/>
  <c r="K6" i="3"/>
  <c r="J6" i="3"/>
  <c r="G6" i="3"/>
  <c r="H6" i="3"/>
  <c r="D6" i="3"/>
  <c r="K5" i="3"/>
  <c r="J5" i="3"/>
  <c r="H5" i="3"/>
  <c r="D5" i="3"/>
  <c r="K4" i="3"/>
  <c r="J4" i="3"/>
  <c r="H4" i="3"/>
  <c r="D4" i="3"/>
  <c r="K3" i="3"/>
  <c r="J3" i="3"/>
  <c r="G3" i="3"/>
  <c r="H3" i="3"/>
  <c r="D3" i="3"/>
  <c r="K2" i="3"/>
  <c r="D2" i="3"/>
  <c r="J2" i="3"/>
  <c r="G2" i="3"/>
  <c r="H2" i="3"/>
  <c r="E31" i="2"/>
  <c r="F31" i="2"/>
  <c r="G31" i="2"/>
  <c r="H31" i="2"/>
  <c r="E30" i="2"/>
  <c r="F30" i="2"/>
  <c r="G30" i="2"/>
  <c r="H30" i="2"/>
  <c r="E29" i="2"/>
  <c r="F29" i="2"/>
  <c r="G29" i="2"/>
  <c r="H29" i="2"/>
  <c r="E28" i="2"/>
  <c r="F28" i="2"/>
  <c r="G28" i="2"/>
  <c r="H28" i="2"/>
  <c r="E27" i="2"/>
  <c r="F27" i="2"/>
  <c r="G27" i="2"/>
  <c r="H27" i="2"/>
  <c r="E26" i="2"/>
  <c r="F26" i="2"/>
  <c r="G26" i="2"/>
  <c r="H26" i="2"/>
  <c r="E25" i="2"/>
  <c r="F25" i="2"/>
  <c r="G25" i="2"/>
  <c r="H25" i="2"/>
  <c r="E24" i="2"/>
  <c r="F24" i="2"/>
  <c r="G24" i="2"/>
  <c r="H24" i="2"/>
  <c r="E23" i="2"/>
  <c r="F23" i="2"/>
  <c r="G23" i="2"/>
  <c r="H23" i="2"/>
  <c r="E22" i="2"/>
  <c r="F22" i="2"/>
  <c r="G22" i="2"/>
  <c r="H22" i="2"/>
  <c r="E21" i="2"/>
  <c r="F21" i="2"/>
  <c r="G21" i="2"/>
  <c r="H21" i="2"/>
  <c r="E20" i="2"/>
  <c r="F20" i="2"/>
  <c r="G20" i="2"/>
  <c r="H20" i="2"/>
  <c r="E19" i="2"/>
  <c r="F19" i="2"/>
  <c r="G19" i="2"/>
  <c r="H19" i="2"/>
  <c r="E18" i="2"/>
  <c r="F18" i="2"/>
  <c r="G18" i="2"/>
  <c r="H18" i="2"/>
  <c r="E17" i="2"/>
  <c r="F17" i="2"/>
  <c r="G17" i="2"/>
  <c r="H17" i="2"/>
  <c r="E16" i="2"/>
  <c r="F16" i="2"/>
  <c r="G16" i="2"/>
  <c r="H16" i="2"/>
  <c r="E15" i="2"/>
  <c r="F15" i="2"/>
  <c r="G15" i="2"/>
  <c r="H15" i="2"/>
  <c r="E14" i="2"/>
  <c r="F14" i="2"/>
  <c r="G14" i="2"/>
  <c r="H14" i="2"/>
  <c r="E13" i="2"/>
  <c r="F13" i="2"/>
  <c r="G13" i="2"/>
  <c r="H13" i="2"/>
  <c r="E12" i="2"/>
  <c r="F12" i="2"/>
  <c r="G12" i="2"/>
  <c r="H12" i="2"/>
  <c r="E11" i="2"/>
  <c r="F11" i="2"/>
  <c r="G11" i="2"/>
  <c r="H11" i="2"/>
  <c r="E10" i="2"/>
  <c r="F10" i="2"/>
  <c r="G10" i="2"/>
  <c r="H10" i="2"/>
  <c r="E9" i="2"/>
  <c r="F9" i="2"/>
  <c r="G9" i="2"/>
  <c r="H9" i="2"/>
  <c r="E8" i="2"/>
  <c r="F8" i="2"/>
  <c r="G8" i="2"/>
  <c r="H8" i="2"/>
  <c r="E7" i="2"/>
  <c r="F7" i="2"/>
  <c r="G7" i="2"/>
  <c r="H7" i="2"/>
  <c r="E6" i="2"/>
  <c r="F6" i="2"/>
  <c r="G6" i="2"/>
  <c r="H6" i="2"/>
  <c r="E5" i="2"/>
  <c r="F5" i="2"/>
  <c r="G5" i="2"/>
  <c r="H5" i="2"/>
  <c r="E4" i="2"/>
  <c r="F4" i="2"/>
  <c r="G4" i="2"/>
  <c r="H4" i="2"/>
  <c r="E3" i="2"/>
  <c r="F3" i="2"/>
  <c r="G3" i="2"/>
  <c r="H3" i="2"/>
  <c r="E2" i="2"/>
  <c r="F2" i="2"/>
  <c r="G2" i="2"/>
  <c r="H2" i="2"/>
  <c r="E1" i="2"/>
  <c r="F1" i="2"/>
  <c r="G1" i="2"/>
  <c r="H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shanjinhu</author>
    <author>admin</author>
  </authors>
  <commentList>
    <comment ref="B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shanjinhu:</t>
        </r>
        <r>
          <rPr>
            <sz val="9"/>
            <rFont val="宋体"/>
            <family val="3"/>
            <charset val="134"/>
          </rPr>
          <t xml:space="preserve">
具体怎么填todo：如果金虎忘了回来填，记得问他。
</t>
        </r>
      </text>
    </comment>
    <comment ref="C2" authorId="1" shapeId="0" xr:uid="{00000000-0006-0000-0000-000002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;分号分隔，平均随机。
从配置怪组中随机1个。</t>
        </r>
      </text>
    </comment>
    <comment ref="E2" authorId="1" shapeId="0" xr:uid="{00000000-0006-0000-0000-000003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最终关可反复挑战，无法战胜，不能配置奖励
15关允许刷商店币、增强币，由上限控制
20006-航路探险金币，用于购买道具。
20005-航路探险银币，用于增强角色。</t>
        </r>
      </text>
    </comment>
    <comment ref="F2" authorId="1" shapeId="0" xr:uid="{00000000-0006-0000-0000-000004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1-普通战斗
2-精英战斗
3-BOSS
4-最终BOSS，该难度最后一关</t>
        </r>
      </text>
    </comment>
    <comment ref="G2" authorId="1" shapeId="0" xr:uid="{710BB31F-A1CB-4A15-8C4F-42301958CA81}">
      <text>
        <r>
          <rPr>
            <b/>
            <sz val="9"/>
            <color indexed="81"/>
            <rFont val="宋体"/>
            <charset val="134"/>
          </rPr>
          <t>admin:</t>
        </r>
        <r>
          <rPr>
            <sz val="9"/>
            <color indexed="81"/>
            <rFont val="宋体"/>
            <charset val="134"/>
          </rPr>
          <t xml:space="preserve">
通关后可选择肉鸽技能的次数。</t>
        </r>
      </text>
    </comment>
    <comment ref="I2" authorId="1" shapeId="0" xr:uid="{9D2B0785-F28B-4F1F-9957-F7BD017E9922}">
      <text>
        <r>
          <rPr>
            <b/>
            <sz val="9"/>
            <color indexed="81"/>
            <rFont val="宋体"/>
            <charset val="134"/>
          </rPr>
          <t>admin:</t>
        </r>
        <r>
          <rPr>
            <sz val="9"/>
            <color indexed="81"/>
            <rFont val="宋体"/>
            <charset val="134"/>
          </rPr>
          <t xml:space="preserve">
完成关卡时可获得的怪物总分。
按照关卡中小怪和BOSS权重分配，再按过关时打掉的血量百分比，获得积分。</t>
        </r>
      </text>
    </comment>
    <comment ref="L2" authorId="1" shapeId="0" xr:uid="{0DAF9A1F-E167-4698-B801-B18C3427948B}">
      <text>
        <r>
          <rPr>
            <b/>
            <sz val="9"/>
            <color indexed="81"/>
            <rFont val="宋体"/>
            <charset val="134"/>
          </rPr>
          <t>admin:</t>
        </r>
        <r>
          <rPr>
            <sz val="9"/>
            <color indexed="81"/>
            <rFont val="宋体"/>
            <charset val="134"/>
          </rPr>
          <t xml:space="preserve">
关卡胜利直接获得的积分。</t>
        </r>
      </text>
    </comment>
    <comment ref="N2" authorId="1" shapeId="0" xr:uid="{00000000-0006-0000-0000-000005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战斗场景ID。
常用场景：
15-油菜花
23-小花园野外
30-阿尔巴拿城外</t>
        </r>
      </text>
    </comment>
  </commentList>
</comments>
</file>

<file path=xl/sharedStrings.xml><?xml version="1.0" encoding="utf-8"?>
<x:sst xmlns:x="http://schemas.openxmlformats.org/spreadsheetml/2006/main" count="2443" uniqueCount="732">
  <x:si>
    <x:t>事件ID</x:t>
  </x:si>
  <x:si>
    <x:t>显示图标</x:t>
  </x:si>
  <x:si>
    <x:t>怪物组ID</x:t>
  </x:si>
  <x:si>
    <x:t>首通奖励</x:t>
  </x:si>
  <x:si>
    <x:t>普通奖励</x:t>
  </x:si>
  <x:si>
    <x:t>事件类型</x:t>
  </x:si>
  <x:si>
    <x:t>三选一次数</x:t>
  </x:si>
  <x:si>
    <x:t>事件名称</x:t>
  </x:si>
  <x:si>
    <x:t>怪物总分</x:t>
  </x:si>
  <x:si>
    <x:t>小怪积分加权</x:t>
  </x:si>
  <x:si>
    <x:t>BOSS积分加权</x:t>
  </x:si>
  <x:si>
    <x:t>通关积分</x:t>
  </x:si>
  <x:si>
    <x:t>事件子名称</x:t>
  </x:si>
  <x:si>
    <x:t>地图id</x:t>
  </x:si>
  <x:si>
    <x:t>eventId</x:t>
  </x:si>
  <x:si>
    <x:t>icon</x:t>
  </x:si>
  <x:si>
    <x:t>firstReward</x:t>
  </x:si>
  <x:si>
    <x:t>reward</x:t>
  </x:si>
  <x:si>
    <x:t>eventType</x:t>
  </x:si>
  <x:si>
    <x:t>selectCount</x:t>
  </x:si>
  <x:si>
    <x:t>eventName</x:t>
  </x:si>
  <x:si>
    <x:t>enemyScore</x:t>
  </x:si>
  <x:si>
    <x:t>monsterWeight</x:t>
  </x:si>
  <x:si>
    <x:t>powerWeight</x:t>
  </x:si>
  <x:si>
    <x:t>passScore</x:t>
  </x:si>
  <x:si>
    <x:t>eventSubName</x:t>
  </x:si>
  <x:si>
    <x:t>fightMapId</x:t>
  </x:si>
  <x:si>
    <x:t>int</x:t>
  </x:si>
  <x:si>
    <x:t>string</x:t>
  </x:si>
  <x:si>
    <x:t>none</x:t>
  </x:si>
  <x:si>
    <x:t>enemyGroupId</x:t>
  </x:si>
  <x:si>
    <x:t>hero_2d_21247</x:t>
  </x:si>
  <x:si>
    <x:t>53003011;53003012</x:t>
  </x:si>
  <x:si>
    <x:t>1001,210121,1</x:t>
  </x:si>
  <x:si>
    <x:t>20005,0,5;20006,0,100</x:t>
  </x:si>
  <x:si>
    <x:t>第1关</x:t>
  </x:si>
  <x:si>
    <x:t>普通</x:t>
  </x:si>
  <x:si>
    <x:t>hero_2d_21246</x:t>
  </x:si>
  <x:si>
    <x:t>53003021;53003022</x:t>
  </x:si>
  <x:si>
    <x:t>第2关</x:t>
  </x:si>
  <x:si>
    <x:t>53003031;53003032</x:t>
  </x:si>
  <x:si>
    <x:t>第3关</x:t>
  </x:si>
  <x:si>
    <x:t>hero_2d_21248</x:t>
  </x:si>
  <x:si>
    <x:t>53003041;53003042</x:t>
  </x:si>
  <x:si>
    <x:t>第4关</x:t>
  </x:si>
  <x:si>
    <x:t>53003051;53003052</x:t>
  </x:si>
  <x:si>
    <x:t>第5关</x:t>
  </x:si>
  <x:si>
    <x:t>53003061;53003062</x:t>
  </x:si>
  <x:si>
    <x:t>1001,210121,2</x:t>
  </x:si>
  <x:si>
    <x:t>第6关</x:t>
  </x:si>
  <x:si>
    <x:t>53003071;53003072</x:t>
  </x:si>
  <x:si>
    <x:t>第7关</x:t>
  </x:si>
  <x:si>
    <x:t>53003081;53003082</x:t>
  </x:si>
  <x:si>
    <x:t>第8关</x:t>
  </x:si>
  <x:si>
    <x:t>hero_2d_3079</x:t>
  </x:si>
  <x:si>
    <x:t>53003091;53003092</x:t>
  </x:si>
  <x:si>
    <x:t>第9关</x:t>
  </x:si>
  <x:si>
    <x:t>53003101;53003102</x:t>
  </x:si>
  <x:si>
    <x:t>第10关</x:t>
  </x:si>
  <x:si>
    <x:t>hero_2d_3068</x:t>
  </x:si>
  <x:si>
    <x:t>53003111;53003112</x:t>
  </x:si>
  <x:si>
    <x:t>20005,0,10;20006,0,100</x:t>
  </x:si>
  <x:si>
    <x:t>第11关</x:t>
  </x:si>
  <x:si>
    <x:t>hero_2d_3073</x:t>
  </x:si>
  <x:si>
    <x:t>53003121;53003122</x:t>
  </x:si>
  <x:si>
    <x:t>第12关</x:t>
  </x:si>
  <x:si>
    <x:t>hero_2d_3078</x:t>
  </x:si>
  <x:si>
    <x:t>53003131;53003132</x:t>
  </x:si>
  <x:si>
    <x:t>第13关</x:t>
  </x:si>
  <x:si>
    <x:t>53003141;53003142</x:t>
  </x:si>
  <x:si>
    <x:t>第14关</x:t>
  </x:si>
  <x:si>
    <x:t>53003151;53003152</x:t>
  </x:si>
  <x:si>
    <x:t>难度1 最终关</x:t>
  </x:si>
  <x:si>
    <x:t>53004011;53004012</x:t>
  </x:si>
  <x:si>
    <x:t>20005,0,20;20006,0,100</x:t>
  </x:si>
  <x:si>
    <x:t>53004021;53004022</x:t>
  </x:si>
  <x:si>
    <x:t>1001,210121,3</x:t>
  </x:si>
  <x:si>
    <x:t>53004031;53004032</x:t>
  </x:si>
  <x:si>
    <x:t>53004041;53004042</x:t>
  </x:si>
  <x:si>
    <x:t>53004051;53004052</x:t>
  </x:si>
  <x:si>
    <x:t>53004061;53004062</x:t>
  </x:si>
  <x:si>
    <x:t>20005,0,30;20006,0,100</x:t>
  </x:si>
  <x:si>
    <x:t>53004071;53004072</x:t>
  </x:si>
  <x:si>
    <x:t>53004081;53004082</x:t>
  </x:si>
  <x:si>
    <x:t>53004091;53004092</x:t>
  </x:si>
  <x:si>
    <x:t>53004101;53004102</x:t>
  </x:si>
  <x:si>
    <x:t>53004111;53004112</x:t>
  </x:si>
  <x:si>
    <x:t>20005,0,40;20006,0,100</x:t>
  </x:si>
  <x:si>
    <x:t>53004121;53004122</x:t>
  </x:si>
  <x:si>
    <x:t>53004131;53004132</x:t>
  </x:si>
  <x:si>
    <x:t>53004141;53004142</x:t>
  </x:si>
  <x:si>
    <x:t>53004151;53004152</x:t>
  </x:si>
  <x:si>
    <x:t>第15关</x:t>
  </x:si>
  <x:si>
    <x:t>hero_2d_3072</x:t>
  </x:si>
  <x:si>
    <x:t>53009004</x:t>
  </x:si>
  <x:si>
    <x:t>最终难度 最终关</x:t>
  </x:si>
  <x:si>
    <x:t>终极首领</x:t>
  </x:si>
  <x:si>
    <x:t>肉鸽关卡难度1关卡1-1</x:t>
  </x:si>
  <x:si>
    <x:t>肉鸽关卡难度1关卡1</x:t>
  </x:si>
  <x:si>
    <x:t>hero_2d_21019</x:t>
  </x:si>
  <x:si>
    <x:t>肉鸽关卡难度1关卡1-2</x:t>
  </x:si>
  <x:si>
    <x:t>肉鸽关卡难度1关卡2</x:t>
  </x:si>
  <x:si>
    <x:t>肉鸽关卡难度1关卡2-1</x:t>
  </x:si>
  <x:si>
    <x:t>肉鸽关卡难度1关卡3</x:t>
  </x:si>
  <x:si>
    <x:t>hero_2d_21018</x:t>
  </x:si>
  <x:si>
    <x:t>肉鸽关卡难度1关卡2-2</x:t>
  </x:si>
  <x:si>
    <x:t>肉鸽关卡难度1关卡4</x:t>
  </x:si>
  <x:si>
    <x:t>hero_2d_1011</x:t>
  </x:si>
  <x:si>
    <x:t>肉鸽关卡难度1关卡3-1</x:t>
  </x:si>
  <x:si>
    <x:t>肉鸽关卡难度1关卡5</x:t>
  </x:si>
  <x:si>
    <x:t>hero_2d_21037</x:t>
  </x:si>
  <x:si>
    <x:t>肉鸽关卡难度1关卡3-2</x:t>
  </x:si>
  <x:si>
    <x:t>肉鸽关卡难度1关卡6</x:t>
  </x:si>
  <x:si>
    <x:t>肉鸽关卡难度1关卡4-1</x:t>
  </x:si>
  <x:si>
    <x:t>肉鸽关卡难度1关卡7</x:t>
  </x:si>
  <x:si>
    <x:t>hero_2d_21039</x:t>
  </x:si>
  <x:si>
    <x:t>肉鸽关卡难度1关卡4-2</x:t>
  </x:si>
  <x:si>
    <x:t>肉鸽关卡难度1关卡8</x:t>
  </x:si>
  <x:si>
    <x:t>hero_2d_21040</x:t>
  </x:si>
  <x:si>
    <x:t>肉鸽关卡难度1关卡5-1</x:t>
  </x:si>
  <x:si>
    <x:t>肉鸽关卡难度1关卡9</x:t>
  </x:si>
  <x:si>
    <x:t>hero_2d_1012</x:t>
  </x:si>
  <x:si>
    <x:t>肉鸽关卡难度1关卡5-2</x:t>
  </x:si>
  <x:si>
    <x:t>肉鸽关卡难度1关卡10</x:t>
  </x:si>
  <x:si>
    <x:t>hero_2d_1015</x:t>
  </x:si>
  <x:si>
    <x:t>肉鸽关卡难度1关卡6-1</x:t>
  </x:si>
  <x:si>
    <x:t>肉鸽关卡难度1关卡11</x:t>
  </x:si>
  <x:si>
    <x:t>hero_2d_2015</x:t>
  </x:si>
  <x:si>
    <x:t>肉鸽关卡难度1关卡6-2</x:t>
  </x:si>
  <x:si>
    <x:t>肉鸽关卡难度1关卡12</x:t>
  </x:si>
  <x:si>
    <x:t>hero_2d_21049</x:t>
  </x:si>
  <x:si>
    <x:t>肉鸽关卡难度1关卡7-1</x:t>
  </x:si>
  <x:si>
    <x:t>肉鸽关卡难度1关卡13</x:t>
  </x:si>
  <x:si>
    <x:t>hero_2d_2014</x:t>
  </x:si>
  <x:si>
    <x:t>肉鸽关卡难度1关卡7-2</x:t>
  </x:si>
  <x:si>
    <x:t>肉鸽关卡难度1关卡14</x:t>
  </x:si>
  <x:si>
    <x:t>hero_2d_2016</x:t>
  </x:si>
  <x:si>
    <x:t>肉鸽关卡难度1关卡8-1</x:t>
  </x:si>
  <x:si>
    <x:t>肉鸽关卡难度1关卡15</x:t>
  </x:si>
  <x:si>
    <x:t>hero_2d_2013</x:t>
  </x:si>
  <x:si>
    <x:t>肉鸽关卡难度1关卡8-2</x:t>
  </x:si>
  <x:si>
    <x:t>肉鸽关卡难度2关卡1</x:t>
  </x:si>
  <x:si>
    <x:t>boss</x:t>
  </x:si>
  <x:si>
    <x:t>hero_2d_3001</x:t>
  </x:si>
  <x:si>
    <x:t>肉鸽关卡难度1关卡9-1</x:t>
  </x:si>
  <x:si>
    <x:t>肉鸽关卡难度2关卡2</x:t>
  </x:si>
  <x:si>
    <x:t>肉鸽关卡难度1关卡9-2</x:t>
  </x:si>
  <x:si>
    <x:t>肉鸽关卡难度2关卡3</x:t>
  </x:si>
  <x:si>
    <x:t>肉鸽关卡难度1关卡10-1</x:t>
  </x:si>
  <x:si>
    <x:t>肉鸽关卡难度2关卡4</x:t>
  </x:si>
  <x:si>
    <x:t>肉鸽关卡难度1关卡10-2</x:t>
  </x:si>
  <x:si>
    <x:t>肉鸽关卡难度2关卡5</x:t>
  </x:si>
  <x:si>
    <x:t>肉鸽关卡难度1关卡11-1</x:t>
  </x:si>
  <x:si>
    <x:t>肉鸽关卡难度2关卡6</x:t>
  </x:si>
  <x:si>
    <x:t>肉鸽关卡难度1关卡11-2</x:t>
  </x:si>
  <x:si>
    <x:t>肉鸽关卡难度2关卡7</x:t>
  </x:si>
  <x:si>
    <x:t>肉鸽关卡难度1关卡12-1</x:t>
  </x:si>
  <x:si>
    <x:t>肉鸽关卡难度2关卡8</x:t>
  </x:si>
  <x:si>
    <x:t>肉鸽关卡难度1关卡12-2</x:t>
  </x:si>
  <x:si>
    <x:t>肉鸽关卡难度2关卡9</x:t>
  </x:si>
  <x:si>
    <x:t>肉鸽关卡难度1关卡13-1</x:t>
  </x:si>
  <x:si>
    <x:t>肉鸽关卡难度2关卡10</x:t>
  </x:si>
  <x:si>
    <x:t>肉鸽关卡难度1关卡13-2</x:t>
  </x:si>
  <x:si>
    <x:t>肉鸽关卡难度2关卡11</x:t>
  </x:si>
  <x:si>
    <x:t>肉鸽关卡难度1关卡14-1</x:t>
  </x:si>
  <x:si>
    <x:t>肉鸽关卡难度2关卡12</x:t>
  </x:si>
  <x:si>
    <x:t>肉鸽关卡难度1关卡14-2</x:t>
  </x:si>
  <x:si>
    <x:t>肉鸽关卡难度2关卡13</x:t>
  </x:si>
  <x:si>
    <x:t>肉鸽关卡难度1关卡15-1</x:t>
  </x:si>
  <x:si>
    <x:t>肉鸽关卡难度2关卡14</x:t>
  </x:si>
  <x:si>
    <x:t>肉鸽关卡难度1关卡15-2</x:t>
  </x:si>
  <x:si>
    <x:t>肉鸽关卡难度2关卡15</x:t>
  </x:si>
  <x:si>
    <x:t>肉鸽关卡难度2关卡1-1</x:t>
  </x:si>
  <x:si>
    <x:t>肉鸽关卡boss</x:t>
  </x:si>
  <x:si>
    <x:t>肉鸽关卡难度2关卡1-2</x:t>
  </x:si>
  <x:si>
    <x:t>肉鸽关卡难度2关卡2-1</x:t>
  </x:si>
  <x:si>
    <x:t>肉鸽关卡难度2关卡2-2</x:t>
  </x:si>
  <x:si>
    <x:t>肉鸽关卡难度2关卡3-1</x:t>
  </x:si>
  <x:si>
    <x:t>肉鸽关卡难度2关卡3-2</x:t>
  </x:si>
  <x:si>
    <x:t>肉鸽关卡难度2关卡4-1</x:t>
  </x:si>
  <x:si>
    <x:t>肉鸽关卡难度2关卡4-2</x:t>
  </x:si>
  <x:si>
    <x:t>肉鸽关卡难度2关卡5-1</x:t>
  </x:si>
  <x:si>
    <x:t>肉鸽关卡难度2关卡5-2</x:t>
  </x:si>
  <x:si>
    <x:t>肉鸽关卡难度2关卡6-1</x:t>
  </x:si>
  <x:si>
    <x:t>肉鸽关卡难度2关卡6-2</x:t>
  </x:si>
  <x:si>
    <x:t>肉鸽关卡难度2关卡7-1</x:t>
  </x:si>
  <x:si>
    <x:t>肉鸽关卡难度2关卡7-2</x:t>
  </x:si>
  <x:si>
    <x:t>肉鸽关卡难度2关卡8-1</x:t>
  </x:si>
  <x:si>
    <x:t>肉鸽关卡难度2关卡8-2</x:t>
  </x:si>
  <x:si>
    <x:t>肉鸽关卡难度2关卡9-1</x:t>
  </x:si>
  <x:si>
    <x:t>肉鸽关卡难度2关卡9-2</x:t>
  </x:si>
  <x:si>
    <x:t>肉鸽关卡难度2关卡10-1</x:t>
  </x:si>
  <x:si>
    <x:t>肉鸽关卡难度2关卡10-2</x:t>
  </x:si>
  <x:si>
    <x:t>肉鸽关卡难度2关卡11-1</x:t>
  </x:si>
  <x:si>
    <x:t>肉鸽关卡难度2关卡11-2</x:t>
  </x:si>
  <x:si>
    <x:t>肉鸽关卡难度2关卡12-1</x:t>
  </x:si>
  <x:si>
    <x:t>肉鸽关卡难度2关卡12-2</x:t>
  </x:si>
  <x:si>
    <x:t>肉鸽关卡难度2关卡13-1</x:t>
  </x:si>
  <x:si>
    <x:t>肉鸽关卡难度2关卡13-2</x:t>
  </x:si>
  <x:si>
    <x:t>肉鸽关卡难度2关卡14-1</x:t>
  </x:si>
  <x:si>
    <x:t>肉鸽关卡难度2关卡14-2</x:t>
  </x:si>
  <x:si>
    <x:t>肉鸽关卡难度2关卡15-1</x:t>
  </x:si>
  <x:si>
    <x:t>肉鸽关卡难度2关卡15-2</x:t>
  </x:si>
  <x:si>
    <x:t>肉鸽关卡boss-1</x:t>
  </x:si>
  <x:si>
    <x:t>肉鸽关卡boss-2</x:t>
  </x:si>
  <x:si>
    <x:t>肉鸽关卡boss-3</x:t>
  </x:si>
  <x:si>
    <x:t>关卡</x:t>
  </x:si>
  <x:si>
    <x:t>怪英雄</x:t>
  </x:si>
  <x:si>
    <x:t>怪立绘</x:t>
  </x:si>
  <x:si>
    <x:t>怪英雄是否在关卡组2</x:t>
  </x:si>
  <x:si>
    <x:t>英雄id</x:t>
  </x:si>
  <x:si>
    <x:t>2D立绘</x:t>
  </x:si>
  <x:si>
    <x:t>hero_2d_1001</x:t>
  </x:si>
  <x:si>
    <x:t>hero_2d_1002</x:t>
  </x:si>
  <x:si>
    <x:t>hero_2d_1003</x:t>
  </x:si>
  <x:si>
    <x:t>hero_2d_1004</x:t>
  </x:si>
  <x:si>
    <x:t>hero_2d_1005</x:t>
  </x:si>
  <x:si>
    <x:t>hero_2d_1006</x:t>
  </x:si>
  <x:si>
    <x:t>hero_2d_1007</x:t>
  </x:si>
  <x:si>
    <x:t>hero_2d_1008</x:t>
  </x:si>
  <x:si>
    <x:t>hero_2d_1009</x:t>
  </x:si>
  <x:si>
    <x:t>hero_2d_1010</x:t>
  </x:si>
  <x:si>
    <x:t>hero_2d_1013</x:t>
  </x:si>
  <x:si>
    <x:t>hero_2d_1014</x:t>
  </x:si>
  <x:si>
    <x:t>hero_2d_1016</x:t>
  </x:si>
  <x:si>
    <x:t>hero_2d_1017</x:t>
  </x:si>
  <x:si>
    <x:t>hero_2d_21031</x:t>
  </x:si>
  <x:si>
    <x:t>hero_2d_2001</x:t>
  </x:si>
  <x:si>
    <x:t>hero_2d_2002</x:t>
  </x:si>
  <x:si>
    <x:t>hero_2d_2003</x:t>
  </x:si>
  <x:si>
    <x:t>hero_2d_2004</x:t>
  </x:si>
  <x:si>
    <x:t>hero_2d_2005</x:t>
  </x:si>
  <x:si>
    <x:t>hero_2d_2006</x:t>
  </x:si>
  <x:si>
    <x:t>hero_2d_2007</x:t>
  </x:si>
  <x:si>
    <x:t>hero_2d_2008</x:t>
  </x:si>
  <x:si>
    <x:t>hero_2d_2009</x:t>
  </x:si>
  <x:si>
    <x:t>hero_2d_2010</x:t>
  </x:si>
  <x:si>
    <x:t>hero_2d_2011</x:t>
  </x:si>
  <x:si>
    <x:t>hero_2d_2012</x:t>
  </x:si>
  <x:si>
    <x:t>hero_2d_2017</x:t>
  </x:si>
  <x:si>
    <x:t>hero_2d_2018</x:t>
  </x:si>
  <x:si>
    <x:t>hero_2d_2019</x:t>
  </x:si>
  <x:si>
    <x:t>hero_2d_2020</x:t>
  </x:si>
  <x:si>
    <x:t>hero_2d_2021</x:t>
  </x:si>
  <x:si>
    <x:t>hero_2d_2022</x:t>
  </x:si>
  <x:si>
    <x:t>hero_2d_2023</x:t>
  </x:si>
  <x:si>
    <x:t>hero_2d_2024</x:t>
  </x:si>
  <x:si>
    <x:t>hero_2d_2025</x:t>
  </x:si>
  <x:si>
    <x:t>hero_2d_2026</x:t>
  </x:si>
  <x:si>
    <x:t>hero_2d_2027</x:t>
  </x:si>
  <x:si>
    <x:t>hero_2d_2028</x:t>
  </x:si>
  <x:si>
    <x:t>hero_2d_2029</x:t>
  </x:si>
  <x:si>
    <x:t>hero_2d_3002</x:t>
  </x:si>
  <x:si>
    <x:t>hero_2d_3003</x:t>
  </x:si>
  <x:si>
    <x:t>hero_2d_3004</x:t>
  </x:si>
  <x:si>
    <x:t>hero_2d_3005</x:t>
  </x:si>
  <x:si>
    <x:t>hero_2d_3006</x:t>
  </x:si>
  <x:si>
    <x:t>hero_2d_3007</x:t>
  </x:si>
  <x:si>
    <x:t>hero_2d_3008</x:t>
  </x:si>
  <x:si>
    <x:t>hero_2d_3009</x:t>
  </x:si>
  <x:si>
    <x:t>hero_2d_3010</x:t>
  </x:si>
  <x:si>
    <x:t>hero_2d_3011</x:t>
  </x:si>
  <x:si>
    <x:t>hero_2d_3012</x:t>
  </x:si>
  <x:si>
    <x:t>hero_2d_3013</x:t>
  </x:si>
  <x:si>
    <x:t>hero_2d_3014</x:t>
  </x:si>
  <x:si>
    <x:t>hero_2d_3015</x:t>
  </x:si>
  <x:si>
    <x:t>hero_2d_3016</x:t>
  </x:si>
  <x:si>
    <x:t>hero_2d_3017</x:t>
  </x:si>
  <x:si>
    <x:t>hero_2d_3018</x:t>
  </x:si>
  <x:si>
    <x:t>hero_2d_3019</x:t>
  </x:si>
  <x:si>
    <x:t>hero_2d_3020</x:t>
  </x:si>
  <x:si>
    <x:t>hero_2d_3021</x:t>
  </x:si>
  <x:si>
    <x:t>hero_2d_3022</x:t>
  </x:si>
  <x:si>
    <x:t>hero_2d_3023</x:t>
  </x:si>
  <x:si>
    <x:t>hero_2d_3024</x:t>
  </x:si>
  <x:si>
    <x:t>hero_2d_3025</x:t>
  </x:si>
  <x:si>
    <x:t>hero_2d_3026</x:t>
  </x:si>
  <x:si>
    <x:t>hero_2d_3027</x:t>
  </x:si>
  <x:si>
    <x:t>hero_2d_3028</x:t>
  </x:si>
  <x:si>
    <x:t>hero_2d_3029</x:t>
  </x:si>
  <x:si>
    <x:t>hero_2d_3030</x:t>
  </x:si>
  <x:si>
    <x:t>hero_2d_3031</x:t>
  </x:si>
  <x:si>
    <x:t>hero_2d_3032</x:t>
  </x:si>
  <x:si>
    <x:t>hero_2d_3033</x:t>
  </x:si>
  <x:si>
    <x:t>hero_2d_3034</x:t>
  </x:si>
  <x:si>
    <x:t>hero_2d_3035</x:t>
  </x:si>
  <x:si>
    <x:t>hero_2d_3036</x:t>
  </x:si>
  <x:si>
    <x:t>hero_2d_3037</x:t>
  </x:si>
  <x:si>
    <x:t>hero_2d_3038</x:t>
  </x:si>
  <x:si>
    <x:t>hero_2d_3039</x:t>
  </x:si>
  <x:si>
    <x:t>hero_2d_3040</x:t>
  </x:si>
  <x:si>
    <x:t>hero_2d_3041</x:t>
  </x:si>
  <x:si>
    <x:t>hero_2d_3042</x:t>
  </x:si>
  <x:si>
    <x:t>hero_2d_3043</x:t>
  </x:si>
  <x:si>
    <x:t>hero_2d_3044</x:t>
  </x:si>
  <x:si>
    <x:t>hero_2d_3045</x:t>
  </x:si>
  <x:si>
    <x:t>hero_2d_3047</x:t>
  </x:si>
  <x:si>
    <x:t>hero_2d_3046</x:t>
  </x:si>
  <x:si>
    <x:t>hero_2d_3048</x:t>
  </x:si>
  <x:si>
    <x:t>hero_2d_3049</x:t>
  </x:si>
  <x:si>
    <x:t>hero_2d_3050</x:t>
  </x:si>
  <x:si>
    <x:t>hero_2d_3051</x:t>
  </x:si>
  <x:si>
    <x:t>hero_2d_3052</x:t>
  </x:si>
  <x:si>
    <x:t>hero_2d_3053</x:t>
  </x:si>
  <x:si>
    <x:t>hero_2d_3054</x:t>
  </x:si>
  <x:si>
    <x:t>hero_2d_3055</x:t>
  </x:si>
  <x:si>
    <x:t>hero_2d_3056</x:t>
  </x:si>
  <x:si>
    <x:t>hero_2d_21238</x:t>
  </x:si>
  <x:si>
    <x:t>hero_2d_3057</x:t>
  </x:si>
  <x:si>
    <x:t>hero_2d_3058</x:t>
  </x:si>
  <x:si>
    <x:t>hero_2d_3059</x:t>
  </x:si>
  <x:si>
    <x:t>hero_2d_3060_2</x:t>
  </x:si>
  <x:si>
    <x:t>hero_2d_3061_2</x:t>
  </x:si>
  <x:si>
    <x:t>hero_2d_3062</x:t>
  </x:si>
  <x:si>
    <x:t>hero_2d_3063</x:t>
  </x:si>
  <x:si>
    <x:t>hero_2d_3064</x:t>
  </x:si>
  <x:si>
    <x:t>hero_2d_3065</x:t>
  </x:si>
  <x:si>
    <x:t>hero_2d_3066</x:t>
  </x:si>
  <x:si>
    <x:t>hero_2d_3067</x:t>
  </x:si>
  <x:si>
    <x:t>hero_2d_3069</x:t>
  </x:si>
  <x:si>
    <x:t>hero_2d_3070</x:t>
  </x:si>
  <x:si>
    <x:t>hero_2d_3071</x:t>
  </x:si>
  <x:si>
    <x:t>hero_2d_3074</x:t>
  </x:si>
  <x:si>
    <x:t>hero_2d_3075</x:t>
  </x:si>
  <x:si>
    <x:t>hero_2d_3076</x:t>
  </x:si>
  <x:si>
    <x:t>hero_2d_3077</x:t>
  </x:si>
  <x:si>
    <x:t>hero_2d_21001</x:t>
  </x:si>
  <x:si>
    <x:t>hero_2d_21002</x:t>
  </x:si>
  <x:si>
    <x:t>hero_2d_21003</x:t>
  </x:si>
  <x:si>
    <x:t>hero_2d_21004</x:t>
  </x:si>
  <x:si>
    <x:t>hero_2d_21005</x:t>
  </x:si>
  <x:si>
    <x:t>hero_2d_21006</x:t>
  </x:si>
  <x:si>
    <x:t>hero_2d_21007</x:t>
  </x:si>
  <x:si>
    <x:t>hero_2d_21008</x:t>
  </x:si>
  <x:si>
    <x:t>hero_2d_21009</x:t>
  </x:si>
  <x:si>
    <x:t>hero_2d_21010</x:t>
  </x:si>
  <x:si>
    <x:t>hero_2d_21011</x:t>
  </x:si>
  <x:si>
    <x:t>hero_2d_21012</x:t>
  </x:si>
  <x:si>
    <x:t>hero_2d_21013</x:t>
  </x:si>
  <x:si>
    <x:t>hero_2d_21014</x:t>
  </x:si>
  <x:si>
    <x:t>hero_2d_21015</x:t>
  </x:si>
  <x:si>
    <x:t>hero_2d_21016</x:t>
  </x:si>
  <x:si>
    <x:t>hero_2d_21034</x:t>
  </x:si>
  <x:si>
    <x:t>hero_2d_21021</x:t>
  </x:si>
  <x:si>
    <x:t>hero_2d_21022</x:t>
  </x:si>
  <x:si>
    <x:t>hero_2d_21023</x:t>
  </x:si>
  <x:si>
    <x:t>hero_2d_21026</x:t>
  </x:si>
  <x:si>
    <x:t>hero_2d_21025</x:t>
  </x:si>
  <x:si>
    <x:t>hero_2d_21027</x:t>
  </x:si>
  <x:si>
    <x:t>hero_2d_21028</x:t>
  </x:si>
  <x:si>
    <x:t>hero_2d_21032</x:t>
  </x:si>
  <x:si>
    <x:t>hero_2d_21017</x:t>
  </x:si>
  <x:si>
    <x:t>hero_2d_21038</x:t>
  </x:si>
  <x:si>
    <x:t>hero_2d_21041</x:t>
  </x:si>
  <x:si>
    <x:t>hero_2d_21042</x:t>
  </x:si>
  <x:si>
    <x:t>hero_2d_21043</x:t>
  </x:si>
  <x:si>
    <x:t>hero_2d_21044</x:t>
  </x:si>
  <x:si>
    <x:t>hero_2d_21045</x:t>
  </x:si>
  <x:si>
    <x:t>hero_2d_21046</x:t>
  </x:si>
  <x:si>
    <x:t>hero_2d_21047</x:t>
  </x:si>
  <x:si>
    <x:t>hero_2d_21048</x:t>
  </x:si>
  <x:si>
    <x:t>hero_2d_21050</x:t>
  </x:si>
  <x:si>
    <x:t>hero_2d_21051</x:t>
  </x:si>
  <x:si>
    <x:t>hero_2d_21052</x:t>
  </x:si>
  <x:si>
    <x:t>hero_2d_21053</x:t>
  </x:si>
  <x:si>
    <x:t>hero_2d_21054</x:t>
  </x:si>
  <x:si>
    <x:t>hero_2d_21055</x:t>
  </x:si>
  <x:si>
    <x:t>hero_2d_21056</x:t>
  </x:si>
  <x:si>
    <x:t>肉鸽关卡boss-路飞</x:t>
  </x:si>
  <x:si>
    <x:t>hero_2d_21057</x:t>
  </x:si>
  <x:si>
    <x:t>肉鸽关卡boss-索隆</x:t>
  </x:si>
  <x:si>
    <x:t>hero_2d_21029</x:t>
  </x:si>
  <x:si>
    <x:t>肉鸽关卡boss-山治</x:t>
  </x:si>
  <x:si>
    <x:t>hero_2d_21059</x:t>
  </x:si>
  <x:si>
    <x:t>hero_2d_21060</x:t>
  </x:si>
  <x:si>
    <x:t>hero_2d_21061</x:t>
  </x:si>
  <x:si>
    <x:t>hero_2d_21062</x:t>
  </x:si>
  <x:si>
    <x:t>hero_2d_21063</x:t>
  </x:si>
  <x:si>
    <x:t>hero_2d_21064</x:t>
  </x:si>
  <x:si>
    <x:t>hero_2d_21065</x:t>
  </x:si>
  <x:si>
    <x:t>hero_2d_21066</x:t>
  </x:si>
  <x:si>
    <x:t>hero_2d_21067</x:t>
  </x:si>
  <x:si>
    <x:t>hero_2d_21068</x:t>
  </x:si>
  <x:si>
    <x:t>hero_2d_21069</x:t>
  </x:si>
  <x:si>
    <x:t>hero_2d_21070</x:t>
  </x:si>
  <x:si>
    <x:t>hero_2d_21071</x:t>
  </x:si>
  <x:si>
    <x:t>hero_2d_21072</x:t>
  </x:si>
  <x:si>
    <x:t>hero_2d_21073</x:t>
  </x:si>
  <x:si>
    <x:t>hero_2d_21075</x:t>
  </x:si>
  <x:si>
    <x:t>hero_2d_21074</x:t>
  </x:si>
  <x:si>
    <x:t>hero_2d_21076</x:t>
  </x:si>
  <x:si>
    <x:t>hero_2d_21077</x:t>
  </x:si>
  <x:si>
    <x:t>hero_2d_21078</x:t>
  </x:si>
  <x:si>
    <x:t>hero_2d_21079</x:t>
  </x:si>
  <x:si>
    <x:t>hero_2d_21082</x:t>
  </x:si>
  <x:si>
    <x:t>hero_2d_21083</x:t>
  </x:si>
  <x:si>
    <x:t>hero_2d_21084</x:t>
  </x:si>
  <x:si>
    <x:t>hero_2d_21085</x:t>
  </x:si>
  <x:si>
    <x:t>hero_2d_21086</x:t>
  </x:si>
  <x:si>
    <x:t>hero_2d_21087</x:t>
  </x:si>
  <x:si>
    <x:t>hero_2d_21088</x:t>
  </x:si>
  <x:si>
    <x:t>hero_2d_21089</x:t>
  </x:si>
  <x:si>
    <x:t>hero_2d_21090</x:t>
  </x:si>
  <x:si>
    <x:t>hero_2d_21091</x:t>
  </x:si>
  <x:si>
    <x:t>hero_2d_21092</x:t>
  </x:si>
  <x:si>
    <x:t>hero_2d_21093</x:t>
  </x:si>
  <x:si>
    <x:t>hero_2d_21094</x:t>
  </x:si>
  <x:si>
    <x:t>hero_2d_21095</x:t>
  </x:si>
  <x:si>
    <x:t>hero_2d_21096</x:t>
  </x:si>
  <x:si>
    <x:t>hero_2d_21097</x:t>
  </x:si>
  <x:si>
    <x:t>hero_2d_21098</x:t>
  </x:si>
  <x:si>
    <x:t>hero_2d_21099</x:t>
  </x:si>
  <x:si>
    <x:t>hero_2d_21100</x:t>
  </x:si>
  <x:si>
    <x:t>hero_2d_21101</x:t>
  </x:si>
  <x:si>
    <x:t>hero_2d_21102</x:t>
  </x:si>
  <x:si>
    <x:t>hero_2d_21103</x:t>
  </x:si>
  <x:si>
    <x:t>hero_2d_21104</x:t>
  </x:si>
  <x:si>
    <x:t>hero_2d_21105</x:t>
  </x:si>
  <x:si>
    <x:t>hero_2d_21106</x:t>
  </x:si>
  <x:si>
    <x:t>hero_2d_21108</x:t>
  </x:si>
  <x:si>
    <x:t>hero_2d_21107</x:t>
  </x:si>
  <x:si>
    <x:t>hero_2d_21109</x:t>
  </x:si>
  <x:si>
    <x:t>hero_2d_21110</x:t>
  </x:si>
  <x:si>
    <x:t>hero_2d_21111</x:t>
  </x:si>
  <x:si>
    <x:t>hero_2d_21112</x:t>
  </x:si>
  <x:si>
    <x:t>hero_2d_21113</x:t>
  </x:si>
  <x:si>
    <x:t>hero_2d_21114</x:t>
  </x:si>
  <x:si>
    <x:t>hero_2d_21115</x:t>
  </x:si>
  <x:si>
    <x:t>hero_2d_21116</x:t>
  </x:si>
  <x:si>
    <x:t>hero_2d_21117</x:t>
  </x:si>
  <x:si>
    <x:t>hero_2d_21118</x:t>
  </x:si>
  <x:si>
    <x:t>hero_2d_21119</x:t>
  </x:si>
  <x:si>
    <x:t>hero_2d_21120</x:t>
  </x:si>
  <x:si>
    <x:t>hero_2d_21121</x:t>
  </x:si>
  <x:si>
    <x:t>hero_2d_21122</x:t>
  </x:si>
  <x:si>
    <x:t>hero_2d_21123</x:t>
  </x:si>
  <x:si>
    <x:t>hero_2d_21124</x:t>
  </x:si>
  <x:si>
    <x:t>hero_2d_21125</x:t>
  </x:si>
  <x:si>
    <x:t>hero_2d_21126</x:t>
  </x:si>
  <x:si>
    <x:t>hero_2d_21127</x:t>
  </x:si>
  <x:si>
    <x:t>hero_2d_21128</x:t>
  </x:si>
  <x:si>
    <x:t>hero_2d_21129</x:t>
  </x:si>
  <x:si>
    <x:t>hero_2d_2021_1</x:t>
  </x:si>
  <x:si>
    <x:t>hero_2d_21131</x:t>
  </x:si>
  <x:si>
    <x:t>hero_2d_21133</x:t>
  </x:si>
  <x:si>
    <x:t>hero_2d_21134</x:t>
  </x:si>
  <x:si>
    <x:t>hero_2d_21135</x:t>
  </x:si>
  <x:si>
    <x:t>hero_2d_21136</x:t>
  </x:si>
  <x:si>
    <x:t>hero_2d_21137</x:t>
  </x:si>
  <x:si>
    <x:t>hero_2d_21138</x:t>
  </x:si>
  <x:si>
    <x:t>hero_2d_21139</x:t>
  </x:si>
  <x:si>
    <x:t>hero_2d_21140</x:t>
  </x:si>
  <x:si>
    <x:t>hero_2d_21141</x:t>
  </x:si>
  <x:si>
    <x:t>hero_2d_21142</x:t>
  </x:si>
  <x:si>
    <x:t>hero_2d_21143</x:t>
  </x:si>
  <x:si>
    <x:t>hero_2d_21144</x:t>
  </x:si>
  <x:si>
    <x:t>hero_2d_21145</x:t>
  </x:si>
  <x:si>
    <x:t>hero_2d_21146</x:t>
  </x:si>
  <x:si>
    <x:t>hero_2d_21147</x:t>
  </x:si>
  <x:si>
    <x:t>hero_2d_21148</x:t>
  </x:si>
  <x:si>
    <x:t>hero_2d_21149</x:t>
  </x:si>
  <x:si>
    <x:t>hero_2d_21150</x:t>
  </x:si>
  <x:si>
    <x:t>hero_2d_21151</x:t>
  </x:si>
  <x:si>
    <x:t>hero_2d_21152</x:t>
  </x:si>
  <x:si>
    <x:t>hero_2d_21153</x:t>
  </x:si>
  <x:si>
    <x:t>hero_2d_21154</x:t>
  </x:si>
  <x:si>
    <x:t>hero_2d_21155</x:t>
  </x:si>
  <x:si>
    <x:t>hero_2d_21156</x:t>
  </x:si>
  <x:si>
    <x:t>hero_2d_21157</x:t>
  </x:si>
  <x:si>
    <x:t>hero_2d_21158</x:t>
  </x:si>
  <x:si>
    <x:t>hero_2d_21159</x:t>
  </x:si>
  <x:si>
    <x:t>hero_2d_21160</x:t>
  </x:si>
  <x:si>
    <x:t>hero_2d_21161</x:t>
  </x:si>
  <x:si>
    <x:t>hero_2d_21162</x:t>
  </x:si>
  <x:si>
    <x:t>hero_2d_21163</x:t>
  </x:si>
  <x:si>
    <x:t>hero_2d_21164</x:t>
  </x:si>
  <x:si>
    <x:t>hero_2d_21165</x:t>
  </x:si>
  <x:si>
    <x:t>hero_2d_21166</x:t>
  </x:si>
  <x:si>
    <x:t>hero_2d_21167</x:t>
  </x:si>
  <x:si>
    <x:t>hero_2d_21168</x:t>
  </x:si>
  <x:si>
    <x:t>hero_2d_21169</x:t>
  </x:si>
  <x:si>
    <x:t>hero_2d_21170</x:t>
  </x:si>
  <x:si>
    <x:t>hero_2d_21171</x:t>
  </x:si>
  <x:si>
    <x:t>hero_2d_21172</x:t>
  </x:si>
  <x:si>
    <x:t>hero_2d_21173</x:t>
  </x:si>
  <x:si>
    <x:t>hero_2d_21174</x:t>
  </x:si>
  <x:si>
    <x:t>hero_2d_21175</x:t>
  </x:si>
  <x:si>
    <x:t>hero_2d_21176</x:t>
  </x:si>
  <x:si>
    <x:t>hero_2d_21177</x:t>
  </x:si>
  <x:si>
    <x:t>hero_2d_21179</x:t>
  </x:si>
  <x:si>
    <x:t>hero_2d_21180</x:t>
  </x:si>
  <x:si>
    <x:t>hero_2d_21178</x:t>
  </x:si>
  <x:si>
    <x:t>hero_2d_3001_1</x:t>
  </x:si>
  <x:si>
    <x:t>hero_2d_3013_1</x:t>
  </x:si>
  <x:si>
    <x:t>hero_2d_23012</x:t>
  </x:si>
  <x:si>
    <x:t>hero_2d_21181</x:t>
  </x:si>
  <x:si>
    <x:t>hero_2d_21182</x:t>
  </x:si>
  <x:si>
    <x:t>hero_2d_21183</x:t>
  </x:si>
  <x:si>
    <x:t>hero_2d_21184</x:t>
  </x:si>
  <x:si>
    <x:t>hero_2d_21191</x:t>
  </x:si>
  <x:si>
    <x:t>hero_2d_21190</x:t>
  </x:si>
  <x:si>
    <x:t>hero_2d_21188</x:t>
  </x:si>
  <x:si>
    <x:t>hero_2d_21189</x:t>
  </x:si>
  <x:si>
    <x:t>hero_2d_21185</x:t>
  </x:si>
  <x:si>
    <x:t>hero_2d_21186</x:t>
  </x:si>
  <x:si>
    <x:t>hero_2d_21187</x:t>
  </x:si>
  <x:si>
    <x:t>hero_2d_21192</x:t>
  </x:si>
  <x:si>
    <x:t>hero_2d_21194</x:t>
  </x:si>
  <x:si>
    <x:t>hero_2d_21193</x:t>
  </x:si>
  <x:si>
    <x:t>hero_2d_21195</x:t>
  </x:si>
  <x:si>
    <x:t>hero_2d_21196</x:t>
  </x:si>
  <x:si>
    <x:t>hero_2d_21197</x:t>
  </x:si>
  <x:si>
    <x:t>hero_2d_21198</x:t>
  </x:si>
  <x:si>
    <x:t>hero_2d_21199</x:t>
  </x:si>
  <x:si>
    <x:t>hero_2d_21200</x:t>
  </x:si>
  <x:si>
    <x:t>hero_2d_21201</x:t>
  </x:si>
  <x:si>
    <x:t>hero_2d_21202</x:t>
  </x:si>
  <x:si>
    <x:t>hero_2d_21203</x:t>
  </x:si>
  <x:si>
    <x:t>hero_2d_21204</x:t>
  </x:si>
  <x:si>
    <x:t>hero_2d_21205</x:t>
  </x:si>
  <x:si>
    <x:t>hero_2d_21206</x:t>
  </x:si>
  <x:si>
    <x:t>hero_2d_21207</x:t>
  </x:si>
  <x:si>
    <x:t>hero_2d_21208</x:t>
  </x:si>
  <x:si>
    <x:t>hero_2d_21209</x:t>
  </x:si>
  <x:si>
    <x:t>hero_2d_21210</x:t>
  </x:si>
  <x:si>
    <x:t>hero_2d_21211</x:t>
  </x:si>
  <x:si>
    <x:t>hero_2d_21212</x:t>
  </x:si>
  <x:si>
    <x:t>hero_2d_21214</x:t>
  </x:si>
  <x:si>
    <x:t>hero_2d_21213</x:t>
  </x:si>
  <x:si>
    <x:t>hero_2d_21215</x:t>
  </x:si>
  <x:si>
    <x:t>hero_2d_21216</x:t>
  </x:si>
  <x:si>
    <x:t>hero_2d_21217</x:t>
  </x:si>
  <x:si>
    <x:t>hero_2d_21218</x:t>
  </x:si>
  <x:si>
    <x:t>hero_2d_21219</x:t>
  </x:si>
  <x:si>
    <x:t>hero_2d_21220</x:t>
  </x:si>
  <x:si>
    <x:t>hero_2d_21221</x:t>
  </x:si>
  <x:si>
    <x:t>hero_2d_21222</x:t>
  </x:si>
  <x:si>
    <x:t>hero_2d_21223</x:t>
  </x:si>
  <x:si>
    <x:t>hero_2d_21224</x:t>
  </x:si>
  <x:si>
    <x:t>hero_2d_21225</x:t>
  </x:si>
  <x:si>
    <x:t>hero_2d_21226</x:t>
  </x:si>
  <x:si>
    <x:t>hero_2d_21227</x:t>
  </x:si>
  <x:si>
    <x:t>hero_2d_21228</x:t>
  </x:si>
  <x:si>
    <x:t>hero_2d_21229</x:t>
  </x:si>
  <x:si>
    <x:t>hero_2d_21230</x:t>
  </x:si>
  <x:si>
    <x:t>hero_2d_21231</x:t>
  </x:si>
  <x:si>
    <x:t>hero_2d_21232</x:t>
  </x:si>
  <x:si>
    <x:t>hero_2d_21233</x:t>
  </x:si>
  <x:si>
    <x:t>hero_2d_21234</x:t>
  </x:si>
  <x:si>
    <x:t>hero_2d_21235</x:t>
  </x:si>
  <x:si>
    <x:t>hero_2d_21236</x:t>
  </x:si>
  <x:si>
    <x:t>hero_2d_21237</x:t>
  </x:si>
  <x:si>
    <x:t>hero_2d_3025_1</x:t>
  </x:si>
  <x:si>
    <x:t>hero_2d_21239</x:t>
  </x:si>
  <x:si>
    <x:t>hero_2d_3026_1</x:t>
  </x:si>
  <x:si>
    <x:t>hero_2d_21240</x:t>
  </x:si>
  <x:si>
    <x:t>hero_2d_21241</x:t>
  </x:si>
  <x:si>
    <x:t>hero_2d_21242</x:t>
  </x:si>
  <x:si>
    <x:t>hero_2d_21244</x:t>
  </x:si>
  <x:si>
    <x:t>hero_2d_21245</x:t>
  </x:si>
  <x:si>
    <x:t>hero_2d_21243</x:t>
  </x:si>
  <x:si>
    <x:t>hero_2d_21249</x:t>
  </x:si>
  <x:si>
    <x:t>hero_2d_21250</x:t>
  </x:si>
  <x:si>
    <x:t>hero_2d_21251</x:t>
  </x:si>
  <x:si>
    <x:t>hero_2d_21252</x:t>
  </x:si>
  <x:si>
    <x:t>hero_2d_21253</x:t>
  </x:si>
  <x:si>
    <x:t>hero_2d_21254</x:t>
  </x:si>
  <x:si>
    <x:t>hero_2d_21255</x:t>
  </x:si>
  <x:si>
    <x:t>hero_2d_21256</x:t>
  </x:si>
  <x:si>
    <x:t>hero_2d_21257</x:t>
  </x:si>
  <x:si>
    <x:t>hero_2d_21258</x:t>
  </x:si>
  <x:si>
    <x:t>hero_2d_21259</x:t>
  </x:si>
  <x:si>
    <x:t>hero_2d_21260</x:t>
  </x:si>
  <x:si>
    <x:t>hero_2d_21261</x:t>
  </x:si>
  <x:si>
    <x:t>hero_2d_21262</x:t>
  </x:si>
  <x:si>
    <x:t>hero_2d_21263</x:t>
  </x:si>
  <x:si>
    <x:t>hero_2d_21264</x:t>
  </x:si>
  <x:si>
    <x:t>hero_2d_21265</x:t>
  </x:si>
  <x:si>
    <x:t>hero_2d_21266</x:t>
  </x:si>
  <x:si>
    <x:t>hero_2d_21267</x:t>
  </x:si>
  <x:si>
    <x:t>hero_2d_21268</x:t>
  </x:si>
  <x:si>
    <x:t>hero_2d_21269</x:t>
  </x:si>
  <x:si>
    <x:t>hero_2d_21270</x:t>
  </x:si>
  <x:si>
    <x:t>hero_2d_21271</x:t>
  </x:si>
  <x:si>
    <x:t>hero_2d_21272</x:t>
  </x:si>
  <x:si>
    <x:t>hero_2d_21273</x:t>
  </x:si>
  <x:si>
    <x:t>hero_2d_21274</x:t>
  </x:si>
  <x:si>
    <x:t>hero_2d_21281</x:t>
  </x:si>
  <x:si>
    <x:t>hero_2d_21275</x:t>
  </x:si>
  <x:si>
    <x:t>hero_2d_3037_3</x:t>
  </x:si>
  <x:si>
    <x:t>hero_2d_21276</x:t>
  </x:si>
  <x:si>
    <x:t>hero_2d_21277</x:t>
  </x:si>
  <x:si>
    <x:t>hero_2d_21278</x:t>
  </x:si>
  <x:si>
    <x:t>hero_2d_21280</x:t>
  </x:si>
  <x:si>
    <x:t>hero_2d_21282</x:t>
  </x:si>
  <x:si>
    <x:t>hero_2d_21283</x:t>
  </x:si>
  <x:si>
    <x:t>hero_2d_3011_1</x:t>
  </x:si>
  <x:si>
    <x:t>hero_2d_3045_1</x:t>
  </x:si>
  <x:si>
    <x:t>hero_2d_4000001</x:t>
  </x:si>
  <x:si>
    <x:t>hero_2d_4000002</x:t>
  </x:si>
  <x:si>
    <x:t>hero_2d_4000003</x:t>
  </x:si>
  <x:si>
    <x:t>hero_2d_4000004</x:t>
  </x:si>
  <x:si>
    <x:t>hero_2d_4000005</x:t>
  </x:si>
  <x:si>
    <x:t>hero_2d_4000006</x:t>
  </x:si>
  <x:si>
    <x:t>hero_2d_4000007</x:t>
  </x:si>
  <x:si>
    <x:t>hero_2d_4000008</x:t>
  </x:si>
  <x:si>
    <x:t>hero_2d_4000009</x:t>
  </x:si>
  <x:si>
    <x:t>hero_2d_4000010</x:t>
  </x:si>
  <x:si>
    <x:t>hero_2d_4000012</x:t>
  </x:si>
  <x:si>
    <x:t>hero_2d_4000013</x:t>
  </x:si>
  <x:si>
    <x:t>hero_2d_4000020</x:t>
  </x:si>
  <x:si>
    <x:t>hero_2d_4000021</x:t>
  </x:si>
  <x:si>
    <x:t>hero_2d_4000023</x:t>
  </x:si>
  <x:si>
    <x:t>hero_2d_4000024</x:t>
  </x:si>
  <x:si>
    <x:t>hero_2d_4000025</x:t>
  </x:si>
  <x:si>
    <x:t>hero_2d_4000026</x:t>
  </x:si>
  <x:si>
    <x:t>hero_2d_4000027</x:t>
  </x:si>
  <x:si>
    <x:t>hero_2d_4000030</x:t>
  </x:si>
  <x:si>
    <x:t>hero_2d_4000031</x:t>
  </x:si>
  <x:si>
    <x:t>hero_2d_4000032</x:t>
  </x:si>
  <x:si>
    <x:t>hero_2d_4000033</x:t>
  </x:si>
  <x:si>
    <x:t>hero_2d_4000034</x:t>
  </x:si>
  <x:si>
    <x:t>hero_2d_4000035</x:t>
  </x:si>
  <x:si>
    <x:t>hero_2d_4000036</x:t>
  </x:si>
  <x:si>
    <x:t>hero_2d_4000037</x:t>
  </x:si>
  <x:si>
    <x:t>hero_2d_4000038</x:t>
  </x:si>
  <x:si>
    <x:t>hero_2d_4000039</x:t>
  </x:si>
  <x:si>
    <x:t>hero_2d_4000040</x:t>
  </x:si>
  <x:si>
    <x:t>hero_2d_4000041</x:t>
  </x:si>
  <x:si>
    <x:t>hero_2d_4000042</x:t>
  </x:si>
  <x:si>
    <x:t>hero_2d_4000043</x:t>
  </x:si>
  <x:si>
    <x:t>hero_2d_4000044</x:t>
  </x:si>
  <x:si>
    <x:t>hero_2d_4000050</x:t>
  </x:si>
  <x:si>
    <x:t>hero_2d_4000051</x:t>
  </x:si>
  <x:si>
    <x:t>hero_2d_2274</x:t>
  </x:si>
  <x:si>
    <x:t>hero_2d_2278</x:t>
  </x:si>
  <x:si>
    <x:t>肉鸽关卡2.0难度1关卡1-1</x:t>
  </x:si>
  <x:si>
    <x:t>肉鸽关卡2.0难度1关卡1</x:t>
  </x:si>
  <x:si>
    <x:t>肉鸽关卡2.0难度1关卡1-2</x:t>
  </x:si>
  <x:si>
    <x:t>肉鸽关卡2.0难度1关卡2</x:t>
  </x:si>
  <x:si>
    <x:t>肉鸽关卡2.0难度1关卡2-1</x:t>
  </x:si>
  <x:si>
    <x:t>肉鸽关卡2.0难度1关卡3</x:t>
  </x:si>
  <x:si>
    <x:t>肉鸽关卡2.0难度1关卡2-2</x:t>
  </x:si>
  <x:si>
    <x:t>肉鸽关卡2.0难度1关卡4</x:t>
  </x:si>
  <x:si>
    <x:t>肉鸽关卡2.0难度1关卡3-1</x:t>
  </x:si>
  <x:si>
    <x:t>肉鸽关卡2.0难度1关卡5</x:t>
  </x:si>
  <x:si>
    <x:t>肉鸽关卡2.0难度1关卡3-2</x:t>
  </x:si>
  <x:si>
    <x:t>肉鸽关卡2.0难度1关卡6</x:t>
  </x:si>
  <x:si>
    <x:t>肉鸽关卡2.0难度1关卡4-1</x:t>
  </x:si>
  <x:si>
    <x:t>肉鸽关卡2.0难度1关卡7</x:t>
  </x:si>
  <x:si>
    <x:t>肉鸽关卡2.0难度1关卡4-2</x:t>
  </x:si>
  <x:si>
    <x:t>肉鸽关卡2.0难度1关卡8</x:t>
  </x:si>
  <x:si>
    <x:t>肉鸽关卡2.0难度1关卡5-1</x:t>
  </x:si>
  <x:si>
    <x:t>肉鸽关卡2.0难度1关卡9</x:t>
  </x:si>
  <x:si>
    <x:t>肉鸽关卡2.0难度1关卡5-2</x:t>
  </x:si>
  <x:si>
    <x:t>肉鸽关卡2.0难度1关卡10</x:t>
  </x:si>
  <x:si>
    <x:t>肉鸽关卡2.0难度1关卡6-1</x:t>
  </x:si>
  <x:si>
    <x:t>肉鸽关卡2.0难度1关卡11</x:t>
  </x:si>
  <x:si>
    <x:t>肉鸽关卡2.0难度1关卡6-2</x:t>
  </x:si>
  <x:si>
    <x:t>肉鸽关卡2.0难度1关卡12</x:t>
  </x:si>
  <x:si>
    <x:t>肉鸽关卡2.0难度1关卡7-1</x:t>
  </x:si>
  <x:si>
    <x:t>肉鸽关卡2.0难度1关卡13</x:t>
  </x:si>
  <x:si>
    <x:t>肉鸽关卡2.0难度1关卡7-2</x:t>
  </x:si>
  <x:si>
    <x:t>肉鸽关卡2.0难度1关卡14</x:t>
  </x:si>
  <x:si>
    <x:t>肉鸽关卡2.0难度1关卡8-1</x:t>
  </x:si>
  <x:si>
    <x:t>肉鸽关卡2.0难度1关卡15</x:t>
  </x:si>
  <x:si>
    <x:t>肉鸽关卡2.0难度1关卡8-2</x:t>
  </x:si>
  <x:si>
    <x:t>肉鸽关卡2.0难度2关卡1</x:t>
  </x:si>
  <x:si>
    <x:t>肉鸽关卡2.0难度1关卡9-1</x:t>
  </x:si>
  <x:si>
    <x:t>肉鸽关卡2.0难度2关卡2</x:t>
  </x:si>
  <x:si>
    <x:t>肉鸽关卡2.0难度1关卡9-2</x:t>
  </x:si>
  <x:si>
    <x:t>肉鸽关卡2.0难度2关卡3</x:t>
  </x:si>
  <x:si>
    <x:t>肉鸽关卡2.0难度1关卡10-1</x:t>
  </x:si>
  <x:si>
    <x:t>肉鸽关卡2.0难度2关卡4</x:t>
  </x:si>
  <x:si>
    <x:t>肉鸽关卡2.0难度1关卡10-2</x:t>
  </x:si>
  <x:si>
    <x:t>肉鸽关卡2.0难度2关卡5</x:t>
  </x:si>
  <x:si>
    <x:t>肉鸽关卡2.0难度1关卡11-1</x:t>
  </x:si>
  <x:si>
    <x:t>肉鸽关卡2.0难度2关卡6</x:t>
  </x:si>
  <x:si>
    <x:t>肉鸽关卡2.0难度1关卡11-2</x:t>
  </x:si>
  <x:si>
    <x:t>肉鸽关卡2.0难度2关卡7</x:t>
  </x:si>
  <x:si>
    <x:t>肉鸽关卡2.0难度1关卡12-1</x:t>
  </x:si>
  <x:si>
    <x:t>肉鸽关卡2.0难度2关卡8</x:t>
  </x:si>
  <x:si>
    <x:t>肉鸽关卡2.0难度1关卡12-2</x:t>
  </x:si>
  <x:si>
    <x:t>肉鸽关卡2.0难度2关卡9</x:t>
  </x:si>
  <x:si>
    <x:t>肉鸽关卡2.0难度1关卡13-1</x:t>
  </x:si>
  <x:si>
    <x:t>肉鸽关卡2.0难度2关卡10</x:t>
  </x:si>
  <x:si>
    <x:t>肉鸽关卡2.0难度1关卡13-2</x:t>
  </x:si>
  <x:si>
    <x:t>肉鸽关卡2.0难度2关卡11</x:t>
  </x:si>
  <x:si>
    <x:t>肉鸽关卡2.0难度1关卡14-1</x:t>
  </x:si>
  <x:si>
    <x:t>肉鸽关卡2.0难度2关卡12</x:t>
  </x:si>
  <x:si>
    <x:t>肉鸽关卡2.0难度1关卡14-2</x:t>
  </x:si>
  <x:si>
    <x:t>肉鸽关卡2.0难度2关卡13</x:t>
  </x:si>
  <x:si>
    <x:t>肉鸽关卡2.0难度1关卡15-1</x:t>
  </x:si>
  <x:si>
    <x:t>肉鸽关卡2.0难度2关卡14</x:t>
  </x:si>
  <x:si>
    <x:t>肉鸽关卡2.0难度1关卡15-2</x:t>
  </x:si>
  <x:si>
    <x:t>肉鸽关卡2.0难度2关卡15</x:t>
  </x:si>
  <x:si>
    <x:t>肉鸽关卡2.0难度2关卡1-1</x:t>
  </x:si>
  <x:si>
    <x:t>肉鸽关卡-龙凯</x:t>
  </x:si>
  <x:si>
    <x:t>肉鸽关卡</x:t>
  </x:si>
  <x:si>
    <x:t>肉鸽关卡2.0难度2关卡1-2</x:t>
  </x:si>
  <x:si>
    <x:t>肉鸽关卡2.0难度2关卡2-1</x:t>
  </x:si>
  <x:si>
    <x:t>肉鸽关卡2.0难度2关卡2-2</x:t>
  </x:si>
  <x:si>
    <x:t>肉鸽关卡2.0难度2关卡3-1</x:t>
  </x:si>
  <x:si>
    <x:t>肉鸽关卡2.0难度2关卡3-2</x:t>
  </x:si>
  <x:si>
    <x:t>肉鸽关卡2.0难度2关卡4-1</x:t>
  </x:si>
  <x:si>
    <x:t>肉鸽关卡2.0难度2关卡4-2</x:t>
  </x:si>
  <x:si>
    <x:t>肉鸽关卡2.0难度2关卡5-1</x:t>
  </x:si>
  <x:si>
    <x:t>肉鸽关卡2.0难度2关卡5-2</x:t>
  </x:si>
  <x:si>
    <x:t>肉鸽关卡2.0难度2关卡6-1</x:t>
  </x:si>
  <x:si>
    <x:t>肉鸽关卡2.0难度2关卡6-2</x:t>
  </x:si>
  <x:si>
    <x:t>肉鸽关卡2.0难度2关卡7-1</x:t>
  </x:si>
  <x:si>
    <x:t>肉鸽关卡2.0难度2关卡7-2</x:t>
  </x:si>
  <x:si>
    <x:t>肉鸽关卡2.0难度2关卡8-1</x:t>
  </x:si>
  <x:si>
    <x:t>肉鸽关卡2.0难度2关卡8-2</x:t>
  </x:si>
  <x:si>
    <x:t>肉鸽关卡2.0难度2关卡9-1</x:t>
  </x:si>
  <x:si>
    <x:t>肉鸽关卡2.0难度2关卡9-2</x:t>
  </x:si>
  <x:si>
    <x:t>肉鸽关卡2.0难度2关卡10-1</x:t>
  </x:si>
  <x:si>
    <x:t>肉鸽关卡2.0难度2关卡10-2</x:t>
  </x:si>
  <x:si>
    <x:t>肉鸽关卡2.0难度2关卡11-1</x:t>
  </x:si>
  <x:si>
    <x:t>肉鸽关卡2.0难度2关卡11-2</x:t>
  </x:si>
  <x:si>
    <x:t>肉鸽关卡2.0难度2关卡12-1</x:t>
  </x:si>
  <x:si>
    <x:t>肉鸽关卡2.0难度2关卡12-2</x:t>
  </x:si>
  <x:si>
    <x:t>肉鸽关卡2.0难度2关卡13-1</x:t>
  </x:si>
  <x:si>
    <x:t>肉鸽关卡2.0难度2关卡13-2</x:t>
  </x:si>
  <x:si>
    <x:t>肉鸽关卡2.0难度2关卡14-1</x:t>
  </x:si>
  <x:si>
    <x:t>肉鸽关卡2.0难度2关卡14-2</x:t>
  </x:si>
  <x:si>
    <x:t>肉鸽关卡2.0难度2关卡15-1</x:t>
  </x:si>
  <x:si>
    <x:t>肉鸽关卡2.0难度2关卡15-2</x:t>
  </x:si>
  <x:si>
    <x:t>111001</x:t>
  </x:si>
  <x:si>
    <x:t>hero_2d_3080</x:t>
  </x:si>
  <x:si>
    <x:t>hero_2d_3081</x:t>
  </x:si>
  <x:si>
    <x:t>hero_2d_3082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</x:si>
</x:sst>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8" x14ac:knownFonts="1">
    <x:font>
      <x:sz val="11"/>
      <x:color theme="1"/>
      <x:name val="宋体"/>
      <x:charset val="134"/>
      <x:scheme val="minor"/>
    </x:font>
    <x:font>
      <x:sz val="11"/>
      <x:color rgb="FF000000"/>
      <x:name val="宋体"/>
      <x:family val="3"/>
      <x:charset val="134"/>
    </x:font>
    <x:font>
      <x:sz val="11"/>
      <x:color indexed="8"/>
      <x:name val="宋体"/>
      <x:family val="3"/>
      <x:charset val="134"/>
    </x:font>
    <x:font>
      <x:sz val="9"/>
      <x:name val="宋体"/>
      <x:family val="3"/>
      <x:charset val="134"/>
    </x:font>
    <x:font>
      <x:b/>
      <x:sz val="9"/>
      <x:name val="宋体"/>
      <x:family val="3"/>
      <x:charset val="134"/>
    </x:font>
    <x:font>
      <x:sz val="9"/>
      <x:name val="宋体"/>
      <x:family val="3"/>
      <x:charset val="134"/>
      <x:scheme val="minor"/>
    </x:font>
    <x:font>
      <x:sz val="9"/>
      <x:color indexed="81"/>
      <x:name val="宋体"/>
      <x:charset val="134"/>
    </x:font>
    <x:font>
      <x:b/>
      <x:sz val="9"/>
      <x:color indexed="81"/>
      <x:name val="宋体"/>
      <x:charset val="134"/>
    </x:font>
  </x:fonts>
  <x:fills count="5">
    <x:fill>
      <x:patternFill patternType="none"/>
    </x:fill>
    <x:fill>
      <x:patternFill patternType="gray125"/>
    </x:fill>
    <x:fill>
      <x:patternFill patternType="solid">
        <x:fgColor theme="1"/>
        <x:bgColor indexed="64"/>
      </x:patternFill>
    </x:fill>
    <x:fill>
      <x:patternFill patternType="solid">
        <x:fgColor rgb="FFFF0000"/>
        <x:bgColor indexed="64"/>
      </x:patternFill>
    </x:fill>
    <x:fill>
      <x:patternFill patternType="solid">
        <x:fgColor rgb="FFFFFF00"/>
        <x:bgColor indexed="64"/>
      </x:patternFill>
    </x:fill>
  </x:fills>
  <x:borders count="1">
    <x:border>
      <x:left/>
      <x:right/>
      <x:top/>
      <x:bottom/>
      <x:diagonal/>
    </x:border>
  </x:borders>
  <x:cellStyleXfs count="2">
    <x:xf numFmtId="0" fontId="0" fillId="0" borderId="0">
      <x:alignment vertical="center"/>
    </x:xf>
    <x:xf numFmtId="0" fontId="2" fillId="0" borderId="0">
      <x:alignment vertical="center"/>
    </x:xf>
  </x:cellStyleXfs>
  <x:cellXfs count="9">
    <x:xf numFmtId="0" fontId="0" fillId="0" borderId="0" xfId="0">
      <x:alignment vertical="center"/>
    </x:xf>
    <x:xf numFmtId="0" fontId="0" fillId="2" borderId="0" xfId="0" applyFill="1">
      <x:alignment vertical="center"/>
    </x:xf>
    <x:xf numFmtId="0" fontId="1" fillId="0" borderId="0" xfId="0" applyFont="1">
      <x:alignment vertical="center"/>
    </x:xf>
    <x:xf numFmtId="0" fontId="0" fillId="3" borderId="0" xfId="0" applyFill="1">
      <x:alignment vertical="center"/>
    </x:xf>
    <x:xf numFmtId="49" fontId="0" fillId="0" borderId="0" xfId="0" applyNumberFormat="1" applyAlignment="1">
      <x:alignment horizontal="center" vertical="center"/>
    </x:xf>
    <x:xf numFmtId="0" fontId="0" fillId="0" borderId="0" xfId="0" applyAlignment="1">
      <x:alignment horizontal="center" vertical="center"/>
    </x:xf>
    <x:xf numFmtId="49" fontId="0" fillId="3" borderId="0" xfId="0" applyNumberFormat="1" applyFill="1" applyAlignment="1">
      <x:alignment horizontal="center" vertical="center"/>
    </x:xf>
    <x:xf numFmtId="49" fontId="0" fillId="0" borderId="0" xfId="0" applyNumberFormat="1" applyAlignment="1">
      <x:alignment horizontal="left" vertical="center"/>
    </x:xf>
    <x:xf numFmtId="49" fontId="0" fillId="4" borderId="0" xfId="0" applyNumberFormat="1" applyFill="1" applyAlignment="1">
      <x:alignment horizontal="center" vertical="center"/>
    </x:xf>
  </x:cellXfs>
  <x:cellStyles count="2">
    <x:cellStyle name="常规" xfId="0" builtinId="0"/>
    <x:cellStyle name="常规 106" xfId="1" xr:uid="{00000000-0005-0000-0000-000031000000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1"/>
  <x:dimension ref="A1:O37"/>
  <x:sheetViews>
    <x:sheetView tabSelected="1" topLeftCell="B1" workbookViewId="0">
      <x:selection activeCell="B38" sqref="B38"/>
    </x:sheetView>
  </x:sheetViews>
  <x:sheetFormatPr defaultColWidth="9" defaultRowHeight="13.5" x14ac:dyDescent="0.15"/>
  <x:cols>
    <x:col min="1" max="1" width="9" style="4"/>
    <x:col min="2" max="2" width="14.875" style="4" customWidth="1"/>
    <x:col min="3" max="3" width="19.375" style="4" customWidth="1"/>
    <x:col min="4" max="4" width="17.125" style="4" customWidth="1"/>
    <x:col min="5" max="5" width="38" style="4" customWidth="1"/>
    <x:col min="6" max="6" width="13.875" style="4" customWidth="1"/>
    <x:col min="7" max="7" width="18.125" style="4" customWidth="1"/>
    <x:col min="8" max="8" width="18.25" style="4" customWidth="1"/>
    <x:col min="9" max="9" width="11.5" style="4" customWidth="1"/>
    <x:col min="10" max="11" width="14.375" style="4" customWidth="1"/>
    <x:col min="12" max="12" width="10.375" style="4" customWidth="1"/>
    <x:col min="13" max="13" width="13.5" style="4" customWidth="1"/>
    <x:col min="14" max="14" width="9" style="4"/>
    <x:col min="15" max="15" width="12.625" style="4"/>
    <x:col min="16" max="16384" width="9" style="4"/>
  </x:cols>
  <x:sheetData>
    <x:row r="1" spans="1:14" x14ac:dyDescent="0.15">
      <x:c r="A1" s="4">
        <x:v>7</x:v>
      </x:c>
      <x:c r="B1" s="4">
        <x:v>1</x:v>
      </x:c>
      <x:c r="C1" s="4">
        <x:v>9999</x:v>
      </x:c>
      <x:c r="D1" s="5">
        <x:v>15</x:v>
      </x:c>
    </x:row>
    <x:row r="2" spans="1:14" x14ac:dyDescent="0.15">
      <x:c r="A2" s="4" t="s">
        <x:v>0</x:v>
      </x:c>
      <x:c r="B2" s="4" t="s">
        <x:v>1</x:v>
      </x:c>
      <x:c r="C2" s="4" t="s">
        <x:v>2</x:v>
      </x:c>
      <x:c r="D2" s="4" t="s">
        <x:v>3</x:v>
      </x:c>
      <x:c r="E2" s="6" t="s">
        <x:v>4</x:v>
      </x:c>
      <x:c r="F2" s="4" t="s">
        <x:v>5</x:v>
      </x:c>
      <x:c r="G2" s="4" t="s">
        <x:v>6</x:v>
      </x:c>
      <x:c r="H2" s="4" t="s">
        <x:v>7</x:v>
      </x:c>
      <x:c r="I2" s="4" t="s">
        <x:v>8</x:v>
      </x:c>
      <x:c r="J2" s="4" t="s">
        <x:v>9</x:v>
      </x:c>
      <x:c r="K2" s="4" t="s">
        <x:v>10</x:v>
      </x:c>
      <x:c r="L2" s="4" t="s">
        <x:v>11</x:v>
      </x:c>
      <x:c r="M2" s="4" t="s">
        <x:v>12</x:v>
      </x:c>
      <x:c r="N2" s="4" t="s">
        <x:v>13</x:v>
      </x:c>
    </x:row>
    <x:row r="3" spans="1:14" x14ac:dyDescent="0.15">
      <x:c r="A3" s="4" t="s">
        <x:v>14</x:v>
      </x:c>
      <x:c r="B3" s="4" t="s">
        <x:v>15</x:v>
      </x:c>
      <x:c r="D3" s="4" t="s">
        <x:v>16</x:v>
      </x:c>
      <x:c r="E3" s="4" t="s">
        <x:v>17</x:v>
      </x:c>
      <x:c r="F3" s="4" t="s">
        <x:v>18</x:v>
      </x:c>
      <x:c r="G3" s="4" t="s">
        <x:v>19</x:v>
      </x:c>
      <x:c r="H3" s="4" t="s">
        <x:v>20</x:v>
      </x:c>
      <x:c r="I3" s="4" t="s">
        <x:v>21</x:v>
      </x:c>
      <x:c r="J3" s="4" t="s">
        <x:v>22</x:v>
      </x:c>
      <x:c r="K3" s="4" t="s">
        <x:v>23</x:v>
      </x:c>
      <x:c r="L3" s="4" t="s">
        <x:v>24</x:v>
      </x:c>
      <x:c r="M3" s="4" t="s">
        <x:v>25</x:v>
      </x:c>
      <x:c r="N3" s="4" t="s">
        <x:v>26</x:v>
      </x:c>
    </x:row>
    <x:row r="4" spans="1:14" x14ac:dyDescent="0.15">
      <x:c r="A4" s="4" t="s">
        <x:v>27</x:v>
      </x:c>
      <x:c r="B4" s="4" t="s">
        <x:v>28</x:v>
      </x:c>
      <x:c r="C4" s="4" t="s">
        <x:v>28</x:v>
      </x:c>
      <x:c r="D4" s="4" t="s">
        <x:v>28</x:v>
      </x:c>
      <x:c r="E4" s="4" t="s">
        <x:v>28</x:v>
      </x:c>
      <x:c r="F4" s="4" t="s">
        <x:v>27</x:v>
      </x:c>
      <x:c r="G4" s="4" t="s">
        <x:v>27</x:v>
      </x:c>
      <x:c r="H4" s="4" t="s">
        <x:v>28</x:v>
      </x:c>
      <x:c r="I4" s="4" t="s">
        <x:v>27</x:v>
      </x:c>
      <x:c r="J4" s="4" t="s">
        <x:v>27</x:v>
      </x:c>
      <x:c r="K4" s="4" t="s">
        <x:v>27</x:v>
      </x:c>
      <x:c r="L4" s="4" t="s">
        <x:v>27</x:v>
      </x:c>
      <x:c r="M4" s="4" t="s">
        <x:v>28</x:v>
      </x:c>
      <x:c r="N4" s="4" t="s">
        <x:v>27</x:v>
      </x:c>
    </x:row>
    <x:row r="5" spans="1:14" x14ac:dyDescent="0.15">
      <x:c r="A5" s="4" t="s">
        <x:v>29</x:v>
      </x:c>
      <x:c r="B5" s="4" t="s">
        <x:v>29</x:v>
      </x:c>
      <x:c r="C5" s="4" t="s">
        <x:v>29</x:v>
      </x:c>
      <x:c r="D5" s="4" t="s">
        <x:v>29</x:v>
      </x:c>
      <x:c r="E5" s="4" t="s">
        <x:v>29</x:v>
      </x:c>
      <x:c r="F5" s="4" t="s">
        <x:v>29</x:v>
      </x:c>
      <x:c r="G5" s="4" t="s">
        <x:v>29</x:v>
      </x:c>
      <x:c r="H5" s="4" t="s">
        <x:v>29</x:v>
      </x:c>
      <x:c r="I5" s="4" t="s">
        <x:v>29</x:v>
      </x:c>
      <x:c r="J5" s="4" t="s">
        <x:v>29</x:v>
      </x:c>
      <x:c r="K5" s="4" t="s">
        <x:v>29</x:v>
      </x:c>
      <x:c r="L5" s="4" t="s">
        <x:v>29</x:v>
      </x:c>
      <x:c r="M5" s="4" t="s">
        <x:v>29</x:v>
      </x:c>
      <x:c r="N5" s="4" t="s">
        <x:v>29</x:v>
      </x:c>
    </x:row>
    <x:row r="6" spans="1:14" x14ac:dyDescent="0.15">
      <x:c r="A6" s="4" t="s">
        <x:v>14</x:v>
      </x:c>
      <x:c r="C6" s="4" t="s">
        <x:v>30</x:v>
      </x:c>
      <x:c r="D6" s="4" t="s">
        <x:v>16</x:v>
      </x:c>
      <x:c r="E6" s="4" t="s">
        <x:v>17</x:v>
      </x:c>
      <x:c r="F6" s="4" t="s">
        <x:v>18</x:v>
      </x:c>
      <x:c r="G6" s="4" t="s">
        <x:v>19</x:v>
      </x:c>
      <x:c r="I6" s="4" t="s">
        <x:v>21</x:v>
      </x:c>
      <x:c r="J6" s="4" t="s">
        <x:v>22</x:v>
      </x:c>
      <x:c r="K6" s="4" t="s">
        <x:v>23</x:v>
      </x:c>
      <x:c r="L6" s="4" t="s">
        <x:v>24</x:v>
      </x:c>
      <x:c r="N6" s="4" t="s">
        <x:v>26</x:v>
      </x:c>
    </x:row>
    <x:row r="7" spans="1:14" x14ac:dyDescent="0.15">
      <x:c r="A7" s="5">
        <x:v>1</x:v>
      </x:c>
      <x:c r="B7" s="4" t="s">
        <x:v>31</x:v>
      </x:c>
      <x:c r="C7" s="5" t="s">
        <x:v>32</x:v>
      </x:c>
      <x:c r="D7" s="4" t="s">
        <x:v>33</x:v>
      </x:c>
      <x:c r="E7" s="4" t="s">
        <x:v>34</x:v>
      </x:c>
      <x:c r="F7" s="5">
        <x:v>1</x:v>
      </x:c>
      <x:c r="G7" s="5">
        <x:v>1</x:v>
      </x:c>
      <x:c r="H7" s="7" t="s">
        <x:v>35</x:v>
      </x:c>
      <x:c r="I7" s="5">
        <x:v>5000</x:v>
      </x:c>
      <x:c r="J7" s="5">
        <x:v>1</x:v>
      </x:c>
      <x:c r="K7" s="5">
        <x:v>5</x:v>
      </x:c>
      <x:c r="L7" s="5">
        <x:v>5000</x:v>
      </x:c>
      <x:c r="M7" s="4" t="s">
        <x:v>36</x:v>
      </x:c>
      <x:c r="N7" s="5">
        <x:v>15</x:v>
      </x:c>
    </x:row>
    <x:row r="8" spans="1:14" x14ac:dyDescent="0.15">
      <x:c r="A8" s="5">
        <x:v>2</x:v>
      </x:c>
      <x:c r="B8" s="4" t="s">
        <x:v>37</x:v>
      </x:c>
      <x:c r="C8" s="5" t="s">
        <x:v>38</x:v>
      </x:c>
      <x:c r="D8" s="4" t="s">
        <x:v>33</x:v>
      </x:c>
      <x:c r="E8" s="4" t="s">
        <x:v>34</x:v>
      </x:c>
      <x:c r="F8" s="5">
        <x:v>1</x:v>
      </x:c>
      <x:c r="G8" s="5">
        <x:v>1</x:v>
      </x:c>
      <x:c r="H8" s="7" t="s">
        <x:v>39</x:v>
      </x:c>
      <x:c r="I8" s="5">
        <x:v>5000</x:v>
      </x:c>
      <x:c r="J8" s="5">
        <x:v>1</x:v>
      </x:c>
      <x:c r="K8" s="5">
        <x:v>5</x:v>
      </x:c>
      <x:c r="L8" s="5">
        <x:v>5000</x:v>
      </x:c>
      <x:c r="M8" s="4" t="s">
        <x:v>36</x:v>
      </x:c>
      <x:c r="N8" s="5">
        <x:v>15</x:v>
      </x:c>
    </x:row>
    <x:row r="9" spans="1:14" x14ac:dyDescent="0.15">
      <x:c r="A9" s="5">
        <x:v>3</x:v>
      </x:c>
      <x:c r="B9" s="4" t="s">
        <x:v>37</x:v>
      </x:c>
      <x:c r="C9" s="5" t="s">
        <x:v>40</x:v>
      </x:c>
      <x:c r="D9" s="4" t="s">
        <x:v>33</x:v>
      </x:c>
      <x:c r="E9" s="4" t="s">
        <x:v>34</x:v>
      </x:c>
      <x:c r="F9" s="5">
        <x:v>1</x:v>
      </x:c>
      <x:c r="G9" s="5">
        <x:v>1</x:v>
      </x:c>
      <x:c r="H9" s="7" t="s">
        <x:v>41</x:v>
      </x:c>
      <x:c r="I9" s="5">
        <x:v>5000</x:v>
      </x:c>
      <x:c r="J9" s="5">
        <x:v>1</x:v>
      </x:c>
      <x:c r="K9" s="5">
        <x:v>5</x:v>
      </x:c>
      <x:c r="L9" s="5">
        <x:v>5000</x:v>
      </x:c>
      <x:c r="M9" s="4" t="s">
        <x:v>36</x:v>
      </x:c>
      <x:c r="N9" s="5">
        <x:v>15</x:v>
      </x:c>
    </x:row>
    <x:row r="10" spans="1:14" x14ac:dyDescent="0.15">
      <x:c r="A10" s="5">
        <x:v>4</x:v>
      </x:c>
      <x:c r="B10" s="4" t="s">
        <x:v>42</x:v>
      </x:c>
      <x:c r="C10" s="5" t="s">
        <x:v>43</x:v>
      </x:c>
      <x:c r="D10" s="4" t="s">
        <x:v>33</x:v>
      </x:c>
      <x:c r="E10" s="4" t="s">
        <x:v>34</x:v>
      </x:c>
      <x:c r="F10" s="5">
        <x:v>1</x:v>
      </x:c>
      <x:c r="G10" s="5">
        <x:v>1</x:v>
      </x:c>
      <x:c r="H10" s="7" t="s">
        <x:v>44</x:v>
      </x:c>
      <x:c r="I10" s="5">
        <x:v>5000</x:v>
      </x:c>
      <x:c r="J10" s="5">
        <x:v>1</x:v>
      </x:c>
      <x:c r="K10" s="5">
        <x:v>5</x:v>
      </x:c>
      <x:c r="L10" s="5">
        <x:v>5000</x:v>
      </x:c>
      <x:c r="M10" s="4" t="s">
        <x:v>36</x:v>
      </x:c>
      <x:c r="N10" s="5">
        <x:v>15</x:v>
      </x:c>
    </x:row>
    <x:row r="11" spans="1:14" x14ac:dyDescent="0.15">
      <x:c r="A11" s="5">
        <x:v>5</x:v>
      </x:c>
      <x:c r="B11" s="4" t="s">
        <x:v>37</x:v>
      </x:c>
      <x:c r="C11" s="5" t="s">
        <x:v>45</x:v>
      </x:c>
      <x:c r="D11" s="4" t="s">
        <x:v>33</x:v>
      </x:c>
      <x:c r="E11" s="4" t="s">
        <x:v>34</x:v>
      </x:c>
      <x:c r="F11" s="5">
        <x:v>1</x:v>
      </x:c>
      <x:c r="G11" s="5">
        <x:v>1</x:v>
      </x:c>
      <x:c r="H11" s="7" t="s">
        <x:v>46</x:v>
      </x:c>
      <x:c r="I11" s="5">
        <x:v>5000</x:v>
      </x:c>
      <x:c r="J11" s="5">
        <x:v>1</x:v>
      </x:c>
      <x:c r="K11" s="5">
        <x:v>5</x:v>
      </x:c>
      <x:c r="L11" s="5">
        <x:v>5000</x:v>
      </x:c>
      <x:c r="M11" s="4" t="s">
        <x:v>36</x:v>
      </x:c>
      <x:c r="N11" s="5">
        <x:v>15</x:v>
      </x:c>
    </x:row>
    <x:row r="12" spans="1:14" x14ac:dyDescent="0.15">
      <x:c r="A12" s="5">
        <x:v>6</x:v>
      </x:c>
      <x:c r="B12" s="4" t="s">
        <x:v>37</x:v>
      </x:c>
      <x:c r="C12" s="5" t="s">
        <x:v>47</x:v>
      </x:c>
      <x:c r="D12" s="4" t="s">
        <x:v>48</x:v>
      </x:c>
      <x:c r="E12" s="4" t="s">
        <x:v>34</x:v>
      </x:c>
      <x:c r="F12" s="5">
        <x:v>1</x:v>
      </x:c>
      <x:c r="G12" s="5">
        <x:v>1</x:v>
      </x:c>
      <x:c r="H12" s="7" t="s">
        <x:v>49</x:v>
      </x:c>
      <x:c r="I12" s="5">
        <x:v>5000</x:v>
      </x:c>
      <x:c r="J12" s="5">
        <x:v>1</x:v>
      </x:c>
      <x:c r="K12" s="5">
        <x:v>5</x:v>
      </x:c>
      <x:c r="L12" s="5">
        <x:v>5000</x:v>
      </x:c>
      <x:c r="M12" s="4" t="s">
        <x:v>36</x:v>
      </x:c>
      <x:c r="N12" s="5">
        <x:v>23</x:v>
      </x:c>
    </x:row>
    <x:row r="13" spans="1:14" x14ac:dyDescent="0.15">
      <x:c r="A13" s="5">
        <x:v>7</x:v>
      </x:c>
      <x:c r="B13" s="4" t="s">
        <x:v>42</x:v>
      </x:c>
      <x:c r="C13" s="5" t="s">
        <x:v>50</x:v>
      </x:c>
      <x:c r="D13" s="4" t="s">
        <x:v>48</x:v>
      </x:c>
      <x:c r="E13" s="4" t="s">
        <x:v>34</x:v>
      </x:c>
      <x:c r="F13" s="5">
        <x:v>1</x:v>
      </x:c>
      <x:c r="G13" s="5">
        <x:v>1</x:v>
      </x:c>
      <x:c r="H13" s="7" t="s">
        <x:v>51</x:v>
      </x:c>
      <x:c r="I13" s="5">
        <x:v>5000</x:v>
      </x:c>
      <x:c r="J13" s="5">
        <x:v>1</x:v>
      </x:c>
      <x:c r="K13" s="5">
        <x:v>5</x:v>
      </x:c>
      <x:c r="L13" s="5">
        <x:v>5000</x:v>
      </x:c>
      <x:c r="M13" s="4" t="s">
        <x:v>36</x:v>
      </x:c>
      <x:c r="N13" s="5">
        <x:v>23</x:v>
      </x:c>
    </x:row>
    <x:row r="14" spans="1:14" x14ac:dyDescent="0.15">
      <x:c r="A14" s="5">
        <x:v>8</x:v>
      </x:c>
      <x:c r="B14" s="4" t="s">
        <x:v>37</x:v>
      </x:c>
      <x:c r="C14" s="5" t="s">
        <x:v>52</x:v>
      </x:c>
      <x:c r="D14" s="4" t="s">
        <x:v>48</x:v>
      </x:c>
      <x:c r="E14" s="4" t="s">
        <x:v>34</x:v>
      </x:c>
      <x:c r="F14" s="5">
        <x:v>1</x:v>
      </x:c>
      <x:c r="G14" s="5">
        <x:v>1</x:v>
      </x:c>
      <x:c r="H14" s="7" t="s">
        <x:v>53</x:v>
      </x:c>
      <x:c r="I14" s="5">
        <x:v>5000</x:v>
      </x:c>
      <x:c r="J14" s="5">
        <x:v>1</x:v>
      </x:c>
      <x:c r="K14" s="5">
        <x:v>5</x:v>
      </x:c>
      <x:c r="L14" s="5">
        <x:v>5000</x:v>
      </x:c>
      <x:c r="M14" s="4" t="s">
        <x:v>36</x:v>
      </x:c>
      <x:c r="N14" s="5">
        <x:v>23</x:v>
      </x:c>
    </x:row>
    <x:row r="15" spans="1:14" x14ac:dyDescent="0.15">
      <x:c r="A15" s="5">
        <x:v>9</x:v>
      </x:c>
      <x:c r="B15" s="4" t="s">
        <x:v>54</x:v>
      </x:c>
      <x:c r="C15" s="5" t="s">
        <x:v>55</x:v>
      </x:c>
      <x:c r="D15" s="4" t="s">
        <x:v>48</x:v>
      </x:c>
      <x:c r="E15" s="4" t="s">
        <x:v>34</x:v>
      </x:c>
      <x:c r="F15" s="5">
        <x:v>1</x:v>
      </x:c>
      <x:c r="G15" s="5">
        <x:v>1</x:v>
      </x:c>
      <x:c r="H15" s="7" t="s">
        <x:v>56</x:v>
      </x:c>
      <x:c r="I15" s="5">
        <x:v>5000</x:v>
      </x:c>
      <x:c r="J15" s="5">
        <x:v>1</x:v>
      </x:c>
      <x:c r="K15" s="5">
        <x:v>5</x:v>
      </x:c>
      <x:c r="L15" s="5">
        <x:v>5000</x:v>
      </x:c>
      <x:c r="M15" s="4" t="s">
        <x:v>36</x:v>
      </x:c>
      <x:c r="N15" s="5">
        <x:v>23</x:v>
      </x:c>
    </x:row>
    <x:row r="16" spans="1:14" x14ac:dyDescent="0.15">
      <x:c r="A16" s="5">
        <x:v>10</x:v>
      </x:c>
      <x:c r="B16" s="4" t="s">
        <x:v>42</x:v>
      </x:c>
      <x:c r="C16" s="5" t="s">
        <x:v>57</x:v>
      </x:c>
      <x:c r="D16" s="4" t="s">
        <x:v>48</x:v>
      </x:c>
      <x:c r="E16" s="4" t="s">
        <x:v>34</x:v>
      </x:c>
      <x:c r="F16" s="5">
        <x:v>1</x:v>
      </x:c>
      <x:c r="G16" s="5">
        <x:v>1</x:v>
      </x:c>
      <x:c r="H16" s="7" t="s">
        <x:v>58</x:v>
      </x:c>
      <x:c r="I16" s="5">
        <x:v>5000</x:v>
      </x:c>
      <x:c r="J16" s="5">
        <x:v>1</x:v>
      </x:c>
      <x:c r="K16" s="5">
        <x:v>5</x:v>
      </x:c>
      <x:c r="L16" s="5">
        <x:v>5000</x:v>
      </x:c>
      <x:c r="M16" s="4" t="s">
        <x:v>36</x:v>
      </x:c>
      <x:c r="N16" s="5">
        <x:v>23</x:v>
      </x:c>
    </x:row>
    <x:row r="17" spans="1:15" x14ac:dyDescent="0.15">
      <x:c r="A17" s="5">
        <x:v>11</x:v>
      </x:c>
      <x:c r="B17" s="4" t="s">
        <x:v>59</x:v>
      </x:c>
      <x:c r="C17" s="5" t="s">
        <x:v>60</x:v>
      </x:c>
      <x:c r="D17" s="4" t="s">
        <x:v>48</x:v>
      </x:c>
      <x:c r="E17" s="4" t="s">
        <x:v>61</x:v>
      </x:c>
      <x:c r="F17" s="5">
        <x:v>1</x:v>
      </x:c>
      <x:c r="G17" s="5">
        <x:v>1</x:v>
      </x:c>
      <x:c r="H17" s="7" t="s">
        <x:v>62</x:v>
      </x:c>
      <x:c r="I17" s="5">
        <x:v>5000</x:v>
      </x:c>
      <x:c r="J17" s="5">
        <x:v>1</x:v>
      </x:c>
      <x:c r="K17" s="5">
        <x:v>5</x:v>
      </x:c>
      <x:c r="L17" s="5">
        <x:v>5000</x:v>
      </x:c>
      <x:c r="M17" s="4" t="s">
        <x:v>36</x:v>
      </x:c>
      <x:c r="N17" s="5">
        <x:v>30</x:v>
      </x:c>
    </x:row>
    <x:row r="18" spans="1:15" x14ac:dyDescent="0.15">
      <x:c r="A18" s="5">
        <x:v>12</x:v>
      </x:c>
      <x:c r="B18" s="4" t="s">
        <x:v>63</x:v>
      </x:c>
      <x:c r="C18" s="5" t="s">
        <x:v>64</x:v>
      </x:c>
      <x:c r="D18" s="4" t="s">
        <x:v>48</x:v>
      </x:c>
      <x:c r="E18" s="4" t="s">
        <x:v>61</x:v>
      </x:c>
      <x:c r="F18" s="5">
        <x:v>1</x:v>
      </x:c>
      <x:c r="G18" s="5">
        <x:v>1</x:v>
      </x:c>
      <x:c r="H18" s="7" t="s">
        <x:v>65</x:v>
      </x:c>
      <x:c r="I18" s="5">
        <x:v>5000</x:v>
      </x:c>
      <x:c r="J18" s="5">
        <x:v>1</x:v>
      </x:c>
      <x:c r="K18" s="5">
        <x:v>5</x:v>
      </x:c>
      <x:c r="L18" s="5">
        <x:v>5000</x:v>
      </x:c>
      <x:c r="M18" s="4" t="s">
        <x:v>36</x:v>
      </x:c>
      <x:c r="N18" s="5">
        <x:v>30</x:v>
      </x:c>
      <x:c r="O18" s="5"/>
    </x:row>
    <x:row r="19" spans="1:15" x14ac:dyDescent="0.15">
      <x:c r="A19" s="5">
        <x:v>13</x:v>
      </x:c>
      <x:c r="B19" s="4" t="s">
        <x:v>66</x:v>
      </x:c>
      <x:c r="C19" s="5" t="s">
        <x:v>67</x:v>
      </x:c>
      <x:c r="D19" s="4" t="s">
        <x:v>48</x:v>
      </x:c>
      <x:c r="E19" s="4" t="s">
        <x:v>61</x:v>
      </x:c>
      <x:c r="F19" s="5">
        <x:v>1</x:v>
      </x:c>
      <x:c r="G19" s="5">
        <x:v>1</x:v>
      </x:c>
      <x:c r="H19" s="7" t="s">
        <x:v>68</x:v>
      </x:c>
      <x:c r="I19" s="5">
        <x:v>5000</x:v>
      </x:c>
      <x:c r="J19" s="5">
        <x:v>1</x:v>
      </x:c>
      <x:c r="K19" s="5">
        <x:v>5</x:v>
      </x:c>
      <x:c r="L19" s="5">
        <x:v>5000</x:v>
      </x:c>
      <x:c r="M19" s="4" t="s">
        <x:v>36</x:v>
      </x:c>
      <x:c r="N19" s="5">
        <x:v>30</x:v>
      </x:c>
    </x:row>
    <x:row r="20" spans="1:15" x14ac:dyDescent="0.15">
      <x:c r="A20" s="5">
        <x:v>14</x:v>
      </x:c>
      <x:c r="B20" s="4" t="s">
        <x:v>66</x:v>
      </x:c>
      <x:c r="C20" s="5" t="s">
        <x:v>69</x:v>
      </x:c>
      <x:c r="D20" s="4" t="s">
        <x:v>48</x:v>
      </x:c>
      <x:c r="E20" s="4" t="s">
        <x:v>61</x:v>
      </x:c>
      <x:c r="F20" s="5">
        <x:v>1</x:v>
      </x:c>
      <x:c r="G20" s="5">
        <x:v>1</x:v>
      </x:c>
      <x:c r="H20" s="7" t="s">
        <x:v>70</x:v>
      </x:c>
      <x:c r="I20" s="5">
        <x:v>5000</x:v>
      </x:c>
      <x:c r="J20" s="5">
        <x:v>1</x:v>
      </x:c>
      <x:c r="K20" s="5">
        <x:v>5</x:v>
      </x:c>
      <x:c r="L20" s="5">
        <x:v>5000</x:v>
      </x:c>
      <x:c r="M20" s="4" t="s">
        <x:v>36</x:v>
      </x:c>
      <x:c r="N20" s="5">
        <x:v>30</x:v>
      </x:c>
    </x:row>
    <x:row r="21" spans="1:15" x14ac:dyDescent="0.15">
      <x:c r="A21" s="5">
        <x:v>15</x:v>
      </x:c>
      <x:c r="B21" s="4" t="s">
        <x:v>66</x:v>
      </x:c>
      <x:c r="C21" s="5" t="s">
        <x:v>71</x:v>
      </x:c>
      <x:c r="D21" s="4" t="s">
        <x:v>48</x:v>
      </x:c>
      <x:c r="E21" s="8" t="s">
        <x:v>61</x:v>
      </x:c>
      <x:c r="F21" s="5">
        <x:v>4</x:v>
      </x:c>
      <x:c r="G21" s="5">
        <x:v>0</x:v>
      </x:c>
      <x:c r="H21" s="7" t="s">
        <x:v>72</x:v>
      </x:c>
      <x:c r="I21" s="5">
        <x:v>5000</x:v>
      </x:c>
      <x:c r="J21" s="5">
        <x:v>1</x:v>
      </x:c>
      <x:c r="K21" s="5">
        <x:v>5</x:v>
      </x:c>
      <x:c r="L21" s="5">
        <x:v>5000</x:v>
      </x:c>
      <x:c r="M21" s="4" t="s">
        <x:v>36</x:v>
      </x:c>
      <x:c r="N21" s="5">
        <x:v>30</x:v>
      </x:c>
    </x:row>
    <x:row r="22" spans="1:15" x14ac:dyDescent="0.15">
      <x:c r="A22" s="5">
        <x:v>16</x:v>
      </x:c>
      <x:c r="B22" s="4" t="s">
        <x:v>31</x:v>
      </x:c>
      <x:c r="C22" s="5" t="s">
        <x:v>73</x:v>
      </x:c>
      <x:c r="D22" s="4" t="s">
        <x:v>48</x:v>
      </x:c>
      <x:c r="E22" s="4" t="s">
        <x:v>74</x:v>
      </x:c>
      <x:c r="F22" s="5">
        <x:v>1</x:v>
      </x:c>
      <x:c r="G22" s="5">
        <x:v>1</x:v>
      </x:c>
      <x:c r="H22" s="7" t="s">
        <x:v>35</x:v>
      </x:c>
      <x:c r="I22" s="5">
        <x:v>5000</x:v>
      </x:c>
      <x:c r="J22" s="5">
        <x:v>1</x:v>
      </x:c>
      <x:c r="K22" s="5">
        <x:v>5</x:v>
      </x:c>
      <x:c r="L22" s="5">
        <x:v>5000</x:v>
      </x:c>
      <x:c r="M22" s="4" t="s">
        <x:v>36</x:v>
      </x:c>
      <x:c r="N22" s="5">
        <x:v>15</x:v>
      </x:c>
    </x:row>
    <x:row r="23" spans="1:15" x14ac:dyDescent="0.15">
      <x:c r="A23" s="5">
        <x:v>17</x:v>
      </x:c>
      <x:c r="B23" s="4" t="s">
        <x:v>37</x:v>
      </x:c>
      <x:c r="C23" s="5" t="s">
        <x:v>75</x:v>
      </x:c>
      <x:c r="D23" s="4" t="s">
        <x:v>76</x:v>
      </x:c>
      <x:c r="E23" s="4" t="s">
        <x:v>74</x:v>
      </x:c>
      <x:c r="F23" s="5">
        <x:v>1</x:v>
      </x:c>
      <x:c r="G23" s="5">
        <x:v>1</x:v>
      </x:c>
      <x:c r="H23" s="7" t="s">
        <x:v>39</x:v>
      </x:c>
      <x:c r="I23" s="5">
        <x:v>5000</x:v>
      </x:c>
      <x:c r="J23" s="5">
        <x:v>1</x:v>
      </x:c>
      <x:c r="K23" s="5">
        <x:v>5</x:v>
      </x:c>
      <x:c r="L23" s="5">
        <x:v>5000</x:v>
      </x:c>
      <x:c r="M23" s="4" t="s">
        <x:v>36</x:v>
      </x:c>
      <x:c r="N23" s="5">
        <x:v>15</x:v>
      </x:c>
    </x:row>
    <x:row r="24" spans="1:15" x14ac:dyDescent="0.15">
      <x:c r="A24" s="5">
        <x:v>18</x:v>
      </x:c>
      <x:c r="B24" s="4" t="s">
        <x:v>37</x:v>
      </x:c>
      <x:c r="C24" s="5" t="s">
        <x:v>77</x:v>
      </x:c>
      <x:c r="D24" s="4" t="s">
        <x:v>76</x:v>
      </x:c>
      <x:c r="E24" s="4" t="s">
        <x:v>74</x:v>
      </x:c>
      <x:c r="F24" s="5">
        <x:v>1</x:v>
      </x:c>
      <x:c r="G24" s="5">
        <x:v>1</x:v>
      </x:c>
      <x:c r="H24" s="7" t="s">
        <x:v>41</x:v>
      </x:c>
      <x:c r="I24" s="5">
        <x:v>5000</x:v>
      </x:c>
      <x:c r="J24" s="5">
        <x:v>1</x:v>
      </x:c>
      <x:c r="K24" s="5">
        <x:v>5</x:v>
      </x:c>
      <x:c r="L24" s="5">
        <x:v>5000</x:v>
      </x:c>
      <x:c r="M24" s="4" t="s">
        <x:v>36</x:v>
      </x:c>
      <x:c r="N24" s="5">
        <x:v>15</x:v>
      </x:c>
    </x:row>
    <x:row r="25" spans="1:15" x14ac:dyDescent="0.15">
      <x:c r="A25" s="5">
        <x:v>19</x:v>
      </x:c>
      <x:c r="B25" s="4" t="s">
        <x:v>42</x:v>
      </x:c>
      <x:c r="C25" s="5" t="s">
        <x:v>78</x:v>
      </x:c>
      <x:c r="D25" s="4" t="s">
        <x:v>76</x:v>
      </x:c>
      <x:c r="E25" s="4" t="s">
        <x:v>74</x:v>
      </x:c>
      <x:c r="F25" s="5">
        <x:v>1</x:v>
      </x:c>
      <x:c r="G25" s="5">
        <x:v>1</x:v>
      </x:c>
      <x:c r="H25" s="7" t="s">
        <x:v>44</x:v>
      </x:c>
      <x:c r="I25" s="5">
        <x:v>5000</x:v>
      </x:c>
      <x:c r="J25" s="5">
        <x:v>1</x:v>
      </x:c>
      <x:c r="K25" s="5">
        <x:v>5</x:v>
      </x:c>
      <x:c r="L25" s="5">
        <x:v>5000</x:v>
      </x:c>
      <x:c r="M25" s="4" t="s">
        <x:v>36</x:v>
      </x:c>
      <x:c r="N25" s="5">
        <x:v>15</x:v>
      </x:c>
    </x:row>
    <x:row r="26" spans="1:15" x14ac:dyDescent="0.15">
      <x:c r="A26" s="5">
        <x:v>20</x:v>
      </x:c>
      <x:c r="B26" s="4" t="s">
        <x:v>37</x:v>
      </x:c>
      <x:c r="C26" s="5" t="s">
        <x:v>79</x:v>
      </x:c>
      <x:c r="D26" s="4" t="s">
        <x:v>76</x:v>
      </x:c>
      <x:c r="E26" s="4" t="s">
        <x:v>74</x:v>
      </x:c>
      <x:c r="F26" s="5">
        <x:v>1</x:v>
      </x:c>
      <x:c r="G26" s="5">
        <x:v>1</x:v>
      </x:c>
      <x:c r="H26" s="7" t="s">
        <x:v>46</x:v>
      </x:c>
      <x:c r="I26" s="5">
        <x:v>5000</x:v>
      </x:c>
      <x:c r="J26" s="5">
        <x:v>1</x:v>
      </x:c>
      <x:c r="K26" s="5">
        <x:v>5</x:v>
      </x:c>
      <x:c r="L26" s="5">
        <x:v>5000</x:v>
      </x:c>
      <x:c r="M26" s="4" t="s">
        <x:v>36</x:v>
      </x:c>
      <x:c r="N26" s="5">
        <x:v>15</x:v>
      </x:c>
    </x:row>
    <x:row r="27" spans="1:15" x14ac:dyDescent="0.15">
      <x:c r="A27" s="5">
        <x:v>21</x:v>
      </x:c>
      <x:c r="B27" s="4" t="s">
        <x:v>37</x:v>
      </x:c>
      <x:c r="C27" s="5" t="s">
        <x:v>80</x:v>
      </x:c>
      <x:c r="D27" s="4" t="s">
        <x:v>76</x:v>
      </x:c>
      <x:c r="E27" s="4" t="s">
        <x:v>81</x:v>
      </x:c>
      <x:c r="F27" s="5">
        <x:v>1</x:v>
      </x:c>
      <x:c r="G27" s="5">
        <x:v>1</x:v>
      </x:c>
      <x:c r="H27" s="7" t="s">
        <x:v>49</x:v>
      </x:c>
      <x:c r="I27" s="5">
        <x:v>5000</x:v>
      </x:c>
      <x:c r="J27" s="5">
        <x:v>1</x:v>
      </x:c>
      <x:c r="K27" s="5">
        <x:v>5</x:v>
      </x:c>
      <x:c r="L27" s="5">
        <x:v>5000</x:v>
      </x:c>
      <x:c r="M27" s="4" t="s">
        <x:v>36</x:v>
      </x:c>
      <x:c r="N27" s="5">
        <x:v>23</x:v>
      </x:c>
    </x:row>
    <x:row r="28" spans="1:15" x14ac:dyDescent="0.15">
      <x:c r="A28" s="5">
        <x:v>22</x:v>
      </x:c>
      <x:c r="B28" s="4" t="s">
        <x:v>42</x:v>
      </x:c>
      <x:c r="C28" s="5" t="s">
        <x:v>82</x:v>
      </x:c>
      <x:c r="D28" s="4" t="s">
        <x:v>76</x:v>
      </x:c>
      <x:c r="E28" s="4" t="s">
        <x:v>81</x:v>
      </x:c>
      <x:c r="F28" s="5">
        <x:v>1</x:v>
      </x:c>
      <x:c r="G28" s="5">
        <x:v>1</x:v>
      </x:c>
      <x:c r="H28" s="7" t="s">
        <x:v>51</x:v>
      </x:c>
      <x:c r="I28" s="5">
        <x:v>5000</x:v>
      </x:c>
      <x:c r="J28" s="5">
        <x:v>1</x:v>
      </x:c>
      <x:c r="K28" s="5">
        <x:v>5</x:v>
      </x:c>
      <x:c r="L28" s="5">
        <x:v>5000</x:v>
      </x:c>
      <x:c r="M28" s="4" t="s">
        <x:v>36</x:v>
      </x:c>
      <x:c r="N28" s="5">
        <x:v>23</x:v>
      </x:c>
    </x:row>
    <x:row r="29" spans="1:15" x14ac:dyDescent="0.15">
      <x:c r="A29" s="5">
        <x:v>23</x:v>
      </x:c>
      <x:c r="B29" s="4" t="s">
        <x:v>37</x:v>
      </x:c>
      <x:c r="C29" s="5" t="s">
        <x:v>83</x:v>
      </x:c>
      <x:c r="D29" s="4" t="s">
        <x:v>76</x:v>
      </x:c>
      <x:c r="E29" s="4" t="s">
        <x:v>81</x:v>
      </x:c>
      <x:c r="F29" s="5">
        <x:v>1</x:v>
      </x:c>
      <x:c r="G29" s="5">
        <x:v>1</x:v>
      </x:c>
      <x:c r="H29" s="7" t="s">
        <x:v>53</x:v>
      </x:c>
      <x:c r="I29" s="5">
        <x:v>5000</x:v>
      </x:c>
      <x:c r="J29" s="5">
        <x:v>1</x:v>
      </x:c>
      <x:c r="K29" s="5">
        <x:v>5</x:v>
      </x:c>
      <x:c r="L29" s="5">
        <x:v>5000</x:v>
      </x:c>
      <x:c r="M29" s="4" t="s">
        <x:v>36</x:v>
      </x:c>
      <x:c r="N29" s="5">
        <x:v>23</x:v>
      </x:c>
    </x:row>
    <x:row r="30" spans="1:15" x14ac:dyDescent="0.15">
      <x:c r="A30" s="5">
        <x:v>24</x:v>
      </x:c>
      <x:c r="B30" s="4" t="s">
        <x:v>54</x:v>
      </x:c>
      <x:c r="C30" s="5" t="s">
        <x:v>84</x:v>
      </x:c>
      <x:c r="D30" s="4" t="s">
        <x:v>76</x:v>
      </x:c>
      <x:c r="E30" s="4" t="s">
        <x:v>81</x:v>
      </x:c>
      <x:c r="F30" s="5">
        <x:v>1</x:v>
      </x:c>
      <x:c r="G30" s="5">
        <x:v>1</x:v>
      </x:c>
      <x:c r="H30" s="7" t="s">
        <x:v>56</x:v>
      </x:c>
      <x:c r="I30" s="5">
        <x:v>5000</x:v>
      </x:c>
      <x:c r="J30" s="5">
        <x:v>1</x:v>
      </x:c>
      <x:c r="K30" s="5">
        <x:v>5</x:v>
      </x:c>
      <x:c r="L30" s="5">
        <x:v>5000</x:v>
      </x:c>
      <x:c r="M30" s="4" t="s">
        <x:v>36</x:v>
      </x:c>
      <x:c r="N30" s="5">
        <x:v>23</x:v>
      </x:c>
    </x:row>
    <x:row r="31" spans="1:15" x14ac:dyDescent="0.15">
      <x:c r="A31" s="5">
        <x:v>25</x:v>
      </x:c>
      <x:c r="B31" s="4" t="s">
        <x:v>42</x:v>
      </x:c>
      <x:c r="C31" s="5" t="s">
        <x:v>85</x:v>
      </x:c>
      <x:c r="D31" s="4" t="s">
        <x:v>76</x:v>
      </x:c>
      <x:c r="E31" s="4" t="s">
        <x:v>81</x:v>
      </x:c>
      <x:c r="F31" s="5">
        <x:v>1</x:v>
      </x:c>
      <x:c r="G31" s="5">
        <x:v>1</x:v>
      </x:c>
      <x:c r="H31" s="7" t="s">
        <x:v>58</x:v>
      </x:c>
      <x:c r="I31" s="5">
        <x:v>5000</x:v>
      </x:c>
      <x:c r="J31" s="5">
        <x:v>1</x:v>
      </x:c>
      <x:c r="K31" s="5">
        <x:v>5</x:v>
      </x:c>
      <x:c r="L31" s="5">
        <x:v>5000</x:v>
      </x:c>
      <x:c r="M31" s="4" t="s">
        <x:v>36</x:v>
      </x:c>
      <x:c r="N31" s="5">
        <x:v>23</x:v>
      </x:c>
    </x:row>
    <x:row r="32" spans="1:15" x14ac:dyDescent="0.15">
      <x:c r="A32" s="5">
        <x:v>26</x:v>
      </x:c>
      <x:c r="B32" s="4" t="s">
        <x:v>59</x:v>
      </x:c>
      <x:c r="C32" s="5" t="s">
        <x:v>86</x:v>
      </x:c>
      <x:c r="D32" s="4" t="s">
        <x:v>76</x:v>
      </x:c>
      <x:c r="E32" s="4" t="s">
        <x:v>87</x:v>
      </x:c>
      <x:c r="F32" s="5">
        <x:v>1</x:v>
      </x:c>
      <x:c r="G32" s="5">
        <x:v>1</x:v>
      </x:c>
      <x:c r="H32" s="7" t="s">
        <x:v>62</x:v>
      </x:c>
      <x:c r="I32" s="5">
        <x:v>5000</x:v>
      </x:c>
      <x:c r="J32" s="5">
        <x:v>1</x:v>
      </x:c>
      <x:c r="K32" s="5">
        <x:v>5</x:v>
      </x:c>
      <x:c r="L32" s="5">
        <x:v>5000</x:v>
      </x:c>
      <x:c r="M32" s="4" t="s">
        <x:v>36</x:v>
      </x:c>
      <x:c r="N32" s="5">
        <x:v>30</x:v>
      </x:c>
    </x:row>
    <x:row r="33" spans="1:14" x14ac:dyDescent="0.15">
      <x:c r="A33" s="5">
        <x:v>27</x:v>
      </x:c>
      <x:c r="B33" s="4" t="s">
        <x:v>63</x:v>
      </x:c>
      <x:c r="C33" s="5" t="s">
        <x:v>88</x:v>
      </x:c>
      <x:c r="D33" s="4" t="s">
        <x:v>76</x:v>
      </x:c>
      <x:c r="E33" s="4" t="s">
        <x:v>87</x:v>
      </x:c>
      <x:c r="F33" s="5">
        <x:v>1</x:v>
      </x:c>
      <x:c r="G33" s="5">
        <x:v>1</x:v>
      </x:c>
      <x:c r="H33" s="7" t="s">
        <x:v>65</x:v>
      </x:c>
      <x:c r="I33" s="5">
        <x:v>5000</x:v>
      </x:c>
      <x:c r="J33" s="5">
        <x:v>1</x:v>
      </x:c>
      <x:c r="K33" s="5">
        <x:v>5</x:v>
      </x:c>
      <x:c r="L33" s="5">
        <x:v>5000</x:v>
      </x:c>
      <x:c r="M33" s="4" t="s">
        <x:v>36</x:v>
      </x:c>
      <x:c r="N33" s="5">
        <x:v>30</x:v>
      </x:c>
    </x:row>
    <x:row r="34" spans="1:14" x14ac:dyDescent="0.15">
      <x:c r="A34" s="5">
        <x:v>28</x:v>
      </x:c>
      <x:c r="B34" s="4" t="s">
        <x:v>66</x:v>
      </x:c>
      <x:c r="C34" s="5" t="s">
        <x:v>89</x:v>
      </x:c>
      <x:c r="D34" s="4" t="s">
        <x:v>76</x:v>
      </x:c>
      <x:c r="E34" s="4" t="s">
        <x:v>87</x:v>
      </x:c>
      <x:c r="F34" s="5">
        <x:v>1</x:v>
      </x:c>
      <x:c r="G34" s="5">
        <x:v>1</x:v>
      </x:c>
      <x:c r="H34" s="7" t="s">
        <x:v>68</x:v>
      </x:c>
      <x:c r="I34" s="5">
        <x:v>5000</x:v>
      </x:c>
      <x:c r="J34" s="5">
        <x:v>1</x:v>
      </x:c>
      <x:c r="K34" s="5">
        <x:v>5</x:v>
      </x:c>
      <x:c r="L34" s="5">
        <x:v>5000</x:v>
      </x:c>
      <x:c r="M34" s="4" t="s">
        <x:v>36</x:v>
      </x:c>
      <x:c r="N34" s="5">
        <x:v>30</x:v>
      </x:c>
    </x:row>
    <x:row r="35" spans="1:14" x14ac:dyDescent="0.15">
      <x:c r="A35" s="5">
        <x:v>29</x:v>
      </x:c>
      <x:c r="B35" s="4" t="s">
        <x:v>66</x:v>
      </x:c>
      <x:c r="C35" s="5" t="s">
        <x:v>90</x:v>
      </x:c>
      <x:c r="D35" s="4" t="s">
        <x:v>76</x:v>
      </x:c>
      <x:c r="E35" s="4" t="s">
        <x:v>87</x:v>
      </x:c>
      <x:c r="F35" s="5">
        <x:v>1</x:v>
      </x:c>
      <x:c r="G35" s="5">
        <x:v>1</x:v>
      </x:c>
      <x:c r="H35" s="7" t="s">
        <x:v>70</x:v>
      </x:c>
      <x:c r="I35" s="5">
        <x:v>5000</x:v>
      </x:c>
      <x:c r="J35" s="5">
        <x:v>1</x:v>
      </x:c>
      <x:c r="K35" s="5">
        <x:v>5</x:v>
      </x:c>
      <x:c r="L35" s="5">
        <x:v>5000</x:v>
      </x:c>
      <x:c r="M35" s="4" t="s">
        <x:v>36</x:v>
      </x:c>
      <x:c r="N35" s="5">
        <x:v>30</x:v>
      </x:c>
    </x:row>
    <x:row r="36" spans="1:14" x14ac:dyDescent="0.15">
      <x:c r="A36" s="5">
        <x:v>30</x:v>
      </x:c>
      <x:c r="B36" s="4" t="s">
        <x:v>66</x:v>
      </x:c>
      <x:c r="C36" s="5" t="s">
        <x:v>91</x:v>
      </x:c>
      <x:c r="D36" s="4" t="s">
        <x:v>76</x:v>
      </x:c>
      <x:c r="E36" s="4" t="s">
        <x:v>87</x:v>
      </x:c>
      <x:c r="F36" s="5">
        <x:v>1</x:v>
      </x:c>
      <x:c r="G36" s="5">
        <x:v>1</x:v>
      </x:c>
      <x:c r="H36" s="7" t="s">
        <x:v>92</x:v>
      </x:c>
      <x:c r="I36" s="5">
        <x:v>5000</x:v>
      </x:c>
      <x:c r="J36" s="5">
        <x:v>1</x:v>
      </x:c>
      <x:c r="K36" s="5">
        <x:v>5</x:v>
      </x:c>
      <x:c r="L36" s="5">
        <x:v>5000</x:v>
      </x:c>
      <x:c r="M36" s="4" t="s">
        <x:v>36</x:v>
      </x:c>
      <x:c r="N36" s="5">
        <x:v>30</x:v>
      </x:c>
    </x:row>
    <x:row r="37" spans="1:14" x14ac:dyDescent="0.15">
      <x:c r="A37" s="5">
        <x:v>31</x:v>
      </x:c>
      <x:c r="B37" s="4" t="s">
        <x:v>93</x:v>
      </x:c>
      <x:c r="C37" s="5" t="s">
        <x:v>94</x:v>
      </x:c>
      <x:c r="D37" s="6"/>
      <x:c r="E37" s="6"/>
      <x:c r="F37" s="5">
        <x:v>4</x:v>
      </x:c>
      <x:c r="G37" s="5">
        <x:v>0</x:v>
      </x:c>
      <x:c r="H37" s="7" t="s">
        <x:v>95</x:v>
      </x:c>
      <x:c r="I37" s="5">
        <x:v>100000</x:v>
      </x:c>
      <x:c r="J37" s="5">
        <x:v>1</x:v>
      </x:c>
      <x:c r="K37" s="5">
        <x:v>5</x:v>
      </x:c>
      <x:c r="L37" s="5">
        <x:v>5000</x:v>
      </x:c>
      <x:c r="M37" s="4" t="s">
        <x:v>96</x:v>
      </x:c>
      <x:c r="N37" s="5">
        <x:v>30</x:v>
      </x:c>
    </x:row>
  </x:sheetData>
  <x:phoneticPr fontId="5" type="noConversion"/>
  <x:pageMargins left="0.7" right="0.7" top="0.75" bottom="0.75" header="0.3" footer="0.3"/>
  <x:pageSetup paperSize="9" orientation="portrait"/>
  <x:ignoredErrors>
    <x:ignoredError sqref="C37" numberStoredAsText="1"/>
  </x:ignoredErrors>
  <x:legacyDrawing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 codeName="Sheet2"/>
  <x:dimension ref="A1:N63"/>
  <x:sheetViews>
    <x:sheetView workbookViewId="0">
      <x:selection activeCell="H31" sqref="H31"/>
    </x:sheetView>
  </x:sheetViews>
  <x:sheetFormatPr defaultColWidth="9" defaultRowHeight="13.5" x14ac:dyDescent="0.15"/>
  <x:cols>
    <x:col min="1" max="1" width="20.375" customWidth="1"/>
    <x:col min="2" max="2" width="9.375" customWidth="1"/>
    <x:col min="4" max="4" width="20.375" customWidth="1"/>
    <x:col min="5" max="5" width="9.375" customWidth="1"/>
    <x:col min="6" max="7" width="9.375"/>
  </x:cols>
  <x:sheetData>
    <x:row r="1" spans="1:14" x14ac:dyDescent="0.15">
      <x:c r="A1" t="s">
        <x:v>97</x:v>
      </x:c>
      <x:c r="B1" s="2">
        <x:v>53001011</x:v>
      </x:c>
      <x:c r="D1" s="2" t="s">
        <x:v>98</x:v>
      </x:c>
      <x:c r="E1">
        <x:f>VLOOKUP(D1&amp;"-"&amp;1,A:B,2,FALSE)</x:f>
        <x:v>53001011</x:v>
      </x:c>
      <x:c r="F1">
        <x:f>VLOOKUP(D1&amp;"-"&amp;2,A:B,2,FALSE)</x:f>
        <x:v>53001012</x:v>
      </x:c>
      <x:c r="G1" t="str">
        <x:f>_xlfn.IFNA(VLOOKUP(D1&amp;"-"&amp;3,A:B,2,FALSE),"")</x:f>
        <x:v/>
      </x:c>
      <x:c r="H1" t="str">
        <x:f>_xlfn.TEXTJOIN(";",1,E1:G1)</x:f>
        <x:v>53001011;53001012</x:v>
      </x:c>
      <x:c r="M1">
        <x:v>1</x:v>
      </x:c>
      <x:c r="N1" t="s">
        <x:v>99</x:v>
      </x:c>
    </x:row>
    <x:row r="2" spans="1:14" x14ac:dyDescent="0.15">
      <x:c r="A2" t="s">
        <x:v>100</x:v>
      </x:c>
      <x:c r="B2" s="2">
        <x:v>53001012</x:v>
      </x:c>
      <x:c r="D2" s="2" t="s">
        <x:v>101</x:v>
      </x:c>
      <x:c r="E2">
        <x:f t="shared" ref="E2:E31" si="0">VLOOKUP(D2&amp;"-"&amp;1,A:B,2,FALSE)</x:f>
        <x:v>53001021</x:v>
      </x:c>
      <x:c r="F2">
        <x:f t="shared" ref="F2:F31" si="1">VLOOKUP(D2&amp;"-"&amp;2,A:B,2,FALSE)</x:f>
        <x:v>53001022</x:v>
      </x:c>
      <x:c r="G2" t="str">
        <x:f t="shared" ref="G2:G31" si="2">_xlfn.IFNA(VLOOKUP(D2&amp;"-"&amp;3,A:B,2,FALSE),"")</x:f>
        <x:v/>
      </x:c>
      <x:c r="H2" t="str">
        <x:f t="shared" ref="H2:H31" si="3">_xlfn.TEXTJOIN(";",1,E2:G2)</x:f>
        <x:v>53001021;53001022</x:v>
      </x:c>
      <x:c r="M2">
        <x:v>2</x:v>
      </x:c>
      <x:c r="N2" t="s">
        <x:v>99</x:v>
      </x:c>
    </x:row>
    <x:row r="3" spans="1:14" x14ac:dyDescent="0.15">
      <x:c r="A3" t="s">
        <x:v>102</x:v>
      </x:c>
      <x:c r="B3" s="2">
        <x:v>53001021</x:v>
      </x:c>
      <x:c r="D3" s="2" t="s">
        <x:v>103</x:v>
      </x:c>
      <x:c r="E3">
        <x:f t="shared" si="0"/>
        <x:v>53001031</x:v>
      </x:c>
      <x:c r="F3">
        <x:f t="shared" si="1"/>
        <x:v>53001032</x:v>
      </x:c>
      <x:c r="G3" t="str">
        <x:f t="shared" si="2"/>
        <x:v/>
      </x:c>
      <x:c r="H3" t="str">
        <x:f t="shared" si="3"/>
        <x:v>53001031;53001032</x:v>
      </x:c>
      <x:c r="M3">
        <x:v>3</x:v>
      </x:c>
      <x:c r="N3" t="s">
        <x:v>104</x:v>
      </x:c>
    </x:row>
    <x:row r="4" spans="1:14" x14ac:dyDescent="0.15">
      <x:c r="A4" t="s">
        <x:v>105</x:v>
      </x:c>
      <x:c r="B4" s="2">
        <x:v>53001022</x:v>
      </x:c>
      <x:c r="D4" s="2" t="s">
        <x:v>106</x:v>
      </x:c>
      <x:c r="E4">
        <x:f t="shared" si="0"/>
        <x:v>53001041</x:v>
      </x:c>
      <x:c r="F4">
        <x:f t="shared" si="1"/>
        <x:v>53001042</x:v>
      </x:c>
      <x:c r="G4" t="str">
        <x:f t="shared" si="2"/>
        <x:v/>
      </x:c>
      <x:c r="H4" t="str">
        <x:f t="shared" si="3"/>
        <x:v>53001041;53001042</x:v>
      </x:c>
      <x:c r="M4">
        <x:v>4</x:v>
      </x:c>
      <x:c r="N4" t="s">
        <x:v>107</x:v>
      </x:c>
    </x:row>
    <x:row r="5" spans="1:14" x14ac:dyDescent="0.15">
      <x:c r="A5" t="s">
        <x:v>108</x:v>
      </x:c>
      <x:c r="B5" s="2">
        <x:v>53001031</x:v>
      </x:c>
      <x:c r="D5" s="2" t="s">
        <x:v>109</x:v>
      </x:c>
      <x:c r="E5">
        <x:f t="shared" si="0"/>
        <x:v>53001051</x:v>
      </x:c>
      <x:c r="F5">
        <x:f t="shared" si="1"/>
        <x:v>53001052</x:v>
      </x:c>
      <x:c r="G5" t="str">
        <x:f t="shared" si="2"/>
        <x:v/>
      </x:c>
      <x:c r="H5" t="str">
        <x:f t="shared" si="3"/>
        <x:v>53001051;53001052</x:v>
      </x:c>
      <x:c r="M5">
        <x:v>5</x:v>
      </x:c>
      <x:c r="N5" t="s">
        <x:v>110</x:v>
      </x:c>
    </x:row>
    <x:row r="6" spans="1:14" x14ac:dyDescent="0.15">
      <x:c r="A6" t="s">
        <x:v>111</x:v>
      </x:c>
      <x:c r="B6" s="2">
        <x:v>53001032</x:v>
      </x:c>
      <x:c r="D6" s="2" t="s">
        <x:v>112</x:v>
      </x:c>
      <x:c r="E6">
        <x:f t="shared" si="0"/>
        <x:v>53001061</x:v>
      </x:c>
      <x:c r="F6">
        <x:f t="shared" si="1"/>
        <x:v>53001062</x:v>
      </x:c>
      <x:c r="G6" t="str">
        <x:f t="shared" si="2"/>
        <x:v/>
      </x:c>
      <x:c r="H6" t="str">
        <x:f t="shared" si="3"/>
        <x:v>53001061;53001062</x:v>
      </x:c>
      <x:c r="M6">
        <x:v>6</x:v>
      </x:c>
      <x:c r="N6" t="s">
        <x:v>99</x:v>
      </x:c>
    </x:row>
    <x:row r="7" spans="1:14" x14ac:dyDescent="0.15">
      <x:c r="A7" t="s">
        <x:v>113</x:v>
      </x:c>
      <x:c r="B7" s="2">
        <x:v>53001041</x:v>
      </x:c>
      <x:c r="D7" s="2" t="s">
        <x:v>114</x:v>
      </x:c>
      <x:c r="E7">
        <x:f t="shared" si="0"/>
        <x:v>53001071</x:v>
      </x:c>
      <x:c r="F7">
        <x:f t="shared" si="1"/>
        <x:v>53001072</x:v>
      </x:c>
      <x:c r="G7" t="str">
        <x:f t="shared" si="2"/>
        <x:v/>
      </x:c>
      <x:c r="H7" t="str">
        <x:f t="shared" si="3"/>
        <x:v>53001071;53001072</x:v>
      </x:c>
      <x:c r="M7">
        <x:v>7</x:v>
      </x:c>
      <x:c r="N7" t="s">
        <x:v>115</x:v>
      </x:c>
    </x:row>
    <x:row r="8" spans="1:14" x14ac:dyDescent="0.15">
      <x:c r="A8" t="s">
        <x:v>116</x:v>
      </x:c>
      <x:c r="B8" s="2">
        <x:v>53001042</x:v>
      </x:c>
      <x:c r="D8" s="2" t="s">
        <x:v>117</x:v>
      </x:c>
      <x:c r="E8">
        <x:f t="shared" si="0"/>
        <x:v>53001081</x:v>
      </x:c>
      <x:c r="F8">
        <x:f t="shared" si="1"/>
        <x:v>53001082</x:v>
      </x:c>
      <x:c r="G8" t="str">
        <x:f t="shared" si="2"/>
        <x:v/>
      </x:c>
      <x:c r="H8" t="str">
        <x:f t="shared" si="3"/>
        <x:v>53001081;53001082</x:v>
      </x:c>
      <x:c r="M8">
        <x:v>8</x:v>
      </x:c>
      <x:c r="N8" t="s">
        <x:v>118</x:v>
      </x:c>
    </x:row>
    <x:row r="9" spans="1:14" x14ac:dyDescent="0.15">
      <x:c r="A9" t="s">
        <x:v>119</x:v>
      </x:c>
      <x:c r="B9" s="2">
        <x:v>53001051</x:v>
      </x:c>
      <x:c r="D9" s="2" t="s">
        <x:v>120</x:v>
      </x:c>
      <x:c r="E9">
        <x:f t="shared" si="0"/>
        <x:v>53001091</x:v>
      </x:c>
      <x:c r="F9">
        <x:f t="shared" si="1"/>
        <x:v>53001092</x:v>
      </x:c>
      <x:c r="G9" t="str">
        <x:f t="shared" si="2"/>
        <x:v/>
      </x:c>
      <x:c r="H9" t="str">
        <x:f t="shared" si="3"/>
        <x:v>53001091;53001092</x:v>
      </x:c>
      <x:c r="M9">
        <x:v>9</x:v>
      </x:c>
      <x:c r="N9" t="s">
        <x:v>121</x:v>
      </x:c>
    </x:row>
    <x:row r="10" spans="1:14" x14ac:dyDescent="0.15">
      <x:c r="A10" t="s">
        <x:v>122</x:v>
      </x:c>
      <x:c r="B10" s="2">
        <x:v>53001052</x:v>
      </x:c>
      <x:c r="D10" s="2" t="s">
        <x:v>123</x:v>
      </x:c>
      <x:c r="E10">
        <x:f t="shared" si="0"/>
        <x:v>53001101</x:v>
      </x:c>
      <x:c r="F10">
        <x:f t="shared" si="1"/>
        <x:v>53001102</x:v>
      </x:c>
      <x:c r="G10" t="str">
        <x:f t="shared" si="2"/>
        <x:v/>
      </x:c>
      <x:c r="H10" t="str">
        <x:f t="shared" si="3"/>
        <x:v>53001101;53001102</x:v>
      </x:c>
      <x:c r="M10">
        <x:v>10</x:v>
      </x:c>
      <x:c r="N10" t="s">
        <x:v>124</x:v>
      </x:c>
    </x:row>
    <x:row r="11" spans="1:14" x14ac:dyDescent="0.15">
      <x:c r="A11" t="s">
        <x:v>125</x:v>
      </x:c>
      <x:c r="B11" s="2">
        <x:v>53001061</x:v>
      </x:c>
      <x:c r="D11" s="2" t="s">
        <x:v>126</x:v>
      </x:c>
      <x:c r="E11">
        <x:f t="shared" si="0"/>
        <x:v>53001111</x:v>
      </x:c>
      <x:c r="F11">
        <x:f t="shared" si="1"/>
        <x:v>53001112</x:v>
      </x:c>
      <x:c r="G11" t="str">
        <x:f t="shared" si="2"/>
        <x:v/>
      </x:c>
      <x:c r="H11" t="str">
        <x:f t="shared" si="3"/>
        <x:v>53001111;53001112</x:v>
      </x:c>
      <x:c r="M11">
        <x:v>11</x:v>
      </x:c>
      <x:c r="N11" t="s">
        <x:v>127</x:v>
      </x:c>
    </x:row>
    <x:row r="12" spans="1:14" x14ac:dyDescent="0.15">
      <x:c r="A12" t="s">
        <x:v>128</x:v>
      </x:c>
      <x:c r="B12" s="2">
        <x:v>53001062</x:v>
      </x:c>
      <x:c r="D12" s="2" t="s">
        <x:v>129</x:v>
      </x:c>
      <x:c r="E12">
        <x:f t="shared" si="0"/>
        <x:v>53001121</x:v>
      </x:c>
      <x:c r="F12">
        <x:f t="shared" si="1"/>
        <x:v>53001122</x:v>
      </x:c>
      <x:c r="G12" t="str">
        <x:f t="shared" si="2"/>
        <x:v/>
      </x:c>
      <x:c r="H12" t="str">
        <x:f t="shared" si="3"/>
        <x:v>53001121;53001122</x:v>
      </x:c>
      <x:c r="M12">
        <x:v>12</x:v>
      </x:c>
      <x:c r="N12" t="s">
        <x:v>130</x:v>
      </x:c>
    </x:row>
    <x:row r="13" spans="1:14" x14ac:dyDescent="0.15">
      <x:c r="A13" t="s">
        <x:v>131</x:v>
      </x:c>
      <x:c r="B13" s="2">
        <x:v>53001071</x:v>
      </x:c>
      <x:c r="D13" s="2" t="s">
        <x:v>132</x:v>
      </x:c>
      <x:c r="E13">
        <x:f t="shared" si="0"/>
        <x:v>53001131</x:v>
      </x:c>
      <x:c r="F13">
        <x:f t="shared" si="1"/>
        <x:v>53001132</x:v>
      </x:c>
      <x:c r="G13" t="str">
        <x:f t="shared" si="2"/>
        <x:v/>
      </x:c>
      <x:c r="H13" t="str">
        <x:f t="shared" si="3"/>
        <x:v>53001131;53001132</x:v>
      </x:c>
      <x:c r="M13">
        <x:v>13</x:v>
      </x:c>
      <x:c r="N13" t="s">
        <x:v>133</x:v>
      </x:c>
    </x:row>
    <x:row r="14" spans="1:14" x14ac:dyDescent="0.15">
      <x:c r="A14" t="s">
        <x:v>134</x:v>
      </x:c>
      <x:c r="B14" s="2">
        <x:v>53001072</x:v>
      </x:c>
      <x:c r="D14" s="2" t="s">
        <x:v>135</x:v>
      </x:c>
      <x:c r="E14">
        <x:f t="shared" si="0"/>
        <x:v>53001141</x:v>
      </x:c>
      <x:c r="F14">
        <x:f t="shared" si="1"/>
        <x:v>53001142</x:v>
      </x:c>
      <x:c r="G14" t="str">
        <x:f t="shared" si="2"/>
        <x:v/>
      </x:c>
      <x:c r="H14" t="str">
        <x:f t="shared" si="3"/>
        <x:v>53001141;53001142</x:v>
      </x:c>
      <x:c r="M14">
        <x:v>14</x:v>
      </x:c>
      <x:c r="N14" t="s">
        <x:v>136</x:v>
      </x:c>
    </x:row>
    <x:row r="15" spans="1:14" x14ac:dyDescent="0.15">
      <x:c r="A15" t="s">
        <x:v>137</x:v>
      </x:c>
      <x:c r="B15" s="2">
        <x:v>53001081</x:v>
      </x:c>
      <x:c r="D15" s="2" t="s">
        <x:v>138</x:v>
      </x:c>
      <x:c r="E15">
        <x:f t="shared" si="0"/>
        <x:v>53001151</x:v>
      </x:c>
      <x:c r="F15">
        <x:f t="shared" si="1"/>
        <x:v>53001152</x:v>
      </x:c>
      <x:c r="G15" t="str">
        <x:f t="shared" si="2"/>
        <x:v/>
      </x:c>
      <x:c r="H15" t="str">
        <x:f t="shared" si="3"/>
        <x:v>53001151;53001152</x:v>
      </x:c>
      <x:c r="M15">
        <x:v>15</x:v>
      </x:c>
      <x:c r="N15" t="s">
        <x:v>139</x:v>
      </x:c>
    </x:row>
    <x:row r="16" spans="1:14" x14ac:dyDescent="0.15">
      <x:c r="A16" t="s">
        <x:v>140</x:v>
      </x:c>
      <x:c r="B16" s="2">
        <x:v>53001082</x:v>
      </x:c>
      <x:c r="D16" s="2" t="s">
        <x:v>141</x:v>
      </x:c>
      <x:c r="E16">
        <x:f t="shared" si="0"/>
        <x:v>53002011</x:v>
      </x:c>
      <x:c r="F16">
        <x:f t="shared" si="1"/>
        <x:v>53002012</x:v>
      </x:c>
      <x:c r="G16" t="str">
        <x:f t="shared" si="2"/>
        <x:v/>
      </x:c>
      <x:c r="H16" t="str">
        <x:f t="shared" si="3"/>
        <x:v>53002011;53002012</x:v>
      </x:c>
      <x:c r="M16" t="s">
        <x:v>142</x:v>
      </x:c>
      <x:c r="N16" t="s">
        <x:v>143</x:v>
      </x:c>
    </x:row>
    <x:row r="17" spans="1:8" x14ac:dyDescent="0.15">
      <x:c r="A17" t="s">
        <x:v>144</x:v>
      </x:c>
      <x:c r="B17" s="2">
        <x:v>53001091</x:v>
      </x:c>
      <x:c r="D17" s="2" t="s">
        <x:v>145</x:v>
      </x:c>
      <x:c r="E17">
        <x:f t="shared" si="0"/>
        <x:v>53002021</x:v>
      </x:c>
      <x:c r="F17">
        <x:f t="shared" si="1"/>
        <x:v>53002022</x:v>
      </x:c>
      <x:c r="G17" t="str">
        <x:f t="shared" si="2"/>
        <x:v/>
      </x:c>
      <x:c r="H17" t="str">
        <x:f t="shared" si="3"/>
        <x:v>53002021;53002022</x:v>
      </x:c>
    </x:row>
    <x:row r="18" spans="1:8" x14ac:dyDescent="0.15">
      <x:c r="A18" t="s">
        <x:v>146</x:v>
      </x:c>
      <x:c r="B18" s="2">
        <x:v>53001092</x:v>
      </x:c>
      <x:c r="D18" s="2" t="s">
        <x:v>147</x:v>
      </x:c>
      <x:c r="E18">
        <x:f t="shared" si="0"/>
        <x:v>53002031</x:v>
      </x:c>
      <x:c r="F18">
        <x:f t="shared" si="1"/>
        <x:v>53002032</x:v>
      </x:c>
      <x:c r="G18" t="str">
        <x:f t="shared" si="2"/>
        <x:v/>
      </x:c>
      <x:c r="H18" t="str">
        <x:f t="shared" si="3"/>
        <x:v>53002031;53002032</x:v>
      </x:c>
    </x:row>
    <x:row r="19" spans="1:8" x14ac:dyDescent="0.15">
      <x:c r="A19" t="s">
        <x:v>148</x:v>
      </x:c>
      <x:c r="B19" s="2">
        <x:v>53001101</x:v>
      </x:c>
      <x:c r="D19" s="2" t="s">
        <x:v>149</x:v>
      </x:c>
      <x:c r="E19">
        <x:f t="shared" si="0"/>
        <x:v>53002041</x:v>
      </x:c>
      <x:c r="F19">
        <x:f t="shared" si="1"/>
        <x:v>53002042</x:v>
      </x:c>
      <x:c r="G19" t="str">
        <x:f t="shared" si="2"/>
        <x:v/>
      </x:c>
      <x:c r="H19" t="str">
        <x:f t="shared" si="3"/>
        <x:v>53002041;53002042</x:v>
      </x:c>
    </x:row>
    <x:row r="20" spans="1:8" x14ac:dyDescent="0.15">
      <x:c r="A20" t="s">
        <x:v>150</x:v>
      </x:c>
      <x:c r="B20" s="2">
        <x:v>53001102</x:v>
      </x:c>
      <x:c r="D20" s="2" t="s">
        <x:v>151</x:v>
      </x:c>
      <x:c r="E20">
        <x:f t="shared" si="0"/>
        <x:v>53002051</x:v>
      </x:c>
      <x:c r="F20">
        <x:f t="shared" si="1"/>
        <x:v>53002052</x:v>
      </x:c>
      <x:c r="G20" t="str">
        <x:f t="shared" si="2"/>
        <x:v/>
      </x:c>
      <x:c r="H20" t="str">
        <x:f t="shared" si="3"/>
        <x:v>53002051;53002052</x:v>
      </x:c>
    </x:row>
    <x:row r="21" spans="1:8" x14ac:dyDescent="0.15">
      <x:c r="A21" t="s">
        <x:v>152</x:v>
      </x:c>
      <x:c r="B21" s="2">
        <x:v>53001111</x:v>
      </x:c>
      <x:c r="D21" s="2" t="s">
        <x:v>153</x:v>
      </x:c>
      <x:c r="E21">
        <x:f t="shared" si="0"/>
        <x:v>53002061</x:v>
      </x:c>
      <x:c r="F21">
        <x:f t="shared" si="1"/>
        <x:v>53002062</x:v>
      </x:c>
      <x:c r="G21" t="str">
        <x:f t="shared" si="2"/>
        <x:v/>
      </x:c>
      <x:c r="H21" t="str">
        <x:f t="shared" si="3"/>
        <x:v>53002061;53002062</x:v>
      </x:c>
    </x:row>
    <x:row r="22" spans="1:8" x14ac:dyDescent="0.15">
      <x:c r="A22" t="s">
        <x:v>154</x:v>
      </x:c>
      <x:c r="B22" s="2">
        <x:v>53001112</x:v>
      </x:c>
      <x:c r="D22" s="2" t="s">
        <x:v>155</x:v>
      </x:c>
      <x:c r="E22">
        <x:f t="shared" si="0"/>
        <x:v>53002071</x:v>
      </x:c>
      <x:c r="F22">
        <x:f t="shared" si="1"/>
        <x:v>53002072</x:v>
      </x:c>
      <x:c r="G22" t="str">
        <x:f t="shared" si="2"/>
        <x:v/>
      </x:c>
      <x:c r="H22" t="str">
        <x:f t="shared" si="3"/>
        <x:v>53002071;53002072</x:v>
      </x:c>
    </x:row>
    <x:row r="23" spans="1:8" x14ac:dyDescent="0.15">
      <x:c r="A23" t="s">
        <x:v>156</x:v>
      </x:c>
      <x:c r="B23" s="2">
        <x:v>53001121</x:v>
      </x:c>
      <x:c r="D23" s="2" t="s">
        <x:v>157</x:v>
      </x:c>
      <x:c r="E23">
        <x:f t="shared" si="0"/>
        <x:v>53002081</x:v>
      </x:c>
      <x:c r="F23">
        <x:f t="shared" si="1"/>
        <x:v>53002082</x:v>
      </x:c>
      <x:c r="G23" t="str">
        <x:f t="shared" si="2"/>
        <x:v/>
      </x:c>
      <x:c r="H23" t="str">
        <x:f t="shared" si="3"/>
        <x:v>53002081;53002082</x:v>
      </x:c>
    </x:row>
    <x:row r="24" spans="1:8" x14ac:dyDescent="0.15">
      <x:c r="A24" t="s">
        <x:v>158</x:v>
      </x:c>
      <x:c r="B24" s="2">
        <x:v>53001122</x:v>
      </x:c>
      <x:c r="D24" s="2" t="s">
        <x:v>159</x:v>
      </x:c>
      <x:c r="E24">
        <x:f t="shared" si="0"/>
        <x:v>53002091</x:v>
      </x:c>
      <x:c r="F24">
        <x:f t="shared" si="1"/>
        <x:v>53002092</x:v>
      </x:c>
      <x:c r="G24" t="str">
        <x:f t="shared" si="2"/>
        <x:v/>
      </x:c>
      <x:c r="H24" t="str">
        <x:f t="shared" si="3"/>
        <x:v>53002091;53002092</x:v>
      </x:c>
    </x:row>
    <x:row r="25" spans="1:8" x14ac:dyDescent="0.15">
      <x:c r="A25" t="s">
        <x:v>160</x:v>
      </x:c>
      <x:c r="B25" s="2">
        <x:v>53001131</x:v>
      </x:c>
      <x:c r="D25" s="2" t="s">
        <x:v>161</x:v>
      </x:c>
      <x:c r="E25">
        <x:f t="shared" si="0"/>
        <x:v>53002101</x:v>
      </x:c>
      <x:c r="F25">
        <x:f t="shared" si="1"/>
        <x:v>53002102</x:v>
      </x:c>
      <x:c r="G25" t="str">
        <x:f t="shared" si="2"/>
        <x:v/>
      </x:c>
      <x:c r="H25" t="str">
        <x:f t="shared" si="3"/>
        <x:v>53002101;53002102</x:v>
      </x:c>
    </x:row>
    <x:row r="26" spans="1:8" x14ac:dyDescent="0.15">
      <x:c r="A26" t="s">
        <x:v>162</x:v>
      </x:c>
      <x:c r="B26" s="2">
        <x:v>53001132</x:v>
      </x:c>
      <x:c r="D26" s="2" t="s">
        <x:v>163</x:v>
      </x:c>
      <x:c r="E26">
        <x:f t="shared" si="0"/>
        <x:v>53002111</x:v>
      </x:c>
      <x:c r="F26">
        <x:f t="shared" si="1"/>
        <x:v>53002112</x:v>
      </x:c>
      <x:c r="G26" t="str">
        <x:f t="shared" si="2"/>
        <x:v/>
      </x:c>
      <x:c r="H26" t="str">
        <x:f t="shared" si="3"/>
        <x:v>53002111;53002112</x:v>
      </x:c>
    </x:row>
    <x:row r="27" spans="1:8" x14ac:dyDescent="0.15">
      <x:c r="A27" t="s">
        <x:v>164</x:v>
      </x:c>
      <x:c r="B27" s="2">
        <x:v>53001141</x:v>
      </x:c>
      <x:c r="D27" s="2" t="s">
        <x:v>165</x:v>
      </x:c>
      <x:c r="E27">
        <x:f t="shared" si="0"/>
        <x:v>53002121</x:v>
      </x:c>
      <x:c r="F27">
        <x:f t="shared" si="1"/>
        <x:v>53002122</x:v>
      </x:c>
      <x:c r="G27" t="str">
        <x:f t="shared" si="2"/>
        <x:v/>
      </x:c>
      <x:c r="H27" t="str">
        <x:f t="shared" si="3"/>
        <x:v>53002121;53002122</x:v>
      </x:c>
    </x:row>
    <x:row r="28" spans="1:8" x14ac:dyDescent="0.15">
      <x:c r="A28" t="s">
        <x:v>166</x:v>
      </x:c>
      <x:c r="B28" s="2">
        <x:v>53001142</x:v>
      </x:c>
      <x:c r="D28" s="2" t="s">
        <x:v>167</x:v>
      </x:c>
      <x:c r="E28">
        <x:f t="shared" si="0"/>
        <x:v>53002131</x:v>
      </x:c>
      <x:c r="F28">
        <x:f t="shared" si="1"/>
        <x:v>53002132</x:v>
      </x:c>
      <x:c r="G28" t="str">
        <x:f t="shared" si="2"/>
        <x:v/>
      </x:c>
      <x:c r="H28" t="str">
        <x:f t="shared" si="3"/>
        <x:v>53002131;53002132</x:v>
      </x:c>
    </x:row>
    <x:row r="29" spans="1:8" x14ac:dyDescent="0.15">
      <x:c r="A29" t="s">
        <x:v>168</x:v>
      </x:c>
      <x:c r="B29" s="2">
        <x:v>53001151</x:v>
      </x:c>
      <x:c r="D29" s="2" t="s">
        <x:v>169</x:v>
      </x:c>
      <x:c r="E29">
        <x:f t="shared" si="0"/>
        <x:v>53002141</x:v>
      </x:c>
      <x:c r="F29">
        <x:f t="shared" si="1"/>
        <x:v>53002142</x:v>
      </x:c>
      <x:c r="G29" t="str">
        <x:f t="shared" si="2"/>
        <x:v/>
      </x:c>
      <x:c r="H29" t="str">
        <x:f t="shared" si="3"/>
        <x:v>53002141;53002142</x:v>
      </x:c>
    </x:row>
    <x:row r="30" spans="1:8" x14ac:dyDescent="0.15">
      <x:c r="A30" t="s">
        <x:v>170</x:v>
      </x:c>
      <x:c r="B30" s="2">
        <x:v>53001152</x:v>
      </x:c>
      <x:c r="D30" s="2" t="s">
        <x:v>171</x:v>
      </x:c>
      <x:c r="E30">
        <x:f t="shared" si="0"/>
        <x:v>53002151</x:v>
      </x:c>
      <x:c r="F30">
        <x:f t="shared" si="1"/>
        <x:v>53002152</x:v>
      </x:c>
      <x:c r="G30" t="str">
        <x:f t="shared" si="2"/>
        <x:v/>
      </x:c>
      <x:c r="H30" t="str">
        <x:f t="shared" si="3"/>
        <x:v>53002151;53002152</x:v>
      </x:c>
    </x:row>
    <x:row r="31" spans="1:8" x14ac:dyDescent="0.15">
      <x:c r="A31" t="s">
        <x:v>172</x:v>
      </x:c>
      <x:c r="B31" s="2">
        <x:v>53002011</x:v>
      </x:c>
      <x:c r="D31" s="2" t="s">
        <x:v>173</x:v>
      </x:c>
      <x:c r="E31">
        <x:f t="shared" si="0"/>
        <x:v>53009001</x:v>
      </x:c>
      <x:c r="F31">
        <x:f t="shared" si="1"/>
        <x:v>53009002</x:v>
      </x:c>
      <x:c r="G31">
        <x:f t="shared" si="2"/>
        <x:v>53009003</x:v>
      </x:c>
      <x:c r="H31" t="str">
        <x:f t="shared" si="3"/>
        <x:v>53009001;53009002;53009003</x:v>
      </x:c>
    </x:row>
    <x:row r="32" spans="1:8" x14ac:dyDescent="0.15">
      <x:c r="A32" t="s">
        <x:v>174</x:v>
      </x:c>
      <x:c r="B32" s="2">
        <x:v>53002012</x:v>
      </x:c>
    </x:row>
    <x:row r="33" spans="1:2" x14ac:dyDescent="0.15">
      <x:c r="A33" t="s">
        <x:v>175</x:v>
      </x:c>
      <x:c r="B33" s="2">
        <x:v>53002021</x:v>
      </x:c>
    </x:row>
    <x:row r="34" spans="1:2" x14ac:dyDescent="0.15">
      <x:c r="A34" t="s">
        <x:v>176</x:v>
      </x:c>
      <x:c r="B34" s="2">
        <x:v>53002022</x:v>
      </x:c>
    </x:row>
    <x:row r="35" spans="1:2" x14ac:dyDescent="0.15">
      <x:c r="A35" t="s">
        <x:v>177</x:v>
      </x:c>
      <x:c r="B35" s="2">
        <x:v>53002031</x:v>
      </x:c>
    </x:row>
    <x:row r="36" spans="1:2" x14ac:dyDescent="0.15">
      <x:c r="A36" t="s">
        <x:v>178</x:v>
      </x:c>
      <x:c r="B36" s="2">
        <x:v>53002032</x:v>
      </x:c>
    </x:row>
    <x:row r="37" spans="1:2" x14ac:dyDescent="0.15">
      <x:c r="A37" t="s">
        <x:v>179</x:v>
      </x:c>
      <x:c r="B37" s="2">
        <x:v>53002041</x:v>
      </x:c>
    </x:row>
    <x:row r="38" spans="1:2" x14ac:dyDescent="0.15">
      <x:c r="A38" t="s">
        <x:v>180</x:v>
      </x:c>
      <x:c r="B38" s="2">
        <x:v>53002042</x:v>
      </x:c>
    </x:row>
    <x:row r="39" spans="1:2" x14ac:dyDescent="0.15">
      <x:c r="A39" t="s">
        <x:v>181</x:v>
      </x:c>
      <x:c r="B39" s="2">
        <x:v>53002051</x:v>
      </x:c>
    </x:row>
    <x:row r="40" spans="1:2" x14ac:dyDescent="0.15">
      <x:c r="A40" t="s">
        <x:v>182</x:v>
      </x:c>
      <x:c r="B40" s="2">
        <x:v>53002052</x:v>
      </x:c>
    </x:row>
    <x:row r="41" spans="1:2" x14ac:dyDescent="0.15">
      <x:c r="A41" t="s">
        <x:v>183</x:v>
      </x:c>
      <x:c r="B41" s="2">
        <x:v>53002061</x:v>
      </x:c>
    </x:row>
    <x:row r="42" spans="1:2" x14ac:dyDescent="0.15">
      <x:c r="A42" t="s">
        <x:v>184</x:v>
      </x:c>
      <x:c r="B42" s="2">
        <x:v>53002062</x:v>
      </x:c>
    </x:row>
    <x:row r="43" spans="1:2" x14ac:dyDescent="0.15">
      <x:c r="A43" t="s">
        <x:v>185</x:v>
      </x:c>
      <x:c r="B43" s="2">
        <x:v>53002071</x:v>
      </x:c>
    </x:row>
    <x:row r="44" spans="1:2" x14ac:dyDescent="0.15">
      <x:c r="A44" t="s">
        <x:v>186</x:v>
      </x:c>
      <x:c r="B44" s="2">
        <x:v>53002072</x:v>
      </x:c>
    </x:row>
    <x:row r="45" spans="1:2" x14ac:dyDescent="0.15">
      <x:c r="A45" t="s">
        <x:v>187</x:v>
      </x:c>
      <x:c r="B45" s="2">
        <x:v>53002081</x:v>
      </x:c>
    </x:row>
    <x:row r="46" spans="1:2" x14ac:dyDescent="0.15">
      <x:c r="A46" t="s">
        <x:v>188</x:v>
      </x:c>
      <x:c r="B46" s="2">
        <x:v>53002082</x:v>
      </x:c>
    </x:row>
    <x:row r="47" spans="1:2" x14ac:dyDescent="0.15">
      <x:c r="A47" t="s">
        <x:v>189</x:v>
      </x:c>
      <x:c r="B47" s="2">
        <x:v>53002091</x:v>
      </x:c>
    </x:row>
    <x:row r="48" spans="1:2" x14ac:dyDescent="0.15">
      <x:c r="A48" t="s">
        <x:v>190</x:v>
      </x:c>
      <x:c r="B48" s="2">
        <x:v>53002092</x:v>
      </x:c>
    </x:row>
    <x:row r="49" spans="1:2" x14ac:dyDescent="0.15">
      <x:c r="A49" t="s">
        <x:v>191</x:v>
      </x:c>
      <x:c r="B49" s="2">
        <x:v>53002101</x:v>
      </x:c>
    </x:row>
    <x:row r="50" spans="1:2" x14ac:dyDescent="0.15">
      <x:c r="A50" t="s">
        <x:v>192</x:v>
      </x:c>
      <x:c r="B50" s="2">
        <x:v>53002102</x:v>
      </x:c>
    </x:row>
    <x:row r="51" spans="1:2" x14ac:dyDescent="0.15">
      <x:c r="A51" t="s">
        <x:v>193</x:v>
      </x:c>
      <x:c r="B51" s="2">
        <x:v>53002111</x:v>
      </x:c>
    </x:row>
    <x:row r="52" spans="1:2" x14ac:dyDescent="0.15">
      <x:c r="A52" t="s">
        <x:v>194</x:v>
      </x:c>
      <x:c r="B52" s="2">
        <x:v>53002112</x:v>
      </x:c>
    </x:row>
    <x:row r="53" spans="1:2" x14ac:dyDescent="0.15">
      <x:c r="A53" t="s">
        <x:v>195</x:v>
      </x:c>
      <x:c r="B53" s="2">
        <x:v>53002121</x:v>
      </x:c>
    </x:row>
    <x:row r="54" spans="1:2" x14ac:dyDescent="0.15">
      <x:c r="A54" t="s">
        <x:v>196</x:v>
      </x:c>
      <x:c r="B54" s="2">
        <x:v>53002122</x:v>
      </x:c>
    </x:row>
    <x:row r="55" spans="1:2" x14ac:dyDescent="0.15">
      <x:c r="A55" t="s">
        <x:v>197</x:v>
      </x:c>
      <x:c r="B55" s="2">
        <x:v>53002131</x:v>
      </x:c>
    </x:row>
    <x:row r="56" spans="1:2" x14ac:dyDescent="0.15">
      <x:c r="A56" t="s">
        <x:v>198</x:v>
      </x:c>
      <x:c r="B56" s="2">
        <x:v>53002132</x:v>
      </x:c>
    </x:row>
    <x:row r="57" spans="1:2" x14ac:dyDescent="0.15">
      <x:c r="A57" t="s">
        <x:v>199</x:v>
      </x:c>
      <x:c r="B57" s="2">
        <x:v>53002141</x:v>
      </x:c>
    </x:row>
    <x:row r="58" spans="1:2" x14ac:dyDescent="0.15">
      <x:c r="A58" t="s">
        <x:v>200</x:v>
      </x:c>
      <x:c r="B58" s="2">
        <x:v>53002142</x:v>
      </x:c>
    </x:row>
    <x:row r="59" spans="1:2" x14ac:dyDescent="0.15">
      <x:c r="A59" t="s">
        <x:v>201</x:v>
      </x:c>
      <x:c r="B59" s="2">
        <x:v>53002151</x:v>
      </x:c>
    </x:row>
    <x:row r="60" spans="1:2" x14ac:dyDescent="0.15">
      <x:c r="A60" t="s">
        <x:v>202</x:v>
      </x:c>
      <x:c r="B60" s="2">
        <x:v>53002152</x:v>
      </x:c>
    </x:row>
    <x:row r="61" spans="1:2" x14ac:dyDescent="0.15">
      <x:c r="A61" t="s">
        <x:v>203</x:v>
      </x:c>
      <x:c r="B61" s="2">
        <x:v>53009001</x:v>
      </x:c>
    </x:row>
    <x:row r="62" spans="1:2" x14ac:dyDescent="0.15">
      <x:c r="A62" t="s">
        <x:v>204</x:v>
      </x:c>
      <x:c r="B62" s="2">
        <x:v>53009002</x:v>
      </x:c>
    </x:row>
    <x:row r="63" spans="1:2" x14ac:dyDescent="0.15">
      <x:c r="A63" t="s">
        <x:v>205</x:v>
      </x:c>
      <x:c r="B63" s="2">
        <x:v>53009003</x:v>
      </x:c>
    </x:row>
  </x:sheetData>
  <x:phoneticPr fontId="5" type="noConversion"/>
  <x:pageMargins left="0.75" right="0.75" top="1" bottom="1" header="0.5" footer="0.5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Sheet3"/>
  <x:dimension ref="A1:N686"/>
  <x:sheetViews>
    <x:sheetView workbookViewId="0">
      <x:selection activeCell="A28" sqref="A28"/>
    </x:sheetView>
  </x:sheetViews>
  <x:sheetFormatPr defaultColWidth="9" defaultRowHeight="13.5" x14ac:dyDescent="0.15"/>
  <x:cols>
    <x:col min="1" max="1" width="9.375" customWidth="1"/>
    <x:col min="2" max="2" width="22.625" customWidth="1"/>
    <x:col min="3" max="3" width="9.375" customWidth="1"/>
    <x:col min="4" max="4" width="14.875" customWidth="1"/>
    <x:col min="5" max="5" width="10.375"/>
    <x:col min="6" max="6" width="20.375" customWidth="1"/>
    <x:col min="7" max="7" width="14.875" customWidth="1"/>
    <x:col min="8" max="8" width="20.25" customWidth="1"/>
    <x:col min="9" max="9" width="14.875" customWidth="1"/>
    <x:col min="10" max="11" width="2.375" customWidth="1"/>
    <x:col min="12" max="12" width="1.625" style="1" customWidth="1"/>
    <x:col min="13" max="13" width="9.375"/>
  </x:cols>
  <x:sheetData>
    <x:row r="1" spans="1:14" x14ac:dyDescent="0.15">
      <x:c r="B1" t="s">
        <x:v>206</x:v>
      </x:c>
      <x:c r="C1" t="s">
        <x:v>207</x:v>
      </x:c>
      <x:c r="D1" t="s">
        <x:v>208</x:v>
      </x:c>
      <x:c r="G1" t="s">
        <x:v>208</x:v>
      </x:c>
      <x:c r="H1" t="s">
        <x:v>209</x:v>
      </x:c>
      <x:c r="M1" t="s">
        <x:v>210</x:v>
      </x:c>
      <x:c r="N1" t="s">
        <x:v>211</x:v>
      </x:c>
    </x:row>
    <x:row r="2" spans="1:14" x14ac:dyDescent="0.15">
      <x:c r="A2">
        <x:v>53001011</x:v>
      </x:c>
      <x:c r="B2" t="s">
        <x:v>97</x:v>
      </x:c>
      <x:c r="C2">
        <x:v>121018</x:v>
      </x:c>
      <x:c r="D2" t="str">
        <x:f>VLOOKUP(C2,M:N,2,FALSE)</x:f>
        <x:v>hero_2d_21018</x:v>
      </x:c>
      <x:c r="F2" s="2" t="s">
        <x:v>98</x:v>
      </x:c>
      <x:c r="G2" t="str">
        <x:f>INDEX(D:D,MATCH(F2&amp;"-1",B:B,0))</x:f>
        <x:v>hero_2d_21018</x:v>
      </x:c>
      <x:c r="H2">
        <x:f>COUNTIFS(B:B,F2&amp;"-2",D:D,G2)</x:f>
        <x:v>0</x:v>
      </x:c>
      <x:c r="I2" t="s">
        <x:v>99</x:v>
      </x:c>
      <x:c r="J2">
        <x:f>COUNTIFS(B:B,F2&amp;"-1",D:D,I2)</x:f>
        <x:v>0</x:v>
      </x:c>
      <x:c r="K2">
        <x:f>COUNTIFS(B:B,F2&amp;"-2",D:D,I2)</x:f>
        <x:v>2</x:v>
      </x:c>
      <x:c r="M2">
        <x:v>111001</x:v>
      </x:c>
      <x:c r="N2" t="s">
        <x:v>212</x:v>
      </x:c>
    </x:row>
    <x:row r="3" spans="1:14" x14ac:dyDescent="0.15">
      <x:c r="A3">
        <x:v>53001011</x:v>
      </x:c>
      <x:c r="B3" t="s">
        <x:v>97</x:v>
      </x:c>
      <x:c r="C3">
        <x:v>121018</x:v>
      </x:c>
      <x:c r="D3" t="str">
        <x:f t="shared" ref="D3:D34" si="0">VLOOKUP(C3,M:N,2,FALSE)</x:f>
        <x:v>hero_2d_21018</x:v>
      </x:c>
      <x:c r="F3" s="2" t="s">
        <x:v>101</x:v>
      </x:c>
      <x:c r="G3" t="str">
        <x:f t="shared" ref="G3:G31" si="1">INDEX(D:D,MATCH(F3&amp;"-1",B:B,0))</x:f>
        <x:v>hero_2d_21019</x:v>
      </x:c>
      <x:c r="H3">
        <x:f t="shared" ref="H3:H32" si="2">COUNTIFS(B:B,F3&amp;"-2",D:D,G3)</x:f>
        <x:v>1</x:v>
      </x:c>
      <x:c r="I3" t="s">
        <x:v>99</x:v>
      </x:c>
      <x:c r="J3">
        <x:f t="shared" ref="J3:J32" si="3">COUNTIFS(B:B,F3&amp;"-1",D:D,I3)</x:f>
        <x:v>3</x:v>
      </x:c>
      <x:c r="K3">
        <x:f t="shared" ref="K3:K32" si="4">COUNTIFS(B:B,F3&amp;"-2",D:D,I3)</x:f>
        <x:v>1</x:v>
      </x:c>
      <x:c r="M3">
        <x:v>111002</x:v>
      </x:c>
      <x:c r="N3" t="s">
        <x:v>213</x:v>
      </x:c>
    </x:row>
    <x:row r="4" spans="1:14" x14ac:dyDescent="0.15">
      <x:c r="A4">
        <x:v>53001012</x:v>
      </x:c>
      <x:c r="B4" t="s">
        <x:v>100</x:v>
      </x:c>
      <x:c r="C4">
        <x:v>121017</x:v>
      </x:c>
      <x:c r="D4" t="str">
        <x:f t="shared" si="0"/>
        <x:v>hero_2d_21019</x:v>
      </x:c>
      <x:c r="F4" s="2" t="s">
        <x:v>103</x:v>
      </x:c>
      <x:c r="G4" t="s">
        <x:v>104</x:v>
      </x:c>
      <x:c r="H4">
        <x:f t="shared" si="2"/>
        <x:v>3</x:v>
      </x:c>
      <x:c r="I4" t="s">
        <x:v>104</x:v>
      </x:c>
      <x:c r="J4">
        <x:f t="shared" si="3"/>
        <x:v>1</x:v>
      </x:c>
      <x:c r="K4">
        <x:f t="shared" si="4"/>
        <x:v>3</x:v>
      </x:c>
      <x:c r="M4">
        <x:v>111003</x:v>
      </x:c>
      <x:c r="N4" t="s">
        <x:v>214</x:v>
      </x:c>
    </x:row>
    <x:row r="5" spans="1:14" x14ac:dyDescent="0.15">
      <x:c r="A5">
        <x:v>53001012</x:v>
      </x:c>
      <x:c r="B5" t="s">
        <x:v>100</x:v>
      </x:c>
      <x:c r="C5">
        <x:v>121017</x:v>
      </x:c>
      <x:c r="D5" t="str">
        <x:f t="shared" si="0"/>
        <x:v>hero_2d_21019</x:v>
      </x:c>
      <x:c r="F5" s="2" t="s">
        <x:v>106</x:v>
      </x:c>
      <x:c r="G5" t="s">
        <x:v>107</x:v>
      </x:c>
      <x:c r="H5">
        <x:f t="shared" si="2"/>
        <x:v>0</x:v>
      </x:c>
      <x:c r="I5" t="s">
        <x:v>107</x:v>
      </x:c>
      <x:c r="J5">
        <x:f t="shared" si="3"/>
        <x:v>1</x:v>
      </x:c>
      <x:c r="K5">
        <x:f t="shared" si="4"/>
        <x:v>0</x:v>
      </x:c>
      <x:c r="M5">
        <x:v>111004</x:v>
      </x:c>
      <x:c r="N5" t="s">
        <x:v>215</x:v>
      </x:c>
    </x:row>
    <x:row r="6" spans="1:14" x14ac:dyDescent="0.15">
      <x:c r="A6">
        <x:v>53001021</x:v>
      </x:c>
      <x:c r="B6" t="s">
        <x:v>102</x:v>
      </x:c>
      <x:c r="C6">
        <x:v>121017</x:v>
      </x:c>
      <x:c r="D6" t="str">
        <x:f t="shared" si="0"/>
        <x:v>hero_2d_21019</x:v>
      </x:c>
      <x:c r="F6" s="2" t="s">
        <x:v>109</x:v>
      </x:c>
      <x:c r="G6" t="str">
        <x:f t="shared" si="1"/>
        <x:v>hero_2d_21037</x:v>
      </x:c>
      <x:c r="H6">
        <x:f t="shared" si="2"/>
        <x:v>1</x:v>
      </x:c>
      <x:c r="I6" t="s">
        <x:v>110</x:v>
      </x:c>
      <x:c r="J6">
        <x:f t="shared" si="3"/>
        <x:v>1</x:v>
      </x:c>
      <x:c r="K6">
        <x:f t="shared" si="4"/>
        <x:v>1</x:v>
      </x:c>
      <x:c r="M6">
        <x:v>111005</x:v>
      </x:c>
      <x:c r="N6" t="s">
        <x:v>216</x:v>
      </x:c>
    </x:row>
    <x:row r="7" spans="1:14" x14ac:dyDescent="0.15">
      <x:c r="A7">
        <x:v>53001021</x:v>
      </x:c>
      <x:c r="B7" t="s">
        <x:v>102</x:v>
      </x:c>
      <x:c r="C7">
        <x:v>121017</x:v>
      </x:c>
      <x:c r="D7" t="str">
        <x:f t="shared" si="0"/>
        <x:v>hero_2d_21019</x:v>
      </x:c>
      <x:c r="F7" s="2" t="s">
        <x:v>112</x:v>
      </x:c>
      <x:c r="G7" t="str">
        <x:f t="shared" si="1"/>
        <x:v>hero_2d_21019</x:v>
      </x:c>
      <x:c r="H7">
        <x:f t="shared" si="2"/>
        <x:v>2</x:v>
      </x:c>
      <x:c r="I7" t="s">
        <x:v>99</x:v>
      </x:c>
      <x:c r="J7">
        <x:f t="shared" si="3"/>
        <x:v>3</x:v>
      </x:c>
      <x:c r="K7">
        <x:f t="shared" si="4"/>
        <x:v>2</x:v>
      </x:c>
      <x:c r="M7">
        <x:v>111006</x:v>
      </x:c>
      <x:c r="N7" t="s">
        <x:v>217</x:v>
      </x:c>
    </x:row>
    <x:row r="8" spans="1:14" x14ac:dyDescent="0.15">
      <x:c r="A8">
        <x:v>53001021</x:v>
      </x:c>
      <x:c r="B8" t="s">
        <x:v>102</x:v>
      </x:c>
      <x:c r="C8">
        <x:v>121017</x:v>
      </x:c>
      <x:c r="D8" t="str">
        <x:f t="shared" si="0"/>
        <x:v>hero_2d_21019</x:v>
      </x:c>
      <x:c r="F8" s="2" t="s">
        <x:v>114</x:v>
      </x:c>
      <x:c r="G8" t="s">
        <x:v>115</x:v>
      </x:c>
      <x:c r="H8">
        <x:f t="shared" si="2"/>
        <x:v>0</x:v>
      </x:c>
      <x:c r="I8" t="s">
        <x:v>115</x:v>
      </x:c>
      <x:c r="J8">
        <x:f t="shared" si="3"/>
        <x:v>1</x:v>
      </x:c>
      <x:c r="K8">
        <x:f t="shared" si="4"/>
        <x:v>0</x:v>
      </x:c>
      <x:c r="M8">
        <x:v>111007</x:v>
      </x:c>
      <x:c r="N8" t="s">
        <x:v>218</x:v>
      </x:c>
    </x:row>
    <x:row r="9" spans="1:14" x14ac:dyDescent="0.15">
      <x:c r="A9">
        <x:v>53001021</x:v>
      </x:c>
      <x:c r="B9" t="s">
        <x:v>102</x:v>
      </x:c>
      <x:c r="C9">
        <x:v>121018</x:v>
      </x:c>
      <x:c r="D9" t="str">
        <x:f t="shared" si="0"/>
        <x:v>hero_2d_21018</x:v>
      </x:c>
      <x:c r="F9" s="2" t="s">
        <x:v>117</x:v>
      </x:c>
      <x:c r="G9" t="str">
        <x:f t="shared" si="1"/>
        <x:v>hero_2d_21019</x:v>
      </x:c>
      <x:c r="H9">
        <x:f t="shared" si="2"/>
        <x:v>2</x:v>
      </x:c>
      <x:c r="I9" t="s">
        <x:v>118</x:v>
      </x:c>
      <x:c r="J9">
        <x:f t="shared" si="3"/>
        <x:v>0</x:v>
      </x:c>
      <x:c r="K9">
        <x:f t="shared" si="4"/>
        <x:v>1</x:v>
      </x:c>
      <x:c r="M9">
        <x:v>111008</x:v>
      </x:c>
      <x:c r="N9" t="s">
        <x:v>219</x:v>
      </x:c>
    </x:row>
    <x:row r="10" spans="1:14" x14ac:dyDescent="0.15">
      <x:c r="A10">
        <x:v>53001022</x:v>
      </x:c>
      <x:c r="B10" t="s">
        <x:v>105</x:v>
      </x:c>
      <x:c r="C10">
        <x:v>121017</x:v>
      </x:c>
      <x:c r="D10" t="str">
        <x:f t="shared" si="0"/>
        <x:v>hero_2d_21019</x:v>
      </x:c>
      <x:c r="F10" s="2" t="s">
        <x:v>120</x:v>
      </x:c>
      <x:c r="G10" t="str">
        <x:f t="shared" si="1"/>
        <x:v>hero_2d_1012</x:v>
      </x:c>
      <x:c r="H10">
        <x:f t="shared" si="2"/>
        <x:v>1</x:v>
      </x:c>
      <x:c r="I10" t="s">
        <x:v>121</x:v>
      </x:c>
      <x:c r="J10">
        <x:f t="shared" si="3"/>
        <x:v>1</x:v>
      </x:c>
      <x:c r="K10">
        <x:f t="shared" si="4"/>
        <x:v>1</x:v>
      </x:c>
      <x:c r="M10">
        <x:v>111009</x:v>
      </x:c>
      <x:c r="N10" t="s">
        <x:v>220</x:v>
      </x:c>
    </x:row>
    <x:row r="11" spans="1:14" x14ac:dyDescent="0.15">
      <x:c r="A11">
        <x:v>53001022</x:v>
      </x:c>
      <x:c r="B11" t="s">
        <x:v>105</x:v>
      </x:c>
      <x:c r="C11">
        <x:v>121018</x:v>
      </x:c>
      <x:c r="D11" t="str">
        <x:f t="shared" si="0"/>
        <x:v>hero_2d_21018</x:v>
      </x:c>
      <x:c r="F11" s="2" t="s">
        <x:v>123</x:v>
      </x:c>
      <x:c r="G11" t="s">
        <x:v>124</x:v>
      </x:c>
      <x:c r="H11">
        <x:f t="shared" si="2"/>
        <x:v>1</x:v>
      </x:c>
      <x:c r="I11" t="s">
        <x:v>124</x:v>
      </x:c>
      <x:c r="J11">
        <x:f t="shared" si="3"/>
        <x:v>1</x:v>
      </x:c>
      <x:c r="K11">
        <x:f t="shared" si="4"/>
        <x:v>1</x:v>
      </x:c>
      <x:c r="M11">
        <x:v>111010</x:v>
      </x:c>
      <x:c r="N11" t="s">
        <x:v>221</x:v>
      </x:c>
    </x:row>
    <x:row r="12" spans="1:14" x14ac:dyDescent="0.15">
      <x:c r="A12">
        <x:v>53001022</x:v>
      </x:c>
      <x:c r="B12" t="s">
        <x:v>105</x:v>
      </x:c>
      <x:c r="C12">
        <x:v>121018</x:v>
      </x:c>
      <x:c r="D12" t="str">
        <x:f t="shared" si="0"/>
        <x:v>hero_2d_21018</x:v>
      </x:c>
      <x:c r="F12" s="2" t="s">
        <x:v>126</x:v>
      </x:c>
      <x:c r="G12" t="str">
        <x:f t="shared" si="1"/>
        <x:v>hero_2d_2015</x:v>
      </x:c>
      <x:c r="H12">
        <x:f t="shared" si="2"/>
        <x:v>1</x:v>
      </x:c>
      <x:c r="I12" t="s">
        <x:v>127</x:v>
      </x:c>
      <x:c r="J12">
        <x:f t="shared" si="3"/>
        <x:v>1</x:v>
      </x:c>
      <x:c r="K12">
        <x:f t="shared" si="4"/>
        <x:v>1</x:v>
      </x:c>
      <x:c r="M12">
        <x:v>111011</x:v>
      </x:c>
      <x:c r="N12" t="s">
        <x:v>107</x:v>
      </x:c>
    </x:row>
    <x:row r="13" spans="1:14" x14ac:dyDescent="0.15">
      <x:c r="A13">
        <x:v>53001022</x:v>
      </x:c>
      <x:c r="B13" t="s">
        <x:v>105</x:v>
      </x:c>
      <x:c r="C13">
        <x:v>121018</x:v>
      </x:c>
      <x:c r="D13" t="str">
        <x:f t="shared" si="0"/>
        <x:v>hero_2d_21018</x:v>
      </x:c>
      <x:c r="F13" s="2" t="s">
        <x:v>129</x:v>
      </x:c>
      <x:c r="G13" t="s">
        <x:v>130</x:v>
      </x:c>
      <x:c r="H13">
        <x:f t="shared" si="2"/>
        <x:v>1</x:v>
      </x:c>
      <x:c r="I13" t="s">
        <x:v>130</x:v>
      </x:c>
      <x:c r="J13">
        <x:f t="shared" si="3"/>
        <x:v>1</x:v>
      </x:c>
      <x:c r="K13">
        <x:f t="shared" si="4"/>
        <x:v>1</x:v>
      </x:c>
      <x:c r="M13">
        <x:v>111012</x:v>
      </x:c>
      <x:c r="N13" t="s">
        <x:v>121</x:v>
      </x:c>
    </x:row>
    <x:row r="14" spans="1:14" x14ac:dyDescent="0.15">
      <x:c r="A14">
        <x:v>53001031</x:v>
      </x:c>
      <x:c r="B14" t="s">
        <x:v>108</x:v>
      </x:c>
      <x:c r="C14">
        <x:v>121017</x:v>
      </x:c>
      <x:c r="D14" t="str">
        <x:f t="shared" si="0"/>
        <x:v>hero_2d_21019</x:v>
      </x:c>
      <x:c r="F14" s="2" t="s">
        <x:v>132</x:v>
      </x:c>
      <x:c r="G14" t="str">
        <x:f t="shared" si="1"/>
        <x:v>hero_2d_2014</x:v>
      </x:c>
      <x:c r="H14">
        <x:f t="shared" si="2"/>
        <x:v>1</x:v>
      </x:c>
      <x:c r="I14" t="s">
        <x:v>133</x:v>
      </x:c>
      <x:c r="J14">
        <x:f t="shared" si="3"/>
        <x:v>1</x:v>
      </x:c>
      <x:c r="K14">
        <x:f t="shared" si="4"/>
        <x:v>1</x:v>
      </x:c>
      <x:c r="M14">
        <x:v>111013</x:v>
      </x:c>
      <x:c r="N14" t="s">
        <x:v>222</x:v>
      </x:c>
    </x:row>
    <x:row r="15" spans="1:14" x14ac:dyDescent="0.15">
      <x:c r="A15">
        <x:v>53001031</x:v>
      </x:c>
      <x:c r="B15" t="s">
        <x:v>108</x:v>
      </x:c>
      <x:c r="C15">
        <x:v>121017</x:v>
      </x:c>
      <x:c r="D15" t="str">
        <x:f t="shared" si="0"/>
        <x:v>hero_2d_21019</x:v>
      </x:c>
      <x:c r="F15" s="2" t="s">
        <x:v>135</x:v>
      </x:c>
      <x:c r="G15" t="s">
        <x:v>136</x:v>
      </x:c>
      <x:c r="H15">
        <x:f t="shared" si="2"/>
        <x:v>1</x:v>
      </x:c>
      <x:c r="I15" t="s">
        <x:v>136</x:v>
      </x:c>
      <x:c r="J15">
        <x:f t="shared" si="3"/>
        <x:v>0</x:v>
      </x:c>
      <x:c r="K15">
        <x:f t="shared" si="4"/>
        <x:v>1</x:v>
      </x:c>
      <x:c r="M15">
        <x:v>111014</x:v>
      </x:c>
      <x:c r="N15" t="s">
        <x:v>223</x:v>
      </x:c>
    </x:row>
    <x:row r="16" spans="1:14" x14ac:dyDescent="0.15">
      <x:c r="A16">
        <x:v>53001031</x:v>
      </x:c>
      <x:c r="B16" t="s">
        <x:v>108</x:v>
      </x:c>
      <x:c r="C16">
        <x:v>121018</x:v>
      </x:c>
      <x:c r="D16" t="str">
        <x:f t="shared" si="0"/>
        <x:v>hero_2d_21018</x:v>
      </x:c>
      <x:c r="F16" s="2" t="s">
        <x:v>138</x:v>
      </x:c>
      <x:c r="G16" t="str">
        <x:f t="shared" si="1"/>
        <x:v>hero_2d_2013</x:v>
      </x:c>
      <x:c r="H16">
        <x:f t="shared" si="2"/>
        <x:v>1</x:v>
      </x:c>
      <x:c r="I16" t="s">
        <x:v>139</x:v>
      </x:c>
      <x:c r="J16">
        <x:f t="shared" si="3"/>
        <x:v>1</x:v>
      </x:c>
      <x:c r="K16">
        <x:f t="shared" si="4"/>
        <x:v>1</x:v>
      </x:c>
      <x:c r="M16">
        <x:v>111015</x:v>
      </x:c>
      <x:c r="N16" t="s">
        <x:v>124</x:v>
      </x:c>
    </x:row>
    <x:row r="17" spans="1:14" x14ac:dyDescent="0.15">
      <x:c r="A17">
        <x:v>53001032</x:v>
      </x:c>
      <x:c r="B17" t="s">
        <x:v>111</x:v>
      </x:c>
      <x:c r="C17">
        <x:v>121017</x:v>
      </x:c>
      <x:c r="D17" t="str">
        <x:f t="shared" si="0"/>
        <x:v>hero_2d_21019</x:v>
      </x:c>
      <x:c r="F17" s="2" t="s">
        <x:v>141</x:v>
      </x:c>
      <x:c r="G17" t="str">
        <x:f t="shared" si="1"/>
        <x:v>hero_2d_21018</x:v>
      </x:c>
      <x:c r="H17">
        <x:f t="shared" si="2"/>
        <x:v>0</x:v>
      </x:c>
      <x:c r="I17" t="s">
        <x:v>99</x:v>
      </x:c>
      <x:c r="J17">
        <x:f t="shared" si="3"/>
        <x:v>0</x:v>
      </x:c>
      <x:c r="K17">
        <x:f t="shared" si="4"/>
        <x:v>2</x:v>
      </x:c>
      <x:c r="M17">
        <x:v>111016</x:v>
      </x:c>
      <x:c r="N17" t="s">
        <x:v>224</x:v>
      </x:c>
    </x:row>
    <x:row r="18" spans="1:14" x14ac:dyDescent="0.15">
      <x:c r="A18">
        <x:v>53001032</x:v>
      </x:c>
      <x:c r="B18" t="s">
        <x:v>111</x:v>
      </x:c>
      <x:c r="C18">
        <x:v>121018</x:v>
      </x:c>
      <x:c r="D18" t="str">
        <x:f t="shared" si="0"/>
        <x:v>hero_2d_21018</x:v>
      </x:c>
      <x:c r="F18" s="2" t="s">
        <x:v>145</x:v>
      </x:c>
      <x:c r="G18" t="str">
        <x:f t="shared" si="1"/>
        <x:v>hero_2d_21019</x:v>
      </x:c>
      <x:c r="H18">
        <x:f t="shared" si="2"/>
        <x:v>1</x:v>
      </x:c>
      <x:c r="I18" t="s">
        <x:v>99</x:v>
      </x:c>
      <x:c r="J18">
        <x:f t="shared" si="3"/>
        <x:v>3</x:v>
      </x:c>
      <x:c r="K18">
        <x:f t="shared" si="4"/>
        <x:v>1</x:v>
      </x:c>
      <x:c r="M18">
        <x:v>111017</x:v>
      </x:c>
      <x:c r="N18" t="s">
        <x:v>225</x:v>
      </x:c>
    </x:row>
    <x:row r="19" spans="1:14" x14ac:dyDescent="0.15">
      <x:c r="A19">
        <x:v>53001032</x:v>
      </x:c>
      <x:c r="B19" t="s">
        <x:v>111</x:v>
      </x:c>
      <x:c r="C19">
        <x:v>121017</x:v>
      </x:c>
      <x:c r="D19" t="str">
        <x:f t="shared" si="0"/>
        <x:v>hero_2d_21019</x:v>
      </x:c>
      <x:c r="F19" s="2" t="s">
        <x:v>147</x:v>
      </x:c>
      <x:c r="G19" t="s">
        <x:v>104</x:v>
      </x:c>
      <x:c r="H19">
        <x:f t="shared" si="2"/>
        <x:v>3</x:v>
      </x:c>
      <x:c r="I19" t="s">
        <x:v>104</x:v>
      </x:c>
      <x:c r="J19">
        <x:f t="shared" si="3"/>
        <x:v>1</x:v>
      </x:c>
      <x:c r="K19">
        <x:f t="shared" si="4"/>
        <x:v>3</x:v>
      </x:c>
      <x:c r="M19">
        <x:v>111018</x:v>
      </x:c>
      <x:c r="N19" t="s">
        <x:v>226</x:v>
      </x:c>
    </x:row>
    <x:row r="20" spans="1:14" x14ac:dyDescent="0.15">
      <x:c r="A20">
        <x:v>53001032</x:v>
      </x:c>
      <x:c r="B20" t="s">
        <x:v>111</x:v>
      </x:c>
      <x:c r="C20">
        <x:v>121017</x:v>
      </x:c>
      <x:c r="D20" t="str">
        <x:f t="shared" si="0"/>
        <x:v>hero_2d_21019</x:v>
      </x:c>
      <x:c r="F20" s="2" t="s">
        <x:v>149</x:v>
      </x:c>
      <x:c r="G20" t="s">
        <x:v>107</x:v>
      </x:c>
      <x:c r="H20">
        <x:f t="shared" si="2"/>
        <x:v>0</x:v>
      </x:c>
      <x:c r="I20" t="s">
        <x:v>107</x:v>
      </x:c>
      <x:c r="J20">
        <x:f t="shared" si="3"/>
        <x:v>1</x:v>
      </x:c>
      <x:c r="K20">
        <x:f t="shared" si="4"/>
        <x:v>0</x:v>
      </x:c>
      <x:c r="M20">
        <x:v>112001</x:v>
      </x:c>
      <x:c r="N20" t="s">
        <x:v>227</x:v>
      </x:c>
    </x:row>
    <x:row r="21" spans="1:14" x14ac:dyDescent="0.15">
      <x:c r="A21">
        <x:v>53001032</x:v>
      </x:c>
      <x:c r="B21" t="s">
        <x:v>111</x:v>
      </x:c>
      <x:c r="C21">
        <x:v>121018</x:v>
      </x:c>
      <x:c r="D21" t="str">
        <x:f t="shared" si="0"/>
        <x:v>hero_2d_21018</x:v>
      </x:c>
      <x:c r="F21" s="2" t="s">
        <x:v>151</x:v>
      </x:c>
      <x:c r="G21" t="str">
        <x:f t="shared" si="1"/>
        <x:v>hero_2d_21037</x:v>
      </x:c>
      <x:c r="H21">
        <x:f t="shared" si="2"/>
        <x:v>1</x:v>
      </x:c>
      <x:c r="I21" t="s">
        <x:v>110</x:v>
      </x:c>
      <x:c r="J21">
        <x:f t="shared" si="3"/>
        <x:v>1</x:v>
      </x:c>
      <x:c r="K21">
        <x:f t="shared" si="4"/>
        <x:v>1</x:v>
      </x:c>
      <x:c r="M21">
        <x:v>112002</x:v>
      </x:c>
      <x:c r="N21" t="s">
        <x:v>228</x:v>
      </x:c>
    </x:row>
    <x:row r="22" spans="1:14" x14ac:dyDescent="0.15">
      <x:c r="A22">
        <x:v>53001032</x:v>
      </x:c>
      <x:c r="B22" t="s">
        <x:v>111</x:v>
      </x:c>
      <x:c r="C22">
        <x:v>121018</x:v>
      </x:c>
      <x:c r="D22" t="str">
        <x:f t="shared" si="0"/>
        <x:v>hero_2d_21018</x:v>
      </x:c>
      <x:c r="F22" s="2" t="s">
        <x:v>153</x:v>
      </x:c>
      <x:c r="G22" t="str">
        <x:f t="shared" si="1"/>
        <x:v>hero_2d_21019</x:v>
      </x:c>
      <x:c r="H22">
        <x:f t="shared" si="2"/>
        <x:v>5</x:v>
      </x:c>
      <x:c r="I22" t="s">
        <x:v>99</x:v>
      </x:c>
      <x:c r="J22">
        <x:f t="shared" si="3"/>
        <x:v>3</x:v>
      </x:c>
      <x:c r="K22">
        <x:f t="shared" si="4"/>
        <x:v>5</x:v>
      </x:c>
      <x:c r="M22">
        <x:v>112003</x:v>
      </x:c>
      <x:c r="N22" t="s">
        <x:v>229</x:v>
      </x:c>
    </x:row>
    <x:row r="23" spans="1:14" x14ac:dyDescent="0.15">
      <x:c r="A23">
        <x:v>53001041</x:v>
      </x:c>
      <x:c r="B23" t="s">
        <x:v>113</x:v>
      </x:c>
      <x:c r="C23">
        <x:v>121017</x:v>
      </x:c>
      <x:c r="D23" t="str">
        <x:f t="shared" si="0"/>
        <x:v>hero_2d_21019</x:v>
      </x:c>
      <x:c r="F23" s="2" t="s">
        <x:v>155</x:v>
      </x:c>
      <x:c r="G23" t="s">
        <x:v>115</x:v>
      </x:c>
      <x:c r="H23">
        <x:f t="shared" si="2"/>
        <x:v>0</x:v>
      </x:c>
      <x:c r="I23" t="s">
        <x:v>115</x:v>
      </x:c>
      <x:c r="J23">
        <x:f t="shared" si="3"/>
        <x:v>1</x:v>
      </x:c>
      <x:c r="K23">
        <x:f t="shared" si="4"/>
        <x:v>0</x:v>
      </x:c>
      <x:c r="M23">
        <x:v>112004</x:v>
      </x:c>
      <x:c r="N23" t="s">
        <x:v>230</x:v>
      </x:c>
    </x:row>
    <x:row r="24" spans="1:14" x14ac:dyDescent="0.15">
      <x:c r="A24">
        <x:v>53001041</x:v>
      </x:c>
      <x:c r="B24" t="s">
        <x:v>113</x:v>
      </x:c>
      <x:c r="C24">
        <x:v>121017</x:v>
      </x:c>
      <x:c r="D24" t="str">
        <x:f t="shared" si="0"/>
        <x:v>hero_2d_21019</x:v>
      </x:c>
      <x:c r="F24" s="2" t="s">
        <x:v>157</x:v>
      </x:c>
      <x:c r="G24" t="str">
        <x:f t="shared" si="1"/>
        <x:v>hero_2d_21019</x:v>
      </x:c>
      <x:c r="H24">
        <x:f t="shared" si="2"/>
        <x:v>2</x:v>
      </x:c>
      <x:c r="I24" t="s">
        <x:v>118</x:v>
      </x:c>
      <x:c r="J24">
        <x:f t="shared" si="3"/>
        <x:v>0</x:v>
      </x:c>
      <x:c r="K24">
        <x:f t="shared" si="4"/>
        <x:v>1</x:v>
      </x:c>
      <x:c r="M24">
        <x:v>112005</x:v>
      </x:c>
      <x:c r="N24" t="s">
        <x:v>231</x:v>
      </x:c>
    </x:row>
    <x:row r="25" spans="1:14" x14ac:dyDescent="0.15">
      <x:c r="A25">
        <x:v>53001041</x:v>
      </x:c>
      <x:c r="B25" t="s">
        <x:v>113</x:v>
      </x:c>
      <x:c r="C25">
        <x:v>121080</x:v>
      </x:c>
      <x:c r="D25" t="str">
        <x:f t="shared" si="0"/>
        <x:v>hero_2d_1011</x:v>
      </x:c>
      <x:c r="F25" s="2" t="s">
        <x:v>159</x:v>
      </x:c>
      <x:c r="G25" t="str">
        <x:f t="shared" si="1"/>
        <x:v>hero_2d_1012</x:v>
      </x:c>
      <x:c r="H25">
        <x:f t="shared" si="2"/>
        <x:v>1</x:v>
      </x:c>
      <x:c r="I25" t="s">
        <x:v>121</x:v>
      </x:c>
      <x:c r="J25">
        <x:f t="shared" si="3"/>
        <x:v>1</x:v>
      </x:c>
      <x:c r="K25">
        <x:f t="shared" si="4"/>
        <x:v>1</x:v>
      </x:c>
      <x:c r="M25">
        <x:v>112006</x:v>
      </x:c>
      <x:c r="N25" t="s">
        <x:v>232</x:v>
      </x:c>
    </x:row>
    <x:row r="26" spans="1:14" x14ac:dyDescent="0.15">
      <x:c r="A26">
        <x:v>53001042</x:v>
      </x:c>
      <x:c r="B26" t="s">
        <x:v>116</x:v>
      </x:c>
      <x:c r="C26">
        <x:v>121037</x:v>
      </x:c>
      <x:c r="D26" t="str">
        <x:f t="shared" si="0"/>
        <x:v>hero_2d_21037</x:v>
      </x:c>
      <x:c r="F26" s="2" t="s">
        <x:v>161</x:v>
      </x:c>
      <x:c r="G26" t="s">
        <x:v>124</x:v>
      </x:c>
      <x:c r="H26">
        <x:f t="shared" si="2"/>
        <x:v>1</x:v>
      </x:c>
      <x:c r="I26" t="s">
        <x:v>124</x:v>
      </x:c>
      <x:c r="J26">
        <x:f t="shared" si="3"/>
        <x:v>1</x:v>
      </x:c>
      <x:c r="K26">
        <x:f t="shared" si="4"/>
        <x:v>1</x:v>
      </x:c>
      <x:c r="M26">
        <x:v>112007</x:v>
      </x:c>
      <x:c r="N26" t="s">
        <x:v>233</x:v>
      </x:c>
    </x:row>
    <x:row r="27" spans="1:14" x14ac:dyDescent="0.15">
      <x:c r="A27">
        <x:v>53001042</x:v>
      </x:c>
      <x:c r="B27" t="s">
        <x:v>116</x:v>
      </x:c>
      <x:c r="C27">
        <x:v>121018</x:v>
      </x:c>
      <x:c r="D27" t="str">
        <x:f t="shared" si="0"/>
        <x:v>hero_2d_21018</x:v>
      </x:c>
      <x:c r="F27" s="2" t="s">
        <x:v>163</x:v>
      </x:c>
      <x:c r="G27" t="str">
        <x:f t="shared" si="1"/>
        <x:v>hero_2d_2015</x:v>
      </x:c>
      <x:c r="H27">
        <x:f t="shared" si="2"/>
        <x:v>1</x:v>
      </x:c>
      <x:c r="I27" t="s">
        <x:v>127</x:v>
      </x:c>
      <x:c r="J27">
        <x:f t="shared" si="3"/>
        <x:v>1</x:v>
      </x:c>
      <x:c r="K27">
        <x:f t="shared" si="4"/>
        <x:v>1</x:v>
      </x:c>
      <x:c r="M27">
        <x:v>112008</x:v>
      </x:c>
      <x:c r="N27" t="s">
        <x:v>234</x:v>
      </x:c>
    </x:row>
    <x:row r="28" spans="1:14" x14ac:dyDescent="0.15">
      <x:c r="A28">
        <x:v>53001042</x:v>
      </x:c>
      <x:c r="B28" t="s">
        <x:v>116</x:v>
      </x:c>
      <x:c r="C28">
        <x:v>121018</x:v>
      </x:c>
      <x:c r="D28" t="str">
        <x:f t="shared" si="0"/>
        <x:v>hero_2d_21018</x:v>
      </x:c>
      <x:c r="F28" s="2" t="s">
        <x:v>165</x:v>
      </x:c>
      <x:c r="G28" t="s">
        <x:v>130</x:v>
      </x:c>
      <x:c r="H28">
        <x:f t="shared" si="2"/>
        <x:v>1</x:v>
      </x:c>
      <x:c r="I28" t="s">
        <x:v>130</x:v>
      </x:c>
      <x:c r="J28">
        <x:f t="shared" si="3"/>
        <x:v>1</x:v>
      </x:c>
      <x:c r="K28">
        <x:f t="shared" si="4"/>
        <x:v>1</x:v>
      </x:c>
      <x:c r="M28">
        <x:v>112009</x:v>
      </x:c>
      <x:c r="N28" t="s">
        <x:v>235</x:v>
      </x:c>
    </x:row>
    <x:row r="29" spans="1:14" x14ac:dyDescent="0.15">
      <x:c r="A29">
        <x:v>53001051</x:v>
      </x:c>
      <x:c r="B29" t="s">
        <x:v>119</x:v>
      </x:c>
      <x:c r="C29">
        <x:v>121037</x:v>
      </x:c>
      <x:c r="D29" t="str">
        <x:f t="shared" si="0"/>
        <x:v>hero_2d_21037</x:v>
      </x:c>
      <x:c r="F29" s="2" t="s">
        <x:v>167</x:v>
      </x:c>
      <x:c r="G29" t="str">
        <x:f t="shared" si="1"/>
        <x:v>hero_2d_2014</x:v>
      </x:c>
      <x:c r="H29">
        <x:f t="shared" si="2"/>
        <x:v>1</x:v>
      </x:c>
      <x:c r="I29" t="s">
        <x:v>133</x:v>
      </x:c>
      <x:c r="J29">
        <x:f t="shared" si="3"/>
        <x:v>1</x:v>
      </x:c>
      <x:c r="K29">
        <x:f t="shared" si="4"/>
        <x:v>1</x:v>
      </x:c>
      <x:c r="M29">
        <x:v>112010</x:v>
      </x:c>
      <x:c r="N29" t="s">
        <x:v>236</x:v>
      </x:c>
    </x:row>
    <x:row r="30" spans="1:14" x14ac:dyDescent="0.15">
      <x:c r="A30">
        <x:v>53001051</x:v>
      </x:c>
      <x:c r="B30" t="s">
        <x:v>119</x:v>
      </x:c>
      <x:c r="C30">
        <x:v>121080</x:v>
      </x:c>
      <x:c r="D30" t="str">
        <x:f t="shared" si="0"/>
        <x:v>hero_2d_1011</x:v>
      </x:c>
      <x:c r="F30" s="2" t="s">
        <x:v>169</x:v>
      </x:c>
      <x:c r="G30" t="s">
        <x:v>136</x:v>
      </x:c>
      <x:c r="H30">
        <x:f t="shared" si="2"/>
        <x:v>1</x:v>
      </x:c>
      <x:c r="I30" t="s">
        <x:v>136</x:v>
      </x:c>
      <x:c r="J30">
        <x:f t="shared" si="3"/>
        <x:v>0</x:v>
      </x:c>
      <x:c r="K30">
        <x:f t="shared" si="4"/>
        <x:v>1</x:v>
      </x:c>
      <x:c r="M30">
        <x:v>112011</x:v>
      </x:c>
      <x:c r="N30" t="s">
        <x:v>237</x:v>
      </x:c>
    </x:row>
    <x:row r="31" spans="1:14" x14ac:dyDescent="0.15">
      <x:c r="A31">
        <x:v>53001052</x:v>
      </x:c>
      <x:c r="B31" t="s">
        <x:v>122</x:v>
      </x:c>
      <x:c r="C31">
        <x:v>121017</x:v>
      </x:c>
      <x:c r="D31" t="str">
        <x:f t="shared" si="0"/>
        <x:v>hero_2d_21019</x:v>
      </x:c>
      <x:c r="F31" s="2" t="s">
        <x:v>171</x:v>
      </x:c>
      <x:c r="G31" t="str">
        <x:f t="shared" si="1"/>
        <x:v>hero_2d_2013</x:v>
      </x:c>
      <x:c r="H31">
        <x:f t="shared" si="2"/>
        <x:v>1</x:v>
      </x:c>
      <x:c r="I31" t="s">
        <x:v>139</x:v>
      </x:c>
      <x:c r="J31">
        <x:f t="shared" si="3"/>
        <x:v>1</x:v>
      </x:c>
      <x:c r="K31">
        <x:f t="shared" si="4"/>
        <x:v>1</x:v>
      </x:c>
      <x:c r="M31">
        <x:v>112012</x:v>
      </x:c>
      <x:c r="N31" t="s">
        <x:v>238</x:v>
      </x:c>
    </x:row>
    <x:row r="32" spans="1:14" x14ac:dyDescent="0.15">
      <x:c r="A32">
        <x:v>53001052</x:v>
      </x:c>
      <x:c r="B32" t="s">
        <x:v>122</x:v>
      </x:c>
      <x:c r="C32">
        <x:v>121037</x:v>
      </x:c>
      <x:c r="D32" t="str">
        <x:f t="shared" si="0"/>
        <x:v>hero_2d_21037</x:v>
      </x:c>
      <x:c r="F32" s="2" t="s">
        <x:v>173</x:v>
      </x:c>
      <x:c r="G32" s="3" t="str">
        <x:f>INDEX(D:D,MATCH(F32&amp;"-路飞",B:B,0))</x:f>
        <x:v>hero_2d_3001</x:v>
      </x:c>
      <x:c r="H32" s="3">
        <x:f t="shared" si="2"/>
        <x:v>0</x:v>
      </x:c>
      <x:c r="I32" t="s">
        <x:v>143</x:v>
      </x:c>
      <x:c r="J32">
        <x:f t="shared" si="3"/>
        <x:v>0</x:v>
      </x:c>
      <x:c r="K32">
        <x:f t="shared" si="4"/>
        <x:v>0</x:v>
      </x:c>
      <x:c r="M32">
        <x:v>112013</x:v>
      </x:c>
      <x:c r="N32" t="s">
        <x:v>139</x:v>
      </x:c>
    </x:row>
    <x:row r="33" spans="1:14" x14ac:dyDescent="0.15">
      <x:c r="A33">
        <x:v>53001052</x:v>
      </x:c>
      <x:c r="B33" t="s">
        <x:v>122</x:v>
      </x:c>
      <x:c r="C33">
        <x:v>121018</x:v>
      </x:c>
      <x:c r="D33" t="str">
        <x:f t="shared" si="0"/>
        <x:v>hero_2d_21018</x:v>
      </x:c>
      <x:c r="M33">
        <x:v>112014</x:v>
      </x:c>
      <x:c r="N33" t="s">
        <x:v>133</x:v>
      </x:c>
    </x:row>
    <x:row r="34" spans="1:14" x14ac:dyDescent="0.15">
      <x:c r="A34">
        <x:v>53001052</x:v>
      </x:c>
      <x:c r="B34" t="s">
        <x:v>122</x:v>
      </x:c>
      <x:c r="C34">
        <x:v>121080</x:v>
      </x:c>
      <x:c r="D34" t="str">
        <x:f t="shared" si="0"/>
        <x:v>hero_2d_1011</x:v>
      </x:c>
      <x:c r="M34">
        <x:v>112015</x:v>
      </x:c>
      <x:c r="N34" t="s">
        <x:v>127</x:v>
      </x:c>
    </x:row>
    <x:row r="35" spans="1:14" x14ac:dyDescent="0.15">
      <x:c r="A35">
        <x:v>53001061</x:v>
      </x:c>
      <x:c r="B35" t="s">
        <x:v>125</x:v>
      </x:c>
      <x:c r="C35">
        <x:v>121017</x:v>
      </x:c>
      <x:c r="D35" t="str">
        <x:f t="shared" ref="D35:D66" si="5">VLOOKUP(C35,M:N,2,FALSE)</x:f>
        <x:v>hero_2d_21019</x:v>
      </x:c>
      <x:c r="M35">
        <x:v>112016</x:v>
      </x:c>
      <x:c r="N35" t="s">
        <x:v>136</x:v>
      </x:c>
    </x:row>
    <x:row r="36" spans="1:14" x14ac:dyDescent="0.15">
      <x:c r="A36">
        <x:v>53001061</x:v>
      </x:c>
      <x:c r="B36" t="s">
        <x:v>125</x:v>
      </x:c>
      <x:c r="C36">
        <x:v>121017</x:v>
      </x:c>
      <x:c r="D36" t="str">
        <x:f t="shared" si="5"/>
        <x:v>hero_2d_21019</x:v>
      </x:c>
      <x:c r="M36">
        <x:v>112017</x:v>
      </x:c>
      <x:c r="N36" t="s">
        <x:v>239</x:v>
      </x:c>
    </x:row>
    <x:row r="37" spans="1:14" x14ac:dyDescent="0.15">
      <x:c r="A37">
        <x:v>53001061</x:v>
      </x:c>
      <x:c r="B37" t="s">
        <x:v>125</x:v>
      </x:c>
      <x:c r="C37">
        <x:v>121017</x:v>
      </x:c>
      <x:c r="D37" t="str">
        <x:f t="shared" si="5"/>
        <x:v>hero_2d_21019</x:v>
      </x:c>
      <x:c r="M37">
        <x:v>112018</x:v>
      </x:c>
      <x:c r="N37" t="s">
        <x:v>240</x:v>
      </x:c>
    </x:row>
    <x:row r="38" spans="1:14" x14ac:dyDescent="0.15">
      <x:c r="A38">
        <x:v>53001061</x:v>
      </x:c>
      <x:c r="B38" t="s">
        <x:v>125</x:v>
      </x:c>
      <x:c r="C38">
        <x:v>121018</x:v>
      </x:c>
      <x:c r="D38" t="str">
        <x:f t="shared" si="5"/>
        <x:v>hero_2d_21018</x:v>
      </x:c>
      <x:c r="M38">
        <x:v>112019</x:v>
      </x:c>
      <x:c r="N38" t="s">
        <x:v>241</x:v>
      </x:c>
    </x:row>
    <x:row r="39" spans="1:14" x14ac:dyDescent="0.15">
      <x:c r="A39">
        <x:v>53001061</x:v>
      </x:c>
      <x:c r="B39" t="s">
        <x:v>125</x:v>
      </x:c>
      <x:c r="C39">
        <x:v>121018</x:v>
      </x:c>
      <x:c r="D39" t="str">
        <x:f t="shared" si="5"/>
        <x:v>hero_2d_21018</x:v>
      </x:c>
      <x:c r="M39">
        <x:v>112020</x:v>
      </x:c>
      <x:c r="N39" t="s">
        <x:v>242</x:v>
      </x:c>
    </x:row>
    <x:row r="40" spans="1:14" x14ac:dyDescent="0.15">
      <x:c r="A40">
        <x:v>53001062</x:v>
      </x:c>
      <x:c r="B40" t="s">
        <x:v>128</x:v>
      </x:c>
      <x:c r="C40">
        <x:v>121017</x:v>
      </x:c>
      <x:c r="D40" t="str">
        <x:f t="shared" si="5"/>
        <x:v>hero_2d_21019</x:v>
      </x:c>
      <x:c r="M40">
        <x:v>112021</x:v>
      </x:c>
      <x:c r="N40" t="s">
        <x:v>243</x:v>
      </x:c>
    </x:row>
    <x:row r="41" spans="1:14" x14ac:dyDescent="0.15">
      <x:c r="A41">
        <x:v>53001062</x:v>
      </x:c>
      <x:c r="B41" t="s">
        <x:v>128</x:v>
      </x:c>
      <x:c r="C41">
        <x:v>121017</x:v>
      </x:c>
      <x:c r="D41" t="str">
        <x:f t="shared" si="5"/>
        <x:v>hero_2d_21019</x:v>
      </x:c>
      <x:c r="M41">
        <x:v>112022</x:v>
      </x:c>
      <x:c r="N41" t="s">
        <x:v>244</x:v>
      </x:c>
    </x:row>
    <x:row r="42" spans="1:14" x14ac:dyDescent="0.15">
      <x:c r="A42">
        <x:v>53001062</x:v>
      </x:c>
      <x:c r="B42" t="s">
        <x:v>128</x:v>
      </x:c>
      <x:c r="C42">
        <x:v>121018</x:v>
      </x:c>
      <x:c r="D42" t="str">
        <x:f t="shared" si="5"/>
        <x:v>hero_2d_21018</x:v>
      </x:c>
      <x:c r="M42">
        <x:v>112023</x:v>
      </x:c>
      <x:c r="N42" t="s">
        <x:v>245</x:v>
      </x:c>
    </x:row>
    <x:row r="43" spans="1:14" x14ac:dyDescent="0.15">
      <x:c r="A43">
        <x:v>53001062</x:v>
      </x:c>
      <x:c r="B43" t="s">
        <x:v>128</x:v>
      </x:c>
      <x:c r="C43">
        <x:v>121018</x:v>
      </x:c>
      <x:c r="D43" t="str">
        <x:f t="shared" si="5"/>
        <x:v>hero_2d_21018</x:v>
      </x:c>
      <x:c r="M43">
        <x:v>112024</x:v>
      </x:c>
      <x:c r="N43" t="s">
        <x:v>246</x:v>
      </x:c>
    </x:row>
    <x:row r="44" spans="1:14" x14ac:dyDescent="0.15">
      <x:c r="A44">
        <x:v>53001062</x:v>
      </x:c>
      <x:c r="B44" t="s">
        <x:v>128</x:v>
      </x:c>
      <x:c r="C44">
        <x:v>121018</x:v>
      </x:c>
      <x:c r="D44" t="str">
        <x:f t="shared" si="5"/>
        <x:v>hero_2d_21018</x:v>
      </x:c>
      <x:c r="M44">
        <x:v>112025</x:v>
      </x:c>
      <x:c r="N44" t="s">
        <x:v>247</x:v>
      </x:c>
    </x:row>
    <x:row r="45" spans="1:14" x14ac:dyDescent="0.15">
      <x:c r="A45">
        <x:v>53001071</x:v>
      </x:c>
      <x:c r="B45" t="s">
        <x:v>131</x:v>
      </x:c>
      <x:c r="C45">
        <x:v>121017</x:v>
      </x:c>
      <x:c r="D45" t="str">
        <x:f t="shared" si="5"/>
        <x:v>hero_2d_21019</x:v>
      </x:c>
      <x:c r="M45">
        <x:v>112026</x:v>
      </x:c>
      <x:c r="N45" t="s">
        <x:v>248</x:v>
      </x:c>
    </x:row>
    <x:row r="46" spans="1:14" x14ac:dyDescent="0.15">
      <x:c r="A46">
        <x:v>53001071</x:v>
      </x:c>
      <x:c r="B46" t="s">
        <x:v>131</x:v>
      </x:c>
      <x:c r="C46">
        <x:v>121017</x:v>
      </x:c>
      <x:c r="D46" t="str">
        <x:f t="shared" si="5"/>
        <x:v>hero_2d_21019</x:v>
      </x:c>
      <x:c r="M46">
        <x:v>112027</x:v>
      </x:c>
      <x:c r="N46" t="s">
        <x:v>249</x:v>
      </x:c>
    </x:row>
    <x:row r="47" spans="1:14" x14ac:dyDescent="0.15">
      <x:c r="A47">
        <x:v>53001071</x:v>
      </x:c>
      <x:c r="B47" t="s">
        <x:v>131</x:v>
      </x:c>
      <x:c r="C47">
        <x:v>121039</x:v>
      </x:c>
      <x:c r="D47" t="str">
        <x:f t="shared" si="5"/>
        <x:v>hero_2d_21039</x:v>
      </x:c>
      <x:c r="M47">
        <x:v>112028</x:v>
      </x:c>
      <x:c r="N47" t="s">
        <x:v>250</x:v>
      </x:c>
    </x:row>
    <x:row r="48" spans="1:14" x14ac:dyDescent="0.15">
      <x:c r="A48">
        <x:v>53001072</x:v>
      </x:c>
      <x:c r="B48" t="s">
        <x:v>134</x:v>
      </x:c>
      <x:c r="C48">
        <x:v>121038</x:v>
      </x:c>
      <x:c r="D48" t="str">
        <x:f t="shared" si="5"/>
        <x:v>hero_2d_21038</x:v>
      </x:c>
      <x:c r="M48">
        <x:v>112029</x:v>
      </x:c>
      <x:c r="N48" t="s">
        <x:v>251</x:v>
      </x:c>
    </x:row>
    <x:row r="49" spans="1:14" x14ac:dyDescent="0.15">
      <x:c r="A49">
        <x:v>53001081</x:v>
      </x:c>
      <x:c r="B49" t="s">
        <x:v>137</x:v>
      </x:c>
      <x:c r="C49">
        <x:v>121017</x:v>
      </x:c>
      <x:c r="D49" t="str">
        <x:f t="shared" si="5"/>
        <x:v>hero_2d_21019</x:v>
      </x:c>
      <x:c r="M49">
        <x:v>112030</x:v>
      </x:c>
      <x:c r="N49" t="s">
        <x:v>251</x:v>
      </x:c>
    </x:row>
    <x:row r="50" spans="1:14" x14ac:dyDescent="0.15">
      <x:c r="A50">
        <x:v>53001081</x:v>
      </x:c>
      <x:c r="B50" t="s">
        <x:v>137</x:v>
      </x:c>
      <x:c r="C50">
        <x:v>1111012</x:v>
      </x:c>
      <x:c r="D50" t="str">
        <x:f t="shared" si="5"/>
        <x:v>hero_2d_1012</x:v>
      </x:c>
      <x:c r="M50">
        <x:v>113001</x:v>
      </x:c>
      <x:c r="N50" t="s">
        <x:v>143</x:v>
      </x:c>
    </x:row>
    <x:row r="51" spans="1:14" x14ac:dyDescent="0.15">
      <x:c r="A51">
        <x:v>53001081</x:v>
      </x:c>
      <x:c r="B51" t="s">
        <x:v>137</x:v>
      </x:c>
      <x:c r="C51">
        <x:v>121018</x:v>
      </x:c>
      <x:c r="D51" t="str">
        <x:f t="shared" si="5"/>
        <x:v>hero_2d_21018</x:v>
      </x:c>
      <x:c r="M51">
        <x:v>113002</x:v>
      </x:c>
      <x:c r="N51" t="s">
        <x:v>252</x:v>
      </x:c>
    </x:row>
    <x:row r="52" spans="1:14" x14ac:dyDescent="0.15">
      <x:c r="A52">
        <x:v>53001081</x:v>
      </x:c>
      <x:c r="B52" t="s">
        <x:v>137</x:v>
      </x:c>
      <x:c r="C52">
        <x:v>121018</x:v>
      </x:c>
      <x:c r="D52" t="str">
        <x:f t="shared" si="5"/>
        <x:v>hero_2d_21018</x:v>
      </x:c>
      <x:c r="M52">
        <x:v>113003</x:v>
      </x:c>
      <x:c r="N52" t="s">
        <x:v>253</x:v>
      </x:c>
    </x:row>
    <x:row r="53" spans="1:14" x14ac:dyDescent="0.15">
      <x:c r="A53">
        <x:v>53001082</x:v>
      </x:c>
      <x:c r="B53" t="s">
        <x:v>140</x:v>
      </x:c>
      <x:c r="C53">
        <x:v>121017</x:v>
      </x:c>
      <x:c r="D53" t="str">
        <x:f t="shared" si="5"/>
        <x:v>hero_2d_21019</x:v>
      </x:c>
      <x:c r="M53">
        <x:v>113004</x:v>
      </x:c>
      <x:c r="N53" t="s">
        <x:v>254</x:v>
      </x:c>
    </x:row>
    <x:row r="54" spans="1:14" x14ac:dyDescent="0.15">
      <x:c r="A54">
        <x:v>53001082</x:v>
      </x:c>
      <x:c r="B54" t="s">
        <x:v>140</x:v>
      </x:c>
      <x:c r="C54">
        <x:v>121017</x:v>
      </x:c>
      <x:c r="D54" t="str">
        <x:f t="shared" si="5"/>
        <x:v>hero_2d_21019</x:v>
      </x:c>
      <x:c r="M54">
        <x:v>113005</x:v>
      </x:c>
      <x:c r="N54" t="s">
        <x:v>255</x:v>
      </x:c>
    </x:row>
    <x:row r="55" spans="1:14" x14ac:dyDescent="0.15">
      <x:c r="A55">
        <x:v>53001082</x:v>
      </x:c>
      <x:c r="B55" t="s">
        <x:v>140</x:v>
      </x:c>
      <x:c r="C55">
        <x:v>121040</x:v>
      </x:c>
      <x:c r="D55" t="str">
        <x:f t="shared" si="5"/>
        <x:v>hero_2d_21040</x:v>
      </x:c>
      <x:c r="M55">
        <x:v>113006</x:v>
      </x:c>
      <x:c r="N55" t="s">
        <x:v>256</x:v>
      </x:c>
    </x:row>
    <x:row r="56" spans="1:14" x14ac:dyDescent="0.15">
      <x:c r="A56">
        <x:v>53001091</x:v>
      </x:c>
      <x:c r="B56" t="s">
        <x:v>144</x:v>
      </x:c>
      <x:c r="C56">
        <x:v>1111012</x:v>
      </x:c>
      <x:c r="D56" t="str">
        <x:f t="shared" si="5"/>
        <x:v>hero_2d_1012</x:v>
      </x:c>
      <x:c r="M56">
        <x:v>113007</x:v>
      </x:c>
      <x:c r="N56" t="s">
        <x:v>257</x:v>
      </x:c>
    </x:row>
    <x:row r="57" spans="1:14" x14ac:dyDescent="0.15">
      <x:c r="A57">
        <x:v>53001091</x:v>
      </x:c>
      <x:c r="B57" t="s">
        <x:v>144</x:v>
      </x:c>
      <x:c r="C57">
        <x:v>121040</x:v>
      </x:c>
      <x:c r="D57" t="str">
        <x:f t="shared" si="5"/>
        <x:v>hero_2d_21040</x:v>
      </x:c>
      <x:c r="M57">
        <x:v>113008</x:v>
      </x:c>
      <x:c r="N57" t="s">
        <x:v>258</x:v>
      </x:c>
    </x:row>
    <x:row r="58" spans="1:14" x14ac:dyDescent="0.15">
      <x:c r="A58">
        <x:v>53001092</x:v>
      </x:c>
      <x:c r="B58" t="s">
        <x:v>146</x:v>
      </x:c>
      <x:c r="C58">
        <x:v>121017</x:v>
      </x:c>
      <x:c r="D58" t="str">
        <x:f t="shared" si="5"/>
        <x:v>hero_2d_21019</x:v>
      </x:c>
      <x:c r="M58">
        <x:v>113009</x:v>
      </x:c>
      <x:c r="N58" t="s">
        <x:v>259</x:v>
      </x:c>
    </x:row>
    <x:row r="59" spans="1:14" x14ac:dyDescent="0.15">
      <x:c r="A59">
        <x:v>53001092</x:v>
      </x:c>
      <x:c r="B59" t="s">
        <x:v>146</x:v>
      </x:c>
      <x:c r="C59">
        <x:v>121017</x:v>
      </x:c>
      <x:c r="D59" t="str">
        <x:f t="shared" si="5"/>
        <x:v>hero_2d_21019</x:v>
      </x:c>
      <x:c r="M59">
        <x:v>113010</x:v>
      </x:c>
      <x:c r="N59" t="s">
        <x:v>260</x:v>
      </x:c>
    </x:row>
    <x:row r="60" spans="1:14" x14ac:dyDescent="0.15">
      <x:c r="A60">
        <x:v>53001092</x:v>
      </x:c>
      <x:c r="B60" t="s">
        <x:v>146</x:v>
      </x:c>
      <x:c r="C60">
        <x:v>121017</x:v>
      </x:c>
      <x:c r="D60" t="str">
        <x:f t="shared" si="5"/>
        <x:v>hero_2d_21019</x:v>
      </x:c>
      <x:c r="M60">
        <x:v>113011</x:v>
      </x:c>
      <x:c r="N60" t="s">
        <x:v>261</x:v>
      </x:c>
    </x:row>
    <x:row r="61" spans="1:14" x14ac:dyDescent="0.15">
      <x:c r="A61">
        <x:v>53001092</x:v>
      </x:c>
      <x:c r="B61" t="s">
        <x:v>146</x:v>
      </x:c>
      <x:c r="C61">
        <x:v>121040</x:v>
      </x:c>
      <x:c r="D61" t="str">
        <x:f t="shared" si="5"/>
        <x:v>hero_2d_21040</x:v>
      </x:c>
      <x:c r="M61">
        <x:v>113012</x:v>
      </x:c>
      <x:c r="N61" t="s">
        <x:v>262</x:v>
      </x:c>
    </x:row>
    <x:row r="62" spans="1:14" x14ac:dyDescent="0.15">
      <x:c r="A62">
        <x:v>53001092</x:v>
      </x:c>
      <x:c r="B62" t="s">
        <x:v>146</x:v>
      </x:c>
      <x:c r="C62">
        <x:v>1111012</x:v>
      </x:c>
      <x:c r="D62" t="str">
        <x:f t="shared" si="5"/>
        <x:v>hero_2d_1012</x:v>
      </x:c>
      <x:c r="M62">
        <x:v>113013</x:v>
      </x:c>
      <x:c r="N62" t="s">
        <x:v>263</x:v>
      </x:c>
    </x:row>
    <x:row r="63" spans="1:14" x14ac:dyDescent="0.15">
      <x:c r="A63">
        <x:v>53001101</x:v>
      </x:c>
      <x:c r="B63" t="s">
        <x:v>148</x:v>
      </x:c>
      <x:c r="C63">
        <x:v>1112015</x:v>
      </x:c>
      <x:c r="D63" t="str">
        <x:f t="shared" si="5"/>
        <x:v>hero_2d_2015</x:v>
      </x:c>
      <x:c r="M63">
        <x:v>113014</x:v>
      </x:c>
      <x:c r="N63" t="s">
        <x:v>264</x:v>
      </x:c>
    </x:row>
    <x:row r="64" spans="1:14" x14ac:dyDescent="0.15">
      <x:c r="A64">
        <x:v>53001101</x:v>
      </x:c>
      <x:c r="B64" t="s">
        <x:v>148</x:v>
      </x:c>
      <x:c r="C64">
        <x:v>1111015</x:v>
      </x:c>
      <x:c r="D64" t="str">
        <x:f t="shared" si="5"/>
        <x:v>hero_2d_1015</x:v>
      </x:c>
      <x:c r="M64">
        <x:v>113015</x:v>
      </x:c>
      <x:c r="N64" t="s">
        <x:v>265</x:v>
      </x:c>
    </x:row>
    <x:row r="65" spans="1:14" x14ac:dyDescent="0.15">
      <x:c r="A65">
        <x:v>53001102</x:v>
      </x:c>
      <x:c r="B65" t="s">
        <x:v>150</x:v>
      </x:c>
      <x:c r="C65">
        <x:v>1112015</x:v>
      </x:c>
      <x:c r="D65" t="str">
        <x:f t="shared" si="5"/>
        <x:v>hero_2d_2015</x:v>
      </x:c>
      <x:c r="M65">
        <x:v>113016</x:v>
      </x:c>
      <x:c r="N65" t="s">
        <x:v>266</x:v>
      </x:c>
    </x:row>
    <x:row r="66" spans="1:14" x14ac:dyDescent="0.15">
      <x:c r="A66">
        <x:v>53001102</x:v>
      </x:c>
      <x:c r="B66" t="s">
        <x:v>150</x:v>
      </x:c>
      <x:c r="C66">
        <x:v>1111015</x:v>
      </x:c>
      <x:c r="D66" t="str">
        <x:f t="shared" si="5"/>
        <x:v>hero_2d_1015</x:v>
      </x:c>
      <x:c r="M66">
        <x:v>113017</x:v>
      </x:c>
      <x:c r="N66" t="s">
        <x:v>267</x:v>
      </x:c>
    </x:row>
    <x:row r="67" spans="1:14" x14ac:dyDescent="0.15">
      <x:c r="A67">
        <x:v>53001111</x:v>
      </x:c>
      <x:c r="B67" t="s">
        <x:v>152</x:v>
      </x:c>
      <x:c r="C67">
        <x:v>11113011</x:v>
      </x:c>
      <x:c r="D67" t="str">
        <x:f t="shared" ref="D67:D98" si="6">VLOOKUP(C67,M:N,2,FALSE)</x:f>
        <x:v>hero_2d_2015</x:v>
      </x:c>
      <x:c r="M67">
        <x:v>113018</x:v>
      </x:c>
      <x:c r="N67" t="s">
        <x:v>268</x:v>
      </x:c>
    </x:row>
    <x:row r="68" spans="1:14" x14ac:dyDescent="0.15">
      <x:c r="A68">
        <x:v>53001112</x:v>
      </x:c>
      <x:c r="B68" t="s">
        <x:v>154</x:v>
      </x:c>
      <x:c r="C68">
        <x:v>11113011</x:v>
      </x:c>
      <x:c r="D68" t="str">
        <x:f t="shared" si="6"/>
        <x:v>hero_2d_2015</x:v>
      </x:c>
      <x:c r="M68">
        <x:v>113019</x:v>
      </x:c>
      <x:c r="N68" t="s">
        <x:v>269</x:v>
      </x:c>
    </x:row>
    <x:row r="69" spans="1:14" x14ac:dyDescent="0.15">
      <x:c r="A69">
        <x:v>53001121</x:v>
      </x:c>
      <x:c r="B69" t="s">
        <x:v>156</x:v>
      </x:c>
      <x:c r="C69">
        <x:v>1111014</x:v>
      </x:c>
      <x:c r="D69" t="str">
        <x:f t="shared" si="6"/>
        <x:v>hero_2d_1014</x:v>
      </x:c>
      <x:c r="M69">
        <x:v>113020</x:v>
      </x:c>
      <x:c r="N69" t="s">
        <x:v>270</x:v>
      </x:c>
    </x:row>
    <x:row r="70" spans="1:14" x14ac:dyDescent="0.15">
      <x:c r="A70">
        <x:v>53001121</x:v>
      </x:c>
      <x:c r="B70" t="s">
        <x:v>156</x:v>
      </x:c>
      <x:c r="C70">
        <x:v>121018</x:v>
      </x:c>
      <x:c r="D70" t="str">
        <x:f t="shared" si="6"/>
        <x:v>hero_2d_21018</x:v>
      </x:c>
      <x:c r="M70">
        <x:v>113021</x:v>
      </x:c>
      <x:c r="N70" t="s">
        <x:v>271</x:v>
      </x:c>
    </x:row>
    <x:row r="71" spans="1:14" x14ac:dyDescent="0.15">
      <x:c r="A71">
        <x:v>53001121</x:v>
      </x:c>
      <x:c r="B71" t="s">
        <x:v>156</x:v>
      </x:c>
      <x:c r="C71">
        <x:v>121049</x:v>
      </x:c>
      <x:c r="D71" t="str">
        <x:f t="shared" si="6"/>
        <x:v>hero_2d_21049</x:v>
      </x:c>
      <x:c r="M71">
        <x:v>113022</x:v>
      </x:c>
      <x:c r="N71" t="s">
        <x:v>272</x:v>
      </x:c>
    </x:row>
    <x:row r="72" spans="1:14" x14ac:dyDescent="0.15">
      <x:c r="A72">
        <x:v>53001122</x:v>
      </x:c>
      <x:c r="B72" t="s">
        <x:v>158</x:v>
      </x:c>
      <x:c r="C72">
        <x:v>121017</x:v>
      </x:c>
      <x:c r="D72" t="str">
        <x:f t="shared" si="6"/>
        <x:v>hero_2d_21019</x:v>
      </x:c>
      <x:c r="M72">
        <x:v>113023</x:v>
      </x:c>
      <x:c r="N72" t="s">
        <x:v>273</x:v>
      </x:c>
    </x:row>
    <x:row r="73" spans="1:14" x14ac:dyDescent="0.15">
      <x:c r="A73">
        <x:v>53001122</x:v>
      </x:c>
      <x:c r="B73" t="s">
        <x:v>158</x:v>
      </x:c>
      <x:c r="C73">
        <x:v>121017</x:v>
      </x:c>
      <x:c r="D73" t="str">
        <x:f t="shared" si="6"/>
        <x:v>hero_2d_21019</x:v>
      </x:c>
      <x:c r="M73">
        <x:v>113024</x:v>
      </x:c>
      <x:c r="N73" t="s">
        <x:v>274</x:v>
      </x:c>
    </x:row>
    <x:row r="74" spans="1:14" x14ac:dyDescent="0.15">
      <x:c r="A74">
        <x:v>53001122</x:v>
      </x:c>
      <x:c r="B74" t="s">
        <x:v>158</x:v>
      </x:c>
      <x:c r="C74">
        <x:v>121017</x:v>
      </x:c>
      <x:c r="D74" t="str">
        <x:f t="shared" si="6"/>
        <x:v>hero_2d_21019</x:v>
      </x:c>
      <x:c r="M74">
        <x:v>113025</x:v>
      </x:c>
      <x:c r="N74" t="s">
        <x:v>275</x:v>
      </x:c>
    </x:row>
    <x:row r="75" spans="1:14" x14ac:dyDescent="0.15">
      <x:c r="A75">
        <x:v>53001122</x:v>
      </x:c>
      <x:c r="B75" t="s">
        <x:v>158</x:v>
      </x:c>
      <x:c r="C75">
        <x:v>1111014</x:v>
      </x:c>
      <x:c r="D75" t="str">
        <x:f t="shared" si="6"/>
        <x:v>hero_2d_1014</x:v>
      </x:c>
      <x:c r="M75">
        <x:v>113026</x:v>
      </x:c>
      <x:c r="N75" t="s">
        <x:v>276</x:v>
      </x:c>
    </x:row>
    <x:row r="76" spans="1:14" x14ac:dyDescent="0.15">
      <x:c r="A76">
        <x:v>53001122</x:v>
      </x:c>
      <x:c r="B76" t="s">
        <x:v>158</x:v>
      </x:c>
      <x:c r="C76">
        <x:v>121049</x:v>
      </x:c>
      <x:c r="D76" t="str">
        <x:f t="shared" si="6"/>
        <x:v>hero_2d_21049</x:v>
      </x:c>
      <x:c r="M76">
        <x:v>113027</x:v>
      </x:c>
      <x:c r="N76" t="s">
        <x:v>277</x:v>
      </x:c>
    </x:row>
    <x:row r="77" spans="1:14" x14ac:dyDescent="0.15">
      <x:c r="A77">
        <x:v>53001131</x:v>
      </x:c>
      <x:c r="B77" t="s">
        <x:v>160</x:v>
      </x:c>
      <x:c r="C77">
        <x:v>1112014</x:v>
      </x:c>
      <x:c r="D77" t="str">
        <x:f t="shared" si="6"/>
        <x:v>hero_2d_2014</x:v>
      </x:c>
      <x:c r="M77">
        <x:v>113028</x:v>
      </x:c>
      <x:c r="N77" t="s">
        <x:v>278</x:v>
      </x:c>
    </x:row>
    <x:row r="78" spans="1:14" x14ac:dyDescent="0.15">
      <x:c r="A78">
        <x:v>53001132</x:v>
      </x:c>
      <x:c r="B78" t="s">
        <x:v>162</x:v>
      </x:c>
      <x:c r="C78">
        <x:v>1112014</x:v>
      </x:c>
      <x:c r="D78" t="str">
        <x:f t="shared" si="6"/>
        <x:v>hero_2d_2014</x:v>
      </x:c>
      <x:c r="M78">
        <x:v>113029</x:v>
      </x:c>
      <x:c r="N78" t="s">
        <x:v>279</x:v>
      </x:c>
    </x:row>
    <x:row r="79" spans="1:14" x14ac:dyDescent="0.15">
      <x:c r="A79">
        <x:v>53001132</x:v>
      </x:c>
      <x:c r="B79" t="s">
        <x:v>162</x:v>
      </x:c>
      <x:c r="C79">
        <x:v>121017</x:v>
      </x:c>
      <x:c r="D79" t="str">
        <x:f t="shared" si="6"/>
        <x:v>hero_2d_21019</x:v>
      </x:c>
      <x:c r="M79">
        <x:v>113030</x:v>
      </x:c>
      <x:c r="N79" t="s">
        <x:v>280</x:v>
      </x:c>
    </x:row>
    <x:row r="80" spans="1:14" x14ac:dyDescent="0.15">
      <x:c r="A80">
        <x:v>53001132</x:v>
      </x:c>
      <x:c r="B80" t="s">
        <x:v>162</x:v>
      </x:c>
      <x:c r="C80">
        <x:v>121018</x:v>
      </x:c>
      <x:c r="D80" t="str">
        <x:f t="shared" si="6"/>
        <x:v>hero_2d_21018</x:v>
      </x:c>
      <x:c r="M80">
        <x:v>113031</x:v>
      </x:c>
      <x:c r="N80" t="s">
        <x:v>281</x:v>
      </x:c>
    </x:row>
    <x:row r="81" spans="1:14" x14ac:dyDescent="0.15">
      <x:c r="A81">
        <x:v>53001132</x:v>
      </x:c>
      <x:c r="B81" t="s">
        <x:v>162</x:v>
      </x:c>
      <x:c r="C81">
        <x:v>121018</x:v>
      </x:c>
      <x:c r="D81" t="str">
        <x:f t="shared" si="6"/>
        <x:v>hero_2d_21018</x:v>
      </x:c>
      <x:c r="M81">
        <x:v>113032</x:v>
      </x:c>
      <x:c r="N81" t="s">
        <x:v>282</x:v>
      </x:c>
    </x:row>
    <x:row r="82" spans="1:14" x14ac:dyDescent="0.15">
      <x:c r="A82">
        <x:v>53001132</x:v>
      </x:c>
      <x:c r="B82" t="s">
        <x:v>162</x:v>
      </x:c>
      <x:c r="C82">
        <x:v>121018</x:v>
      </x:c>
      <x:c r="D82" t="str">
        <x:f t="shared" si="6"/>
        <x:v>hero_2d_21018</x:v>
      </x:c>
      <x:c r="M82">
        <x:v>113033</x:v>
      </x:c>
      <x:c r="N82" t="s">
        <x:v>283</x:v>
      </x:c>
    </x:row>
    <x:row r="83" spans="1:14" x14ac:dyDescent="0.15">
      <x:c r="A83">
        <x:v>53001141</x:v>
      </x:c>
      <x:c r="B83" t="s">
        <x:v>164</x:v>
      </x:c>
      <x:c r="C83">
        <x:v>1112013</x:v>
      </x:c>
      <x:c r="D83" t="str">
        <x:f t="shared" si="6"/>
        <x:v>hero_2d_2013</x:v>
      </x:c>
      <x:c r="M83">
        <x:v>113034</x:v>
      </x:c>
      <x:c r="N83" t="s">
        <x:v>284</x:v>
      </x:c>
    </x:row>
    <x:row r="84" spans="1:14" x14ac:dyDescent="0.15">
      <x:c r="A84">
        <x:v>53001141</x:v>
      </x:c>
      <x:c r="B84" t="s">
        <x:v>164</x:v>
      </x:c>
      <x:c r="C84">
        <x:v>121018</x:v>
      </x:c>
      <x:c r="D84" t="str">
        <x:f t="shared" si="6"/>
        <x:v>hero_2d_21018</x:v>
      </x:c>
      <x:c r="M84">
        <x:v>113035</x:v>
      </x:c>
      <x:c r="N84" t="s">
        <x:v>285</x:v>
      </x:c>
    </x:row>
    <x:row r="85" spans="1:14" x14ac:dyDescent="0.15">
      <x:c r="A85">
        <x:v>53001141</x:v>
      </x:c>
      <x:c r="B85" t="s">
        <x:v>164</x:v>
      </x:c>
      <x:c r="C85">
        <x:v>121018</x:v>
      </x:c>
      <x:c r="D85" t="str">
        <x:f t="shared" si="6"/>
        <x:v>hero_2d_21018</x:v>
      </x:c>
      <x:c r="M85">
        <x:v>113036</x:v>
      </x:c>
      <x:c r="N85" t="s">
        <x:v>286</x:v>
      </x:c>
    </x:row>
    <x:row r="86" spans="1:14" x14ac:dyDescent="0.15">
      <x:c r="A86">
        <x:v>53001141</x:v>
      </x:c>
      <x:c r="B86" t="s">
        <x:v>164</x:v>
      </x:c>
      <x:c r="C86">
        <x:v>121018</x:v>
      </x:c>
      <x:c r="D86" t="str">
        <x:f t="shared" si="6"/>
        <x:v>hero_2d_21018</x:v>
      </x:c>
      <x:c r="M86">
        <x:v>113037</x:v>
      </x:c>
      <x:c r="N86" t="s">
        <x:v>287</x:v>
      </x:c>
    </x:row>
    <x:row r="87" spans="1:14" x14ac:dyDescent="0.15">
      <x:c r="A87">
        <x:v>53001142</x:v>
      </x:c>
      <x:c r="B87" t="s">
        <x:v>166</x:v>
      </x:c>
      <x:c r="C87">
        <x:v>1112016</x:v>
      </x:c>
      <x:c r="D87" t="str">
        <x:f t="shared" si="6"/>
        <x:v>hero_2d_2016</x:v>
      </x:c>
      <x:c r="M87">
        <x:v>113038</x:v>
      </x:c>
      <x:c r="N87" t="s">
        <x:v>288</x:v>
      </x:c>
    </x:row>
    <x:row r="88" spans="1:14" x14ac:dyDescent="0.15">
      <x:c r="A88">
        <x:v>53001151</x:v>
      </x:c>
      <x:c r="B88" t="s">
        <x:v>168</x:v>
      </x:c>
      <x:c r="C88">
        <x:v>1112013</x:v>
      </x:c>
      <x:c r="D88" t="str">
        <x:f t="shared" si="6"/>
        <x:v>hero_2d_2013</x:v>
      </x:c>
      <x:c r="M88">
        <x:v>113039</x:v>
      </x:c>
      <x:c r="N88" t="s">
        <x:v>289</x:v>
      </x:c>
    </x:row>
    <x:row r="89" spans="1:14" x14ac:dyDescent="0.15">
      <x:c r="A89">
        <x:v>53001152</x:v>
      </x:c>
      <x:c r="B89" t="s">
        <x:v>170</x:v>
      </x:c>
      <x:c r="C89">
        <x:v>1112013</x:v>
      </x:c>
      <x:c r="D89" t="str">
        <x:f t="shared" si="6"/>
        <x:v>hero_2d_2013</x:v>
      </x:c>
      <x:c r="M89">
        <x:v>113040</x:v>
      </x:c>
      <x:c r="N89" t="s">
        <x:v>290</x:v>
      </x:c>
    </x:row>
    <x:row r="90" spans="1:14" x14ac:dyDescent="0.15">
      <x:c r="A90">
        <x:v>53001152</x:v>
      </x:c>
      <x:c r="B90" t="s">
        <x:v>170</x:v>
      </x:c>
      <x:c r="C90">
        <x:v>1112016</x:v>
      </x:c>
      <x:c r="D90" t="str">
        <x:f t="shared" si="6"/>
        <x:v>hero_2d_2016</x:v>
      </x:c>
      <x:c r="M90">
        <x:v>113041</x:v>
      </x:c>
      <x:c r="N90" t="s">
        <x:v>291</x:v>
      </x:c>
    </x:row>
    <x:row r="91" spans="1:14" x14ac:dyDescent="0.15">
      <x:c r="A91">
        <x:v>53002011</x:v>
      </x:c>
      <x:c r="B91" t="s">
        <x:v>172</x:v>
      </x:c>
      <x:c r="C91">
        <x:v>121018</x:v>
      </x:c>
      <x:c r="D91" t="str">
        <x:f t="shared" si="6"/>
        <x:v>hero_2d_21018</x:v>
      </x:c>
      <x:c r="M91">
        <x:v>113042</x:v>
      </x:c>
      <x:c r="N91" t="s">
        <x:v>292</x:v>
      </x:c>
    </x:row>
    <x:row r="92" spans="1:14" x14ac:dyDescent="0.15">
      <x:c r="A92">
        <x:v>53002011</x:v>
      </x:c>
      <x:c r="B92" t="s">
        <x:v>172</x:v>
      </x:c>
      <x:c r="C92">
        <x:v>121018</x:v>
      </x:c>
      <x:c r="D92" t="str">
        <x:f t="shared" si="6"/>
        <x:v>hero_2d_21018</x:v>
      </x:c>
      <x:c r="M92">
        <x:v>113043</x:v>
      </x:c>
      <x:c r="N92" t="s">
        <x:v>293</x:v>
      </x:c>
    </x:row>
    <x:row r="93" spans="1:14" x14ac:dyDescent="0.15">
      <x:c r="A93">
        <x:v>53002012</x:v>
      </x:c>
      <x:c r="B93" t="s">
        <x:v>174</x:v>
      </x:c>
      <x:c r="C93">
        <x:v>121017</x:v>
      </x:c>
      <x:c r="D93" t="str">
        <x:f t="shared" si="6"/>
        <x:v>hero_2d_21019</x:v>
      </x:c>
      <x:c r="M93">
        <x:v>113044</x:v>
      </x:c>
      <x:c r="N93" t="s">
        <x:v>294</x:v>
      </x:c>
    </x:row>
    <x:row r="94" spans="1:14" x14ac:dyDescent="0.15">
      <x:c r="A94">
        <x:v>53002012</x:v>
      </x:c>
      <x:c r="B94" t="s">
        <x:v>174</x:v>
      </x:c>
      <x:c r="C94">
        <x:v>121017</x:v>
      </x:c>
      <x:c r="D94" t="str">
        <x:f t="shared" si="6"/>
        <x:v>hero_2d_21019</x:v>
      </x:c>
      <x:c r="M94">
        <x:v>113045</x:v>
      </x:c>
      <x:c r="N94" t="s">
        <x:v>295</x:v>
      </x:c>
    </x:row>
    <x:row r="95" spans="1:14" x14ac:dyDescent="0.15">
      <x:c r="A95">
        <x:v>53002021</x:v>
      </x:c>
      <x:c r="B95" t="s">
        <x:v>175</x:v>
      </x:c>
      <x:c r="C95">
        <x:v>121017</x:v>
      </x:c>
      <x:c r="D95" t="str">
        <x:f t="shared" si="6"/>
        <x:v>hero_2d_21019</x:v>
      </x:c>
      <x:c r="M95">
        <x:v>113046</x:v>
      </x:c>
      <x:c r="N95" t="s">
        <x:v>296</x:v>
      </x:c>
    </x:row>
    <x:row r="96" spans="1:14" x14ac:dyDescent="0.15">
      <x:c r="A96">
        <x:v>53002021</x:v>
      </x:c>
      <x:c r="B96" t="s">
        <x:v>175</x:v>
      </x:c>
      <x:c r="C96">
        <x:v>121017</x:v>
      </x:c>
      <x:c r="D96" t="str">
        <x:f t="shared" si="6"/>
        <x:v>hero_2d_21019</x:v>
      </x:c>
      <x:c r="M96">
        <x:v>113047</x:v>
      </x:c>
      <x:c r="N96" t="s">
        <x:v>297</x:v>
      </x:c>
    </x:row>
    <x:row r="97" spans="1:14" x14ac:dyDescent="0.15">
      <x:c r="A97">
        <x:v>53002021</x:v>
      </x:c>
      <x:c r="B97" t="s">
        <x:v>175</x:v>
      </x:c>
      <x:c r="C97">
        <x:v>121017</x:v>
      </x:c>
      <x:c r="D97" t="str">
        <x:f t="shared" si="6"/>
        <x:v>hero_2d_21019</x:v>
      </x:c>
      <x:c r="M97">
        <x:v>113048</x:v>
      </x:c>
      <x:c r="N97" t="s">
        <x:v>298</x:v>
      </x:c>
    </x:row>
    <x:row r="98" spans="1:14" x14ac:dyDescent="0.15">
      <x:c r="A98">
        <x:v>53002021</x:v>
      </x:c>
      <x:c r="B98" t="s">
        <x:v>175</x:v>
      </x:c>
      <x:c r="C98">
        <x:v>121018</x:v>
      </x:c>
      <x:c r="D98" t="str">
        <x:f t="shared" si="6"/>
        <x:v>hero_2d_21018</x:v>
      </x:c>
      <x:c r="M98">
        <x:v>113049</x:v>
      </x:c>
      <x:c r="N98" t="s">
        <x:v>299</x:v>
      </x:c>
    </x:row>
    <x:row r="99" spans="1:14" x14ac:dyDescent="0.15">
      <x:c r="A99">
        <x:v>53002022</x:v>
      </x:c>
      <x:c r="B99" t="s">
        <x:v>176</x:v>
      </x:c>
      <x:c r="C99">
        <x:v>121017</x:v>
      </x:c>
      <x:c r="D99" t="str">
        <x:f t="shared" ref="D99:D130" si="7">VLOOKUP(C99,M:N,2,FALSE)</x:f>
        <x:v>hero_2d_21019</x:v>
      </x:c>
      <x:c r="M99">
        <x:v>113050</x:v>
      </x:c>
      <x:c r="N99" t="s">
        <x:v>300</x:v>
      </x:c>
    </x:row>
    <x:row r="100" spans="1:14" x14ac:dyDescent="0.15">
      <x:c r="A100">
        <x:v>53002022</x:v>
      </x:c>
      <x:c r="B100" t="s">
        <x:v>176</x:v>
      </x:c>
      <x:c r="C100">
        <x:v>121018</x:v>
      </x:c>
      <x:c r="D100" t="str">
        <x:f t="shared" si="7"/>
        <x:v>hero_2d_21018</x:v>
      </x:c>
      <x:c r="M100">
        <x:v>113051</x:v>
      </x:c>
      <x:c r="N100" t="s">
        <x:v>301</x:v>
      </x:c>
    </x:row>
    <x:row r="101" spans="1:14" x14ac:dyDescent="0.15">
      <x:c r="A101">
        <x:v>53002022</x:v>
      </x:c>
      <x:c r="B101" t="s">
        <x:v>176</x:v>
      </x:c>
      <x:c r="C101">
        <x:v>121018</x:v>
      </x:c>
      <x:c r="D101" t="str">
        <x:f t="shared" si="7"/>
        <x:v>hero_2d_21018</x:v>
      </x:c>
      <x:c r="M101">
        <x:v>113052</x:v>
      </x:c>
      <x:c r="N101" t="s">
        <x:v>302</x:v>
      </x:c>
    </x:row>
    <x:row r="102" spans="1:14" x14ac:dyDescent="0.15">
      <x:c r="A102">
        <x:v>53002022</x:v>
      </x:c>
      <x:c r="B102" t="s">
        <x:v>176</x:v>
      </x:c>
      <x:c r="C102">
        <x:v>121018</x:v>
      </x:c>
      <x:c r="D102" t="str">
        <x:f t="shared" si="7"/>
        <x:v>hero_2d_21018</x:v>
      </x:c>
      <x:c r="M102">
        <x:v>113053</x:v>
      </x:c>
      <x:c r="N102" t="s">
        <x:v>303</x:v>
      </x:c>
    </x:row>
    <x:row r="103" spans="1:14" x14ac:dyDescent="0.15">
      <x:c r="A103">
        <x:v>53002031</x:v>
      </x:c>
      <x:c r="B103" t="s">
        <x:v>177</x:v>
      </x:c>
      <x:c r="C103">
        <x:v>121017</x:v>
      </x:c>
      <x:c r="D103" t="str">
        <x:f t="shared" si="7"/>
        <x:v>hero_2d_21019</x:v>
      </x:c>
      <x:c r="M103">
        <x:v>113054</x:v>
      </x:c>
      <x:c r="N103" t="s">
        <x:v>304</x:v>
      </x:c>
    </x:row>
    <x:row r="104" spans="1:14" x14ac:dyDescent="0.15">
      <x:c r="A104">
        <x:v>53002031</x:v>
      </x:c>
      <x:c r="B104" t="s">
        <x:v>177</x:v>
      </x:c>
      <x:c r="C104">
        <x:v>121017</x:v>
      </x:c>
      <x:c r="D104" t="str">
        <x:f t="shared" si="7"/>
        <x:v>hero_2d_21019</x:v>
      </x:c>
      <x:c r="M104">
        <x:v>113055</x:v>
      </x:c>
      <x:c r="N104" t="s">
        <x:v>305</x:v>
      </x:c>
    </x:row>
    <x:row r="105" spans="1:14" x14ac:dyDescent="0.15">
      <x:c r="A105">
        <x:v>53002031</x:v>
      </x:c>
      <x:c r="B105" t="s">
        <x:v>177</x:v>
      </x:c>
      <x:c r="C105">
        <x:v>121018</x:v>
      </x:c>
      <x:c r="D105" t="str">
        <x:f t="shared" si="7"/>
        <x:v>hero_2d_21018</x:v>
      </x:c>
      <x:c r="M105">
        <x:v>113056</x:v>
      </x:c>
      <x:c r="N105" t="s">
        <x:v>306</x:v>
      </x:c>
    </x:row>
    <x:row r="106" spans="1:14" x14ac:dyDescent="0.15">
      <x:c r="A106">
        <x:v>53002032</x:v>
      </x:c>
      <x:c r="B106" t="s">
        <x:v>178</x:v>
      </x:c>
      <x:c r="C106">
        <x:v>121017</x:v>
      </x:c>
      <x:c r="D106" t="str">
        <x:f t="shared" si="7"/>
        <x:v>hero_2d_21019</x:v>
      </x:c>
      <x:c r="M106">
        <x:v>113057</x:v>
      </x:c>
      <x:c r="N106" t="s">
        <x:v>307</x:v>
      </x:c>
    </x:row>
    <x:row r="107" spans="1:14" x14ac:dyDescent="0.15">
      <x:c r="A107">
        <x:v>53002032</x:v>
      </x:c>
      <x:c r="B107" t="s">
        <x:v>178</x:v>
      </x:c>
      <x:c r="C107">
        <x:v>121018</x:v>
      </x:c>
      <x:c r="D107" t="str">
        <x:f t="shared" si="7"/>
        <x:v>hero_2d_21018</x:v>
      </x:c>
      <x:c r="M107">
        <x:v>113058</x:v>
      </x:c>
      <x:c r="N107" t="s">
        <x:v>298</x:v>
      </x:c>
    </x:row>
    <x:row r="108" spans="1:14" x14ac:dyDescent="0.15">
      <x:c r="A108">
        <x:v>53002032</x:v>
      </x:c>
      <x:c r="B108" t="s">
        <x:v>178</x:v>
      </x:c>
      <x:c r="C108">
        <x:v>121017</x:v>
      </x:c>
      <x:c r="D108" t="str">
        <x:f t="shared" si="7"/>
        <x:v>hero_2d_21019</x:v>
      </x:c>
      <x:c r="M108">
        <x:v>113059</x:v>
      </x:c>
      <x:c r="N108" t="s">
        <x:v>308</x:v>
      </x:c>
    </x:row>
    <x:row r="109" spans="1:14" x14ac:dyDescent="0.15">
      <x:c r="A109">
        <x:v>53002032</x:v>
      </x:c>
      <x:c r="B109" t="s">
        <x:v>178</x:v>
      </x:c>
      <x:c r="C109">
        <x:v>121017</x:v>
      </x:c>
      <x:c r="D109" t="str">
        <x:f t="shared" si="7"/>
        <x:v>hero_2d_21019</x:v>
      </x:c>
      <x:c r="M109">
        <x:v>113060</x:v>
      </x:c>
      <x:c r="N109" t="s">
        <x:v>309</x:v>
      </x:c>
    </x:row>
    <x:row r="110" spans="1:14" x14ac:dyDescent="0.15">
      <x:c r="A110">
        <x:v>53002032</x:v>
      </x:c>
      <x:c r="B110" t="s">
        <x:v>178</x:v>
      </x:c>
      <x:c r="C110">
        <x:v>121018</x:v>
      </x:c>
      <x:c r="D110" t="str">
        <x:f t="shared" si="7"/>
        <x:v>hero_2d_21018</x:v>
      </x:c>
      <x:c r="M110">
        <x:v>113061</x:v>
      </x:c>
      <x:c r="N110" t="s">
        <x:v>310</x:v>
      </x:c>
    </x:row>
    <x:row r="111" spans="1:14" x14ac:dyDescent="0.15">
      <x:c r="A111">
        <x:v>53002032</x:v>
      </x:c>
      <x:c r="B111" t="s">
        <x:v>178</x:v>
      </x:c>
      <x:c r="C111">
        <x:v>121018</x:v>
      </x:c>
      <x:c r="D111" t="str">
        <x:f t="shared" si="7"/>
        <x:v>hero_2d_21018</x:v>
      </x:c>
      <x:c r="M111">
        <x:v>113062</x:v>
      </x:c>
      <x:c r="N111" t="s">
        <x:v>311</x:v>
      </x:c>
    </x:row>
    <x:row r="112" spans="1:14" x14ac:dyDescent="0.15">
      <x:c r="A112">
        <x:v>53002041</x:v>
      </x:c>
      <x:c r="B112" t="s">
        <x:v>179</x:v>
      </x:c>
      <x:c r="C112">
        <x:v>121017</x:v>
      </x:c>
      <x:c r="D112" t="str">
        <x:f t="shared" si="7"/>
        <x:v>hero_2d_21019</x:v>
      </x:c>
      <x:c r="M112">
        <x:v>113063</x:v>
      </x:c>
      <x:c r="N112" t="s">
        <x:v>251</x:v>
      </x:c>
    </x:row>
    <x:row r="113" spans="1:14" x14ac:dyDescent="0.15">
      <x:c r="A113">
        <x:v>53002041</x:v>
      </x:c>
      <x:c r="B113" t="s">
        <x:v>179</x:v>
      </x:c>
      <x:c r="C113">
        <x:v>121017</x:v>
      </x:c>
      <x:c r="D113" t="str">
        <x:f t="shared" si="7"/>
        <x:v>hero_2d_21019</x:v>
      </x:c>
      <x:c r="M113">
        <x:v>113064</x:v>
      </x:c>
      <x:c r="N113" t="s">
        <x:v>312</x:v>
      </x:c>
    </x:row>
    <x:row r="114" spans="1:14" x14ac:dyDescent="0.15">
      <x:c r="A114">
        <x:v>53002041</x:v>
      </x:c>
      <x:c r="B114" t="s">
        <x:v>179</x:v>
      </x:c>
      <x:c r="C114">
        <x:v>121080</x:v>
      </x:c>
      <x:c r="D114" t="str">
        <x:f t="shared" si="7"/>
        <x:v>hero_2d_1011</x:v>
      </x:c>
      <x:c r="M114">
        <x:v>113065</x:v>
      </x:c>
      <x:c r="N114" t="s">
        <x:v>313</x:v>
      </x:c>
    </x:row>
    <x:row r="115" spans="1:14" x14ac:dyDescent="0.15">
      <x:c r="A115">
        <x:v>53002042</x:v>
      </x:c>
      <x:c r="B115" t="s">
        <x:v>180</x:v>
      </x:c>
      <x:c r="C115">
        <x:v>121037</x:v>
      </x:c>
      <x:c r="D115" t="str">
        <x:f t="shared" si="7"/>
        <x:v>hero_2d_21037</x:v>
      </x:c>
      <x:c r="M115">
        <x:v>113066</x:v>
      </x:c>
      <x:c r="N115" t="s">
        <x:v>314</x:v>
      </x:c>
    </x:row>
    <x:row r="116" spans="1:14" x14ac:dyDescent="0.15">
      <x:c r="A116">
        <x:v>53002042</x:v>
      </x:c>
      <x:c r="B116" t="s">
        <x:v>180</x:v>
      </x:c>
      <x:c r="C116">
        <x:v>121018</x:v>
      </x:c>
      <x:c r="D116" t="str">
        <x:f t="shared" si="7"/>
        <x:v>hero_2d_21018</x:v>
      </x:c>
      <x:c r="M116">
        <x:v>113067</x:v>
      </x:c>
      <x:c r="N116" t="s">
        <x:v>315</x:v>
      </x:c>
    </x:row>
    <x:row r="117" spans="1:14" x14ac:dyDescent="0.15">
      <x:c r="A117">
        <x:v>53002042</x:v>
      </x:c>
      <x:c r="B117" t="s">
        <x:v>180</x:v>
      </x:c>
      <x:c r="C117">
        <x:v>121018</x:v>
      </x:c>
      <x:c r="D117" t="str">
        <x:f t="shared" si="7"/>
        <x:v>hero_2d_21018</x:v>
      </x:c>
      <x:c r="M117">
        <x:v>113068</x:v>
      </x:c>
      <x:c r="N117" t="s">
        <x:v>316</x:v>
      </x:c>
    </x:row>
    <x:row r="118" spans="1:14" x14ac:dyDescent="0.15">
      <x:c r="A118">
        <x:v>53002051</x:v>
      </x:c>
      <x:c r="B118" t="s">
        <x:v>181</x:v>
      </x:c>
      <x:c r="C118">
        <x:v>121037</x:v>
      </x:c>
      <x:c r="D118" t="str">
        <x:f t="shared" si="7"/>
        <x:v>hero_2d_21037</x:v>
      </x:c>
      <x:c r="M118">
        <x:v>113069</x:v>
      </x:c>
      <x:c r="N118" t="s">
        <x:v>317</x:v>
      </x:c>
    </x:row>
    <x:row r="119" spans="1:14" x14ac:dyDescent="0.15">
      <x:c r="A119">
        <x:v>53002051</x:v>
      </x:c>
      <x:c r="B119" t="s">
        <x:v>181</x:v>
      </x:c>
      <x:c r="C119">
        <x:v>121080</x:v>
      </x:c>
      <x:c r="D119" t="str">
        <x:f t="shared" si="7"/>
        <x:v>hero_2d_1011</x:v>
      </x:c>
      <x:c r="M119">
        <x:v>113070</x:v>
      </x:c>
      <x:c r="N119" t="s">
        <x:v>318</x:v>
      </x:c>
    </x:row>
    <x:row r="120" spans="1:14" x14ac:dyDescent="0.15">
      <x:c r="A120">
        <x:v>53002052</x:v>
      </x:c>
      <x:c r="B120" t="s">
        <x:v>182</x:v>
      </x:c>
      <x:c r="C120">
        <x:v>121017</x:v>
      </x:c>
      <x:c r="D120" t="str">
        <x:f t="shared" si="7"/>
        <x:v>hero_2d_21019</x:v>
      </x:c>
      <x:c r="M120">
        <x:v>113071</x:v>
      </x:c>
      <x:c r="N120" t="s">
        <x:v>59</x:v>
      </x:c>
    </x:row>
    <x:row r="121" spans="1:14" x14ac:dyDescent="0.15">
      <x:c r="A121">
        <x:v>53002052</x:v>
      </x:c>
      <x:c r="B121" t="s">
        <x:v>182</x:v>
      </x:c>
      <x:c r="C121">
        <x:v>121037</x:v>
      </x:c>
      <x:c r="D121" t="str">
        <x:f t="shared" si="7"/>
        <x:v>hero_2d_21037</x:v>
      </x:c>
      <x:c r="M121">
        <x:v>113072</x:v>
      </x:c>
      <x:c r="N121" t="s">
        <x:v>319</x:v>
      </x:c>
    </x:row>
    <x:row r="122" spans="1:14" x14ac:dyDescent="0.15">
      <x:c r="A122">
        <x:v>53002052</x:v>
      </x:c>
      <x:c r="B122" t="s">
        <x:v>182</x:v>
      </x:c>
      <x:c r="C122">
        <x:v>121018</x:v>
      </x:c>
      <x:c r="D122" t="str">
        <x:f t="shared" si="7"/>
        <x:v>hero_2d_21018</x:v>
      </x:c>
      <x:c r="M122">
        <x:v>113073</x:v>
      </x:c>
      <x:c r="N122" t="s">
        <x:v>320</x:v>
      </x:c>
    </x:row>
    <x:row r="123" spans="1:14" x14ac:dyDescent="0.15">
      <x:c r="A123">
        <x:v>53002052</x:v>
      </x:c>
      <x:c r="B123" t="s">
        <x:v>182</x:v>
      </x:c>
      <x:c r="C123">
        <x:v>121080</x:v>
      </x:c>
      <x:c r="D123" t="str">
        <x:f t="shared" si="7"/>
        <x:v>hero_2d_1011</x:v>
      </x:c>
      <x:c r="M123">
        <x:v>113074</x:v>
      </x:c>
    </x:row>
    <x:row r="124" spans="1:14" x14ac:dyDescent="0.15">
      <x:c r="A124">
        <x:v>53002061</x:v>
      </x:c>
      <x:c r="B124" t="s">
        <x:v>183</x:v>
      </x:c>
      <x:c r="C124">
        <x:v>121017</x:v>
      </x:c>
      <x:c r="D124" t="str">
        <x:f t="shared" si="7"/>
        <x:v>hero_2d_21019</x:v>
      </x:c>
      <x:c r="M124">
        <x:v>113075</x:v>
      </x:c>
      <x:c r="N124" t="s">
        <x:v>93</x:v>
      </x:c>
    </x:row>
    <x:row r="125" spans="1:14" x14ac:dyDescent="0.15">
      <x:c r="A125">
        <x:v>53002061</x:v>
      </x:c>
      <x:c r="B125" t="s">
        <x:v>183</x:v>
      </x:c>
      <x:c r="C125">
        <x:v>121017</x:v>
      </x:c>
      <x:c r="D125" t="str">
        <x:f t="shared" si="7"/>
        <x:v>hero_2d_21019</x:v>
      </x:c>
      <x:c r="M125">
        <x:v>113076</x:v>
      </x:c>
      <x:c r="N125" t="s">
        <x:v>321</x:v>
      </x:c>
    </x:row>
    <x:row r="126" spans="1:14" x14ac:dyDescent="0.15">
      <x:c r="A126">
        <x:v>53002061</x:v>
      </x:c>
      <x:c r="B126" t="s">
        <x:v>183</x:v>
      </x:c>
      <x:c r="C126">
        <x:v>121017</x:v>
      </x:c>
      <x:c r="D126" t="str">
        <x:f t="shared" si="7"/>
        <x:v>hero_2d_21019</x:v>
      </x:c>
      <x:c r="M126">
        <x:v>113077</x:v>
      </x:c>
      <x:c r="N126" t="s">
        <x:v>93</x:v>
      </x:c>
    </x:row>
    <x:row r="127" spans="1:14" x14ac:dyDescent="0.15">
      <x:c r="A127">
        <x:v>53002061</x:v>
      </x:c>
      <x:c r="B127" t="s">
        <x:v>183</x:v>
      </x:c>
      <x:c r="C127">
        <x:v>121018</x:v>
      </x:c>
      <x:c r="D127" t="str">
        <x:f t="shared" si="7"/>
        <x:v>hero_2d_21018</x:v>
      </x:c>
      <x:c r="M127">
        <x:v>113078</x:v>
      </x:c>
      <x:c r="N127" t="s">
        <x:v>63</x:v>
      </x:c>
    </x:row>
    <x:row r="128" spans="1:14" x14ac:dyDescent="0.15">
      <x:c r="A128">
        <x:v>53002061</x:v>
      </x:c>
      <x:c r="B128" t="s">
        <x:v>183</x:v>
      </x:c>
      <x:c r="C128">
        <x:v>121018</x:v>
      </x:c>
      <x:c r="D128" t="str">
        <x:f t="shared" si="7"/>
        <x:v>hero_2d_21018</x:v>
      </x:c>
      <x:c r="M128">
        <x:v>113079</x:v>
      </x:c>
      <x:c r="N128" t="s">
        <x:v>322</x:v>
      </x:c>
    </x:row>
    <x:row r="129" spans="1:14" x14ac:dyDescent="0.15">
      <x:c r="A129">
        <x:v>53002061</x:v>
      </x:c>
      <x:c r="B129" t="s">
        <x:v>183</x:v>
      </x:c>
      <x:c r="C129">
        <x:v>121018</x:v>
      </x:c>
      <x:c r="D129" t="str">
        <x:f t="shared" si="7"/>
        <x:v>hero_2d_21018</x:v>
      </x:c>
      <x:c r="M129">
        <x:v>113080</x:v>
      </x:c>
      <x:c r="N129" t="s">
        <x:v>323</x:v>
      </x:c>
    </x:row>
    <x:row r="130" spans="1:14" x14ac:dyDescent="0.15">
      <x:c r="A130">
        <x:v>53002061</x:v>
      </x:c>
      <x:c r="B130" t="s">
        <x:v>183</x:v>
      </x:c>
      <x:c r="C130">
        <x:v>121018</x:v>
      </x:c>
      <x:c r="D130" t="str">
        <x:f t="shared" si="7"/>
        <x:v>hero_2d_21018</x:v>
      </x:c>
      <x:c r="M130">
        <x:v>113081</x:v>
      </x:c>
      <x:c r="N130" t="s">
        <x:v>324</x:v>
      </x:c>
    </x:row>
    <x:row r="131" spans="1:14" x14ac:dyDescent="0.15">
      <x:c r="A131">
        <x:v>53002061</x:v>
      </x:c>
      <x:c r="B131" t="s">
        <x:v>183</x:v>
      </x:c>
      <x:c r="C131">
        <x:v>121018</x:v>
      </x:c>
      <x:c r="D131" t="str">
        <x:f t="shared" ref="D131:D162" si="8">VLOOKUP(C131,M:N,2,FALSE)</x:f>
        <x:v>hero_2d_21018</x:v>
      </x:c>
      <x:c r="M131">
        <x:v>113082</x:v>
      </x:c>
      <x:c r="N131" t="s">
        <x:v>325</x:v>
      </x:c>
    </x:row>
    <x:row r="132" spans="1:14" x14ac:dyDescent="0.15">
      <x:c r="A132">
        <x:v>53002062</x:v>
      </x:c>
      <x:c r="B132" t="s">
        <x:v>184</x:v>
      </x:c>
      <x:c r="C132">
        <x:v>121017</x:v>
      </x:c>
      <x:c r="D132" t="str">
        <x:f t="shared" si="8"/>
        <x:v>hero_2d_21019</x:v>
      </x:c>
      <x:c r="M132">
        <x:v>113083</x:v>
      </x:c>
      <x:c r="N132" t="s">
        <x:v>66</x:v>
      </x:c>
    </x:row>
    <x:row r="133" spans="1:14" x14ac:dyDescent="0.15">
      <x:c r="A133">
        <x:v>53002062</x:v>
      </x:c>
      <x:c r="B133" t="s">
        <x:v>184</x:v>
      </x:c>
      <x:c r="C133">
        <x:v>121017</x:v>
      </x:c>
      <x:c r="D133" t="str">
        <x:f t="shared" si="8"/>
        <x:v>hero_2d_21019</x:v>
      </x:c>
      <x:c r="M133">
        <x:v>113084</x:v>
      </x:c>
      <x:c r="N133" t="s">
        <x:v>54</x:v>
      </x:c>
    </x:row>
    <x:row r="134" spans="1:14" x14ac:dyDescent="0.15">
      <x:c r="A134">
        <x:v>53002062</x:v>
      </x:c>
      <x:c r="B134" t="s">
        <x:v>184</x:v>
      </x:c>
      <x:c r="C134">
        <x:v>121017</x:v>
      </x:c>
      <x:c r="D134" t="str">
        <x:f t="shared" si="8"/>
        <x:v>hero_2d_21019</x:v>
      </x:c>
      <x:c r="M134">
        <x:v>121001</x:v>
      </x:c>
      <x:c r="N134" t="s">
        <x:v>326</x:v>
      </x:c>
    </x:row>
    <x:row r="135" spans="1:14" x14ac:dyDescent="0.15">
      <x:c r="A135">
        <x:v>53002062</x:v>
      </x:c>
      <x:c r="B135" t="s">
        <x:v>184</x:v>
      </x:c>
      <x:c r="C135">
        <x:v>121017</x:v>
      </x:c>
      <x:c r="D135" t="str">
        <x:f t="shared" si="8"/>
        <x:v>hero_2d_21019</x:v>
      </x:c>
      <x:c r="M135">
        <x:v>121002</x:v>
      </x:c>
      <x:c r="N135" t="s">
        <x:v>327</x:v>
      </x:c>
    </x:row>
    <x:row r="136" spans="1:14" x14ac:dyDescent="0.15">
      <x:c r="A136">
        <x:v>53002062</x:v>
      </x:c>
      <x:c r="B136" t="s">
        <x:v>184</x:v>
      </x:c>
      <x:c r="C136">
        <x:v>121017</x:v>
      </x:c>
      <x:c r="D136" t="str">
        <x:f t="shared" si="8"/>
        <x:v>hero_2d_21019</x:v>
      </x:c>
      <x:c r="M136">
        <x:v>121003</x:v>
      </x:c>
      <x:c r="N136" t="s">
        <x:v>328</x:v>
      </x:c>
    </x:row>
    <x:row r="137" spans="1:14" x14ac:dyDescent="0.15">
      <x:c r="A137">
        <x:v>53002062</x:v>
      </x:c>
      <x:c r="B137" t="s">
        <x:v>184</x:v>
      </x:c>
      <x:c r="C137">
        <x:v>121018</x:v>
      </x:c>
      <x:c r="D137" t="str">
        <x:f t="shared" si="8"/>
        <x:v>hero_2d_21018</x:v>
      </x:c>
      <x:c r="M137">
        <x:v>121004</x:v>
      </x:c>
      <x:c r="N137" t="s">
        <x:v>329</x:v>
      </x:c>
    </x:row>
    <x:row r="138" spans="1:14" x14ac:dyDescent="0.15">
      <x:c r="A138">
        <x:v>53002062</x:v>
      </x:c>
      <x:c r="B138" t="s">
        <x:v>184</x:v>
      </x:c>
      <x:c r="C138">
        <x:v>121018</x:v>
      </x:c>
      <x:c r="D138" t="str">
        <x:f t="shared" si="8"/>
        <x:v>hero_2d_21018</x:v>
      </x:c>
      <x:c r="M138">
        <x:v>121005</x:v>
      </x:c>
      <x:c r="N138" t="s">
        <x:v>330</x:v>
      </x:c>
    </x:row>
    <x:row r="139" spans="1:14" x14ac:dyDescent="0.15">
      <x:c r="A139">
        <x:v>53002062</x:v>
      </x:c>
      <x:c r="B139" t="s">
        <x:v>184</x:v>
      </x:c>
      <x:c r="C139">
        <x:v>121018</x:v>
      </x:c>
      <x:c r="D139" t="str">
        <x:f t="shared" si="8"/>
        <x:v>hero_2d_21018</x:v>
      </x:c>
      <x:c r="M139">
        <x:v>121006</x:v>
      </x:c>
      <x:c r="N139" t="s">
        <x:v>331</x:v>
      </x:c>
    </x:row>
    <x:row r="140" spans="1:14" x14ac:dyDescent="0.15">
      <x:c r="A140">
        <x:v>53002071</x:v>
      </x:c>
      <x:c r="B140" t="s">
        <x:v>185</x:v>
      </x:c>
      <x:c r="C140">
        <x:v>121017</x:v>
      </x:c>
      <x:c r="D140" t="str">
        <x:f t="shared" si="8"/>
        <x:v>hero_2d_21019</x:v>
      </x:c>
      <x:c r="M140">
        <x:v>121007</x:v>
      </x:c>
      <x:c r="N140" t="s">
        <x:v>332</x:v>
      </x:c>
    </x:row>
    <x:row r="141" spans="1:14" x14ac:dyDescent="0.15">
      <x:c r="A141">
        <x:v>53002071</x:v>
      </x:c>
      <x:c r="B141" t="s">
        <x:v>185</x:v>
      </x:c>
      <x:c r="C141">
        <x:v>121017</x:v>
      </x:c>
      <x:c r="D141" t="str">
        <x:f t="shared" si="8"/>
        <x:v>hero_2d_21019</x:v>
      </x:c>
      <x:c r="M141">
        <x:v>121008</x:v>
      </x:c>
      <x:c r="N141" t="s">
        <x:v>333</x:v>
      </x:c>
    </x:row>
    <x:row r="142" spans="1:14" x14ac:dyDescent="0.15">
      <x:c r="A142">
        <x:v>53002071</x:v>
      </x:c>
      <x:c r="B142" t="s">
        <x:v>185</x:v>
      </x:c>
      <x:c r="C142">
        <x:v>121039</x:v>
      </x:c>
      <x:c r="D142" t="str">
        <x:f t="shared" si="8"/>
        <x:v>hero_2d_21039</x:v>
      </x:c>
      <x:c r="M142">
        <x:v>121009</x:v>
      </x:c>
      <x:c r="N142" t="s">
        <x:v>334</x:v>
      </x:c>
    </x:row>
    <x:row r="143" spans="1:14" x14ac:dyDescent="0.15">
      <x:c r="A143">
        <x:v>53002072</x:v>
      </x:c>
      <x:c r="B143" t="s">
        <x:v>186</x:v>
      </x:c>
      <x:c r="C143">
        <x:v>121038</x:v>
      </x:c>
      <x:c r="D143" t="str">
        <x:f t="shared" si="8"/>
        <x:v>hero_2d_21038</x:v>
      </x:c>
      <x:c r="M143">
        <x:v>121010</x:v>
      </x:c>
      <x:c r="N143" t="s">
        <x:v>335</x:v>
      </x:c>
    </x:row>
    <x:row r="144" spans="1:14" x14ac:dyDescent="0.15">
      <x:c r="A144">
        <x:v>53002081</x:v>
      </x:c>
      <x:c r="B144" t="s">
        <x:v>187</x:v>
      </x:c>
      <x:c r="C144">
        <x:v>121017</x:v>
      </x:c>
      <x:c r="D144" t="str">
        <x:f t="shared" si="8"/>
        <x:v>hero_2d_21019</x:v>
      </x:c>
      <x:c r="M144">
        <x:v>121011</x:v>
      </x:c>
      <x:c r="N144" t="s">
        <x:v>336</x:v>
      </x:c>
    </x:row>
    <x:row r="145" spans="1:14" x14ac:dyDescent="0.15">
      <x:c r="A145">
        <x:v>53002081</x:v>
      </x:c>
      <x:c r="B145" t="s">
        <x:v>187</x:v>
      </x:c>
      <x:c r="C145">
        <x:v>1111012</x:v>
      </x:c>
      <x:c r="D145" t="str">
        <x:f t="shared" si="8"/>
        <x:v>hero_2d_1012</x:v>
      </x:c>
      <x:c r="M145">
        <x:v>121012</x:v>
      </x:c>
      <x:c r="N145" t="s">
        <x:v>337</x:v>
      </x:c>
    </x:row>
    <x:row r="146" spans="1:14" x14ac:dyDescent="0.15">
      <x:c r="A146">
        <x:v>53002081</x:v>
      </x:c>
      <x:c r="B146" t="s">
        <x:v>187</x:v>
      </x:c>
      <x:c r="C146">
        <x:v>121018</x:v>
      </x:c>
      <x:c r="D146" t="str">
        <x:f t="shared" si="8"/>
        <x:v>hero_2d_21018</x:v>
      </x:c>
      <x:c r="M146">
        <x:v>121013</x:v>
      </x:c>
      <x:c r="N146" t="s">
        <x:v>338</x:v>
      </x:c>
    </x:row>
    <x:row r="147" spans="1:14" x14ac:dyDescent="0.15">
      <x:c r="A147">
        <x:v>53002081</x:v>
      </x:c>
      <x:c r="B147" t="s">
        <x:v>187</x:v>
      </x:c>
      <x:c r="C147">
        <x:v>121018</x:v>
      </x:c>
      <x:c r="D147" t="str">
        <x:f t="shared" si="8"/>
        <x:v>hero_2d_21018</x:v>
      </x:c>
      <x:c r="M147">
        <x:v>121014</x:v>
      </x:c>
      <x:c r="N147" t="s">
        <x:v>339</x:v>
      </x:c>
    </x:row>
    <x:row r="148" spans="1:14" x14ac:dyDescent="0.15">
      <x:c r="A148">
        <x:v>53002082</x:v>
      </x:c>
      <x:c r="B148" t="s">
        <x:v>188</x:v>
      </x:c>
      <x:c r="C148">
        <x:v>121017</x:v>
      </x:c>
      <x:c r="D148" t="str">
        <x:f t="shared" si="8"/>
        <x:v>hero_2d_21019</x:v>
      </x:c>
      <x:c r="M148">
        <x:v>121015</x:v>
      </x:c>
      <x:c r="N148" t="s">
        <x:v>340</x:v>
      </x:c>
    </x:row>
    <x:row r="149" spans="1:14" x14ac:dyDescent="0.15">
      <x:c r="A149">
        <x:v>53002082</x:v>
      </x:c>
      <x:c r="B149" t="s">
        <x:v>188</x:v>
      </x:c>
      <x:c r="C149">
        <x:v>121017</x:v>
      </x:c>
      <x:c r="D149" t="str">
        <x:f t="shared" si="8"/>
        <x:v>hero_2d_21019</x:v>
      </x:c>
      <x:c r="M149">
        <x:v>121016</x:v>
      </x:c>
      <x:c r="N149" t="s">
        <x:v>341</x:v>
      </x:c>
    </x:row>
    <x:row r="150" spans="1:14" x14ac:dyDescent="0.15">
      <x:c r="A150">
        <x:v>53002082</x:v>
      </x:c>
      <x:c r="B150" t="s">
        <x:v>188</x:v>
      </x:c>
      <x:c r="C150">
        <x:v>121040</x:v>
      </x:c>
      <x:c r="D150" t="str">
        <x:f t="shared" si="8"/>
        <x:v>hero_2d_21040</x:v>
      </x:c>
      <x:c r="M150">
        <x:v>121017</x:v>
      </x:c>
      <x:c r="N150" t="s">
        <x:v>99</x:v>
      </x:c>
    </x:row>
    <x:row r="151" spans="1:14" x14ac:dyDescent="0.15">
      <x:c r="A151">
        <x:v>53002091</x:v>
      </x:c>
      <x:c r="B151" t="s">
        <x:v>189</x:v>
      </x:c>
      <x:c r="C151">
        <x:v>1111012</x:v>
      </x:c>
      <x:c r="D151" t="str">
        <x:f t="shared" si="8"/>
        <x:v>hero_2d_1012</x:v>
      </x:c>
      <x:c r="M151">
        <x:v>121018</x:v>
      </x:c>
      <x:c r="N151" t="s">
        <x:v>104</x:v>
      </x:c>
    </x:row>
    <x:row r="152" spans="1:14" x14ac:dyDescent="0.15">
      <x:c r="A152">
        <x:v>53002091</x:v>
      </x:c>
      <x:c r="B152" t="s">
        <x:v>189</x:v>
      </x:c>
      <x:c r="C152">
        <x:v>121040</x:v>
      </x:c>
      <x:c r="D152" t="str">
        <x:f t="shared" si="8"/>
        <x:v>hero_2d_21040</x:v>
      </x:c>
      <x:c r="M152">
        <x:v>121019</x:v>
      </x:c>
      <x:c r="N152" t="s">
        <x:v>104</x:v>
      </x:c>
    </x:row>
    <x:row r="153" spans="1:14" x14ac:dyDescent="0.15">
      <x:c r="A153">
        <x:v>53002092</x:v>
      </x:c>
      <x:c r="B153" t="s">
        <x:v>190</x:v>
      </x:c>
      <x:c r="C153">
        <x:v>121017</x:v>
      </x:c>
      <x:c r="D153" t="str">
        <x:f t="shared" si="8"/>
        <x:v>hero_2d_21019</x:v>
      </x:c>
      <x:c r="M153">
        <x:v>121020</x:v>
      </x:c>
      <x:c r="N153" t="s">
        <x:v>342</x:v>
      </x:c>
    </x:row>
    <x:row r="154" spans="1:14" x14ac:dyDescent="0.15">
      <x:c r="A154">
        <x:v>53002092</x:v>
      </x:c>
      <x:c r="B154" t="s">
        <x:v>190</x:v>
      </x:c>
      <x:c r="C154">
        <x:v>121017</x:v>
      </x:c>
      <x:c r="D154" t="str">
        <x:f t="shared" si="8"/>
        <x:v>hero_2d_21019</x:v>
      </x:c>
      <x:c r="M154">
        <x:v>121021</x:v>
      </x:c>
      <x:c r="N154" t="s">
        <x:v>343</x:v>
      </x:c>
    </x:row>
    <x:row r="155" spans="1:14" x14ac:dyDescent="0.15">
      <x:c r="A155">
        <x:v>53002092</x:v>
      </x:c>
      <x:c r="B155" t="s">
        <x:v>190</x:v>
      </x:c>
      <x:c r="C155">
        <x:v>121017</x:v>
      </x:c>
      <x:c r="D155" t="str">
        <x:f t="shared" si="8"/>
        <x:v>hero_2d_21019</x:v>
      </x:c>
      <x:c r="M155">
        <x:v>121022</x:v>
      </x:c>
      <x:c r="N155" t="s">
        <x:v>344</x:v>
      </x:c>
    </x:row>
    <x:row r="156" spans="1:14" x14ac:dyDescent="0.15">
      <x:c r="A156">
        <x:v>53002092</x:v>
      </x:c>
      <x:c r="B156" t="s">
        <x:v>190</x:v>
      </x:c>
      <x:c r="C156">
        <x:v>121040</x:v>
      </x:c>
      <x:c r="D156" t="str">
        <x:f t="shared" si="8"/>
        <x:v>hero_2d_21040</x:v>
      </x:c>
      <x:c r="M156">
        <x:v>121023</x:v>
      </x:c>
      <x:c r="N156" t="s">
        <x:v>345</x:v>
      </x:c>
    </x:row>
    <x:row r="157" spans="1:14" x14ac:dyDescent="0.15">
      <x:c r="A157">
        <x:v>53002092</x:v>
      </x:c>
      <x:c r="B157" t="s">
        <x:v>190</x:v>
      </x:c>
      <x:c r="C157">
        <x:v>1111012</x:v>
      </x:c>
      <x:c r="D157" t="str">
        <x:f t="shared" si="8"/>
        <x:v>hero_2d_1012</x:v>
      </x:c>
      <x:c r="M157">
        <x:v>121025</x:v>
      </x:c>
      <x:c r="N157" t="s">
        <x:v>346</x:v>
      </x:c>
    </x:row>
    <x:row r="158" spans="1:14" x14ac:dyDescent="0.15">
      <x:c r="A158">
        <x:v>53002101</x:v>
      </x:c>
      <x:c r="B158" t="s">
        <x:v>191</x:v>
      </x:c>
      <x:c r="C158">
        <x:v>1112015</x:v>
      </x:c>
      <x:c r="D158" t="str">
        <x:f t="shared" si="8"/>
        <x:v>hero_2d_2015</x:v>
      </x:c>
      <x:c r="M158">
        <x:v>121026</x:v>
      </x:c>
      <x:c r="N158" t="s">
        <x:v>347</x:v>
      </x:c>
    </x:row>
    <x:row r="159" spans="1:14" x14ac:dyDescent="0.15">
      <x:c r="A159">
        <x:v>53002101</x:v>
      </x:c>
      <x:c r="B159" t="s">
        <x:v>191</x:v>
      </x:c>
      <x:c r="C159">
        <x:v>1111015</x:v>
      </x:c>
      <x:c r="D159" t="str">
        <x:f t="shared" si="8"/>
        <x:v>hero_2d_1015</x:v>
      </x:c>
      <x:c r="M159">
        <x:v>121027</x:v>
      </x:c>
      <x:c r="N159" t="s">
        <x:v>348</x:v>
      </x:c>
    </x:row>
    <x:row r="160" spans="1:14" x14ac:dyDescent="0.15">
      <x:c r="A160">
        <x:v>53002102</x:v>
      </x:c>
      <x:c r="B160" t="s">
        <x:v>192</x:v>
      </x:c>
      <x:c r="C160">
        <x:v>1112015</x:v>
      </x:c>
      <x:c r="D160" t="str">
        <x:f t="shared" si="8"/>
        <x:v>hero_2d_2015</x:v>
      </x:c>
      <x:c r="M160">
        <x:v>121028</x:v>
      </x:c>
      <x:c r="N160" t="s">
        <x:v>349</x:v>
      </x:c>
    </x:row>
    <x:row r="161" spans="1:14" x14ac:dyDescent="0.15">
      <x:c r="A161">
        <x:v>53002102</x:v>
      </x:c>
      <x:c r="B161" t="s">
        <x:v>192</x:v>
      </x:c>
      <x:c r="C161">
        <x:v>1111015</x:v>
      </x:c>
      <x:c r="D161" t="str">
        <x:f t="shared" si="8"/>
        <x:v>hero_2d_1015</x:v>
      </x:c>
      <x:c r="M161">
        <x:v>121032</x:v>
      </x:c>
      <x:c r="N161" t="s">
        <x:v>350</x:v>
      </x:c>
    </x:row>
    <x:row r="162" spans="1:14" x14ac:dyDescent="0.15">
      <x:c r="A162">
        <x:v>53002111</x:v>
      </x:c>
      <x:c r="B162" t="s">
        <x:v>193</x:v>
      </x:c>
      <x:c r="C162">
        <x:v>11113011</x:v>
      </x:c>
      <x:c r="D162" t="str">
        <x:f t="shared" si="8"/>
        <x:v>hero_2d_2015</x:v>
      </x:c>
      <x:c r="M162">
        <x:v>121033</x:v>
      </x:c>
      <x:c r="N162" t="s">
        <x:v>99</x:v>
      </x:c>
    </x:row>
    <x:row r="163" spans="1:14" x14ac:dyDescent="0.15">
      <x:c r="A163">
        <x:v>53002112</x:v>
      </x:c>
      <x:c r="B163" t="s">
        <x:v>194</x:v>
      </x:c>
      <x:c r="C163">
        <x:v>11113011</x:v>
      </x:c>
      <x:c r="D163" t="str">
        <x:f t="shared" ref="D163:D188" si="9">VLOOKUP(C163,M:N,2,FALSE)</x:f>
        <x:v>hero_2d_2015</x:v>
      </x:c>
      <x:c r="M163">
        <x:v>121034</x:v>
      </x:c>
      <x:c r="N163" t="s">
        <x:v>342</x:v>
      </x:c>
    </x:row>
    <x:row r="164" spans="1:14" x14ac:dyDescent="0.15">
      <x:c r="A164">
        <x:v>53002121</x:v>
      </x:c>
      <x:c r="B164" t="s">
        <x:v>195</x:v>
      </x:c>
      <x:c r="C164">
        <x:v>1111014</x:v>
      </x:c>
      <x:c r="D164" t="str">
        <x:f t="shared" si="9"/>
        <x:v>hero_2d_1014</x:v>
      </x:c>
      <x:c r="M164">
        <x:v>121035</x:v>
      </x:c>
      <x:c r="N164" t="s">
        <x:v>351</x:v>
      </x:c>
    </x:row>
    <x:row r="165" spans="1:14" x14ac:dyDescent="0.15">
      <x:c r="A165">
        <x:v>53002121</x:v>
      </x:c>
      <x:c r="B165" t="s">
        <x:v>195</x:v>
      </x:c>
      <x:c r="C165">
        <x:v>121018</x:v>
      </x:c>
      <x:c r="D165" t="str">
        <x:f t="shared" si="9"/>
        <x:v>hero_2d_21018</x:v>
      </x:c>
      <x:c r="M165">
        <x:v>121036</x:v>
      </x:c>
      <x:c r="N165" t="s">
        <x:v>351</x:v>
      </x:c>
    </x:row>
    <x:row r="166" spans="1:14" x14ac:dyDescent="0.15">
      <x:c r="A166">
        <x:v>53002121</x:v>
      </x:c>
      <x:c r="B166" t="s">
        <x:v>195</x:v>
      </x:c>
      <x:c r="C166">
        <x:v>121049</x:v>
      </x:c>
      <x:c r="D166" t="str">
        <x:f t="shared" si="9"/>
        <x:v>hero_2d_21049</x:v>
      </x:c>
      <x:c r="M166">
        <x:v>121037</x:v>
      </x:c>
      <x:c r="N166" t="s">
        <x:v>110</x:v>
      </x:c>
    </x:row>
    <x:row r="167" spans="1:14" x14ac:dyDescent="0.15">
      <x:c r="A167">
        <x:v>53002122</x:v>
      </x:c>
      <x:c r="B167" t="s">
        <x:v>196</x:v>
      </x:c>
      <x:c r="C167">
        <x:v>121017</x:v>
      </x:c>
      <x:c r="D167" t="str">
        <x:f t="shared" si="9"/>
        <x:v>hero_2d_21019</x:v>
      </x:c>
      <x:c r="M167">
        <x:v>121038</x:v>
      </x:c>
      <x:c r="N167" t="s">
        <x:v>352</x:v>
      </x:c>
    </x:row>
    <x:row r="168" spans="1:14" x14ac:dyDescent="0.15">
      <x:c r="A168">
        <x:v>53002122</x:v>
      </x:c>
      <x:c r="B168" t="s">
        <x:v>196</x:v>
      </x:c>
      <x:c r="C168">
        <x:v>121017</x:v>
      </x:c>
      <x:c r="D168" t="str">
        <x:f t="shared" si="9"/>
        <x:v>hero_2d_21019</x:v>
      </x:c>
      <x:c r="M168">
        <x:v>121039</x:v>
      </x:c>
      <x:c r="N168" t="s">
        <x:v>115</x:v>
      </x:c>
    </x:row>
    <x:row r="169" spans="1:14" x14ac:dyDescent="0.15">
      <x:c r="A169">
        <x:v>53002122</x:v>
      </x:c>
      <x:c r="B169" t="s">
        <x:v>196</x:v>
      </x:c>
      <x:c r="C169">
        <x:v>121017</x:v>
      </x:c>
      <x:c r="D169" t="str">
        <x:f t="shared" si="9"/>
        <x:v>hero_2d_21019</x:v>
      </x:c>
      <x:c r="M169">
        <x:v>121040</x:v>
      </x:c>
      <x:c r="N169" t="s">
        <x:v>118</x:v>
      </x:c>
    </x:row>
    <x:row r="170" spans="1:14" x14ac:dyDescent="0.15">
      <x:c r="A170">
        <x:v>53002122</x:v>
      </x:c>
      <x:c r="B170" t="s">
        <x:v>196</x:v>
      </x:c>
      <x:c r="C170">
        <x:v>1111014</x:v>
      </x:c>
      <x:c r="D170" t="str">
        <x:f t="shared" si="9"/>
        <x:v>hero_2d_1014</x:v>
      </x:c>
      <x:c r="M170">
        <x:v>121041</x:v>
      </x:c>
      <x:c r="N170" t="s">
        <x:v>353</x:v>
      </x:c>
    </x:row>
    <x:row r="171" spans="1:14" x14ac:dyDescent="0.15">
      <x:c r="A171">
        <x:v>53002122</x:v>
      </x:c>
      <x:c r="B171" t="s">
        <x:v>196</x:v>
      </x:c>
      <x:c r="C171">
        <x:v>121049</x:v>
      </x:c>
      <x:c r="D171" t="str">
        <x:f t="shared" si="9"/>
        <x:v>hero_2d_21049</x:v>
      </x:c>
      <x:c r="M171">
        <x:v>121042</x:v>
      </x:c>
      <x:c r="N171" t="s">
        <x:v>354</x:v>
      </x:c>
    </x:row>
    <x:row r="172" spans="1:14" x14ac:dyDescent="0.15">
      <x:c r="A172">
        <x:v>53002131</x:v>
      </x:c>
      <x:c r="B172" t="s">
        <x:v>197</x:v>
      </x:c>
      <x:c r="C172">
        <x:v>1112014</x:v>
      </x:c>
      <x:c r="D172" t="str">
        <x:f t="shared" si="9"/>
        <x:v>hero_2d_2014</x:v>
      </x:c>
      <x:c r="M172">
        <x:v>121043</x:v>
      </x:c>
      <x:c r="N172" t="s">
        <x:v>355</x:v>
      </x:c>
    </x:row>
    <x:row r="173" spans="1:14" x14ac:dyDescent="0.15">
      <x:c r="A173">
        <x:v>53002132</x:v>
      </x:c>
      <x:c r="B173" t="s">
        <x:v>198</x:v>
      </x:c>
      <x:c r="C173">
        <x:v>1112014</x:v>
      </x:c>
      <x:c r="D173" t="str">
        <x:f t="shared" si="9"/>
        <x:v>hero_2d_2014</x:v>
      </x:c>
      <x:c r="M173">
        <x:v>121044</x:v>
      </x:c>
      <x:c r="N173" t="s">
        <x:v>356</x:v>
      </x:c>
    </x:row>
    <x:row r="174" spans="1:14" x14ac:dyDescent="0.15">
      <x:c r="A174">
        <x:v>53002132</x:v>
      </x:c>
      <x:c r="B174" t="s">
        <x:v>198</x:v>
      </x:c>
      <x:c r="C174">
        <x:v>121017</x:v>
      </x:c>
      <x:c r="D174" t="str">
        <x:f t="shared" si="9"/>
        <x:v>hero_2d_21019</x:v>
      </x:c>
      <x:c r="M174">
        <x:v>121045</x:v>
      </x:c>
      <x:c r="N174" t="s">
        <x:v>357</x:v>
      </x:c>
    </x:row>
    <x:row r="175" spans="1:14" x14ac:dyDescent="0.15">
      <x:c r="A175">
        <x:v>53002132</x:v>
      </x:c>
      <x:c r="B175" t="s">
        <x:v>198</x:v>
      </x:c>
      <x:c r="C175">
        <x:v>121018</x:v>
      </x:c>
      <x:c r="D175" t="str">
        <x:f t="shared" si="9"/>
        <x:v>hero_2d_21018</x:v>
      </x:c>
      <x:c r="M175">
        <x:v>121046</x:v>
      </x:c>
      <x:c r="N175" t="s">
        <x:v>358</x:v>
      </x:c>
    </x:row>
    <x:row r="176" spans="1:14" x14ac:dyDescent="0.15">
      <x:c r="A176">
        <x:v>53002132</x:v>
      </x:c>
      <x:c r="B176" t="s">
        <x:v>198</x:v>
      </x:c>
      <x:c r="C176">
        <x:v>121018</x:v>
      </x:c>
      <x:c r="D176" t="str">
        <x:f t="shared" si="9"/>
        <x:v>hero_2d_21018</x:v>
      </x:c>
      <x:c r="M176">
        <x:v>121047</x:v>
      </x:c>
      <x:c r="N176" t="s">
        <x:v>359</x:v>
      </x:c>
    </x:row>
    <x:row r="177" spans="1:14" x14ac:dyDescent="0.15">
      <x:c r="A177">
        <x:v>53002132</x:v>
      </x:c>
      <x:c r="B177" t="s">
        <x:v>198</x:v>
      </x:c>
      <x:c r="C177">
        <x:v>121018</x:v>
      </x:c>
      <x:c r="D177" t="str">
        <x:f t="shared" si="9"/>
        <x:v>hero_2d_21018</x:v>
      </x:c>
      <x:c r="M177">
        <x:v>121048</x:v>
      </x:c>
      <x:c r="N177" t="s">
        <x:v>360</x:v>
      </x:c>
    </x:row>
    <x:row r="178" spans="1:14" x14ac:dyDescent="0.15">
      <x:c r="A178">
        <x:v>53002141</x:v>
      </x:c>
      <x:c r="B178" t="s">
        <x:v>199</x:v>
      </x:c>
      <x:c r="C178">
        <x:v>1112013</x:v>
      </x:c>
      <x:c r="D178" t="str">
        <x:f t="shared" si="9"/>
        <x:v>hero_2d_2013</x:v>
      </x:c>
      <x:c r="M178">
        <x:v>121049</x:v>
      </x:c>
      <x:c r="N178" t="s">
        <x:v>130</x:v>
      </x:c>
    </x:row>
    <x:row r="179" spans="1:14" x14ac:dyDescent="0.15">
      <x:c r="A179">
        <x:v>53002141</x:v>
      </x:c>
      <x:c r="B179" t="s">
        <x:v>199</x:v>
      </x:c>
      <x:c r="C179">
        <x:v>121018</x:v>
      </x:c>
      <x:c r="D179" t="str">
        <x:f t="shared" si="9"/>
        <x:v>hero_2d_21018</x:v>
      </x:c>
      <x:c r="M179">
        <x:v>121050</x:v>
      </x:c>
      <x:c r="N179" t="s">
        <x:v>361</x:v>
      </x:c>
    </x:row>
    <x:row r="180" spans="1:14" x14ac:dyDescent="0.15">
      <x:c r="A180">
        <x:v>53002141</x:v>
      </x:c>
      <x:c r="B180" t="s">
        <x:v>199</x:v>
      </x:c>
      <x:c r="C180">
        <x:v>121018</x:v>
      </x:c>
      <x:c r="D180" t="str">
        <x:f t="shared" si="9"/>
        <x:v>hero_2d_21018</x:v>
      </x:c>
      <x:c r="M180">
        <x:v>121051</x:v>
      </x:c>
      <x:c r="N180" t="s">
        <x:v>362</x:v>
      </x:c>
    </x:row>
    <x:row r="181" spans="1:14" x14ac:dyDescent="0.15">
      <x:c r="A181">
        <x:v>53002141</x:v>
      </x:c>
      <x:c r="B181" t="s">
        <x:v>199</x:v>
      </x:c>
      <x:c r="C181">
        <x:v>121018</x:v>
      </x:c>
      <x:c r="D181" t="str">
        <x:f t="shared" si="9"/>
        <x:v>hero_2d_21018</x:v>
      </x:c>
      <x:c r="M181">
        <x:v>121052</x:v>
      </x:c>
      <x:c r="N181" t="s">
        <x:v>363</x:v>
      </x:c>
    </x:row>
    <x:row r="182" spans="1:14" x14ac:dyDescent="0.15">
      <x:c r="A182">
        <x:v>53002142</x:v>
      </x:c>
      <x:c r="B182" t="s">
        <x:v>200</x:v>
      </x:c>
      <x:c r="C182">
        <x:v>1112016</x:v>
      </x:c>
      <x:c r="D182" t="str">
        <x:f t="shared" si="9"/>
        <x:v>hero_2d_2016</x:v>
      </x:c>
      <x:c r="M182">
        <x:v>121053</x:v>
      </x:c>
      <x:c r="N182" t="s">
        <x:v>364</x:v>
      </x:c>
    </x:row>
    <x:row r="183" spans="1:14" x14ac:dyDescent="0.15">
      <x:c r="A183">
        <x:v>53002151</x:v>
      </x:c>
      <x:c r="B183" t="s">
        <x:v>201</x:v>
      </x:c>
      <x:c r="C183">
        <x:v>1112013</x:v>
      </x:c>
      <x:c r="D183" t="str">
        <x:f t="shared" si="9"/>
        <x:v>hero_2d_2013</x:v>
      </x:c>
      <x:c r="M183">
        <x:v>121054</x:v>
      </x:c>
      <x:c r="N183" t="s">
        <x:v>365</x:v>
      </x:c>
    </x:row>
    <x:row r="184" spans="1:14" x14ac:dyDescent="0.15">
      <x:c r="A184">
        <x:v>53002152</x:v>
      </x:c>
      <x:c r="B184" t="s">
        <x:v>202</x:v>
      </x:c>
      <x:c r="C184">
        <x:v>1112013</x:v>
      </x:c>
      <x:c r="D184" t="str">
        <x:f t="shared" si="9"/>
        <x:v>hero_2d_2013</x:v>
      </x:c>
      <x:c r="M184">
        <x:v>121055</x:v>
      </x:c>
      <x:c r="N184" t="s">
        <x:v>366</x:v>
      </x:c>
    </x:row>
    <x:row r="185" spans="1:14" x14ac:dyDescent="0.15">
      <x:c r="A185">
        <x:v>53002152</x:v>
      </x:c>
      <x:c r="B185" t="s">
        <x:v>202</x:v>
      </x:c>
      <x:c r="C185">
        <x:v>1112016</x:v>
      </x:c>
      <x:c r="D185" t="str">
        <x:f t="shared" si="9"/>
        <x:v>hero_2d_2016</x:v>
      </x:c>
      <x:c r="M185">
        <x:v>121056</x:v>
      </x:c>
      <x:c r="N185" t="s">
        <x:v>367</x:v>
      </x:c>
    </x:row>
    <x:row r="186" spans="1:14" x14ac:dyDescent="0.15">
      <x:c r="A186">
        <x:v>53009001</x:v>
      </x:c>
      <x:c r="B186" t="s">
        <x:v>368</x:v>
      </x:c>
      <x:c r="C186">
        <x:v>1113001</x:v>
      </x:c>
      <x:c r="D186" t="str">
        <x:f t="shared" si="9"/>
        <x:v>hero_2d_3001</x:v>
      </x:c>
      <x:c r="M186">
        <x:v>121057</x:v>
      </x:c>
      <x:c r="N186" t="s">
        <x:v>369</x:v>
      </x:c>
    </x:row>
    <x:row r="187" spans="1:14" x14ac:dyDescent="0.15">
      <x:c r="A187">
        <x:v>53009002</x:v>
      </x:c>
      <x:c r="B187" t="s">
        <x:v>370</x:v>
      </x:c>
      <x:c r="C187">
        <x:v>1113001</x:v>
      </x:c>
      <x:c r="D187" t="str">
        <x:f t="shared" si="9"/>
        <x:v>hero_2d_3001</x:v>
      </x:c>
      <x:c r="M187">
        <x:v>121058</x:v>
      </x:c>
      <x:c r="N187" t="s">
        <x:v>371</x:v>
      </x:c>
    </x:row>
    <x:row r="188" spans="1:14" x14ac:dyDescent="0.15">
      <x:c r="A188">
        <x:v>53009003</x:v>
      </x:c>
      <x:c r="B188" t="s">
        <x:v>372</x:v>
      </x:c>
      <x:c r="C188">
        <x:v>1113001</x:v>
      </x:c>
      <x:c r="D188" t="str">
        <x:f t="shared" si="9"/>
        <x:v>hero_2d_3001</x:v>
      </x:c>
      <x:c r="M188">
        <x:v>121059</x:v>
      </x:c>
      <x:c r="N188" t="s">
        <x:v>373</x:v>
      </x:c>
    </x:row>
    <x:row r="189" spans="1:14" x14ac:dyDescent="0.15">
      <x:c r="M189">
        <x:v>121060</x:v>
      </x:c>
      <x:c r="N189" t="s">
        <x:v>374</x:v>
      </x:c>
    </x:row>
    <x:row r="190" spans="1:14" x14ac:dyDescent="0.15">
      <x:c r="M190">
        <x:v>121061</x:v>
      </x:c>
      <x:c r="N190" t="s">
        <x:v>375</x:v>
      </x:c>
    </x:row>
    <x:row r="191" spans="1:14" x14ac:dyDescent="0.15">
      <x:c r="M191">
        <x:v>121062</x:v>
      </x:c>
      <x:c r="N191" t="s">
        <x:v>376</x:v>
      </x:c>
    </x:row>
    <x:row r="192" spans="1:14" x14ac:dyDescent="0.15">
      <x:c r="M192">
        <x:v>121063</x:v>
      </x:c>
      <x:c r="N192" t="s">
        <x:v>377</x:v>
      </x:c>
    </x:row>
    <x:row r="193" spans="13:14" x14ac:dyDescent="0.15">
      <x:c r="M193">
        <x:v>121064</x:v>
      </x:c>
      <x:c r="N193" t="s">
        <x:v>378</x:v>
      </x:c>
    </x:row>
    <x:row r="194" spans="13:14" x14ac:dyDescent="0.15">
      <x:c r="M194">
        <x:v>121065</x:v>
      </x:c>
      <x:c r="N194" t="s">
        <x:v>379</x:v>
      </x:c>
    </x:row>
    <x:row r="195" spans="13:14" x14ac:dyDescent="0.15">
      <x:c r="M195">
        <x:v>121066</x:v>
      </x:c>
      <x:c r="N195" t="s">
        <x:v>380</x:v>
      </x:c>
    </x:row>
    <x:row r="196" spans="13:14" x14ac:dyDescent="0.15">
      <x:c r="M196">
        <x:v>121067</x:v>
      </x:c>
      <x:c r="N196" t="s">
        <x:v>381</x:v>
      </x:c>
    </x:row>
    <x:row r="197" spans="13:14" x14ac:dyDescent="0.15">
      <x:c r="M197">
        <x:v>121068</x:v>
      </x:c>
      <x:c r="N197" t="s">
        <x:v>382</x:v>
      </x:c>
    </x:row>
    <x:row r="198" spans="13:14" x14ac:dyDescent="0.15">
      <x:c r="M198">
        <x:v>121069</x:v>
      </x:c>
      <x:c r="N198" t="s">
        <x:v>383</x:v>
      </x:c>
    </x:row>
    <x:row r="199" spans="13:14" x14ac:dyDescent="0.15">
      <x:c r="M199">
        <x:v>121070</x:v>
      </x:c>
      <x:c r="N199" t="s">
        <x:v>384</x:v>
      </x:c>
    </x:row>
    <x:row r="200" spans="13:14" x14ac:dyDescent="0.15">
      <x:c r="M200">
        <x:v>121071</x:v>
      </x:c>
      <x:c r="N200" t="s">
        <x:v>385</x:v>
      </x:c>
    </x:row>
    <x:row r="201" spans="13:14" x14ac:dyDescent="0.15">
      <x:c r="M201">
        <x:v>121072</x:v>
      </x:c>
      <x:c r="N201" t="s">
        <x:v>386</x:v>
      </x:c>
    </x:row>
    <x:row r="202" spans="13:14" x14ac:dyDescent="0.15">
      <x:c r="M202">
        <x:v>121073</x:v>
      </x:c>
      <x:c r="N202" t="s">
        <x:v>387</x:v>
      </x:c>
    </x:row>
    <x:row r="203" spans="13:14" x14ac:dyDescent="0.15">
      <x:c r="M203">
        <x:v>121074</x:v>
      </x:c>
      <x:c r="N203" t="s">
        <x:v>388</x:v>
      </x:c>
    </x:row>
    <x:row r="204" spans="13:14" x14ac:dyDescent="0.15">
      <x:c r="M204">
        <x:v>121075</x:v>
      </x:c>
      <x:c r="N204" t="s">
        <x:v>389</x:v>
      </x:c>
    </x:row>
    <x:row r="205" spans="13:14" x14ac:dyDescent="0.15">
      <x:c r="M205">
        <x:v>121076</x:v>
      </x:c>
      <x:c r="N205" t="s">
        <x:v>390</x:v>
      </x:c>
    </x:row>
    <x:row r="206" spans="13:14" x14ac:dyDescent="0.15">
      <x:c r="M206">
        <x:v>121077</x:v>
      </x:c>
      <x:c r="N206" t="s">
        <x:v>391</x:v>
      </x:c>
    </x:row>
    <x:row r="207" spans="13:14" x14ac:dyDescent="0.15">
      <x:c r="M207">
        <x:v>121078</x:v>
      </x:c>
      <x:c r="N207" t="s">
        <x:v>392</x:v>
      </x:c>
    </x:row>
    <x:row r="208" spans="13:14" x14ac:dyDescent="0.15">
      <x:c r="M208">
        <x:v>121079</x:v>
      </x:c>
      <x:c r="N208" t="s">
        <x:v>393</x:v>
      </x:c>
    </x:row>
    <x:row r="209" spans="13:14" x14ac:dyDescent="0.15">
      <x:c r="M209">
        <x:v>121080</x:v>
      </x:c>
      <x:c r="N209" t="s">
        <x:v>107</x:v>
      </x:c>
    </x:row>
    <x:row r="210" spans="13:14" x14ac:dyDescent="0.15">
      <x:c r="M210">
        <x:v>121081</x:v>
      </x:c>
      <x:c r="N210" t="s">
        <x:v>127</x:v>
      </x:c>
    </x:row>
    <x:row r="211" spans="13:14" x14ac:dyDescent="0.15">
      <x:c r="M211">
        <x:v>121082</x:v>
      </x:c>
      <x:c r="N211" t="s">
        <x:v>394</x:v>
      </x:c>
    </x:row>
    <x:row r="212" spans="13:14" x14ac:dyDescent="0.15">
      <x:c r="M212">
        <x:v>121083</x:v>
      </x:c>
      <x:c r="N212" t="s">
        <x:v>395</x:v>
      </x:c>
    </x:row>
    <x:row r="213" spans="13:14" x14ac:dyDescent="0.15">
      <x:c r="M213">
        <x:v>121084</x:v>
      </x:c>
      <x:c r="N213" t="s">
        <x:v>396</x:v>
      </x:c>
    </x:row>
    <x:row r="214" spans="13:14" x14ac:dyDescent="0.15">
      <x:c r="M214">
        <x:v>121085</x:v>
      </x:c>
      <x:c r="N214" t="s">
        <x:v>397</x:v>
      </x:c>
    </x:row>
    <x:row r="215" spans="13:14" x14ac:dyDescent="0.15">
      <x:c r="M215">
        <x:v>121086</x:v>
      </x:c>
      <x:c r="N215" t="s">
        <x:v>398</x:v>
      </x:c>
    </x:row>
    <x:row r="216" spans="13:14" x14ac:dyDescent="0.15">
      <x:c r="M216">
        <x:v>121087</x:v>
      </x:c>
      <x:c r="N216" t="s">
        <x:v>399</x:v>
      </x:c>
    </x:row>
    <x:row r="217" spans="13:14" x14ac:dyDescent="0.15">
      <x:c r="M217">
        <x:v>121088</x:v>
      </x:c>
      <x:c r="N217" t="s">
        <x:v>400</x:v>
      </x:c>
    </x:row>
    <x:row r="218" spans="13:14" x14ac:dyDescent="0.15">
      <x:c r="M218">
        <x:v>121089</x:v>
      </x:c>
      <x:c r="N218" t="s">
        <x:v>401</x:v>
      </x:c>
    </x:row>
    <x:row r="219" spans="13:14" x14ac:dyDescent="0.15">
      <x:c r="M219">
        <x:v>121090</x:v>
      </x:c>
      <x:c r="N219" t="s">
        <x:v>402</x:v>
      </x:c>
    </x:row>
    <x:row r="220" spans="13:14" x14ac:dyDescent="0.15">
      <x:c r="M220">
        <x:v>121091</x:v>
      </x:c>
      <x:c r="N220" t="s">
        <x:v>403</x:v>
      </x:c>
    </x:row>
    <x:row r="221" spans="13:14" x14ac:dyDescent="0.15">
      <x:c r="M221">
        <x:v>121092</x:v>
      </x:c>
      <x:c r="N221" t="s">
        <x:v>404</x:v>
      </x:c>
    </x:row>
    <x:row r="222" spans="13:14" x14ac:dyDescent="0.15">
      <x:c r="M222">
        <x:v>121093</x:v>
      </x:c>
      <x:c r="N222" t="s">
        <x:v>405</x:v>
      </x:c>
    </x:row>
    <x:row r="223" spans="13:14" x14ac:dyDescent="0.15">
      <x:c r="M223">
        <x:v>121094</x:v>
      </x:c>
      <x:c r="N223" t="s">
        <x:v>406</x:v>
      </x:c>
    </x:row>
    <x:row r="224" spans="13:14" x14ac:dyDescent="0.15">
      <x:c r="M224">
        <x:v>121095</x:v>
      </x:c>
      <x:c r="N224" t="s">
        <x:v>407</x:v>
      </x:c>
    </x:row>
    <x:row r="225" spans="13:14" x14ac:dyDescent="0.15">
      <x:c r="M225">
        <x:v>121096</x:v>
      </x:c>
      <x:c r="N225" t="s">
        <x:v>408</x:v>
      </x:c>
    </x:row>
    <x:row r="226" spans="13:14" x14ac:dyDescent="0.15">
      <x:c r="M226">
        <x:v>121097</x:v>
      </x:c>
      <x:c r="N226" t="s">
        <x:v>409</x:v>
      </x:c>
    </x:row>
    <x:row r="227" spans="13:14" x14ac:dyDescent="0.15">
      <x:c r="M227">
        <x:v>121098</x:v>
      </x:c>
      <x:c r="N227" t="s">
        <x:v>410</x:v>
      </x:c>
    </x:row>
    <x:row r="228" spans="13:14" x14ac:dyDescent="0.15">
      <x:c r="M228">
        <x:v>121099</x:v>
      </x:c>
      <x:c r="N228" t="s">
        <x:v>411</x:v>
      </x:c>
    </x:row>
    <x:row r="229" spans="13:14" x14ac:dyDescent="0.15">
      <x:c r="M229">
        <x:v>121100</x:v>
      </x:c>
      <x:c r="N229" t="s">
        <x:v>412</x:v>
      </x:c>
    </x:row>
    <x:row r="230" spans="13:14" x14ac:dyDescent="0.15">
      <x:c r="M230">
        <x:v>121101</x:v>
      </x:c>
      <x:c r="N230" t="s">
        <x:v>413</x:v>
      </x:c>
    </x:row>
    <x:row r="231" spans="13:14" x14ac:dyDescent="0.15">
      <x:c r="M231">
        <x:v>121102</x:v>
      </x:c>
      <x:c r="N231" t="s">
        <x:v>414</x:v>
      </x:c>
    </x:row>
    <x:row r="232" spans="13:14" x14ac:dyDescent="0.15">
      <x:c r="M232">
        <x:v>121103</x:v>
      </x:c>
      <x:c r="N232" t="s">
        <x:v>415</x:v>
      </x:c>
    </x:row>
    <x:row r="233" spans="13:14" x14ac:dyDescent="0.15">
      <x:c r="M233">
        <x:v>121104</x:v>
      </x:c>
      <x:c r="N233" t="s">
        <x:v>416</x:v>
      </x:c>
    </x:row>
    <x:row r="234" spans="13:14" x14ac:dyDescent="0.15">
      <x:c r="M234">
        <x:v>121105</x:v>
      </x:c>
      <x:c r="N234" t="s">
        <x:v>417</x:v>
      </x:c>
    </x:row>
    <x:row r="235" spans="13:14" x14ac:dyDescent="0.15">
      <x:c r="M235">
        <x:v>121106</x:v>
      </x:c>
      <x:c r="N235" t="s">
        <x:v>418</x:v>
      </x:c>
    </x:row>
    <x:row r="236" spans="13:14" x14ac:dyDescent="0.15">
      <x:c r="M236">
        <x:v>121107</x:v>
      </x:c>
      <x:c r="N236" t="s">
        <x:v>419</x:v>
      </x:c>
    </x:row>
    <x:row r="237" spans="13:14" x14ac:dyDescent="0.15">
      <x:c r="M237">
        <x:v>121108</x:v>
      </x:c>
      <x:c r="N237" t="s">
        <x:v>420</x:v>
      </x:c>
    </x:row>
    <x:row r="238" spans="13:14" x14ac:dyDescent="0.15">
      <x:c r="M238">
        <x:v>121109</x:v>
      </x:c>
      <x:c r="N238" t="s">
        <x:v>421</x:v>
      </x:c>
    </x:row>
    <x:row r="239" spans="13:14" x14ac:dyDescent="0.15">
      <x:c r="M239">
        <x:v>121110</x:v>
      </x:c>
      <x:c r="N239" t="s">
        <x:v>422</x:v>
      </x:c>
    </x:row>
    <x:row r="240" spans="13:14" x14ac:dyDescent="0.15">
      <x:c r="M240">
        <x:v>121111</x:v>
      </x:c>
      <x:c r="N240" t="s">
        <x:v>423</x:v>
      </x:c>
    </x:row>
    <x:row r="241" spans="13:14" x14ac:dyDescent="0.15">
      <x:c r="M241">
        <x:v>121112</x:v>
      </x:c>
      <x:c r="N241" t="s">
        <x:v>424</x:v>
      </x:c>
    </x:row>
    <x:row r="242" spans="13:14" x14ac:dyDescent="0.15">
      <x:c r="M242">
        <x:v>121113</x:v>
      </x:c>
      <x:c r="N242" t="s">
        <x:v>425</x:v>
      </x:c>
    </x:row>
    <x:row r="243" spans="13:14" x14ac:dyDescent="0.15">
      <x:c r="M243">
        <x:v>121114</x:v>
      </x:c>
      <x:c r="N243" t="s">
        <x:v>426</x:v>
      </x:c>
    </x:row>
    <x:row r="244" spans="13:14" x14ac:dyDescent="0.15">
      <x:c r="M244">
        <x:v>121115</x:v>
      </x:c>
      <x:c r="N244" t="s">
        <x:v>427</x:v>
      </x:c>
    </x:row>
    <x:row r="245" spans="13:14" x14ac:dyDescent="0.15">
      <x:c r="M245">
        <x:v>121116</x:v>
      </x:c>
      <x:c r="N245" t="s">
        <x:v>428</x:v>
      </x:c>
    </x:row>
    <x:row r="246" spans="13:14" x14ac:dyDescent="0.15">
      <x:c r="M246">
        <x:v>121117</x:v>
      </x:c>
      <x:c r="N246" t="s">
        <x:v>429</x:v>
      </x:c>
    </x:row>
    <x:row r="247" spans="13:14" x14ac:dyDescent="0.15">
      <x:c r="M247">
        <x:v>121118</x:v>
      </x:c>
      <x:c r="N247" t="s">
        <x:v>430</x:v>
      </x:c>
    </x:row>
    <x:row r="248" spans="13:14" x14ac:dyDescent="0.15">
      <x:c r="M248">
        <x:v>121119</x:v>
      </x:c>
      <x:c r="N248" t="s">
        <x:v>431</x:v>
      </x:c>
    </x:row>
    <x:row r="249" spans="13:14" x14ac:dyDescent="0.15">
      <x:c r="M249">
        <x:v>121120</x:v>
      </x:c>
      <x:c r="N249" t="s">
        <x:v>432</x:v>
      </x:c>
    </x:row>
    <x:row r="250" spans="13:14" x14ac:dyDescent="0.15">
      <x:c r="M250">
        <x:v>121121</x:v>
      </x:c>
      <x:c r="N250" t="s">
        <x:v>433</x:v>
      </x:c>
    </x:row>
    <x:row r="251" spans="13:14" x14ac:dyDescent="0.15">
      <x:c r="M251">
        <x:v>121122</x:v>
      </x:c>
      <x:c r="N251" t="s">
        <x:v>434</x:v>
      </x:c>
    </x:row>
    <x:row r="252" spans="13:14" x14ac:dyDescent="0.15">
      <x:c r="M252">
        <x:v>121123</x:v>
      </x:c>
      <x:c r="N252" t="s">
        <x:v>435</x:v>
      </x:c>
    </x:row>
    <x:row r="253" spans="13:14" x14ac:dyDescent="0.15">
      <x:c r="M253">
        <x:v>121124</x:v>
      </x:c>
      <x:c r="N253" t="s">
        <x:v>436</x:v>
      </x:c>
    </x:row>
    <x:row r="254" spans="13:14" x14ac:dyDescent="0.15">
      <x:c r="M254">
        <x:v>121125</x:v>
      </x:c>
      <x:c r="N254" t="s">
        <x:v>437</x:v>
      </x:c>
    </x:row>
    <x:row r="255" spans="13:14" x14ac:dyDescent="0.15">
      <x:c r="M255">
        <x:v>121126</x:v>
      </x:c>
      <x:c r="N255" t="s">
        <x:v>438</x:v>
      </x:c>
    </x:row>
    <x:row r="256" spans="13:14" x14ac:dyDescent="0.15">
      <x:c r="M256">
        <x:v>121127</x:v>
      </x:c>
      <x:c r="N256" t="s">
        <x:v>439</x:v>
      </x:c>
    </x:row>
    <x:row r="257" spans="13:14" x14ac:dyDescent="0.15">
      <x:c r="M257">
        <x:v>121128</x:v>
      </x:c>
      <x:c r="N257" t="s">
        <x:v>440</x:v>
      </x:c>
    </x:row>
    <x:row r="258" spans="13:14" x14ac:dyDescent="0.15">
      <x:c r="M258">
        <x:v>121129</x:v>
      </x:c>
      <x:c r="N258" t="s">
        <x:v>441</x:v>
      </x:c>
    </x:row>
    <x:row r="259" spans="13:14" x14ac:dyDescent="0.15">
      <x:c r="M259">
        <x:v>121130</x:v>
      </x:c>
      <x:c r="N259" t="s">
        <x:v>442</x:v>
      </x:c>
    </x:row>
    <x:row r="260" spans="13:14" x14ac:dyDescent="0.15">
      <x:c r="M260">
        <x:v>121131</x:v>
      </x:c>
      <x:c r="N260" t="s">
        <x:v>443</x:v>
      </x:c>
    </x:row>
    <x:row r="261" spans="13:14" x14ac:dyDescent="0.15">
      <x:c r="M261">
        <x:v>121132</x:v>
      </x:c>
      <x:c r="N261" t="s">
        <x:v>427</x:v>
      </x:c>
    </x:row>
    <x:row r="262" spans="13:14" x14ac:dyDescent="0.15">
      <x:c r="M262">
        <x:v>121133</x:v>
      </x:c>
      <x:c r="N262" t="s">
        <x:v>444</x:v>
      </x:c>
    </x:row>
    <x:row r="263" spans="13:14" x14ac:dyDescent="0.15">
      <x:c r="M263">
        <x:v>121134</x:v>
      </x:c>
      <x:c r="N263" t="s">
        <x:v>445</x:v>
      </x:c>
    </x:row>
    <x:row r="264" spans="13:14" x14ac:dyDescent="0.15">
      <x:c r="M264">
        <x:v>121135</x:v>
      </x:c>
      <x:c r="N264" t="s">
        <x:v>446</x:v>
      </x:c>
    </x:row>
    <x:row r="265" spans="13:14" x14ac:dyDescent="0.15">
      <x:c r="M265">
        <x:v>121136</x:v>
      </x:c>
      <x:c r="N265" t="s">
        <x:v>447</x:v>
      </x:c>
    </x:row>
    <x:row r="266" spans="13:14" x14ac:dyDescent="0.15">
      <x:c r="M266">
        <x:v>121137</x:v>
      </x:c>
      <x:c r="N266" t="s">
        <x:v>448</x:v>
      </x:c>
    </x:row>
    <x:row r="267" spans="13:14" x14ac:dyDescent="0.15">
      <x:c r="M267">
        <x:v>121138</x:v>
      </x:c>
      <x:c r="N267" t="s">
        <x:v>449</x:v>
      </x:c>
    </x:row>
    <x:row r="268" spans="13:14" x14ac:dyDescent="0.15">
      <x:c r="M268">
        <x:v>121139</x:v>
      </x:c>
      <x:c r="N268" t="s">
        <x:v>450</x:v>
      </x:c>
    </x:row>
    <x:row r="269" spans="13:14" x14ac:dyDescent="0.15">
      <x:c r="M269">
        <x:v>121140</x:v>
      </x:c>
      <x:c r="N269" t="s">
        <x:v>451</x:v>
      </x:c>
    </x:row>
    <x:row r="270" spans="13:14" x14ac:dyDescent="0.15">
      <x:c r="M270">
        <x:v>121141</x:v>
      </x:c>
      <x:c r="N270" t="s">
        <x:v>452</x:v>
      </x:c>
    </x:row>
    <x:row r="271" spans="13:14" x14ac:dyDescent="0.15">
      <x:c r="M271">
        <x:v>121142</x:v>
      </x:c>
      <x:c r="N271" t="s">
        <x:v>453</x:v>
      </x:c>
    </x:row>
    <x:row r="272" spans="13:14" x14ac:dyDescent="0.15">
      <x:c r="M272">
        <x:v>121143</x:v>
      </x:c>
      <x:c r="N272" t="s">
        <x:v>454</x:v>
      </x:c>
    </x:row>
    <x:row r="273" spans="13:14" x14ac:dyDescent="0.15">
      <x:c r="M273">
        <x:v>121144</x:v>
      </x:c>
      <x:c r="N273" t="s">
        <x:v>455</x:v>
      </x:c>
    </x:row>
    <x:row r="274" spans="13:14" x14ac:dyDescent="0.15">
      <x:c r="M274">
        <x:v>121145</x:v>
      </x:c>
      <x:c r="N274" t="s">
        <x:v>456</x:v>
      </x:c>
    </x:row>
    <x:row r="275" spans="13:14" x14ac:dyDescent="0.15">
      <x:c r="M275">
        <x:v>121146</x:v>
      </x:c>
      <x:c r="N275" t="s">
        <x:v>451</x:v>
      </x:c>
    </x:row>
    <x:row r="276" spans="13:14" x14ac:dyDescent="0.15">
      <x:c r="M276">
        <x:v>121147</x:v>
      </x:c>
      <x:c r="N276" t="s">
        <x:v>452</x:v>
      </x:c>
    </x:row>
    <x:row r="277" spans="13:14" x14ac:dyDescent="0.15">
      <x:c r="M277">
        <x:v>121148</x:v>
      </x:c>
      <x:c r="N277" t="s">
        <x:v>453</x:v>
      </x:c>
    </x:row>
    <x:row r="278" spans="13:14" x14ac:dyDescent="0.15">
      <x:c r="M278">
        <x:v>121149</x:v>
      </x:c>
      <x:c r="N278" t="s">
        <x:v>454</x:v>
      </x:c>
    </x:row>
    <x:row r="279" spans="13:14" x14ac:dyDescent="0.15">
      <x:c r="M279">
        <x:v>121150</x:v>
      </x:c>
      <x:c r="N279" t="s">
        <x:v>457</x:v>
      </x:c>
    </x:row>
    <x:row r="280" spans="13:14" x14ac:dyDescent="0.15">
      <x:c r="M280">
        <x:v>121151</x:v>
      </x:c>
      <x:c r="N280" t="s">
        <x:v>458</x:v>
      </x:c>
    </x:row>
    <x:row r="281" spans="13:14" x14ac:dyDescent="0.15">
      <x:c r="M281">
        <x:v>121152</x:v>
      </x:c>
      <x:c r="N281" t="s">
        <x:v>459</x:v>
      </x:c>
    </x:row>
    <x:row r="282" spans="13:14" x14ac:dyDescent="0.15">
      <x:c r="M282">
        <x:v>121153</x:v>
      </x:c>
      <x:c r="N282" t="s">
        <x:v>460</x:v>
      </x:c>
    </x:row>
    <x:row r="283" spans="13:14" x14ac:dyDescent="0.15">
      <x:c r="M283">
        <x:v>121154</x:v>
      </x:c>
      <x:c r="N283" t="s">
        <x:v>256</x:v>
      </x:c>
    </x:row>
    <x:row r="284" spans="13:14" x14ac:dyDescent="0.15">
      <x:c r="M284">
        <x:v>121155</x:v>
      </x:c>
      <x:c r="N284" t="s">
        <x:v>461</x:v>
      </x:c>
    </x:row>
    <x:row r="285" spans="13:14" x14ac:dyDescent="0.15">
      <x:c r="M285">
        <x:v>121156</x:v>
      </x:c>
      <x:c r="N285" t="s">
        <x:v>461</x:v>
      </x:c>
    </x:row>
    <x:row r="286" spans="13:14" x14ac:dyDescent="0.15">
      <x:c r="M286">
        <x:v>121157</x:v>
      </x:c>
      <x:c r="N286" t="s">
        <x:v>462</x:v>
      </x:c>
    </x:row>
    <x:row r="287" spans="13:14" x14ac:dyDescent="0.15">
      <x:c r="M287">
        <x:v>121158</x:v>
      </x:c>
      <x:c r="N287" t="s">
        <x:v>463</x:v>
      </x:c>
    </x:row>
    <x:row r="288" spans="13:14" x14ac:dyDescent="0.15">
      <x:c r="M288">
        <x:v>121159</x:v>
      </x:c>
      <x:c r="N288" t="s">
        <x:v>464</x:v>
      </x:c>
    </x:row>
    <x:row r="289" spans="13:14" x14ac:dyDescent="0.15">
      <x:c r="M289">
        <x:v>121160</x:v>
      </x:c>
      <x:c r="N289" t="s">
        <x:v>465</x:v>
      </x:c>
    </x:row>
    <x:row r="290" spans="13:14" x14ac:dyDescent="0.15">
      <x:c r="M290">
        <x:v>121161</x:v>
      </x:c>
      <x:c r="N290" t="s">
        <x:v>466</x:v>
      </x:c>
    </x:row>
    <x:row r="291" spans="13:14" x14ac:dyDescent="0.15">
      <x:c r="M291">
        <x:v>121162</x:v>
      </x:c>
      <x:c r="N291" t="s">
        <x:v>467</x:v>
      </x:c>
    </x:row>
    <x:row r="292" spans="13:14" x14ac:dyDescent="0.15">
      <x:c r="M292">
        <x:v>121163</x:v>
      </x:c>
      <x:c r="N292" t="s">
        <x:v>468</x:v>
      </x:c>
    </x:row>
    <x:row r="293" spans="13:14" x14ac:dyDescent="0.15">
      <x:c r="M293">
        <x:v>121164</x:v>
      </x:c>
      <x:c r="N293" t="s">
        <x:v>469</x:v>
      </x:c>
    </x:row>
    <x:row r="294" spans="13:14" x14ac:dyDescent="0.15">
      <x:c r="M294">
        <x:v>121165</x:v>
      </x:c>
      <x:c r="N294" t="s">
        <x:v>470</x:v>
      </x:c>
    </x:row>
    <x:row r="295" spans="13:14" x14ac:dyDescent="0.15">
      <x:c r="M295">
        <x:v>121166</x:v>
      </x:c>
      <x:c r="N295" t="s">
        <x:v>471</x:v>
      </x:c>
    </x:row>
    <x:row r="296" spans="13:14" x14ac:dyDescent="0.15">
      <x:c r="M296">
        <x:v>121167</x:v>
      </x:c>
      <x:c r="N296" t="s">
        <x:v>472</x:v>
      </x:c>
    </x:row>
    <x:row r="297" spans="13:14" x14ac:dyDescent="0.15">
      <x:c r="M297">
        <x:v>121168</x:v>
      </x:c>
      <x:c r="N297" t="s">
        <x:v>473</x:v>
      </x:c>
    </x:row>
    <x:row r="298" spans="13:14" x14ac:dyDescent="0.15">
      <x:c r="M298">
        <x:v>121169</x:v>
      </x:c>
      <x:c r="N298" t="s">
        <x:v>474</x:v>
      </x:c>
    </x:row>
    <x:row r="299" spans="13:14" x14ac:dyDescent="0.15">
      <x:c r="M299">
        <x:v>121170</x:v>
      </x:c>
      <x:c r="N299" t="s">
        <x:v>475</x:v>
      </x:c>
    </x:row>
    <x:row r="300" spans="13:14" x14ac:dyDescent="0.15">
      <x:c r="M300">
        <x:v>121171</x:v>
      </x:c>
      <x:c r="N300" t="s">
        <x:v>476</x:v>
      </x:c>
    </x:row>
    <x:row r="301" spans="13:14" x14ac:dyDescent="0.15">
      <x:c r="M301">
        <x:v>121172</x:v>
      </x:c>
      <x:c r="N301" t="s">
        <x:v>477</x:v>
      </x:c>
    </x:row>
    <x:row r="302" spans="13:14" x14ac:dyDescent="0.15">
      <x:c r="M302">
        <x:v>121173</x:v>
      </x:c>
      <x:c r="N302" t="s">
        <x:v>478</x:v>
      </x:c>
    </x:row>
    <x:row r="303" spans="13:14" x14ac:dyDescent="0.15">
      <x:c r="M303">
        <x:v>121174</x:v>
      </x:c>
      <x:c r="N303" t="s">
        <x:v>479</x:v>
      </x:c>
    </x:row>
    <x:row r="304" spans="13:14" x14ac:dyDescent="0.15">
      <x:c r="M304">
        <x:v>121175</x:v>
      </x:c>
      <x:c r="N304" t="s">
        <x:v>480</x:v>
      </x:c>
    </x:row>
    <x:row r="305" spans="13:14" x14ac:dyDescent="0.15">
      <x:c r="M305">
        <x:v>121176</x:v>
      </x:c>
      <x:c r="N305" t="s">
        <x:v>481</x:v>
      </x:c>
    </x:row>
    <x:row r="306" spans="13:14" x14ac:dyDescent="0.15">
      <x:c r="M306">
        <x:v>121177</x:v>
      </x:c>
      <x:c r="N306" t="s">
        <x:v>482</x:v>
      </x:c>
    </x:row>
    <x:row r="307" spans="13:14" x14ac:dyDescent="0.15">
      <x:c r="M307">
        <x:v>121178</x:v>
      </x:c>
      <x:c r="N307" t="s">
        <x:v>483</x:v>
      </x:c>
    </x:row>
    <x:row r="308" spans="13:14" x14ac:dyDescent="0.15">
      <x:c r="M308">
        <x:v>121179</x:v>
      </x:c>
      <x:c r="N308" t="s">
        <x:v>484</x:v>
      </x:c>
    </x:row>
    <x:row r="309" spans="13:14" x14ac:dyDescent="0.15">
      <x:c r="M309">
        <x:v>121180</x:v>
      </x:c>
      <x:c r="N309" t="s">
        <x:v>485</x:v>
      </x:c>
    </x:row>
    <x:row r="310" spans="13:14" x14ac:dyDescent="0.15">
      <x:c r="M310">
        <x:v>121181</x:v>
      </x:c>
      <x:c r="N310" t="s">
        <x:v>486</x:v>
      </x:c>
    </x:row>
    <x:row r="311" spans="13:14" x14ac:dyDescent="0.15">
      <x:c r="M311">
        <x:v>121182</x:v>
      </x:c>
      <x:c r="N311" t="s">
        <x:v>487</x:v>
      </x:c>
    </x:row>
    <x:row r="312" spans="13:14" x14ac:dyDescent="0.15">
      <x:c r="M312">
        <x:v>121183</x:v>
      </x:c>
      <x:c r="N312" t="s">
        <x:v>369</x:v>
      </x:c>
    </x:row>
    <x:row r="313" spans="13:14" x14ac:dyDescent="0.15">
      <x:c r="M313">
        <x:v>121184</x:v>
      </x:c>
      <x:c r="N313" t="s">
        <x:v>104</x:v>
      </x:c>
    </x:row>
    <x:row r="314" spans="13:14" x14ac:dyDescent="0.15">
      <x:c r="M314">
        <x:v>121185</x:v>
      </x:c>
      <x:c r="N314" t="s">
        <x:v>451</x:v>
      </x:c>
    </x:row>
    <x:row r="315" spans="13:14" x14ac:dyDescent="0.15">
      <x:c r="M315">
        <x:v>121186</x:v>
      </x:c>
      <x:c r="N315" t="s">
        <x:v>411</x:v>
      </x:c>
    </x:row>
    <x:row r="316" spans="13:14" x14ac:dyDescent="0.15">
      <x:c r="M316">
        <x:v>121187</x:v>
      </x:c>
      <x:c r="N316" t="s">
        <x:v>421</x:v>
      </x:c>
    </x:row>
    <x:row r="317" spans="13:14" x14ac:dyDescent="0.15">
      <x:c r="M317">
        <x:v>121188</x:v>
      </x:c>
      <x:c r="N317" t="s">
        <x:v>483</x:v>
      </x:c>
    </x:row>
    <x:row r="318" spans="13:14" x14ac:dyDescent="0.15">
      <x:c r="M318">
        <x:v>121189</x:v>
      </x:c>
      <x:c r="N318" t="s">
        <x:v>485</x:v>
      </x:c>
    </x:row>
    <x:row r="319" spans="13:14" x14ac:dyDescent="0.15">
      <x:c r="M319">
        <x:v>121190</x:v>
      </x:c>
      <x:c r="N319" t="s">
        <x:v>488</x:v>
      </x:c>
    </x:row>
    <x:row r="320" spans="13:14" x14ac:dyDescent="0.15">
      <x:c r="M320">
        <x:v>121191</x:v>
      </x:c>
      <x:c r="N320" t="s">
        <x:v>489</x:v>
      </x:c>
    </x:row>
    <x:row r="321" spans="13:14" x14ac:dyDescent="0.15">
      <x:c r="M321">
        <x:v>121192</x:v>
      </x:c>
      <x:c r="N321" t="s">
        <x:v>490</x:v>
      </x:c>
    </x:row>
    <x:row r="322" spans="13:14" x14ac:dyDescent="0.15">
      <x:c r="M322">
        <x:v>121193</x:v>
      </x:c>
      <x:c r="N322" t="s">
        <x:v>491</x:v>
      </x:c>
    </x:row>
    <x:row r="323" spans="13:14" x14ac:dyDescent="0.15">
      <x:c r="M323">
        <x:v>121194</x:v>
      </x:c>
      <x:c r="N323" t="s">
        <x:v>490</x:v>
      </x:c>
    </x:row>
    <x:row r="324" spans="13:14" x14ac:dyDescent="0.15">
      <x:c r="M324">
        <x:v>121195</x:v>
      </x:c>
      <x:c r="N324" t="s">
        <x:v>492</x:v>
      </x:c>
    </x:row>
    <x:row r="325" spans="13:14" x14ac:dyDescent="0.15">
      <x:c r="M325">
        <x:v>121196</x:v>
      </x:c>
      <x:c r="N325" t="s">
        <x:v>493</x:v>
      </x:c>
    </x:row>
    <x:row r="326" spans="13:14" x14ac:dyDescent="0.15">
      <x:c r="M326">
        <x:v>121197</x:v>
      </x:c>
      <x:c r="N326" t="s">
        <x:v>494</x:v>
      </x:c>
    </x:row>
    <x:row r="327" spans="13:14" x14ac:dyDescent="0.15">
      <x:c r="M327">
        <x:v>121198</x:v>
      </x:c>
      <x:c r="N327" t="s">
        <x:v>495</x:v>
      </x:c>
    </x:row>
    <x:row r="328" spans="13:14" x14ac:dyDescent="0.15">
      <x:c r="M328">
        <x:v>121199</x:v>
      </x:c>
      <x:c r="N328" t="s">
        <x:v>496</x:v>
      </x:c>
    </x:row>
    <x:row r="329" spans="13:14" x14ac:dyDescent="0.15">
      <x:c r="M329">
        <x:v>121200</x:v>
      </x:c>
      <x:c r="N329" t="s">
        <x:v>497</x:v>
      </x:c>
    </x:row>
    <x:row r="330" spans="13:14" x14ac:dyDescent="0.15">
      <x:c r="M330">
        <x:v>121201</x:v>
      </x:c>
      <x:c r="N330" t="s">
        <x:v>419</x:v>
      </x:c>
    </x:row>
    <x:row r="331" spans="13:14" x14ac:dyDescent="0.15">
      <x:c r="M331">
        <x:v>121202</x:v>
      </x:c>
      <x:c r="N331" t="s">
        <x:v>420</x:v>
      </x:c>
    </x:row>
    <x:row r="332" spans="13:14" x14ac:dyDescent="0.15">
      <x:c r="M332">
        <x:v>121203</x:v>
      </x:c>
      <x:c r="N332" t="s">
        <x:v>498</x:v>
      </x:c>
    </x:row>
    <x:row r="333" spans="13:14" x14ac:dyDescent="0.15">
      <x:c r="M333">
        <x:v>121204</x:v>
      </x:c>
      <x:c r="N333" t="s">
        <x:v>499</x:v>
      </x:c>
    </x:row>
    <x:row r="334" spans="13:14" x14ac:dyDescent="0.15">
      <x:c r="M334">
        <x:v>121205</x:v>
      </x:c>
      <x:c r="N334" t="s">
        <x:v>500</x:v>
      </x:c>
    </x:row>
    <x:row r="335" spans="13:14" x14ac:dyDescent="0.15">
      <x:c r="M335">
        <x:v>121206</x:v>
      </x:c>
      <x:c r="N335" t="s">
        <x:v>501</x:v>
      </x:c>
    </x:row>
    <x:row r="336" spans="13:14" x14ac:dyDescent="0.15">
      <x:c r="M336">
        <x:v>121207</x:v>
      </x:c>
      <x:c r="N336" t="s">
        <x:v>502</x:v>
      </x:c>
    </x:row>
    <x:row r="337" spans="13:14" x14ac:dyDescent="0.15">
      <x:c r="M337">
        <x:v>121208</x:v>
      </x:c>
      <x:c r="N337" t="s">
        <x:v>503</x:v>
      </x:c>
    </x:row>
    <x:row r="338" spans="13:14" x14ac:dyDescent="0.15">
      <x:c r="M338">
        <x:v>121209</x:v>
      </x:c>
      <x:c r="N338" t="s">
        <x:v>504</x:v>
      </x:c>
    </x:row>
    <x:row r="339" spans="13:14" x14ac:dyDescent="0.15">
      <x:c r="M339">
        <x:v>121210</x:v>
      </x:c>
      <x:c r="N339" t="s">
        <x:v>505</x:v>
      </x:c>
    </x:row>
    <x:row r="340" spans="13:14" x14ac:dyDescent="0.15">
      <x:c r="M340">
        <x:v>121211</x:v>
      </x:c>
      <x:c r="N340" t="s">
        <x:v>506</x:v>
      </x:c>
    </x:row>
    <x:row r="341" spans="13:14" x14ac:dyDescent="0.15">
      <x:c r="M341">
        <x:v>121212</x:v>
      </x:c>
      <x:c r="N341" t="s">
        <x:v>507</x:v>
      </x:c>
    </x:row>
    <x:row r="342" spans="13:14" x14ac:dyDescent="0.15">
      <x:c r="M342">
        <x:v>121213</x:v>
      </x:c>
      <x:c r="N342" t="s">
        <x:v>508</x:v>
      </x:c>
    </x:row>
    <x:row r="343" spans="13:14" x14ac:dyDescent="0.15">
      <x:c r="M343">
        <x:v>121214</x:v>
      </x:c>
      <x:c r="N343" t="s">
        <x:v>509</x:v>
      </x:c>
    </x:row>
    <x:row r="344" spans="13:14" x14ac:dyDescent="0.15">
      <x:c r="M344">
        <x:v>121215</x:v>
      </x:c>
      <x:c r="N344" t="s">
        <x:v>510</x:v>
      </x:c>
    </x:row>
    <x:row r="345" spans="13:14" x14ac:dyDescent="0.15">
      <x:c r="M345">
        <x:v>121216</x:v>
      </x:c>
      <x:c r="N345" t="s">
        <x:v>511</x:v>
      </x:c>
    </x:row>
    <x:row r="346" spans="13:14" x14ac:dyDescent="0.15">
      <x:c r="M346">
        <x:v>121217</x:v>
      </x:c>
      <x:c r="N346" t="s">
        <x:v>512</x:v>
      </x:c>
    </x:row>
    <x:row r="347" spans="13:14" x14ac:dyDescent="0.15">
      <x:c r="M347">
        <x:v>121218</x:v>
      </x:c>
      <x:c r="N347" t="s">
        <x:v>513</x:v>
      </x:c>
    </x:row>
    <x:row r="348" spans="13:14" x14ac:dyDescent="0.15">
      <x:c r="M348">
        <x:v>121219</x:v>
      </x:c>
      <x:c r="N348" t="s">
        <x:v>514</x:v>
      </x:c>
    </x:row>
    <x:row r="349" spans="13:14" x14ac:dyDescent="0.15">
      <x:c r="M349">
        <x:v>121220</x:v>
      </x:c>
      <x:c r="N349" t="s">
        <x:v>515</x:v>
      </x:c>
    </x:row>
    <x:row r="350" spans="13:14" x14ac:dyDescent="0.15">
      <x:c r="M350">
        <x:v>121221</x:v>
      </x:c>
      <x:c r="N350" t="s">
        <x:v>516</x:v>
      </x:c>
    </x:row>
    <x:row r="351" spans="13:14" x14ac:dyDescent="0.15">
      <x:c r="M351">
        <x:v>121222</x:v>
      </x:c>
      <x:c r="N351" t="s">
        <x:v>517</x:v>
      </x:c>
    </x:row>
    <x:row r="352" spans="13:14" x14ac:dyDescent="0.15">
      <x:c r="M352">
        <x:v>121223</x:v>
      </x:c>
      <x:c r="N352" t="s">
        <x:v>518</x:v>
      </x:c>
    </x:row>
    <x:row r="353" spans="13:14" x14ac:dyDescent="0.15">
      <x:c r="M353">
        <x:v>121224</x:v>
      </x:c>
      <x:c r="N353" t="s">
        <x:v>519</x:v>
      </x:c>
    </x:row>
    <x:row r="354" spans="13:14" x14ac:dyDescent="0.15">
      <x:c r="M354">
        <x:v>121225</x:v>
      </x:c>
      <x:c r="N354" t="s">
        <x:v>520</x:v>
      </x:c>
    </x:row>
    <x:row r="355" spans="13:14" x14ac:dyDescent="0.15">
      <x:c r="M355">
        <x:v>121226</x:v>
      </x:c>
      <x:c r="N355" t="s">
        <x:v>521</x:v>
      </x:c>
    </x:row>
    <x:row r="356" spans="13:14" x14ac:dyDescent="0.15">
      <x:c r="M356">
        <x:v>121227</x:v>
      </x:c>
      <x:c r="N356" t="s">
        <x:v>522</x:v>
      </x:c>
    </x:row>
    <x:row r="357" spans="13:14" x14ac:dyDescent="0.15">
      <x:c r="M357">
        <x:v>121228</x:v>
      </x:c>
      <x:c r="N357" t="s">
        <x:v>523</x:v>
      </x:c>
    </x:row>
    <x:row r="358" spans="13:14" x14ac:dyDescent="0.15">
      <x:c r="M358">
        <x:v>121229</x:v>
      </x:c>
      <x:c r="N358" t="s">
        <x:v>524</x:v>
      </x:c>
    </x:row>
    <x:row r="359" spans="13:14" x14ac:dyDescent="0.15">
      <x:c r="M359">
        <x:v>121230</x:v>
      </x:c>
      <x:c r="N359" t="s">
        <x:v>525</x:v>
      </x:c>
    </x:row>
    <x:row r="360" spans="13:14" x14ac:dyDescent="0.15">
      <x:c r="M360">
        <x:v>121231</x:v>
      </x:c>
      <x:c r="N360" t="s">
        <x:v>526</x:v>
      </x:c>
    </x:row>
    <x:row r="361" spans="13:14" x14ac:dyDescent="0.15">
      <x:c r="M361">
        <x:v>121232</x:v>
      </x:c>
      <x:c r="N361" t="s">
        <x:v>527</x:v>
      </x:c>
    </x:row>
    <x:row r="362" spans="13:14" x14ac:dyDescent="0.15">
      <x:c r="M362">
        <x:v>121233</x:v>
      </x:c>
      <x:c r="N362" t="s">
        <x:v>528</x:v>
      </x:c>
    </x:row>
    <x:row r="363" spans="13:14" x14ac:dyDescent="0.15">
      <x:c r="M363">
        <x:v>121234</x:v>
      </x:c>
      <x:c r="N363" t="s">
        <x:v>529</x:v>
      </x:c>
    </x:row>
    <x:row r="364" spans="13:14" x14ac:dyDescent="0.15">
      <x:c r="M364">
        <x:v>121235</x:v>
      </x:c>
      <x:c r="N364" t="s">
        <x:v>530</x:v>
      </x:c>
    </x:row>
    <x:row r="365" spans="13:14" x14ac:dyDescent="0.15">
      <x:c r="M365">
        <x:v>121236</x:v>
      </x:c>
      <x:c r="N365" t="s">
        <x:v>531</x:v>
      </x:c>
    </x:row>
    <x:row r="366" spans="13:14" x14ac:dyDescent="0.15">
      <x:c r="M366">
        <x:v>121237</x:v>
      </x:c>
      <x:c r="N366" t="s">
        <x:v>532</x:v>
      </x:c>
    </x:row>
    <x:row r="367" spans="13:14" x14ac:dyDescent="0.15">
      <x:c r="M367">
        <x:v>121238</x:v>
      </x:c>
      <x:c r="N367" t="s">
        <x:v>533</x:v>
      </x:c>
    </x:row>
    <x:row r="368" spans="13:14" x14ac:dyDescent="0.15">
      <x:c r="M368">
        <x:v>121239</x:v>
      </x:c>
      <x:c r="N368" t="s">
        <x:v>534</x:v>
      </x:c>
    </x:row>
    <x:row r="369" spans="13:14" x14ac:dyDescent="0.15">
      <x:c r="M369">
        <x:v>121240</x:v>
      </x:c>
      <x:c r="N369" t="s">
        <x:v>535</x:v>
      </x:c>
    </x:row>
    <x:row r="370" spans="13:14" x14ac:dyDescent="0.15">
      <x:c r="M370">
        <x:v>121241</x:v>
      </x:c>
      <x:c r="N370" t="s">
        <x:v>536</x:v>
      </x:c>
    </x:row>
    <x:row r="371" spans="13:14" x14ac:dyDescent="0.15">
      <x:c r="M371">
        <x:v>121242</x:v>
      </x:c>
      <x:c r="N371" t="s">
        <x:v>537</x:v>
      </x:c>
    </x:row>
    <x:row r="372" spans="13:14" x14ac:dyDescent="0.15">
      <x:c r="M372">
        <x:v>121243</x:v>
      </x:c>
      <x:c r="N372" t="s">
        <x:v>538</x:v>
      </x:c>
    </x:row>
    <x:row r="373" spans="13:14" x14ac:dyDescent="0.15">
      <x:c r="M373">
        <x:v>121244</x:v>
      </x:c>
      <x:c r="N373" t="s">
        <x:v>539</x:v>
      </x:c>
    </x:row>
    <x:row r="374" spans="13:14" x14ac:dyDescent="0.15">
      <x:c r="M374">
        <x:v>121245</x:v>
      </x:c>
      <x:c r="N374" t="s">
        <x:v>540</x:v>
      </x:c>
    </x:row>
    <x:row r="375" spans="13:14" x14ac:dyDescent="0.15">
      <x:c r="M375">
        <x:v>121246</x:v>
      </x:c>
      <x:c r="N375" t="s">
        <x:v>541</x:v>
      </x:c>
    </x:row>
    <x:row r="376" spans="13:14" x14ac:dyDescent="0.15">
      <x:c r="M376">
        <x:v>121247</x:v>
      </x:c>
      <x:c r="N376" t="s">
        <x:v>542</x:v>
      </x:c>
    </x:row>
    <x:row r="377" spans="13:14" x14ac:dyDescent="0.15">
      <x:c r="M377">
        <x:v>121248</x:v>
      </x:c>
      <x:c r="N377" t="s">
        <x:v>543</x:v>
      </x:c>
    </x:row>
    <x:row r="378" spans="13:14" x14ac:dyDescent="0.15">
      <x:c r="M378">
        <x:v>121250</x:v>
      </x:c>
      <x:c r="N378" t="s">
        <x:v>544</x:v>
      </x:c>
    </x:row>
    <x:row r="379" spans="13:14" x14ac:dyDescent="0.15">
      <x:c r="M379">
        <x:v>121251</x:v>
      </x:c>
      <x:c r="N379" t="s">
        <x:v>545</x:v>
      </x:c>
    </x:row>
    <x:row r="380" spans="13:14" x14ac:dyDescent="0.15">
      <x:c r="M380">
        <x:v>121252</x:v>
      </x:c>
      <x:c r="N380" t="s">
        <x:v>546</x:v>
      </x:c>
    </x:row>
    <x:row r="381" spans="13:14" x14ac:dyDescent="0.15">
      <x:c r="M381">
        <x:v>121253</x:v>
      </x:c>
      <x:c r="N381" t="s">
        <x:v>547</x:v>
      </x:c>
    </x:row>
    <x:row r="382" spans="13:14" x14ac:dyDescent="0.15">
      <x:c r="M382">
        <x:v>121254</x:v>
      </x:c>
      <x:c r="N382" t="s">
        <x:v>548</x:v>
      </x:c>
    </x:row>
    <x:row r="383" spans="13:14" x14ac:dyDescent="0.15">
      <x:c r="M383">
        <x:v>121255</x:v>
      </x:c>
      <x:c r="N383" t="s">
        <x:v>549</x:v>
      </x:c>
    </x:row>
    <x:row r="384" spans="13:14" x14ac:dyDescent="0.15">
      <x:c r="M384">
        <x:v>121256</x:v>
      </x:c>
      <x:c r="N384" t="s">
        <x:v>550</x:v>
      </x:c>
    </x:row>
    <x:row r="385" spans="13:14" x14ac:dyDescent="0.15">
      <x:c r="M385">
        <x:v>121257</x:v>
      </x:c>
      <x:c r="N385" t="s">
        <x:v>551</x:v>
      </x:c>
    </x:row>
    <x:row r="386" spans="13:14" x14ac:dyDescent="0.15">
      <x:c r="M386">
        <x:v>121258</x:v>
      </x:c>
      <x:c r="N386" t="s">
        <x:v>307</x:v>
      </x:c>
    </x:row>
    <x:row r="387" spans="13:14" x14ac:dyDescent="0.15">
      <x:c r="M387">
        <x:v>121259</x:v>
      </x:c>
      <x:c r="N387" t="s">
        <x:v>552</x:v>
      </x:c>
    </x:row>
    <x:row r="388" spans="13:14" x14ac:dyDescent="0.15">
      <x:c r="M388">
        <x:v>121260</x:v>
      </x:c>
      <x:c r="N388" t="s">
        <x:v>553</x:v>
      </x:c>
    </x:row>
    <x:row r="389" spans="13:14" x14ac:dyDescent="0.15">
      <x:c r="M389">
        <x:v>121261</x:v>
      </x:c>
      <x:c r="N389" t="s">
        <x:v>554</x:v>
      </x:c>
    </x:row>
    <x:row r="390" spans="13:14" x14ac:dyDescent="0.15">
      <x:c r="M390">
        <x:v>121262</x:v>
      </x:c>
      <x:c r="N390" t="s">
        <x:v>544</x:v>
      </x:c>
    </x:row>
    <x:row r="391" spans="13:14" x14ac:dyDescent="0.15">
      <x:c r="M391">
        <x:v>121263</x:v>
      </x:c>
      <x:c r="N391" t="s">
        <x:v>553</x:v>
      </x:c>
    </x:row>
    <x:row r="392" spans="13:14" x14ac:dyDescent="0.15">
      <x:c r="M392">
        <x:v>121264</x:v>
      </x:c>
    </x:row>
    <x:row r="393" spans="13:14" x14ac:dyDescent="0.15">
      <x:c r="M393">
        <x:v>121265</x:v>
      </x:c>
      <x:c r="N393" t="s">
        <x:v>555</x:v>
      </x:c>
    </x:row>
    <x:row r="394" spans="13:14" x14ac:dyDescent="0.15">
      <x:c r="M394">
        <x:v>121266</x:v>
      </x:c>
      <x:c r="N394" t="s">
        <x:v>556</x:v>
      </x:c>
    </x:row>
    <x:row r="395" spans="13:14" x14ac:dyDescent="0.15">
      <x:c r="M395">
        <x:v>121267</x:v>
      </x:c>
      <x:c r="N395" t="s">
        <x:v>537</x:v>
      </x:c>
    </x:row>
    <x:row r="396" spans="13:14" x14ac:dyDescent="0.15">
      <x:c r="M396">
        <x:v>121268</x:v>
      </x:c>
    </x:row>
    <x:row r="397" spans="13:14" x14ac:dyDescent="0.15">
      <x:c r="M397">
        <x:v>121269</x:v>
      </x:c>
      <x:c r="N397" t="s">
        <x:v>557</x:v>
      </x:c>
    </x:row>
    <x:row r="398" spans="13:14" x14ac:dyDescent="0.15">
      <x:c r="M398">
        <x:v>121270</x:v>
      </x:c>
      <x:c r="N398" t="s">
        <x:v>558</x:v>
      </x:c>
    </x:row>
    <x:row r="399" spans="13:14" x14ac:dyDescent="0.15">
      <x:c r="M399">
        <x:v>121271</x:v>
      </x:c>
      <x:c r="N399" t="s">
        <x:v>559</x:v>
      </x:c>
    </x:row>
    <x:row r="400" spans="13:14" x14ac:dyDescent="0.15">
      <x:c r="M400">
        <x:v>121272</x:v>
      </x:c>
      <x:c r="N400" t="s">
        <x:v>560</x:v>
      </x:c>
    </x:row>
    <x:row r="401" spans="13:14" x14ac:dyDescent="0.15">
      <x:c r="M401">
        <x:v>121273</x:v>
      </x:c>
      <x:c r="N401" t="s">
        <x:v>37</x:v>
      </x:c>
    </x:row>
    <x:row r="402" spans="13:14" x14ac:dyDescent="0.15">
      <x:c r="M402">
        <x:v>121274</x:v>
      </x:c>
      <x:c r="N402" t="s">
        <x:v>31</x:v>
      </x:c>
    </x:row>
    <x:row r="403" spans="13:14" x14ac:dyDescent="0.15">
      <x:c r="M403">
        <x:v>121275</x:v>
      </x:c>
      <x:c r="N403" t="s">
        <x:v>42</x:v>
      </x:c>
    </x:row>
    <x:row r="404" spans="13:14" x14ac:dyDescent="0.15">
      <x:c r="M404">
        <x:v>121276</x:v>
      </x:c>
      <x:c r="N404" t="s">
        <x:v>561</x:v>
      </x:c>
    </x:row>
    <x:row r="405" spans="13:14" x14ac:dyDescent="0.15">
      <x:c r="M405">
        <x:v>121277</x:v>
      </x:c>
      <x:c r="N405" t="s">
        <x:v>562</x:v>
      </x:c>
    </x:row>
    <x:row r="406" spans="13:14" x14ac:dyDescent="0.15">
      <x:c r="M406">
        <x:v>121278</x:v>
      </x:c>
      <x:c r="N406" t="s">
        <x:v>563</x:v>
      </x:c>
    </x:row>
    <x:row r="407" spans="13:14" x14ac:dyDescent="0.15">
      <x:c r="M407">
        <x:v>121279</x:v>
      </x:c>
      <x:c r="N407" t="s">
        <x:v>564</x:v>
      </x:c>
    </x:row>
    <x:row r="408" spans="13:14" x14ac:dyDescent="0.15">
      <x:c r="M408">
        <x:v>121280</x:v>
      </x:c>
      <x:c r="N408" t="s">
        <x:v>565</x:v>
      </x:c>
    </x:row>
    <x:row r="409" spans="13:14" x14ac:dyDescent="0.15">
      <x:c r="M409">
        <x:v>121281</x:v>
      </x:c>
      <x:c r="N409" t="s">
        <x:v>566</x:v>
      </x:c>
    </x:row>
    <x:row r="410" spans="13:14" x14ac:dyDescent="0.15">
      <x:c r="M410">
        <x:v>121282</x:v>
      </x:c>
    </x:row>
    <x:row r="411" spans="13:14" x14ac:dyDescent="0.15">
      <x:c r="M411">
        <x:v>121283</x:v>
      </x:c>
      <x:c r="N411" t="s">
        <x:v>301</x:v>
      </x:c>
    </x:row>
    <x:row r="412" spans="13:14" x14ac:dyDescent="0.15">
      <x:c r="M412">
        <x:v>121284</x:v>
      </x:c>
      <x:c r="N412" t="s">
        <x:v>287</x:v>
      </x:c>
    </x:row>
    <x:row r="413" spans="13:14" x14ac:dyDescent="0.15">
      <x:c r="M413">
        <x:v>121285</x:v>
      </x:c>
      <x:c r="N413" t="s">
        <x:v>290</x:v>
      </x:c>
    </x:row>
    <x:row r="414" spans="13:14" x14ac:dyDescent="0.15">
      <x:c r="M414">
        <x:v>121286</x:v>
      </x:c>
      <x:c r="N414" t="s">
        <x:v>295</x:v>
      </x:c>
    </x:row>
    <x:row r="415" spans="13:14" x14ac:dyDescent="0.15">
      <x:c r="M415">
        <x:v>121287</x:v>
      </x:c>
      <x:c r="N415" t="s">
        <x:v>296</x:v>
      </x:c>
    </x:row>
    <x:row r="416" spans="13:14" x14ac:dyDescent="0.15">
      <x:c r="M416">
        <x:v>121288</x:v>
      </x:c>
      <x:c r="N416" t="s">
        <x:v>294</x:v>
      </x:c>
    </x:row>
    <x:row r="417" spans="13:14" x14ac:dyDescent="0.15">
      <x:c r="M417">
        <x:v>121289</x:v>
      </x:c>
      <x:c r="N417" t="s">
        <x:v>567</x:v>
      </x:c>
    </x:row>
    <x:row r="418" spans="13:14" x14ac:dyDescent="0.15">
      <x:c r="M418">
        <x:v>121290</x:v>
      </x:c>
      <x:c r="N418" t="s">
        <x:v>568</x:v>
      </x:c>
    </x:row>
    <x:row r="419" spans="13:14" x14ac:dyDescent="0.15">
      <x:c r="M419">
        <x:v>121291</x:v>
      </x:c>
      <x:c r="N419" t="s">
        <x:v>569</x:v>
      </x:c>
    </x:row>
    <x:row r="420" spans="13:14" x14ac:dyDescent="0.15">
      <x:c r="M420">
        <x:v>121292</x:v>
      </x:c>
      <x:c r="N420" t="s">
        <x:v>570</x:v>
      </x:c>
    </x:row>
    <x:row r="421" spans="13:14" x14ac:dyDescent="0.15">
      <x:c r="M421">
        <x:v>121293</x:v>
      </x:c>
      <x:c r="N421" t="s">
        <x:v>571</x:v>
      </x:c>
    </x:row>
    <x:row r="422" spans="13:14" x14ac:dyDescent="0.15">
      <x:c r="M422">
        <x:v>121294</x:v>
      </x:c>
      <x:c r="N422" t="s">
        <x:v>572</x:v>
      </x:c>
    </x:row>
    <x:row r="423" spans="13:14" x14ac:dyDescent="0.15">
      <x:c r="M423">
        <x:v>121295</x:v>
      </x:c>
      <x:c r="N423" t="s">
        <x:v>573</x:v>
      </x:c>
    </x:row>
    <x:row r="424" spans="13:14" x14ac:dyDescent="0.15">
      <x:c r="M424">
        <x:v>121296</x:v>
      </x:c>
      <x:c r="N424" t="s">
        <x:v>574</x:v>
      </x:c>
    </x:row>
    <x:row r="425" spans="13:14" x14ac:dyDescent="0.15">
      <x:c r="M425">
        <x:v>121297</x:v>
      </x:c>
      <x:c r="N425" t="s">
        <x:v>575</x:v>
      </x:c>
    </x:row>
    <x:row r="426" spans="13:14" x14ac:dyDescent="0.15">
      <x:c r="M426">
        <x:v>121298</x:v>
      </x:c>
      <x:c r="N426" t="s">
        <x:v>576</x:v>
      </x:c>
    </x:row>
    <x:row r="427" spans="13:14" x14ac:dyDescent="0.15">
      <x:c r="M427">
        <x:v>121299</x:v>
      </x:c>
      <x:c r="N427" t="s">
        <x:v>577</x:v>
      </x:c>
    </x:row>
    <x:row r="428" spans="13:14" x14ac:dyDescent="0.15">
      <x:c r="M428">
        <x:v>121300</x:v>
      </x:c>
      <x:c r="N428" t="s">
        <x:v>578</x:v>
      </x:c>
    </x:row>
    <x:row r="429" spans="13:14" x14ac:dyDescent="0.15">
      <x:c r="M429">
        <x:v>121301</x:v>
      </x:c>
      <x:c r="N429" t="s">
        <x:v>579</x:v>
      </x:c>
    </x:row>
    <x:row r="430" spans="13:14" x14ac:dyDescent="0.15">
      <x:c r="M430">
        <x:v>121302</x:v>
      </x:c>
      <x:c r="N430" t="s">
        <x:v>580</x:v>
      </x:c>
    </x:row>
    <x:row r="431" spans="13:14" x14ac:dyDescent="0.15">
      <x:c r="M431">
        <x:v>121303</x:v>
      </x:c>
      <x:c r="N431" t="s">
        <x:v>581</x:v>
      </x:c>
    </x:row>
    <x:row r="432" spans="13:14" x14ac:dyDescent="0.15">
      <x:c r="M432">
        <x:v>121304</x:v>
      </x:c>
      <x:c r="N432" t="s">
        <x:v>582</x:v>
      </x:c>
    </x:row>
    <x:row r="433" spans="13:14" x14ac:dyDescent="0.15">
      <x:c r="M433">
        <x:v>121305</x:v>
      </x:c>
      <x:c r="N433" t="s">
        <x:v>583</x:v>
      </x:c>
    </x:row>
    <x:row r="434" spans="13:14" x14ac:dyDescent="0.15">
      <x:c r="M434">
        <x:v>121306</x:v>
      </x:c>
      <x:c r="N434" t="s">
        <x:v>584</x:v>
      </x:c>
    </x:row>
    <x:row r="435" spans="13:14" x14ac:dyDescent="0.15">
      <x:c r="M435">
        <x:v>121307</x:v>
      </x:c>
      <x:c r="N435" t="s">
        <x:v>585</x:v>
      </x:c>
    </x:row>
    <x:row r="436" spans="13:14" x14ac:dyDescent="0.15">
      <x:c r="M436">
        <x:v>121308</x:v>
      </x:c>
      <x:c r="N436" t="s">
        <x:v>586</x:v>
      </x:c>
    </x:row>
    <x:row r="437" spans="13:14" x14ac:dyDescent="0.15">
      <x:c r="M437">
        <x:v>121309</x:v>
      </x:c>
      <x:c r="N437" t="s">
        <x:v>281</x:v>
      </x:c>
    </x:row>
    <x:row r="438" spans="13:14" x14ac:dyDescent="0.15">
      <x:c r="M438">
        <x:v>121310</x:v>
      </x:c>
      <x:c r="N438" t="s">
        <x:v>295</x:v>
      </x:c>
    </x:row>
    <x:row r="439" spans="13:14" x14ac:dyDescent="0.15">
      <x:c r="M439">
        <x:v>121311</x:v>
      </x:c>
      <x:c r="N439" t="s">
        <x:v>295</x:v>
      </x:c>
    </x:row>
    <x:row r="440" spans="13:14" x14ac:dyDescent="0.15">
      <x:c r="M440">
        <x:v>121312</x:v>
      </x:c>
    </x:row>
    <x:row r="441" spans="13:14" x14ac:dyDescent="0.15">
      <x:c r="M441">
        <x:v>121313</x:v>
      </x:c>
    </x:row>
    <x:row r="442" spans="13:14" x14ac:dyDescent="0.15">
      <x:c r="M442">
        <x:v>121314</x:v>
      </x:c>
      <x:c r="N442" t="s">
        <x:v>587</x:v>
      </x:c>
    </x:row>
    <x:row r="443" spans="13:14" x14ac:dyDescent="0.15">
      <x:c r="M443">
        <x:v>121315</x:v>
      </x:c>
      <x:c r="N443" t="s">
        <x:v>588</x:v>
      </x:c>
    </x:row>
    <x:row r="444" spans="13:14" x14ac:dyDescent="0.15">
      <x:c r="M444">
        <x:v>121316</x:v>
      </x:c>
      <x:c r="N444" t="s">
        <x:v>287</x:v>
      </x:c>
    </x:row>
    <x:row r="445" spans="13:14" x14ac:dyDescent="0.15">
      <x:c r="M445">
        <x:v>121317</x:v>
      </x:c>
      <x:c r="N445" t="s">
        <x:v>294</x:v>
      </x:c>
    </x:row>
    <x:row r="446" spans="13:14" x14ac:dyDescent="0.15">
      <x:c r="M446">
        <x:v>121318</x:v>
      </x:c>
      <x:c r="N446" t="s">
        <x:v>589</x:v>
      </x:c>
    </x:row>
    <x:row r="447" spans="13:14" x14ac:dyDescent="0.15">
      <x:c r="M447">
        <x:v>121319</x:v>
      </x:c>
      <x:c r="N447" t="s">
        <x:v>590</x:v>
      </x:c>
    </x:row>
    <x:row r="448" spans="13:14" x14ac:dyDescent="0.15">
      <x:c r="M448">
        <x:v>121320</x:v>
      </x:c>
      <x:c r="N448" t="s">
        <x:v>591</x:v>
      </x:c>
    </x:row>
    <x:row r="449" spans="13:14" x14ac:dyDescent="0.15">
      <x:c r="M449">
        <x:v>121321</x:v>
      </x:c>
      <x:c r="N449" t="s">
        <x:v>592</x:v>
      </x:c>
    </x:row>
    <x:row r="450" spans="13:14" x14ac:dyDescent="0.15">
      <x:c r="M450">
        <x:v>121322</x:v>
      </x:c>
      <x:c r="N450" t="s">
        <x:v>585</x:v>
      </x:c>
    </x:row>
    <x:row r="451" spans="13:14" x14ac:dyDescent="0.15">
      <x:c r="M451">
        <x:v>121323</x:v>
      </x:c>
      <x:c r="N451" t="s">
        <x:v>593</x:v>
      </x:c>
    </x:row>
    <x:row r="452" spans="13:14" x14ac:dyDescent="0.15">
      <x:c r="M452">
        <x:v>121324</x:v>
      </x:c>
      <x:c r="N452" t="s">
        <x:v>594</x:v>
      </x:c>
    </x:row>
    <x:row r="453" spans="13:14" x14ac:dyDescent="0.15">
      <x:c r="M453">
        <x:v>121325</x:v>
      </x:c>
      <x:c r="N453" t="s">
        <x:v>595</x:v>
      </x:c>
    </x:row>
    <x:row r="454" spans="13:14" x14ac:dyDescent="0.15">
      <x:c r="M454">
        <x:v>121326</x:v>
      </x:c>
      <x:c r="N454" t="s">
        <x:v>290</x:v>
      </x:c>
    </x:row>
    <x:row r="455" spans="13:14" x14ac:dyDescent="0.15">
      <x:c r="M455">
        <x:v>121327</x:v>
      </x:c>
      <x:c r="N455" t="s">
        <x:v>296</x:v>
      </x:c>
    </x:row>
    <x:row r="456" spans="13:14" x14ac:dyDescent="0.15">
      <x:c r="M456">
        <x:v>121328</x:v>
      </x:c>
      <x:c r="N456" t="s">
        <x:v>227</x:v>
      </x:c>
    </x:row>
    <x:row r="457" spans="13:14" x14ac:dyDescent="0.15">
      <x:c r="M457">
        <x:v>1111001</x:v>
      </x:c>
      <x:c r="N457" t="s">
        <x:v>212</x:v>
      </x:c>
    </x:row>
    <x:row r="458" spans="13:14" x14ac:dyDescent="0.15">
      <x:c r="M458">
        <x:v>1111002</x:v>
      </x:c>
      <x:c r="N458" t="s">
        <x:v>213</x:v>
      </x:c>
    </x:row>
    <x:row r="459" spans="13:14" x14ac:dyDescent="0.15">
      <x:c r="M459">
        <x:v>1111003</x:v>
      </x:c>
      <x:c r="N459" t="s">
        <x:v>214</x:v>
      </x:c>
    </x:row>
    <x:row r="460" spans="13:14" x14ac:dyDescent="0.15">
      <x:c r="M460">
        <x:v>1111004</x:v>
      </x:c>
      <x:c r="N460" t="s">
        <x:v>215</x:v>
      </x:c>
    </x:row>
    <x:row r="461" spans="13:14" x14ac:dyDescent="0.15">
      <x:c r="M461">
        <x:v>1111005</x:v>
      </x:c>
      <x:c r="N461" t="s">
        <x:v>216</x:v>
      </x:c>
    </x:row>
    <x:row r="462" spans="13:14" x14ac:dyDescent="0.15">
      <x:c r="M462">
        <x:v>1111006</x:v>
      </x:c>
      <x:c r="N462" t="s">
        <x:v>217</x:v>
      </x:c>
    </x:row>
    <x:row r="463" spans="13:14" x14ac:dyDescent="0.15">
      <x:c r="M463">
        <x:v>1111007</x:v>
      </x:c>
      <x:c r="N463" t="s">
        <x:v>218</x:v>
      </x:c>
    </x:row>
    <x:row r="464" spans="13:14" x14ac:dyDescent="0.15">
      <x:c r="M464">
        <x:v>1111008</x:v>
      </x:c>
      <x:c r="N464" t="s">
        <x:v>219</x:v>
      </x:c>
    </x:row>
    <x:row r="465" spans="13:14" x14ac:dyDescent="0.15">
      <x:c r="M465">
        <x:v>1111009</x:v>
      </x:c>
      <x:c r="N465" t="s">
        <x:v>220</x:v>
      </x:c>
    </x:row>
    <x:row r="466" spans="13:14" x14ac:dyDescent="0.15">
      <x:c r="M466">
        <x:v>1111010</x:v>
      </x:c>
      <x:c r="N466" t="s">
        <x:v>221</x:v>
      </x:c>
    </x:row>
    <x:row r="467" spans="13:14" x14ac:dyDescent="0.15">
      <x:c r="M467">
        <x:v>1111011</x:v>
      </x:c>
      <x:c r="N467" t="s">
        <x:v>107</x:v>
      </x:c>
    </x:row>
    <x:row r="468" spans="13:14" x14ac:dyDescent="0.15">
      <x:c r="M468">
        <x:v>1111012</x:v>
      </x:c>
      <x:c r="N468" t="s">
        <x:v>121</x:v>
      </x:c>
    </x:row>
    <x:row r="469" spans="13:14" x14ac:dyDescent="0.15">
      <x:c r="M469">
        <x:v>1111013</x:v>
      </x:c>
      <x:c r="N469" t="s">
        <x:v>222</x:v>
      </x:c>
    </x:row>
    <x:row r="470" spans="13:14" x14ac:dyDescent="0.15">
      <x:c r="M470">
        <x:v>1111014</x:v>
      </x:c>
      <x:c r="N470" t="s">
        <x:v>223</x:v>
      </x:c>
    </x:row>
    <x:row r="471" spans="13:14" x14ac:dyDescent="0.15">
      <x:c r="M471">
        <x:v>1111015</x:v>
      </x:c>
      <x:c r="N471" t="s">
        <x:v>124</x:v>
      </x:c>
    </x:row>
    <x:row r="472" spans="13:14" x14ac:dyDescent="0.15">
      <x:c r="M472">
        <x:v>1111016</x:v>
      </x:c>
      <x:c r="N472" t="s">
        <x:v>224</x:v>
      </x:c>
    </x:row>
    <x:row r="473" spans="13:14" x14ac:dyDescent="0.15">
      <x:c r="M473">
        <x:v>1111018</x:v>
      </x:c>
      <x:c r="N473" t="s">
        <x:v>226</x:v>
      </x:c>
    </x:row>
    <x:row r="474" spans="13:14" x14ac:dyDescent="0.15">
      <x:c r="M474">
        <x:v>1112001</x:v>
      </x:c>
      <x:c r="N474" t="s">
        <x:v>227</x:v>
      </x:c>
    </x:row>
    <x:row r="475" spans="13:14" x14ac:dyDescent="0.15">
      <x:c r="M475">
        <x:v>1112002</x:v>
      </x:c>
      <x:c r="N475" t="s">
        <x:v>228</x:v>
      </x:c>
    </x:row>
    <x:row r="476" spans="13:14" x14ac:dyDescent="0.15">
      <x:c r="M476">
        <x:v>1112003</x:v>
      </x:c>
      <x:c r="N476" t="s">
        <x:v>229</x:v>
      </x:c>
    </x:row>
    <x:row r="477" spans="13:14" x14ac:dyDescent="0.15">
      <x:c r="M477">
        <x:v>1112004</x:v>
      </x:c>
      <x:c r="N477" t="s">
        <x:v>230</x:v>
      </x:c>
    </x:row>
    <x:row r="478" spans="13:14" x14ac:dyDescent="0.15">
      <x:c r="M478">
        <x:v>1112005</x:v>
      </x:c>
      <x:c r="N478" t="s">
        <x:v>231</x:v>
      </x:c>
    </x:row>
    <x:row r="479" spans="13:14" x14ac:dyDescent="0.15">
      <x:c r="M479">
        <x:v>1112006</x:v>
      </x:c>
      <x:c r="N479" t="s">
        <x:v>232</x:v>
      </x:c>
    </x:row>
    <x:row r="480" spans="13:14" x14ac:dyDescent="0.15">
      <x:c r="M480">
        <x:v>1112007</x:v>
      </x:c>
      <x:c r="N480" t="s">
        <x:v>233</x:v>
      </x:c>
    </x:row>
    <x:row r="481" spans="13:14" x14ac:dyDescent="0.15">
      <x:c r="M481">
        <x:v>1112008</x:v>
      </x:c>
      <x:c r="N481" t="s">
        <x:v>234</x:v>
      </x:c>
    </x:row>
    <x:row r="482" spans="13:14" x14ac:dyDescent="0.15">
      <x:c r="M482">
        <x:v>1112009</x:v>
      </x:c>
      <x:c r="N482" t="s">
        <x:v>235</x:v>
      </x:c>
    </x:row>
    <x:row r="483" spans="13:14" x14ac:dyDescent="0.15">
      <x:c r="M483">
        <x:v>1112010</x:v>
      </x:c>
      <x:c r="N483" t="s">
        <x:v>236</x:v>
      </x:c>
    </x:row>
    <x:row r="484" spans="13:14" x14ac:dyDescent="0.15">
      <x:c r="M484">
        <x:v>1112011</x:v>
      </x:c>
      <x:c r="N484" t="s">
        <x:v>237</x:v>
      </x:c>
    </x:row>
    <x:row r="485" spans="13:14" x14ac:dyDescent="0.15">
      <x:c r="M485">
        <x:v>1112012</x:v>
      </x:c>
      <x:c r="N485" t="s">
        <x:v>238</x:v>
      </x:c>
    </x:row>
    <x:row r="486" spans="13:14" x14ac:dyDescent="0.15">
      <x:c r="M486">
        <x:v>1112013</x:v>
      </x:c>
      <x:c r="N486" t="s">
        <x:v>139</x:v>
      </x:c>
    </x:row>
    <x:row r="487" spans="13:14" x14ac:dyDescent="0.15">
      <x:c r="M487">
        <x:v>1112014</x:v>
      </x:c>
      <x:c r="N487" t="s">
        <x:v>133</x:v>
      </x:c>
    </x:row>
    <x:row r="488" spans="13:14" x14ac:dyDescent="0.15">
      <x:c r="M488">
        <x:v>1112015</x:v>
      </x:c>
      <x:c r="N488" t="s">
        <x:v>127</x:v>
      </x:c>
    </x:row>
    <x:row r="489" spans="13:14" x14ac:dyDescent="0.15">
      <x:c r="M489">
        <x:v>1112016</x:v>
      </x:c>
      <x:c r="N489" t="s">
        <x:v>136</x:v>
      </x:c>
    </x:row>
    <x:row r="490" spans="13:14" x14ac:dyDescent="0.15">
      <x:c r="M490">
        <x:v>1112017</x:v>
      </x:c>
      <x:c r="N490" t="s">
        <x:v>239</x:v>
      </x:c>
    </x:row>
    <x:row r="491" spans="13:14" x14ac:dyDescent="0.15">
      <x:c r="M491">
        <x:v>1112018</x:v>
      </x:c>
      <x:c r="N491" t="s">
        <x:v>240</x:v>
      </x:c>
    </x:row>
    <x:row r="492" spans="13:14" x14ac:dyDescent="0.15">
      <x:c r="M492">
        <x:v>1112019</x:v>
      </x:c>
      <x:c r="N492" t="s">
        <x:v>241</x:v>
      </x:c>
    </x:row>
    <x:row r="493" spans="13:14" x14ac:dyDescent="0.15">
      <x:c r="M493">
        <x:v>1112020</x:v>
      </x:c>
      <x:c r="N493" t="s">
        <x:v>242</x:v>
      </x:c>
    </x:row>
    <x:row r="494" spans="13:14" x14ac:dyDescent="0.15">
      <x:c r="M494">
        <x:v>1112021</x:v>
      </x:c>
      <x:c r="N494" t="s">
        <x:v>243</x:v>
      </x:c>
    </x:row>
    <x:row r="495" spans="13:14" x14ac:dyDescent="0.15">
      <x:c r="M495">
        <x:v>1112022</x:v>
      </x:c>
      <x:c r="N495" t="s">
        <x:v>244</x:v>
      </x:c>
    </x:row>
    <x:row r="496" spans="13:14" x14ac:dyDescent="0.15">
      <x:c r="M496">
        <x:v>1112023</x:v>
      </x:c>
      <x:c r="N496" t="s">
        <x:v>245</x:v>
      </x:c>
    </x:row>
    <x:row r="497" spans="13:14" x14ac:dyDescent="0.15">
      <x:c r="M497">
        <x:v>1112024</x:v>
      </x:c>
      <x:c r="N497" t="s">
        <x:v>246</x:v>
      </x:c>
    </x:row>
    <x:row r="498" spans="13:14" x14ac:dyDescent="0.15">
      <x:c r="M498">
        <x:v>1112025</x:v>
      </x:c>
      <x:c r="N498" t="s">
        <x:v>247</x:v>
      </x:c>
    </x:row>
    <x:row r="499" spans="13:14" x14ac:dyDescent="0.15">
      <x:c r="M499">
        <x:v>1112026</x:v>
      </x:c>
      <x:c r="N499" t="s">
        <x:v>248</x:v>
      </x:c>
    </x:row>
    <x:row r="500" spans="13:14" x14ac:dyDescent="0.15">
      <x:c r="M500">
        <x:v>1112027</x:v>
      </x:c>
      <x:c r="N500" t="s">
        <x:v>249</x:v>
      </x:c>
    </x:row>
    <x:row r="501" spans="13:14" x14ac:dyDescent="0.15">
      <x:c r="M501">
        <x:v>1112028</x:v>
      </x:c>
      <x:c r="N501" t="s">
        <x:v>250</x:v>
      </x:c>
    </x:row>
    <x:row r="502" spans="13:14" x14ac:dyDescent="0.15">
      <x:c r="M502">
        <x:v>1112029</x:v>
      </x:c>
      <x:c r="N502" t="s">
        <x:v>251</x:v>
      </x:c>
    </x:row>
    <x:row r="503" spans="13:14" x14ac:dyDescent="0.15">
      <x:c r="M503">
        <x:v>1113001</x:v>
      </x:c>
      <x:c r="N503" t="s">
        <x:v>143</x:v>
      </x:c>
    </x:row>
    <x:row r="504" spans="13:14" x14ac:dyDescent="0.15">
      <x:c r="M504">
        <x:v>1113002</x:v>
      </x:c>
      <x:c r="N504" t="s">
        <x:v>252</x:v>
      </x:c>
    </x:row>
    <x:row r="505" spans="13:14" x14ac:dyDescent="0.15">
      <x:c r="M505">
        <x:v>1113003</x:v>
      </x:c>
      <x:c r="N505" t="s">
        <x:v>253</x:v>
      </x:c>
    </x:row>
    <x:row r="506" spans="13:14" x14ac:dyDescent="0.15">
      <x:c r="M506">
        <x:v>1113004</x:v>
      </x:c>
      <x:c r="N506" t="s">
        <x:v>254</x:v>
      </x:c>
    </x:row>
    <x:row r="507" spans="13:14" x14ac:dyDescent="0.15">
      <x:c r="M507">
        <x:v>1113005</x:v>
      </x:c>
      <x:c r="N507" t="s">
        <x:v>255</x:v>
      </x:c>
    </x:row>
    <x:row r="508" spans="13:14" x14ac:dyDescent="0.15">
      <x:c r="M508">
        <x:v>1113006</x:v>
      </x:c>
      <x:c r="N508" t="s">
        <x:v>256</x:v>
      </x:c>
    </x:row>
    <x:row r="509" spans="13:14" x14ac:dyDescent="0.15">
      <x:c r="M509">
        <x:v>1113007</x:v>
      </x:c>
      <x:c r="N509" t="s">
        <x:v>257</x:v>
      </x:c>
    </x:row>
    <x:row r="510" spans="13:14" x14ac:dyDescent="0.15">
      <x:c r="M510">
        <x:v>1113008</x:v>
      </x:c>
      <x:c r="N510" t="s">
        <x:v>258</x:v>
      </x:c>
    </x:row>
    <x:row r="511" spans="13:14" x14ac:dyDescent="0.15">
      <x:c r="M511">
        <x:v>1113009</x:v>
      </x:c>
      <x:c r="N511" t="s">
        <x:v>259</x:v>
      </x:c>
    </x:row>
    <x:row r="512" spans="13:14" x14ac:dyDescent="0.15">
      <x:c r="M512">
        <x:v>1113010</x:v>
      </x:c>
      <x:c r="N512" t="s">
        <x:v>260</x:v>
      </x:c>
    </x:row>
    <x:row r="513" spans="13:14" x14ac:dyDescent="0.15">
      <x:c r="M513">
        <x:v>1113011</x:v>
      </x:c>
      <x:c r="N513" t="s">
        <x:v>261</x:v>
      </x:c>
    </x:row>
    <x:row r="514" spans="13:14" x14ac:dyDescent="0.15">
      <x:c r="M514">
        <x:v>11113011</x:v>
      </x:c>
      <x:c r="N514" t="s">
        <x:v>127</x:v>
      </x:c>
    </x:row>
    <x:row r="515" spans="13:14" x14ac:dyDescent="0.15">
      <x:c r="M515">
        <x:v>1114001</x:v>
      </x:c>
      <x:c r="N515" t="s">
        <x:v>596</x:v>
      </x:c>
    </x:row>
    <x:row r="516" spans="13:14" x14ac:dyDescent="0.15">
      <x:c r="M516">
        <x:v>11113005</x:v>
      </x:c>
      <x:c r="N516" t="s">
        <x:v>255</x:v>
      </x:c>
    </x:row>
    <x:row r="517" spans="13:14" x14ac:dyDescent="0.15">
      <x:c r="M517">
        <x:v>1113012</x:v>
      </x:c>
      <x:c r="N517" t="s">
        <x:v>262</x:v>
      </x:c>
    </x:row>
    <x:row r="518" spans="13:14" x14ac:dyDescent="0.15">
      <x:c r="M518">
        <x:v>1113013</x:v>
      </x:c>
      <x:c r="N518" t="s">
        <x:v>263</x:v>
      </x:c>
    </x:row>
    <x:row r="519" spans="13:14" x14ac:dyDescent="0.15">
      <x:c r="M519">
        <x:v>1113014</x:v>
      </x:c>
      <x:c r="N519" t="s">
        <x:v>264</x:v>
      </x:c>
    </x:row>
    <x:row r="520" spans="13:14" x14ac:dyDescent="0.15">
      <x:c r="M520">
        <x:v>1113015</x:v>
      </x:c>
      <x:c r="N520" t="s">
        <x:v>265</x:v>
      </x:c>
    </x:row>
    <x:row r="521" spans="13:14" x14ac:dyDescent="0.15">
      <x:c r="M521">
        <x:v>1113016</x:v>
      </x:c>
      <x:c r="N521" t="s">
        <x:v>266</x:v>
      </x:c>
    </x:row>
    <x:row r="522" spans="13:14" x14ac:dyDescent="0.15">
      <x:c r="M522">
        <x:v>1113017</x:v>
      </x:c>
      <x:c r="N522" t="s">
        <x:v>267</x:v>
      </x:c>
    </x:row>
    <x:row r="523" spans="13:14" x14ac:dyDescent="0.15">
      <x:c r="M523">
        <x:v>11113017</x:v>
      </x:c>
      <x:c r="N523" t="s">
        <x:v>267</x:v>
      </x:c>
    </x:row>
    <x:row r="524" spans="13:14" x14ac:dyDescent="0.15">
      <x:c r="M524">
        <x:v>1113018</x:v>
      </x:c>
      <x:c r="N524" t="s">
        <x:v>268</x:v>
      </x:c>
    </x:row>
    <x:row r="525" spans="13:14" x14ac:dyDescent="0.15">
      <x:c r="M525">
        <x:v>1113019</x:v>
      </x:c>
      <x:c r="N525" t="s">
        <x:v>269</x:v>
      </x:c>
    </x:row>
    <x:row r="526" spans="13:14" x14ac:dyDescent="0.15">
      <x:c r="M526">
        <x:v>1113020</x:v>
      </x:c>
      <x:c r="N526" t="s">
        <x:v>270</x:v>
      </x:c>
    </x:row>
    <x:row r="527" spans="13:14" x14ac:dyDescent="0.15">
      <x:c r="M527">
        <x:v>1113021</x:v>
      </x:c>
      <x:c r="N527" t="s">
        <x:v>271</x:v>
      </x:c>
    </x:row>
    <x:row r="528" spans="13:14" x14ac:dyDescent="0.15">
      <x:c r="M528">
        <x:v>1113022</x:v>
      </x:c>
      <x:c r="N528" t="s">
        <x:v>272</x:v>
      </x:c>
    </x:row>
    <x:row r="529" spans="13:14" x14ac:dyDescent="0.15">
      <x:c r="M529">
        <x:v>1113023</x:v>
      </x:c>
      <x:c r="N529" t="s">
        <x:v>273</x:v>
      </x:c>
    </x:row>
    <x:row r="530" spans="13:14" x14ac:dyDescent="0.15">
      <x:c r="M530">
        <x:v>1113024</x:v>
      </x:c>
      <x:c r="N530" t="s">
        <x:v>274</x:v>
      </x:c>
    </x:row>
    <x:row r="531" spans="13:14" x14ac:dyDescent="0.15">
      <x:c r="M531">
        <x:v>1113025</x:v>
      </x:c>
      <x:c r="N531" t="s">
        <x:v>275</x:v>
      </x:c>
    </x:row>
    <x:row r="532" spans="13:14" x14ac:dyDescent="0.15">
      <x:c r="M532">
        <x:v>1113026</x:v>
      </x:c>
      <x:c r="N532" t="s">
        <x:v>276</x:v>
      </x:c>
    </x:row>
    <x:row r="533" spans="13:14" x14ac:dyDescent="0.15">
      <x:c r="M533">
        <x:v>1113027</x:v>
      </x:c>
      <x:c r="N533" t="s">
        <x:v>277</x:v>
      </x:c>
    </x:row>
    <x:row r="534" spans="13:14" x14ac:dyDescent="0.15">
      <x:c r="M534">
        <x:v>1113028</x:v>
      </x:c>
      <x:c r="N534" t="s">
        <x:v>278</x:v>
      </x:c>
    </x:row>
    <x:row r="535" spans="13:14" x14ac:dyDescent="0.15">
      <x:c r="M535">
        <x:v>1113029</x:v>
      </x:c>
      <x:c r="N535" t="s">
        <x:v>279</x:v>
      </x:c>
    </x:row>
    <x:row r="536" spans="13:14" x14ac:dyDescent="0.15">
      <x:c r="M536">
        <x:v>1113030</x:v>
      </x:c>
      <x:c r="N536" t="s">
        <x:v>280</x:v>
      </x:c>
    </x:row>
    <x:row r="537" spans="13:14" x14ac:dyDescent="0.15">
      <x:c r="M537">
        <x:v>1113031</x:v>
      </x:c>
      <x:c r="N537" t="s">
        <x:v>281</x:v>
      </x:c>
    </x:row>
    <x:row r="538" spans="13:14" x14ac:dyDescent="0.15">
      <x:c r="M538">
        <x:v>1113032</x:v>
      </x:c>
      <x:c r="N538" t="s">
        <x:v>282</x:v>
      </x:c>
    </x:row>
    <x:row r="539" spans="13:14" x14ac:dyDescent="0.15">
      <x:c r="M539">
        <x:v>1113033</x:v>
      </x:c>
      <x:c r="N539" t="s">
        <x:v>283</x:v>
      </x:c>
    </x:row>
    <x:row r="540" spans="13:14" x14ac:dyDescent="0.15">
      <x:c r="M540">
        <x:v>1113039</x:v>
      </x:c>
      <x:c r="N540" t="s">
        <x:v>289</x:v>
      </x:c>
    </x:row>
    <x:row r="541" spans="13:14" x14ac:dyDescent="0.15">
      <x:c r="M541">
        <x:v>1113041</x:v>
      </x:c>
      <x:c r="N541" t="s">
        <x:v>291</x:v>
      </x:c>
    </x:row>
    <x:row r="542" spans="13:14" x14ac:dyDescent="0.15">
      <x:c r="M542">
        <x:v>1113037</x:v>
      </x:c>
      <x:c r="N542" t="s">
        <x:v>287</x:v>
      </x:c>
    </x:row>
    <x:row r="543" spans="13:14" x14ac:dyDescent="0.15">
      <x:c r="M543">
        <x:v>1113043</x:v>
      </x:c>
      <x:c r="N543" t="s">
        <x:v>293</x:v>
      </x:c>
    </x:row>
    <x:row r="544" spans="13:14" x14ac:dyDescent="0.15">
      <x:c r="M544">
        <x:v>1113035</x:v>
      </x:c>
      <x:c r="N544" t="s">
        <x:v>285</x:v>
      </x:c>
    </x:row>
    <x:row r="545" spans="13:14" x14ac:dyDescent="0.15">
      <x:c r="M545">
        <x:v>1113036</x:v>
      </x:c>
      <x:c r="N545" t="s">
        <x:v>286</x:v>
      </x:c>
    </x:row>
    <x:row r="546" spans="13:14" x14ac:dyDescent="0.15">
      <x:c r="M546">
        <x:v>1113038</x:v>
      </x:c>
      <x:c r="N546" t="s">
        <x:v>288</x:v>
      </x:c>
    </x:row>
    <x:row r="547" spans="13:14" x14ac:dyDescent="0.15">
      <x:c r="M547">
        <x:v>1113044</x:v>
      </x:c>
      <x:c r="N547" t="s">
        <x:v>294</x:v>
      </x:c>
    </x:row>
    <x:row r="548" spans="13:14" x14ac:dyDescent="0.15">
      <x:c r="M548">
        <x:v>1113045</x:v>
      </x:c>
      <x:c r="N548" t="s">
        <x:v>295</x:v>
      </x:c>
    </x:row>
    <x:row r="549" spans="13:14" x14ac:dyDescent="0.15">
      <x:c r="M549">
        <x:v>1113046</x:v>
      </x:c>
      <x:c r="N549" t="s">
        <x:v>296</x:v>
      </x:c>
    </x:row>
    <x:row r="550" spans="13:14" x14ac:dyDescent="0.15">
      <x:c r="M550">
        <x:v>1113040</x:v>
      </x:c>
      <x:c r="N550" t="s">
        <x:v>290</x:v>
      </x:c>
    </x:row>
    <x:row r="551" spans="13:14" x14ac:dyDescent="0.15">
      <x:c r="M551">
        <x:v>11113045</x:v>
      </x:c>
      <x:c r="N551" t="s">
        <x:v>597</x:v>
      </x:c>
    </x:row>
    <x:row r="552" spans="13:14" x14ac:dyDescent="0.15">
      <x:c r="M552">
        <x:v>1113054</x:v>
      </x:c>
      <x:c r="N552" t="s">
        <x:v>298</x:v>
      </x:c>
    </x:row>
    <x:row r="553" spans="13:14" x14ac:dyDescent="0.15">
      <x:c r="M553">
        <x:v>9981201</x:v>
      </x:c>
      <x:c r="N553" t="s">
        <x:v>139</x:v>
      </x:c>
    </x:row>
    <x:row r="554" spans="13:14" x14ac:dyDescent="0.15">
      <x:c r="M554">
        <x:v>3000001</x:v>
      </x:c>
      <x:c r="N554" t="s">
        <x:v>291</x:v>
      </x:c>
    </x:row>
    <x:row r="555" spans="13:14" x14ac:dyDescent="0.15">
      <x:c r="M555">
        <x:v>3000002</x:v>
      </x:c>
      <x:c r="N555" t="s">
        <x:v>525</x:v>
      </x:c>
    </x:row>
    <x:row r="556" spans="13:14" x14ac:dyDescent="0.15">
      <x:c r="M556">
        <x:v>3000003</x:v>
      </x:c>
      <x:c r="N556" t="s">
        <x:v>515</x:v>
      </x:c>
    </x:row>
    <x:row r="557" spans="13:14" x14ac:dyDescent="0.15">
      <x:c r="M557">
        <x:v>3000004</x:v>
      </x:c>
      <x:c r="N557" t="s">
        <x:v>516</x:v>
      </x:c>
    </x:row>
    <x:row r="558" spans="13:14" x14ac:dyDescent="0.15">
      <x:c r="M558">
        <x:v>3000005</x:v>
      </x:c>
      <x:c r="N558" t="s">
        <x:v>421</x:v>
      </x:c>
    </x:row>
    <x:row r="559" spans="13:14" x14ac:dyDescent="0.15">
      <x:c r="M559">
        <x:v>4000001</x:v>
      </x:c>
      <x:c r="N559" t="s">
        <x:v>598</x:v>
      </x:c>
    </x:row>
    <x:row r="560" spans="13:14" x14ac:dyDescent="0.15">
      <x:c r="M560">
        <x:v>4000002</x:v>
      </x:c>
      <x:c r="N560" t="s">
        <x:v>599</x:v>
      </x:c>
    </x:row>
    <x:row r="561" spans="13:14" x14ac:dyDescent="0.15">
      <x:c r="M561">
        <x:v>4000003</x:v>
      </x:c>
      <x:c r="N561" t="s">
        <x:v>600</x:v>
      </x:c>
    </x:row>
    <x:row r="562" spans="13:14" x14ac:dyDescent="0.15">
      <x:c r="M562">
        <x:v>4000004</x:v>
      </x:c>
      <x:c r="N562" t="s">
        <x:v>601</x:v>
      </x:c>
    </x:row>
    <x:row r="563" spans="13:14" x14ac:dyDescent="0.15">
      <x:c r="M563">
        <x:v>4000005</x:v>
      </x:c>
      <x:c r="N563" t="s">
        <x:v>602</x:v>
      </x:c>
    </x:row>
    <x:row r="564" spans="13:14" x14ac:dyDescent="0.15">
      <x:c r="M564">
        <x:v>4000006</x:v>
      </x:c>
      <x:c r="N564" t="s">
        <x:v>603</x:v>
      </x:c>
    </x:row>
    <x:row r="565" spans="13:14" x14ac:dyDescent="0.15">
      <x:c r="M565">
        <x:v>4000007</x:v>
      </x:c>
      <x:c r="N565" t="s">
        <x:v>604</x:v>
      </x:c>
    </x:row>
    <x:row r="566" spans="13:14" x14ac:dyDescent="0.15">
      <x:c r="M566">
        <x:v>4000008</x:v>
      </x:c>
      <x:c r="N566" t="s">
        <x:v>605</x:v>
      </x:c>
    </x:row>
    <x:row r="567" spans="13:14" x14ac:dyDescent="0.15">
      <x:c r="M567">
        <x:v>4000009</x:v>
      </x:c>
      <x:c r="N567" t="s">
        <x:v>606</x:v>
      </x:c>
    </x:row>
    <x:row r="568" spans="13:14" x14ac:dyDescent="0.15">
      <x:c r="M568">
        <x:v>4000010</x:v>
      </x:c>
      <x:c r="N568" t="s">
        <x:v>607</x:v>
      </x:c>
    </x:row>
    <x:row r="569" spans="13:14" x14ac:dyDescent="0.15">
      <x:c r="M569">
        <x:v>4000011</x:v>
      </x:c>
    </x:row>
    <x:row r="570" spans="13:14" x14ac:dyDescent="0.15">
      <x:c r="M570">
        <x:v>4000012</x:v>
      </x:c>
      <x:c r="N570" t="s">
        <x:v>608</x:v>
      </x:c>
    </x:row>
    <x:row r="571" spans="13:14" x14ac:dyDescent="0.15">
      <x:c r="M571">
        <x:v>4000013</x:v>
      </x:c>
      <x:c r="N571" t="s">
        <x:v>609</x:v>
      </x:c>
    </x:row>
    <x:row r="572" spans="13:14" x14ac:dyDescent="0.15">
      <x:c r="M572">
        <x:v>4000014</x:v>
      </x:c>
    </x:row>
    <x:row r="573" spans="13:14" x14ac:dyDescent="0.15">
      <x:c r="M573">
        <x:v>4000015</x:v>
      </x:c>
    </x:row>
    <x:row r="574" spans="13:14" x14ac:dyDescent="0.15">
      <x:c r="M574">
        <x:v>4000016</x:v>
      </x:c>
    </x:row>
    <x:row r="575" spans="13:14" x14ac:dyDescent="0.15">
      <x:c r="M575">
        <x:v>4000017</x:v>
      </x:c>
    </x:row>
    <x:row r="576" spans="13:14" x14ac:dyDescent="0.15">
      <x:c r="M576">
        <x:v>4000018</x:v>
      </x:c>
    </x:row>
    <x:row r="577" spans="13:14" x14ac:dyDescent="0.15">
      <x:c r="M577">
        <x:v>4000019</x:v>
      </x:c>
    </x:row>
    <x:row r="578" spans="13:14" x14ac:dyDescent="0.15">
      <x:c r="M578">
        <x:v>4000020</x:v>
      </x:c>
      <x:c r="N578" t="s">
        <x:v>610</x:v>
      </x:c>
    </x:row>
    <x:row r="579" spans="13:14" x14ac:dyDescent="0.15">
      <x:c r="M579">
        <x:v>4000021</x:v>
      </x:c>
      <x:c r="N579" t="s">
        <x:v>611</x:v>
      </x:c>
    </x:row>
    <x:row r="580" spans="13:14" x14ac:dyDescent="0.15">
      <x:c r="M580">
        <x:v>4000022</x:v>
      </x:c>
    </x:row>
    <x:row r="581" spans="13:14" x14ac:dyDescent="0.15">
      <x:c r="M581">
        <x:v>4000023</x:v>
      </x:c>
      <x:c r="N581" t="s">
        <x:v>612</x:v>
      </x:c>
    </x:row>
    <x:row r="582" spans="13:14" x14ac:dyDescent="0.15">
      <x:c r="M582">
        <x:v>4000024</x:v>
      </x:c>
      <x:c r="N582" t="s">
        <x:v>613</x:v>
      </x:c>
    </x:row>
    <x:row r="583" spans="13:14" x14ac:dyDescent="0.15">
      <x:c r="M583">
        <x:v>4000025</x:v>
      </x:c>
      <x:c r="N583" t="s">
        <x:v>614</x:v>
      </x:c>
    </x:row>
    <x:row r="584" spans="13:14" x14ac:dyDescent="0.15">
      <x:c r="M584">
        <x:v>4000026</x:v>
      </x:c>
      <x:c r="N584" t="s">
        <x:v>615</x:v>
      </x:c>
    </x:row>
    <x:row r="585" spans="13:14" x14ac:dyDescent="0.15">
      <x:c r="M585">
        <x:v>4000027</x:v>
      </x:c>
      <x:c r="N585" t="s">
        <x:v>616</x:v>
      </x:c>
    </x:row>
    <x:row r="586" spans="13:14" x14ac:dyDescent="0.15">
      <x:c r="M586">
        <x:v>4000028</x:v>
      </x:c>
    </x:row>
    <x:row r="587" spans="13:14" x14ac:dyDescent="0.15">
      <x:c r="M587">
        <x:v>4000029</x:v>
      </x:c>
    </x:row>
    <x:row r="588" spans="13:14" x14ac:dyDescent="0.15">
      <x:c r="M588">
        <x:v>4000030</x:v>
      </x:c>
      <x:c r="N588" t="s">
        <x:v>617</x:v>
      </x:c>
    </x:row>
    <x:row r="589" spans="13:14" x14ac:dyDescent="0.15">
      <x:c r="M589">
        <x:v>4000031</x:v>
      </x:c>
      <x:c r="N589" t="s">
        <x:v>618</x:v>
      </x:c>
    </x:row>
    <x:row r="590" spans="13:14" x14ac:dyDescent="0.15">
      <x:c r="M590">
        <x:v>4000032</x:v>
      </x:c>
      <x:c r="N590" t="s">
        <x:v>619</x:v>
      </x:c>
    </x:row>
    <x:row r="591" spans="13:14" x14ac:dyDescent="0.15">
      <x:c r="M591">
        <x:v>4000033</x:v>
      </x:c>
      <x:c r="N591" t="s">
        <x:v>620</x:v>
      </x:c>
    </x:row>
    <x:row r="592" spans="13:14" x14ac:dyDescent="0.15">
      <x:c r="M592">
        <x:v>4000034</x:v>
      </x:c>
      <x:c r="N592" t="s">
        <x:v>621</x:v>
      </x:c>
    </x:row>
    <x:row r="593" spans="13:14" x14ac:dyDescent="0.15">
      <x:c r="M593">
        <x:v>4000035</x:v>
      </x:c>
      <x:c r="N593" t="s">
        <x:v>622</x:v>
      </x:c>
    </x:row>
    <x:row r="594" spans="13:14" x14ac:dyDescent="0.15">
      <x:c r="M594">
        <x:v>4000036</x:v>
      </x:c>
      <x:c r="N594" t="s">
        <x:v>623</x:v>
      </x:c>
    </x:row>
    <x:row r="595" spans="13:14" x14ac:dyDescent="0.15">
      <x:c r="M595">
        <x:v>4000037</x:v>
      </x:c>
      <x:c r="N595" t="s">
        <x:v>624</x:v>
      </x:c>
    </x:row>
    <x:row r="596" spans="13:14" x14ac:dyDescent="0.15">
      <x:c r="M596">
        <x:v>4000038</x:v>
      </x:c>
      <x:c r="N596" t="s">
        <x:v>625</x:v>
      </x:c>
    </x:row>
    <x:row r="597" spans="13:14" x14ac:dyDescent="0.15">
      <x:c r="M597">
        <x:v>4000039</x:v>
      </x:c>
      <x:c r="N597" t="s">
        <x:v>626</x:v>
      </x:c>
    </x:row>
    <x:row r="598" spans="13:14" x14ac:dyDescent="0.15">
      <x:c r="M598">
        <x:v>4000040</x:v>
      </x:c>
      <x:c r="N598" t="s">
        <x:v>627</x:v>
      </x:c>
    </x:row>
    <x:row r="599" spans="13:14" x14ac:dyDescent="0.15">
      <x:c r="M599">
        <x:v>4000041</x:v>
      </x:c>
      <x:c r="N599" t="s">
        <x:v>628</x:v>
      </x:c>
    </x:row>
    <x:row r="600" spans="13:14" x14ac:dyDescent="0.15">
      <x:c r="M600">
        <x:v>4000042</x:v>
      </x:c>
      <x:c r="N600" t="s">
        <x:v>629</x:v>
      </x:c>
    </x:row>
    <x:row r="601" spans="13:14" x14ac:dyDescent="0.15">
      <x:c r="M601">
        <x:v>4000043</x:v>
      </x:c>
      <x:c r="N601" t="s">
        <x:v>630</x:v>
      </x:c>
    </x:row>
    <x:row r="602" spans="13:14" x14ac:dyDescent="0.15">
      <x:c r="M602">
        <x:v>4000044</x:v>
      </x:c>
      <x:c r="N602" t="s">
        <x:v>631</x:v>
      </x:c>
    </x:row>
    <x:row r="603" spans="13:14" x14ac:dyDescent="0.15">
      <x:c r="M603">
        <x:v>4000045</x:v>
      </x:c>
      <x:c r="N603" t="s">
        <x:v>510</x:v>
      </x:c>
    </x:row>
    <x:row r="604" spans="13:14" x14ac:dyDescent="0.15">
      <x:c r="M604">
        <x:v>4000046</x:v>
      </x:c>
      <x:c r="N604" t="s">
        <x:v>514</x:v>
      </x:c>
    </x:row>
    <x:row r="605" spans="13:14" x14ac:dyDescent="0.15">
      <x:c r="M605">
        <x:v>4000047</x:v>
      </x:c>
      <x:c r="N605" t="s">
        <x:v>514</x:v>
      </x:c>
    </x:row>
    <x:row r="606" spans="13:14" x14ac:dyDescent="0.15">
      <x:c r="M606">
        <x:v>4000048</x:v>
      </x:c>
      <x:c r="N606" t="s">
        <x:v>513</x:v>
      </x:c>
    </x:row>
    <x:row r="607" spans="13:14" x14ac:dyDescent="0.15">
      <x:c r="M607">
        <x:v>4000049</x:v>
      </x:c>
      <x:c r="N607" t="s">
        <x:v>511</x:v>
      </x:c>
    </x:row>
    <x:row r="608" spans="13:14" x14ac:dyDescent="0.15">
      <x:c r="M608">
        <x:v>4000050</x:v>
      </x:c>
      <x:c r="N608" t="s">
        <x:v>632</x:v>
      </x:c>
    </x:row>
    <x:row r="609" spans="13:14" x14ac:dyDescent="0.15">
      <x:c r="M609">
        <x:v>4000051</x:v>
      </x:c>
      <x:c r="N609" t="s">
        <x:v>633</x:v>
      </x:c>
    </x:row>
    <x:row r="610" spans="13:14" x14ac:dyDescent="0.15">
      <x:c r="M610">
        <x:v>4000052</x:v>
      </x:c>
      <x:c r="N610" t="s">
        <x:v>538</x:v>
      </x:c>
    </x:row>
    <x:row r="611" spans="13:14" x14ac:dyDescent="0.15">
      <x:c r="M611">
        <x:v>4000053</x:v>
      </x:c>
      <x:c r="N611" t="s">
        <x:v>634</x:v>
      </x:c>
    </x:row>
    <x:row r="612" spans="13:14" x14ac:dyDescent="0.15">
      <x:c r="M612">
        <x:v>4000054</x:v>
      </x:c>
      <x:c r="N612" t="s">
        <x:v>635</x:v>
      </x:c>
    </x:row>
    <x:row r="613" spans="13:14" x14ac:dyDescent="0.15">
      <x:c r="M613">
        <x:v>4000056</x:v>
      </x:c>
      <x:c r="N613" t="s">
        <x:v>537</x:v>
      </x:c>
    </x:row>
    <x:row r="614" spans="13:14" x14ac:dyDescent="0.15">
      <x:c r="M614">
        <x:v>4000057</x:v>
      </x:c>
      <x:c r="N614" t="s">
        <x:v>539</x:v>
      </x:c>
    </x:row>
    <x:row r="615" spans="13:14" x14ac:dyDescent="0.15">
      <x:c r="M615">
        <x:v>4000058</x:v>
      </x:c>
      <x:c r="N615" t="s">
        <x:v>251</x:v>
      </x:c>
    </x:row>
    <x:row r="616" spans="13:14" x14ac:dyDescent="0.15">
      <x:c r="M616">
        <x:v>4000059</x:v>
      </x:c>
      <x:c r="N616" t="s">
        <x:v>526</x:v>
      </x:c>
    </x:row>
    <x:row r="617" spans="13:14" x14ac:dyDescent="0.15">
      <x:c r="M617">
        <x:v>4000060</x:v>
      </x:c>
      <x:c r="N617" t="s">
        <x:v>529</x:v>
      </x:c>
    </x:row>
    <x:row r="618" spans="13:14" x14ac:dyDescent="0.15">
      <x:c r="M618">
        <x:v>4000061</x:v>
      </x:c>
      <x:c r="N618" t="s">
        <x:v>543</x:v>
      </x:c>
    </x:row>
    <x:row r="619" spans="13:14" x14ac:dyDescent="0.15">
      <x:c r="M619">
        <x:v>4000062</x:v>
      </x:c>
      <x:c r="N619" t="s">
        <x:v>527</x:v>
      </x:c>
    </x:row>
    <x:row r="620" spans="13:14" x14ac:dyDescent="0.15">
      <x:c r="M620">
        <x:v>4000063</x:v>
      </x:c>
      <x:c r="N620" t="s">
        <x:v>544</x:v>
      </x:c>
    </x:row>
    <x:row r="621" spans="13:14" x14ac:dyDescent="0.15">
      <x:c r="M621">
        <x:v>4000064</x:v>
      </x:c>
      <x:c r="N621" t="s">
        <x:v>545</x:v>
      </x:c>
    </x:row>
    <x:row r="622" spans="13:14" x14ac:dyDescent="0.15">
      <x:c r="M622">
        <x:v>4000065</x:v>
      </x:c>
      <x:c r="N622" t="s">
        <x:v>546</x:v>
      </x:c>
    </x:row>
    <x:row r="623" spans="13:14" x14ac:dyDescent="0.15">
      <x:c r="M623">
        <x:v>4000066</x:v>
      </x:c>
      <x:c r="N623" t="s">
        <x:v>547</x:v>
      </x:c>
    </x:row>
    <x:row r="624" spans="13:14" x14ac:dyDescent="0.15">
      <x:c r="M624">
        <x:v>4000067</x:v>
      </x:c>
      <x:c r="N624" t="s">
        <x:v>551</x:v>
      </x:c>
    </x:row>
    <x:row r="625" spans="13:14" x14ac:dyDescent="0.15">
      <x:c r="M625">
        <x:v>4000068</x:v>
      </x:c>
      <x:c r="N625" t="s">
        <x:v>307</x:v>
      </x:c>
    </x:row>
    <x:row r="626" spans="13:14" x14ac:dyDescent="0.15">
      <x:c r="M626">
        <x:v>5000001</x:v>
      </x:c>
      <x:c r="N626" t="s">
        <x:v>333</x:v>
      </x:c>
    </x:row>
    <x:row r="627" spans="13:14" x14ac:dyDescent="0.15">
      <x:c r="M627">
        <x:v>5000002</x:v>
      </x:c>
      <x:c r="N627" t="s">
        <x:v>334</x:v>
      </x:c>
    </x:row>
    <x:row r="628" spans="13:14" x14ac:dyDescent="0.15">
      <x:c r="M628">
        <x:v>5000003</x:v>
      </x:c>
      <x:c r="N628" t="s">
        <x:v>390</x:v>
      </x:c>
    </x:row>
    <x:row r="629" spans="13:14" x14ac:dyDescent="0.15">
      <x:c r="M629">
        <x:v>5000004</x:v>
      </x:c>
      <x:c r="N629" t="s">
        <x:v>213</x:v>
      </x:c>
    </x:row>
    <x:row r="630" spans="13:14" x14ac:dyDescent="0.15">
      <x:c r="M630">
        <x:v>5000005</x:v>
      </x:c>
      <x:c r="N630" t="s">
        <x:v>335</x:v>
      </x:c>
    </x:row>
    <x:row r="631" spans="13:14" x14ac:dyDescent="0.15">
      <x:c r="M631">
        <x:v>5000006</x:v>
      </x:c>
      <x:c r="N631" t="s">
        <x:v>271</x:v>
      </x:c>
    </x:row>
    <x:row r="632" spans="13:14" x14ac:dyDescent="0.15">
      <x:c r="M632">
        <x:v>5000007</x:v>
      </x:c>
      <x:c r="N632" t="s">
        <x:v>270</x:v>
      </x:c>
    </x:row>
    <x:row r="633" spans="13:14" x14ac:dyDescent="0.15">
      <x:c r="M633">
        <x:v>5000008</x:v>
      </x:c>
      <x:c r="N633" t="s">
        <x:v>99</x:v>
      </x:c>
    </x:row>
    <x:row r="634" spans="13:14" x14ac:dyDescent="0.15">
      <x:c r="M634">
        <x:v>5000009</x:v>
      </x:c>
      <x:c r="N634" t="s">
        <x:v>351</x:v>
      </x:c>
    </x:row>
    <x:row r="635" spans="13:14" x14ac:dyDescent="0.15">
      <x:c r="M635">
        <x:v>5000010</x:v>
      </x:c>
      <x:c r="N635" t="s">
        <x:v>339</x:v>
      </x:c>
    </x:row>
    <x:row r="636" spans="13:14" x14ac:dyDescent="0.15">
      <x:c r="M636">
        <x:v>5000011</x:v>
      </x:c>
      <x:c r="N636" t="s">
        <x:v>340</x:v>
      </x:c>
    </x:row>
    <x:row r="637" spans="13:14" x14ac:dyDescent="0.15">
      <x:c r="M637">
        <x:v>5000012</x:v>
      </x:c>
      <x:c r="N637" t="s">
        <x:v>341</x:v>
      </x:c>
    </x:row>
    <x:row r="638" spans="13:14" x14ac:dyDescent="0.15">
      <x:c r="M638">
        <x:v>5000013</x:v>
      </x:c>
      <x:c r="N638" t="s">
        <x:v>343</x:v>
      </x:c>
    </x:row>
    <x:row r="639" spans="13:14" x14ac:dyDescent="0.15">
      <x:c r="M639">
        <x:v>5000014</x:v>
      </x:c>
      <x:c r="N639" t="s">
        <x:v>214</x:v>
      </x:c>
    </x:row>
    <x:row r="640" spans="13:14" x14ac:dyDescent="0.15">
      <x:c r="M640">
        <x:v>5000015</x:v>
      </x:c>
      <x:c r="N640" t="s">
        <x:v>342</x:v>
      </x:c>
    </x:row>
    <x:row r="641" spans="13:14" x14ac:dyDescent="0.15">
      <x:c r="M641">
        <x:v>5000016</x:v>
      </x:c>
      <x:c r="N641" t="s">
        <x:v>351</x:v>
      </x:c>
    </x:row>
    <x:row r="642" spans="13:14" x14ac:dyDescent="0.15">
      <x:c r="M642">
        <x:v>5000017</x:v>
      </x:c>
      <x:c r="N642" t="s">
        <x:v>351</x:v>
      </x:c>
    </x:row>
    <x:row r="643" spans="13:14" x14ac:dyDescent="0.15">
      <x:c r="M643">
        <x:v>5000018</x:v>
      </x:c>
      <x:c r="N643" t="s">
        <x:v>262</x:v>
      </x:c>
    </x:row>
    <x:row r="644" spans="13:14" x14ac:dyDescent="0.15">
      <x:c r="M644">
        <x:v>5000019</x:v>
      </x:c>
      <x:c r="N644" t="s">
        <x:v>369</x:v>
      </x:c>
    </x:row>
    <x:row r="645" spans="13:14" x14ac:dyDescent="0.15">
      <x:c r="M645">
        <x:v>5000020</x:v>
      </x:c>
      <x:c r="N645" t="s">
        <x:v>346</x:v>
      </x:c>
    </x:row>
    <x:row r="646" spans="13:14" x14ac:dyDescent="0.15">
      <x:c r="M646">
        <x:v>5000021</x:v>
      </x:c>
      <x:c r="N646" t="s">
        <x:v>347</x:v>
      </x:c>
    </x:row>
    <x:row r="647" spans="13:14" x14ac:dyDescent="0.15">
      <x:c r="M647">
        <x:v>5000022</x:v>
      </x:c>
      <x:c r="N647" t="s">
        <x:v>348</x:v>
      </x:c>
    </x:row>
    <x:row r="648" spans="13:14" x14ac:dyDescent="0.15">
      <x:c r="M648">
        <x:v>5000023</x:v>
      </x:c>
      <x:c r="N648" t="s">
        <x:v>349</x:v>
      </x:c>
    </x:row>
    <x:row r="649" spans="13:14" x14ac:dyDescent="0.15">
      <x:c r="M649">
        <x:v>5000024</x:v>
      </x:c>
      <x:c r="N649" t="s">
        <x:v>220</x:v>
      </x:c>
    </x:row>
    <x:row r="650" spans="13:14" x14ac:dyDescent="0.15">
      <x:c r="M650">
        <x:v>5000025</x:v>
      </x:c>
      <x:c r="N650" t="s">
        <x:v>221</x:v>
      </x:c>
    </x:row>
    <x:row r="651" spans="13:14" x14ac:dyDescent="0.15">
      <x:c r="M651">
        <x:v>5000026</x:v>
      </x:c>
      <x:c r="N651" t="s">
        <x:v>236</x:v>
      </x:c>
    </x:row>
    <x:row r="652" spans="13:14" x14ac:dyDescent="0.15">
      <x:c r="M652">
        <x:v>5000027</x:v>
      </x:c>
      <x:c r="N652" t="s">
        <x:v>272</x:v>
      </x:c>
    </x:row>
    <x:row r="653" spans="13:14" x14ac:dyDescent="0.15">
      <x:c r="M653">
        <x:v>5000028</x:v>
      </x:c>
      <x:c r="N653" t="s">
        <x:v>273</x:v>
      </x:c>
    </x:row>
    <x:row r="654" spans="13:14" x14ac:dyDescent="0.15">
      <x:c r="M654">
        <x:v>5000029</x:v>
      </x:c>
      <x:c r="N654" t="s">
        <x:v>342</x:v>
      </x:c>
    </x:row>
    <x:row r="655" spans="13:14" x14ac:dyDescent="0.15">
      <x:c r="M655">
        <x:v>5000030</x:v>
      </x:c>
      <x:c r="N655" t="s">
        <x:v>351</x:v>
      </x:c>
    </x:row>
    <x:row r="656" spans="13:14" x14ac:dyDescent="0.15">
      <x:c r="M656">
        <x:v>5000031</x:v>
      </x:c>
      <x:c r="N656" t="s">
        <x:v>351</x:v>
      </x:c>
    </x:row>
    <x:row r="657" spans="13:14" x14ac:dyDescent="0.15">
      <x:c r="M657">
        <x:v>5000032</x:v>
      </x:c>
      <x:c r="N657" t="s">
        <x:v>441</x:v>
      </x:c>
    </x:row>
    <x:row r="658" spans="13:14" x14ac:dyDescent="0.15">
      <x:c r="M658">
        <x:v>5000033</x:v>
      </x:c>
      <x:c r="N658" t="s">
        <x:v>255</x:v>
      </x:c>
    </x:row>
    <x:row r="659" spans="13:14" x14ac:dyDescent="0.15">
      <x:c r="M659">
        <x:v>5000034</x:v>
      </x:c>
      <x:c r="N659" t="s">
        <x:v>246</x:v>
      </x:c>
    </x:row>
    <x:row r="660" spans="13:14" x14ac:dyDescent="0.15">
      <x:c r="M660">
        <x:v>5000035</x:v>
      </x:c>
      <x:c r="N660" t="s">
        <x:v>247</x:v>
      </x:c>
    </x:row>
    <x:row r="661" spans="13:14" x14ac:dyDescent="0.15">
      <x:c r="M661">
        <x:v>5000036</x:v>
      </x:c>
      <x:c r="N661" t="s">
        <x:v>256</x:v>
      </x:c>
    </x:row>
    <x:row r="662" spans="13:14" x14ac:dyDescent="0.15">
      <x:c r="M662">
        <x:v>5000037</x:v>
      </x:c>
      <x:c r="N662" t="s">
        <x:v>342</x:v>
      </x:c>
    </x:row>
    <x:row r="663" spans="13:14" x14ac:dyDescent="0.15">
      <x:c r="M663">
        <x:v>5000038</x:v>
      </x:c>
      <x:c r="N663" t="s">
        <x:v>351</x:v>
      </x:c>
    </x:row>
    <x:row r="664" spans="13:14" x14ac:dyDescent="0.15">
      <x:c r="M664">
        <x:v>5000039</x:v>
      </x:c>
      <x:c r="N664" t="s">
        <x:v>351</x:v>
      </x:c>
    </x:row>
    <x:row r="665" spans="13:14" x14ac:dyDescent="0.15">
      <x:c r="M665">
        <x:v>5000040</x:v>
      </x:c>
      <x:c r="N665" t="s">
        <x:v>268</x:v>
      </x:c>
    </x:row>
    <x:row r="666" spans="13:14" x14ac:dyDescent="0.15">
      <x:c r="M666">
        <x:v>5000041</x:v>
      </x:c>
      <x:c r="N666" t="s">
        <x:v>259</x:v>
      </x:c>
    </x:row>
    <x:row r="667" spans="13:14" x14ac:dyDescent="0.15">
      <x:c r="M667">
        <x:v>5000042</x:v>
      </x:c>
      <x:c r="N667" t="s">
        <x:v>342</x:v>
      </x:c>
    </x:row>
    <x:row r="668" spans="13:14" x14ac:dyDescent="0.15">
      <x:c r="M668">
        <x:v>5000043</x:v>
      </x:c>
      <x:c r="N668" t="s">
        <x:v>351</x:v>
      </x:c>
    </x:row>
    <x:row r="669" spans="13:14" x14ac:dyDescent="0.15">
      <x:c r="M669">
        <x:v>5000044</x:v>
      </x:c>
      <x:c r="N669" t="s">
        <x:v>351</x:v>
      </x:c>
    </x:row>
    <x:row r="670" spans="13:14" x14ac:dyDescent="0.15">
      <x:c r="M670">
        <x:v>5000045</x:v>
      </x:c>
      <x:c r="N670" t="s">
        <x:v>115</x:v>
      </x:c>
    </x:row>
    <x:row r="671" spans="13:14" x14ac:dyDescent="0.15">
      <x:c r="M671">
        <x:v>5000046</x:v>
      </x:c>
      <x:c r="N671" t="s">
        <x:v>107</x:v>
      </x:c>
    </x:row>
    <x:row r="672" spans="13:14" x14ac:dyDescent="0.15">
      <x:c r="M672">
        <x:v>5000047</x:v>
      </x:c>
      <x:c r="N672" t="s">
        <x:v>136</x:v>
      </x:c>
    </x:row>
    <x:row r="673" spans="13:14" x14ac:dyDescent="0.15">
      <x:c r="M673">
        <x:v>5000048</x:v>
      </x:c>
      <x:c r="N673" t="s">
        <x:v>139</x:v>
      </x:c>
    </x:row>
    <x:row r="674" spans="13:14" x14ac:dyDescent="0.15">
      <x:c r="M674">
        <x:v>5000049</x:v>
      </x:c>
      <x:c r="N674" t="s">
        <x:v>133</x:v>
      </x:c>
    </x:row>
    <x:row r="675" spans="13:14" x14ac:dyDescent="0.15">
      <x:c r="M675">
        <x:v>5000050</x:v>
      </x:c>
      <x:c r="N675" t="s">
        <x:v>127</x:v>
      </x:c>
    </x:row>
    <x:row r="676" spans="13:14" x14ac:dyDescent="0.15">
      <x:c r="M676">
        <x:v>5000051</x:v>
      </x:c>
      <x:c r="N676" t="s">
        <x:v>143</x:v>
      </x:c>
    </x:row>
    <x:row r="677" spans="13:14" x14ac:dyDescent="0.15">
      <x:c r="M677">
        <x:v>5000052</x:v>
      </x:c>
      <x:c r="N677" t="s">
        <x:v>361</x:v>
      </x:c>
    </x:row>
    <x:row r="678" spans="13:14" x14ac:dyDescent="0.15">
      <x:c r="M678">
        <x:v>5000053</x:v>
      </x:c>
      <x:c r="N678" t="s">
        <x:v>342</x:v>
      </x:c>
    </x:row>
    <x:row r="679" spans="13:14" x14ac:dyDescent="0.15">
      <x:c r="M679">
        <x:v>5000054</x:v>
      </x:c>
      <x:c r="N679" t="s">
        <x:v>363</x:v>
      </x:c>
    </x:row>
    <x:row r="680" spans="13:14" x14ac:dyDescent="0.15">
      <x:c r="M680">
        <x:v>5000055</x:v>
      </x:c>
      <x:c r="N680" t="s">
        <x:v>364</x:v>
      </x:c>
    </x:row>
    <x:row r="681" spans="13:14" x14ac:dyDescent="0.15">
      <x:c r="M681">
        <x:v>5000056</x:v>
      </x:c>
      <x:c r="N681" t="s">
        <x:v>258</x:v>
      </x:c>
    </x:row>
    <x:row r="682" spans="13:14" x14ac:dyDescent="0.15">
      <x:c r="M682">
        <x:v>5000057</x:v>
      </x:c>
      <x:c r="N682" t="s">
        <x:v>351</x:v>
      </x:c>
    </x:row>
    <x:row r="683" spans="13:14" x14ac:dyDescent="0.15">
      <x:c r="M683">
        <x:v>5000058</x:v>
      </x:c>
      <x:c r="N683" t="s">
        <x:v>362</x:v>
      </x:c>
    </x:row>
    <x:row r="684" spans="13:14" x14ac:dyDescent="0.15">
      <x:c r="M684">
        <x:v>5000059</x:v>
      </x:c>
      <x:c r="N684" t="s">
        <x:v>363</x:v>
      </x:c>
    </x:row>
    <x:row r="685" spans="13:14" x14ac:dyDescent="0.15">
      <x:c r="M685">
        <x:v>5000060</x:v>
      </x:c>
      <x:c r="N685" t="s">
        <x:v>358</x:v>
      </x:c>
    </x:row>
    <x:row r="686" spans="13:14" x14ac:dyDescent="0.15">
      <x:c r="M686">
        <x:v>5000061</x:v>
      </x:c>
      <x:c r="N686" t="s">
        <x:v>359</x:v>
      </x:c>
    </x:row>
  </x:sheetData>
  <x:phoneticPr fontId="5" type="noConversion"/>
  <x:pageMargins left="0.75" right="0.75" top="1" bottom="1" header="0.5" footer="0.5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Sheet4"/>
  <x:dimension ref="A1:N63"/>
  <x:sheetViews>
    <x:sheetView workbookViewId="0">
      <x:selection activeCell="P19" sqref="P19"/>
    </x:sheetView>
  </x:sheetViews>
  <x:sheetFormatPr defaultColWidth="9" defaultRowHeight="13.5" x14ac:dyDescent="0.15"/>
  <x:cols>
    <x:col min="1" max="1" width="26" customWidth="1"/>
    <x:col min="2" max="2" width="9.375" customWidth="1"/>
    <x:col min="4" max="4" width="20.375" customWidth="1"/>
    <x:col min="5" max="5" width="9.375" customWidth="1"/>
    <x:col min="6" max="7" width="9.375"/>
    <x:col min="10" max="10" width="1.625" style="1" customWidth="1"/>
    <x:col min="11" max="11" width="23.75" customWidth="1"/>
    <x:col min="12" max="12" width="1.625" style="1" customWidth="1"/>
    <x:col min="13" max="13" width="9.375"/>
  </x:cols>
  <x:sheetData>
    <x:row r="1" spans="1:14" x14ac:dyDescent="0.15">
      <x:c r="A1" t="s">
        <x:v>636</x:v>
      </x:c>
      <x:c r="B1" s="2">
        <x:v>53003011</x:v>
      </x:c>
      <x:c r="D1" t="s">
        <x:v>637</x:v>
      </x:c>
      <x:c r="E1">
        <x:f t="shared" ref="E1:E30" si="0">VLOOKUP(D1&amp;"-"&amp;1,A:B,2,FALSE)</x:f>
        <x:v>53003011</x:v>
      </x:c>
      <x:c r="F1">
        <x:f t="shared" ref="F1:F30" si="1">VLOOKUP(D1&amp;"-"&amp;2,A:B,2,FALSE)</x:f>
        <x:v>53003012</x:v>
      </x:c>
      <x:c r="G1" t="str">
        <x:f t="shared" ref="G1:G31" si="2">_xlfn.IFNA(VLOOKUP(D1&amp;"-"&amp;3,A:B,2,FALSE),"")</x:f>
        <x:v/>
      </x:c>
      <x:c r="H1" t="str">
        <x:f t="shared" ref="H1:H31" si="3">_xlfn.TEXTJOIN(";",1,E1:G1)</x:f>
        <x:v>53003011;53003012</x:v>
      </x:c>
      <x:c r="K1" t="s">
        <x:v>637</x:v>
      </x:c>
      <x:c r="M1">
        <x:v>53003011</x:v>
      </x:c>
      <x:c r="N1" t="s">
        <x:v>636</x:v>
      </x:c>
    </x:row>
    <x:row r="2" spans="1:14" x14ac:dyDescent="0.15">
      <x:c r="A2" t="s">
        <x:v>638</x:v>
      </x:c>
      <x:c r="B2" s="2">
        <x:v>53003012</x:v>
      </x:c>
      <x:c r="D2" t="s">
        <x:v>639</x:v>
      </x:c>
      <x:c r="E2">
        <x:f t="shared" si="0"/>
        <x:v>53003021</x:v>
      </x:c>
      <x:c r="F2">
        <x:f t="shared" si="1"/>
        <x:v>53003022</x:v>
      </x:c>
      <x:c r="G2" t="str">
        <x:f t="shared" si="2"/>
        <x:v/>
      </x:c>
      <x:c r="H2" t="str">
        <x:f t="shared" si="3"/>
        <x:v>53003021;53003022</x:v>
      </x:c>
      <x:c r="K2" t="s">
        <x:v>639</x:v>
      </x:c>
      <x:c r="M2">
        <x:v>53003012</x:v>
      </x:c>
      <x:c r="N2" t="s">
        <x:v>638</x:v>
      </x:c>
    </x:row>
    <x:row r="3" spans="1:14" x14ac:dyDescent="0.15">
      <x:c r="A3" t="s">
        <x:v>640</x:v>
      </x:c>
      <x:c r="B3" s="2">
        <x:v>53003021</x:v>
      </x:c>
      <x:c r="D3" t="s">
        <x:v>641</x:v>
      </x:c>
      <x:c r="E3">
        <x:f t="shared" si="0"/>
        <x:v>53003031</x:v>
      </x:c>
      <x:c r="F3">
        <x:f t="shared" si="1"/>
        <x:v>53003032</x:v>
      </x:c>
      <x:c r="G3" t="str">
        <x:f t="shared" si="2"/>
        <x:v/>
      </x:c>
      <x:c r="H3" t="str">
        <x:f t="shared" si="3"/>
        <x:v>53003031;53003032</x:v>
      </x:c>
      <x:c r="K3" t="s">
        <x:v>641</x:v>
      </x:c>
      <x:c r="M3">
        <x:v>53003021</x:v>
      </x:c>
      <x:c r="N3" t="s">
        <x:v>640</x:v>
      </x:c>
    </x:row>
    <x:row r="4" spans="1:14" x14ac:dyDescent="0.15">
      <x:c r="A4" t="s">
        <x:v>642</x:v>
      </x:c>
      <x:c r="B4" s="2">
        <x:v>53003022</x:v>
      </x:c>
      <x:c r="D4" t="s">
        <x:v>643</x:v>
      </x:c>
      <x:c r="E4">
        <x:f t="shared" si="0"/>
        <x:v>53003041</x:v>
      </x:c>
      <x:c r="F4">
        <x:f t="shared" si="1"/>
        <x:v>53003042</x:v>
      </x:c>
      <x:c r="G4" t="str">
        <x:f t="shared" si="2"/>
        <x:v/>
      </x:c>
      <x:c r="H4" t="str">
        <x:f t="shared" si="3"/>
        <x:v>53003041;53003042</x:v>
      </x:c>
      <x:c r="K4" t="s">
        <x:v>643</x:v>
      </x:c>
      <x:c r="M4">
        <x:v>53003022</x:v>
      </x:c>
      <x:c r="N4" t="s">
        <x:v>642</x:v>
      </x:c>
    </x:row>
    <x:row r="5" spans="1:14" x14ac:dyDescent="0.15">
      <x:c r="A5" t="s">
        <x:v>644</x:v>
      </x:c>
      <x:c r="B5" s="2">
        <x:v>53003031</x:v>
      </x:c>
      <x:c r="D5" t="s">
        <x:v>645</x:v>
      </x:c>
      <x:c r="E5">
        <x:f t="shared" si="0"/>
        <x:v>53003051</x:v>
      </x:c>
      <x:c r="F5">
        <x:f t="shared" si="1"/>
        <x:v>53003052</x:v>
      </x:c>
      <x:c r="G5" t="str">
        <x:f t="shared" si="2"/>
        <x:v/>
      </x:c>
      <x:c r="H5" t="str">
        <x:f t="shared" si="3"/>
        <x:v>53003051;53003052</x:v>
      </x:c>
      <x:c r="K5" t="s">
        <x:v>645</x:v>
      </x:c>
      <x:c r="M5">
        <x:v>53003031</x:v>
      </x:c>
      <x:c r="N5" t="s">
        <x:v>644</x:v>
      </x:c>
    </x:row>
    <x:row r="6" spans="1:14" x14ac:dyDescent="0.15">
      <x:c r="A6" t="s">
        <x:v>646</x:v>
      </x:c>
      <x:c r="B6" s="2">
        <x:v>53003032</x:v>
      </x:c>
      <x:c r="D6" t="s">
        <x:v>647</x:v>
      </x:c>
      <x:c r="E6">
        <x:f t="shared" si="0"/>
        <x:v>53003061</x:v>
      </x:c>
      <x:c r="F6">
        <x:f t="shared" si="1"/>
        <x:v>53003062</x:v>
      </x:c>
      <x:c r="G6" t="str">
        <x:f t="shared" si="2"/>
        <x:v/>
      </x:c>
      <x:c r="H6" t="str">
        <x:f t="shared" si="3"/>
        <x:v>53003061;53003062</x:v>
      </x:c>
      <x:c r="K6" t="s">
        <x:v>647</x:v>
      </x:c>
      <x:c r="M6">
        <x:v>53003032</x:v>
      </x:c>
      <x:c r="N6" t="s">
        <x:v>646</x:v>
      </x:c>
    </x:row>
    <x:row r="7" spans="1:14" x14ac:dyDescent="0.15">
      <x:c r="A7" t="s">
        <x:v>648</x:v>
      </x:c>
      <x:c r="B7" s="2">
        <x:v>53003041</x:v>
      </x:c>
      <x:c r="D7" t="s">
        <x:v>649</x:v>
      </x:c>
      <x:c r="E7">
        <x:f t="shared" si="0"/>
        <x:v>53003071</x:v>
      </x:c>
      <x:c r="F7">
        <x:f t="shared" si="1"/>
        <x:v>53003072</x:v>
      </x:c>
      <x:c r="G7" t="str">
        <x:f t="shared" si="2"/>
        <x:v/>
      </x:c>
      <x:c r="H7" t="str">
        <x:f t="shared" si="3"/>
        <x:v>53003071;53003072</x:v>
      </x:c>
      <x:c r="K7" t="s">
        <x:v>649</x:v>
      </x:c>
      <x:c r="M7">
        <x:v>53003041</x:v>
      </x:c>
      <x:c r="N7" t="s">
        <x:v>648</x:v>
      </x:c>
    </x:row>
    <x:row r="8" spans="1:14" x14ac:dyDescent="0.15">
      <x:c r="A8" t="s">
        <x:v>650</x:v>
      </x:c>
      <x:c r="B8" s="2">
        <x:v>53003042</x:v>
      </x:c>
      <x:c r="D8" t="s">
        <x:v>651</x:v>
      </x:c>
      <x:c r="E8">
        <x:f t="shared" si="0"/>
        <x:v>53003081</x:v>
      </x:c>
      <x:c r="F8">
        <x:f t="shared" si="1"/>
        <x:v>53003082</x:v>
      </x:c>
      <x:c r="G8" t="str">
        <x:f t="shared" si="2"/>
        <x:v/>
      </x:c>
      <x:c r="H8" t="str">
        <x:f t="shared" si="3"/>
        <x:v>53003081;53003082</x:v>
      </x:c>
      <x:c r="K8" t="s">
        <x:v>651</x:v>
      </x:c>
      <x:c r="M8">
        <x:v>53003042</x:v>
      </x:c>
      <x:c r="N8" t="s">
        <x:v>650</x:v>
      </x:c>
    </x:row>
    <x:row r="9" spans="1:14" x14ac:dyDescent="0.15">
      <x:c r="A9" t="s">
        <x:v>652</x:v>
      </x:c>
      <x:c r="B9" s="2">
        <x:v>53003051</x:v>
      </x:c>
      <x:c r="D9" t="s">
        <x:v>653</x:v>
      </x:c>
      <x:c r="E9">
        <x:f t="shared" si="0"/>
        <x:v>53003091</x:v>
      </x:c>
      <x:c r="F9">
        <x:f t="shared" si="1"/>
        <x:v>53003092</x:v>
      </x:c>
      <x:c r="G9" t="str">
        <x:f t="shared" si="2"/>
        <x:v/>
      </x:c>
      <x:c r="H9" t="str">
        <x:f t="shared" si="3"/>
        <x:v>53003091;53003092</x:v>
      </x:c>
      <x:c r="K9" t="s">
        <x:v>653</x:v>
      </x:c>
      <x:c r="M9">
        <x:v>53003051</x:v>
      </x:c>
      <x:c r="N9" t="s">
        <x:v>652</x:v>
      </x:c>
    </x:row>
    <x:row r="10" spans="1:14" x14ac:dyDescent="0.15">
      <x:c r="A10" t="s">
        <x:v>654</x:v>
      </x:c>
      <x:c r="B10" s="2">
        <x:v>53003052</x:v>
      </x:c>
      <x:c r="D10" t="s">
        <x:v>655</x:v>
      </x:c>
      <x:c r="E10">
        <x:f t="shared" si="0"/>
        <x:v>53003101</x:v>
      </x:c>
      <x:c r="F10">
        <x:f t="shared" si="1"/>
        <x:v>53003102</x:v>
      </x:c>
      <x:c r="G10" t="str">
        <x:f t="shared" si="2"/>
        <x:v/>
      </x:c>
      <x:c r="H10" t="str">
        <x:f t="shared" si="3"/>
        <x:v>53003101;53003102</x:v>
      </x:c>
      <x:c r="K10" t="s">
        <x:v>655</x:v>
      </x:c>
      <x:c r="M10">
        <x:v>53003052</x:v>
      </x:c>
      <x:c r="N10" t="s">
        <x:v>654</x:v>
      </x:c>
    </x:row>
    <x:row r="11" spans="1:14" x14ac:dyDescent="0.15">
      <x:c r="A11" t="s">
        <x:v>656</x:v>
      </x:c>
      <x:c r="B11" s="2">
        <x:v>53003061</x:v>
      </x:c>
      <x:c r="D11" t="s">
        <x:v>657</x:v>
      </x:c>
      <x:c r="E11">
        <x:f t="shared" si="0"/>
        <x:v>53003111</x:v>
      </x:c>
      <x:c r="F11">
        <x:f t="shared" si="1"/>
        <x:v>53003112</x:v>
      </x:c>
      <x:c r="G11" t="str">
        <x:f t="shared" si="2"/>
        <x:v/>
      </x:c>
      <x:c r="H11" t="str">
        <x:f t="shared" si="3"/>
        <x:v>53003111;53003112</x:v>
      </x:c>
      <x:c r="K11" t="s">
        <x:v>657</x:v>
      </x:c>
      <x:c r="M11">
        <x:v>53003061</x:v>
      </x:c>
      <x:c r="N11" t="s">
        <x:v>656</x:v>
      </x:c>
    </x:row>
    <x:row r="12" spans="1:14" x14ac:dyDescent="0.15">
      <x:c r="A12" t="s">
        <x:v>658</x:v>
      </x:c>
      <x:c r="B12" s="2">
        <x:v>53003062</x:v>
      </x:c>
      <x:c r="D12" t="s">
        <x:v>659</x:v>
      </x:c>
      <x:c r="E12">
        <x:f t="shared" si="0"/>
        <x:v>53003121</x:v>
      </x:c>
      <x:c r="F12">
        <x:f t="shared" si="1"/>
        <x:v>53003122</x:v>
      </x:c>
      <x:c r="G12" t="str">
        <x:f t="shared" si="2"/>
        <x:v/>
      </x:c>
      <x:c r="H12" t="str">
        <x:f t="shared" si="3"/>
        <x:v>53003121;53003122</x:v>
      </x:c>
      <x:c r="K12" t="s">
        <x:v>659</x:v>
      </x:c>
      <x:c r="M12">
        <x:v>53003062</x:v>
      </x:c>
      <x:c r="N12" t="s">
        <x:v>658</x:v>
      </x:c>
    </x:row>
    <x:row r="13" spans="1:14" x14ac:dyDescent="0.15">
      <x:c r="A13" t="s">
        <x:v>660</x:v>
      </x:c>
      <x:c r="B13" s="2">
        <x:v>53003071</x:v>
      </x:c>
      <x:c r="D13" t="s">
        <x:v>661</x:v>
      </x:c>
      <x:c r="E13">
        <x:f t="shared" si="0"/>
        <x:v>53003131</x:v>
      </x:c>
      <x:c r="F13">
        <x:f t="shared" si="1"/>
        <x:v>53003132</x:v>
      </x:c>
      <x:c r="G13" t="str">
        <x:f t="shared" si="2"/>
        <x:v/>
      </x:c>
      <x:c r="H13" t="str">
        <x:f t="shared" si="3"/>
        <x:v>53003131;53003132</x:v>
      </x:c>
      <x:c r="K13" t="s">
        <x:v>661</x:v>
      </x:c>
      <x:c r="M13">
        <x:v>53003071</x:v>
      </x:c>
      <x:c r="N13" t="s">
        <x:v>660</x:v>
      </x:c>
    </x:row>
    <x:row r="14" spans="1:14" x14ac:dyDescent="0.15">
      <x:c r="A14" t="s">
        <x:v>662</x:v>
      </x:c>
      <x:c r="B14" s="2">
        <x:v>53003072</x:v>
      </x:c>
      <x:c r="D14" t="s">
        <x:v>663</x:v>
      </x:c>
      <x:c r="E14">
        <x:f t="shared" si="0"/>
        <x:v>53003141</x:v>
      </x:c>
      <x:c r="F14">
        <x:f t="shared" si="1"/>
        <x:v>53003142</x:v>
      </x:c>
      <x:c r="G14" t="str">
        <x:f t="shared" si="2"/>
        <x:v/>
      </x:c>
      <x:c r="H14" t="str">
        <x:f t="shared" si="3"/>
        <x:v>53003141;53003142</x:v>
      </x:c>
      <x:c r="K14" t="s">
        <x:v>663</x:v>
      </x:c>
      <x:c r="M14">
        <x:v>53003072</x:v>
      </x:c>
      <x:c r="N14" t="s">
        <x:v>662</x:v>
      </x:c>
    </x:row>
    <x:row r="15" spans="1:14" x14ac:dyDescent="0.15">
      <x:c r="A15" t="s">
        <x:v>664</x:v>
      </x:c>
      <x:c r="B15" s="2">
        <x:v>53003081</x:v>
      </x:c>
      <x:c r="D15" t="s">
        <x:v>665</x:v>
      </x:c>
      <x:c r="E15">
        <x:f t="shared" si="0"/>
        <x:v>53003151</x:v>
      </x:c>
      <x:c r="F15">
        <x:f t="shared" si="1"/>
        <x:v>53003152</x:v>
      </x:c>
      <x:c r="G15" t="str">
        <x:f t="shared" si="2"/>
        <x:v/>
      </x:c>
      <x:c r="H15" t="str">
        <x:f t="shared" si="3"/>
        <x:v>53003151;53003152</x:v>
      </x:c>
      <x:c r="K15" t="s">
        <x:v>665</x:v>
      </x:c>
      <x:c r="M15">
        <x:v>53003081</x:v>
      </x:c>
      <x:c r="N15" t="s">
        <x:v>664</x:v>
      </x:c>
    </x:row>
    <x:row r="16" spans="1:14" x14ac:dyDescent="0.15">
      <x:c r="A16" t="s">
        <x:v>666</x:v>
      </x:c>
      <x:c r="B16" s="2">
        <x:v>53003082</x:v>
      </x:c>
      <x:c r="D16" t="s">
        <x:v>667</x:v>
      </x:c>
      <x:c r="E16">
        <x:f t="shared" si="0"/>
        <x:v>53004011</x:v>
      </x:c>
      <x:c r="F16">
        <x:f t="shared" si="1"/>
        <x:v>53004012</x:v>
      </x:c>
      <x:c r="G16" t="str">
        <x:f t="shared" si="2"/>
        <x:v/>
      </x:c>
      <x:c r="H16" t="str">
        <x:f t="shared" si="3"/>
        <x:v>53004011;53004012</x:v>
      </x:c>
      <x:c r="K16" t="s">
        <x:v>667</x:v>
      </x:c>
      <x:c r="M16">
        <x:v>53003082</x:v>
      </x:c>
      <x:c r="N16" t="s">
        <x:v>666</x:v>
      </x:c>
    </x:row>
    <x:row r="17" spans="1:14" x14ac:dyDescent="0.15">
      <x:c r="A17" t="s">
        <x:v>668</x:v>
      </x:c>
      <x:c r="B17" s="2">
        <x:v>53003091</x:v>
      </x:c>
      <x:c r="D17" t="s">
        <x:v>669</x:v>
      </x:c>
      <x:c r="E17">
        <x:f t="shared" si="0"/>
        <x:v>53004021</x:v>
      </x:c>
      <x:c r="F17">
        <x:f t="shared" si="1"/>
        <x:v>53004022</x:v>
      </x:c>
      <x:c r="G17" t="str">
        <x:f t="shared" si="2"/>
        <x:v/>
      </x:c>
      <x:c r="H17" t="str">
        <x:f t="shared" si="3"/>
        <x:v>53004021;53004022</x:v>
      </x:c>
      <x:c r="K17" t="s">
        <x:v>669</x:v>
      </x:c>
      <x:c r="M17">
        <x:v>53003091</x:v>
      </x:c>
      <x:c r="N17" t="s">
        <x:v>668</x:v>
      </x:c>
    </x:row>
    <x:row r="18" spans="1:14" x14ac:dyDescent="0.15">
      <x:c r="A18" t="s">
        <x:v>670</x:v>
      </x:c>
      <x:c r="B18" s="2">
        <x:v>53003092</x:v>
      </x:c>
      <x:c r="D18" t="s">
        <x:v>671</x:v>
      </x:c>
      <x:c r="E18">
        <x:f t="shared" si="0"/>
        <x:v>53004031</x:v>
      </x:c>
      <x:c r="F18">
        <x:f t="shared" si="1"/>
        <x:v>53004032</x:v>
      </x:c>
      <x:c r="G18" t="str">
        <x:f t="shared" si="2"/>
        <x:v/>
      </x:c>
      <x:c r="H18" t="str">
        <x:f t="shared" si="3"/>
        <x:v>53004031;53004032</x:v>
      </x:c>
      <x:c r="K18" t="s">
        <x:v>671</x:v>
      </x:c>
      <x:c r="M18">
        <x:v>53003092</x:v>
      </x:c>
      <x:c r="N18" t="s">
        <x:v>670</x:v>
      </x:c>
    </x:row>
    <x:row r="19" spans="1:14" x14ac:dyDescent="0.15">
      <x:c r="A19" t="s">
        <x:v>672</x:v>
      </x:c>
      <x:c r="B19" s="2">
        <x:v>53003101</x:v>
      </x:c>
      <x:c r="D19" t="s">
        <x:v>673</x:v>
      </x:c>
      <x:c r="E19">
        <x:f t="shared" si="0"/>
        <x:v>53004041</x:v>
      </x:c>
      <x:c r="F19">
        <x:f t="shared" si="1"/>
        <x:v>53004042</x:v>
      </x:c>
      <x:c r="G19" t="str">
        <x:f t="shared" si="2"/>
        <x:v/>
      </x:c>
      <x:c r="H19" t="str">
        <x:f t="shared" si="3"/>
        <x:v>53004041;53004042</x:v>
      </x:c>
      <x:c r="K19" t="s">
        <x:v>673</x:v>
      </x:c>
      <x:c r="M19">
        <x:v>53003101</x:v>
      </x:c>
      <x:c r="N19" t="s">
        <x:v>672</x:v>
      </x:c>
    </x:row>
    <x:row r="20" spans="1:14" x14ac:dyDescent="0.15">
      <x:c r="A20" t="s">
        <x:v>674</x:v>
      </x:c>
      <x:c r="B20" s="2">
        <x:v>53003102</x:v>
      </x:c>
      <x:c r="D20" t="s">
        <x:v>675</x:v>
      </x:c>
      <x:c r="E20">
        <x:f t="shared" si="0"/>
        <x:v>53004051</x:v>
      </x:c>
      <x:c r="F20">
        <x:f t="shared" si="1"/>
        <x:v>53004052</x:v>
      </x:c>
      <x:c r="G20" t="str">
        <x:f t="shared" si="2"/>
        <x:v/>
      </x:c>
      <x:c r="H20" t="str">
        <x:f t="shared" si="3"/>
        <x:v>53004051;53004052</x:v>
      </x:c>
      <x:c r="K20" t="s">
        <x:v>675</x:v>
      </x:c>
      <x:c r="M20">
        <x:v>53003102</x:v>
      </x:c>
      <x:c r="N20" t="s">
        <x:v>674</x:v>
      </x:c>
    </x:row>
    <x:row r="21" spans="1:14" x14ac:dyDescent="0.15">
      <x:c r="A21" t="s">
        <x:v>676</x:v>
      </x:c>
      <x:c r="B21" s="2">
        <x:v>53003111</x:v>
      </x:c>
      <x:c r="D21" t="s">
        <x:v>677</x:v>
      </x:c>
      <x:c r="E21">
        <x:f t="shared" si="0"/>
        <x:v>53004061</x:v>
      </x:c>
      <x:c r="F21">
        <x:f t="shared" si="1"/>
        <x:v>53004062</x:v>
      </x:c>
      <x:c r="G21" t="str">
        <x:f t="shared" si="2"/>
        <x:v/>
      </x:c>
      <x:c r="H21" t="str">
        <x:f t="shared" si="3"/>
        <x:v>53004061;53004062</x:v>
      </x:c>
      <x:c r="K21" t="s">
        <x:v>677</x:v>
      </x:c>
      <x:c r="M21">
        <x:v>53003111</x:v>
      </x:c>
      <x:c r="N21" t="s">
        <x:v>676</x:v>
      </x:c>
    </x:row>
    <x:row r="22" spans="1:14" x14ac:dyDescent="0.15">
      <x:c r="A22" t="s">
        <x:v>678</x:v>
      </x:c>
      <x:c r="B22" s="2">
        <x:v>53003112</x:v>
      </x:c>
      <x:c r="D22" t="s">
        <x:v>679</x:v>
      </x:c>
      <x:c r="E22">
        <x:f t="shared" si="0"/>
        <x:v>53004071</x:v>
      </x:c>
      <x:c r="F22">
        <x:f t="shared" si="1"/>
        <x:v>53004072</x:v>
      </x:c>
      <x:c r="G22" t="str">
        <x:f t="shared" si="2"/>
        <x:v/>
      </x:c>
      <x:c r="H22" t="str">
        <x:f t="shared" si="3"/>
        <x:v>53004071;53004072</x:v>
      </x:c>
      <x:c r="K22" t="s">
        <x:v>679</x:v>
      </x:c>
      <x:c r="M22">
        <x:v>53003112</x:v>
      </x:c>
      <x:c r="N22" t="s">
        <x:v>678</x:v>
      </x:c>
    </x:row>
    <x:row r="23" spans="1:14" x14ac:dyDescent="0.15">
      <x:c r="A23" t="s">
        <x:v>680</x:v>
      </x:c>
      <x:c r="B23" s="2">
        <x:v>53003121</x:v>
      </x:c>
      <x:c r="D23" t="s">
        <x:v>681</x:v>
      </x:c>
      <x:c r="E23">
        <x:f t="shared" si="0"/>
        <x:v>53004081</x:v>
      </x:c>
      <x:c r="F23">
        <x:f t="shared" si="1"/>
        <x:v>53004082</x:v>
      </x:c>
      <x:c r="G23" t="str">
        <x:f t="shared" si="2"/>
        <x:v/>
      </x:c>
      <x:c r="H23" t="str">
        <x:f t="shared" si="3"/>
        <x:v>53004081;53004082</x:v>
      </x:c>
      <x:c r="K23" t="s">
        <x:v>681</x:v>
      </x:c>
      <x:c r="M23">
        <x:v>53003121</x:v>
      </x:c>
      <x:c r="N23" t="s">
        <x:v>680</x:v>
      </x:c>
    </x:row>
    <x:row r="24" spans="1:14" x14ac:dyDescent="0.15">
      <x:c r="A24" t="s">
        <x:v>682</x:v>
      </x:c>
      <x:c r="B24" s="2">
        <x:v>53003122</x:v>
      </x:c>
      <x:c r="D24" t="s">
        <x:v>683</x:v>
      </x:c>
      <x:c r="E24">
        <x:f t="shared" si="0"/>
        <x:v>53004091</x:v>
      </x:c>
      <x:c r="F24">
        <x:f t="shared" si="1"/>
        <x:v>53004092</x:v>
      </x:c>
      <x:c r="G24" t="str">
        <x:f t="shared" si="2"/>
        <x:v/>
      </x:c>
      <x:c r="H24" t="str">
        <x:f t="shared" si="3"/>
        <x:v>53004091;53004092</x:v>
      </x:c>
      <x:c r="K24" t="s">
        <x:v>683</x:v>
      </x:c>
      <x:c r="M24">
        <x:v>53003122</x:v>
      </x:c>
      <x:c r="N24" t="s">
        <x:v>682</x:v>
      </x:c>
    </x:row>
    <x:row r="25" spans="1:14" x14ac:dyDescent="0.15">
      <x:c r="A25" t="s">
        <x:v>684</x:v>
      </x:c>
      <x:c r="B25" s="2">
        <x:v>53003131</x:v>
      </x:c>
      <x:c r="D25" t="s">
        <x:v>685</x:v>
      </x:c>
      <x:c r="E25">
        <x:f t="shared" si="0"/>
        <x:v>53004101</x:v>
      </x:c>
      <x:c r="F25">
        <x:f t="shared" si="1"/>
        <x:v>53004102</x:v>
      </x:c>
      <x:c r="G25" t="str">
        <x:f t="shared" si="2"/>
        <x:v/>
      </x:c>
      <x:c r="H25" t="str">
        <x:f t="shared" si="3"/>
        <x:v>53004101;53004102</x:v>
      </x:c>
      <x:c r="K25" t="s">
        <x:v>685</x:v>
      </x:c>
      <x:c r="M25">
        <x:v>53003131</x:v>
      </x:c>
      <x:c r="N25" t="s">
        <x:v>684</x:v>
      </x:c>
    </x:row>
    <x:row r="26" spans="1:14" x14ac:dyDescent="0.15">
      <x:c r="A26" t="s">
        <x:v>686</x:v>
      </x:c>
      <x:c r="B26" s="2">
        <x:v>53003132</x:v>
      </x:c>
      <x:c r="D26" t="s">
        <x:v>687</x:v>
      </x:c>
      <x:c r="E26">
        <x:f t="shared" si="0"/>
        <x:v>53004111</x:v>
      </x:c>
      <x:c r="F26">
        <x:f t="shared" si="1"/>
        <x:v>53004112</x:v>
      </x:c>
      <x:c r="G26" t="str">
        <x:f t="shared" si="2"/>
        <x:v/>
      </x:c>
      <x:c r="H26" t="str">
        <x:f t="shared" si="3"/>
        <x:v>53004111;53004112</x:v>
      </x:c>
      <x:c r="K26" t="s">
        <x:v>687</x:v>
      </x:c>
      <x:c r="M26">
        <x:v>53003132</x:v>
      </x:c>
      <x:c r="N26" t="s">
        <x:v>686</x:v>
      </x:c>
    </x:row>
    <x:row r="27" spans="1:14" x14ac:dyDescent="0.15">
      <x:c r="A27" t="s">
        <x:v>688</x:v>
      </x:c>
      <x:c r="B27" s="2">
        <x:v>53003141</x:v>
      </x:c>
      <x:c r="D27" t="s">
        <x:v>689</x:v>
      </x:c>
      <x:c r="E27">
        <x:f t="shared" si="0"/>
        <x:v>53004121</x:v>
      </x:c>
      <x:c r="F27">
        <x:f t="shared" si="1"/>
        <x:v>53004122</x:v>
      </x:c>
      <x:c r="G27" t="str">
        <x:f t="shared" si="2"/>
        <x:v/>
      </x:c>
      <x:c r="H27" t="str">
        <x:f t="shared" si="3"/>
        <x:v>53004121;53004122</x:v>
      </x:c>
      <x:c r="K27" t="s">
        <x:v>689</x:v>
      </x:c>
      <x:c r="M27">
        <x:v>53003141</x:v>
      </x:c>
      <x:c r="N27" t="s">
        <x:v>688</x:v>
      </x:c>
    </x:row>
    <x:row r="28" spans="1:14" x14ac:dyDescent="0.15">
      <x:c r="A28" t="s">
        <x:v>690</x:v>
      </x:c>
      <x:c r="B28" s="2">
        <x:v>53003142</x:v>
      </x:c>
      <x:c r="D28" t="s">
        <x:v>691</x:v>
      </x:c>
      <x:c r="E28">
        <x:f t="shared" si="0"/>
        <x:v>53004131</x:v>
      </x:c>
      <x:c r="F28">
        <x:f t="shared" si="1"/>
        <x:v>53004132</x:v>
      </x:c>
      <x:c r="G28" t="str">
        <x:f t="shared" si="2"/>
        <x:v/>
      </x:c>
      <x:c r="H28" t="str">
        <x:f t="shared" si="3"/>
        <x:v>53004131;53004132</x:v>
      </x:c>
      <x:c r="K28" t="s">
        <x:v>691</x:v>
      </x:c>
      <x:c r="M28">
        <x:v>53003142</x:v>
      </x:c>
      <x:c r="N28" t="s">
        <x:v>690</x:v>
      </x:c>
    </x:row>
    <x:row r="29" spans="1:14" x14ac:dyDescent="0.15">
      <x:c r="A29" t="s">
        <x:v>692</x:v>
      </x:c>
      <x:c r="B29" s="2">
        <x:v>53003151</x:v>
      </x:c>
      <x:c r="D29" t="s">
        <x:v>693</x:v>
      </x:c>
      <x:c r="E29">
        <x:f t="shared" si="0"/>
        <x:v>53004141</x:v>
      </x:c>
      <x:c r="F29">
        <x:f t="shared" si="1"/>
        <x:v>53004142</x:v>
      </x:c>
      <x:c r="G29" t="str">
        <x:f t="shared" si="2"/>
        <x:v/>
      </x:c>
      <x:c r="H29" t="str">
        <x:f t="shared" si="3"/>
        <x:v>53004141;53004142</x:v>
      </x:c>
      <x:c r="K29" t="s">
        <x:v>693</x:v>
      </x:c>
      <x:c r="M29">
        <x:v>53003151</x:v>
      </x:c>
      <x:c r="N29" t="s">
        <x:v>692</x:v>
      </x:c>
    </x:row>
    <x:row r="30" spans="1:14" x14ac:dyDescent="0.15">
      <x:c r="A30" t="s">
        <x:v>694</x:v>
      </x:c>
      <x:c r="B30" s="2">
        <x:v>53003152</x:v>
      </x:c>
      <x:c r="D30" t="s">
        <x:v>695</x:v>
      </x:c>
      <x:c r="E30">
        <x:f t="shared" si="0"/>
        <x:v>53004151</x:v>
      </x:c>
      <x:c r="F30">
        <x:f t="shared" si="1"/>
        <x:v>53004152</x:v>
      </x:c>
      <x:c r="G30" t="str">
        <x:f t="shared" si="2"/>
        <x:v/>
      </x:c>
      <x:c r="H30" t="str">
        <x:f t="shared" si="3"/>
        <x:v>53004151;53004152</x:v>
      </x:c>
      <x:c r="K30" t="s">
        <x:v>695</x:v>
      </x:c>
      <x:c r="M30">
        <x:v>53003152</x:v>
      </x:c>
      <x:c r="N30" t="s">
        <x:v>694</x:v>
      </x:c>
    </x:row>
    <x:row r="31" spans="1:14" x14ac:dyDescent="0.15">
      <x:c r="A31" t="s">
        <x:v>696</x:v>
      </x:c>
      <x:c r="B31" s="2">
        <x:v>53004011</x:v>
      </x:c>
      <x:c r="D31" t="s">
        <x:v>697</x:v>
      </x:c>
      <x:c r="E31">
        <x:f>VLOOKUP(D31,A:B,2,FALSE)</x:f>
        <x:v>53009004</x:v>
      </x:c>
      <x:c r="G31" t="str">
        <x:f t="shared" si="2"/>
        <x:v/>
      </x:c>
      <x:c r="H31" t="str">
        <x:f t="shared" si="3"/>
        <x:v>53009004</x:v>
      </x:c>
      <x:c r="K31" t="s">
        <x:v>698</x:v>
      </x:c>
      <x:c r="M31">
        <x:v>53004011</x:v>
      </x:c>
      <x:c r="N31" t="s">
        <x:v>696</x:v>
      </x:c>
    </x:row>
    <x:row r="32" spans="1:14" x14ac:dyDescent="0.15">
      <x:c r="A32" t="s">
        <x:v>699</x:v>
      </x:c>
      <x:c r="B32" s="2">
        <x:v>53004012</x:v>
      </x:c>
      <x:c r="M32">
        <x:v>53004012</x:v>
      </x:c>
      <x:c r="N32" t="s">
        <x:v>699</x:v>
      </x:c>
    </x:row>
    <x:row r="33" spans="1:14" x14ac:dyDescent="0.15">
      <x:c r="A33" t="s">
        <x:v>700</x:v>
      </x:c>
      <x:c r="B33" s="2">
        <x:v>53004021</x:v>
      </x:c>
      <x:c r="M33">
        <x:v>53004021</x:v>
      </x:c>
      <x:c r="N33" t="s">
        <x:v>700</x:v>
      </x:c>
    </x:row>
    <x:row r="34" spans="1:14" x14ac:dyDescent="0.15">
      <x:c r="A34" t="s">
        <x:v>701</x:v>
      </x:c>
      <x:c r="B34" s="2">
        <x:v>53004022</x:v>
      </x:c>
      <x:c r="M34">
        <x:v>53004022</x:v>
      </x:c>
      <x:c r="N34" t="s">
        <x:v>701</x:v>
      </x:c>
    </x:row>
    <x:row r="35" spans="1:14" x14ac:dyDescent="0.15">
      <x:c r="A35" t="s">
        <x:v>702</x:v>
      </x:c>
      <x:c r="B35" s="2">
        <x:v>53004031</x:v>
      </x:c>
      <x:c r="M35">
        <x:v>53004031</x:v>
      </x:c>
      <x:c r="N35" t="s">
        <x:v>702</x:v>
      </x:c>
    </x:row>
    <x:row r="36" spans="1:14" x14ac:dyDescent="0.15">
      <x:c r="A36" t="s">
        <x:v>703</x:v>
      </x:c>
      <x:c r="B36" s="2">
        <x:v>53004032</x:v>
      </x:c>
      <x:c r="M36">
        <x:v>53004032</x:v>
      </x:c>
      <x:c r="N36" t="s">
        <x:v>703</x:v>
      </x:c>
    </x:row>
    <x:row r="37" spans="1:14" x14ac:dyDescent="0.15">
      <x:c r="A37" t="s">
        <x:v>704</x:v>
      </x:c>
      <x:c r="B37" s="2">
        <x:v>53004041</x:v>
      </x:c>
      <x:c r="M37">
        <x:v>53004041</x:v>
      </x:c>
      <x:c r="N37" t="s">
        <x:v>704</x:v>
      </x:c>
    </x:row>
    <x:row r="38" spans="1:14" x14ac:dyDescent="0.15">
      <x:c r="A38" t="s">
        <x:v>705</x:v>
      </x:c>
      <x:c r="B38" s="2">
        <x:v>53004042</x:v>
      </x:c>
      <x:c r="M38">
        <x:v>53004042</x:v>
      </x:c>
      <x:c r="N38" t="s">
        <x:v>705</x:v>
      </x:c>
    </x:row>
    <x:row r="39" spans="1:14" x14ac:dyDescent="0.15">
      <x:c r="A39" t="s">
        <x:v>706</x:v>
      </x:c>
      <x:c r="B39" s="2">
        <x:v>53004051</x:v>
      </x:c>
      <x:c r="M39">
        <x:v>53004051</x:v>
      </x:c>
      <x:c r="N39" t="s">
        <x:v>706</x:v>
      </x:c>
    </x:row>
    <x:row r="40" spans="1:14" x14ac:dyDescent="0.15">
      <x:c r="A40" t="s">
        <x:v>707</x:v>
      </x:c>
      <x:c r="B40" s="2">
        <x:v>53004052</x:v>
      </x:c>
      <x:c r="M40">
        <x:v>53004052</x:v>
      </x:c>
      <x:c r="N40" t="s">
        <x:v>707</x:v>
      </x:c>
    </x:row>
    <x:row r="41" spans="1:14" x14ac:dyDescent="0.15">
      <x:c r="A41" t="s">
        <x:v>708</x:v>
      </x:c>
      <x:c r="B41" s="2">
        <x:v>53004061</x:v>
      </x:c>
      <x:c r="M41">
        <x:v>53004061</x:v>
      </x:c>
      <x:c r="N41" t="s">
        <x:v>708</x:v>
      </x:c>
    </x:row>
    <x:row r="42" spans="1:14" x14ac:dyDescent="0.15">
      <x:c r="A42" t="s">
        <x:v>709</x:v>
      </x:c>
      <x:c r="B42" s="2">
        <x:v>53004062</x:v>
      </x:c>
      <x:c r="M42">
        <x:v>53004062</x:v>
      </x:c>
      <x:c r="N42" t="s">
        <x:v>709</x:v>
      </x:c>
    </x:row>
    <x:row r="43" spans="1:14" x14ac:dyDescent="0.15">
      <x:c r="A43" t="s">
        <x:v>710</x:v>
      </x:c>
      <x:c r="B43" s="2">
        <x:v>53004071</x:v>
      </x:c>
      <x:c r="M43">
        <x:v>53004071</x:v>
      </x:c>
      <x:c r="N43" t="s">
        <x:v>710</x:v>
      </x:c>
    </x:row>
    <x:row r="44" spans="1:14" x14ac:dyDescent="0.15">
      <x:c r="A44" t="s">
        <x:v>711</x:v>
      </x:c>
      <x:c r="B44" s="2">
        <x:v>53004072</x:v>
      </x:c>
      <x:c r="M44">
        <x:v>53004072</x:v>
      </x:c>
      <x:c r="N44" t="s">
        <x:v>711</x:v>
      </x:c>
    </x:row>
    <x:row r="45" spans="1:14" x14ac:dyDescent="0.15">
      <x:c r="A45" t="s">
        <x:v>712</x:v>
      </x:c>
      <x:c r="B45" s="2">
        <x:v>53004081</x:v>
      </x:c>
      <x:c r="M45">
        <x:v>53004081</x:v>
      </x:c>
      <x:c r="N45" t="s">
        <x:v>712</x:v>
      </x:c>
    </x:row>
    <x:row r="46" spans="1:14" x14ac:dyDescent="0.15">
      <x:c r="A46" t="s">
        <x:v>713</x:v>
      </x:c>
      <x:c r="B46" s="2">
        <x:v>53004082</x:v>
      </x:c>
      <x:c r="M46">
        <x:v>53004082</x:v>
      </x:c>
      <x:c r="N46" t="s">
        <x:v>713</x:v>
      </x:c>
    </x:row>
    <x:row r="47" spans="1:14" x14ac:dyDescent="0.15">
      <x:c r="A47" t="s">
        <x:v>714</x:v>
      </x:c>
      <x:c r="B47" s="2">
        <x:v>53004091</x:v>
      </x:c>
      <x:c r="M47">
        <x:v>53004091</x:v>
      </x:c>
      <x:c r="N47" t="s">
        <x:v>714</x:v>
      </x:c>
    </x:row>
    <x:row r="48" spans="1:14" x14ac:dyDescent="0.15">
      <x:c r="A48" t="s">
        <x:v>715</x:v>
      </x:c>
      <x:c r="B48" s="2">
        <x:v>53004092</x:v>
      </x:c>
      <x:c r="M48">
        <x:v>53004092</x:v>
      </x:c>
      <x:c r="N48" t="s">
        <x:v>715</x:v>
      </x:c>
    </x:row>
    <x:row r="49" spans="1:14" x14ac:dyDescent="0.15">
      <x:c r="A49" t="s">
        <x:v>716</x:v>
      </x:c>
      <x:c r="B49" s="2">
        <x:v>53004101</x:v>
      </x:c>
      <x:c r="M49">
        <x:v>53004101</x:v>
      </x:c>
      <x:c r="N49" t="s">
        <x:v>716</x:v>
      </x:c>
    </x:row>
    <x:row r="50" spans="1:14" x14ac:dyDescent="0.15">
      <x:c r="A50" t="s">
        <x:v>717</x:v>
      </x:c>
      <x:c r="B50" s="2">
        <x:v>53004102</x:v>
      </x:c>
      <x:c r="M50">
        <x:v>53004102</x:v>
      </x:c>
      <x:c r="N50" t="s">
        <x:v>717</x:v>
      </x:c>
    </x:row>
    <x:row r="51" spans="1:14" x14ac:dyDescent="0.15">
      <x:c r="A51" t="s">
        <x:v>718</x:v>
      </x:c>
      <x:c r="B51" s="2">
        <x:v>53004111</x:v>
      </x:c>
      <x:c r="M51">
        <x:v>53004111</x:v>
      </x:c>
      <x:c r="N51" t="s">
        <x:v>718</x:v>
      </x:c>
    </x:row>
    <x:row r="52" spans="1:14" x14ac:dyDescent="0.15">
      <x:c r="A52" t="s">
        <x:v>719</x:v>
      </x:c>
      <x:c r="B52" s="2">
        <x:v>53004112</x:v>
      </x:c>
      <x:c r="M52">
        <x:v>53004112</x:v>
      </x:c>
      <x:c r="N52" t="s">
        <x:v>719</x:v>
      </x:c>
    </x:row>
    <x:row r="53" spans="1:14" x14ac:dyDescent="0.15">
      <x:c r="A53" t="s">
        <x:v>720</x:v>
      </x:c>
      <x:c r="B53" s="2">
        <x:v>53004121</x:v>
      </x:c>
      <x:c r="M53">
        <x:v>53004121</x:v>
      </x:c>
      <x:c r="N53" t="s">
        <x:v>720</x:v>
      </x:c>
    </x:row>
    <x:row r="54" spans="1:14" x14ac:dyDescent="0.15">
      <x:c r="A54" t="s">
        <x:v>721</x:v>
      </x:c>
      <x:c r="B54" s="2">
        <x:v>53004122</x:v>
      </x:c>
      <x:c r="M54">
        <x:v>53004122</x:v>
      </x:c>
      <x:c r="N54" t="s">
        <x:v>721</x:v>
      </x:c>
    </x:row>
    <x:row r="55" spans="1:14" x14ac:dyDescent="0.15">
      <x:c r="A55" t="s">
        <x:v>722</x:v>
      </x:c>
      <x:c r="B55" s="2">
        <x:v>53004131</x:v>
      </x:c>
      <x:c r="M55">
        <x:v>53004131</x:v>
      </x:c>
      <x:c r="N55" t="s">
        <x:v>722</x:v>
      </x:c>
    </x:row>
    <x:row r="56" spans="1:14" x14ac:dyDescent="0.15">
      <x:c r="A56" t="s">
        <x:v>723</x:v>
      </x:c>
      <x:c r="B56" s="2">
        <x:v>53004132</x:v>
      </x:c>
      <x:c r="M56">
        <x:v>53004132</x:v>
      </x:c>
      <x:c r="N56" t="s">
        <x:v>723</x:v>
      </x:c>
    </x:row>
    <x:row r="57" spans="1:14" x14ac:dyDescent="0.15">
      <x:c r="A57" t="s">
        <x:v>724</x:v>
      </x:c>
      <x:c r="B57" s="2">
        <x:v>53004141</x:v>
      </x:c>
      <x:c r="M57">
        <x:v>53004141</x:v>
      </x:c>
      <x:c r="N57" t="s">
        <x:v>724</x:v>
      </x:c>
    </x:row>
    <x:row r="58" spans="1:14" x14ac:dyDescent="0.15">
      <x:c r="A58" t="s">
        <x:v>725</x:v>
      </x:c>
      <x:c r="B58" s="2">
        <x:v>53004142</x:v>
      </x:c>
      <x:c r="M58">
        <x:v>53004142</x:v>
      </x:c>
      <x:c r="N58" t="s">
        <x:v>725</x:v>
      </x:c>
    </x:row>
    <x:row r="59" spans="1:14" x14ac:dyDescent="0.15">
      <x:c r="A59" t="s">
        <x:v>726</x:v>
      </x:c>
      <x:c r="B59" s="2">
        <x:v>53004151</x:v>
      </x:c>
      <x:c r="M59">
        <x:v>53004151</x:v>
      </x:c>
      <x:c r="N59" t="s">
        <x:v>726</x:v>
      </x:c>
    </x:row>
    <x:row r="60" spans="1:14" x14ac:dyDescent="0.15">
      <x:c r="A60" t="s">
        <x:v>727</x:v>
      </x:c>
      <x:c r="B60" s="2">
        <x:v>53004152</x:v>
      </x:c>
      <x:c r="M60">
        <x:v>53004152</x:v>
      </x:c>
      <x:c r="N60" t="s">
        <x:v>727</x:v>
      </x:c>
    </x:row>
    <x:row r="61" spans="1:14" x14ac:dyDescent="0.15">
      <x:c r="A61" t="s">
        <x:v>697</x:v>
      </x:c>
      <x:c r="B61" s="2">
        <x:v>53009004</x:v>
      </x:c>
      <x:c r="M61">
        <x:v>53009004</x:v>
      </x:c>
      <x:c r="N61" t="s">
        <x:v>697</x:v>
      </x:c>
    </x:row>
    <x:row r="62" spans="1:14" x14ac:dyDescent="0.15">
      <x:c r="B62" s="2"/>
    </x:row>
    <x:row r="63" spans="1:14" x14ac:dyDescent="0.15">
      <x:c r="B63" s="2"/>
    </x:row>
  </x:sheetData>
  <x:phoneticPr fontId="5" type="noConversion"/>
  <x:pageMargins left="0.75" right="0.75" top="1" bottom="1" header="0.5" footer="0.5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Sheet5"/>
  <x:dimension ref="A1:N722"/>
  <x:sheetViews>
    <x:sheetView workbookViewId="0">
      <x:selection activeCell="G2" sqref="G2:G32"/>
    </x:sheetView>
  </x:sheetViews>
  <x:sheetFormatPr defaultColWidth="9" defaultRowHeight="13.5" x14ac:dyDescent="0.15"/>
  <x:cols>
    <x:col min="1" max="1" width="9.375" customWidth="1"/>
    <x:col min="2" max="2" width="26" customWidth="1"/>
    <x:col min="3" max="3" width="9.375" customWidth="1"/>
    <x:col min="4" max="4" width="14.875" customWidth="1"/>
    <x:col min="5" max="5" width="10.375"/>
    <x:col min="6" max="6" width="23.75" customWidth="1"/>
    <x:col min="7" max="7" width="14.875" customWidth="1"/>
    <x:col min="8" max="8" width="20.25" customWidth="1"/>
    <x:col min="9" max="9" width="14.875" customWidth="1"/>
    <x:col min="10" max="11" width="2.375" customWidth="1"/>
    <x:col min="12" max="12" width="1.625" style="1" customWidth="1"/>
    <x:col min="13" max="13" width="9.375"/>
  </x:cols>
  <x:sheetData>
    <x:row r="1" spans="1:14" x14ac:dyDescent="0.15">
      <x:c r="B1" t="s">
        <x:v>206</x:v>
      </x:c>
      <x:c r="C1" t="s">
        <x:v>207</x:v>
      </x:c>
      <x:c r="D1" t="s">
        <x:v>208</x:v>
      </x:c>
      <x:c r="G1" t="s">
        <x:v>208</x:v>
      </x:c>
      <x:c r="H1" t="s">
        <x:v>209</x:v>
      </x:c>
      <x:c r="M1" t="s">
        <x:v>210</x:v>
      </x:c>
      <x:c r="N1" t="s">
        <x:v>211</x:v>
      </x:c>
    </x:row>
    <x:row r="2" spans="1:14" x14ac:dyDescent="0.15">
      <x:c r="A2">
        <x:v>53003011</x:v>
      </x:c>
      <x:c r="B2" t="s">
        <x:v>636</x:v>
      </x:c>
      <x:c r="C2">
        <x:v>121274</x:v>
      </x:c>
      <x:c r="D2" t="str">
        <x:f>VLOOKUP(C2,M:N,2,FALSE)</x:f>
        <x:v>hero_2d_21247</x:v>
      </x:c>
      <x:c r="F2" s="2" t="s">
        <x:v>637</x:v>
      </x:c>
      <x:c r="G2" t="str">
        <x:f>INDEX(D:D,MATCH(F2&amp;"-1",B:B,0))</x:f>
        <x:v>hero_2d_21247</x:v>
      </x:c>
      <x:c r="H2">
        <x:f t="shared" ref="H2:H32" si="0">COUNTIFS(B:B,F2&amp;"-2",D:D,G2)</x:f>
        <x:v>0</x:v>
      </x:c>
      <x:c r="I2" t="s">
        <x:v>99</x:v>
      </x:c>
      <x:c r="J2">
        <x:f t="shared" ref="J2:J32" si="1">COUNTIFS(B:B,F2&amp;"-1",D:D,I2)</x:f>
        <x:v>0</x:v>
      </x:c>
      <x:c r="K2">
        <x:f t="shared" ref="K2:K32" si="2">COUNTIFS(B:B,F2&amp;"-2",D:D,I2)</x:f>
        <x:v>0</x:v>
      </x:c>
      <x:c r="M2" t="s">
        <x:v>728</x:v>
      </x:c>
      <x:c r="N2" t="s">
        <x:v>212</x:v>
      </x:c>
    </x:row>
    <x:row r="3" spans="1:14" x14ac:dyDescent="0.15">
      <x:c r="A3">
        <x:v>53003011</x:v>
      </x:c>
      <x:c r="B3" t="s">
        <x:v>636</x:v>
      </x:c>
      <x:c r="C3">
        <x:v>121274</x:v>
      </x:c>
      <x:c r="D3" t="str">
        <x:f t="shared" ref="D3:D34" si="3">VLOOKUP(C3,M:N,2,FALSE)</x:f>
        <x:v>hero_2d_21247</x:v>
      </x:c>
      <x:c r="F3" s="2" t="s">
        <x:v>639</x:v>
      </x:c>
      <x:c r="G3" t="str">
        <x:f>INDEX(D:D,MATCH(F3&amp;"-1",B:B,0))</x:f>
        <x:v>hero_2d_21246</x:v>
      </x:c>
      <x:c r="H3">
        <x:f t="shared" si="0"/>
        <x:v>1</x:v>
      </x:c>
      <x:c r="I3" t="s">
        <x:v>99</x:v>
      </x:c>
      <x:c r="J3">
        <x:f t="shared" si="1"/>
        <x:v>0</x:v>
      </x:c>
      <x:c r="K3">
        <x:f t="shared" si="2"/>
        <x:v>0</x:v>
      </x:c>
      <x:c r="M3">
        <x:v>111002</x:v>
      </x:c>
      <x:c r="N3" t="s">
        <x:v>213</x:v>
      </x:c>
    </x:row>
    <x:row r="4" spans="1:14" x14ac:dyDescent="0.15">
      <x:c r="A4">
        <x:v>53003012</x:v>
      </x:c>
      <x:c r="B4" t="s">
        <x:v>638</x:v>
      </x:c>
      <x:c r="C4">
        <x:v>121273</x:v>
      </x:c>
      <x:c r="D4" t="str">
        <x:f t="shared" si="3"/>
        <x:v>hero_2d_21246</x:v>
      </x:c>
      <x:c r="F4" s="2" t="s">
        <x:v>641</x:v>
      </x:c>
      <x:c r="G4" t="str">
        <x:f t="shared" ref="G4:G31" si="4">INDEX(D:D,MATCH(F4&amp;"-1",B:B,0))</x:f>
        <x:v>hero_2d_21246</x:v>
      </x:c>
      <x:c r="H4">
        <x:f t="shared" si="0"/>
        <x:v>3</x:v>
      </x:c>
      <x:c r="I4" t="s">
        <x:v>104</x:v>
      </x:c>
      <x:c r="J4">
        <x:f t="shared" si="1"/>
        <x:v>0</x:v>
      </x:c>
      <x:c r="K4">
        <x:f t="shared" si="2"/>
        <x:v>0</x:v>
      </x:c>
      <x:c r="M4">
        <x:v>111003</x:v>
      </x:c>
      <x:c r="N4" t="s">
        <x:v>214</x:v>
      </x:c>
    </x:row>
    <x:row r="5" spans="1:14" x14ac:dyDescent="0.15">
      <x:c r="A5">
        <x:v>53003012</x:v>
      </x:c>
      <x:c r="B5" t="s">
        <x:v>638</x:v>
      </x:c>
      <x:c r="C5">
        <x:v>121273</x:v>
      </x:c>
      <x:c r="D5" t="str">
        <x:f t="shared" si="3"/>
        <x:v>hero_2d_21246</x:v>
      </x:c>
      <x:c r="F5" s="2" t="s">
        <x:v>643</x:v>
      </x:c>
      <x:c r="G5" t="str">
        <x:f>INDEX(D:D,MATCH(F5&amp;"-1",B:B,0)+2)</x:f>
        <x:v>hero_2d_21248</x:v>
      </x:c>
      <x:c r="H5">
        <x:f t="shared" si="0"/>
        <x:v>1</x:v>
      </x:c>
      <x:c r="I5" t="s">
        <x:v>107</x:v>
      </x:c>
      <x:c r="J5">
        <x:f t="shared" si="1"/>
        <x:v>0</x:v>
      </x:c>
      <x:c r="K5">
        <x:f t="shared" si="2"/>
        <x:v>0</x:v>
      </x:c>
      <x:c r="M5">
        <x:v>111004</x:v>
      </x:c>
      <x:c r="N5" t="s">
        <x:v>215</x:v>
      </x:c>
    </x:row>
    <x:row r="6" spans="1:14" x14ac:dyDescent="0.15">
      <x:c r="A6">
        <x:v>53003021</x:v>
      </x:c>
      <x:c r="B6" t="s">
        <x:v>640</x:v>
      </x:c>
      <x:c r="C6">
        <x:v>121273</x:v>
      </x:c>
      <x:c r="D6" t="str">
        <x:f t="shared" si="3"/>
        <x:v>hero_2d_21246</x:v>
      </x:c>
      <x:c r="F6" s="2" t="s">
        <x:v>645</x:v>
      </x:c>
      <x:c r="G6" t="str">
        <x:f t="shared" si="4"/>
        <x:v>hero_2d_21246</x:v>
      </x:c>
      <x:c r="H6">
        <x:f t="shared" si="0"/>
        <x:v>2</x:v>
      </x:c>
      <x:c r="I6" t="s">
        <x:v>110</x:v>
      </x:c>
      <x:c r="J6">
        <x:f t="shared" si="1"/>
        <x:v>0</x:v>
      </x:c>
      <x:c r="K6">
        <x:f t="shared" si="2"/>
        <x:v>0</x:v>
      </x:c>
      <x:c r="M6">
        <x:v>111005</x:v>
      </x:c>
      <x:c r="N6" t="s">
        <x:v>216</x:v>
      </x:c>
    </x:row>
    <x:row r="7" spans="1:14" x14ac:dyDescent="0.15">
      <x:c r="A7">
        <x:v>53003021</x:v>
      </x:c>
      <x:c r="B7" t="s">
        <x:v>640</x:v>
      </x:c>
      <x:c r="C7">
        <x:v>121273</x:v>
      </x:c>
      <x:c r="D7" t="str">
        <x:f t="shared" si="3"/>
        <x:v>hero_2d_21246</x:v>
      </x:c>
      <x:c r="F7" s="2" t="s">
        <x:v>647</x:v>
      </x:c>
      <x:c r="G7" t="str">
        <x:f t="shared" si="4"/>
        <x:v>hero_2d_21246</x:v>
      </x:c>
      <x:c r="H7">
        <x:f t="shared" si="0"/>
        <x:v>2</x:v>
      </x:c>
      <x:c r="I7" t="s">
        <x:v>99</x:v>
      </x:c>
      <x:c r="J7">
        <x:f t="shared" si="1"/>
        <x:v>0</x:v>
      </x:c>
      <x:c r="K7">
        <x:f t="shared" si="2"/>
        <x:v>0</x:v>
      </x:c>
      <x:c r="M7">
        <x:v>111006</x:v>
      </x:c>
      <x:c r="N7" t="s">
        <x:v>217</x:v>
      </x:c>
    </x:row>
    <x:row r="8" spans="1:14" x14ac:dyDescent="0.15">
      <x:c r="A8">
        <x:v>53003021</x:v>
      </x:c>
      <x:c r="B8" t="s">
        <x:v>640</x:v>
      </x:c>
      <x:c r="C8">
        <x:v>121273</x:v>
      </x:c>
      <x:c r="D8" t="str">
        <x:f t="shared" si="3"/>
        <x:v>hero_2d_21246</x:v>
      </x:c>
      <x:c r="F8" s="2" t="s">
        <x:v>649</x:v>
      </x:c>
      <x:c r="G8" t="str">
        <x:f>INDEX(D:D,MATCH(F8&amp;"-1",B:B,0)+3)</x:f>
        <x:v>hero_2d_21248</x:v>
      </x:c>
      <x:c r="H8">
        <x:f t="shared" si="0"/>
        <x:v>1</x:v>
      </x:c>
      <x:c r="I8" t="s">
        <x:v>115</x:v>
      </x:c>
      <x:c r="J8">
        <x:f t="shared" si="1"/>
        <x:v>0</x:v>
      </x:c>
      <x:c r="K8">
        <x:f t="shared" si="2"/>
        <x:v>0</x:v>
      </x:c>
      <x:c r="M8">
        <x:v>111007</x:v>
      </x:c>
      <x:c r="N8" t="s">
        <x:v>218</x:v>
      </x:c>
    </x:row>
    <x:row r="9" spans="1:14" x14ac:dyDescent="0.15">
      <x:c r="A9">
        <x:v>53003021</x:v>
      </x:c>
      <x:c r="B9" t="s">
        <x:v>640</x:v>
      </x:c>
      <x:c r="C9">
        <x:v>121274</x:v>
      </x:c>
      <x:c r="D9" t="str">
        <x:f t="shared" si="3"/>
        <x:v>hero_2d_21247</x:v>
      </x:c>
      <x:c r="F9" s="2" t="s">
        <x:v>651</x:v>
      </x:c>
      <x:c r="G9" t="str">
        <x:f t="shared" si="4"/>
        <x:v>hero_2d_21246</x:v>
      </x:c>
      <x:c r="H9">
        <x:f t="shared" si="0"/>
        <x:v>2</x:v>
      </x:c>
      <x:c r="I9" t="s">
        <x:v>118</x:v>
      </x:c>
      <x:c r="J9">
        <x:f t="shared" si="1"/>
        <x:v>0</x:v>
      </x:c>
      <x:c r="K9">
        <x:f t="shared" si="2"/>
        <x:v>0</x:v>
      </x:c>
      <x:c r="M9">
        <x:v>111008</x:v>
      </x:c>
      <x:c r="N9" t="s">
        <x:v>219</x:v>
      </x:c>
    </x:row>
    <x:row r="10" spans="1:14" x14ac:dyDescent="0.15">
      <x:c r="A10">
        <x:v>53003022</x:v>
      </x:c>
      <x:c r="B10" t="s">
        <x:v>642</x:v>
      </x:c>
      <x:c r="C10">
        <x:v>121273</x:v>
      </x:c>
      <x:c r="D10" t="str">
        <x:f t="shared" si="3"/>
        <x:v>hero_2d_21246</x:v>
      </x:c>
      <x:c r="F10" s="2" t="s">
        <x:v>653</x:v>
      </x:c>
      <x:c r="G10" t="str">
        <x:f t="shared" si="4"/>
        <x:v>hero_2d_3079</x:v>
      </x:c>
      <x:c r="H10">
        <x:f t="shared" si="0"/>
        <x:v>1</x:v>
      </x:c>
      <x:c r="I10" t="s">
        <x:v>121</x:v>
      </x:c>
      <x:c r="J10">
        <x:f t="shared" si="1"/>
        <x:v>0</x:v>
      </x:c>
      <x:c r="K10">
        <x:f t="shared" si="2"/>
        <x:v>0</x:v>
      </x:c>
      <x:c r="M10">
        <x:v>111009</x:v>
      </x:c>
      <x:c r="N10" t="s">
        <x:v>220</x:v>
      </x:c>
    </x:row>
    <x:row r="11" spans="1:14" x14ac:dyDescent="0.15">
      <x:c r="A11">
        <x:v>53003022</x:v>
      </x:c>
      <x:c r="B11" t="s">
        <x:v>642</x:v>
      </x:c>
      <x:c r="C11">
        <x:v>121274</x:v>
      </x:c>
      <x:c r="D11" t="str">
        <x:f t="shared" si="3"/>
        <x:v>hero_2d_21247</x:v>
      </x:c>
      <x:c r="F11" s="2" t="s">
        <x:v>655</x:v>
      </x:c>
      <x:c r="G11" t="str">
        <x:f t="shared" si="4"/>
        <x:v>hero_2d_21248</x:v>
      </x:c>
      <x:c r="H11">
        <x:f t="shared" si="0"/>
        <x:v>1</x:v>
      </x:c>
      <x:c r="I11" t="s">
        <x:v>124</x:v>
      </x:c>
      <x:c r="J11">
        <x:f t="shared" si="1"/>
        <x:v>0</x:v>
      </x:c>
      <x:c r="K11">
        <x:f t="shared" si="2"/>
        <x:v>0</x:v>
      </x:c>
      <x:c r="M11">
        <x:v>111010</x:v>
      </x:c>
      <x:c r="N11" t="s">
        <x:v>221</x:v>
      </x:c>
    </x:row>
    <x:row r="12" spans="1:14" x14ac:dyDescent="0.15">
      <x:c r="A12">
        <x:v>53003022</x:v>
      </x:c>
      <x:c r="B12" t="s">
        <x:v>642</x:v>
      </x:c>
      <x:c r="C12">
        <x:v>121274</x:v>
      </x:c>
      <x:c r="D12" t="str">
        <x:f t="shared" si="3"/>
        <x:v>hero_2d_21247</x:v>
      </x:c>
      <x:c r="F12" s="2" t="s">
        <x:v>657</x:v>
      </x:c>
      <x:c r="G12" t="str">
        <x:f t="shared" si="4"/>
        <x:v>hero_2d_3068</x:v>
      </x:c>
      <x:c r="H12">
        <x:f t="shared" si="0"/>
        <x:v>1</x:v>
      </x:c>
      <x:c r="I12" t="s">
        <x:v>127</x:v>
      </x:c>
      <x:c r="J12">
        <x:f t="shared" si="1"/>
        <x:v>0</x:v>
      </x:c>
      <x:c r="K12">
        <x:f t="shared" si="2"/>
        <x:v>0</x:v>
      </x:c>
      <x:c r="M12">
        <x:v>111011</x:v>
      </x:c>
      <x:c r="N12" t="s">
        <x:v>107</x:v>
      </x:c>
    </x:row>
    <x:row r="13" spans="1:14" x14ac:dyDescent="0.15">
      <x:c r="A13">
        <x:v>53003022</x:v>
      </x:c>
      <x:c r="B13" t="s">
        <x:v>642</x:v>
      </x:c>
      <x:c r="C13">
        <x:v>121274</x:v>
      </x:c>
      <x:c r="D13" t="str">
        <x:f t="shared" si="3"/>
        <x:v>hero_2d_21247</x:v>
      </x:c>
      <x:c r="F13" s="2" t="s">
        <x:v>659</x:v>
      </x:c>
      <x:c r="G13" t="str">
        <x:f t="shared" si="4"/>
        <x:v>hero_2d_3073</x:v>
      </x:c>
      <x:c r="H13">
        <x:f t="shared" si="0"/>
        <x:v>1</x:v>
      </x:c>
      <x:c r="I13" t="s">
        <x:v>130</x:v>
      </x:c>
      <x:c r="J13">
        <x:f t="shared" si="1"/>
        <x:v>0</x:v>
      </x:c>
      <x:c r="K13">
        <x:f t="shared" si="2"/>
        <x:v>0</x:v>
      </x:c>
      <x:c r="M13">
        <x:v>111012</x:v>
      </x:c>
      <x:c r="N13" t="s">
        <x:v>121</x:v>
      </x:c>
    </x:row>
    <x:row r="14" spans="1:14" x14ac:dyDescent="0.15">
      <x:c r="A14">
        <x:v>53003031</x:v>
      </x:c>
      <x:c r="B14" t="s">
        <x:v>644</x:v>
      </x:c>
      <x:c r="C14">
        <x:v>121273</x:v>
      </x:c>
      <x:c r="D14" t="str">
        <x:f t="shared" si="3"/>
        <x:v>hero_2d_21246</x:v>
      </x:c>
      <x:c r="F14" s="2" t="s">
        <x:v>661</x:v>
      </x:c>
      <x:c r="G14" t="str">
        <x:f t="shared" si="4"/>
        <x:v>hero_2d_3078</x:v>
      </x:c>
      <x:c r="H14">
        <x:f t="shared" si="0"/>
        <x:v>1</x:v>
      </x:c>
      <x:c r="I14" t="s">
        <x:v>133</x:v>
      </x:c>
      <x:c r="J14">
        <x:f t="shared" si="1"/>
        <x:v>0</x:v>
      </x:c>
      <x:c r="K14">
        <x:f t="shared" si="2"/>
        <x:v>0</x:v>
      </x:c>
      <x:c r="M14">
        <x:v>111013</x:v>
      </x:c>
      <x:c r="N14" t="s">
        <x:v>222</x:v>
      </x:c>
    </x:row>
    <x:row r="15" spans="1:14" x14ac:dyDescent="0.15">
      <x:c r="A15">
        <x:v>53003031</x:v>
      </x:c>
      <x:c r="B15" t="s">
        <x:v>644</x:v>
      </x:c>
      <x:c r="C15">
        <x:v>121273</x:v>
      </x:c>
      <x:c r="D15" t="str">
        <x:f t="shared" si="3"/>
        <x:v>hero_2d_21246</x:v>
      </x:c>
      <x:c r="F15" s="2" t="s">
        <x:v>663</x:v>
      </x:c>
      <x:c r="G15" t="str">
        <x:f t="shared" si="4"/>
        <x:v>hero_2d_3078</x:v>
      </x:c>
      <x:c r="H15">
        <x:f t="shared" si="0"/>
        <x:v>0</x:v>
      </x:c>
      <x:c r="I15" t="s">
        <x:v>136</x:v>
      </x:c>
      <x:c r="J15">
        <x:f t="shared" si="1"/>
        <x:v>0</x:v>
      </x:c>
      <x:c r="K15">
        <x:f t="shared" si="2"/>
        <x:v>0</x:v>
      </x:c>
      <x:c r="M15">
        <x:v>111014</x:v>
      </x:c>
      <x:c r="N15" t="s">
        <x:v>223</x:v>
      </x:c>
    </x:row>
    <x:row r="16" spans="1:14" x14ac:dyDescent="0.15">
      <x:c r="A16">
        <x:v>53003031</x:v>
      </x:c>
      <x:c r="B16" t="s">
        <x:v>644</x:v>
      </x:c>
      <x:c r="C16">
        <x:v>121274</x:v>
      </x:c>
      <x:c r="D16" t="str">
        <x:f t="shared" si="3"/>
        <x:v>hero_2d_21247</x:v>
      </x:c>
      <x:c r="F16" s="2" t="s">
        <x:v>665</x:v>
      </x:c>
      <x:c r="G16" t="str">
        <x:f t="shared" si="4"/>
        <x:v>hero_2d_3078</x:v>
      </x:c>
      <x:c r="H16">
        <x:f t="shared" si="0"/>
        <x:v>1</x:v>
      </x:c>
      <x:c r="I16" t="s">
        <x:v>139</x:v>
      </x:c>
      <x:c r="J16">
        <x:f t="shared" si="1"/>
        <x:v>0</x:v>
      </x:c>
      <x:c r="K16">
        <x:f t="shared" si="2"/>
        <x:v>0</x:v>
      </x:c>
      <x:c r="M16">
        <x:v>111015</x:v>
      </x:c>
      <x:c r="N16" t="s">
        <x:v>124</x:v>
      </x:c>
    </x:row>
    <x:row r="17" spans="1:14" x14ac:dyDescent="0.15">
      <x:c r="A17">
        <x:v>53003032</x:v>
      </x:c>
      <x:c r="B17" t="s">
        <x:v>646</x:v>
      </x:c>
      <x:c r="C17">
        <x:v>121273</x:v>
      </x:c>
      <x:c r="D17" t="str">
        <x:f t="shared" si="3"/>
        <x:v>hero_2d_21246</x:v>
      </x:c>
      <x:c r="F17" s="2" t="s">
        <x:v>667</x:v>
      </x:c>
      <x:c r="G17" t="str">
        <x:f t="shared" si="4"/>
        <x:v>hero_2d_21247</x:v>
      </x:c>
      <x:c r="H17">
        <x:f t="shared" si="0"/>
        <x:v>0</x:v>
      </x:c>
      <x:c r="I17" t="s">
        <x:v>99</x:v>
      </x:c>
      <x:c r="J17">
        <x:f t="shared" si="1"/>
        <x:v>0</x:v>
      </x:c>
      <x:c r="K17">
        <x:f t="shared" si="2"/>
        <x:v>0</x:v>
      </x:c>
      <x:c r="M17">
        <x:v>111016</x:v>
      </x:c>
      <x:c r="N17" t="s">
        <x:v>224</x:v>
      </x:c>
    </x:row>
    <x:row r="18" spans="1:14" x14ac:dyDescent="0.15">
      <x:c r="A18">
        <x:v>53003032</x:v>
      </x:c>
      <x:c r="B18" t="s">
        <x:v>646</x:v>
      </x:c>
      <x:c r="C18">
        <x:v>121274</x:v>
      </x:c>
      <x:c r="D18" t="str">
        <x:f t="shared" si="3"/>
        <x:v>hero_2d_21247</x:v>
      </x:c>
      <x:c r="F18" s="2" t="s">
        <x:v>669</x:v>
      </x:c>
      <x:c r="G18" t="str">
        <x:f t="shared" si="4"/>
        <x:v>hero_2d_21246</x:v>
      </x:c>
      <x:c r="H18">
        <x:f t="shared" si="0"/>
        <x:v>1</x:v>
      </x:c>
      <x:c r="I18" t="s">
        <x:v>99</x:v>
      </x:c>
      <x:c r="J18">
        <x:f t="shared" si="1"/>
        <x:v>0</x:v>
      </x:c>
      <x:c r="K18">
        <x:f t="shared" si="2"/>
        <x:v>0</x:v>
      </x:c>
      <x:c r="M18">
        <x:v>111017</x:v>
      </x:c>
      <x:c r="N18" t="s">
        <x:v>225</x:v>
      </x:c>
    </x:row>
    <x:row r="19" spans="1:14" x14ac:dyDescent="0.15">
      <x:c r="A19">
        <x:v>53003032</x:v>
      </x:c>
      <x:c r="B19" t="s">
        <x:v>646</x:v>
      </x:c>
      <x:c r="C19">
        <x:v>121273</x:v>
      </x:c>
      <x:c r="D19" t="str">
        <x:f t="shared" si="3"/>
        <x:v>hero_2d_21246</x:v>
      </x:c>
      <x:c r="F19" s="2" t="s">
        <x:v>671</x:v>
      </x:c>
      <x:c r="G19" t="str">
        <x:f t="shared" si="4"/>
        <x:v>hero_2d_21246</x:v>
      </x:c>
      <x:c r="H19">
        <x:f t="shared" si="0"/>
        <x:v>3</x:v>
      </x:c>
      <x:c r="I19" t="s">
        <x:v>104</x:v>
      </x:c>
      <x:c r="J19">
        <x:f t="shared" si="1"/>
        <x:v>0</x:v>
      </x:c>
      <x:c r="K19">
        <x:f t="shared" si="2"/>
        <x:v>0</x:v>
      </x:c>
      <x:c r="M19">
        <x:v>111018</x:v>
      </x:c>
      <x:c r="N19" t="s">
        <x:v>226</x:v>
      </x:c>
    </x:row>
    <x:row r="20" spans="1:14" x14ac:dyDescent="0.15">
      <x:c r="A20">
        <x:v>53003032</x:v>
      </x:c>
      <x:c r="B20" t="s">
        <x:v>646</x:v>
      </x:c>
      <x:c r="C20">
        <x:v>121273</x:v>
      </x:c>
      <x:c r="D20" t="str">
        <x:f t="shared" si="3"/>
        <x:v>hero_2d_21246</x:v>
      </x:c>
      <x:c r="F20" s="2" t="s">
        <x:v>673</x:v>
      </x:c>
      <x:c r="G20" t="str">
        <x:f>INDEX(D:D,MATCH(F20&amp;"-1",B:B,0)+2)</x:f>
        <x:v>hero_2d_21248</x:v>
      </x:c>
      <x:c r="H20">
        <x:f t="shared" si="0"/>
        <x:v>1</x:v>
      </x:c>
      <x:c r="I20" t="s">
        <x:v>107</x:v>
      </x:c>
      <x:c r="J20">
        <x:f t="shared" si="1"/>
        <x:v>0</x:v>
      </x:c>
      <x:c r="K20">
        <x:f t="shared" si="2"/>
        <x:v>0</x:v>
      </x:c>
      <x:c r="M20">
        <x:v>112001</x:v>
      </x:c>
      <x:c r="N20" t="s">
        <x:v>227</x:v>
      </x:c>
    </x:row>
    <x:row r="21" spans="1:14" x14ac:dyDescent="0.15">
      <x:c r="A21">
        <x:v>53003032</x:v>
      </x:c>
      <x:c r="B21" t="s">
        <x:v>646</x:v>
      </x:c>
      <x:c r="C21">
        <x:v>121274</x:v>
      </x:c>
      <x:c r="D21" t="str">
        <x:f t="shared" si="3"/>
        <x:v>hero_2d_21247</x:v>
      </x:c>
      <x:c r="F21" s="2" t="s">
        <x:v>675</x:v>
      </x:c>
      <x:c r="G21" t="str">
        <x:f t="shared" si="4"/>
        <x:v>hero_2d_21246</x:v>
      </x:c>
      <x:c r="H21">
        <x:f t="shared" si="0"/>
        <x:v>2</x:v>
      </x:c>
      <x:c r="I21" t="s">
        <x:v>110</x:v>
      </x:c>
      <x:c r="J21">
        <x:f t="shared" si="1"/>
        <x:v>0</x:v>
      </x:c>
      <x:c r="K21">
        <x:f t="shared" si="2"/>
        <x:v>0</x:v>
      </x:c>
      <x:c r="M21">
        <x:v>112002</x:v>
      </x:c>
      <x:c r="N21" t="s">
        <x:v>228</x:v>
      </x:c>
    </x:row>
    <x:row r="22" spans="1:14" x14ac:dyDescent="0.15">
      <x:c r="A22">
        <x:v>53003032</x:v>
      </x:c>
      <x:c r="B22" t="s">
        <x:v>646</x:v>
      </x:c>
      <x:c r="C22">
        <x:v>121274</x:v>
      </x:c>
      <x:c r="D22" t="str">
        <x:f t="shared" si="3"/>
        <x:v>hero_2d_21247</x:v>
      </x:c>
      <x:c r="F22" s="2" t="s">
        <x:v>677</x:v>
      </x:c>
      <x:c r="G22" t="str">
        <x:f t="shared" si="4"/>
        <x:v>hero_2d_21246</x:v>
      </x:c>
      <x:c r="H22">
        <x:f t="shared" si="0"/>
        <x:v>5</x:v>
      </x:c>
      <x:c r="I22" t="s">
        <x:v>99</x:v>
      </x:c>
      <x:c r="J22">
        <x:f t="shared" si="1"/>
        <x:v>0</x:v>
      </x:c>
      <x:c r="K22">
        <x:f t="shared" si="2"/>
        <x:v>0</x:v>
      </x:c>
      <x:c r="M22">
        <x:v>112003</x:v>
      </x:c>
      <x:c r="N22" t="s">
        <x:v>229</x:v>
      </x:c>
    </x:row>
    <x:row r="23" spans="1:14" x14ac:dyDescent="0.15">
      <x:c r="A23">
        <x:v>53003041</x:v>
      </x:c>
      <x:c r="B23" t="s">
        <x:v>648</x:v>
      </x:c>
      <x:c r="C23">
        <x:v>121273</x:v>
      </x:c>
      <x:c r="D23" t="str">
        <x:f t="shared" si="3"/>
        <x:v>hero_2d_21246</x:v>
      </x:c>
      <x:c r="F23" s="2" t="s">
        <x:v>679</x:v>
      </x:c>
      <x:c r="G23" t="str">
        <x:f>INDEX(D:D,MATCH(F23&amp;"-1",B:B,0)+2)</x:f>
        <x:v>hero_2d_21248</x:v>
      </x:c>
      <x:c r="H23">
        <x:f t="shared" si="0"/>
        <x:v>1</x:v>
      </x:c>
      <x:c r="I23" t="s">
        <x:v>115</x:v>
      </x:c>
      <x:c r="J23">
        <x:f t="shared" si="1"/>
        <x:v>0</x:v>
      </x:c>
      <x:c r="K23">
        <x:f t="shared" si="2"/>
        <x:v>0</x:v>
      </x:c>
      <x:c r="M23">
        <x:v>112004</x:v>
      </x:c>
      <x:c r="N23" t="s">
        <x:v>230</x:v>
      </x:c>
    </x:row>
    <x:row r="24" spans="1:14" x14ac:dyDescent="0.15">
      <x:c r="A24">
        <x:v>53003041</x:v>
      </x:c>
      <x:c r="B24" t="s">
        <x:v>648</x:v>
      </x:c>
      <x:c r="C24">
        <x:v>121273</x:v>
      </x:c>
      <x:c r="D24" t="str">
        <x:f t="shared" si="3"/>
        <x:v>hero_2d_21246</x:v>
      </x:c>
      <x:c r="F24" s="2" t="s">
        <x:v>681</x:v>
      </x:c>
      <x:c r="G24" t="str">
        <x:f t="shared" si="4"/>
        <x:v>hero_2d_21246</x:v>
      </x:c>
      <x:c r="H24">
        <x:f t="shared" si="0"/>
        <x:v>2</x:v>
      </x:c>
      <x:c r="I24" t="s">
        <x:v>118</x:v>
      </x:c>
      <x:c r="J24">
        <x:f t="shared" si="1"/>
        <x:v>0</x:v>
      </x:c>
      <x:c r="K24">
        <x:f t="shared" si="2"/>
        <x:v>0</x:v>
      </x:c>
      <x:c r="M24">
        <x:v>112005</x:v>
      </x:c>
      <x:c r="N24" t="s">
        <x:v>231</x:v>
      </x:c>
    </x:row>
    <x:row r="25" spans="1:14" x14ac:dyDescent="0.15">
      <x:c r="A25">
        <x:v>53003041</x:v>
      </x:c>
      <x:c r="B25" t="s">
        <x:v>648</x:v>
      </x:c>
      <x:c r="C25">
        <x:v>121275</x:v>
      </x:c>
      <x:c r="D25" t="str">
        <x:f t="shared" si="3"/>
        <x:v>hero_2d_21248</x:v>
      </x:c>
      <x:c r="F25" s="2" t="s">
        <x:v>683</x:v>
      </x:c>
      <x:c r="G25" t="str">
        <x:f t="shared" si="4"/>
        <x:v>hero_2d_3079</x:v>
      </x:c>
      <x:c r="H25">
        <x:f t="shared" si="0"/>
        <x:v>1</x:v>
      </x:c>
      <x:c r="I25" t="s">
        <x:v>121</x:v>
      </x:c>
      <x:c r="J25">
        <x:f t="shared" si="1"/>
        <x:v>0</x:v>
      </x:c>
      <x:c r="K25">
        <x:f t="shared" si="2"/>
        <x:v>0</x:v>
      </x:c>
      <x:c r="M25">
        <x:v>112006</x:v>
      </x:c>
      <x:c r="N25" t="s">
        <x:v>232</x:v>
      </x:c>
    </x:row>
    <x:row r="26" spans="1:14" x14ac:dyDescent="0.15">
      <x:c r="A26">
        <x:v>53003042</x:v>
      </x:c>
      <x:c r="B26" t="s">
        <x:v>650</x:v>
      </x:c>
      <x:c r="C26">
        <x:v>121275</x:v>
      </x:c>
      <x:c r="D26" t="str">
        <x:f t="shared" si="3"/>
        <x:v>hero_2d_21248</x:v>
      </x:c>
      <x:c r="F26" s="2" t="s">
        <x:v>685</x:v>
      </x:c>
      <x:c r="G26" t="str">
        <x:f t="shared" si="4"/>
        <x:v>hero_2d_21248</x:v>
      </x:c>
      <x:c r="H26">
        <x:f t="shared" si="0"/>
        <x:v>1</x:v>
      </x:c>
      <x:c r="I26" t="s">
        <x:v>124</x:v>
      </x:c>
      <x:c r="J26">
        <x:f t="shared" si="1"/>
        <x:v>0</x:v>
      </x:c>
      <x:c r="K26">
        <x:f t="shared" si="2"/>
        <x:v>0</x:v>
      </x:c>
      <x:c r="M26">
        <x:v>112007</x:v>
      </x:c>
      <x:c r="N26" t="s">
        <x:v>233</x:v>
      </x:c>
    </x:row>
    <x:row r="27" spans="1:14" x14ac:dyDescent="0.15">
      <x:c r="A27">
        <x:v>53003042</x:v>
      </x:c>
      <x:c r="B27" t="s">
        <x:v>650</x:v>
      </x:c>
      <x:c r="C27">
        <x:v>121274</x:v>
      </x:c>
      <x:c r="D27" t="str">
        <x:f t="shared" si="3"/>
        <x:v>hero_2d_21247</x:v>
      </x:c>
      <x:c r="F27" s="2" t="s">
        <x:v>687</x:v>
      </x:c>
      <x:c r="G27" t="str">
        <x:f t="shared" si="4"/>
        <x:v>hero_2d_3068</x:v>
      </x:c>
      <x:c r="H27">
        <x:f t="shared" si="0"/>
        <x:v>1</x:v>
      </x:c>
      <x:c r="I27" t="s">
        <x:v>127</x:v>
      </x:c>
      <x:c r="J27">
        <x:f t="shared" si="1"/>
        <x:v>0</x:v>
      </x:c>
      <x:c r="K27">
        <x:f t="shared" si="2"/>
        <x:v>0</x:v>
      </x:c>
      <x:c r="M27">
        <x:v>112008</x:v>
      </x:c>
      <x:c r="N27" t="s">
        <x:v>234</x:v>
      </x:c>
    </x:row>
    <x:row r="28" spans="1:14" x14ac:dyDescent="0.15">
      <x:c r="A28">
        <x:v>53003042</x:v>
      </x:c>
      <x:c r="B28" t="s">
        <x:v>650</x:v>
      </x:c>
      <x:c r="C28">
        <x:v>121274</x:v>
      </x:c>
      <x:c r="D28" t="str">
        <x:f t="shared" si="3"/>
        <x:v>hero_2d_21247</x:v>
      </x:c>
      <x:c r="F28" s="2" t="s">
        <x:v>689</x:v>
      </x:c>
      <x:c r="G28" t="str">
        <x:f t="shared" si="4"/>
        <x:v>hero_2d_3073</x:v>
      </x:c>
      <x:c r="H28">
        <x:f t="shared" si="0"/>
        <x:v>1</x:v>
      </x:c>
      <x:c r="I28" t="s">
        <x:v>130</x:v>
      </x:c>
      <x:c r="J28">
        <x:f t="shared" si="1"/>
        <x:v>0</x:v>
      </x:c>
      <x:c r="K28">
        <x:f t="shared" si="2"/>
        <x:v>0</x:v>
      </x:c>
      <x:c r="M28">
        <x:v>112009</x:v>
      </x:c>
      <x:c r="N28" t="s">
        <x:v>235</x:v>
      </x:c>
    </x:row>
    <x:row r="29" spans="1:14" x14ac:dyDescent="0.15">
      <x:c r="A29">
        <x:v>53003051</x:v>
      </x:c>
      <x:c r="B29" t="s">
        <x:v>652</x:v>
      </x:c>
      <x:c r="C29">
        <x:v>121273</x:v>
      </x:c>
      <x:c r="D29" t="str">
        <x:f t="shared" si="3"/>
        <x:v>hero_2d_21246</x:v>
      </x:c>
      <x:c r="F29" s="2" t="s">
        <x:v>691</x:v>
      </x:c>
      <x:c r="G29" t="str">
        <x:f t="shared" si="4"/>
        <x:v>hero_2d_3078</x:v>
      </x:c>
      <x:c r="H29">
        <x:f t="shared" si="0"/>
        <x:v>1</x:v>
      </x:c>
      <x:c r="I29" t="s">
        <x:v>133</x:v>
      </x:c>
      <x:c r="J29">
        <x:f t="shared" si="1"/>
        <x:v>0</x:v>
      </x:c>
      <x:c r="K29">
        <x:f t="shared" si="2"/>
        <x:v>0</x:v>
      </x:c>
      <x:c r="M29">
        <x:v>112010</x:v>
      </x:c>
      <x:c r="N29" t="s">
        <x:v>236</x:v>
      </x:c>
    </x:row>
    <x:row r="30" spans="1:14" x14ac:dyDescent="0.15">
      <x:c r="A30">
        <x:v>53003051</x:v>
      </x:c>
      <x:c r="B30" t="s">
        <x:v>652</x:v>
      </x:c>
      <x:c r="C30">
        <x:v>121274</x:v>
      </x:c>
      <x:c r="D30" t="str">
        <x:f t="shared" si="3"/>
        <x:v>hero_2d_21247</x:v>
      </x:c>
      <x:c r="F30" s="2" t="s">
        <x:v>693</x:v>
      </x:c>
      <x:c r="G30" t="str">
        <x:f t="shared" si="4"/>
        <x:v>hero_2d_3078</x:v>
      </x:c>
      <x:c r="H30">
        <x:f t="shared" si="0"/>
        <x:v>0</x:v>
      </x:c>
      <x:c r="I30" t="s">
        <x:v>136</x:v>
      </x:c>
      <x:c r="J30">
        <x:f t="shared" si="1"/>
        <x:v>0</x:v>
      </x:c>
      <x:c r="K30">
        <x:f t="shared" si="2"/>
        <x:v>0</x:v>
      </x:c>
      <x:c r="M30">
        <x:v>112011</x:v>
      </x:c>
      <x:c r="N30" t="s">
        <x:v>237</x:v>
      </x:c>
    </x:row>
    <x:row r="31" spans="1:14" x14ac:dyDescent="0.15">
      <x:c r="A31">
        <x:v>53003052</x:v>
      </x:c>
      <x:c r="B31" t="s">
        <x:v>654</x:v>
      </x:c>
      <x:c r="C31">
        <x:v>121273</x:v>
      </x:c>
      <x:c r="D31" t="str">
        <x:f t="shared" si="3"/>
        <x:v>hero_2d_21246</x:v>
      </x:c>
      <x:c r="F31" s="2" t="s">
        <x:v>695</x:v>
      </x:c>
      <x:c r="G31" t="str">
        <x:f t="shared" si="4"/>
        <x:v>hero_2d_3078</x:v>
      </x:c>
      <x:c r="H31">
        <x:f t="shared" si="0"/>
        <x:v>1</x:v>
      </x:c>
      <x:c r="I31" t="s">
        <x:v>139</x:v>
      </x:c>
      <x:c r="J31">
        <x:f t="shared" si="1"/>
        <x:v>0</x:v>
      </x:c>
      <x:c r="K31">
        <x:f t="shared" si="2"/>
        <x:v>0</x:v>
      </x:c>
      <x:c r="M31">
        <x:v>112012</x:v>
      </x:c>
      <x:c r="N31" t="s">
        <x:v>238</x:v>
      </x:c>
    </x:row>
    <x:row r="32" spans="1:14" x14ac:dyDescent="0.15">
      <x:c r="A32">
        <x:v>53003052</x:v>
      </x:c>
      <x:c r="B32" t="s">
        <x:v>654</x:v>
      </x:c>
      <x:c r="C32">
        <x:v>121273</x:v>
      </x:c>
      <x:c r="D32" t="str">
        <x:f t="shared" si="3"/>
        <x:v>hero_2d_21246</x:v>
      </x:c>
      <x:c r="F32" s="2" t="s">
        <x:v>697</x:v>
      </x:c>
      <x:c r="G32" s="3" t="str">
        <x:f>INDEX(D:D,MATCH(F32,B:B,0))</x:f>
        <x:v>hero_2d_3072</x:v>
      </x:c>
      <x:c r="H32" s="3">
        <x:f t="shared" si="0"/>
        <x:v>0</x:v>
      </x:c>
      <x:c r="I32" t="s">
        <x:v>143</x:v>
      </x:c>
      <x:c r="J32">
        <x:f t="shared" si="1"/>
        <x:v>0</x:v>
      </x:c>
      <x:c r="K32">
        <x:f t="shared" si="2"/>
        <x:v>0</x:v>
      </x:c>
      <x:c r="M32">
        <x:v>112013</x:v>
      </x:c>
      <x:c r="N32" t="s">
        <x:v>139</x:v>
      </x:c>
    </x:row>
    <x:row r="33" spans="1:14" x14ac:dyDescent="0.15">
      <x:c r="A33">
        <x:v>53003052</x:v>
      </x:c>
      <x:c r="B33" t="s">
        <x:v>654</x:v>
      </x:c>
      <x:c r="C33">
        <x:v>121274</x:v>
      </x:c>
      <x:c r="D33" t="str">
        <x:f t="shared" si="3"/>
        <x:v>hero_2d_21247</x:v>
      </x:c>
      <x:c r="M33">
        <x:v>112014</x:v>
      </x:c>
      <x:c r="N33" t="s">
        <x:v>133</x:v>
      </x:c>
    </x:row>
    <x:row r="34" spans="1:14" x14ac:dyDescent="0.15">
      <x:c r="A34">
        <x:v>53003052</x:v>
      </x:c>
      <x:c r="B34" t="s">
        <x:v>654</x:v>
      </x:c>
      <x:c r="C34">
        <x:v>121274</x:v>
      </x:c>
      <x:c r="D34" t="str">
        <x:f t="shared" si="3"/>
        <x:v>hero_2d_21247</x:v>
      </x:c>
      <x:c r="M34">
        <x:v>112015</x:v>
      </x:c>
      <x:c r="N34" t="s">
        <x:v>127</x:v>
      </x:c>
    </x:row>
    <x:row r="35" spans="1:14" x14ac:dyDescent="0.15">
      <x:c r="A35">
        <x:v>53003061</x:v>
      </x:c>
      <x:c r="B35" t="s">
        <x:v>656</x:v>
      </x:c>
      <x:c r="C35">
        <x:v>121273</x:v>
      </x:c>
      <x:c r="D35" t="str">
        <x:f t="shared" ref="D35:D66" si="5">VLOOKUP(C35,M:N,2,FALSE)</x:f>
        <x:v>hero_2d_21246</x:v>
      </x:c>
      <x:c r="M35">
        <x:v>112016</x:v>
      </x:c>
      <x:c r="N35" t="s">
        <x:v>136</x:v>
      </x:c>
    </x:row>
    <x:row r="36" spans="1:14" x14ac:dyDescent="0.15">
      <x:c r="A36">
        <x:v>53003061</x:v>
      </x:c>
      <x:c r="B36" t="s">
        <x:v>656</x:v>
      </x:c>
      <x:c r="C36">
        <x:v>121273</x:v>
      </x:c>
      <x:c r="D36" t="str">
        <x:f t="shared" si="5"/>
        <x:v>hero_2d_21246</x:v>
      </x:c>
      <x:c r="M36">
        <x:v>112017</x:v>
      </x:c>
      <x:c r="N36" t="s">
        <x:v>239</x:v>
      </x:c>
    </x:row>
    <x:row r="37" spans="1:14" x14ac:dyDescent="0.15">
      <x:c r="A37">
        <x:v>53003061</x:v>
      </x:c>
      <x:c r="B37" t="s">
        <x:v>656</x:v>
      </x:c>
      <x:c r="C37">
        <x:v>121273</x:v>
      </x:c>
      <x:c r="D37" t="str">
        <x:f t="shared" si="5"/>
        <x:v>hero_2d_21246</x:v>
      </x:c>
      <x:c r="M37">
        <x:v>112018</x:v>
      </x:c>
      <x:c r="N37" t="s">
        <x:v>240</x:v>
      </x:c>
    </x:row>
    <x:row r="38" spans="1:14" x14ac:dyDescent="0.15">
      <x:c r="A38">
        <x:v>53003061</x:v>
      </x:c>
      <x:c r="B38" t="s">
        <x:v>656</x:v>
      </x:c>
      <x:c r="C38">
        <x:v>121274</x:v>
      </x:c>
      <x:c r="D38" t="str">
        <x:f t="shared" si="5"/>
        <x:v>hero_2d_21247</x:v>
      </x:c>
      <x:c r="M38">
        <x:v>112019</x:v>
      </x:c>
      <x:c r="N38" t="s">
        <x:v>241</x:v>
      </x:c>
    </x:row>
    <x:row r="39" spans="1:14" x14ac:dyDescent="0.15">
      <x:c r="A39">
        <x:v>53003061</x:v>
      </x:c>
      <x:c r="B39" t="s">
        <x:v>656</x:v>
      </x:c>
      <x:c r="C39">
        <x:v>121274</x:v>
      </x:c>
      <x:c r="D39" t="str">
        <x:f t="shared" si="5"/>
        <x:v>hero_2d_21247</x:v>
      </x:c>
      <x:c r="M39">
        <x:v>112020</x:v>
      </x:c>
      <x:c r="N39" t="s">
        <x:v>242</x:v>
      </x:c>
    </x:row>
    <x:row r="40" spans="1:14" x14ac:dyDescent="0.15">
      <x:c r="A40">
        <x:v>53003062</x:v>
      </x:c>
      <x:c r="B40" t="s">
        <x:v>658</x:v>
      </x:c>
      <x:c r="C40">
        <x:v>121273</x:v>
      </x:c>
      <x:c r="D40" t="str">
        <x:f t="shared" si="5"/>
        <x:v>hero_2d_21246</x:v>
      </x:c>
      <x:c r="M40">
        <x:v>112021</x:v>
      </x:c>
      <x:c r="N40" t="s">
        <x:v>243</x:v>
      </x:c>
    </x:row>
    <x:row r="41" spans="1:14" x14ac:dyDescent="0.15">
      <x:c r="A41">
        <x:v>53003062</x:v>
      </x:c>
      <x:c r="B41" t="s">
        <x:v>658</x:v>
      </x:c>
      <x:c r="C41">
        <x:v>121273</x:v>
      </x:c>
      <x:c r="D41" t="str">
        <x:f t="shared" si="5"/>
        <x:v>hero_2d_21246</x:v>
      </x:c>
      <x:c r="M41">
        <x:v>112022</x:v>
      </x:c>
      <x:c r="N41" t="s">
        <x:v>244</x:v>
      </x:c>
    </x:row>
    <x:row r="42" spans="1:14" x14ac:dyDescent="0.15">
      <x:c r="A42">
        <x:v>53003062</x:v>
      </x:c>
      <x:c r="B42" t="s">
        <x:v>658</x:v>
      </x:c>
      <x:c r="C42">
        <x:v>121274</x:v>
      </x:c>
      <x:c r="D42" t="str">
        <x:f t="shared" si="5"/>
        <x:v>hero_2d_21247</x:v>
      </x:c>
      <x:c r="M42">
        <x:v>112023</x:v>
      </x:c>
      <x:c r="N42" t="s">
        <x:v>245</x:v>
      </x:c>
    </x:row>
    <x:row r="43" spans="1:14" x14ac:dyDescent="0.15">
      <x:c r="A43">
        <x:v>53003062</x:v>
      </x:c>
      <x:c r="B43" t="s">
        <x:v>658</x:v>
      </x:c>
      <x:c r="C43">
        <x:v>121274</x:v>
      </x:c>
      <x:c r="D43" t="str">
        <x:f t="shared" si="5"/>
        <x:v>hero_2d_21247</x:v>
      </x:c>
      <x:c r="M43">
        <x:v>112024</x:v>
      </x:c>
      <x:c r="N43" t="s">
        <x:v>246</x:v>
      </x:c>
    </x:row>
    <x:row r="44" spans="1:14" x14ac:dyDescent="0.15">
      <x:c r="A44">
        <x:v>53003062</x:v>
      </x:c>
      <x:c r="B44" t="s">
        <x:v>658</x:v>
      </x:c>
      <x:c r="C44">
        <x:v>121274</x:v>
      </x:c>
      <x:c r="D44" t="str">
        <x:f t="shared" si="5"/>
        <x:v>hero_2d_21247</x:v>
      </x:c>
      <x:c r="M44">
        <x:v>112025</x:v>
      </x:c>
      <x:c r="N44" t="s">
        <x:v>247</x:v>
      </x:c>
    </x:row>
    <x:row r="45" spans="1:14" x14ac:dyDescent="0.15">
      <x:c r="A45">
        <x:v>53003071</x:v>
      </x:c>
      <x:c r="B45" t="s">
        <x:v>660</x:v>
      </x:c>
      <x:c r="C45">
        <x:v>121273</x:v>
      </x:c>
      <x:c r="D45" t="str">
        <x:f t="shared" si="5"/>
        <x:v>hero_2d_21246</x:v>
      </x:c>
      <x:c r="M45">
        <x:v>112026</x:v>
      </x:c>
      <x:c r="N45" t="s">
        <x:v>248</x:v>
      </x:c>
    </x:row>
    <x:row r="46" spans="1:14" x14ac:dyDescent="0.15">
      <x:c r="A46">
        <x:v>53003071</x:v>
      </x:c>
      <x:c r="B46" t="s">
        <x:v>660</x:v>
      </x:c>
      <x:c r="C46">
        <x:v>121273</x:v>
      </x:c>
      <x:c r="D46" t="str">
        <x:f t="shared" si="5"/>
        <x:v>hero_2d_21246</x:v>
      </x:c>
      <x:c r="M46">
        <x:v>112027</x:v>
      </x:c>
      <x:c r="N46" t="s">
        <x:v>249</x:v>
      </x:c>
    </x:row>
    <x:row r="47" spans="1:14" x14ac:dyDescent="0.15">
      <x:c r="A47">
        <x:v>53003071</x:v>
      </x:c>
      <x:c r="B47" t="s">
        <x:v>660</x:v>
      </x:c>
      <x:c r="C47">
        <x:v>121275</x:v>
      </x:c>
      <x:c r="D47" t="str">
        <x:f t="shared" si="5"/>
        <x:v>hero_2d_21248</x:v>
      </x:c>
      <x:c r="M47">
        <x:v>112028</x:v>
      </x:c>
      <x:c r="N47" t="s">
        <x:v>250</x:v>
      </x:c>
    </x:row>
    <x:row r="48" spans="1:14" x14ac:dyDescent="0.15">
      <x:c r="A48">
        <x:v>53003072</x:v>
      </x:c>
      <x:c r="B48" t="s">
        <x:v>662</x:v>
      </x:c>
      <x:c r="C48">
        <x:v>121275</x:v>
      </x:c>
      <x:c r="D48" t="str">
        <x:f t="shared" si="5"/>
        <x:v>hero_2d_21248</x:v>
      </x:c>
      <x:c r="M48">
        <x:v>112029</x:v>
      </x:c>
      <x:c r="N48" t="s">
        <x:v>251</x:v>
      </x:c>
    </x:row>
    <x:row r="49" spans="1:14" x14ac:dyDescent="0.15">
      <x:c r="A49">
        <x:v>53003081</x:v>
      </x:c>
      <x:c r="B49" t="s">
        <x:v>664</x:v>
      </x:c>
      <x:c r="C49">
        <x:v>121273</x:v>
      </x:c>
      <x:c r="D49" t="str">
        <x:f t="shared" si="5"/>
        <x:v>hero_2d_21246</x:v>
      </x:c>
      <x:c r="M49">
        <x:v>112030</x:v>
      </x:c>
      <x:c r="N49" t="s">
        <x:v>251</x:v>
      </x:c>
    </x:row>
    <x:row r="50" spans="1:14" x14ac:dyDescent="0.15">
      <x:c r="A50">
        <x:v>53003081</x:v>
      </x:c>
      <x:c r="B50" t="s">
        <x:v>664</x:v>
      </x:c>
      <x:c r="C50">
        <x:v>1113084</x:v>
      </x:c>
      <x:c r="D50" t="str">
        <x:f t="shared" si="5"/>
        <x:v>hero_2d_3079</x:v>
      </x:c>
      <x:c r="M50">
        <x:v>113001</x:v>
      </x:c>
      <x:c r="N50" t="s">
        <x:v>143</x:v>
      </x:c>
    </x:row>
    <x:row r="51" spans="1:14" x14ac:dyDescent="0.15">
      <x:c r="A51">
        <x:v>53003081</x:v>
      </x:c>
      <x:c r="B51" t="s">
        <x:v>664</x:v>
      </x:c>
      <x:c r="C51">
        <x:v>121274</x:v>
      </x:c>
      <x:c r="D51" t="str">
        <x:f t="shared" si="5"/>
        <x:v>hero_2d_21247</x:v>
      </x:c>
      <x:c r="M51">
        <x:v>113002</x:v>
      </x:c>
      <x:c r="N51" t="s">
        <x:v>252</x:v>
      </x:c>
    </x:row>
    <x:row r="52" spans="1:14" x14ac:dyDescent="0.15">
      <x:c r="A52">
        <x:v>53003081</x:v>
      </x:c>
      <x:c r="B52" t="s">
        <x:v>664</x:v>
      </x:c>
      <x:c r="C52">
        <x:v>121274</x:v>
      </x:c>
      <x:c r="D52" t="str">
        <x:f t="shared" si="5"/>
        <x:v>hero_2d_21247</x:v>
      </x:c>
      <x:c r="M52">
        <x:v>113003</x:v>
      </x:c>
      <x:c r="N52" t="s">
        <x:v>253</x:v>
      </x:c>
    </x:row>
    <x:row r="53" spans="1:14" x14ac:dyDescent="0.15">
      <x:c r="A53">
        <x:v>53003082</x:v>
      </x:c>
      <x:c r="B53" t="s">
        <x:v>666</x:v>
      </x:c>
      <x:c r="C53">
        <x:v>121273</x:v>
      </x:c>
      <x:c r="D53" t="str">
        <x:f t="shared" si="5"/>
        <x:v>hero_2d_21246</x:v>
      </x:c>
      <x:c r="M53">
        <x:v>113004</x:v>
      </x:c>
      <x:c r="N53" t="s">
        <x:v>254</x:v>
      </x:c>
    </x:row>
    <x:row r="54" spans="1:14" x14ac:dyDescent="0.15">
      <x:c r="A54">
        <x:v>53003082</x:v>
      </x:c>
      <x:c r="B54" t="s">
        <x:v>666</x:v>
      </x:c>
      <x:c r="C54">
        <x:v>121273</x:v>
      </x:c>
      <x:c r="D54" t="str">
        <x:f t="shared" si="5"/>
        <x:v>hero_2d_21246</x:v>
      </x:c>
      <x:c r="M54">
        <x:v>113005</x:v>
      </x:c>
      <x:c r="N54" t="s">
        <x:v>255</x:v>
      </x:c>
    </x:row>
    <x:row r="55" spans="1:14" x14ac:dyDescent="0.15">
      <x:c r="A55">
        <x:v>53003082</x:v>
      </x:c>
      <x:c r="B55" t="s">
        <x:v>666</x:v>
      </x:c>
      <x:c r="C55">
        <x:v>1113082</x:v>
      </x:c>
      <x:c r="D55" t="str">
        <x:f t="shared" si="5"/>
        <x:v>hero_2d_3077</x:v>
      </x:c>
      <x:c r="M55">
        <x:v>113006</x:v>
      </x:c>
      <x:c r="N55" t="s">
        <x:v>256</x:v>
      </x:c>
    </x:row>
    <x:row r="56" spans="1:14" x14ac:dyDescent="0.15">
      <x:c r="A56">
        <x:v>53003091</x:v>
      </x:c>
      <x:c r="B56" t="s">
        <x:v>668</x:v>
      </x:c>
      <x:c r="C56">
        <x:v>1113084</x:v>
      </x:c>
      <x:c r="D56" t="str">
        <x:f t="shared" si="5"/>
        <x:v>hero_2d_3079</x:v>
      </x:c>
      <x:c r="M56">
        <x:v>113007</x:v>
      </x:c>
      <x:c r="N56" t="s">
        <x:v>257</x:v>
      </x:c>
    </x:row>
    <x:row r="57" spans="1:14" x14ac:dyDescent="0.15">
      <x:c r="A57">
        <x:v>53003091</x:v>
      </x:c>
      <x:c r="B57" t="s">
        <x:v>668</x:v>
      </x:c>
      <x:c r="C57">
        <x:v>1113082</x:v>
      </x:c>
      <x:c r="D57" t="str">
        <x:f t="shared" si="5"/>
        <x:v>hero_2d_3077</x:v>
      </x:c>
      <x:c r="M57">
        <x:v>113008</x:v>
      </x:c>
      <x:c r="N57" t="s">
        <x:v>258</x:v>
      </x:c>
    </x:row>
    <x:row r="58" spans="1:14" x14ac:dyDescent="0.15">
      <x:c r="A58">
        <x:v>53003092</x:v>
      </x:c>
      <x:c r="B58" t="s">
        <x:v>670</x:v>
      </x:c>
      <x:c r="C58">
        <x:v>121273</x:v>
      </x:c>
      <x:c r="D58" t="str">
        <x:f t="shared" si="5"/>
        <x:v>hero_2d_21246</x:v>
      </x:c>
      <x:c r="M58">
        <x:v>113009</x:v>
      </x:c>
      <x:c r="N58" t="s">
        <x:v>259</x:v>
      </x:c>
    </x:row>
    <x:row r="59" spans="1:14" x14ac:dyDescent="0.15">
      <x:c r="A59">
        <x:v>53003092</x:v>
      </x:c>
      <x:c r="B59" t="s">
        <x:v>670</x:v>
      </x:c>
      <x:c r="C59">
        <x:v>121273</x:v>
      </x:c>
      <x:c r="D59" t="str">
        <x:f t="shared" si="5"/>
        <x:v>hero_2d_21246</x:v>
      </x:c>
      <x:c r="M59">
        <x:v>113010</x:v>
      </x:c>
      <x:c r="N59" t="s">
        <x:v>260</x:v>
      </x:c>
    </x:row>
    <x:row r="60" spans="1:14" x14ac:dyDescent="0.15">
      <x:c r="A60">
        <x:v>53003092</x:v>
      </x:c>
      <x:c r="B60" t="s">
        <x:v>670</x:v>
      </x:c>
      <x:c r="C60">
        <x:v>121273</x:v>
      </x:c>
      <x:c r="D60" t="str">
        <x:f t="shared" si="5"/>
        <x:v>hero_2d_21246</x:v>
      </x:c>
      <x:c r="M60">
        <x:v>113011</x:v>
      </x:c>
      <x:c r="N60" t="s">
        <x:v>261</x:v>
      </x:c>
    </x:row>
    <x:row r="61" spans="1:14" x14ac:dyDescent="0.15">
      <x:c r="A61">
        <x:v>53003092</x:v>
      </x:c>
      <x:c r="B61" t="s">
        <x:v>670</x:v>
      </x:c>
      <x:c r="C61">
        <x:v>1113082</x:v>
      </x:c>
      <x:c r="D61" t="str">
        <x:f t="shared" si="5"/>
        <x:v>hero_2d_3077</x:v>
      </x:c>
      <x:c r="M61">
        <x:v>113012</x:v>
      </x:c>
      <x:c r="N61" t="s">
        <x:v>262</x:v>
      </x:c>
    </x:row>
    <x:row r="62" spans="1:14" x14ac:dyDescent="0.15">
      <x:c r="A62">
        <x:v>53003092</x:v>
      </x:c>
      <x:c r="B62" t="s">
        <x:v>670</x:v>
      </x:c>
      <x:c r="C62">
        <x:v>1113084</x:v>
      </x:c>
      <x:c r="D62" t="str">
        <x:f t="shared" si="5"/>
        <x:v>hero_2d_3079</x:v>
      </x:c>
      <x:c r="M62">
        <x:v>113013</x:v>
      </x:c>
      <x:c r="N62" t="s">
        <x:v>263</x:v>
      </x:c>
    </x:row>
    <x:row r="63" spans="1:14" x14ac:dyDescent="0.15">
      <x:c r="A63">
        <x:v>53003101</x:v>
      </x:c>
      <x:c r="B63" t="s">
        <x:v>672</x:v>
      </x:c>
      <x:c r="C63">
        <x:v>121275</x:v>
      </x:c>
      <x:c r="D63" t="str">
        <x:f t="shared" si="5"/>
        <x:v>hero_2d_21248</x:v>
      </x:c>
      <x:c r="M63">
        <x:v>113014</x:v>
      </x:c>
      <x:c r="N63" t="s">
        <x:v>264</x:v>
      </x:c>
    </x:row>
    <x:row r="64" spans="1:14" x14ac:dyDescent="0.15">
      <x:c r="A64">
        <x:v>53003101</x:v>
      </x:c>
      <x:c r="B64" t="s">
        <x:v>672</x:v>
      </x:c>
      <x:c r="C64">
        <x:v>1113078</x:v>
      </x:c>
      <x:c r="D64" t="str">
        <x:f t="shared" si="5"/>
        <x:v>hero_2d_3073</x:v>
      </x:c>
      <x:c r="M64">
        <x:v>113015</x:v>
      </x:c>
      <x:c r="N64" t="s">
        <x:v>265</x:v>
      </x:c>
    </x:row>
    <x:row r="65" spans="1:14" x14ac:dyDescent="0.15">
      <x:c r="A65">
        <x:v>53003102</x:v>
      </x:c>
      <x:c r="B65" t="s">
        <x:v>674</x:v>
      </x:c>
      <x:c r="C65">
        <x:v>121275</x:v>
      </x:c>
      <x:c r="D65" t="str">
        <x:f t="shared" si="5"/>
        <x:v>hero_2d_21248</x:v>
      </x:c>
      <x:c r="M65">
        <x:v>113016</x:v>
      </x:c>
      <x:c r="N65" t="s">
        <x:v>266</x:v>
      </x:c>
    </x:row>
    <x:row r="66" spans="1:14" x14ac:dyDescent="0.15">
      <x:c r="A66">
        <x:v>53003102</x:v>
      </x:c>
      <x:c r="B66" t="s">
        <x:v>674</x:v>
      </x:c>
      <x:c r="C66">
        <x:v>1113078</x:v>
      </x:c>
      <x:c r="D66" t="str">
        <x:f t="shared" si="5"/>
        <x:v>hero_2d_3073</x:v>
      </x:c>
      <x:c r="M66">
        <x:v>113017</x:v>
      </x:c>
      <x:c r="N66" t="s">
        <x:v>267</x:v>
      </x:c>
    </x:row>
    <x:row r="67" spans="1:14" x14ac:dyDescent="0.15">
      <x:c r="A67">
        <x:v>53003111</x:v>
      </x:c>
      <x:c r="B67" t="s">
        <x:v>676</x:v>
      </x:c>
      <x:c r="C67">
        <x:v>1113071</x:v>
      </x:c>
      <x:c r="D67" t="str">
        <x:f t="shared" ref="D67:D98" si="6">VLOOKUP(C67,M:N,2,FALSE)</x:f>
        <x:v>hero_2d_3068</x:v>
      </x:c>
      <x:c r="M67">
        <x:v>113018</x:v>
      </x:c>
      <x:c r="N67" t="s">
        <x:v>268</x:v>
      </x:c>
    </x:row>
    <x:row r="68" spans="1:14" x14ac:dyDescent="0.15">
      <x:c r="A68">
        <x:v>53003112</x:v>
      </x:c>
      <x:c r="B68" t="s">
        <x:v>678</x:v>
      </x:c>
      <x:c r="C68">
        <x:v>1113071</x:v>
      </x:c>
      <x:c r="D68" t="str">
        <x:f t="shared" si="6"/>
        <x:v>hero_2d_3068</x:v>
      </x:c>
      <x:c r="M68">
        <x:v>113019</x:v>
      </x:c>
      <x:c r="N68" t="s">
        <x:v>269</x:v>
      </x:c>
    </x:row>
    <x:row r="69" spans="1:14" x14ac:dyDescent="0.15">
      <x:c r="A69">
        <x:v>53003121</x:v>
      </x:c>
      <x:c r="B69" t="s">
        <x:v>680</x:v>
      </x:c>
      <x:c r="C69">
        <x:v>1113078</x:v>
      </x:c>
      <x:c r="D69" t="str">
        <x:f t="shared" si="6"/>
        <x:v>hero_2d_3073</x:v>
      </x:c>
      <x:c r="M69">
        <x:v>113020</x:v>
      </x:c>
      <x:c r="N69" t="s">
        <x:v>270</x:v>
      </x:c>
    </x:row>
    <x:row r="70" spans="1:14" x14ac:dyDescent="0.15">
      <x:c r="A70">
        <x:v>53003121</x:v>
      </x:c>
      <x:c r="B70" t="s">
        <x:v>680</x:v>
      </x:c>
      <x:c r="C70">
        <x:v>121274</x:v>
      </x:c>
      <x:c r="D70" t="str">
        <x:f t="shared" si="6"/>
        <x:v>hero_2d_21247</x:v>
      </x:c>
      <x:c r="M70">
        <x:v>113021</x:v>
      </x:c>
      <x:c r="N70" t="s">
        <x:v>271</x:v>
      </x:c>
    </x:row>
    <x:row r="71" spans="1:14" x14ac:dyDescent="0.15">
      <x:c r="A71">
        <x:v>53003121</x:v>
      </x:c>
      <x:c r="B71" t="s">
        <x:v>680</x:v>
      </x:c>
      <x:c r="C71">
        <x:v>1113079</x:v>
      </x:c>
      <x:c r="D71" t="str">
        <x:f t="shared" si="6"/>
        <x:v>hero_2d_3074</x:v>
      </x:c>
      <x:c r="M71">
        <x:v>113022</x:v>
      </x:c>
      <x:c r="N71" t="s">
        <x:v>272</x:v>
      </x:c>
    </x:row>
    <x:row r="72" spans="1:14" x14ac:dyDescent="0.15">
      <x:c r="A72">
        <x:v>53003122</x:v>
      </x:c>
      <x:c r="B72" t="s">
        <x:v>682</x:v>
      </x:c>
      <x:c r="C72">
        <x:v>121273</x:v>
      </x:c>
      <x:c r="D72" t="str">
        <x:f t="shared" si="6"/>
        <x:v>hero_2d_21246</x:v>
      </x:c>
      <x:c r="M72">
        <x:v>113023</x:v>
      </x:c>
      <x:c r="N72" t="s">
        <x:v>273</x:v>
      </x:c>
    </x:row>
    <x:row r="73" spans="1:14" x14ac:dyDescent="0.15">
      <x:c r="A73">
        <x:v>53003122</x:v>
      </x:c>
      <x:c r="B73" t="s">
        <x:v>682</x:v>
      </x:c>
      <x:c r="C73">
        <x:v>121273</x:v>
      </x:c>
      <x:c r="D73" t="str">
        <x:f t="shared" si="6"/>
        <x:v>hero_2d_21246</x:v>
      </x:c>
      <x:c r="M73">
        <x:v>113024</x:v>
      </x:c>
      <x:c r="N73" t="s">
        <x:v>274</x:v>
      </x:c>
    </x:row>
    <x:row r="74" spans="1:14" x14ac:dyDescent="0.15">
      <x:c r="A74">
        <x:v>53003122</x:v>
      </x:c>
      <x:c r="B74" t="s">
        <x:v>682</x:v>
      </x:c>
      <x:c r="C74">
        <x:v>121273</x:v>
      </x:c>
      <x:c r="D74" t="str">
        <x:f t="shared" si="6"/>
        <x:v>hero_2d_21246</x:v>
      </x:c>
      <x:c r="M74">
        <x:v>113025</x:v>
      </x:c>
      <x:c r="N74" t="s">
        <x:v>275</x:v>
      </x:c>
    </x:row>
    <x:row r="75" spans="1:14" x14ac:dyDescent="0.15">
      <x:c r="A75">
        <x:v>53003122</x:v>
      </x:c>
      <x:c r="B75" t="s">
        <x:v>682</x:v>
      </x:c>
      <x:c r="C75">
        <x:v>1113078</x:v>
      </x:c>
      <x:c r="D75" t="str">
        <x:f t="shared" si="6"/>
        <x:v>hero_2d_3073</x:v>
      </x:c>
      <x:c r="M75">
        <x:v>113026</x:v>
      </x:c>
      <x:c r="N75" t="s">
        <x:v>276</x:v>
      </x:c>
    </x:row>
    <x:row r="76" spans="1:14" x14ac:dyDescent="0.15">
      <x:c r="A76">
        <x:v>53003122</x:v>
      </x:c>
      <x:c r="B76" t="s">
        <x:v>682</x:v>
      </x:c>
      <x:c r="C76">
        <x:v>1113079</x:v>
      </x:c>
      <x:c r="D76" t="str">
        <x:f t="shared" si="6"/>
        <x:v>hero_2d_3074</x:v>
      </x:c>
      <x:c r="M76">
        <x:v>113027</x:v>
      </x:c>
      <x:c r="N76" t="s">
        <x:v>277</x:v>
      </x:c>
    </x:row>
    <x:row r="77" spans="1:14" x14ac:dyDescent="0.15">
      <x:c r="A77">
        <x:v>53003131</x:v>
      </x:c>
      <x:c r="B77" t="s">
        <x:v>684</x:v>
      </x:c>
      <x:c r="C77">
        <x:v>1113083</x:v>
      </x:c>
      <x:c r="D77" t="str">
        <x:f t="shared" si="6"/>
        <x:v>hero_2d_3078</x:v>
      </x:c>
      <x:c r="M77">
        <x:v>113028</x:v>
      </x:c>
      <x:c r="N77" t="s">
        <x:v>278</x:v>
      </x:c>
    </x:row>
    <x:row r="78" spans="1:14" x14ac:dyDescent="0.15">
      <x:c r="A78">
        <x:v>53003132</x:v>
      </x:c>
      <x:c r="B78" t="s">
        <x:v>686</x:v>
      </x:c>
      <x:c r="C78">
        <x:v>1113083</x:v>
      </x:c>
      <x:c r="D78" t="str">
        <x:f t="shared" si="6"/>
        <x:v>hero_2d_3078</x:v>
      </x:c>
      <x:c r="M78">
        <x:v>113029</x:v>
      </x:c>
      <x:c r="N78" t="s">
        <x:v>279</x:v>
      </x:c>
    </x:row>
    <x:row r="79" spans="1:14" x14ac:dyDescent="0.15">
      <x:c r="A79">
        <x:v>53003132</x:v>
      </x:c>
      <x:c r="B79" t="s">
        <x:v>686</x:v>
      </x:c>
      <x:c r="C79">
        <x:v>121273</x:v>
      </x:c>
      <x:c r="D79" t="str">
        <x:f t="shared" si="6"/>
        <x:v>hero_2d_21246</x:v>
      </x:c>
      <x:c r="M79">
        <x:v>113030</x:v>
      </x:c>
      <x:c r="N79" t="s">
        <x:v>280</x:v>
      </x:c>
    </x:row>
    <x:row r="80" spans="1:14" x14ac:dyDescent="0.15">
      <x:c r="A80">
        <x:v>53003132</x:v>
      </x:c>
      <x:c r="B80" t="s">
        <x:v>686</x:v>
      </x:c>
      <x:c r="C80">
        <x:v>121274</x:v>
      </x:c>
      <x:c r="D80" t="str">
        <x:f t="shared" si="6"/>
        <x:v>hero_2d_21247</x:v>
      </x:c>
      <x:c r="M80">
        <x:v>113031</x:v>
      </x:c>
      <x:c r="N80" t="s">
        <x:v>281</x:v>
      </x:c>
    </x:row>
    <x:row r="81" spans="1:14" x14ac:dyDescent="0.15">
      <x:c r="A81">
        <x:v>53003132</x:v>
      </x:c>
      <x:c r="B81" t="s">
        <x:v>686</x:v>
      </x:c>
      <x:c r="C81">
        <x:v>121274</x:v>
      </x:c>
      <x:c r="D81" t="str">
        <x:f t="shared" si="6"/>
        <x:v>hero_2d_21247</x:v>
      </x:c>
      <x:c r="M81">
        <x:v>113032</x:v>
      </x:c>
      <x:c r="N81" t="s">
        <x:v>282</x:v>
      </x:c>
    </x:row>
    <x:row r="82" spans="1:14" x14ac:dyDescent="0.15">
      <x:c r="A82">
        <x:v>53003132</x:v>
      </x:c>
      <x:c r="B82" t="s">
        <x:v>686</x:v>
      </x:c>
      <x:c r="C82">
        <x:v>121274</x:v>
      </x:c>
      <x:c r="D82" t="str">
        <x:f t="shared" si="6"/>
        <x:v>hero_2d_21247</x:v>
      </x:c>
      <x:c r="M82">
        <x:v>113033</x:v>
      </x:c>
      <x:c r="N82" t="s">
        <x:v>283</x:v>
      </x:c>
    </x:row>
    <x:row r="83" spans="1:14" x14ac:dyDescent="0.15">
      <x:c r="A83">
        <x:v>53003141</x:v>
      </x:c>
      <x:c r="B83" t="s">
        <x:v>688</x:v>
      </x:c>
      <x:c r="C83">
        <x:v>1113083</x:v>
      </x:c>
      <x:c r="D83" t="str">
        <x:f t="shared" si="6"/>
        <x:v>hero_2d_3078</x:v>
      </x:c>
      <x:c r="M83">
        <x:v>113034</x:v>
      </x:c>
      <x:c r="N83" t="s">
        <x:v>284</x:v>
      </x:c>
    </x:row>
    <x:row r="84" spans="1:14" x14ac:dyDescent="0.15">
      <x:c r="A84">
        <x:v>53003141</x:v>
      </x:c>
      <x:c r="B84" t="s">
        <x:v>688</x:v>
      </x:c>
      <x:c r="C84">
        <x:v>121274</x:v>
      </x:c>
      <x:c r="D84" t="str">
        <x:f t="shared" si="6"/>
        <x:v>hero_2d_21247</x:v>
      </x:c>
      <x:c r="M84">
        <x:v>113035</x:v>
      </x:c>
      <x:c r="N84" t="s">
        <x:v>285</x:v>
      </x:c>
    </x:row>
    <x:row r="85" spans="1:14" x14ac:dyDescent="0.15">
      <x:c r="A85">
        <x:v>53003141</x:v>
      </x:c>
      <x:c r="B85" t="s">
        <x:v>688</x:v>
      </x:c>
      <x:c r="C85">
        <x:v>121274</x:v>
      </x:c>
      <x:c r="D85" t="str">
        <x:f t="shared" si="6"/>
        <x:v>hero_2d_21247</x:v>
      </x:c>
      <x:c r="M85">
        <x:v>113036</x:v>
      </x:c>
      <x:c r="N85" t="s">
        <x:v>286</x:v>
      </x:c>
    </x:row>
    <x:row r="86" spans="1:14" x14ac:dyDescent="0.15">
      <x:c r="A86">
        <x:v>53003141</x:v>
      </x:c>
      <x:c r="B86" t="s">
        <x:v>688</x:v>
      </x:c>
      <x:c r="C86">
        <x:v>121274</x:v>
      </x:c>
      <x:c r="D86" t="str">
        <x:f t="shared" si="6"/>
        <x:v>hero_2d_21247</x:v>
      </x:c>
      <x:c r="M86">
        <x:v>113037</x:v>
      </x:c>
      <x:c r="N86" t="s">
        <x:v>287</x:v>
      </x:c>
    </x:row>
    <x:row r="87" spans="1:14" x14ac:dyDescent="0.15">
      <x:c r="A87">
        <x:v>53003142</x:v>
      </x:c>
      <x:c r="B87" t="s">
        <x:v>690</x:v>
      </x:c>
      <x:c r="C87">
        <x:v>1113079</x:v>
      </x:c>
      <x:c r="D87" t="str">
        <x:f t="shared" si="6"/>
        <x:v>hero_2d_3074</x:v>
      </x:c>
      <x:c r="M87">
        <x:v>113038</x:v>
      </x:c>
      <x:c r="N87" t="s">
        <x:v>288</x:v>
      </x:c>
    </x:row>
    <x:row r="88" spans="1:14" x14ac:dyDescent="0.15">
      <x:c r="A88">
        <x:v>53003151</x:v>
      </x:c>
      <x:c r="B88" t="s">
        <x:v>692</x:v>
      </x:c>
      <x:c r="C88">
        <x:v>1113083</x:v>
      </x:c>
      <x:c r="D88" t="str">
        <x:f t="shared" si="6"/>
        <x:v>hero_2d_3078</x:v>
      </x:c>
      <x:c r="M88">
        <x:v>113039</x:v>
      </x:c>
      <x:c r="N88" t="s">
        <x:v>289</x:v>
      </x:c>
    </x:row>
    <x:row r="89" spans="1:14" x14ac:dyDescent="0.15">
      <x:c r="A89">
        <x:v>53003152</x:v>
      </x:c>
      <x:c r="B89" t="s">
        <x:v>694</x:v>
      </x:c>
      <x:c r="C89">
        <x:v>1113083</x:v>
      </x:c>
      <x:c r="D89" t="str">
        <x:f t="shared" si="6"/>
        <x:v>hero_2d_3078</x:v>
      </x:c>
      <x:c r="M89">
        <x:v>113040</x:v>
      </x:c>
      <x:c r="N89" t="s">
        <x:v>290</x:v>
      </x:c>
    </x:row>
    <x:row r="90" spans="1:14" x14ac:dyDescent="0.15">
      <x:c r="A90">
        <x:v>53003152</x:v>
      </x:c>
      <x:c r="B90" t="s">
        <x:v>694</x:v>
      </x:c>
      <x:c r="C90">
        <x:v>1113079</x:v>
      </x:c>
      <x:c r="D90" t="str">
        <x:f t="shared" si="6"/>
        <x:v>hero_2d_3074</x:v>
      </x:c>
      <x:c r="M90">
        <x:v>113041</x:v>
      </x:c>
      <x:c r="N90" t="s">
        <x:v>291</x:v>
      </x:c>
    </x:row>
    <x:row r="91" spans="1:14" x14ac:dyDescent="0.15">
      <x:c r="A91">
        <x:v>53004011</x:v>
      </x:c>
      <x:c r="B91" t="s">
        <x:v>696</x:v>
      </x:c>
      <x:c r="C91">
        <x:v>121274</x:v>
      </x:c>
      <x:c r="D91" t="str">
        <x:f t="shared" si="6"/>
        <x:v>hero_2d_21247</x:v>
      </x:c>
      <x:c r="M91">
        <x:v>113042</x:v>
      </x:c>
      <x:c r="N91" t="s">
        <x:v>292</x:v>
      </x:c>
    </x:row>
    <x:row r="92" spans="1:14" x14ac:dyDescent="0.15">
      <x:c r="A92">
        <x:v>53004011</x:v>
      </x:c>
      <x:c r="B92" t="s">
        <x:v>696</x:v>
      </x:c>
      <x:c r="C92">
        <x:v>121274</x:v>
      </x:c>
      <x:c r="D92" t="str">
        <x:f t="shared" si="6"/>
        <x:v>hero_2d_21247</x:v>
      </x:c>
      <x:c r="M92">
        <x:v>113043</x:v>
      </x:c>
      <x:c r="N92" t="s">
        <x:v>293</x:v>
      </x:c>
    </x:row>
    <x:row r="93" spans="1:14" x14ac:dyDescent="0.15">
      <x:c r="A93">
        <x:v>53004012</x:v>
      </x:c>
      <x:c r="B93" t="s">
        <x:v>699</x:v>
      </x:c>
      <x:c r="C93">
        <x:v>121273</x:v>
      </x:c>
      <x:c r="D93" t="str">
        <x:f t="shared" si="6"/>
        <x:v>hero_2d_21246</x:v>
      </x:c>
      <x:c r="M93">
        <x:v>113044</x:v>
      </x:c>
      <x:c r="N93" t="s">
        <x:v>294</x:v>
      </x:c>
    </x:row>
    <x:row r="94" spans="1:14" x14ac:dyDescent="0.15">
      <x:c r="A94">
        <x:v>53004012</x:v>
      </x:c>
      <x:c r="B94" t="s">
        <x:v>699</x:v>
      </x:c>
      <x:c r="C94">
        <x:v>121273</x:v>
      </x:c>
      <x:c r="D94" t="str">
        <x:f t="shared" si="6"/>
        <x:v>hero_2d_21246</x:v>
      </x:c>
      <x:c r="M94">
        <x:v>113045</x:v>
      </x:c>
      <x:c r="N94" t="s">
        <x:v>295</x:v>
      </x:c>
    </x:row>
    <x:row r="95" spans="1:14" x14ac:dyDescent="0.15">
      <x:c r="A95">
        <x:v>53004021</x:v>
      </x:c>
      <x:c r="B95" t="s">
        <x:v>700</x:v>
      </x:c>
      <x:c r="C95">
        <x:v>121273</x:v>
      </x:c>
      <x:c r="D95" t="str">
        <x:f t="shared" si="6"/>
        <x:v>hero_2d_21246</x:v>
      </x:c>
      <x:c r="M95">
        <x:v>113046</x:v>
      </x:c>
      <x:c r="N95" t="s">
        <x:v>296</x:v>
      </x:c>
    </x:row>
    <x:row r="96" spans="1:14" x14ac:dyDescent="0.15">
      <x:c r="A96">
        <x:v>53004021</x:v>
      </x:c>
      <x:c r="B96" t="s">
        <x:v>700</x:v>
      </x:c>
      <x:c r="C96">
        <x:v>121273</x:v>
      </x:c>
      <x:c r="D96" t="str">
        <x:f t="shared" si="6"/>
        <x:v>hero_2d_21246</x:v>
      </x:c>
      <x:c r="M96">
        <x:v>113047</x:v>
      </x:c>
      <x:c r="N96" t="s">
        <x:v>297</x:v>
      </x:c>
    </x:row>
    <x:row r="97" spans="1:14" x14ac:dyDescent="0.15">
      <x:c r="A97">
        <x:v>53004021</x:v>
      </x:c>
      <x:c r="B97" t="s">
        <x:v>700</x:v>
      </x:c>
      <x:c r="C97">
        <x:v>121273</x:v>
      </x:c>
      <x:c r="D97" t="str">
        <x:f t="shared" si="6"/>
        <x:v>hero_2d_21246</x:v>
      </x:c>
      <x:c r="M97">
        <x:v>113048</x:v>
      </x:c>
      <x:c r="N97" t="s">
        <x:v>298</x:v>
      </x:c>
    </x:row>
    <x:row r="98" spans="1:14" x14ac:dyDescent="0.15">
      <x:c r="A98">
        <x:v>53004021</x:v>
      </x:c>
      <x:c r="B98" t="s">
        <x:v>700</x:v>
      </x:c>
      <x:c r="C98">
        <x:v>121274</x:v>
      </x:c>
      <x:c r="D98" t="str">
        <x:f t="shared" si="6"/>
        <x:v>hero_2d_21247</x:v>
      </x:c>
      <x:c r="M98">
        <x:v>113049</x:v>
      </x:c>
      <x:c r="N98" t="s">
        <x:v>299</x:v>
      </x:c>
    </x:row>
    <x:row r="99" spans="1:14" x14ac:dyDescent="0.15">
      <x:c r="A99">
        <x:v>53004022</x:v>
      </x:c>
      <x:c r="B99" t="s">
        <x:v>701</x:v>
      </x:c>
      <x:c r="C99">
        <x:v>121273</x:v>
      </x:c>
      <x:c r="D99" t="str">
        <x:f t="shared" ref="D99:D130" si="7">VLOOKUP(C99,M:N,2,FALSE)</x:f>
        <x:v>hero_2d_21246</x:v>
      </x:c>
      <x:c r="M99">
        <x:v>113050</x:v>
      </x:c>
      <x:c r="N99" t="s">
        <x:v>300</x:v>
      </x:c>
    </x:row>
    <x:row r="100" spans="1:14" x14ac:dyDescent="0.15">
      <x:c r="A100">
        <x:v>53004022</x:v>
      </x:c>
      <x:c r="B100" t="s">
        <x:v>701</x:v>
      </x:c>
      <x:c r="C100">
        <x:v>121274</x:v>
      </x:c>
      <x:c r="D100" t="str">
        <x:f t="shared" si="7"/>
        <x:v>hero_2d_21247</x:v>
      </x:c>
      <x:c r="M100">
        <x:v>113051</x:v>
      </x:c>
      <x:c r="N100" t="s">
        <x:v>301</x:v>
      </x:c>
    </x:row>
    <x:row r="101" spans="1:14" x14ac:dyDescent="0.15">
      <x:c r="A101">
        <x:v>53004022</x:v>
      </x:c>
      <x:c r="B101" t="s">
        <x:v>701</x:v>
      </x:c>
      <x:c r="C101">
        <x:v>121274</x:v>
      </x:c>
      <x:c r="D101" t="str">
        <x:f t="shared" si="7"/>
        <x:v>hero_2d_21247</x:v>
      </x:c>
      <x:c r="M101">
        <x:v>113052</x:v>
      </x:c>
      <x:c r="N101" t="s">
        <x:v>302</x:v>
      </x:c>
    </x:row>
    <x:row r="102" spans="1:14" x14ac:dyDescent="0.15">
      <x:c r="A102">
        <x:v>53004022</x:v>
      </x:c>
      <x:c r="B102" t="s">
        <x:v>701</x:v>
      </x:c>
      <x:c r="C102">
        <x:v>121274</x:v>
      </x:c>
      <x:c r="D102" t="str">
        <x:f t="shared" si="7"/>
        <x:v>hero_2d_21247</x:v>
      </x:c>
      <x:c r="M102">
        <x:v>113053</x:v>
      </x:c>
      <x:c r="N102" t="s">
        <x:v>303</x:v>
      </x:c>
    </x:row>
    <x:row r="103" spans="1:14" x14ac:dyDescent="0.15">
      <x:c r="A103">
        <x:v>53004031</x:v>
      </x:c>
      <x:c r="B103" t="s">
        <x:v>702</x:v>
      </x:c>
      <x:c r="C103">
        <x:v>121273</x:v>
      </x:c>
      <x:c r="D103" t="str">
        <x:f t="shared" si="7"/>
        <x:v>hero_2d_21246</x:v>
      </x:c>
      <x:c r="M103">
        <x:v>113054</x:v>
      </x:c>
      <x:c r="N103" t="s">
        <x:v>304</x:v>
      </x:c>
    </x:row>
    <x:row r="104" spans="1:14" x14ac:dyDescent="0.15">
      <x:c r="A104">
        <x:v>53004031</x:v>
      </x:c>
      <x:c r="B104" t="s">
        <x:v>702</x:v>
      </x:c>
      <x:c r="C104">
        <x:v>121273</x:v>
      </x:c>
      <x:c r="D104" t="str">
        <x:f t="shared" si="7"/>
        <x:v>hero_2d_21246</x:v>
      </x:c>
      <x:c r="M104">
        <x:v>113055</x:v>
      </x:c>
      <x:c r="N104" t="s">
        <x:v>305</x:v>
      </x:c>
    </x:row>
    <x:row r="105" spans="1:14" x14ac:dyDescent="0.15">
      <x:c r="A105">
        <x:v>53004031</x:v>
      </x:c>
      <x:c r="B105" t="s">
        <x:v>702</x:v>
      </x:c>
      <x:c r="C105">
        <x:v>121274</x:v>
      </x:c>
      <x:c r="D105" t="str">
        <x:f t="shared" si="7"/>
        <x:v>hero_2d_21247</x:v>
      </x:c>
      <x:c r="M105">
        <x:v>113056</x:v>
      </x:c>
      <x:c r="N105" t="s">
        <x:v>306</x:v>
      </x:c>
    </x:row>
    <x:row r="106" spans="1:14" x14ac:dyDescent="0.15">
      <x:c r="A106">
        <x:v>53004032</x:v>
      </x:c>
      <x:c r="B106" t="s">
        <x:v>703</x:v>
      </x:c>
      <x:c r="C106">
        <x:v>121273</x:v>
      </x:c>
      <x:c r="D106" t="str">
        <x:f t="shared" si="7"/>
        <x:v>hero_2d_21246</x:v>
      </x:c>
      <x:c r="M106">
        <x:v>113057</x:v>
      </x:c>
      <x:c r="N106" t="s">
        <x:v>307</x:v>
      </x:c>
    </x:row>
    <x:row r="107" spans="1:14" x14ac:dyDescent="0.15">
      <x:c r="A107">
        <x:v>53004032</x:v>
      </x:c>
      <x:c r="B107" t="s">
        <x:v>703</x:v>
      </x:c>
      <x:c r="C107">
        <x:v>121274</x:v>
      </x:c>
      <x:c r="D107" t="str">
        <x:f t="shared" si="7"/>
        <x:v>hero_2d_21247</x:v>
      </x:c>
      <x:c r="M107">
        <x:v>113058</x:v>
      </x:c>
      <x:c r="N107" t="s">
        <x:v>298</x:v>
      </x:c>
    </x:row>
    <x:row r="108" spans="1:14" x14ac:dyDescent="0.15">
      <x:c r="A108">
        <x:v>53004032</x:v>
      </x:c>
      <x:c r="B108" t="s">
        <x:v>703</x:v>
      </x:c>
      <x:c r="C108">
        <x:v>121273</x:v>
      </x:c>
      <x:c r="D108" t="str">
        <x:f t="shared" si="7"/>
        <x:v>hero_2d_21246</x:v>
      </x:c>
      <x:c r="M108">
        <x:v>113059</x:v>
      </x:c>
      <x:c r="N108" t="s">
        <x:v>308</x:v>
      </x:c>
    </x:row>
    <x:row r="109" spans="1:14" x14ac:dyDescent="0.15">
      <x:c r="A109">
        <x:v>53004032</x:v>
      </x:c>
      <x:c r="B109" t="s">
        <x:v>703</x:v>
      </x:c>
      <x:c r="C109">
        <x:v>121273</x:v>
      </x:c>
      <x:c r="D109" t="str">
        <x:f t="shared" si="7"/>
        <x:v>hero_2d_21246</x:v>
      </x:c>
      <x:c r="M109">
        <x:v>113060</x:v>
      </x:c>
      <x:c r="N109" t="s">
        <x:v>309</x:v>
      </x:c>
    </x:row>
    <x:row r="110" spans="1:14" x14ac:dyDescent="0.15">
      <x:c r="A110">
        <x:v>53004032</x:v>
      </x:c>
      <x:c r="B110" t="s">
        <x:v>703</x:v>
      </x:c>
      <x:c r="C110">
        <x:v>121274</x:v>
      </x:c>
      <x:c r="D110" t="str">
        <x:f t="shared" si="7"/>
        <x:v>hero_2d_21247</x:v>
      </x:c>
      <x:c r="M110">
        <x:v>113061</x:v>
      </x:c>
      <x:c r="N110" t="s">
        <x:v>310</x:v>
      </x:c>
    </x:row>
    <x:row r="111" spans="1:14" x14ac:dyDescent="0.15">
      <x:c r="A111">
        <x:v>53004032</x:v>
      </x:c>
      <x:c r="B111" t="s">
        <x:v>703</x:v>
      </x:c>
      <x:c r="C111">
        <x:v>121274</x:v>
      </x:c>
      <x:c r="D111" t="str">
        <x:f t="shared" si="7"/>
        <x:v>hero_2d_21247</x:v>
      </x:c>
      <x:c r="M111">
        <x:v>113062</x:v>
      </x:c>
      <x:c r="N111" t="s">
        <x:v>311</x:v>
      </x:c>
    </x:row>
    <x:row r="112" spans="1:14" x14ac:dyDescent="0.15">
      <x:c r="A112">
        <x:v>53004041</x:v>
      </x:c>
      <x:c r="B112" t="s">
        <x:v>704</x:v>
      </x:c>
      <x:c r="C112">
        <x:v>121273</x:v>
      </x:c>
      <x:c r="D112" t="str">
        <x:f t="shared" si="7"/>
        <x:v>hero_2d_21246</x:v>
      </x:c>
      <x:c r="M112">
        <x:v>113063</x:v>
      </x:c>
      <x:c r="N112" t="s">
        <x:v>251</x:v>
      </x:c>
    </x:row>
    <x:row r="113" spans="1:14" x14ac:dyDescent="0.15">
      <x:c r="A113">
        <x:v>53004041</x:v>
      </x:c>
      <x:c r="B113" t="s">
        <x:v>704</x:v>
      </x:c>
      <x:c r="C113">
        <x:v>121273</x:v>
      </x:c>
      <x:c r="D113" t="str">
        <x:f t="shared" si="7"/>
        <x:v>hero_2d_21246</x:v>
      </x:c>
      <x:c r="M113">
        <x:v>113064</x:v>
      </x:c>
      <x:c r="N113" t="s">
        <x:v>312</x:v>
      </x:c>
    </x:row>
    <x:row r="114" spans="1:14" x14ac:dyDescent="0.15">
      <x:c r="A114">
        <x:v>53004041</x:v>
      </x:c>
      <x:c r="B114" t="s">
        <x:v>704</x:v>
      </x:c>
      <x:c r="C114">
        <x:v>121275</x:v>
      </x:c>
      <x:c r="D114" t="str">
        <x:f t="shared" si="7"/>
        <x:v>hero_2d_21248</x:v>
      </x:c>
      <x:c r="M114">
        <x:v>113065</x:v>
      </x:c>
      <x:c r="N114" t="s">
        <x:v>313</x:v>
      </x:c>
    </x:row>
    <x:row r="115" spans="1:14" x14ac:dyDescent="0.15">
      <x:c r="A115">
        <x:v>53004042</x:v>
      </x:c>
      <x:c r="B115" t="s">
        <x:v>705</x:v>
      </x:c>
      <x:c r="C115">
        <x:v>121275</x:v>
      </x:c>
      <x:c r="D115" t="str">
        <x:f t="shared" si="7"/>
        <x:v>hero_2d_21248</x:v>
      </x:c>
      <x:c r="M115">
        <x:v>113066</x:v>
      </x:c>
      <x:c r="N115" t="s">
        <x:v>314</x:v>
      </x:c>
    </x:row>
    <x:row r="116" spans="1:14" x14ac:dyDescent="0.15">
      <x:c r="A116">
        <x:v>53004042</x:v>
      </x:c>
      <x:c r="B116" t="s">
        <x:v>705</x:v>
      </x:c>
      <x:c r="C116">
        <x:v>121274</x:v>
      </x:c>
      <x:c r="D116" t="str">
        <x:f t="shared" si="7"/>
        <x:v>hero_2d_21247</x:v>
      </x:c>
      <x:c r="M116">
        <x:v>113067</x:v>
      </x:c>
      <x:c r="N116" t="s">
        <x:v>315</x:v>
      </x:c>
    </x:row>
    <x:row r="117" spans="1:14" x14ac:dyDescent="0.15">
      <x:c r="A117">
        <x:v>53004042</x:v>
      </x:c>
      <x:c r="B117" t="s">
        <x:v>705</x:v>
      </x:c>
      <x:c r="C117">
        <x:v>121274</x:v>
      </x:c>
      <x:c r="D117" t="str">
        <x:f t="shared" si="7"/>
        <x:v>hero_2d_21247</x:v>
      </x:c>
      <x:c r="M117">
        <x:v>113068</x:v>
      </x:c>
      <x:c r="N117" t="s">
        <x:v>316</x:v>
      </x:c>
    </x:row>
    <x:row r="118" spans="1:14" x14ac:dyDescent="0.15">
      <x:c r="A118">
        <x:v>53004051</x:v>
      </x:c>
      <x:c r="B118" t="s">
        <x:v>706</x:v>
      </x:c>
      <x:c r="C118">
        <x:v>121273</x:v>
      </x:c>
      <x:c r="D118" t="str">
        <x:f t="shared" si="7"/>
        <x:v>hero_2d_21246</x:v>
      </x:c>
      <x:c r="M118">
        <x:v>113069</x:v>
      </x:c>
      <x:c r="N118" t="s">
        <x:v>317</x:v>
      </x:c>
    </x:row>
    <x:row r="119" spans="1:14" x14ac:dyDescent="0.15">
      <x:c r="A119">
        <x:v>53004051</x:v>
      </x:c>
      <x:c r="B119" t="s">
        <x:v>706</x:v>
      </x:c>
      <x:c r="C119">
        <x:v>121274</x:v>
      </x:c>
      <x:c r="D119" t="str">
        <x:f t="shared" si="7"/>
        <x:v>hero_2d_21247</x:v>
      </x:c>
      <x:c r="M119">
        <x:v>113070</x:v>
      </x:c>
      <x:c r="N119" t="s">
        <x:v>318</x:v>
      </x:c>
    </x:row>
    <x:row r="120" spans="1:14" x14ac:dyDescent="0.15">
      <x:c r="A120">
        <x:v>53004052</x:v>
      </x:c>
      <x:c r="B120" t="s">
        <x:v>707</x:v>
      </x:c>
      <x:c r="C120">
        <x:v>121273</x:v>
      </x:c>
      <x:c r="D120" t="str">
        <x:f t="shared" si="7"/>
        <x:v>hero_2d_21246</x:v>
      </x:c>
      <x:c r="M120">
        <x:v>113071</x:v>
      </x:c>
      <x:c r="N120" t="s">
        <x:v>59</x:v>
      </x:c>
    </x:row>
    <x:row r="121" spans="1:14" x14ac:dyDescent="0.15">
      <x:c r="A121">
        <x:v>53004052</x:v>
      </x:c>
      <x:c r="B121" t="s">
        <x:v>707</x:v>
      </x:c>
      <x:c r="C121">
        <x:v>121273</x:v>
      </x:c>
      <x:c r="D121" t="str">
        <x:f t="shared" si="7"/>
        <x:v>hero_2d_21246</x:v>
      </x:c>
      <x:c r="M121">
        <x:v>113072</x:v>
      </x:c>
      <x:c r="N121" t="s">
        <x:v>319</x:v>
      </x:c>
    </x:row>
    <x:row r="122" spans="1:14" x14ac:dyDescent="0.15">
      <x:c r="A122">
        <x:v>53004052</x:v>
      </x:c>
      <x:c r="B122" t="s">
        <x:v>707</x:v>
      </x:c>
      <x:c r="C122">
        <x:v>121274</x:v>
      </x:c>
      <x:c r="D122" t="str">
        <x:f t="shared" si="7"/>
        <x:v>hero_2d_21247</x:v>
      </x:c>
      <x:c r="M122">
        <x:v>113073</x:v>
      </x:c>
      <x:c r="N122" t="s">
        <x:v>320</x:v>
      </x:c>
    </x:row>
    <x:row r="123" spans="1:14" x14ac:dyDescent="0.15">
      <x:c r="A123">
        <x:v>53004052</x:v>
      </x:c>
      <x:c r="B123" t="s">
        <x:v>707</x:v>
      </x:c>
      <x:c r="C123">
        <x:v>121274</x:v>
      </x:c>
      <x:c r="D123" t="str">
        <x:f t="shared" si="7"/>
        <x:v>hero_2d_21247</x:v>
      </x:c>
      <x:c r="M123">
        <x:v>113074</x:v>
      </x:c>
    </x:row>
    <x:row r="124" spans="1:14" x14ac:dyDescent="0.15">
      <x:c r="A124">
        <x:v>53004061</x:v>
      </x:c>
      <x:c r="B124" t="s">
        <x:v>708</x:v>
      </x:c>
      <x:c r="C124">
        <x:v>121273</x:v>
      </x:c>
      <x:c r="D124" t="str">
        <x:f t="shared" si="7"/>
        <x:v>hero_2d_21246</x:v>
      </x:c>
      <x:c r="M124">
        <x:v>113075</x:v>
      </x:c>
      <x:c r="N124" t="s">
        <x:v>93</x:v>
      </x:c>
    </x:row>
    <x:row r="125" spans="1:14" x14ac:dyDescent="0.15">
      <x:c r="A125">
        <x:v>53004061</x:v>
      </x:c>
      <x:c r="B125" t="s">
        <x:v>708</x:v>
      </x:c>
      <x:c r="C125">
        <x:v>121273</x:v>
      </x:c>
      <x:c r="D125" t="str">
        <x:f t="shared" si="7"/>
        <x:v>hero_2d_21246</x:v>
      </x:c>
      <x:c r="M125">
        <x:v>113076</x:v>
      </x:c>
      <x:c r="N125" t="s">
        <x:v>321</x:v>
      </x:c>
    </x:row>
    <x:row r="126" spans="1:14" x14ac:dyDescent="0.15">
      <x:c r="A126">
        <x:v>53004061</x:v>
      </x:c>
      <x:c r="B126" t="s">
        <x:v>708</x:v>
      </x:c>
      <x:c r="C126">
        <x:v>121273</x:v>
      </x:c>
      <x:c r="D126" t="str">
        <x:f t="shared" si="7"/>
        <x:v>hero_2d_21246</x:v>
      </x:c>
      <x:c r="M126">
        <x:v>113077</x:v>
      </x:c>
      <x:c r="N126" t="s">
        <x:v>93</x:v>
      </x:c>
    </x:row>
    <x:row r="127" spans="1:14" x14ac:dyDescent="0.15">
      <x:c r="A127">
        <x:v>53004061</x:v>
      </x:c>
      <x:c r="B127" t="s">
        <x:v>708</x:v>
      </x:c>
      <x:c r="C127">
        <x:v>121274</x:v>
      </x:c>
      <x:c r="D127" t="str">
        <x:f t="shared" si="7"/>
        <x:v>hero_2d_21247</x:v>
      </x:c>
      <x:c r="M127">
        <x:v>113078</x:v>
      </x:c>
      <x:c r="N127" t="s">
        <x:v>63</x:v>
      </x:c>
    </x:row>
    <x:row r="128" spans="1:14" x14ac:dyDescent="0.15">
      <x:c r="A128">
        <x:v>53004061</x:v>
      </x:c>
      <x:c r="B128" t="s">
        <x:v>708</x:v>
      </x:c>
      <x:c r="C128">
        <x:v>121274</x:v>
      </x:c>
      <x:c r="D128" t="str">
        <x:f t="shared" si="7"/>
        <x:v>hero_2d_21247</x:v>
      </x:c>
      <x:c r="M128">
        <x:v>113079</x:v>
      </x:c>
      <x:c r="N128" t="s">
        <x:v>322</x:v>
      </x:c>
    </x:row>
    <x:row r="129" spans="1:14" x14ac:dyDescent="0.15">
      <x:c r="A129">
        <x:v>53004061</x:v>
      </x:c>
      <x:c r="B129" t="s">
        <x:v>708</x:v>
      </x:c>
      <x:c r="C129">
        <x:v>121274</x:v>
      </x:c>
      <x:c r="D129" t="str">
        <x:f t="shared" si="7"/>
        <x:v>hero_2d_21247</x:v>
      </x:c>
      <x:c r="M129">
        <x:v>113080</x:v>
      </x:c>
      <x:c r="N129" t="s">
        <x:v>323</x:v>
      </x:c>
    </x:row>
    <x:row r="130" spans="1:14" x14ac:dyDescent="0.15">
      <x:c r="A130">
        <x:v>53004061</x:v>
      </x:c>
      <x:c r="B130" t="s">
        <x:v>708</x:v>
      </x:c>
      <x:c r="C130">
        <x:v>121274</x:v>
      </x:c>
      <x:c r="D130" t="str">
        <x:f t="shared" si="7"/>
        <x:v>hero_2d_21247</x:v>
      </x:c>
      <x:c r="M130">
        <x:v>113081</x:v>
      </x:c>
      <x:c r="N130" t="s">
        <x:v>324</x:v>
      </x:c>
    </x:row>
    <x:row r="131" spans="1:14" x14ac:dyDescent="0.15">
      <x:c r="A131">
        <x:v>53004061</x:v>
      </x:c>
      <x:c r="B131" t="s">
        <x:v>708</x:v>
      </x:c>
      <x:c r="C131">
        <x:v>121274</x:v>
      </x:c>
      <x:c r="D131" t="str">
        <x:f t="shared" ref="D131:D162" si="8">VLOOKUP(C131,M:N,2,FALSE)</x:f>
        <x:v>hero_2d_21247</x:v>
      </x:c>
      <x:c r="M131">
        <x:v>113082</x:v>
      </x:c>
      <x:c r="N131" t="s">
        <x:v>325</x:v>
      </x:c>
    </x:row>
    <x:row r="132" spans="1:14" x14ac:dyDescent="0.15">
      <x:c r="A132">
        <x:v>53004062</x:v>
      </x:c>
      <x:c r="B132" t="s">
        <x:v>709</x:v>
      </x:c>
      <x:c r="C132">
        <x:v>121273</x:v>
      </x:c>
      <x:c r="D132" t="str">
        <x:f t="shared" si="8"/>
        <x:v>hero_2d_21246</x:v>
      </x:c>
      <x:c r="M132">
        <x:v>113083</x:v>
      </x:c>
      <x:c r="N132" t="s">
        <x:v>66</x:v>
      </x:c>
    </x:row>
    <x:row r="133" spans="1:14" x14ac:dyDescent="0.15">
      <x:c r="A133">
        <x:v>53004062</x:v>
      </x:c>
      <x:c r="B133" t="s">
        <x:v>709</x:v>
      </x:c>
      <x:c r="C133">
        <x:v>121273</x:v>
      </x:c>
      <x:c r="D133" t="str">
        <x:f t="shared" si="8"/>
        <x:v>hero_2d_21246</x:v>
      </x:c>
      <x:c r="M133">
        <x:v>113084</x:v>
      </x:c>
      <x:c r="N133" t="s">
        <x:v>54</x:v>
      </x:c>
    </x:row>
    <x:row r="134" spans="1:14" x14ac:dyDescent="0.15">
      <x:c r="A134">
        <x:v>53004062</x:v>
      </x:c>
      <x:c r="B134" t="s">
        <x:v>709</x:v>
      </x:c>
      <x:c r="C134">
        <x:v>121273</x:v>
      </x:c>
      <x:c r="D134" t="str">
        <x:f t="shared" si="8"/>
        <x:v>hero_2d_21246</x:v>
      </x:c>
      <x:c r="M134">
        <x:v>113085</x:v>
      </x:c>
      <x:c r="N134" t="s">
        <x:v>729</x:v>
      </x:c>
    </x:row>
    <x:row r="135" spans="1:14" x14ac:dyDescent="0.15">
      <x:c r="A135">
        <x:v>53004062</x:v>
      </x:c>
      <x:c r="B135" t="s">
        <x:v>709</x:v>
      </x:c>
      <x:c r="C135">
        <x:v>121273</x:v>
      </x:c>
      <x:c r="D135" t="str">
        <x:f t="shared" si="8"/>
        <x:v>hero_2d_21246</x:v>
      </x:c>
      <x:c r="M135">
        <x:v>113086</x:v>
      </x:c>
      <x:c r="N135" t="s">
        <x:v>730</x:v>
      </x:c>
    </x:row>
    <x:row r="136" spans="1:14" x14ac:dyDescent="0.15">
      <x:c r="A136">
        <x:v>53004062</x:v>
      </x:c>
      <x:c r="B136" t="s">
        <x:v>709</x:v>
      </x:c>
      <x:c r="C136">
        <x:v>121273</x:v>
      </x:c>
      <x:c r="D136" t="str">
        <x:f t="shared" si="8"/>
        <x:v>hero_2d_21246</x:v>
      </x:c>
      <x:c r="M136">
        <x:v>113087</x:v>
      </x:c>
      <x:c r="N136" t="s">
        <x:v>731</x:v>
      </x:c>
    </x:row>
    <x:row r="137" spans="1:14" x14ac:dyDescent="0.15">
      <x:c r="A137">
        <x:v>53004062</x:v>
      </x:c>
      <x:c r="B137" t="s">
        <x:v>709</x:v>
      </x:c>
      <x:c r="C137">
        <x:v>121274</x:v>
      </x:c>
      <x:c r="D137" t="str">
        <x:f t="shared" si="8"/>
        <x:v>hero_2d_21247</x:v>
      </x:c>
      <x:c r="M137">
        <x:v>121001</x:v>
      </x:c>
      <x:c r="N137" t="s">
        <x:v>326</x:v>
      </x:c>
    </x:row>
    <x:row r="138" spans="1:14" x14ac:dyDescent="0.15">
      <x:c r="A138">
        <x:v>53004062</x:v>
      </x:c>
      <x:c r="B138" t="s">
        <x:v>709</x:v>
      </x:c>
      <x:c r="C138">
        <x:v>121274</x:v>
      </x:c>
      <x:c r="D138" t="str">
        <x:f t="shared" si="8"/>
        <x:v>hero_2d_21247</x:v>
      </x:c>
      <x:c r="M138">
        <x:v>121002</x:v>
      </x:c>
      <x:c r="N138" t="s">
        <x:v>327</x:v>
      </x:c>
    </x:row>
    <x:row r="139" spans="1:14" x14ac:dyDescent="0.15">
      <x:c r="A139">
        <x:v>53004062</x:v>
      </x:c>
      <x:c r="B139" t="s">
        <x:v>709</x:v>
      </x:c>
      <x:c r="C139">
        <x:v>121274</x:v>
      </x:c>
      <x:c r="D139" t="str">
        <x:f t="shared" si="8"/>
        <x:v>hero_2d_21247</x:v>
      </x:c>
      <x:c r="M139">
        <x:v>121003</x:v>
      </x:c>
      <x:c r="N139" t="s">
        <x:v>328</x:v>
      </x:c>
    </x:row>
    <x:row r="140" spans="1:14" x14ac:dyDescent="0.15">
      <x:c r="A140">
        <x:v>53004071</x:v>
      </x:c>
      <x:c r="B140" t="s">
        <x:v>710</x:v>
      </x:c>
      <x:c r="C140">
        <x:v>121273</x:v>
      </x:c>
      <x:c r="D140" t="str">
        <x:f t="shared" si="8"/>
        <x:v>hero_2d_21246</x:v>
      </x:c>
      <x:c r="M140">
        <x:v>121004</x:v>
      </x:c>
      <x:c r="N140" t="s">
        <x:v>329</x:v>
      </x:c>
    </x:row>
    <x:row r="141" spans="1:14" x14ac:dyDescent="0.15">
      <x:c r="A141">
        <x:v>53004071</x:v>
      </x:c>
      <x:c r="B141" t="s">
        <x:v>710</x:v>
      </x:c>
      <x:c r="C141">
        <x:v>121273</x:v>
      </x:c>
      <x:c r="D141" t="str">
        <x:f t="shared" si="8"/>
        <x:v>hero_2d_21246</x:v>
      </x:c>
      <x:c r="M141">
        <x:v>121005</x:v>
      </x:c>
      <x:c r="N141" t="s">
        <x:v>330</x:v>
      </x:c>
    </x:row>
    <x:row r="142" spans="1:14" x14ac:dyDescent="0.15">
      <x:c r="A142">
        <x:v>53004071</x:v>
      </x:c>
      <x:c r="B142" t="s">
        <x:v>710</x:v>
      </x:c>
      <x:c r="C142">
        <x:v>121275</x:v>
      </x:c>
      <x:c r="D142" t="str">
        <x:f t="shared" si="8"/>
        <x:v>hero_2d_21248</x:v>
      </x:c>
      <x:c r="M142">
        <x:v>121006</x:v>
      </x:c>
      <x:c r="N142" t="s">
        <x:v>331</x:v>
      </x:c>
    </x:row>
    <x:row r="143" spans="1:14" x14ac:dyDescent="0.15">
      <x:c r="A143">
        <x:v>53004072</x:v>
      </x:c>
      <x:c r="B143" t="s">
        <x:v>711</x:v>
      </x:c>
      <x:c r="C143">
        <x:v>121275</x:v>
      </x:c>
      <x:c r="D143" t="str">
        <x:f t="shared" si="8"/>
        <x:v>hero_2d_21248</x:v>
      </x:c>
      <x:c r="M143">
        <x:v>121007</x:v>
      </x:c>
      <x:c r="N143" t="s">
        <x:v>332</x:v>
      </x:c>
    </x:row>
    <x:row r="144" spans="1:14" x14ac:dyDescent="0.15">
      <x:c r="A144">
        <x:v>53004081</x:v>
      </x:c>
      <x:c r="B144" t="s">
        <x:v>712</x:v>
      </x:c>
      <x:c r="C144">
        <x:v>121273</x:v>
      </x:c>
      <x:c r="D144" t="str">
        <x:f t="shared" si="8"/>
        <x:v>hero_2d_21246</x:v>
      </x:c>
      <x:c r="M144">
        <x:v>121008</x:v>
      </x:c>
      <x:c r="N144" t="s">
        <x:v>333</x:v>
      </x:c>
    </x:row>
    <x:row r="145" spans="1:14" x14ac:dyDescent="0.15">
      <x:c r="A145">
        <x:v>53004081</x:v>
      </x:c>
      <x:c r="B145" t="s">
        <x:v>712</x:v>
      </x:c>
      <x:c r="C145">
        <x:v>1113084</x:v>
      </x:c>
      <x:c r="D145" t="str">
        <x:f t="shared" si="8"/>
        <x:v>hero_2d_3079</x:v>
      </x:c>
      <x:c r="M145">
        <x:v>121009</x:v>
      </x:c>
      <x:c r="N145" t="s">
        <x:v>334</x:v>
      </x:c>
    </x:row>
    <x:row r="146" spans="1:14" x14ac:dyDescent="0.15">
      <x:c r="A146">
        <x:v>53004081</x:v>
      </x:c>
      <x:c r="B146" t="s">
        <x:v>712</x:v>
      </x:c>
      <x:c r="C146">
        <x:v>121274</x:v>
      </x:c>
      <x:c r="D146" t="str">
        <x:f t="shared" si="8"/>
        <x:v>hero_2d_21247</x:v>
      </x:c>
      <x:c r="M146">
        <x:v>121010</x:v>
      </x:c>
      <x:c r="N146" t="s">
        <x:v>335</x:v>
      </x:c>
    </x:row>
    <x:row r="147" spans="1:14" x14ac:dyDescent="0.15">
      <x:c r="A147">
        <x:v>53004081</x:v>
      </x:c>
      <x:c r="B147" t="s">
        <x:v>712</x:v>
      </x:c>
      <x:c r="C147">
        <x:v>121274</x:v>
      </x:c>
      <x:c r="D147" t="str">
        <x:f t="shared" si="8"/>
        <x:v>hero_2d_21247</x:v>
      </x:c>
      <x:c r="M147">
        <x:v>121011</x:v>
      </x:c>
      <x:c r="N147" t="s">
        <x:v>336</x:v>
      </x:c>
    </x:row>
    <x:row r="148" spans="1:14" x14ac:dyDescent="0.15">
      <x:c r="A148">
        <x:v>53004082</x:v>
      </x:c>
      <x:c r="B148" t="s">
        <x:v>713</x:v>
      </x:c>
      <x:c r="C148">
        <x:v>121273</x:v>
      </x:c>
      <x:c r="D148" t="str">
        <x:f t="shared" si="8"/>
        <x:v>hero_2d_21246</x:v>
      </x:c>
      <x:c r="M148">
        <x:v>121012</x:v>
      </x:c>
      <x:c r="N148" t="s">
        <x:v>337</x:v>
      </x:c>
    </x:row>
    <x:row r="149" spans="1:14" x14ac:dyDescent="0.15">
      <x:c r="A149">
        <x:v>53004082</x:v>
      </x:c>
      <x:c r="B149" t="s">
        <x:v>713</x:v>
      </x:c>
      <x:c r="C149">
        <x:v>121273</x:v>
      </x:c>
      <x:c r="D149" t="str">
        <x:f t="shared" si="8"/>
        <x:v>hero_2d_21246</x:v>
      </x:c>
      <x:c r="M149">
        <x:v>121013</x:v>
      </x:c>
      <x:c r="N149" t="s">
        <x:v>338</x:v>
      </x:c>
    </x:row>
    <x:row r="150" spans="1:14" x14ac:dyDescent="0.15">
      <x:c r="A150">
        <x:v>53004082</x:v>
      </x:c>
      <x:c r="B150" t="s">
        <x:v>713</x:v>
      </x:c>
      <x:c r="C150">
        <x:v>1113082</x:v>
      </x:c>
      <x:c r="D150" t="str">
        <x:f t="shared" si="8"/>
        <x:v>hero_2d_3077</x:v>
      </x:c>
      <x:c r="M150">
        <x:v>121014</x:v>
      </x:c>
      <x:c r="N150" t="s">
        <x:v>339</x:v>
      </x:c>
    </x:row>
    <x:row r="151" spans="1:14" x14ac:dyDescent="0.15">
      <x:c r="A151">
        <x:v>53004091</x:v>
      </x:c>
      <x:c r="B151" t="s">
        <x:v>714</x:v>
      </x:c>
      <x:c r="C151">
        <x:v>1113084</x:v>
      </x:c>
      <x:c r="D151" t="str">
        <x:f t="shared" si="8"/>
        <x:v>hero_2d_3079</x:v>
      </x:c>
      <x:c r="M151">
        <x:v>121015</x:v>
      </x:c>
      <x:c r="N151" t="s">
        <x:v>340</x:v>
      </x:c>
    </x:row>
    <x:row r="152" spans="1:14" x14ac:dyDescent="0.15">
      <x:c r="A152">
        <x:v>53004091</x:v>
      </x:c>
      <x:c r="B152" t="s">
        <x:v>714</x:v>
      </x:c>
      <x:c r="C152">
        <x:v>1113082</x:v>
      </x:c>
      <x:c r="D152" t="str">
        <x:f t="shared" si="8"/>
        <x:v>hero_2d_3077</x:v>
      </x:c>
      <x:c r="M152">
        <x:v>121016</x:v>
      </x:c>
      <x:c r="N152" t="s">
        <x:v>341</x:v>
      </x:c>
    </x:row>
    <x:row r="153" spans="1:14" x14ac:dyDescent="0.15">
      <x:c r="A153">
        <x:v>53004092</x:v>
      </x:c>
      <x:c r="B153" t="s">
        <x:v>715</x:v>
      </x:c>
      <x:c r="C153">
        <x:v>121273</x:v>
      </x:c>
      <x:c r="D153" t="str">
        <x:f t="shared" si="8"/>
        <x:v>hero_2d_21246</x:v>
      </x:c>
      <x:c r="M153">
        <x:v>121017</x:v>
      </x:c>
      <x:c r="N153" t="s">
        <x:v>99</x:v>
      </x:c>
    </x:row>
    <x:row r="154" spans="1:14" x14ac:dyDescent="0.15">
      <x:c r="A154">
        <x:v>53004092</x:v>
      </x:c>
      <x:c r="B154" t="s">
        <x:v>715</x:v>
      </x:c>
      <x:c r="C154">
        <x:v>121273</x:v>
      </x:c>
      <x:c r="D154" t="str">
        <x:f t="shared" si="8"/>
        <x:v>hero_2d_21246</x:v>
      </x:c>
      <x:c r="M154">
        <x:v>121018</x:v>
      </x:c>
      <x:c r="N154" t="s">
        <x:v>104</x:v>
      </x:c>
    </x:row>
    <x:row r="155" spans="1:14" x14ac:dyDescent="0.15">
      <x:c r="A155">
        <x:v>53004092</x:v>
      </x:c>
      <x:c r="B155" t="s">
        <x:v>715</x:v>
      </x:c>
      <x:c r="C155">
        <x:v>121273</x:v>
      </x:c>
      <x:c r="D155" t="str">
        <x:f t="shared" si="8"/>
        <x:v>hero_2d_21246</x:v>
      </x:c>
      <x:c r="M155">
        <x:v>121019</x:v>
      </x:c>
      <x:c r="N155" t="s">
        <x:v>104</x:v>
      </x:c>
    </x:row>
    <x:row r="156" spans="1:14" x14ac:dyDescent="0.15">
      <x:c r="A156">
        <x:v>53004092</x:v>
      </x:c>
      <x:c r="B156" t="s">
        <x:v>715</x:v>
      </x:c>
      <x:c r="C156">
        <x:v>1113082</x:v>
      </x:c>
      <x:c r="D156" t="str">
        <x:f t="shared" si="8"/>
        <x:v>hero_2d_3077</x:v>
      </x:c>
      <x:c r="M156">
        <x:v>121020</x:v>
      </x:c>
      <x:c r="N156" t="s">
        <x:v>342</x:v>
      </x:c>
    </x:row>
    <x:row r="157" spans="1:14" x14ac:dyDescent="0.15">
      <x:c r="A157">
        <x:v>53004092</x:v>
      </x:c>
      <x:c r="B157" t="s">
        <x:v>715</x:v>
      </x:c>
      <x:c r="C157">
        <x:v>1113084</x:v>
      </x:c>
      <x:c r="D157" t="str">
        <x:f t="shared" si="8"/>
        <x:v>hero_2d_3079</x:v>
      </x:c>
      <x:c r="M157">
        <x:v>121021</x:v>
      </x:c>
      <x:c r="N157" t="s">
        <x:v>343</x:v>
      </x:c>
    </x:row>
    <x:row r="158" spans="1:14" x14ac:dyDescent="0.15">
      <x:c r="A158">
        <x:v>53004101</x:v>
      </x:c>
      <x:c r="B158" t="s">
        <x:v>716</x:v>
      </x:c>
      <x:c r="C158">
        <x:v>121275</x:v>
      </x:c>
      <x:c r="D158" t="str">
        <x:f t="shared" si="8"/>
        <x:v>hero_2d_21248</x:v>
      </x:c>
      <x:c r="M158">
        <x:v>121022</x:v>
      </x:c>
      <x:c r="N158" t="s">
        <x:v>344</x:v>
      </x:c>
    </x:row>
    <x:row r="159" spans="1:14" x14ac:dyDescent="0.15">
      <x:c r="A159">
        <x:v>53004101</x:v>
      </x:c>
      <x:c r="B159" t="s">
        <x:v>716</x:v>
      </x:c>
      <x:c r="C159">
        <x:v>1113078</x:v>
      </x:c>
      <x:c r="D159" t="str">
        <x:f t="shared" si="8"/>
        <x:v>hero_2d_3073</x:v>
      </x:c>
      <x:c r="M159">
        <x:v>121023</x:v>
      </x:c>
      <x:c r="N159" t="s">
        <x:v>345</x:v>
      </x:c>
    </x:row>
    <x:row r="160" spans="1:14" x14ac:dyDescent="0.15">
      <x:c r="A160">
        <x:v>53004102</x:v>
      </x:c>
      <x:c r="B160" t="s">
        <x:v>717</x:v>
      </x:c>
      <x:c r="C160">
        <x:v>121275</x:v>
      </x:c>
      <x:c r="D160" t="str">
        <x:f t="shared" si="8"/>
        <x:v>hero_2d_21248</x:v>
      </x:c>
      <x:c r="M160">
        <x:v>121025</x:v>
      </x:c>
      <x:c r="N160" t="s">
        <x:v>346</x:v>
      </x:c>
    </x:row>
    <x:row r="161" spans="1:14" x14ac:dyDescent="0.15">
      <x:c r="A161">
        <x:v>53004102</x:v>
      </x:c>
      <x:c r="B161" t="s">
        <x:v>717</x:v>
      </x:c>
      <x:c r="C161">
        <x:v>1113078</x:v>
      </x:c>
      <x:c r="D161" t="str">
        <x:f t="shared" si="8"/>
        <x:v>hero_2d_3073</x:v>
      </x:c>
      <x:c r="M161">
        <x:v>121026</x:v>
      </x:c>
      <x:c r="N161" t="s">
        <x:v>347</x:v>
      </x:c>
    </x:row>
    <x:row r="162" spans="1:14" x14ac:dyDescent="0.15">
      <x:c r="A162">
        <x:v>53004111</x:v>
      </x:c>
      <x:c r="B162" t="s">
        <x:v>718</x:v>
      </x:c>
      <x:c r="C162">
        <x:v>1113071</x:v>
      </x:c>
      <x:c r="D162" t="str">
        <x:f t="shared" si="8"/>
        <x:v>hero_2d_3068</x:v>
      </x:c>
      <x:c r="M162">
        <x:v>121027</x:v>
      </x:c>
      <x:c r="N162" t="s">
        <x:v>348</x:v>
      </x:c>
    </x:row>
    <x:row r="163" spans="1:14" x14ac:dyDescent="0.15">
      <x:c r="A163">
        <x:v>53004112</x:v>
      </x:c>
      <x:c r="B163" t="s">
        <x:v>719</x:v>
      </x:c>
      <x:c r="C163">
        <x:v>1113071</x:v>
      </x:c>
      <x:c r="D163" t="str">
        <x:f t="shared" ref="D163:D188" si="9">VLOOKUP(C163,M:N,2,FALSE)</x:f>
        <x:v>hero_2d_3068</x:v>
      </x:c>
      <x:c r="M163">
        <x:v>121028</x:v>
      </x:c>
      <x:c r="N163" t="s">
        <x:v>349</x:v>
      </x:c>
    </x:row>
    <x:row r="164" spans="1:14" x14ac:dyDescent="0.15">
      <x:c r="A164">
        <x:v>53004121</x:v>
      </x:c>
      <x:c r="B164" t="s">
        <x:v>720</x:v>
      </x:c>
      <x:c r="C164">
        <x:v>1113078</x:v>
      </x:c>
      <x:c r="D164" t="str">
        <x:f t="shared" si="9"/>
        <x:v>hero_2d_3073</x:v>
      </x:c>
      <x:c r="M164">
        <x:v>121032</x:v>
      </x:c>
      <x:c r="N164" t="s">
        <x:v>350</x:v>
      </x:c>
    </x:row>
    <x:row r="165" spans="1:14" x14ac:dyDescent="0.15">
      <x:c r="A165">
        <x:v>53004121</x:v>
      </x:c>
      <x:c r="B165" t="s">
        <x:v>720</x:v>
      </x:c>
      <x:c r="C165">
        <x:v>121274</x:v>
      </x:c>
      <x:c r="D165" t="str">
        <x:f t="shared" si="9"/>
        <x:v>hero_2d_21247</x:v>
      </x:c>
      <x:c r="M165">
        <x:v>121033</x:v>
      </x:c>
      <x:c r="N165" t="s">
        <x:v>99</x:v>
      </x:c>
    </x:row>
    <x:row r="166" spans="1:14" x14ac:dyDescent="0.15">
      <x:c r="A166">
        <x:v>53004121</x:v>
      </x:c>
      <x:c r="B166" t="s">
        <x:v>720</x:v>
      </x:c>
      <x:c r="C166">
        <x:v>1113079</x:v>
      </x:c>
      <x:c r="D166" t="str">
        <x:f t="shared" si="9"/>
        <x:v>hero_2d_3074</x:v>
      </x:c>
      <x:c r="M166">
        <x:v>121034</x:v>
      </x:c>
      <x:c r="N166" t="s">
        <x:v>342</x:v>
      </x:c>
    </x:row>
    <x:row r="167" spans="1:14" x14ac:dyDescent="0.15">
      <x:c r="A167">
        <x:v>53004122</x:v>
      </x:c>
      <x:c r="B167" t="s">
        <x:v>721</x:v>
      </x:c>
      <x:c r="C167">
        <x:v>121273</x:v>
      </x:c>
      <x:c r="D167" t="str">
        <x:f t="shared" si="9"/>
        <x:v>hero_2d_21246</x:v>
      </x:c>
      <x:c r="M167">
        <x:v>121035</x:v>
      </x:c>
      <x:c r="N167" t="s">
        <x:v>351</x:v>
      </x:c>
    </x:row>
    <x:row r="168" spans="1:14" x14ac:dyDescent="0.15">
      <x:c r="A168">
        <x:v>53004122</x:v>
      </x:c>
      <x:c r="B168" t="s">
        <x:v>721</x:v>
      </x:c>
      <x:c r="C168">
        <x:v>121273</x:v>
      </x:c>
      <x:c r="D168" t="str">
        <x:f t="shared" si="9"/>
        <x:v>hero_2d_21246</x:v>
      </x:c>
      <x:c r="M168">
        <x:v>121036</x:v>
      </x:c>
      <x:c r="N168" t="s">
        <x:v>351</x:v>
      </x:c>
    </x:row>
    <x:row r="169" spans="1:14" x14ac:dyDescent="0.15">
      <x:c r="A169">
        <x:v>53004122</x:v>
      </x:c>
      <x:c r="B169" t="s">
        <x:v>721</x:v>
      </x:c>
      <x:c r="C169">
        <x:v>121273</x:v>
      </x:c>
      <x:c r="D169" t="str">
        <x:f t="shared" si="9"/>
        <x:v>hero_2d_21246</x:v>
      </x:c>
      <x:c r="M169">
        <x:v>121037</x:v>
      </x:c>
      <x:c r="N169" t="s">
        <x:v>110</x:v>
      </x:c>
    </x:row>
    <x:row r="170" spans="1:14" x14ac:dyDescent="0.15">
      <x:c r="A170">
        <x:v>53004122</x:v>
      </x:c>
      <x:c r="B170" t="s">
        <x:v>721</x:v>
      </x:c>
      <x:c r="C170">
        <x:v>1113078</x:v>
      </x:c>
      <x:c r="D170" t="str">
        <x:f t="shared" si="9"/>
        <x:v>hero_2d_3073</x:v>
      </x:c>
      <x:c r="M170">
        <x:v>121038</x:v>
      </x:c>
      <x:c r="N170" t="s">
        <x:v>352</x:v>
      </x:c>
    </x:row>
    <x:row r="171" spans="1:14" x14ac:dyDescent="0.15">
      <x:c r="A171">
        <x:v>53004122</x:v>
      </x:c>
      <x:c r="B171" t="s">
        <x:v>721</x:v>
      </x:c>
      <x:c r="C171">
        <x:v>1113079</x:v>
      </x:c>
      <x:c r="D171" t="str">
        <x:f t="shared" si="9"/>
        <x:v>hero_2d_3074</x:v>
      </x:c>
      <x:c r="M171">
        <x:v>121039</x:v>
      </x:c>
      <x:c r="N171" t="s">
        <x:v>115</x:v>
      </x:c>
    </x:row>
    <x:row r="172" spans="1:14" x14ac:dyDescent="0.15">
      <x:c r="A172">
        <x:v>53004131</x:v>
      </x:c>
      <x:c r="B172" t="s">
        <x:v>722</x:v>
      </x:c>
      <x:c r="C172">
        <x:v>1113083</x:v>
      </x:c>
      <x:c r="D172" t="str">
        <x:f t="shared" si="9"/>
        <x:v>hero_2d_3078</x:v>
      </x:c>
      <x:c r="M172">
        <x:v>121040</x:v>
      </x:c>
      <x:c r="N172" t="s">
        <x:v>118</x:v>
      </x:c>
    </x:row>
    <x:row r="173" spans="1:14" x14ac:dyDescent="0.15">
      <x:c r="A173">
        <x:v>53004132</x:v>
      </x:c>
      <x:c r="B173" t="s">
        <x:v>723</x:v>
      </x:c>
      <x:c r="C173">
        <x:v>1113083</x:v>
      </x:c>
      <x:c r="D173" t="str">
        <x:f t="shared" si="9"/>
        <x:v>hero_2d_3078</x:v>
      </x:c>
      <x:c r="M173">
        <x:v>121041</x:v>
      </x:c>
      <x:c r="N173" t="s">
        <x:v>353</x:v>
      </x:c>
    </x:row>
    <x:row r="174" spans="1:14" x14ac:dyDescent="0.15">
      <x:c r="A174">
        <x:v>53004132</x:v>
      </x:c>
      <x:c r="B174" t="s">
        <x:v>723</x:v>
      </x:c>
      <x:c r="C174">
        <x:v>121273</x:v>
      </x:c>
      <x:c r="D174" t="str">
        <x:f t="shared" si="9"/>
        <x:v>hero_2d_21246</x:v>
      </x:c>
      <x:c r="M174">
        <x:v>121042</x:v>
      </x:c>
      <x:c r="N174" t="s">
        <x:v>354</x:v>
      </x:c>
    </x:row>
    <x:row r="175" spans="1:14" x14ac:dyDescent="0.15">
      <x:c r="A175">
        <x:v>53004132</x:v>
      </x:c>
      <x:c r="B175" t="s">
        <x:v>723</x:v>
      </x:c>
      <x:c r="C175">
        <x:v>121274</x:v>
      </x:c>
      <x:c r="D175" t="str">
        <x:f t="shared" si="9"/>
        <x:v>hero_2d_21247</x:v>
      </x:c>
      <x:c r="M175">
        <x:v>121043</x:v>
      </x:c>
      <x:c r="N175" t="s">
        <x:v>355</x:v>
      </x:c>
    </x:row>
    <x:row r="176" spans="1:14" x14ac:dyDescent="0.15">
      <x:c r="A176">
        <x:v>53004132</x:v>
      </x:c>
      <x:c r="B176" t="s">
        <x:v>723</x:v>
      </x:c>
      <x:c r="C176">
        <x:v>121274</x:v>
      </x:c>
      <x:c r="D176" t="str">
        <x:f t="shared" si="9"/>
        <x:v>hero_2d_21247</x:v>
      </x:c>
      <x:c r="M176">
        <x:v>121044</x:v>
      </x:c>
      <x:c r="N176" t="s">
        <x:v>356</x:v>
      </x:c>
    </x:row>
    <x:row r="177" spans="1:14" x14ac:dyDescent="0.15">
      <x:c r="A177">
        <x:v>53004132</x:v>
      </x:c>
      <x:c r="B177" t="s">
        <x:v>723</x:v>
      </x:c>
      <x:c r="C177">
        <x:v>121274</x:v>
      </x:c>
      <x:c r="D177" t="str">
        <x:f t="shared" si="9"/>
        <x:v>hero_2d_21247</x:v>
      </x:c>
      <x:c r="M177">
        <x:v>121045</x:v>
      </x:c>
      <x:c r="N177" t="s">
        <x:v>357</x:v>
      </x:c>
    </x:row>
    <x:row r="178" spans="1:14" x14ac:dyDescent="0.15">
      <x:c r="A178">
        <x:v>53004141</x:v>
      </x:c>
      <x:c r="B178" t="s">
        <x:v>724</x:v>
      </x:c>
      <x:c r="C178">
        <x:v>1113083</x:v>
      </x:c>
      <x:c r="D178" t="str">
        <x:f t="shared" si="9"/>
        <x:v>hero_2d_3078</x:v>
      </x:c>
      <x:c r="M178">
        <x:v>121046</x:v>
      </x:c>
      <x:c r="N178" t="s">
        <x:v>358</x:v>
      </x:c>
    </x:row>
    <x:row r="179" spans="1:14" x14ac:dyDescent="0.15">
      <x:c r="A179">
        <x:v>53004141</x:v>
      </x:c>
      <x:c r="B179" t="s">
        <x:v>724</x:v>
      </x:c>
      <x:c r="C179">
        <x:v>121274</x:v>
      </x:c>
      <x:c r="D179" t="str">
        <x:f t="shared" si="9"/>
        <x:v>hero_2d_21247</x:v>
      </x:c>
      <x:c r="M179">
        <x:v>121047</x:v>
      </x:c>
      <x:c r="N179" t="s">
        <x:v>359</x:v>
      </x:c>
    </x:row>
    <x:row r="180" spans="1:14" x14ac:dyDescent="0.15">
      <x:c r="A180">
        <x:v>53004141</x:v>
      </x:c>
      <x:c r="B180" t="s">
        <x:v>724</x:v>
      </x:c>
      <x:c r="C180">
        <x:v>121274</x:v>
      </x:c>
      <x:c r="D180" t="str">
        <x:f t="shared" si="9"/>
        <x:v>hero_2d_21247</x:v>
      </x:c>
      <x:c r="M180">
        <x:v>121048</x:v>
      </x:c>
      <x:c r="N180" t="s">
        <x:v>360</x:v>
      </x:c>
    </x:row>
    <x:row r="181" spans="1:14" x14ac:dyDescent="0.15">
      <x:c r="A181">
        <x:v>53004141</x:v>
      </x:c>
      <x:c r="B181" t="s">
        <x:v>724</x:v>
      </x:c>
      <x:c r="C181">
        <x:v>121274</x:v>
      </x:c>
      <x:c r="D181" t="str">
        <x:f t="shared" si="9"/>
        <x:v>hero_2d_21247</x:v>
      </x:c>
      <x:c r="M181">
        <x:v>121049</x:v>
      </x:c>
      <x:c r="N181" t="s">
        <x:v>130</x:v>
      </x:c>
    </x:row>
    <x:row r="182" spans="1:14" x14ac:dyDescent="0.15">
      <x:c r="A182">
        <x:v>53004142</x:v>
      </x:c>
      <x:c r="B182" t="s">
        <x:v>725</x:v>
      </x:c>
      <x:c r="C182">
        <x:v>1113079</x:v>
      </x:c>
      <x:c r="D182" t="str">
        <x:f t="shared" si="9"/>
        <x:v>hero_2d_3074</x:v>
      </x:c>
      <x:c r="M182">
        <x:v>121050</x:v>
      </x:c>
      <x:c r="N182" t="s">
        <x:v>361</x:v>
      </x:c>
    </x:row>
    <x:row r="183" spans="1:14" x14ac:dyDescent="0.15">
      <x:c r="A183">
        <x:v>53004151</x:v>
      </x:c>
      <x:c r="B183" t="s">
        <x:v>726</x:v>
      </x:c>
      <x:c r="C183">
        <x:v>1113083</x:v>
      </x:c>
      <x:c r="D183" t="str">
        <x:f t="shared" si="9"/>
        <x:v>hero_2d_3078</x:v>
      </x:c>
      <x:c r="M183">
        <x:v>121051</x:v>
      </x:c>
      <x:c r="N183" t="s">
        <x:v>362</x:v>
      </x:c>
    </x:row>
    <x:row r="184" spans="1:14" x14ac:dyDescent="0.15">
      <x:c r="A184">
        <x:v>53004152</x:v>
      </x:c>
      <x:c r="B184" t="s">
        <x:v>727</x:v>
      </x:c>
      <x:c r="C184">
        <x:v>1113083</x:v>
      </x:c>
      <x:c r="D184" t="str">
        <x:f t="shared" si="9"/>
        <x:v>hero_2d_3078</x:v>
      </x:c>
      <x:c r="M184">
        <x:v>121052</x:v>
      </x:c>
      <x:c r="N184" t="s">
        <x:v>363</x:v>
      </x:c>
    </x:row>
    <x:row r="185" spans="1:14" x14ac:dyDescent="0.15">
      <x:c r="A185">
        <x:v>53004152</x:v>
      </x:c>
      <x:c r="B185" t="s">
        <x:v>727</x:v>
      </x:c>
      <x:c r="C185">
        <x:v>1113079</x:v>
      </x:c>
      <x:c r="D185" t="str">
        <x:f t="shared" si="9"/>
        <x:v>hero_2d_3074</x:v>
      </x:c>
      <x:c r="M185">
        <x:v>121053</x:v>
      </x:c>
      <x:c r="N185" t="s">
        <x:v>364</x:v>
      </x:c>
    </x:row>
    <x:row r="186" spans="1:14" x14ac:dyDescent="0.15">
      <x:c r="A186">
        <x:v>53009004</x:v>
      </x:c>
      <x:c r="B186" t="s">
        <x:v>697</x:v>
      </x:c>
      <x:c r="C186">
        <x:v>1113077</x:v>
      </x:c>
      <x:c r="D186" t="str">
        <x:f t="shared" si="9"/>
        <x:v>hero_2d_3072</x:v>
      </x:c>
      <x:c r="M186">
        <x:v>121054</x:v>
      </x:c>
      <x:c r="N186" t="s">
        <x:v>365</x:v>
      </x:c>
    </x:row>
    <x:row r="187" spans="1:14" x14ac:dyDescent="0.15">
      <x:c r="A187">
        <x:v>53009002</x:v>
      </x:c>
      <x:c r="B187" t="s">
        <x:v>370</x:v>
      </x:c>
      <x:c r="C187">
        <x:v>1113001</x:v>
      </x:c>
      <x:c r="D187" t="str">
        <x:f t="shared" si="9"/>
        <x:v>hero_2d_3001</x:v>
      </x:c>
      <x:c r="M187">
        <x:v>121055</x:v>
      </x:c>
      <x:c r="N187" t="s">
        <x:v>366</x:v>
      </x:c>
    </x:row>
    <x:row r="188" spans="1:14" x14ac:dyDescent="0.15">
      <x:c r="A188">
        <x:v>53009003</x:v>
      </x:c>
      <x:c r="B188" t="s">
        <x:v>372</x:v>
      </x:c>
      <x:c r="C188">
        <x:v>1113001</x:v>
      </x:c>
      <x:c r="D188" t="str">
        <x:f t="shared" si="9"/>
        <x:v>hero_2d_3001</x:v>
      </x:c>
      <x:c r="M188">
        <x:v>121056</x:v>
      </x:c>
      <x:c r="N188" t="s">
        <x:v>367</x:v>
      </x:c>
    </x:row>
    <x:row r="189" spans="1:14" x14ac:dyDescent="0.15">
      <x:c r="M189">
        <x:v>121057</x:v>
      </x:c>
      <x:c r="N189" t="s">
        <x:v>369</x:v>
      </x:c>
    </x:row>
    <x:row r="190" spans="1:14" x14ac:dyDescent="0.15">
      <x:c r="M190">
        <x:v>121058</x:v>
      </x:c>
      <x:c r="N190" t="s">
        <x:v>371</x:v>
      </x:c>
    </x:row>
    <x:row r="191" spans="1:14" x14ac:dyDescent="0.15">
      <x:c r="M191">
        <x:v>121059</x:v>
      </x:c>
      <x:c r="N191" t="s">
        <x:v>373</x:v>
      </x:c>
    </x:row>
    <x:row r="192" spans="1:14" x14ac:dyDescent="0.15">
      <x:c r="M192">
        <x:v>121060</x:v>
      </x:c>
      <x:c r="N192" t="s">
        <x:v>374</x:v>
      </x:c>
    </x:row>
    <x:row r="193" spans="13:14" x14ac:dyDescent="0.15">
      <x:c r="M193">
        <x:v>121061</x:v>
      </x:c>
      <x:c r="N193" t="s">
        <x:v>375</x:v>
      </x:c>
    </x:row>
    <x:row r="194" spans="13:14" x14ac:dyDescent="0.15">
      <x:c r="M194">
        <x:v>121062</x:v>
      </x:c>
      <x:c r="N194" t="s">
        <x:v>376</x:v>
      </x:c>
    </x:row>
    <x:row r="195" spans="13:14" x14ac:dyDescent="0.15">
      <x:c r="M195">
        <x:v>121063</x:v>
      </x:c>
      <x:c r="N195" t="s">
        <x:v>377</x:v>
      </x:c>
    </x:row>
    <x:row r="196" spans="13:14" x14ac:dyDescent="0.15">
      <x:c r="M196">
        <x:v>121064</x:v>
      </x:c>
      <x:c r="N196" t="s">
        <x:v>378</x:v>
      </x:c>
    </x:row>
    <x:row r="197" spans="13:14" x14ac:dyDescent="0.15">
      <x:c r="M197">
        <x:v>121065</x:v>
      </x:c>
      <x:c r="N197" t="s">
        <x:v>379</x:v>
      </x:c>
    </x:row>
    <x:row r="198" spans="13:14" x14ac:dyDescent="0.15">
      <x:c r="M198">
        <x:v>121066</x:v>
      </x:c>
      <x:c r="N198" t="s">
        <x:v>380</x:v>
      </x:c>
    </x:row>
    <x:row r="199" spans="13:14" x14ac:dyDescent="0.15">
      <x:c r="M199">
        <x:v>121067</x:v>
      </x:c>
      <x:c r="N199" t="s">
        <x:v>381</x:v>
      </x:c>
    </x:row>
    <x:row r="200" spans="13:14" x14ac:dyDescent="0.15">
      <x:c r="M200">
        <x:v>121068</x:v>
      </x:c>
      <x:c r="N200" t="s">
        <x:v>382</x:v>
      </x:c>
    </x:row>
    <x:row r="201" spans="13:14" x14ac:dyDescent="0.15">
      <x:c r="M201">
        <x:v>121069</x:v>
      </x:c>
      <x:c r="N201" t="s">
        <x:v>383</x:v>
      </x:c>
    </x:row>
    <x:row r="202" spans="13:14" x14ac:dyDescent="0.15">
      <x:c r="M202">
        <x:v>121070</x:v>
      </x:c>
      <x:c r="N202" t="s">
        <x:v>384</x:v>
      </x:c>
    </x:row>
    <x:row r="203" spans="13:14" x14ac:dyDescent="0.15">
      <x:c r="M203">
        <x:v>121071</x:v>
      </x:c>
      <x:c r="N203" t="s">
        <x:v>385</x:v>
      </x:c>
    </x:row>
    <x:row r="204" spans="13:14" x14ac:dyDescent="0.15">
      <x:c r="M204">
        <x:v>121072</x:v>
      </x:c>
      <x:c r="N204" t="s">
        <x:v>386</x:v>
      </x:c>
    </x:row>
    <x:row r="205" spans="13:14" x14ac:dyDescent="0.15">
      <x:c r="M205">
        <x:v>121073</x:v>
      </x:c>
      <x:c r="N205" t="s">
        <x:v>387</x:v>
      </x:c>
    </x:row>
    <x:row r="206" spans="13:14" x14ac:dyDescent="0.15">
      <x:c r="M206">
        <x:v>121074</x:v>
      </x:c>
      <x:c r="N206" t="s">
        <x:v>388</x:v>
      </x:c>
    </x:row>
    <x:row r="207" spans="13:14" x14ac:dyDescent="0.15">
      <x:c r="M207">
        <x:v>121075</x:v>
      </x:c>
      <x:c r="N207" t="s">
        <x:v>389</x:v>
      </x:c>
    </x:row>
    <x:row r="208" spans="13:14" x14ac:dyDescent="0.15">
      <x:c r="M208">
        <x:v>121076</x:v>
      </x:c>
      <x:c r="N208" t="s">
        <x:v>390</x:v>
      </x:c>
    </x:row>
    <x:row r="209" spans="13:14" x14ac:dyDescent="0.15">
      <x:c r="M209">
        <x:v>121077</x:v>
      </x:c>
      <x:c r="N209" t="s">
        <x:v>391</x:v>
      </x:c>
    </x:row>
    <x:row r="210" spans="13:14" x14ac:dyDescent="0.15">
      <x:c r="M210">
        <x:v>121078</x:v>
      </x:c>
      <x:c r="N210" t="s">
        <x:v>392</x:v>
      </x:c>
    </x:row>
    <x:row r="211" spans="13:14" x14ac:dyDescent="0.15">
      <x:c r="M211">
        <x:v>121079</x:v>
      </x:c>
      <x:c r="N211" t="s">
        <x:v>393</x:v>
      </x:c>
    </x:row>
    <x:row r="212" spans="13:14" x14ac:dyDescent="0.15">
      <x:c r="M212">
        <x:v>121080</x:v>
      </x:c>
      <x:c r="N212" t="s">
        <x:v>107</x:v>
      </x:c>
    </x:row>
    <x:row r="213" spans="13:14" x14ac:dyDescent="0.15">
      <x:c r="M213">
        <x:v>121081</x:v>
      </x:c>
      <x:c r="N213" t="s">
        <x:v>127</x:v>
      </x:c>
    </x:row>
    <x:row r="214" spans="13:14" x14ac:dyDescent="0.15">
      <x:c r="M214">
        <x:v>121082</x:v>
      </x:c>
      <x:c r="N214" t="s">
        <x:v>394</x:v>
      </x:c>
    </x:row>
    <x:row r="215" spans="13:14" x14ac:dyDescent="0.15">
      <x:c r="M215">
        <x:v>121083</x:v>
      </x:c>
      <x:c r="N215" t="s">
        <x:v>395</x:v>
      </x:c>
    </x:row>
    <x:row r="216" spans="13:14" x14ac:dyDescent="0.15">
      <x:c r="M216">
        <x:v>121084</x:v>
      </x:c>
      <x:c r="N216" t="s">
        <x:v>396</x:v>
      </x:c>
    </x:row>
    <x:row r="217" spans="13:14" x14ac:dyDescent="0.15">
      <x:c r="M217">
        <x:v>121085</x:v>
      </x:c>
      <x:c r="N217" t="s">
        <x:v>397</x:v>
      </x:c>
    </x:row>
    <x:row r="218" spans="13:14" x14ac:dyDescent="0.15">
      <x:c r="M218">
        <x:v>121086</x:v>
      </x:c>
      <x:c r="N218" t="s">
        <x:v>398</x:v>
      </x:c>
    </x:row>
    <x:row r="219" spans="13:14" x14ac:dyDescent="0.15">
      <x:c r="M219">
        <x:v>121087</x:v>
      </x:c>
      <x:c r="N219" t="s">
        <x:v>399</x:v>
      </x:c>
    </x:row>
    <x:row r="220" spans="13:14" x14ac:dyDescent="0.15">
      <x:c r="M220">
        <x:v>121088</x:v>
      </x:c>
      <x:c r="N220" t="s">
        <x:v>400</x:v>
      </x:c>
    </x:row>
    <x:row r="221" spans="13:14" x14ac:dyDescent="0.15">
      <x:c r="M221">
        <x:v>121089</x:v>
      </x:c>
      <x:c r="N221" t="s">
        <x:v>401</x:v>
      </x:c>
    </x:row>
    <x:row r="222" spans="13:14" x14ac:dyDescent="0.15">
      <x:c r="M222">
        <x:v>121090</x:v>
      </x:c>
      <x:c r="N222" t="s">
        <x:v>402</x:v>
      </x:c>
    </x:row>
    <x:row r="223" spans="13:14" x14ac:dyDescent="0.15">
      <x:c r="M223">
        <x:v>121091</x:v>
      </x:c>
      <x:c r="N223" t="s">
        <x:v>403</x:v>
      </x:c>
    </x:row>
    <x:row r="224" spans="13:14" x14ac:dyDescent="0.15">
      <x:c r="M224">
        <x:v>121092</x:v>
      </x:c>
      <x:c r="N224" t="s">
        <x:v>404</x:v>
      </x:c>
    </x:row>
    <x:row r="225" spans="13:14" x14ac:dyDescent="0.15">
      <x:c r="M225">
        <x:v>121093</x:v>
      </x:c>
      <x:c r="N225" t="s">
        <x:v>405</x:v>
      </x:c>
    </x:row>
    <x:row r="226" spans="13:14" x14ac:dyDescent="0.15">
      <x:c r="M226">
        <x:v>121094</x:v>
      </x:c>
      <x:c r="N226" t="s">
        <x:v>406</x:v>
      </x:c>
    </x:row>
    <x:row r="227" spans="13:14" x14ac:dyDescent="0.15">
      <x:c r="M227">
        <x:v>121095</x:v>
      </x:c>
      <x:c r="N227" t="s">
        <x:v>407</x:v>
      </x:c>
    </x:row>
    <x:row r="228" spans="13:14" x14ac:dyDescent="0.15">
      <x:c r="M228">
        <x:v>121096</x:v>
      </x:c>
      <x:c r="N228" t="s">
        <x:v>408</x:v>
      </x:c>
    </x:row>
    <x:row r="229" spans="13:14" x14ac:dyDescent="0.15">
      <x:c r="M229">
        <x:v>121097</x:v>
      </x:c>
      <x:c r="N229" t="s">
        <x:v>409</x:v>
      </x:c>
    </x:row>
    <x:row r="230" spans="13:14" x14ac:dyDescent="0.15">
      <x:c r="M230">
        <x:v>121098</x:v>
      </x:c>
      <x:c r="N230" t="s">
        <x:v>410</x:v>
      </x:c>
    </x:row>
    <x:row r="231" spans="13:14" x14ac:dyDescent="0.15">
      <x:c r="M231">
        <x:v>121099</x:v>
      </x:c>
      <x:c r="N231" t="s">
        <x:v>411</x:v>
      </x:c>
    </x:row>
    <x:row r="232" spans="13:14" x14ac:dyDescent="0.15">
      <x:c r="M232">
        <x:v>121100</x:v>
      </x:c>
      <x:c r="N232" t="s">
        <x:v>412</x:v>
      </x:c>
    </x:row>
    <x:row r="233" spans="13:14" x14ac:dyDescent="0.15">
      <x:c r="M233">
        <x:v>121101</x:v>
      </x:c>
      <x:c r="N233" t="s">
        <x:v>413</x:v>
      </x:c>
    </x:row>
    <x:row r="234" spans="13:14" x14ac:dyDescent="0.15">
      <x:c r="M234">
        <x:v>121102</x:v>
      </x:c>
      <x:c r="N234" t="s">
        <x:v>414</x:v>
      </x:c>
    </x:row>
    <x:row r="235" spans="13:14" x14ac:dyDescent="0.15">
      <x:c r="M235">
        <x:v>121103</x:v>
      </x:c>
      <x:c r="N235" t="s">
        <x:v>415</x:v>
      </x:c>
    </x:row>
    <x:row r="236" spans="13:14" x14ac:dyDescent="0.15">
      <x:c r="M236">
        <x:v>121104</x:v>
      </x:c>
      <x:c r="N236" t="s">
        <x:v>416</x:v>
      </x:c>
    </x:row>
    <x:row r="237" spans="13:14" x14ac:dyDescent="0.15">
      <x:c r="M237">
        <x:v>121105</x:v>
      </x:c>
      <x:c r="N237" t="s">
        <x:v>417</x:v>
      </x:c>
    </x:row>
    <x:row r="238" spans="13:14" x14ac:dyDescent="0.15">
      <x:c r="M238">
        <x:v>121106</x:v>
      </x:c>
      <x:c r="N238" t="s">
        <x:v>418</x:v>
      </x:c>
    </x:row>
    <x:row r="239" spans="13:14" x14ac:dyDescent="0.15">
      <x:c r="M239">
        <x:v>121107</x:v>
      </x:c>
      <x:c r="N239" t="s">
        <x:v>419</x:v>
      </x:c>
    </x:row>
    <x:row r="240" spans="13:14" x14ac:dyDescent="0.15">
      <x:c r="M240">
        <x:v>121108</x:v>
      </x:c>
      <x:c r="N240" t="s">
        <x:v>420</x:v>
      </x:c>
    </x:row>
    <x:row r="241" spans="13:14" x14ac:dyDescent="0.15">
      <x:c r="M241">
        <x:v>121109</x:v>
      </x:c>
      <x:c r="N241" t="s">
        <x:v>421</x:v>
      </x:c>
    </x:row>
    <x:row r="242" spans="13:14" x14ac:dyDescent="0.15">
      <x:c r="M242">
        <x:v>121110</x:v>
      </x:c>
      <x:c r="N242" t="s">
        <x:v>422</x:v>
      </x:c>
    </x:row>
    <x:row r="243" spans="13:14" x14ac:dyDescent="0.15">
      <x:c r="M243">
        <x:v>121111</x:v>
      </x:c>
      <x:c r="N243" t="s">
        <x:v>423</x:v>
      </x:c>
    </x:row>
    <x:row r="244" spans="13:14" x14ac:dyDescent="0.15">
      <x:c r="M244">
        <x:v>121112</x:v>
      </x:c>
      <x:c r="N244" t="s">
        <x:v>424</x:v>
      </x:c>
    </x:row>
    <x:row r="245" spans="13:14" x14ac:dyDescent="0.15">
      <x:c r="M245">
        <x:v>121113</x:v>
      </x:c>
      <x:c r="N245" t="s">
        <x:v>425</x:v>
      </x:c>
    </x:row>
    <x:row r="246" spans="13:14" x14ac:dyDescent="0.15">
      <x:c r="M246">
        <x:v>121114</x:v>
      </x:c>
      <x:c r="N246" t="s">
        <x:v>426</x:v>
      </x:c>
    </x:row>
    <x:row r="247" spans="13:14" x14ac:dyDescent="0.15">
      <x:c r="M247">
        <x:v>121115</x:v>
      </x:c>
      <x:c r="N247" t="s">
        <x:v>427</x:v>
      </x:c>
    </x:row>
    <x:row r="248" spans="13:14" x14ac:dyDescent="0.15">
      <x:c r="M248">
        <x:v>121116</x:v>
      </x:c>
      <x:c r="N248" t="s">
        <x:v>428</x:v>
      </x:c>
    </x:row>
    <x:row r="249" spans="13:14" x14ac:dyDescent="0.15">
      <x:c r="M249">
        <x:v>121117</x:v>
      </x:c>
      <x:c r="N249" t="s">
        <x:v>429</x:v>
      </x:c>
    </x:row>
    <x:row r="250" spans="13:14" x14ac:dyDescent="0.15">
      <x:c r="M250">
        <x:v>121118</x:v>
      </x:c>
      <x:c r="N250" t="s">
        <x:v>430</x:v>
      </x:c>
    </x:row>
    <x:row r="251" spans="13:14" x14ac:dyDescent="0.15">
      <x:c r="M251">
        <x:v>121119</x:v>
      </x:c>
      <x:c r="N251" t="s">
        <x:v>431</x:v>
      </x:c>
    </x:row>
    <x:row r="252" spans="13:14" x14ac:dyDescent="0.15">
      <x:c r="M252">
        <x:v>121120</x:v>
      </x:c>
      <x:c r="N252" t="s">
        <x:v>432</x:v>
      </x:c>
    </x:row>
    <x:row r="253" spans="13:14" x14ac:dyDescent="0.15">
      <x:c r="M253">
        <x:v>121121</x:v>
      </x:c>
      <x:c r="N253" t="s">
        <x:v>433</x:v>
      </x:c>
    </x:row>
    <x:row r="254" spans="13:14" x14ac:dyDescent="0.15">
      <x:c r="M254">
        <x:v>121122</x:v>
      </x:c>
      <x:c r="N254" t="s">
        <x:v>434</x:v>
      </x:c>
    </x:row>
    <x:row r="255" spans="13:14" x14ac:dyDescent="0.15">
      <x:c r="M255">
        <x:v>121123</x:v>
      </x:c>
      <x:c r="N255" t="s">
        <x:v>435</x:v>
      </x:c>
    </x:row>
    <x:row r="256" spans="13:14" x14ac:dyDescent="0.15">
      <x:c r="M256">
        <x:v>121124</x:v>
      </x:c>
      <x:c r="N256" t="s">
        <x:v>436</x:v>
      </x:c>
    </x:row>
    <x:row r="257" spans="13:14" x14ac:dyDescent="0.15">
      <x:c r="M257">
        <x:v>121125</x:v>
      </x:c>
      <x:c r="N257" t="s">
        <x:v>437</x:v>
      </x:c>
    </x:row>
    <x:row r="258" spans="13:14" x14ac:dyDescent="0.15">
      <x:c r="M258">
        <x:v>121126</x:v>
      </x:c>
      <x:c r="N258" t="s">
        <x:v>438</x:v>
      </x:c>
    </x:row>
    <x:row r="259" spans="13:14" x14ac:dyDescent="0.15">
      <x:c r="M259">
        <x:v>121127</x:v>
      </x:c>
      <x:c r="N259" t="s">
        <x:v>439</x:v>
      </x:c>
    </x:row>
    <x:row r="260" spans="13:14" x14ac:dyDescent="0.15">
      <x:c r="M260">
        <x:v>121128</x:v>
      </x:c>
      <x:c r="N260" t="s">
        <x:v>440</x:v>
      </x:c>
    </x:row>
    <x:row r="261" spans="13:14" x14ac:dyDescent="0.15">
      <x:c r="M261">
        <x:v>121129</x:v>
      </x:c>
      <x:c r="N261" t="s">
        <x:v>441</x:v>
      </x:c>
    </x:row>
    <x:row r="262" spans="13:14" x14ac:dyDescent="0.15">
      <x:c r="M262">
        <x:v>121130</x:v>
      </x:c>
      <x:c r="N262" t="s">
        <x:v>442</x:v>
      </x:c>
    </x:row>
    <x:row r="263" spans="13:14" x14ac:dyDescent="0.15">
      <x:c r="M263">
        <x:v>121131</x:v>
      </x:c>
      <x:c r="N263" t="s">
        <x:v>443</x:v>
      </x:c>
    </x:row>
    <x:row r="264" spans="13:14" x14ac:dyDescent="0.15">
      <x:c r="M264">
        <x:v>121132</x:v>
      </x:c>
      <x:c r="N264" t="s">
        <x:v>427</x:v>
      </x:c>
    </x:row>
    <x:row r="265" spans="13:14" x14ac:dyDescent="0.15">
      <x:c r="M265">
        <x:v>121133</x:v>
      </x:c>
      <x:c r="N265" t="s">
        <x:v>444</x:v>
      </x:c>
    </x:row>
    <x:row r="266" spans="13:14" x14ac:dyDescent="0.15">
      <x:c r="M266">
        <x:v>121134</x:v>
      </x:c>
      <x:c r="N266" t="s">
        <x:v>445</x:v>
      </x:c>
    </x:row>
    <x:row r="267" spans="13:14" x14ac:dyDescent="0.15">
      <x:c r="M267">
        <x:v>121135</x:v>
      </x:c>
      <x:c r="N267" t="s">
        <x:v>446</x:v>
      </x:c>
    </x:row>
    <x:row r="268" spans="13:14" x14ac:dyDescent="0.15">
      <x:c r="M268">
        <x:v>121136</x:v>
      </x:c>
      <x:c r="N268" t="s">
        <x:v>447</x:v>
      </x:c>
    </x:row>
    <x:row r="269" spans="13:14" x14ac:dyDescent="0.15">
      <x:c r="M269">
        <x:v>121137</x:v>
      </x:c>
      <x:c r="N269" t="s">
        <x:v>448</x:v>
      </x:c>
    </x:row>
    <x:row r="270" spans="13:14" x14ac:dyDescent="0.15">
      <x:c r="M270">
        <x:v>121138</x:v>
      </x:c>
      <x:c r="N270" t="s">
        <x:v>449</x:v>
      </x:c>
    </x:row>
    <x:row r="271" spans="13:14" x14ac:dyDescent="0.15">
      <x:c r="M271">
        <x:v>121139</x:v>
      </x:c>
      <x:c r="N271" t="s">
        <x:v>450</x:v>
      </x:c>
    </x:row>
    <x:row r="272" spans="13:14" x14ac:dyDescent="0.15">
      <x:c r="M272">
        <x:v>121140</x:v>
      </x:c>
      <x:c r="N272" t="s">
        <x:v>451</x:v>
      </x:c>
    </x:row>
    <x:row r="273" spans="13:14" x14ac:dyDescent="0.15">
      <x:c r="M273">
        <x:v>121141</x:v>
      </x:c>
      <x:c r="N273" t="s">
        <x:v>452</x:v>
      </x:c>
    </x:row>
    <x:row r="274" spans="13:14" x14ac:dyDescent="0.15">
      <x:c r="M274">
        <x:v>121142</x:v>
      </x:c>
      <x:c r="N274" t="s">
        <x:v>453</x:v>
      </x:c>
    </x:row>
    <x:row r="275" spans="13:14" x14ac:dyDescent="0.15">
      <x:c r="M275">
        <x:v>121143</x:v>
      </x:c>
      <x:c r="N275" t="s">
        <x:v>454</x:v>
      </x:c>
    </x:row>
    <x:row r="276" spans="13:14" x14ac:dyDescent="0.15">
      <x:c r="M276">
        <x:v>121144</x:v>
      </x:c>
      <x:c r="N276" t="s">
        <x:v>455</x:v>
      </x:c>
    </x:row>
    <x:row r="277" spans="13:14" x14ac:dyDescent="0.15">
      <x:c r="M277">
        <x:v>121145</x:v>
      </x:c>
      <x:c r="N277" t="s">
        <x:v>456</x:v>
      </x:c>
    </x:row>
    <x:row r="278" spans="13:14" x14ac:dyDescent="0.15">
      <x:c r="M278">
        <x:v>121146</x:v>
      </x:c>
      <x:c r="N278" t="s">
        <x:v>451</x:v>
      </x:c>
    </x:row>
    <x:row r="279" spans="13:14" x14ac:dyDescent="0.15">
      <x:c r="M279">
        <x:v>121147</x:v>
      </x:c>
      <x:c r="N279" t="s">
        <x:v>452</x:v>
      </x:c>
    </x:row>
    <x:row r="280" spans="13:14" x14ac:dyDescent="0.15">
      <x:c r="M280">
        <x:v>121148</x:v>
      </x:c>
      <x:c r="N280" t="s">
        <x:v>453</x:v>
      </x:c>
    </x:row>
    <x:row r="281" spans="13:14" x14ac:dyDescent="0.15">
      <x:c r="M281">
        <x:v>121149</x:v>
      </x:c>
      <x:c r="N281" t="s">
        <x:v>454</x:v>
      </x:c>
    </x:row>
    <x:row r="282" spans="13:14" x14ac:dyDescent="0.15">
      <x:c r="M282">
        <x:v>121150</x:v>
      </x:c>
      <x:c r="N282" t="s">
        <x:v>457</x:v>
      </x:c>
    </x:row>
    <x:row r="283" spans="13:14" x14ac:dyDescent="0.15">
      <x:c r="M283">
        <x:v>121151</x:v>
      </x:c>
      <x:c r="N283" t="s">
        <x:v>458</x:v>
      </x:c>
    </x:row>
    <x:row r="284" spans="13:14" x14ac:dyDescent="0.15">
      <x:c r="M284">
        <x:v>121152</x:v>
      </x:c>
      <x:c r="N284" t="s">
        <x:v>459</x:v>
      </x:c>
    </x:row>
    <x:row r="285" spans="13:14" x14ac:dyDescent="0.15">
      <x:c r="M285">
        <x:v>121153</x:v>
      </x:c>
      <x:c r="N285" t="s">
        <x:v>460</x:v>
      </x:c>
    </x:row>
    <x:row r="286" spans="13:14" x14ac:dyDescent="0.15">
      <x:c r="M286">
        <x:v>121154</x:v>
      </x:c>
      <x:c r="N286" t="s">
        <x:v>256</x:v>
      </x:c>
    </x:row>
    <x:row r="287" spans="13:14" x14ac:dyDescent="0.15">
      <x:c r="M287">
        <x:v>121155</x:v>
      </x:c>
      <x:c r="N287" t="s">
        <x:v>461</x:v>
      </x:c>
    </x:row>
    <x:row r="288" spans="13:14" x14ac:dyDescent="0.15">
      <x:c r="M288">
        <x:v>121156</x:v>
      </x:c>
      <x:c r="N288" t="s">
        <x:v>461</x:v>
      </x:c>
    </x:row>
    <x:row r="289" spans="13:14" x14ac:dyDescent="0.15">
      <x:c r="M289">
        <x:v>121157</x:v>
      </x:c>
      <x:c r="N289" t="s">
        <x:v>462</x:v>
      </x:c>
    </x:row>
    <x:row r="290" spans="13:14" x14ac:dyDescent="0.15">
      <x:c r="M290">
        <x:v>121158</x:v>
      </x:c>
      <x:c r="N290" t="s">
        <x:v>463</x:v>
      </x:c>
    </x:row>
    <x:row r="291" spans="13:14" x14ac:dyDescent="0.15">
      <x:c r="M291">
        <x:v>121159</x:v>
      </x:c>
      <x:c r="N291" t="s">
        <x:v>464</x:v>
      </x:c>
    </x:row>
    <x:row r="292" spans="13:14" x14ac:dyDescent="0.15">
      <x:c r="M292">
        <x:v>121160</x:v>
      </x:c>
      <x:c r="N292" t="s">
        <x:v>465</x:v>
      </x:c>
    </x:row>
    <x:row r="293" spans="13:14" x14ac:dyDescent="0.15">
      <x:c r="M293">
        <x:v>121161</x:v>
      </x:c>
      <x:c r="N293" t="s">
        <x:v>466</x:v>
      </x:c>
    </x:row>
    <x:row r="294" spans="13:14" x14ac:dyDescent="0.15">
      <x:c r="M294">
        <x:v>121162</x:v>
      </x:c>
      <x:c r="N294" t="s">
        <x:v>467</x:v>
      </x:c>
    </x:row>
    <x:row r="295" spans="13:14" x14ac:dyDescent="0.15">
      <x:c r="M295">
        <x:v>121163</x:v>
      </x:c>
      <x:c r="N295" t="s">
        <x:v>468</x:v>
      </x:c>
    </x:row>
    <x:row r="296" spans="13:14" x14ac:dyDescent="0.15">
      <x:c r="M296">
        <x:v>121164</x:v>
      </x:c>
      <x:c r="N296" t="s">
        <x:v>469</x:v>
      </x:c>
    </x:row>
    <x:row r="297" spans="13:14" x14ac:dyDescent="0.15">
      <x:c r="M297">
        <x:v>121165</x:v>
      </x:c>
      <x:c r="N297" t="s">
        <x:v>470</x:v>
      </x:c>
    </x:row>
    <x:row r="298" spans="13:14" x14ac:dyDescent="0.15">
      <x:c r="M298">
        <x:v>121166</x:v>
      </x:c>
      <x:c r="N298" t="s">
        <x:v>471</x:v>
      </x:c>
    </x:row>
    <x:row r="299" spans="13:14" x14ac:dyDescent="0.15">
      <x:c r="M299">
        <x:v>121167</x:v>
      </x:c>
      <x:c r="N299" t="s">
        <x:v>472</x:v>
      </x:c>
    </x:row>
    <x:row r="300" spans="13:14" x14ac:dyDescent="0.15">
      <x:c r="M300">
        <x:v>121168</x:v>
      </x:c>
      <x:c r="N300" t="s">
        <x:v>473</x:v>
      </x:c>
    </x:row>
    <x:row r="301" spans="13:14" x14ac:dyDescent="0.15">
      <x:c r="M301">
        <x:v>121169</x:v>
      </x:c>
      <x:c r="N301" t="s">
        <x:v>474</x:v>
      </x:c>
    </x:row>
    <x:row r="302" spans="13:14" x14ac:dyDescent="0.15">
      <x:c r="M302">
        <x:v>121170</x:v>
      </x:c>
      <x:c r="N302" t="s">
        <x:v>475</x:v>
      </x:c>
    </x:row>
    <x:row r="303" spans="13:14" x14ac:dyDescent="0.15">
      <x:c r="M303">
        <x:v>121171</x:v>
      </x:c>
      <x:c r="N303" t="s">
        <x:v>476</x:v>
      </x:c>
    </x:row>
    <x:row r="304" spans="13:14" x14ac:dyDescent="0.15">
      <x:c r="M304">
        <x:v>121172</x:v>
      </x:c>
      <x:c r="N304" t="s">
        <x:v>477</x:v>
      </x:c>
    </x:row>
    <x:row r="305" spans="13:14" x14ac:dyDescent="0.15">
      <x:c r="M305">
        <x:v>121173</x:v>
      </x:c>
      <x:c r="N305" t="s">
        <x:v>478</x:v>
      </x:c>
    </x:row>
    <x:row r="306" spans="13:14" x14ac:dyDescent="0.15">
      <x:c r="M306">
        <x:v>121174</x:v>
      </x:c>
      <x:c r="N306" t="s">
        <x:v>479</x:v>
      </x:c>
    </x:row>
    <x:row r="307" spans="13:14" x14ac:dyDescent="0.15">
      <x:c r="M307">
        <x:v>121175</x:v>
      </x:c>
      <x:c r="N307" t="s">
        <x:v>480</x:v>
      </x:c>
    </x:row>
    <x:row r="308" spans="13:14" x14ac:dyDescent="0.15">
      <x:c r="M308">
        <x:v>121176</x:v>
      </x:c>
      <x:c r="N308" t="s">
        <x:v>481</x:v>
      </x:c>
    </x:row>
    <x:row r="309" spans="13:14" x14ac:dyDescent="0.15">
      <x:c r="M309">
        <x:v>121177</x:v>
      </x:c>
      <x:c r="N309" t="s">
        <x:v>482</x:v>
      </x:c>
    </x:row>
    <x:row r="310" spans="13:14" x14ac:dyDescent="0.15">
      <x:c r="M310">
        <x:v>121178</x:v>
      </x:c>
      <x:c r="N310" t="s">
        <x:v>483</x:v>
      </x:c>
    </x:row>
    <x:row r="311" spans="13:14" x14ac:dyDescent="0.15">
      <x:c r="M311">
        <x:v>121179</x:v>
      </x:c>
      <x:c r="N311" t="s">
        <x:v>484</x:v>
      </x:c>
    </x:row>
    <x:row r="312" spans="13:14" x14ac:dyDescent="0.15">
      <x:c r="M312">
        <x:v>121180</x:v>
      </x:c>
      <x:c r="N312" t="s">
        <x:v>485</x:v>
      </x:c>
    </x:row>
    <x:row r="313" spans="13:14" x14ac:dyDescent="0.15">
      <x:c r="M313">
        <x:v>121181</x:v>
      </x:c>
      <x:c r="N313" t="s">
        <x:v>486</x:v>
      </x:c>
    </x:row>
    <x:row r="314" spans="13:14" x14ac:dyDescent="0.15">
      <x:c r="M314">
        <x:v>121182</x:v>
      </x:c>
      <x:c r="N314" t="s">
        <x:v>487</x:v>
      </x:c>
    </x:row>
    <x:row r="315" spans="13:14" x14ac:dyDescent="0.15">
      <x:c r="M315">
        <x:v>121183</x:v>
      </x:c>
      <x:c r="N315" t="s">
        <x:v>369</x:v>
      </x:c>
    </x:row>
    <x:row r="316" spans="13:14" x14ac:dyDescent="0.15">
      <x:c r="M316">
        <x:v>121184</x:v>
      </x:c>
      <x:c r="N316" t="s">
        <x:v>104</x:v>
      </x:c>
    </x:row>
    <x:row r="317" spans="13:14" x14ac:dyDescent="0.15">
      <x:c r="M317">
        <x:v>121185</x:v>
      </x:c>
      <x:c r="N317" t="s">
        <x:v>451</x:v>
      </x:c>
    </x:row>
    <x:row r="318" spans="13:14" x14ac:dyDescent="0.15">
      <x:c r="M318">
        <x:v>121186</x:v>
      </x:c>
      <x:c r="N318" t="s">
        <x:v>411</x:v>
      </x:c>
    </x:row>
    <x:row r="319" spans="13:14" x14ac:dyDescent="0.15">
      <x:c r="M319">
        <x:v>121187</x:v>
      </x:c>
      <x:c r="N319" t="s">
        <x:v>421</x:v>
      </x:c>
    </x:row>
    <x:row r="320" spans="13:14" x14ac:dyDescent="0.15">
      <x:c r="M320">
        <x:v>121188</x:v>
      </x:c>
      <x:c r="N320" t="s">
        <x:v>483</x:v>
      </x:c>
    </x:row>
    <x:row r="321" spans="13:14" x14ac:dyDescent="0.15">
      <x:c r="M321">
        <x:v>121189</x:v>
      </x:c>
      <x:c r="N321" t="s">
        <x:v>485</x:v>
      </x:c>
    </x:row>
    <x:row r="322" spans="13:14" x14ac:dyDescent="0.15">
      <x:c r="M322">
        <x:v>121190</x:v>
      </x:c>
      <x:c r="N322" t="s">
        <x:v>488</x:v>
      </x:c>
    </x:row>
    <x:row r="323" spans="13:14" x14ac:dyDescent="0.15">
      <x:c r="M323">
        <x:v>121191</x:v>
      </x:c>
      <x:c r="N323" t="s">
        <x:v>489</x:v>
      </x:c>
    </x:row>
    <x:row r="324" spans="13:14" x14ac:dyDescent="0.15">
      <x:c r="M324">
        <x:v>121192</x:v>
      </x:c>
      <x:c r="N324" t="s">
        <x:v>490</x:v>
      </x:c>
    </x:row>
    <x:row r="325" spans="13:14" x14ac:dyDescent="0.15">
      <x:c r="M325">
        <x:v>121193</x:v>
      </x:c>
      <x:c r="N325" t="s">
        <x:v>491</x:v>
      </x:c>
    </x:row>
    <x:row r="326" spans="13:14" x14ac:dyDescent="0.15">
      <x:c r="M326">
        <x:v>121194</x:v>
      </x:c>
      <x:c r="N326" t="s">
        <x:v>490</x:v>
      </x:c>
    </x:row>
    <x:row r="327" spans="13:14" x14ac:dyDescent="0.15">
      <x:c r="M327">
        <x:v>121195</x:v>
      </x:c>
      <x:c r="N327" t="s">
        <x:v>492</x:v>
      </x:c>
    </x:row>
    <x:row r="328" spans="13:14" x14ac:dyDescent="0.15">
      <x:c r="M328">
        <x:v>121196</x:v>
      </x:c>
      <x:c r="N328" t="s">
        <x:v>493</x:v>
      </x:c>
    </x:row>
    <x:row r="329" spans="13:14" x14ac:dyDescent="0.15">
      <x:c r="M329">
        <x:v>121197</x:v>
      </x:c>
      <x:c r="N329" t="s">
        <x:v>494</x:v>
      </x:c>
    </x:row>
    <x:row r="330" spans="13:14" x14ac:dyDescent="0.15">
      <x:c r="M330">
        <x:v>121198</x:v>
      </x:c>
      <x:c r="N330" t="s">
        <x:v>495</x:v>
      </x:c>
    </x:row>
    <x:row r="331" spans="13:14" x14ac:dyDescent="0.15">
      <x:c r="M331">
        <x:v>121199</x:v>
      </x:c>
      <x:c r="N331" t="s">
        <x:v>496</x:v>
      </x:c>
    </x:row>
    <x:row r="332" spans="13:14" x14ac:dyDescent="0.15">
      <x:c r="M332">
        <x:v>121200</x:v>
      </x:c>
      <x:c r="N332" t="s">
        <x:v>497</x:v>
      </x:c>
    </x:row>
    <x:row r="333" spans="13:14" x14ac:dyDescent="0.15">
      <x:c r="M333">
        <x:v>121201</x:v>
      </x:c>
      <x:c r="N333" t="s">
        <x:v>419</x:v>
      </x:c>
    </x:row>
    <x:row r="334" spans="13:14" x14ac:dyDescent="0.15">
      <x:c r="M334">
        <x:v>121202</x:v>
      </x:c>
      <x:c r="N334" t="s">
        <x:v>420</x:v>
      </x:c>
    </x:row>
    <x:row r="335" spans="13:14" x14ac:dyDescent="0.15">
      <x:c r="M335">
        <x:v>121203</x:v>
      </x:c>
      <x:c r="N335" t="s">
        <x:v>498</x:v>
      </x:c>
    </x:row>
    <x:row r="336" spans="13:14" x14ac:dyDescent="0.15">
      <x:c r="M336">
        <x:v>121204</x:v>
      </x:c>
      <x:c r="N336" t="s">
        <x:v>499</x:v>
      </x:c>
    </x:row>
    <x:row r="337" spans="13:14" x14ac:dyDescent="0.15">
      <x:c r="M337">
        <x:v>121205</x:v>
      </x:c>
      <x:c r="N337" t="s">
        <x:v>500</x:v>
      </x:c>
    </x:row>
    <x:row r="338" spans="13:14" x14ac:dyDescent="0.15">
      <x:c r="M338">
        <x:v>121206</x:v>
      </x:c>
      <x:c r="N338" t="s">
        <x:v>501</x:v>
      </x:c>
    </x:row>
    <x:row r="339" spans="13:14" x14ac:dyDescent="0.15">
      <x:c r="M339">
        <x:v>121207</x:v>
      </x:c>
      <x:c r="N339" t="s">
        <x:v>502</x:v>
      </x:c>
    </x:row>
    <x:row r="340" spans="13:14" x14ac:dyDescent="0.15">
      <x:c r="M340">
        <x:v>121208</x:v>
      </x:c>
      <x:c r="N340" t="s">
        <x:v>503</x:v>
      </x:c>
    </x:row>
    <x:row r="341" spans="13:14" x14ac:dyDescent="0.15">
      <x:c r="M341">
        <x:v>121209</x:v>
      </x:c>
      <x:c r="N341" t="s">
        <x:v>504</x:v>
      </x:c>
    </x:row>
    <x:row r="342" spans="13:14" x14ac:dyDescent="0.15">
      <x:c r="M342">
        <x:v>121210</x:v>
      </x:c>
      <x:c r="N342" t="s">
        <x:v>505</x:v>
      </x:c>
    </x:row>
    <x:row r="343" spans="13:14" x14ac:dyDescent="0.15">
      <x:c r="M343">
        <x:v>121211</x:v>
      </x:c>
      <x:c r="N343" t="s">
        <x:v>506</x:v>
      </x:c>
    </x:row>
    <x:row r="344" spans="13:14" x14ac:dyDescent="0.15">
      <x:c r="M344">
        <x:v>121212</x:v>
      </x:c>
      <x:c r="N344" t="s">
        <x:v>507</x:v>
      </x:c>
    </x:row>
    <x:row r="345" spans="13:14" x14ac:dyDescent="0.15">
      <x:c r="M345">
        <x:v>121213</x:v>
      </x:c>
      <x:c r="N345" t="s">
        <x:v>508</x:v>
      </x:c>
    </x:row>
    <x:row r="346" spans="13:14" x14ac:dyDescent="0.15">
      <x:c r="M346">
        <x:v>121214</x:v>
      </x:c>
      <x:c r="N346" t="s">
        <x:v>509</x:v>
      </x:c>
    </x:row>
    <x:row r="347" spans="13:14" x14ac:dyDescent="0.15">
      <x:c r="M347">
        <x:v>121215</x:v>
      </x:c>
      <x:c r="N347" t="s">
        <x:v>510</x:v>
      </x:c>
    </x:row>
    <x:row r="348" spans="13:14" x14ac:dyDescent="0.15">
      <x:c r="M348">
        <x:v>121216</x:v>
      </x:c>
      <x:c r="N348" t="s">
        <x:v>511</x:v>
      </x:c>
    </x:row>
    <x:row r="349" spans="13:14" x14ac:dyDescent="0.15">
      <x:c r="M349">
        <x:v>121217</x:v>
      </x:c>
      <x:c r="N349" t="s">
        <x:v>512</x:v>
      </x:c>
    </x:row>
    <x:row r="350" spans="13:14" x14ac:dyDescent="0.15">
      <x:c r="M350">
        <x:v>121218</x:v>
      </x:c>
      <x:c r="N350" t="s">
        <x:v>513</x:v>
      </x:c>
    </x:row>
    <x:row r="351" spans="13:14" x14ac:dyDescent="0.15">
      <x:c r="M351">
        <x:v>121219</x:v>
      </x:c>
      <x:c r="N351" t="s">
        <x:v>514</x:v>
      </x:c>
    </x:row>
    <x:row r="352" spans="13:14" x14ac:dyDescent="0.15">
      <x:c r="M352">
        <x:v>121220</x:v>
      </x:c>
      <x:c r="N352" t="s">
        <x:v>515</x:v>
      </x:c>
    </x:row>
    <x:row r="353" spans="13:14" x14ac:dyDescent="0.15">
      <x:c r="M353">
        <x:v>121221</x:v>
      </x:c>
      <x:c r="N353" t="s">
        <x:v>516</x:v>
      </x:c>
    </x:row>
    <x:row r="354" spans="13:14" x14ac:dyDescent="0.15">
      <x:c r="M354">
        <x:v>121222</x:v>
      </x:c>
      <x:c r="N354" t="s">
        <x:v>517</x:v>
      </x:c>
    </x:row>
    <x:row r="355" spans="13:14" x14ac:dyDescent="0.15">
      <x:c r="M355">
        <x:v>121223</x:v>
      </x:c>
      <x:c r="N355" t="s">
        <x:v>518</x:v>
      </x:c>
    </x:row>
    <x:row r="356" spans="13:14" x14ac:dyDescent="0.15">
      <x:c r="M356">
        <x:v>121224</x:v>
      </x:c>
      <x:c r="N356" t="s">
        <x:v>519</x:v>
      </x:c>
    </x:row>
    <x:row r="357" spans="13:14" x14ac:dyDescent="0.15">
      <x:c r="M357">
        <x:v>121225</x:v>
      </x:c>
      <x:c r="N357" t="s">
        <x:v>520</x:v>
      </x:c>
    </x:row>
    <x:row r="358" spans="13:14" x14ac:dyDescent="0.15">
      <x:c r="M358">
        <x:v>121226</x:v>
      </x:c>
      <x:c r="N358" t="s">
        <x:v>521</x:v>
      </x:c>
    </x:row>
    <x:row r="359" spans="13:14" x14ac:dyDescent="0.15">
      <x:c r="M359">
        <x:v>121227</x:v>
      </x:c>
      <x:c r="N359" t="s">
        <x:v>522</x:v>
      </x:c>
    </x:row>
    <x:row r="360" spans="13:14" x14ac:dyDescent="0.15">
      <x:c r="M360">
        <x:v>121228</x:v>
      </x:c>
      <x:c r="N360" t="s">
        <x:v>523</x:v>
      </x:c>
    </x:row>
    <x:row r="361" spans="13:14" x14ac:dyDescent="0.15">
      <x:c r="M361">
        <x:v>121229</x:v>
      </x:c>
      <x:c r="N361" t="s">
        <x:v>524</x:v>
      </x:c>
    </x:row>
    <x:row r="362" spans="13:14" x14ac:dyDescent="0.15">
      <x:c r="M362">
        <x:v>121230</x:v>
      </x:c>
      <x:c r="N362" t="s">
        <x:v>525</x:v>
      </x:c>
    </x:row>
    <x:row r="363" spans="13:14" x14ac:dyDescent="0.15">
      <x:c r="M363">
        <x:v>121231</x:v>
      </x:c>
      <x:c r="N363" t="s">
        <x:v>526</x:v>
      </x:c>
    </x:row>
    <x:row r="364" spans="13:14" x14ac:dyDescent="0.15">
      <x:c r="M364">
        <x:v>121232</x:v>
      </x:c>
      <x:c r="N364" t="s">
        <x:v>527</x:v>
      </x:c>
    </x:row>
    <x:row r="365" spans="13:14" x14ac:dyDescent="0.15">
      <x:c r="M365">
        <x:v>121233</x:v>
      </x:c>
      <x:c r="N365" t="s">
        <x:v>528</x:v>
      </x:c>
    </x:row>
    <x:row r="366" spans="13:14" x14ac:dyDescent="0.15">
      <x:c r="M366">
        <x:v>121234</x:v>
      </x:c>
      <x:c r="N366" t="s">
        <x:v>529</x:v>
      </x:c>
    </x:row>
    <x:row r="367" spans="13:14" x14ac:dyDescent="0.15">
      <x:c r="M367">
        <x:v>121235</x:v>
      </x:c>
      <x:c r="N367" t="s">
        <x:v>530</x:v>
      </x:c>
    </x:row>
    <x:row r="368" spans="13:14" x14ac:dyDescent="0.15">
      <x:c r="M368">
        <x:v>121236</x:v>
      </x:c>
      <x:c r="N368" t="s">
        <x:v>531</x:v>
      </x:c>
    </x:row>
    <x:row r="369" spans="13:14" x14ac:dyDescent="0.15">
      <x:c r="M369">
        <x:v>121237</x:v>
      </x:c>
      <x:c r="N369" t="s">
        <x:v>532</x:v>
      </x:c>
    </x:row>
    <x:row r="370" spans="13:14" x14ac:dyDescent="0.15">
      <x:c r="M370">
        <x:v>121238</x:v>
      </x:c>
      <x:c r="N370" t="s">
        <x:v>533</x:v>
      </x:c>
    </x:row>
    <x:row r="371" spans="13:14" x14ac:dyDescent="0.15">
      <x:c r="M371">
        <x:v>121239</x:v>
      </x:c>
      <x:c r="N371" t="s">
        <x:v>534</x:v>
      </x:c>
    </x:row>
    <x:row r="372" spans="13:14" x14ac:dyDescent="0.15">
      <x:c r="M372">
        <x:v>121240</x:v>
      </x:c>
      <x:c r="N372" t="s">
        <x:v>535</x:v>
      </x:c>
    </x:row>
    <x:row r="373" spans="13:14" x14ac:dyDescent="0.15">
      <x:c r="M373">
        <x:v>121241</x:v>
      </x:c>
      <x:c r="N373" t="s">
        <x:v>536</x:v>
      </x:c>
    </x:row>
    <x:row r="374" spans="13:14" x14ac:dyDescent="0.15">
      <x:c r="M374">
        <x:v>121242</x:v>
      </x:c>
      <x:c r="N374" t="s">
        <x:v>537</x:v>
      </x:c>
    </x:row>
    <x:row r="375" spans="13:14" x14ac:dyDescent="0.15">
      <x:c r="M375">
        <x:v>121243</x:v>
      </x:c>
      <x:c r="N375" t="s">
        <x:v>538</x:v>
      </x:c>
    </x:row>
    <x:row r="376" spans="13:14" x14ac:dyDescent="0.15">
      <x:c r="M376">
        <x:v>121244</x:v>
      </x:c>
      <x:c r="N376" t="s">
        <x:v>539</x:v>
      </x:c>
    </x:row>
    <x:row r="377" spans="13:14" x14ac:dyDescent="0.15">
      <x:c r="M377">
        <x:v>121245</x:v>
      </x:c>
      <x:c r="N377" t="s">
        <x:v>540</x:v>
      </x:c>
    </x:row>
    <x:row r="378" spans="13:14" x14ac:dyDescent="0.15">
      <x:c r="M378">
        <x:v>121246</x:v>
      </x:c>
      <x:c r="N378" t="s">
        <x:v>541</x:v>
      </x:c>
    </x:row>
    <x:row r="379" spans="13:14" x14ac:dyDescent="0.15">
      <x:c r="M379">
        <x:v>121247</x:v>
      </x:c>
      <x:c r="N379" t="s">
        <x:v>542</x:v>
      </x:c>
    </x:row>
    <x:row r="380" spans="13:14" x14ac:dyDescent="0.15">
      <x:c r="M380">
        <x:v>121248</x:v>
      </x:c>
      <x:c r="N380" t="s">
        <x:v>543</x:v>
      </x:c>
    </x:row>
    <x:row r="381" spans="13:14" x14ac:dyDescent="0.15">
      <x:c r="M381">
        <x:v>121250</x:v>
      </x:c>
      <x:c r="N381" t="s">
        <x:v>544</x:v>
      </x:c>
    </x:row>
    <x:row r="382" spans="13:14" x14ac:dyDescent="0.15">
      <x:c r="M382">
        <x:v>121251</x:v>
      </x:c>
      <x:c r="N382" t="s">
        <x:v>545</x:v>
      </x:c>
    </x:row>
    <x:row r="383" spans="13:14" x14ac:dyDescent="0.15">
      <x:c r="M383">
        <x:v>121252</x:v>
      </x:c>
      <x:c r="N383" t="s">
        <x:v>546</x:v>
      </x:c>
    </x:row>
    <x:row r="384" spans="13:14" x14ac:dyDescent="0.15">
      <x:c r="M384">
        <x:v>121253</x:v>
      </x:c>
      <x:c r="N384" t="s">
        <x:v>547</x:v>
      </x:c>
    </x:row>
    <x:row r="385" spans="13:14" x14ac:dyDescent="0.15">
      <x:c r="M385">
        <x:v>121254</x:v>
      </x:c>
      <x:c r="N385" t="s">
        <x:v>548</x:v>
      </x:c>
    </x:row>
    <x:row r="386" spans="13:14" x14ac:dyDescent="0.15">
      <x:c r="M386">
        <x:v>121255</x:v>
      </x:c>
      <x:c r="N386" t="s">
        <x:v>549</x:v>
      </x:c>
    </x:row>
    <x:row r="387" spans="13:14" x14ac:dyDescent="0.15">
      <x:c r="M387">
        <x:v>121256</x:v>
      </x:c>
      <x:c r="N387" t="s">
        <x:v>550</x:v>
      </x:c>
    </x:row>
    <x:row r="388" spans="13:14" x14ac:dyDescent="0.15">
      <x:c r="M388">
        <x:v>121257</x:v>
      </x:c>
      <x:c r="N388" t="s">
        <x:v>551</x:v>
      </x:c>
    </x:row>
    <x:row r="389" spans="13:14" x14ac:dyDescent="0.15">
      <x:c r="M389">
        <x:v>121258</x:v>
      </x:c>
      <x:c r="N389" t="s">
        <x:v>307</x:v>
      </x:c>
    </x:row>
    <x:row r="390" spans="13:14" x14ac:dyDescent="0.15">
      <x:c r="M390">
        <x:v>121259</x:v>
      </x:c>
      <x:c r="N390" t="s">
        <x:v>552</x:v>
      </x:c>
    </x:row>
    <x:row r="391" spans="13:14" x14ac:dyDescent="0.15">
      <x:c r="M391">
        <x:v>121260</x:v>
      </x:c>
      <x:c r="N391" t="s">
        <x:v>553</x:v>
      </x:c>
    </x:row>
    <x:row r="392" spans="13:14" x14ac:dyDescent="0.15">
      <x:c r="M392">
        <x:v>121261</x:v>
      </x:c>
      <x:c r="N392" t="s">
        <x:v>554</x:v>
      </x:c>
    </x:row>
    <x:row r="393" spans="13:14" x14ac:dyDescent="0.15">
      <x:c r="M393">
        <x:v>121262</x:v>
      </x:c>
      <x:c r="N393" t="s">
        <x:v>544</x:v>
      </x:c>
    </x:row>
    <x:row r="394" spans="13:14" x14ac:dyDescent="0.15">
      <x:c r="M394">
        <x:v>121263</x:v>
      </x:c>
      <x:c r="N394" t="s">
        <x:v>553</x:v>
      </x:c>
    </x:row>
    <x:row r="395" spans="13:14" x14ac:dyDescent="0.15">
      <x:c r="M395">
        <x:v>121264</x:v>
      </x:c>
    </x:row>
    <x:row r="396" spans="13:14" x14ac:dyDescent="0.15">
      <x:c r="M396">
        <x:v>121265</x:v>
      </x:c>
      <x:c r="N396" t="s">
        <x:v>555</x:v>
      </x:c>
    </x:row>
    <x:row r="397" spans="13:14" x14ac:dyDescent="0.15">
      <x:c r="M397">
        <x:v>121266</x:v>
      </x:c>
      <x:c r="N397" t="s">
        <x:v>556</x:v>
      </x:c>
    </x:row>
    <x:row r="398" spans="13:14" x14ac:dyDescent="0.15">
      <x:c r="M398">
        <x:v>121267</x:v>
      </x:c>
      <x:c r="N398" t="s">
        <x:v>537</x:v>
      </x:c>
    </x:row>
    <x:row r="399" spans="13:14" x14ac:dyDescent="0.15">
      <x:c r="M399">
        <x:v>121268</x:v>
      </x:c>
    </x:row>
    <x:row r="400" spans="13:14" x14ac:dyDescent="0.15">
      <x:c r="M400">
        <x:v>121269</x:v>
      </x:c>
      <x:c r="N400" t="s">
        <x:v>557</x:v>
      </x:c>
    </x:row>
    <x:row r="401" spans="13:14" x14ac:dyDescent="0.15">
      <x:c r="M401">
        <x:v>121270</x:v>
      </x:c>
      <x:c r="N401" t="s">
        <x:v>558</x:v>
      </x:c>
    </x:row>
    <x:row r="402" spans="13:14" x14ac:dyDescent="0.15">
      <x:c r="M402">
        <x:v>121271</x:v>
      </x:c>
      <x:c r="N402" t="s">
        <x:v>559</x:v>
      </x:c>
    </x:row>
    <x:row r="403" spans="13:14" x14ac:dyDescent="0.15">
      <x:c r="M403">
        <x:v>121272</x:v>
      </x:c>
      <x:c r="N403" t="s">
        <x:v>560</x:v>
      </x:c>
    </x:row>
    <x:row r="404" spans="13:14" x14ac:dyDescent="0.15">
      <x:c r="M404">
        <x:v>121273</x:v>
      </x:c>
      <x:c r="N404" t="s">
        <x:v>37</x:v>
      </x:c>
    </x:row>
    <x:row r="405" spans="13:14" x14ac:dyDescent="0.15">
      <x:c r="M405">
        <x:v>121274</x:v>
      </x:c>
      <x:c r="N405" t="s">
        <x:v>31</x:v>
      </x:c>
    </x:row>
    <x:row r="406" spans="13:14" x14ac:dyDescent="0.15">
      <x:c r="M406">
        <x:v>121275</x:v>
      </x:c>
      <x:c r="N406" t="s">
        <x:v>42</x:v>
      </x:c>
    </x:row>
    <x:row r="407" spans="13:14" x14ac:dyDescent="0.15">
      <x:c r="M407">
        <x:v>121276</x:v>
      </x:c>
      <x:c r="N407" t="s">
        <x:v>561</x:v>
      </x:c>
    </x:row>
    <x:row r="408" spans="13:14" x14ac:dyDescent="0.15">
      <x:c r="M408">
        <x:v>121277</x:v>
      </x:c>
      <x:c r="N408" t="s">
        <x:v>562</x:v>
      </x:c>
    </x:row>
    <x:row r="409" spans="13:14" x14ac:dyDescent="0.15">
      <x:c r="M409">
        <x:v>121278</x:v>
      </x:c>
      <x:c r="N409" t="s">
        <x:v>563</x:v>
      </x:c>
    </x:row>
    <x:row r="410" spans="13:14" x14ac:dyDescent="0.15">
      <x:c r="M410">
        <x:v>121279</x:v>
      </x:c>
      <x:c r="N410" t="s">
        <x:v>564</x:v>
      </x:c>
    </x:row>
    <x:row r="411" spans="13:14" x14ac:dyDescent="0.15">
      <x:c r="M411">
        <x:v>121280</x:v>
      </x:c>
      <x:c r="N411" t="s">
        <x:v>565</x:v>
      </x:c>
    </x:row>
    <x:row r="412" spans="13:14" x14ac:dyDescent="0.15">
      <x:c r="M412">
        <x:v>121281</x:v>
      </x:c>
      <x:c r="N412" t="s">
        <x:v>566</x:v>
      </x:c>
    </x:row>
    <x:row r="413" spans="13:14" x14ac:dyDescent="0.15">
      <x:c r="M413">
        <x:v>121282</x:v>
      </x:c>
    </x:row>
    <x:row r="414" spans="13:14" x14ac:dyDescent="0.15">
      <x:c r="M414">
        <x:v>121283</x:v>
      </x:c>
      <x:c r="N414" t="s">
        <x:v>301</x:v>
      </x:c>
    </x:row>
    <x:row r="415" spans="13:14" x14ac:dyDescent="0.15">
      <x:c r="M415">
        <x:v>121284</x:v>
      </x:c>
      <x:c r="N415" t="s">
        <x:v>287</x:v>
      </x:c>
    </x:row>
    <x:row r="416" spans="13:14" x14ac:dyDescent="0.15">
      <x:c r="M416">
        <x:v>121285</x:v>
      </x:c>
      <x:c r="N416" t="s">
        <x:v>290</x:v>
      </x:c>
    </x:row>
    <x:row r="417" spans="13:14" x14ac:dyDescent="0.15">
      <x:c r="M417">
        <x:v>121286</x:v>
      </x:c>
      <x:c r="N417" t="s">
        <x:v>295</x:v>
      </x:c>
    </x:row>
    <x:row r="418" spans="13:14" x14ac:dyDescent="0.15">
      <x:c r="M418">
        <x:v>121287</x:v>
      </x:c>
      <x:c r="N418" t="s">
        <x:v>296</x:v>
      </x:c>
    </x:row>
    <x:row r="419" spans="13:14" x14ac:dyDescent="0.15">
      <x:c r="M419">
        <x:v>121288</x:v>
      </x:c>
      <x:c r="N419" t="s">
        <x:v>294</x:v>
      </x:c>
    </x:row>
    <x:row r="420" spans="13:14" x14ac:dyDescent="0.15">
      <x:c r="M420">
        <x:v>121289</x:v>
      </x:c>
      <x:c r="N420" t="s">
        <x:v>567</x:v>
      </x:c>
    </x:row>
    <x:row r="421" spans="13:14" x14ac:dyDescent="0.15">
      <x:c r="M421">
        <x:v>121290</x:v>
      </x:c>
      <x:c r="N421" t="s">
        <x:v>568</x:v>
      </x:c>
    </x:row>
    <x:row r="422" spans="13:14" x14ac:dyDescent="0.15">
      <x:c r="M422">
        <x:v>121291</x:v>
      </x:c>
      <x:c r="N422" t="s">
        <x:v>569</x:v>
      </x:c>
    </x:row>
    <x:row r="423" spans="13:14" x14ac:dyDescent="0.15">
      <x:c r="M423">
        <x:v>121292</x:v>
      </x:c>
      <x:c r="N423" t="s">
        <x:v>570</x:v>
      </x:c>
    </x:row>
    <x:row r="424" spans="13:14" x14ac:dyDescent="0.15">
      <x:c r="M424">
        <x:v>121293</x:v>
      </x:c>
      <x:c r="N424" t="s">
        <x:v>571</x:v>
      </x:c>
    </x:row>
    <x:row r="425" spans="13:14" x14ac:dyDescent="0.15">
      <x:c r="M425">
        <x:v>121294</x:v>
      </x:c>
      <x:c r="N425" t="s">
        <x:v>572</x:v>
      </x:c>
    </x:row>
    <x:row r="426" spans="13:14" x14ac:dyDescent="0.15">
      <x:c r="M426">
        <x:v>121295</x:v>
      </x:c>
      <x:c r="N426" t="s">
        <x:v>573</x:v>
      </x:c>
    </x:row>
    <x:row r="427" spans="13:14" x14ac:dyDescent="0.15">
      <x:c r="M427">
        <x:v>121296</x:v>
      </x:c>
      <x:c r="N427" t="s">
        <x:v>574</x:v>
      </x:c>
    </x:row>
    <x:row r="428" spans="13:14" x14ac:dyDescent="0.15">
      <x:c r="M428">
        <x:v>121297</x:v>
      </x:c>
      <x:c r="N428" t="s">
        <x:v>575</x:v>
      </x:c>
    </x:row>
    <x:row r="429" spans="13:14" x14ac:dyDescent="0.15">
      <x:c r="M429">
        <x:v>121298</x:v>
      </x:c>
      <x:c r="N429" t="s">
        <x:v>576</x:v>
      </x:c>
    </x:row>
    <x:row r="430" spans="13:14" x14ac:dyDescent="0.15">
      <x:c r="M430">
        <x:v>121299</x:v>
      </x:c>
      <x:c r="N430" t="s">
        <x:v>577</x:v>
      </x:c>
    </x:row>
    <x:row r="431" spans="13:14" x14ac:dyDescent="0.15">
      <x:c r="M431">
        <x:v>121300</x:v>
      </x:c>
      <x:c r="N431" t="s">
        <x:v>578</x:v>
      </x:c>
    </x:row>
    <x:row r="432" spans="13:14" x14ac:dyDescent="0.15">
      <x:c r="M432">
        <x:v>121301</x:v>
      </x:c>
      <x:c r="N432" t="s">
        <x:v>579</x:v>
      </x:c>
    </x:row>
    <x:row r="433" spans="13:14" x14ac:dyDescent="0.15">
      <x:c r="M433">
        <x:v>121302</x:v>
      </x:c>
      <x:c r="N433" t="s">
        <x:v>580</x:v>
      </x:c>
    </x:row>
    <x:row r="434" spans="13:14" x14ac:dyDescent="0.15">
      <x:c r="M434">
        <x:v>121303</x:v>
      </x:c>
      <x:c r="N434" t="s">
        <x:v>581</x:v>
      </x:c>
    </x:row>
    <x:row r="435" spans="13:14" x14ac:dyDescent="0.15">
      <x:c r="M435">
        <x:v>121304</x:v>
      </x:c>
      <x:c r="N435" t="s">
        <x:v>582</x:v>
      </x:c>
    </x:row>
    <x:row r="436" spans="13:14" x14ac:dyDescent="0.15">
      <x:c r="M436">
        <x:v>121305</x:v>
      </x:c>
      <x:c r="N436" t="s">
        <x:v>583</x:v>
      </x:c>
    </x:row>
    <x:row r="437" spans="13:14" x14ac:dyDescent="0.15">
      <x:c r="M437">
        <x:v>121306</x:v>
      </x:c>
      <x:c r="N437" t="s">
        <x:v>584</x:v>
      </x:c>
    </x:row>
    <x:row r="438" spans="13:14" x14ac:dyDescent="0.15">
      <x:c r="M438">
        <x:v>121307</x:v>
      </x:c>
      <x:c r="N438" t="s">
        <x:v>585</x:v>
      </x:c>
    </x:row>
    <x:row r="439" spans="13:14" x14ac:dyDescent="0.15">
      <x:c r="M439">
        <x:v>121308</x:v>
      </x:c>
      <x:c r="N439" t="s">
        <x:v>586</x:v>
      </x:c>
    </x:row>
    <x:row r="440" spans="13:14" x14ac:dyDescent="0.15">
      <x:c r="M440">
        <x:v>121309</x:v>
      </x:c>
      <x:c r="N440" t="s">
        <x:v>281</x:v>
      </x:c>
    </x:row>
    <x:row r="441" spans="13:14" x14ac:dyDescent="0.15">
      <x:c r="M441">
        <x:v>121310</x:v>
      </x:c>
      <x:c r="N441" t="s">
        <x:v>295</x:v>
      </x:c>
    </x:row>
    <x:row r="442" spans="13:14" x14ac:dyDescent="0.15">
      <x:c r="M442">
        <x:v>121311</x:v>
      </x:c>
      <x:c r="N442" t="s">
        <x:v>295</x:v>
      </x:c>
    </x:row>
    <x:row r="443" spans="13:14" x14ac:dyDescent="0.15">
      <x:c r="M443">
        <x:v>121312</x:v>
      </x:c>
    </x:row>
    <x:row r="444" spans="13:14" x14ac:dyDescent="0.15">
      <x:c r="M444">
        <x:v>121313</x:v>
      </x:c>
    </x:row>
    <x:row r="445" spans="13:14" x14ac:dyDescent="0.15">
      <x:c r="M445">
        <x:v>121314</x:v>
      </x:c>
      <x:c r="N445" t="s">
        <x:v>587</x:v>
      </x:c>
    </x:row>
    <x:row r="446" spans="13:14" x14ac:dyDescent="0.15">
      <x:c r="M446">
        <x:v>121315</x:v>
      </x:c>
      <x:c r="N446" t="s">
        <x:v>588</x:v>
      </x:c>
    </x:row>
    <x:row r="447" spans="13:14" x14ac:dyDescent="0.15">
      <x:c r="M447">
        <x:v>121316</x:v>
      </x:c>
      <x:c r="N447" t="s">
        <x:v>287</x:v>
      </x:c>
    </x:row>
    <x:row r="448" spans="13:14" x14ac:dyDescent="0.15">
      <x:c r="M448">
        <x:v>121317</x:v>
      </x:c>
      <x:c r="N448" t="s">
        <x:v>294</x:v>
      </x:c>
    </x:row>
    <x:row r="449" spans="13:14" x14ac:dyDescent="0.15">
      <x:c r="M449">
        <x:v>121318</x:v>
      </x:c>
      <x:c r="N449" t="s">
        <x:v>589</x:v>
      </x:c>
    </x:row>
    <x:row r="450" spans="13:14" x14ac:dyDescent="0.15">
      <x:c r="M450">
        <x:v>121319</x:v>
      </x:c>
      <x:c r="N450" t="s">
        <x:v>590</x:v>
      </x:c>
    </x:row>
    <x:row r="451" spans="13:14" x14ac:dyDescent="0.15">
      <x:c r="M451">
        <x:v>121320</x:v>
      </x:c>
      <x:c r="N451" t="s">
        <x:v>591</x:v>
      </x:c>
    </x:row>
    <x:row r="452" spans="13:14" x14ac:dyDescent="0.15">
      <x:c r="M452">
        <x:v>121321</x:v>
      </x:c>
      <x:c r="N452" t="s">
        <x:v>592</x:v>
      </x:c>
    </x:row>
    <x:row r="453" spans="13:14" x14ac:dyDescent="0.15">
      <x:c r="M453">
        <x:v>121322</x:v>
      </x:c>
      <x:c r="N453" t="s">
        <x:v>585</x:v>
      </x:c>
    </x:row>
    <x:row r="454" spans="13:14" x14ac:dyDescent="0.15">
      <x:c r="M454">
        <x:v>121323</x:v>
      </x:c>
      <x:c r="N454" t="s">
        <x:v>593</x:v>
      </x:c>
    </x:row>
    <x:row r="455" spans="13:14" x14ac:dyDescent="0.15">
      <x:c r="M455">
        <x:v>121324</x:v>
      </x:c>
      <x:c r="N455" t="s">
        <x:v>594</x:v>
      </x:c>
    </x:row>
    <x:row r="456" spans="13:14" x14ac:dyDescent="0.15">
      <x:c r="M456">
        <x:v>121325</x:v>
      </x:c>
      <x:c r="N456" t="s">
        <x:v>595</x:v>
      </x:c>
    </x:row>
    <x:row r="457" spans="13:14" x14ac:dyDescent="0.15">
      <x:c r="M457">
        <x:v>121326</x:v>
      </x:c>
      <x:c r="N457" t="s">
        <x:v>290</x:v>
      </x:c>
    </x:row>
    <x:row r="458" spans="13:14" x14ac:dyDescent="0.15">
      <x:c r="M458">
        <x:v>121327</x:v>
      </x:c>
      <x:c r="N458" t="s">
        <x:v>296</x:v>
      </x:c>
    </x:row>
    <x:row r="459" spans="13:14" x14ac:dyDescent="0.15">
      <x:c r="M459">
        <x:v>121328</x:v>
      </x:c>
      <x:c r="N459" t="s">
        <x:v>227</x:v>
      </x:c>
    </x:row>
    <x:row r="460" spans="13:14" x14ac:dyDescent="0.15">
      <x:c r="M460">
        <x:v>1111001</x:v>
      </x:c>
      <x:c r="N460" t="s">
        <x:v>212</x:v>
      </x:c>
    </x:row>
    <x:row r="461" spans="13:14" x14ac:dyDescent="0.15">
      <x:c r="M461">
        <x:v>1111002</x:v>
      </x:c>
      <x:c r="N461" t="s">
        <x:v>213</x:v>
      </x:c>
    </x:row>
    <x:row r="462" spans="13:14" x14ac:dyDescent="0.15">
      <x:c r="M462">
        <x:v>1111003</x:v>
      </x:c>
      <x:c r="N462" t="s">
        <x:v>214</x:v>
      </x:c>
    </x:row>
    <x:row r="463" spans="13:14" x14ac:dyDescent="0.15">
      <x:c r="M463">
        <x:v>1111004</x:v>
      </x:c>
      <x:c r="N463" t="s">
        <x:v>215</x:v>
      </x:c>
    </x:row>
    <x:row r="464" spans="13:14" x14ac:dyDescent="0.15">
      <x:c r="M464">
        <x:v>1111005</x:v>
      </x:c>
      <x:c r="N464" t="s">
        <x:v>216</x:v>
      </x:c>
    </x:row>
    <x:row r="465" spans="13:14" x14ac:dyDescent="0.15">
      <x:c r="M465">
        <x:v>1111006</x:v>
      </x:c>
      <x:c r="N465" t="s">
        <x:v>217</x:v>
      </x:c>
    </x:row>
    <x:row r="466" spans="13:14" x14ac:dyDescent="0.15">
      <x:c r="M466">
        <x:v>1111007</x:v>
      </x:c>
      <x:c r="N466" t="s">
        <x:v>218</x:v>
      </x:c>
    </x:row>
    <x:row r="467" spans="13:14" x14ac:dyDescent="0.15">
      <x:c r="M467">
        <x:v>1111008</x:v>
      </x:c>
      <x:c r="N467" t="s">
        <x:v>219</x:v>
      </x:c>
    </x:row>
    <x:row r="468" spans="13:14" x14ac:dyDescent="0.15">
      <x:c r="M468">
        <x:v>1111009</x:v>
      </x:c>
      <x:c r="N468" t="s">
        <x:v>220</x:v>
      </x:c>
    </x:row>
    <x:row r="469" spans="13:14" x14ac:dyDescent="0.15">
      <x:c r="M469">
        <x:v>1111010</x:v>
      </x:c>
      <x:c r="N469" t="s">
        <x:v>221</x:v>
      </x:c>
    </x:row>
    <x:row r="470" spans="13:14" x14ac:dyDescent="0.15">
      <x:c r="M470">
        <x:v>1111011</x:v>
      </x:c>
      <x:c r="N470" t="s">
        <x:v>107</x:v>
      </x:c>
    </x:row>
    <x:row r="471" spans="13:14" x14ac:dyDescent="0.15">
      <x:c r="M471">
        <x:v>1111012</x:v>
      </x:c>
      <x:c r="N471" t="s">
        <x:v>121</x:v>
      </x:c>
    </x:row>
    <x:row r="472" spans="13:14" x14ac:dyDescent="0.15">
      <x:c r="M472">
        <x:v>1111013</x:v>
      </x:c>
      <x:c r="N472" t="s">
        <x:v>222</x:v>
      </x:c>
    </x:row>
    <x:row r="473" spans="13:14" x14ac:dyDescent="0.15">
      <x:c r="M473">
        <x:v>1111014</x:v>
      </x:c>
      <x:c r="N473" t="s">
        <x:v>223</x:v>
      </x:c>
    </x:row>
    <x:row r="474" spans="13:14" x14ac:dyDescent="0.15">
      <x:c r="M474">
        <x:v>1111015</x:v>
      </x:c>
      <x:c r="N474" t="s">
        <x:v>124</x:v>
      </x:c>
    </x:row>
    <x:row r="475" spans="13:14" x14ac:dyDescent="0.15">
      <x:c r="M475">
        <x:v>1111016</x:v>
      </x:c>
      <x:c r="N475" t="s">
        <x:v>224</x:v>
      </x:c>
    </x:row>
    <x:row r="476" spans="13:14" x14ac:dyDescent="0.15">
      <x:c r="M476">
        <x:v>1111018</x:v>
      </x:c>
      <x:c r="N476" t="s">
        <x:v>226</x:v>
      </x:c>
    </x:row>
    <x:row r="477" spans="13:14" x14ac:dyDescent="0.15">
      <x:c r="M477">
        <x:v>1112001</x:v>
      </x:c>
      <x:c r="N477" t="s">
        <x:v>227</x:v>
      </x:c>
    </x:row>
    <x:row r="478" spans="13:14" x14ac:dyDescent="0.15">
      <x:c r="M478">
        <x:v>1112002</x:v>
      </x:c>
      <x:c r="N478" t="s">
        <x:v>228</x:v>
      </x:c>
    </x:row>
    <x:row r="479" spans="13:14" x14ac:dyDescent="0.15">
      <x:c r="M479">
        <x:v>1112003</x:v>
      </x:c>
      <x:c r="N479" t="s">
        <x:v>229</x:v>
      </x:c>
    </x:row>
    <x:row r="480" spans="13:14" x14ac:dyDescent="0.15">
      <x:c r="M480">
        <x:v>1112004</x:v>
      </x:c>
      <x:c r="N480" t="s">
        <x:v>230</x:v>
      </x:c>
    </x:row>
    <x:row r="481" spans="13:14" x14ac:dyDescent="0.15">
      <x:c r="M481">
        <x:v>1112005</x:v>
      </x:c>
      <x:c r="N481" t="s">
        <x:v>231</x:v>
      </x:c>
    </x:row>
    <x:row r="482" spans="13:14" x14ac:dyDescent="0.15">
      <x:c r="M482">
        <x:v>1112006</x:v>
      </x:c>
      <x:c r="N482" t="s">
        <x:v>232</x:v>
      </x:c>
    </x:row>
    <x:row r="483" spans="13:14" x14ac:dyDescent="0.15">
      <x:c r="M483">
        <x:v>1112007</x:v>
      </x:c>
      <x:c r="N483" t="s">
        <x:v>233</x:v>
      </x:c>
    </x:row>
    <x:row r="484" spans="13:14" x14ac:dyDescent="0.15">
      <x:c r="M484">
        <x:v>1112008</x:v>
      </x:c>
      <x:c r="N484" t="s">
        <x:v>234</x:v>
      </x:c>
    </x:row>
    <x:row r="485" spans="13:14" x14ac:dyDescent="0.15">
      <x:c r="M485">
        <x:v>1112009</x:v>
      </x:c>
      <x:c r="N485" t="s">
        <x:v>235</x:v>
      </x:c>
    </x:row>
    <x:row r="486" spans="13:14" x14ac:dyDescent="0.15">
      <x:c r="M486">
        <x:v>1112010</x:v>
      </x:c>
      <x:c r="N486" t="s">
        <x:v>236</x:v>
      </x:c>
    </x:row>
    <x:row r="487" spans="13:14" x14ac:dyDescent="0.15">
      <x:c r="M487">
        <x:v>1112011</x:v>
      </x:c>
      <x:c r="N487" t="s">
        <x:v>237</x:v>
      </x:c>
    </x:row>
    <x:row r="488" spans="13:14" x14ac:dyDescent="0.15">
      <x:c r="M488">
        <x:v>1112012</x:v>
      </x:c>
      <x:c r="N488" t="s">
        <x:v>238</x:v>
      </x:c>
    </x:row>
    <x:row r="489" spans="13:14" x14ac:dyDescent="0.15">
      <x:c r="M489">
        <x:v>1112013</x:v>
      </x:c>
      <x:c r="N489" t="s">
        <x:v>139</x:v>
      </x:c>
    </x:row>
    <x:row r="490" spans="13:14" x14ac:dyDescent="0.15">
      <x:c r="M490">
        <x:v>1112014</x:v>
      </x:c>
      <x:c r="N490" t="s">
        <x:v>133</x:v>
      </x:c>
    </x:row>
    <x:row r="491" spans="13:14" x14ac:dyDescent="0.15">
      <x:c r="M491">
        <x:v>1112015</x:v>
      </x:c>
      <x:c r="N491" t="s">
        <x:v>127</x:v>
      </x:c>
    </x:row>
    <x:row r="492" spans="13:14" x14ac:dyDescent="0.15">
      <x:c r="M492">
        <x:v>1112016</x:v>
      </x:c>
      <x:c r="N492" t="s">
        <x:v>136</x:v>
      </x:c>
    </x:row>
    <x:row r="493" spans="13:14" x14ac:dyDescent="0.15">
      <x:c r="M493">
        <x:v>1112017</x:v>
      </x:c>
      <x:c r="N493" t="s">
        <x:v>239</x:v>
      </x:c>
    </x:row>
    <x:row r="494" spans="13:14" x14ac:dyDescent="0.15">
      <x:c r="M494">
        <x:v>1112018</x:v>
      </x:c>
      <x:c r="N494" t="s">
        <x:v>240</x:v>
      </x:c>
    </x:row>
    <x:row r="495" spans="13:14" x14ac:dyDescent="0.15">
      <x:c r="M495">
        <x:v>1112019</x:v>
      </x:c>
      <x:c r="N495" t="s">
        <x:v>241</x:v>
      </x:c>
    </x:row>
    <x:row r="496" spans="13:14" x14ac:dyDescent="0.15">
      <x:c r="M496">
        <x:v>1112020</x:v>
      </x:c>
      <x:c r="N496" t="s">
        <x:v>242</x:v>
      </x:c>
    </x:row>
    <x:row r="497" spans="13:14" x14ac:dyDescent="0.15">
      <x:c r="M497">
        <x:v>1112021</x:v>
      </x:c>
      <x:c r="N497" t="s">
        <x:v>243</x:v>
      </x:c>
    </x:row>
    <x:row r="498" spans="13:14" x14ac:dyDescent="0.15">
      <x:c r="M498">
        <x:v>1112022</x:v>
      </x:c>
      <x:c r="N498" t="s">
        <x:v>244</x:v>
      </x:c>
    </x:row>
    <x:row r="499" spans="13:14" x14ac:dyDescent="0.15">
      <x:c r="M499">
        <x:v>1112023</x:v>
      </x:c>
      <x:c r="N499" t="s">
        <x:v>245</x:v>
      </x:c>
    </x:row>
    <x:row r="500" spans="13:14" x14ac:dyDescent="0.15">
      <x:c r="M500">
        <x:v>1112024</x:v>
      </x:c>
      <x:c r="N500" t="s">
        <x:v>246</x:v>
      </x:c>
    </x:row>
    <x:row r="501" spans="13:14" x14ac:dyDescent="0.15">
      <x:c r="M501">
        <x:v>1112025</x:v>
      </x:c>
      <x:c r="N501" t="s">
        <x:v>247</x:v>
      </x:c>
    </x:row>
    <x:row r="502" spans="13:14" x14ac:dyDescent="0.15">
      <x:c r="M502">
        <x:v>1112026</x:v>
      </x:c>
      <x:c r="N502" t="s">
        <x:v>248</x:v>
      </x:c>
    </x:row>
    <x:row r="503" spans="13:14" x14ac:dyDescent="0.15">
      <x:c r="M503">
        <x:v>1112027</x:v>
      </x:c>
      <x:c r="N503" t="s">
        <x:v>249</x:v>
      </x:c>
    </x:row>
    <x:row r="504" spans="13:14" x14ac:dyDescent="0.15">
      <x:c r="M504">
        <x:v>1112028</x:v>
      </x:c>
      <x:c r="N504" t="s">
        <x:v>250</x:v>
      </x:c>
    </x:row>
    <x:row r="505" spans="13:14" x14ac:dyDescent="0.15">
      <x:c r="M505">
        <x:v>1112029</x:v>
      </x:c>
      <x:c r="N505" t="s">
        <x:v>251</x:v>
      </x:c>
    </x:row>
    <x:row r="506" spans="13:14" x14ac:dyDescent="0.15">
      <x:c r="M506">
        <x:v>1113001</x:v>
      </x:c>
      <x:c r="N506" t="s">
        <x:v>143</x:v>
      </x:c>
    </x:row>
    <x:row r="507" spans="13:14" x14ac:dyDescent="0.15">
      <x:c r="M507">
        <x:v>1113002</x:v>
      </x:c>
      <x:c r="N507" t="s">
        <x:v>252</x:v>
      </x:c>
    </x:row>
    <x:row r="508" spans="13:14" x14ac:dyDescent="0.15">
      <x:c r="M508">
        <x:v>1113003</x:v>
      </x:c>
      <x:c r="N508" t="s">
        <x:v>253</x:v>
      </x:c>
    </x:row>
    <x:row r="509" spans="13:14" x14ac:dyDescent="0.15">
      <x:c r="M509">
        <x:v>1113004</x:v>
      </x:c>
      <x:c r="N509" t="s">
        <x:v>254</x:v>
      </x:c>
    </x:row>
    <x:row r="510" spans="13:14" x14ac:dyDescent="0.15">
      <x:c r="M510">
        <x:v>1113005</x:v>
      </x:c>
      <x:c r="N510" t="s">
        <x:v>255</x:v>
      </x:c>
    </x:row>
    <x:row r="511" spans="13:14" x14ac:dyDescent="0.15">
      <x:c r="M511">
        <x:v>1113006</x:v>
      </x:c>
      <x:c r="N511" t="s">
        <x:v>256</x:v>
      </x:c>
    </x:row>
    <x:row r="512" spans="13:14" x14ac:dyDescent="0.15">
      <x:c r="M512">
        <x:v>1113007</x:v>
      </x:c>
      <x:c r="N512" t="s">
        <x:v>257</x:v>
      </x:c>
    </x:row>
    <x:row r="513" spans="13:14" x14ac:dyDescent="0.15">
      <x:c r="M513">
        <x:v>1113008</x:v>
      </x:c>
      <x:c r="N513" t="s">
        <x:v>258</x:v>
      </x:c>
    </x:row>
    <x:row r="514" spans="13:14" x14ac:dyDescent="0.15">
      <x:c r="M514">
        <x:v>1113009</x:v>
      </x:c>
      <x:c r="N514" t="s">
        <x:v>259</x:v>
      </x:c>
    </x:row>
    <x:row r="515" spans="13:14" x14ac:dyDescent="0.15">
      <x:c r="M515">
        <x:v>1113010</x:v>
      </x:c>
      <x:c r="N515" t="s">
        <x:v>260</x:v>
      </x:c>
    </x:row>
    <x:row r="516" spans="13:14" x14ac:dyDescent="0.15">
      <x:c r="M516">
        <x:v>1113011</x:v>
      </x:c>
      <x:c r="N516" t="s">
        <x:v>261</x:v>
      </x:c>
    </x:row>
    <x:row r="517" spans="13:14" x14ac:dyDescent="0.15">
      <x:c r="M517">
        <x:v>11113011</x:v>
      </x:c>
      <x:c r="N517" t="s">
        <x:v>127</x:v>
      </x:c>
    </x:row>
    <x:row r="518" spans="13:14" x14ac:dyDescent="0.15">
      <x:c r="M518">
        <x:v>1114001</x:v>
      </x:c>
      <x:c r="N518" t="s">
        <x:v>596</x:v>
      </x:c>
    </x:row>
    <x:row r="519" spans="13:14" x14ac:dyDescent="0.15">
      <x:c r="M519">
        <x:v>11113005</x:v>
      </x:c>
      <x:c r="N519" t="s">
        <x:v>255</x:v>
      </x:c>
    </x:row>
    <x:row r="520" spans="13:14" x14ac:dyDescent="0.15">
      <x:c r="M520">
        <x:v>1113012</x:v>
      </x:c>
      <x:c r="N520" t="s">
        <x:v>262</x:v>
      </x:c>
    </x:row>
    <x:row r="521" spans="13:14" x14ac:dyDescent="0.15">
      <x:c r="M521">
        <x:v>1113013</x:v>
      </x:c>
      <x:c r="N521" t="s">
        <x:v>263</x:v>
      </x:c>
    </x:row>
    <x:row r="522" spans="13:14" x14ac:dyDescent="0.15">
      <x:c r="M522">
        <x:v>1113014</x:v>
      </x:c>
      <x:c r="N522" t="s">
        <x:v>264</x:v>
      </x:c>
    </x:row>
    <x:row r="523" spans="13:14" x14ac:dyDescent="0.15">
      <x:c r="M523">
        <x:v>1113015</x:v>
      </x:c>
      <x:c r="N523" t="s">
        <x:v>265</x:v>
      </x:c>
    </x:row>
    <x:row r="524" spans="13:14" x14ac:dyDescent="0.15">
      <x:c r="M524">
        <x:v>1113016</x:v>
      </x:c>
      <x:c r="N524" t="s">
        <x:v>266</x:v>
      </x:c>
    </x:row>
    <x:row r="525" spans="13:14" x14ac:dyDescent="0.15">
      <x:c r="M525">
        <x:v>1113017</x:v>
      </x:c>
      <x:c r="N525" t="s">
        <x:v>267</x:v>
      </x:c>
    </x:row>
    <x:row r="526" spans="13:14" x14ac:dyDescent="0.15">
      <x:c r="M526">
        <x:v>11113017</x:v>
      </x:c>
      <x:c r="N526" t="s">
        <x:v>267</x:v>
      </x:c>
    </x:row>
    <x:row r="527" spans="13:14" x14ac:dyDescent="0.15">
      <x:c r="M527">
        <x:v>1113018</x:v>
      </x:c>
      <x:c r="N527" t="s">
        <x:v>268</x:v>
      </x:c>
    </x:row>
    <x:row r="528" spans="13:14" x14ac:dyDescent="0.15">
      <x:c r="M528">
        <x:v>1113019</x:v>
      </x:c>
      <x:c r="N528" t="s">
        <x:v>269</x:v>
      </x:c>
    </x:row>
    <x:row r="529" spans="13:14" x14ac:dyDescent="0.15">
      <x:c r="M529">
        <x:v>1113020</x:v>
      </x:c>
      <x:c r="N529" t="s">
        <x:v>270</x:v>
      </x:c>
    </x:row>
    <x:row r="530" spans="13:14" x14ac:dyDescent="0.15">
      <x:c r="M530">
        <x:v>1113021</x:v>
      </x:c>
      <x:c r="N530" t="s">
        <x:v>271</x:v>
      </x:c>
    </x:row>
    <x:row r="531" spans="13:14" x14ac:dyDescent="0.15">
      <x:c r="M531">
        <x:v>1113022</x:v>
      </x:c>
      <x:c r="N531" t="s">
        <x:v>272</x:v>
      </x:c>
    </x:row>
    <x:row r="532" spans="13:14" x14ac:dyDescent="0.15">
      <x:c r="M532">
        <x:v>1113023</x:v>
      </x:c>
      <x:c r="N532" t="s">
        <x:v>273</x:v>
      </x:c>
    </x:row>
    <x:row r="533" spans="13:14" x14ac:dyDescent="0.15">
      <x:c r="M533">
        <x:v>1113024</x:v>
      </x:c>
      <x:c r="N533" t="s">
        <x:v>274</x:v>
      </x:c>
    </x:row>
    <x:row r="534" spans="13:14" x14ac:dyDescent="0.15">
      <x:c r="M534">
        <x:v>1113025</x:v>
      </x:c>
      <x:c r="N534" t="s">
        <x:v>275</x:v>
      </x:c>
    </x:row>
    <x:row r="535" spans="13:14" x14ac:dyDescent="0.15">
      <x:c r="M535">
        <x:v>1113026</x:v>
      </x:c>
      <x:c r="N535" t="s">
        <x:v>276</x:v>
      </x:c>
    </x:row>
    <x:row r="536" spans="13:14" x14ac:dyDescent="0.15">
      <x:c r="M536">
        <x:v>1113027</x:v>
      </x:c>
      <x:c r="N536" t="s">
        <x:v>277</x:v>
      </x:c>
    </x:row>
    <x:row r="537" spans="13:14" x14ac:dyDescent="0.15">
      <x:c r="M537">
        <x:v>1113028</x:v>
      </x:c>
      <x:c r="N537" t="s">
        <x:v>278</x:v>
      </x:c>
    </x:row>
    <x:row r="538" spans="13:14" x14ac:dyDescent="0.15">
      <x:c r="M538">
        <x:v>1113029</x:v>
      </x:c>
      <x:c r="N538" t="s">
        <x:v>279</x:v>
      </x:c>
    </x:row>
    <x:row r="539" spans="13:14" x14ac:dyDescent="0.15">
      <x:c r="M539">
        <x:v>1113030</x:v>
      </x:c>
      <x:c r="N539" t="s">
        <x:v>280</x:v>
      </x:c>
    </x:row>
    <x:row r="540" spans="13:14" x14ac:dyDescent="0.15">
      <x:c r="M540">
        <x:v>1113031</x:v>
      </x:c>
      <x:c r="N540" t="s">
        <x:v>281</x:v>
      </x:c>
    </x:row>
    <x:row r="541" spans="13:14" x14ac:dyDescent="0.15">
      <x:c r="M541">
        <x:v>1113032</x:v>
      </x:c>
      <x:c r="N541" t="s">
        <x:v>282</x:v>
      </x:c>
    </x:row>
    <x:row r="542" spans="13:14" x14ac:dyDescent="0.15">
      <x:c r="M542">
        <x:v>1113033</x:v>
      </x:c>
      <x:c r="N542" t="s">
        <x:v>283</x:v>
      </x:c>
    </x:row>
    <x:row r="543" spans="13:14" x14ac:dyDescent="0.15">
      <x:c r="M543">
        <x:v>1113039</x:v>
      </x:c>
      <x:c r="N543" t="s">
        <x:v>289</x:v>
      </x:c>
    </x:row>
    <x:row r="544" spans="13:14" x14ac:dyDescent="0.15">
      <x:c r="M544">
        <x:v>1113041</x:v>
      </x:c>
      <x:c r="N544" t="s">
        <x:v>291</x:v>
      </x:c>
    </x:row>
    <x:row r="545" spans="13:14" x14ac:dyDescent="0.15">
      <x:c r="M545">
        <x:v>1113037</x:v>
      </x:c>
      <x:c r="N545" t="s">
        <x:v>287</x:v>
      </x:c>
    </x:row>
    <x:row r="546" spans="13:14" x14ac:dyDescent="0.15">
      <x:c r="M546">
        <x:v>1113043</x:v>
      </x:c>
      <x:c r="N546" t="s">
        <x:v>293</x:v>
      </x:c>
    </x:row>
    <x:row r="547" spans="13:14" x14ac:dyDescent="0.15">
      <x:c r="M547">
        <x:v>1113035</x:v>
      </x:c>
      <x:c r="N547" t="s">
        <x:v>285</x:v>
      </x:c>
    </x:row>
    <x:row r="548" spans="13:14" x14ac:dyDescent="0.15">
      <x:c r="M548">
        <x:v>1113036</x:v>
      </x:c>
      <x:c r="N548" t="s">
        <x:v>286</x:v>
      </x:c>
    </x:row>
    <x:row r="549" spans="13:14" x14ac:dyDescent="0.15">
      <x:c r="M549">
        <x:v>1113038</x:v>
      </x:c>
      <x:c r="N549" t="s">
        <x:v>288</x:v>
      </x:c>
    </x:row>
    <x:row r="550" spans="13:14" x14ac:dyDescent="0.15">
      <x:c r="M550">
        <x:v>1113044</x:v>
      </x:c>
      <x:c r="N550" t="s">
        <x:v>294</x:v>
      </x:c>
    </x:row>
    <x:row r="551" spans="13:14" x14ac:dyDescent="0.15">
      <x:c r="M551">
        <x:v>1113045</x:v>
      </x:c>
      <x:c r="N551" t="s">
        <x:v>295</x:v>
      </x:c>
    </x:row>
    <x:row r="552" spans="13:14" x14ac:dyDescent="0.15">
      <x:c r="M552">
        <x:v>1113046</x:v>
      </x:c>
      <x:c r="N552" t="s">
        <x:v>296</x:v>
      </x:c>
    </x:row>
    <x:row r="553" spans="13:14" x14ac:dyDescent="0.15">
      <x:c r="M553">
        <x:v>1113040</x:v>
      </x:c>
      <x:c r="N553" t="s">
        <x:v>290</x:v>
      </x:c>
    </x:row>
    <x:row r="554" spans="13:14" x14ac:dyDescent="0.15">
      <x:c r="M554">
        <x:v>11113045</x:v>
      </x:c>
      <x:c r="N554" t="s">
        <x:v>597</x:v>
      </x:c>
    </x:row>
    <x:row r="555" spans="13:14" x14ac:dyDescent="0.15">
      <x:c r="M555">
        <x:v>1113054</x:v>
      </x:c>
      <x:c r="N555" t="s">
        <x:v>298</x:v>
      </x:c>
    </x:row>
    <x:row r="556" spans="13:14" x14ac:dyDescent="0.15">
      <x:c r="M556">
        <x:v>1113055</x:v>
      </x:c>
      <x:c r="N556" t="s">
        <x:v>305</x:v>
      </x:c>
    </x:row>
    <x:row r="557" spans="13:14" x14ac:dyDescent="0.15">
      <x:c r="M557">
        <x:v>1113056</x:v>
      </x:c>
      <x:c r="N557" t="s">
        <x:v>306</x:v>
      </x:c>
    </x:row>
    <x:row r="558" spans="13:14" x14ac:dyDescent="0.15">
      <x:c r="M558">
        <x:v>1113057</x:v>
      </x:c>
      <x:c r="N558" t="s">
        <x:v>307</x:v>
      </x:c>
    </x:row>
    <x:row r="559" spans="13:14" x14ac:dyDescent="0.15">
      <x:c r="M559">
        <x:v>1113058</x:v>
      </x:c>
      <x:c r="N559" t="s">
        <x:v>298</x:v>
      </x:c>
    </x:row>
    <x:row r="560" spans="13:14" x14ac:dyDescent="0.15">
      <x:c r="M560">
        <x:v>1113059</x:v>
      </x:c>
      <x:c r="N560" t="s">
        <x:v>308</x:v>
      </x:c>
    </x:row>
    <x:row r="561" spans="13:14" x14ac:dyDescent="0.15">
      <x:c r="M561">
        <x:v>1113060</x:v>
      </x:c>
      <x:c r="N561" t="s">
        <x:v>309</x:v>
      </x:c>
    </x:row>
    <x:row r="562" spans="13:14" x14ac:dyDescent="0.15">
      <x:c r="M562">
        <x:v>1113061</x:v>
      </x:c>
      <x:c r="N562" t="s">
        <x:v>310</x:v>
      </x:c>
    </x:row>
    <x:row r="563" spans="13:14" x14ac:dyDescent="0.15">
      <x:c r="M563">
        <x:v>1113062</x:v>
      </x:c>
      <x:c r="N563" t="s">
        <x:v>311</x:v>
      </x:c>
    </x:row>
    <x:row r="564" spans="13:14" x14ac:dyDescent="0.15">
      <x:c r="M564">
        <x:v>1113063</x:v>
      </x:c>
      <x:c r="N564" t="s">
        <x:v>251</x:v>
      </x:c>
    </x:row>
    <x:row r="565" spans="13:14" x14ac:dyDescent="0.15">
      <x:c r="M565">
        <x:v>1113064</x:v>
      </x:c>
      <x:c r="N565" t="s">
        <x:v>312</x:v>
      </x:c>
    </x:row>
    <x:row r="566" spans="13:14" x14ac:dyDescent="0.15">
      <x:c r="M566">
        <x:v>1113065</x:v>
      </x:c>
      <x:c r="N566" t="s">
        <x:v>313</x:v>
      </x:c>
    </x:row>
    <x:row r="567" spans="13:14" x14ac:dyDescent="0.15">
      <x:c r="M567">
        <x:v>1113066</x:v>
      </x:c>
      <x:c r="N567" t="s">
        <x:v>314</x:v>
      </x:c>
    </x:row>
    <x:row r="568" spans="13:14" x14ac:dyDescent="0.15">
      <x:c r="M568">
        <x:v>1113067</x:v>
      </x:c>
      <x:c r="N568" t="s">
        <x:v>315</x:v>
      </x:c>
    </x:row>
    <x:row r="569" spans="13:14" x14ac:dyDescent="0.15">
      <x:c r="M569">
        <x:v>1113068</x:v>
      </x:c>
      <x:c r="N569" t="s">
        <x:v>316</x:v>
      </x:c>
    </x:row>
    <x:row r="570" spans="13:14" x14ac:dyDescent="0.15">
      <x:c r="M570">
        <x:v>1113069</x:v>
      </x:c>
      <x:c r="N570" t="s">
        <x:v>317</x:v>
      </x:c>
    </x:row>
    <x:row r="571" spans="13:14" x14ac:dyDescent="0.15">
      <x:c r="M571">
        <x:v>1113070</x:v>
      </x:c>
      <x:c r="N571" t="s">
        <x:v>318</x:v>
      </x:c>
    </x:row>
    <x:row r="572" spans="13:14" x14ac:dyDescent="0.15">
      <x:c r="M572">
        <x:v>1113071</x:v>
      </x:c>
      <x:c r="N572" t="s">
        <x:v>59</x:v>
      </x:c>
    </x:row>
    <x:row r="573" spans="13:14" x14ac:dyDescent="0.15">
      <x:c r="M573">
        <x:v>1113072</x:v>
      </x:c>
      <x:c r="N573" t="s">
        <x:v>319</x:v>
      </x:c>
    </x:row>
    <x:row r="574" spans="13:14" x14ac:dyDescent="0.15">
      <x:c r="M574">
        <x:v>1113073</x:v>
      </x:c>
      <x:c r="N574" t="s">
        <x:v>320</x:v>
      </x:c>
    </x:row>
    <x:row r="575" spans="13:14" x14ac:dyDescent="0.15">
      <x:c r="M575">
        <x:v>1113074</x:v>
      </x:c>
    </x:row>
    <x:row r="576" spans="13:14" x14ac:dyDescent="0.15">
      <x:c r="M576">
        <x:v>1113075</x:v>
      </x:c>
      <x:c r="N576" t="s">
        <x:v>93</x:v>
      </x:c>
    </x:row>
    <x:row r="577" spans="13:14" x14ac:dyDescent="0.15">
      <x:c r="M577">
        <x:v>1113076</x:v>
      </x:c>
      <x:c r="N577" t="s">
        <x:v>321</x:v>
      </x:c>
    </x:row>
    <x:row r="578" spans="13:14" x14ac:dyDescent="0.15">
      <x:c r="M578">
        <x:v>1113077</x:v>
      </x:c>
      <x:c r="N578" t="s">
        <x:v>93</x:v>
      </x:c>
    </x:row>
    <x:row r="579" spans="13:14" x14ac:dyDescent="0.15">
      <x:c r="M579">
        <x:v>1113078</x:v>
      </x:c>
      <x:c r="N579" t="s">
        <x:v>63</x:v>
      </x:c>
    </x:row>
    <x:row r="580" spans="13:14" x14ac:dyDescent="0.15">
      <x:c r="M580">
        <x:v>1113079</x:v>
      </x:c>
      <x:c r="N580" t="s">
        <x:v>322</x:v>
      </x:c>
    </x:row>
    <x:row r="581" spans="13:14" x14ac:dyDescent="0.15">
      <x:c r="M581">
        <x:v>1113080</x:v>
      </x:c>
      <x:c r="N581" t="s">
        <x:v>323</x:v>
      </x:c>
    </x:row>
    <x:row r="582" spans="13:14" x14ac:dyDescent="0.15">
      <x:c r="M582">
        <x:v>1113081</x:v>
      </x:c>
      <x:c r="N582" t="s">
        <x:v>324</x:v>
      </x:c>
    </x:row>
    <x:row r="583" spans="13:14" x14ac:dyDescent="0.15">
      <x:c r="M583">
        <x:v>1113082</x:v>
      </x:c>
      <x:c r="N583" t="s">
        <x:v>325</x:v>
      </x:c>
    </x:row>
    <x:row r="584" spans="13:14" x14ac:dyDescent="0.15">
      <x:c r="M584">
        <x:v>1113083</x:v>
      </x:c>
      <x:c r="N584" t="s">
        <x:v>66</x:v>
      </x:c>
    </x:row>
    <x:row r="585" spans="13:14" x14ac:dyDescent="0.15">
      <x:c r="M585">
        <x:v>1113084</x:v>
      </x:c>
      <x:c r="N585" t="s">
        <x:v>54</x:v>
      </x:c>
    </x:row>
    <x:row r="586" spans="13:14" x14ac:dyDescent="0.15">
      <x:c r="M586">
        <x:v>1113085</x:v>
      </x:c>
      <x:c r="N586" t="s">
        <x:v>729</x:v>
      </x:c>
    </x:row>
    <x:row r="587" spans="13:14" x14ac:dyDescent="0.15">
      <x:c r="M587">
        <x:v>1113086</x:v>
      </x:c>
      <x:c r="N587" t="s">
        <x:v>730</x:v>
      </x:c>
    </x:row>
    <x:row r="588" spans="13:14" x14ac:dyDescent="0.15">
      <x:c r="M588">
        <x:v>1113087</x:v>
      </x:c>
      <x:c r="N588" t="s">
        <x:v>731</x:v>
      </x:c>
    </x:row>
    <x:row r="589" spans="13:14" x14ac:dyDescent="0.15">
      <x:c r="M589">
        <x:v>9981201</x:v>
      </x:c>
      <x:c r="N589" t="s">
        <x:v>139</x:v>
      </x:c>
    </x:row>
    <x:row r="590" spans="13:14" x14ac:dyDescent="0.15">
      <x:c r="M590">
        <x:v>3000001</x:v>
      </x:c>
      <x:c r="N590" t="s">
        <x:v>291</x:v>
      </x:c>
    </x:row>
    <x:row r="591" spans="13:14" x14ac:dyDescent="0.15">
      <x:c r="M591">
        <x:v>3000002</x:v>
      </x:c>
      <x:c r="N591" t="s">
        <x:v>525</x:v>
      </x:c>
    </x:row>
    <x:row r="592" spans="13:14" x14ac:dyDescent="0.15">
      <x:c r="M592">
        <x:v>3000003</x:v>
      </x:c>
      <x:c r="N592" t="s">
        <x:v>515</x:v>
      </x:c>
    </x:row>
    <x:row r="593" spans="13:14" x14ac:dyDescent="0.15">
      <x:c r="M593">
        <x:v>3000004</x:v>
      </x:c>
      <x:c r="N593" t="s">
        <x:v>516</x:v>
      </x:c>
    </x:row>
    <x:row r="594" spans="13:14" x14ac:dyDescent="0.15">
      <x:c r="M594">
        <x:v>3000005</x:v>
      </x:c>
      <x:c r="N594" t="s">
        <x:v>421</x:v>
      </x:c>
    </x:row>
    <x:row r="595" spans="13:14" x14ac:dyDescent="0.15">
      <x:c r="M595">
        <x:v>4000001</x:v>
      </x:c>
      <x:c r="N595" t="s">
        <x:v>598</x:v>
      </x:c>
    </x:row>
    <x:row r="596" spans="13:14" x14ac:dyDescent="0.15">
      <x:c r="M596">
        <x:v>4000002</x:v>
      </x:c>
      <x:c r="N596" t="s">
        <x:v>599</x:v>
      </x:c>
    </x:row>
    <x:row r="597" spans="13:14" x14ac:dyDescent="0.15">
      <x:c r="M597">
        <x:v>4000003</x:v>
      </x:c>
      <x:c r="N597" t="s">
        <x:v>600</x:v>
      </x:c>
    </x:row>
    <x:row r="598" spans="13:14" x14ac:dyDescent="0.15">
      <x:c r="M598">
        <x:v>4000004</x:v>
      </x:c>
      <x:c r="N598" t="s">
        <x:v>601</x:v>
      </x:c>
    </x:row>
    <x:row r="599" spans="13:14" x14ac:dyDescent="0.15">
      <x:c r="M599">
        <x:v>4000005</x:v>
      </x:c>
      <x:c r="N599" t="s">
        <x:v>602</x:v>
      </x:c>
    </x:row>
    <x:row r="600" spans="13:14" x14ac:dyDescent="0.15">
      <x:c r="M600">
        <x:v>4000006</x:v>
      </x:c>
      <x:c r="N600" t="s">
        <x:v>603</x:v>
      </x:c>
    </x:row>
    <x:row r="601" spans="13:14" x14ac:dyDescent="0.15">
      <x:c r="M601">
        <x:v>4000007</x:v>
      </x:c>
      <x:c r="N601" t="s">
        <x:v>604</x:v>
      </x:c>
    </x:row>
    <x:row r="602" spans="13:14" x14ac:dyDescent="0.15">
      <x:c r="M602">
        <x:v>4000008</x:v>
      </x:c>
      <x:c r="N602" t="s">
        <x:v>605</x:v>
      </x:c>
    </x:row>
    <x:row r="603" spans="13:14" x14ac:dyDescent="0.15">
      <x:c r="M603">
        <x:v>4000009</x:v>
      </x:c>
      <x:c r="N603" t="s">
        <x:v>606</x:v>
      </x:c>
    </x:row>
    <x:row r="604" spans="13:14" x14ac:dyDescent="0.15">
      <x:c r="M604">
        <x:v>4000010</x:v>
      </x:c>
      <x:c r="N604" t="s">
        <x:v>607</x:v>
      </x:c>
    </x:row>
    <x:row r="605" spans="13:14" x14ac:dyDescent="0.15">
      <x:c r="M605">
        <x:v>4000011</x:v>
      </x:c>
    </x:row>
    <x:row r="606" spans="13:14" x14ac:dyDescent="0.15">
      <x:c r="M606">
        <x:v>4000012</x:v>
      </x:c>
      <x:c r="N606" t="s">
        <x:v>608</x:v>
      </x:c>
    </x:row>
    <x:row r="607" spans="13:14" x14ac:dyDescent="0.15">
      <x:c r="M607">
        <x:v>4000013</x:v>
      </x:c>
      <x:c r="N607" t="s">
        <x:v>609</x:v>
      </x:c>
    </x:row>
    <x:row r="608" spans="13:14" x14ac:dyDescent="0.15">
      <x:c r="M608">
        <x:v>4000014</x:v>
      </x:c>
    </x:row>
    <x:row r="609" spans="13:14" x14ac:dyDescent="0.15">
      <x:c r="M609">
        <x:v>4000015</x:v>
      </x:c>
    </x:row>
    <x:row r="610" spans="13:14" x14ac:dyDescent="0.15">
      <x:c r="M610">
        <x:v>4000016</x:v>
      </x:c>
    </x:row>
    <x:row r="611" spans="13:14" x14ac:dyDescent="0.15">
      <x:c r="M611">
        <x:v>4000017</x:v>
      </x:c>
    </x:row>
    <x:row r="612" spans="13:14" x14ac:dyDescent="0.15">
      <x:c r="M612">
        <x:v>4000018</x:v>
      </x:c>
    </x:row>
    <x:row r="613" spans="13:14" x14ac:dyDescent="0.15">
      <x:c r="M613">
        <x:v>4000019</x:v>
      </x:c>
    </x:row>
    <x:row r="614" spans="13:14" x14ac:dyDescent="0.15">
      <x:c r="M614">
        <x:v>4000020</x:v>
      </x:c>
      <x:c r="N614" t="s">
        <x:v>610</x:v>
      </x:c>
    </x:row>
    <x:row r="615" spans="13:14" x14ac:dyDescent="0.15">
      <x:c r="M615">
        <x:v>4000021</x:v>
      </x:c>
      <x:c r="N615" t="s">
        <x:v>611</x:v>
      </x:c>
    </x:row>
    <x:row r="616" spans="13:14" x14ac:dyDescent="0.15">
      <x:c r="M616">
        <x:v>4000022</x:v>
      </x:c>
    </x:row>
    <x:row r="617" spans="13:14" x14ac:dyDescent="0.15">
      <x:c r="M617">
        <x:v>4000023</x:v>
      </x:c>
      <x:c r="N617" t="s">
        <x:v>612</x:v>
      </x:c>
    </x:row>
    <x:row r="618" spans="13:14" x14ac:dyDescent="0.15">
      <x:c r="M618">
        <x:v>4000024</x:v>
      </x:c>
      <x:c r="N618" t="s">
        <x:v>613</x:v>
      </x:c>
    </x:row>
    <x:row r="619" spans="13:14" x14ac:dyDescent="0.15">
      <x:c r="M619">
        <x:v>4000025</x:v>
      </x:c>
      <x:c r="N619" t="s">
        <x:v>614</x:v>
      </x:c>
    </x:row>
    <x:row r="620" spans="13:14" x14ac:dyDescent="0.15">
      <x:c r="M620">
        <x:v>4000026</x:v>
      </x:c>
      <x:c r="N620" t="s">
        <x:v>615</x:v>
      </x:c>
    </x:row>
    <x:row r="621" spans="13:14" x14ac:dyDescent="0.15">
      <x:c r="M621">
        <x:v>4000027</x:v>
      </x:c>
      <x:c r="N621" t="s">
        <x:v>616</x:v>
      </x:c>
    </x:row>
    <x:row r="622" spans="13:14" x14ac:dyDescent="0.15">
      <x:c r="M622">
        <x:v>4000028</x:v>
      </x:c>
    </x:row>
    <x:row r="623" spans="13:14" x14ac:dyDescent="0.15">
      <x:c r="M623">
        <x:v>4000029</x:v>
      </x:c>
    </x:row>
    <x:row r="624" spans="13:14" x14ac:dyDescent="0.15">
      <x:c r="M624">
        <x:v>4000030</x:v>
      </x:c>
      <x:c r="N624" t="s">
        <x:v>617</x:v>
      </x:c>
    </x:row>
    <x:row r="625" spans="13:14" x14ac:dyDescent="0.15">
      <x:c r="M625">
        <x:v>4000031</x:v>
      </x:c>
      <x:c r="N625" t="s">
        <x:v>618</x:v>
      </x:c>
    </x:row>
    <x:row r="626" spans="13:14" x14ac:dyDescent="0.15">
      <x:c r="M626">
        <x:v>4000032</x:v>
      </x:c>
      <x:c r="N626" t="s">
        <x:v>619</x:v>
      </x:c>
    </x:row>
    <x:row r="627" spans="13:14" x14ac:dyDescent="0.15">
      <x:c r="M627">
        <x:v>4000033</x:v>
      </x:c>
      <x:c r="N627" t="s">
        <x:v>620</x:v>
      </x:c>
    </x:row>
    <x:row r="628" spans="13:14" x14ac:dyDescent="0.15">
      <x:c r="M628">
        <x:v>4000034</x:v>
      </x:c>
      <x:c r="N628" t="s">
        <x:v>621</x:v>
      </x:c>
    </x:row>
    <x:row r="629" spans="13:14" x14ac:dyDescent="0.15">
      <x:c r="M629">
        <x:v>4000035</x:v>
      </x:c>
      <x:c r="N629" t="s">
        <x:v>622</x:v>
      </x:c>
    </x:row>
    <x:row r="630" spans="13:14" x14ac:dyDescent="0.15">
      <x:c r="M630">
        <x:v>4000036</x:v>
      </x:c>
      <x:c r="N630" t="s">
        <x:v>623</x:v>
      </x:c>
    </x:row>
    <x:row r="631" spans="13:14" x14ac:dyDescent="0.15">
      <x:c r="M631">
        <x:v>4000037</x:v>
      </x:c>
      <x:c r="N631" t="s">
        <x:v>624</x:v>
      </x:c>
    </x:row>
    <x:row r="632" spans="13:14" x14ac:dyDescent="0.15">
      <x:c r="M632">
        <x:v>4000038</x:v>
      </x:c>
      <x:c r="N632" t="s">
        <x:v>625</x:v>
      </x:c>
    </x:row>
    <x:row r="633" spans="13:14" x14ac:dyDescent="0.15">
      <x:c r="M633">
        <x:v>4000039</x:v>
      </x:c>
      <x:c r="N633" t="s">
        <x:v>626</x:v>
      </x:c>
    </x:row>
    <x:row r="634" spans="13:14" x14ac:dyDescent="0.15">
      <x:c r="M634">
        <x:v>4000040</x:v>
      </x:c>
      <x:c r="N634" t="s">
        <x:v>627</x:v>
      </x:c>
    </x:row>
    <x:row r="635" spans="13:14" x14ac:dyDescent="0.15">
      <x:c r="M635">
        <x:v>4000041</x:v>
      </x:c>
      <x:c r="N635" t="s">
        <x:v>628</x:v>
      </x:c>
    </x:row>
    <x:row r="636" spans="13:14" x14ac:dyDescent="0.15">
      <x:c r="M636">
        <x:v>4000042</x:v>
      </x:c>
      <x:c r="N636" t="s">
        <x:v>629</x:v>
      </x:c>
    </x:row>
    <x:row r="637" spans="13:14" x14ac:dyDescent="0.15">
      <x:c r="M637">
        <x:v>4000043</x:v>
      </x:c>
      <x:c r="N637" t="s">
        <x:v>630</x:v>
      </x:c>
    </x:row>
    <x:row r="638" spans="13:14" x14ac:dyDescent="0.15">
      <x:c r="M638">
        <x:v>4000044</x:v>
      </x:c>
      <x:c r="N638" t="s">
        <x:v>631</x:v>
      </x:c>
    </x:row>
    <x:row r="639" spans="13:14" x14ac:dyDescent="0.15">
      <x:c r="M639">
        <x:v>4000045</x:v>
      </x:c>
      <x:c r="N639" t="s">
        <x:v>510</x:v>
      </x:c>
    </x:row>
    <x:row r="640" spans="13:14" x14ac:dyDescent="0.15">
      <x:c r="M640">
        <x:v>4000046</x:v>
      </x:c>
      <x:c r="N640" t="s">
        <x:v>514</x:v>
      </x:c>
    </x:row>
    <x:row r="641" spans="13:14" x14ac:dyDescent="0.15">
      <x:c r="M641">
        <x:v>4000047</x:v>
      </x:c>
      <x:c r="N641" t="s">
        <x:v>514</x:v>
      </x:c>
    </x:row>
    <x:row r="642" spans="13:14" x14ac:dyDescent="0.15">
      <x:c r="M642">
        <x:v>4000048</x:v>
      </x:c>
      <x:c r="N642" t="s">
        <x:v>513</x:v>
      </x:c>
    </x:row>
    <x:row r="643" spans="13:14" x14ac:dyDescent="0.15">
      <x:c r="M643">
        <x:v>4000049</x:v>
      </x:c>
      <x:c r="N643" t="s">
        <x:v>511</x:v>
      </x:c>
    </x:row>
    <x:row r="644" spans="13:14" x14ac:dyDescent="0.15">
      <x:c r="M644">
        <x:v>4000050</x:v>
      </x:c>
      <x:c r="N644" t="s">
        <x:v>632</x:v>
      </x:c>
    </x:row>
    <x:row r="645" spans="13:14" x14ac:dyDescent="0.15">
      <x:c r="M645">
        <x:v>4000051</x:v>
      </x:c>
      <x:c r="N645" t="s">
        <x:v>633</x:v>
      </x:c>
    </x:row>
    <x:row r="646" spans="13:14" x14ac:dyDescent="0.15">
      <x:c r="M646">
        <x:v>4000052</x:v>
      </x:c>
      <x:c r="N646" t="s">
        <x:v>538</x:v>
      </x:c>
    </x:row>
    <x:row r="647" spans="13:14" x14ac:dyDescent="0.15">
      <x:c r="M647">
        <x:v>4000053</x:v>
      </x:c>
      <x:c r="N647" t="s">
        <x:v>634</x:v>
      </x:c>
    </x:row>
    <x:row r="648" spans="13:14" x14ac:dyDescent="0.15">
      <x:c r="M648">
        <x:v>4000054</x:v>
      </x:c>
      <x:c r="N648" t="s">
        <x:v>635</x:v>
      </x:c>
    </x:row>
    <x:row r="649" spans="13:14" x14ac:dyDescent="0.15">
      <x:c r="M649">
        <x:v>4000056</x:v>
      </x:c>
      <x:c r="N649" t="s">
        <x:v>537</x:v>
      </x:c>
    </x:row>
    <x:row r="650" spans="13:14" x14ac:dyDescent="0.15">
      <x:c r="M650">
        <x:v>4000057</x:v>
      </x:c>
      <x:c r="N650" t="s">
        <x:v>539</x:v>
      </x:c>
    </x:row>
    <x:row r="651" spans="13:14" x14ac:dyDescent="0.15">
      <x:c r="M651">
        <x:v>4000058</x:v>
      </x:c>
      <x:c r="N651" t="s">
        <x:v>251</x:v>
      </x:c>
    </x:row>
    <x:row r="652" spans="13:14" x14ac:dyDescent="0.15">
      <x:c r="M652">
        <x:v>4000059</x:v>
      </x:c>
      <x:c r="N652" t="s">
        <x:v>526</x:v>
      </x:c>
    </x:row>
    <x:row r="653" spans="13:14" x14ac:dyDescent="0.15">
      <x:c r="M653">
        <x:v>4000060</x:v>
      </x:c>
      <x:c r="N653" t="s">
        <x:v>529</x:v>
      </x:c>
    </x:row>
    <x:row r="654" spans="13:14" x14ac:dyDescent="0.15">
      <x:c r="M654">
        <x:v>4000061</x:v>
      </x:c>
      <x:c r="N654" t="s">
        <x:v>543</x:v>
      </x:c>
    </x:row>
    <x:row r="655" spans="13:14" x14ac:dyDescent="0.15">
      <x:c r="M655">
        <x:v>4000062</x:v>
      </x:c>
      <x:c r="N655" t="s">
        <x:v>527</x:v>
      </x:c>
    </x:row>
    <x:row r="656" spans="13:14" x14ac:dyDescent="0.15">
      <x:c r="M656">
        <x:v>4000063</x:v>
      </x:c>
      <x:c r="N656" t="s">
        <x:v>544</x:v>
      </x:c>
    </x:row>
    <x:row r="657" spans="13:14" x14ac:dyDescent="0.15">
      <x:c r="M657">
        <x:v>4000064</x:v>
      </x:c>
      <x:c r="N657" t="s">
        <x:v>545</x:v>
      </x:c>
    </x:row>
    <x:row r="658" spans="13:14" x14ac:dyDescent="0.15">
      <x:c r="M658">
        <x:v>4000065</x:v>
      </x:c>
      <x:c r="N658" t="s">
        <x:v>546</x:v>
      </x:c>
    </x:row>
    <x:row r="659" spans="13:14" x14ac:dyDescent="0.15">
      <x:c r="M659">
        <x:v>4000066</x:v>
      </x:c>
      <x:c r="N659" t="s">
        <x:v>547</x:v>
      </x:c>
    </x:row>
    <x:row r="660" spans="13:14" x14ac:dyDescent="0.15">
      <x:c r="M660">
        <x:v>4000067</x:v>
      </x:c>
      <x:c r="N660" t="s">
        <x:v>551</x:v>
      </x:c>
    </x:row>
    <x:row r="661" spans="13:14" x14ac:dyDescent="0.15">
      <x:c r="M661">
        <x:v>4000068</x:v>
      </x:c>
      <x:c r="N661" t="s">
        <x:v>307</x:v>
      </x:c>
    </x:row>
    <x:row r="662" spans="13:14" x14ac:dyDescent="0.15">
      <x:c r="M662">
        <x:v>5000001</x:v>
      </x:c>
      <x:c r="N662" t="s">
        <x:v>333</x:v>
      </x:c>
    </x:row>
    <x:row r="663" spans="13:14" x14ac:dyDescent="0.15">
      <x:c r="M663">
        <x:v>5000002</x:v>
      </x:c>
      <x:c r="N663" t="s">
        <x:v>334</x:v>
      </x:c>
    </x:row>
    <x:row r="664" spans="13:14" x14ac:dyDescent="0.15">
      <x:c r="M664">
        <x:v>5000003</x:v>
      </x:c>
      <x:c r="N664" t="s">
        <x:v>390</x:v>
      </x:c>
    </x:row>
    <x:row r="665" spans="13:14" x14ac:dyDescent="0.15">
      <x:c r="M665">
        <x:v>5000004</x:v>
      </x:c>
      <x:c r="N665" t="s">
        <x:v>213</x:v>
      </x:c>
    </x:row>
    <x:row r="666" spans="13:14" x14ac:dyDescent="0.15">
      <x:c r="M666">
        <x:v>5000005</x:v>
      </x:c>
      <x:c r="N666" t="s">
        <x:v>335</x:v>
      </x:c>
    </x:row>
    <x:row r="667" spans="13:14" x14ac:dyDescent="0.15">
      <x:c r="M667">
        <x:v>5000006</x:v>
      </x:c>
      <x:c r="N667" t="s">
        <x:v>271</x:v>
      </x:c>
    </x:row>
    <x:row r="668" spans="13:14" x14ac:dyDescent="0.15">
      <x:c r="M668">
        <x:v>5000007</x:v>
      </x:c>
      <x:c r="N668" t="s">
        <x:v>270</x:v>
      </x:c>
    </x:row>
    <x:row r="669" spans="13:14" x14ac:dyDescent="0.15">
      <x:c r="M669">
        <x:v>5000008</x:v>
      </x:c>
      <x:c r="N669" t="s">
        <x:v>99</x:v>
      </x:c>
    </x:row>
    <x:row r="670" spans="13:14" x14ac:dyDescent="0.15">
      <x:c r="M670">
        <x:v>5000009</x:v>
      </x:c>
      <x:c r="N670" t="s">
        <x:v>351</x:v>
      </x:c>
    </x:row>
    <x:row r="671" spans="13:14" x14ac:dyDescent="0.15">
      <x:c r="M671">
        <x:v>5000010</x:v>
      </x:c>
      <x:c r="N671" t="s">
        <x:v>339</x:v>
      </x:c>
    </x:row>
    <x:row r="672" spans="13:14" x14ac:dyDescent="0.15">
      <x:c r="M672">
        <x:v>5000011</x:v>
      </x:c>
      <x:c r="N672" t="s">
        <x:v>340</x:v>
      </x:c>
    </x:row>
    <x:row r="673" spans="13:14" x14ac:dyDescent="0.15">
      <x:c r="M673">
        <x:v>5000012</x:v>
      </x:c>
      <x:c r="N673" t="s">
        <x:v>341</x:v>
      </x:c>
    </x:row>
    <x:row r="674" spans="13:14" x14ac:dyDescent="0.15">
      <x:c r="M674">
        <x:v>5000013</x:v>
      </x:c>
      <x:c r="N674" t="s">
        <x:v>343</x:v>
      </x:c>
    </x:row>
    <x:row r="675" spans="13:14" x14ac:dyDescent="0.15">
      <x:c r="M675">
        <x:v>5000014</x:v>
      </x:c>
      <x:c r="N675" t="s">
        <x:v>214</x:v>
      </x:c>
    </x:row>
    <x:row r="676" spans="13:14" x14ac:dyDescent="0.15">
      <x:c r="M676">
        <x:v>5000015</x:v>
      </x:c>
      <x:c r="N676" t="s">
        <x:v>342</x:v>
      </x:c>
    </x:row>
    <x:row r="677" spans="13:14" x14ac:dyDescent="0.15">
      <x:c r="M677">
        <x:v>5000016</x:v>
      </x:c>
      <x:c r="N677" t="s">
        <x:v>351</x:v>
      </x:c>
    </x:row>
    <x:row r="678" spans="13:14" x14ac:dyDescent="0.15">
      <x:c r="M678">
        <x:v>5000017</x:v>
      </x:c>
      <x:c r="N678" t="s">
        <x:v>351</x:v>
      </x:c>
    </x:row>
    <x:row r="679" spans="13:14" x14ac:dyDescent="0.15">
      <x:c r="M679">
        <x:v>5000018</x:v>
      </x:c>
      <x:c r="N679" t="s">
        <x:v>262</x:v>
      </x:c>
    </x:row>
    <x:row r="680" spans="13:14" x14ac:dyDescent="0.15">
      <x:c r="M680">
        <x:v>5000019</x:v>
      </x:c>
      <x:c r="N680" t="s">
        <x:v>369</x:v>
      </x:c>
    </x:row>
    <x:row r="681" spans="13:14" x14ac:dyDescent="0.15">
      <x:c r="M681">
        <x:v>5000020</x:v>
      </x:c>
      <x:c r="N681" t="s">
        <x:v>346</x:v>
      </x:c>
    </x:row>
    <x:row r="682" spans="13:14" x14ac:dyDescent="0.15">
      <x:c r="M682">
        <x:v>5000021</x:v>
      </x:c>
      <x:c r="N682" t="s">
        <x:v>347</x:v>
      </x:c>
    </x:row>
    <x:row r="683" spans="13:14" x14ac:dyDescent="0.15">
      <x:c r="M683">
        <x:v>5000022</x:v>
      </x:c>
      <x:c r="N683" t="s">
        <x:v>348</x:v>
      </x:c>
    </x:row>
    <x:row r="684" spans="13:14" x14ac:dyDescent="0.15">
      <x:c r="M684">
        <x:v>5000023</x:v>
      </x:c>
      <x:c r="N684" t="s">
        <x:v>349</x:v>
      </x:c>
    </x:row>
    <x:row r="685" spans="13:14" x14ac:dyDescent="0.15">
      <x:c r="M685">
        <x:v>5000024</x:v>
      </x:c>
      <x:c r="N685" t="s">
        <x:v>220</x:v>
      </x:c>
    </x:row>
    <x:row r="686" spans="13:14" x14ac:dyDescent="0.15">
      <x:c r="M686">
        <x:v>5000025</x:v>
      </x:c>
      <x:c r="N686" t="s">
        <x:v>221</x:v>
      </x:c>
    </x:row>
    <x:row r="687" spans="13:14" x14ac:dyDescent="0.15">
      <x:c r="M687">
        <x:v>5000026</x:v>
      </x:c>
      <x:c r="N687" t="s">
        <x:v>236</x:v>
      </x:c>
    </x:row>
    <x:row r="688" spans="13:14" x14ac:dyDescent="0.15">
      <x:c r="M688">
        <x:v>5000027</x:v>
      </x:c>
      <x:c r="N688" t="s">
        <x:v>272</x:v>
      </x:c>
    </x:row>
    <x:row r="689" spans="13:14" x14ac:dyDescent="0.15">
      <x:c r="M689">
        <x:v>5000028</x:v>
      </x:c>
      <x:c r="N689" t="s">
        <x:v>273</x:v>
      </x:c>
    </x:row>
    <x:row r="690" spans="13:14" x14ac:dyDescent="0.15">
      <x:c r="M690">
        <x:v>5000029</x:v>
      </x:c>
      <x:c r="N690" t="s">
        <x:v>342</x:v>
      </x:c>
    </x:row>
    <x:row r="691" spans="13:14" x14ac:dyDescent="0.15">
      <x:c r="M691">
        <x:v>5000030</x:v>
      </x:c>
      <x:c r="N691" t="s">
        <x:v>351</x:v>
      </x:c>
    </x:row>
    <x:row r="692" spans="13:14" x14ac:dyDescent="0.15">
      <x:c r="M692">
        <x:v>5000031</x:v>
      </x:c>
      <x:c r="N692" t="s">
        <x:v>351</x:v>
      </x:c>
    </x:row>
    <x:row r="693" spans="13:14" x14ac:dyDescent="0.15">
      <x:c r="M693">
        <x:v>5000032</x:v>
      </x:c>
      <x:c r="N693" t="s">
        <x:v>441</x:v>
      </x:c>
    </x:row>
    <x:row r="694" spans="13:14" x14ac:dyDescent="0.15">
      <x:c r="M694">
        <x:v>5000033</x:v>
      </x:c>
      <x:c r="N694" t="s">
        <x:v>255</x:v>
      </x:c>
    </x:row>
    <x:row r="695" spans="13:14" x14ac:dyDescent="0.15">
      <x:c r="M695">
        <x:v>5000034</x:v>
      </x:c>
      <x:c r="N695" t="s">
        <x:v>246</x:v>
      </x:c>
    </x:row>
    <x:row r="696" spans="13:14" x14ac:dyDescent="0.15">
      <x:c r="M696">
        <x:v>5000035</x:v>
      </x:c>
      <x:c r="N696" t="s">
        <x:v>247</x:v>
      </x:c>
    </x:row>
    <x:row r="697" spans="13:14" x14ac:dyDescent="0.15">
      <x:c r="M697">
        <x:v>5000036</x:v>
      </x:c>
      <x:c r="N697" t="s">
        <x:v>256</x:v>
      </x:c>
    </x:row>
    <x:row r="698" spans="13:14" x14ac:dyDescent="0.15">
      <x:c r="M698">
        <x:v>5000037</x:v>
      </x:c>
      <x:c r="N698" t="s">
        <x:v>342</x:v>
      </x:c>
    </x:row>
    <x:row r="699" spans="13:14" x14ac:dyDescent="0.15">
      <x:c r="M699">
        <x:v>5000038</x:v>
      </x:c>
      <x:c r="N699" t="s">
        <x:v>351</x:v>
      </x:c>
    </x:row>
    <x:row r="700" spans="13:14" x14ac:dyDescent="0.15">
      <x:c r="M700">
        <x:v>5000039</x:v>
      </x:c>
      <x:c r="N700" t="s">
        <x:v>351</x:v>
      </x:c>
    </x:row>
    <x:row r="701" spans="13:14" x14ac:dyDescent="0.15">
      <x:c r="M701">
        <x:v>5000040</x:v>
      </x:c>
      <x:c r="N701" t="s">
        <x:v>268</x:v>
      </x:c>
    </x:row>
    <x:row r="702" spans="13:14" x14ac:dyDescent="0.15">
      <x:c r="M702">
        <x:v>5000041</x:v>
      </x:c>
      <x:c r="N702" t="s">
        <x:v>259</x:v>
      </x:c>
    </x:row>
    <x:row r="703" spans="13:14" x14ac:dyDescent="0.15">
      <x:c r="M703">
        <x:v>5000042</x:v>
      </x:c>
      <x:c r="N703" t="s">
        <x:v>342</x:v>
      </x:c>
    </x:row>
    <x:row r="704" spans="13:14" x14ac:dyDescent="0.15">
      <x:c r="M704">
        <x:v>5000043</x:v>
      </x:c>
      <x:c r="N704" t="s">
        <x:v>351</x:v>
      </x:c>
    </x:row>
    <x:row r="705" spans="13:14" x14ac:dyDescent="0.15">
      <x:c r="M705">
        <x:v>5000044</x:v>
      </x:c>
      <x:c r="N705" t="s">
        <x:v>351</x:v>
      </x:c>
    </x:row>
    <x:row r="706" spans="13:14" x14ac:dyDescent="0.15">
      <x:c r="M706">
        <x:v>5000045</x:v>
      </x:c>
      <x:c r="N706" t="s">
        <x:v>115</x:v>
      </x:c>
    </x:row>
    <x:row r="707" spans="13:14" x14ac:dyDescent="0.15">
      <x:c r="M707">
        <x:v>5000046</x:v>
      </x:c>
      <x:c r="N707" t="s">
        <x:v>107</x:v>
      </x:c>
    </x:row>
    <x:row r="708" spans="13:14" x14ac:dyDescent="0.15">
      <x:c r="M708">
        <x:v>5000047</x:v>
      </x:c>
      <x:c r="N708" t="s">
        <x:v>136</x:v>
      </x:c>
    </x:row>
    <x:row r="709" spans="13:14" x14ac:dyDescent="0.15">
      <x:c r="M709">
        <x:v>5000048</x:v>
      </x:c>
      <x:c r="N709" t="s">
        <x:v>139</x:v>
      </x:c>
    </x:row>
    <x:row r="710" spans="13:14" x14ac:dyDescent="0.15">
      <x:c r="M710">
        <x:v>5000049</x:v>
      </x:c>
      <x:c r="N710" t="s">
        <x:v>133</x:v>
      </x:c>
    </x:row>
    <x:row r="711" spans="13:14" x14ac:dyDescent="0.15">
      <x:c r="M711">
        <x:v>5000050</x:v>
      </x:c>
      <x:c r="N711" t="s">
        <x:v>127</x:v>
      </x:c>
    </x:row>
    <x:row r="712" spans="13:14" x14ac:dyDescent="0.15">
      <x:c r="M712">
        <x:v>5000051</x:v>
      </x:c>
      <x:c r="N712" t="s">
        <x:v>143</x:v>
      </x:c>
    </x:row>
    <x:row r="713" spans="13:14" x14ac:dyDescent="0.15">
      <x:c r="M713">
        <x:v>5000052</x:v>
      </x:c>
      <x:c r="N713" t="s">
        <x:v>361</x:v>
      </x:c>
    </x:row>
    <x:row r="714" spans="13:14" x14ac:dyDescent="0.15">
      <x:c r="M714">
        <x:v>5000053</x:v>
      </x:c>
      <x:c r="N714" t="s">
        <x:v>342</x:v>
      </x:c>
    </x:row>
    <x:row r="715" spans="13:14" x14ac:dyDescent="0.15">
      <x:c r="M715">
        <x:v>5000054</x:v>
      </x:c>
      <x:c r="N715" t="s">
        <x:v>363</x:v>
      </x:c>
    </x:row>
    <x:row r="716" spans="13:14" x14ac:dyDescent="0.15">
      <x:c r="M716">
        <x:v>5000055</x:v>
      </x:c>
      <x:c r="N716" t="s">
        <x:v>364</x:v>
      </x:c>
    </x:row>
    <x:row r="717" spans="13:14" x14ac:dyDescent="0.15">
      <x:c r="M717">
        <x:v>5000056</x:v>
      </x:c>
      <x:c r="N717" t="s">
        <x:v>258</x:v>
      </x:c>
    </x:row>
    <x:row r="718" spans="13:14" x14ac:dyDescent="0.15">
      <x:c r="M718">
        <x:v>5000057</x:v>
      </x:c>
      <x:c r="N718" t="s">
        <x:v>351</x:v>
      </x:c>
    </x:row>
    <x:row r="719" spans="13:14" x14ac:dyDescent="0.15">
      <x:c r="M719">
        <x:v>5000058</x:v>
      </x:c>
      <x:c r="N719" t="s">
        <x:v>362</x:v>
      </x:c>
    </x:row>
    <x:row r="720" spans="13:14" x14ac:dyDescent="0.15">
      <x:c r="M720">
        <x:v>5000059</x:v>
      </x:c>
      <x:c r="N720" t="s">
        <x:v>363</x:v>
      </x:c>
    </x:row>
    <x:row r="721" spans="13:14" x14ac:dyDescent="0.15">
      <x:c r="M721">
        <x:v>5000060</x:v>
      </x:c>
      <x:c r="N721" t="s">
        <x:v>358</x:v>
      </x:c>
    </x:row>
    <x:row r="722" spans="13:14" x14ac:dyDescent="0.15">
      <x:c r="M722">
        <x:v>5000061</x:v>
      </x:c>
      <x:c r="N722" t="s">
        <x:v>359</x:v>
      </x:c>
    </x:row>
  </x:sheetData>
  <x:phoneticPr fontId="5" type="noConversion"/>
  <x:pageMargins left="0.75" right="0.75" top="1" bottom="1" header="0.5" footer="0.5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工作表</vt:lpstr>
      </vt:variant>
      <vt:variant>
        <vt:i4>5</vt:i4>
      </vt:variant>
    </vt:vector>
  </ap:HeadingPairs>
  <ap:TitlesOfParts>
    <vt:vector baseType="lpstr" size="5">
      <vt:lpstr>Sheet1</vt:lpstr>
      <vt:lpstr>第1期组合关</vt:lpstr>
      <vt:lpstr>怪立绘</vt:lpstr>
      <vt:lpstr>第2期组合关</vt:lpstr>
      <vt:lpstr>2期怪立绘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紫川 胡</cp:lastModifiedBy>
  <dcterms:created xsi:type="dcterms:W3CDTF">2023-02-13T13:06:00Z</dcterms:created>
  <dcterms:modified xsi:type="dcterms:W3CDTF">2024-03-21T06:20:22Z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C347394A24C84622B6F23401D48B8D8F</vt:lpwstr>
  </property>
  <property fmtid="{D5CDD505-2E9C-101B-9397-08002B2CF9AE}" pid="3" name="KSOProductBuildVer">
    <vt:lpwstr>2052-12.1.0.15120</vt:lpwstr>
  </property>
</Properties>
</file>