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07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44525"/>
</workbook>
</file>

<file path=xl/comments1.xml><?xml version="1.0" encoding="utf-8"?>
<comments xmlns="http://schemas.openxmlformats.org/spreadsheetml/2006/main">
  <authors>
    <author>tm-pc</author>
    <author>Administrator</author>
    <author>wangyufei</author>
  </authors>
  <commentList>
    <comment ref="E2" authorId="0">
      <text>
        <r>
          <rPr>
            <b/>
            <sz val="9"/>
            <rFont val="宋体"/>
            <charset val="134"/>
          </rPr>
          <t>tm-pc:</t>
        </r>
        <r>
          <rPr>
            <sz val="9"/>
            <rFont val="宋体"/>
            <charset val="134"/>
          </rPr>
          <t xml:space="preserve">
tm-pc:
1 无效
0 有效
无效船只，客户端不会处理，认为不存在
</t>
        </r>
      </text>
    </comment>
    <comment ref="F2" authorId="0">
      <text>
        <r>
          <rPr>
            <b/>
            <sz val="9"/>
            <rFont val="宋体"/>
            <charset val="134"/>
          </rPr>
          <t>tm-pc:</t>
        </r>
        <r>
          <rPr>
            <sz val="9"/>
            <rFont val="宋体"/>
            <charset val="134"/>
          </rPr>
          <t xml:space="preserve">
1 不可建造
0 可建造</t>
        </r>
      </text>
    </comment>
    <comment ref="P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等级1;等级2......</t>
        </r>
      </text>
    </comment>
    <comment ref="R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属性id,值;属性id,值;属性id,值......
属性id详见sheet2</t>
        </r>
      </text>
    </comment>
    <comment ref="V2" authorId="2">
      <text>
        <r>
          <rPr>
            <b/>
            <sz val="9"/>
            <rFont val="宋体"/>
            <charset val="134"/>
          </rPr>
          <t>wangyufei:</t>
        </r>
        <r>
          <rPr>
            <sz val="9"/>
            <rFont val="宋体"/>
            <charset val="134"/>
          </rPr>
          <t xml:space="preserve">
不能参与战斗类玩法，如海战，大航海等。</t>
        </r>
      </text>
    </comment>
  </commentList>
</comments>
</file>

<file path=xl/sharedStrings.xml><?xml version="1.0" encoding="utf-8"?>
<sst xmlns="http://schemas.openxmlformats.org/spreadsheetml/2006/main" count="537" uniqueCount="284">
  <si>
    <t>船Id</t>
  </si>
  <si>
    <t>船名</t>
  </si>
  <si>
    <t>模型ID</t>
  </si>
  <si>
    <t>船的icon</t>
  </si>
  <si>
    <t>是否有效</t>
  </si>
  <si>
    <t>是否可建造</t>
  </si>
  <si>
    <t>阶级</t>
  </si>
  <si>
    <t>船的Desc</t>
  </si>
  <si>
    <t>船的圆形icon偏移值</t>
  </si>
  <si>
    <t>船只类别</t>
  </si>
  <si>
    <t>公会战中半径</t>
  </si>
  <si>
    <t>公会战斗带的技能</t>
  </si>
  <si>
    <t>物品详情图标</t>
  </si>
  <si>
    <t>船的圆形icon缩放值</t>
  </si>
  <si>
    <t>技能槽解锁条件</t>
  </si>
  <si>
    <t>共鸣解锁条件</t>
  </si>
  <si>
    <t>大航海属性列表</t>
  </si>
  <si>
    <t>是否可分解</t>
  </si>
  <si>
    <t>分解物品</t>
  </si>
  <si>
    <t>分解消耗</t>
  </si>
  <si>
    <t>不可参与</t>
  </si>
  <si>
    <t>技能方案解锁道具</t>
  </si>
  <si>
    <t>码头背景</t>
  </si>
  <si>
    <t>贸易</t>
  </si>
  <si>
    <t>shipId</t>
  </si>
  <si>
    <t>shipName</t>
  </si>
  <si>
    <t>modelId</t>
  </si>
  <si>
    <t>shipIcon</t>
  </si>
  <si>
    <t>isValid</t>
  </si>
  <si>
    <t>canBuild</t>
  </si>
  <si>
    <t>itemSubLevel</t>
  </si>
  <si>
    <t>shipDesc</t>
  </si>
  <si>
    <t>iconOffsetX</t>
  </si>
  <si>
    <t>iconOffsetY</t>
  </si>
  <si>
    <t>shipRadius</t>
  </si>
  <si>
    <t>usfSkills</t>
  </si>
  <si>
    <t>itemInfoIcon</t>
  </si>
  <si>
    <t>iconScale</t>
  </si>
  <si>
    <t>skillUnlockCondition</t>
  </si>
  <si>
    <t>chorusUnlockCondition</t>
  </si>
  <si>
    <t>shipPropList</t>
  </si>
  <si>
    <t>sResolve</t>
  </si>
  <si>
    <t>resolveItem</t>
  </si>
  <si>
    <t>nojoin</t>
  </si>
  <si>
    <t>planUnlockCosts</t>
  </si>
  <si>
    <t>backdrop</t>
  </si>
  <si>
    <t>海军战舰</t>
  </si>
  <si>
    <t>string</t>
  </si>
  <si>
    <t>float</t>
  </si>
  <si>
    <t>int</t>
  </si>
  <si>
    <t>string(intern)</t>
  </si>
  <si>
    <t>array_string</t>
  </si>
  <si>
    <t>ShipTradeOffset</t>
  </si>
  <si>
    <t>ShipTradeEuler</t>
  </si>
  <si>
    <t>ShipTradeScale</t>
  </si>
  <si>
    <t>primary</t>
  </si>
  <si>
    <t>none</t>
  </si>
  <si>
    <t>shipType</t>
  </si>
  <si>
    <t>isResolve</t>
  </si>
  <si>
    <r>
      <rPr>
        <sz val="9.75"/>
        <color rgb="FF333333"/>
        <rFont val="Helvetica"/>
        <charset val="134"/>
      </rPr>
      <t>resolveCostItem</t>
    </r>
  </si>
  <si>
    <t>木船</t>
  </si>
  <si>
    <t>ship_icon_1</t>
  </si>
  <si>
    <t>ship_icon_1_1</t>
  </si>
  <si>
    <t>1,1;2,1;3,1;4,1;5,1;6,1;7,1;8,1;9,1</t>
  </si>
  <si>
    <t>0</t>
  </si>
  <si>
    <t>小木船</t>
  </si>
  <si>
    <t>黄金梅丽号</t>
  </si>
  <si>
    <t>ship_icon_3</t>
  </si>
  <si>
    <t>伴随草帽海盗团的成长，是草帽一伙形影不离、不可或缺的伙伴。</t>
  </si>
  <si>
    <t>1010101</t>
  </si>
  <si>
    <t>ship_icon_3_1</t>
  </si>
  <si>
    <t>4</t>
  </si>
  <si>
    <t>1,2;2,3;3,4;4,13;5,3;6,1;7,2;8,4;9,4</t>
  </si>
  <si>
    <t>1</t>
  </si>
  <si>
    <t>1001,931023,10</t>
  </si>
  <si>
    <t>5,0,10000</t>
  </si>
  <si>
    <t>-7.98,1.34,-34.74</t>
  </si>
  <si>
    <t>黑色战士号</t>
  </si>
  <si>
    <t>ship_icon_4</t>
  </si>
  <si>
    <t>黑猫海盗团的船，标志就是船头的黑猫，是船长克洛的标志。</t>
  </si>
  <si>
    <t>1030101,1030201</t>
  </si>
  <si>
    <t>ship_icon_4_1</t>
  </si>
  <si>
    <t>1,2;2,3;3,4;4,13;5,4;6,1;7,2;8,3;9,3</t>
  </si>
  <si>
    <t>海军军舰</t>
  </si>
  <si>
    <t>ship_icon_7</t>
  </si>
  <si>
    <t>标准的海军船。装备有和总部联络用的各种电话虫。</t>
  </si>
  <si>
    <t>1040101,1040201</t>
  </si>
  <si>
    <t>ship_icon_7_1</t>
  </si>
  <si>
    <t>1,5;2,2;3,2;4,13;5,3;6,4;7,4;8,1;9,2</t>
  </si>
  <si>
    <t>可爱小鸭号</t>
  </si>
  <si>
    <t>ship_icon_6</t>
  </si>
  <si>
    <t>船头是一只可爱的天鹅，船帆有“2”的标志，是Mr.2的船。</t>
  </si>
  <si>
    <t>1050101,1050201</t>
  </si>
  <si>
    <t>ship_icon_6_1</t>
  </si>
  <si>
    <t>1,3;2,2;3,4;4,13;5,3;6,1;7,4;8,4;9,2</t>
  </si>
  <si>
    <t>1001,931023,15;1001,931025,20</t>
  </si>
  <si>
    <t>5,0,300000</t>
  </si>
  <si>
    <t>千里阳光号</t>
  </si>
  <si>
    <t>ship_icon_10</t>
  </si>
  <si>
    <t>由宝树亚当制成的草帽一伙的海盗船！是穿越千里大海的梦想之船。</t>
  </si>
  <si>
    <t>1090101</t>
  </si>
  <si>
    <t>ship_icon_10_1</t>
  </si>
  <si>
    <t>千里·阳光号</t>
  </si>
  <si>
    <t>性感福克斯号</t>
  </si>
  <si>
    <t>ship_icon_5</t>
  </si>
  <si>
    <t>福克斯海盗团的船。船首和海盗旗、锁链等，都是醒目的狐狸标记。</t>
  </si>
  <si>
    <t>1020101</t>
  </si>
  <si>
    <t>ship_icon_5_1</t>
  </si>
  <si>
    <t>1,3;2,3;3,3;4,13;5,4;6,4;7,4;8,4;9,4</t>
  </si>
  <si>
    <t>黑胡子木筏</t>
  </si>
  <si>
    <t>ship_icon_9</t>
  </si>
  <si>
    <t>黑胡子一伙的标志性木筏。在四周都设有大炮。</t>
  </si>
  <si>
    <t>1070101,1070201</t>
  </si>
  <si>
    <t>ship_icon_9_1</t>
  </si>
  <si>
    <t>4;6</t>
  </si>
  <si>
    <t>1,5;2,2;3,2;4,14;5,5;6,2;7,3;8,4;9,4</t>
  </si>
  <si>
    <t>1001,931023,20;1001,931025,40</t>
  </si>
  <si>
    <t>5,0,1000000</t>
  </si>
  <si>
    <t>ship_icon_8</t>
  </si>
  <si>
    <t>为将目标全部粉碎的大型军舰。由海军总部中将担任指挥。</t>
  </si>
  <si>
    <t>1060101,1060201</t>
  </si>
  <si>
    <t>ship_icon_8_1</t>
  </si>
  <si>
    <t>1,2;2,3;3,4;4,14;5,5;6,2;7,3;8,5;9,5</t>
  </si>
  <si>
    <t>130008_name</t>
  </si>
  <si>
    <t>九蛇海盗船</t>
  </si>
  <si>
    <t>ship_icon_11</t>
  </si>
  <si>
    <t>汉库珂所率领的九蛇海盗团的船。船头设有毒蛇，保护轮船不受敌人攻击。</t>
  </si>
  <si>
    <t>1080101</t>
  </si>
  <si>
    <t>ship_icon_11_1</t>
  </si>
  <si>
    <t>4;6;9</t>
  </si>
  <si>
    <t>1,3;2,3;3,3;4,15;5,5;6,5;7,5;8,4;9,4</t>
  </si>
  <si>
    <t>1001,931023,80;1001,931025,160</t>
  </si>
  <si>
    <t>5,0,10000000</t>
  </si>
  <si>
    <t>雷德·佛斯号</t>
  </si>
  <si>
    <t>ship_icon_12</t>
  </si>
  <si>
    <t>航行在新世界的后半段，以龙形船首为特征的红发海盗团的船。</t>
  </si>
  <si>
    <t>1100101,1100201</t>
  </si>
  <si>
    <t>ship_icon_12_1</t>
  </si>
  <si>
    <t>1,2;2,3;3,4;4,15;5,5;6,6;7,4;8,8;9,5</t>
  </si>
  <si>
    <t>巴拉蒂</t>
  </si>
  <si>
    <t>ship_icon_13</t>
  </si>
  <si>
    <t>漂浮在“东海”上的巨大海上餐厅。除了餐厅以外，还设有宽敞的厨房和储藏间。</t>
  </si>
  <si>
    <t>1200101,1200102,1200103</t>
  </si>
  <si>
    <t>ship_icon_13_1</t>
  </si>
  <si>
    <t>1,2;2,3;3,4;4,15;5,6;6,8;7,4;8,6;9,4</t>
  </si>
  <si>
    <t>风·格拉玛号</t>
  </si>
  <si>
    <t>ship_icon_19</t>
  </si>
  <si>
    <t>在各地不断掀起叛乱的，龙率领武装组织的船。以漆黑船体和龙头船首为特征的母舰。</t>
  </si>
  <si>
    <t>1140101</t>
  </si>
  <si>
    <t>ship_icon_19_1</t>
  </si>
  <si>
    <t>1,3;2,3;3,3;4,15;5,5;6,4;7,4;8,5;9,5</t>
  </si>
  <si>
    <t>1001,931023,100;1001,931025,200</t>
  </si>
  <si>
    <t>5,0,20000000</t>
  </si>
  <si>
    <t>革命军船</t>
  </si>
  <si>
    <t>戈普的军舰</t>
  </si>
  <si>
    <t>ship_icon_15</t>
  </si>
  <si>
    <t>海军总部戈普的军舰。船首是只衔着骨头的狗。</t>
  </si>
  <si>
    <t>1120101,1120201,1120202</t>
  </si>
  <si>
    <t>ship_icon_15_1</t>
  </si>
  <si>
    <t>1,5;2,2;3,2;4,14;5,5;6,4;7,4;8,4;9,3</t>
  </si>
  <si>
    <t>太阳海盗船</t>
  </si>
  <si>
    <t>ship_icon_16</t>
  </si>
  <si>
    <t>船首是一只让人想到泰格的鲷鱼头。旗帜上的太阳刻印迎风飘扬。</t>
  </si>
  <si>
    <t>1110101,1110201</t>
  </si>
  <si>
    <t>ship_icon_16_1</t>
  </si>
  <si>
    <t>1,2;2,3;3,4;4,14;5,5;6,5;7,5;8,3;9,3</t>
  </si>
  <si>
    <t>极地潜水号</t>
  </si>
  <si>
    <t>ship_icon_17</t>
  </si>
  <si>
    <t>罗的潜水艇，拥有先进的医疗设备。</t>
  </si>
  <si>
    <t>ship_icon_17_1</t>
  </si>
  <si>
    <t>1,2;2,3;3,4;4,15;5,6;6,3;7,3;8,4;9,7</t>
  </si>
  <si>
    <t>1001,931023,50;1001,931025,100</t>
  </si>
  <si>
    <t>5,0,5000000</t>
  </si>
  <si>
    <t>潜水艇</t>
  </si>
  <si>
    <t>幽灵船</t>
  </si>
  <si>
    <t>ship_icon_18</t>
  </si>
  <si>
    <t>据说是会出没在“魔鬼三角地带”的海域中，载着死者的神秘船只。</t>
  </si>
  <si>
    <t>1150101,1150102</t>
  </si>
  <si>
    <t>ship_icon_18_1</t>
  </si>
  <si>
    <t>1,5;2,2;3,2;4,15;5,5;6,4;7,6;8,3;9,4</t>
  </si>
  <si>
    <t>黑桃海盗船</t>
  </si>
  <si>
    <t>ship_icon_20</t>
  </si>
  <si>
    <t>艾斯做船长时的海盗船！以黑桃为背景的骷髅图案为其海盗旗标志。</t>
  </si>
  <si>
    <t>1160101,1160102</t>
  </si>
  <si>
    <t>ship_icon_20_1</t>
  </si>
  <si>
    <t>1,2;2,3;3,4;4,15;5,5;6,6;7,4;8,5;9,8</t>
  </si>
  <si>
    <t>飞翔的荷兰人号</t>
  </si>
  <si>
    <t>ship_icon_21</t>
  </si>
  <si>
    <t>从数百年前开始就徘徊于海底的传说中的幽灵船。不过实际上是飞翔海盗团的船只。</t>
  </si>
  <si>
    <t>1180101</t>
  </si>
  <si>
    <t>ship_icon_21_1</t>
  </si>
  <si>
    <t>1,5;2,2;3,2;4,15;5,6;6,3;7,4;8,6;9,3</t>
  </si>
  <si>
    <t>莫比迪克号</t>
  </si>
  <si>
    <t>ship_icon_22</t>
  </si>
  <si>
    <t>以船长为首的全体船员无一例外都是猛者。同巨大的母船一起，创立了一个时代。</t>
  </si>
  <si>
    <t>1170101,1170102,1170104</t>
  </si>
  <si>
    <t>ship_icon_22_1</t>
  </si>
  <si>
    <t>1,2;2,3;3,4;4,15;5,6;6,3;7,3;8,7;9,4</t>
  </si>
  <si>
    <t>弗拉门戈号</t>
  </si>
  <si>
    <t>ship_icon_23</t>
  </si>
  <si>
    <t>多弗拉门戈的战船，火烈鸟般的外形承载着唐吉坷德家族的野心。</t>
  </si>
  <si>
    <t>1190101,1190102</t>
  </si>
  <si>
    <t>ship_icon_23_1</t>
  </si>
  <si>
    <t>1,5;2,2;3,2;4,15;5,6;6,4;7,7;8,3;9,3</t>
  </si>
  <si>
    <t>多弗拉门戈的船</t>
  </si>
  <si>
    <t>珠宝玛格丽塔号</t>
  </si>
  <si>
    <t>ship_icon_022</t>
  </si>
  <si>
    <t>ship_icon_022_1</t>
  </si>
  <si>
    <t>1,2;2,3;3,4;4,15;5,6;6,4;7,8;8,4;9,6</t>
  </si>
  <si>
    <t>珠宝玛格丽塔号（波妮）</t>
  </si>
  <si>
    <t>恶意狼号</t>
  </si>
  <si>
    <t>ship_icon_023</t>
  </si>
  <si>
    <t>霍金斯海盗团的战船，船首的稻草人昭示着船长的特殊能力。</t>
  </si>
  <si>
    <t>1220101,1220102</t>
  </si>
  <si>
    <t>ship_icon_023_1</t>
  </si>
  <si>
    <t>1,3;2,3;3,3;4,15;5,6;6,3;7,4;8,3;9,6</t>
  </si>
  <si>
    <t>恶意狼号（霍金斯）</t>
  </si>
  <si>
    <t>维多利亚朋克号</t>
  </si>
  <si>
    <t>ship_icon_024</t>
  </si>
  <si>
    <t>基德海盗团的战船，恐怖的造型和凶恶的作战风格让敌人闻风丧胆。</t>
  </si>
  <si>
    <t>1270101,1270102</t>
  </si>
  <si>
    <t>ship_icon_024_1</t>
  </si>
  <si>
    <t>1,3;2,2;3,4;4,15;5,6;6,4;7,5;8,6;9,4</t>
  </si>
  <si>
    <t>维多利亚朋克号（基德）</t>
  </si>
  <si>
    <t>Stay Tune号</t>
  </si>
  <si>
    <t>ship_icon_025</t>
  </si>
  <si>
    <t>ship_icon_025_1</t>
  </si>
  <si>
    <t>Stay Tune号（阿普）</t>
  </si>
  <si>
    <t>般城丸号</t>
  </si>
  <si>
    <t>ship_icon_026</t>
  </si>
  <si>
    <t>破戒僧海盗团的旗舰，船长“怪僧”乌尔基是十一名超新星之一。</t>
  </si>
  <si>
    <t>1280101,1280102</t>
  </si>
  <si>
    <t>ship_icon_026_1</t>
  </si>
  <si>
    <t>般城丸号（乌尔基）</t>
  </si>
  <si>
    <t>火焰坦克号</t>
  </si>
  <si>
    <t>ship_icon_027</t>
  </si>
  <si>
    <t>火焰坦克海贼团的旗舰，拥有超越一只军队的强悍火力。</t>
  </si>
  <si>
    <t>1290101,1290102</t>
  </si>
  <si>
    <t>ship_icon_027_1</t>
  </si>
  <si>
    <t>火焰坦克号（贝基）</t>
  </si>
  <si>
    <t>方舟箴言</t>
  </si>
  <si>
    <t>ship_icon_028</t>
  </si>
  <si>
    <t>艾尼路的黄金战船，也是唯一能翱翔于天际的战船。</t>
  </si>
  <si>
    <t>1230101,1230102,1230103</t>
  </si>
  <si>
    <t>ship_icon_028_1</t>
  </si>
  <si>
    <t>1,2;2,4;3,3;4,15;5,6;6,4;7,6;8,4;9,8</t>
  </si>
  <si>
    <t>女王妈妈吟唱者</t>
  </si>
  <si>
    <t>ship_icon_31</t>
  </si>
  <si>
    <t>BIG·MOM海盗团的旗舰，承载着BIG·MOM的荣耀横行于新世界。</t>
  </si>
  <si>
    <t>1240101,1240102,1240103</t>
  </si>
  <si>
    <t>ship_icon_31_1</t>
  </si>
  <si>
    <t>1,2;2,4;3,3;4,15;5,6;6,3;7,4;8,8;9,3</t>
  </si>
  <si>
    <t>女王·妈妈·吟唱者</t>
  </si>
  <si>
    <t>前进·路飞前辈号</t>
  </si>
  <si>
    <t>ship_icon_32</t>
  </si>
  <si>
    <t>前进路飞前辈号是巴尔托洛梅奥海贼团的海盗船，船长巴尔托洛梅奥是草帽海贼团的头号粉丝</t>
  </si>
  <si>
    <t>1250101,1250102,1250103,1250104</t>
  </si>
  <si>
    <t>ship_icon_32_1</t>
  </si>
  <si>
    <t>1,3;2,2;3,4;4,15;5,6;6,5;7,6;8,3;9,5</t>
  </si>
  <si>
    <t>米霍克的船</t>
  </si>
  <si>
    <t>ship_icon_33</t>
  </si>
  <si>
    <t>形如黑棺的船，鹰眼依靠这艘船横跨大海，独行天下。</t>
  </si>
  <si>
    <t>1260101,1260102,1260103</t>
  </si>
  <si>
    <t>ship_icon_33_1</t>
  </si>
  <si>
    <t>1,2;2,3;3,4;4,15;5,6;6,7;7,4;8,5;9,6</t>
  </si>
  <si>
    <t>白星</t>
  </si>
  <si>
    <t>ship_icon_34</t>
  </si>
  <si>
    <t>白星公主无法参与海战等战斗玩法，你可以在海之森找到她。</t>
  </si>
  <si>
    <t>ship_icon_34_1</t>
  </si>
  <si>
    <t>艾斯的皮艇</t>
  </si>
  <si>
    <t>ship_icon_35</t>
  </si>
  <si>
    <t>艾斯的皮艇，是他驰骋大海，追逐梦想的忠实伙伴。</t>
  </si>
  <si>
    <t>1300101,1300102,1300103</t>
  </si>
  <si>
    <t>ship_icon_35_1</t>
  </si>
  <si>
    <t>吉贝克之剑号</t>
  </si>
  <si>
    <t>ship_icon_36</t>
  </si>
  <si>
    <t>黑胡子海贼团的主力战舰，承载着黑胡子颠覆大海的野心，追逐着最极致的宝藏。</t>
  </si>
  <si>
    <t>1310101,1310102</t>
  </si>
  <si>
    <t>ship_icon_36_1</t>
  </si>
  <si>
    <t>大航海属性成长</t>
  </si>
  <si>
    <t>初始等级</t>
  </si>
  <si>
    <t>太阳海盗团</t>
  </si>
  <si>
    <t>雷德佛斯号</t>
  </si>
  <si>
    <t>弗兰姆.瑞兹号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</si>
</sst>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7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.75"/>
      <color rgb="FF333333"/>
      <name val="Helvetica"/>
      <charset val="134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7F6B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15" applyNumberFormat="0" applyAlignment="0" applyProtection="0">
      <alignment vertical="center"/>
    </xf>
    <xf numFmtId="0" fontId="14" fillId="7" borderId="16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8" borderId="17" applyNumberFormat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76" fontId="1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176" fontId="1" fillId="0" borderId="10" xfId="0" applyNumberFormat="1" applyFont="1" applyBorder="1" applyAlignment="1">
      <alignment horizontal="center" vertical="center"/>
    </xf>
    <xf numFmtId="176" fontId="1" fillId="0" borderId="1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3" borderId="0" xfId="0" applyFill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/>
    <xf numFmtId="0" fontId="0" fillId="0" borderId="0" xfId="0" applyFill="1" applyAlignment="1">
      <alignment vertical="center"/>
    </xf>
    <xf numFmtId="0" fontId="0" fillId="0" borderId="0" xfId="0" applyFont="1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0" fillId="4" borderId="0" xfId="0" applyFill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Font="1">
      <alignment vertical="center"/>
    </xf>
    <xf numFmtId="49" fontId="0" fillId="3" borderId="0" xfId="0" applyNumberFormat="1" applyFill="1">
      <alignment vertical="center"/>
    </xf>
    <xf numFmtId="49" fontId="3" fillId="0" borderId="0" xfId="0" applyNumberFormat="1" applyFont="1">
      <alignment vertical="center"/>
    </xf>
    <xf numFmtId="49" fontId="4" fillId="0" borderId="0" xfId="0" applyNumberFormat="1" applyFont="1">
      <alignment vertical="center"/>
    </xf>
    <xf numFmtId="49" fontId="3" fillId="3" borderId="0" xfId="0" applyNumberFormat="1" applyFont="1" applyFill="1">
      <alignment vertical="center"/>
    </xf>
    <xf numFmtId="49" fontId="0" fillId="3" borderId="0" xfId="0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7F6B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Administrator\Desktop\&#22823;&#33322;&#28023;&#25968;&#20540;&#35774;&#35745;%20-%2020010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标准设定"/>
      <sheetName val="战斗方案"/>
      <sheetName val="舰船系数"/>
      <sheetName val="标准战斗"/>
      <sheetName val="Sheet1"/>
      <sheetName val="基础属性配置"/>
      <sheetName val="怪物数据生成"/>
      <sheetName val="采集技能校验"/>
      <sheetName val="船只词条 (2)"/>
      <sheetName val="船只词条"/>
      <sheetName val="资源分配3"/>
      <sheetName val="任务代币"/>
      <sheetName val="改造材料产出"/>
      <sheetName val="商店兑换"/>
      <sheetName val="红包"/>
    </sheetNames>
    <sheetDataSet>
      <sheetData sheetId="0"/>
      <sheetData sheetId="1"/>
      <sheetData sheetId="2"/>
      <sheetData sheetId="3">
        <row r="13">
          <cell r="B13" t="str">
            <v>黄金梅丽号</v>
          </cell>
          <cell r="C13" t="str">
            <v>1级船</v>
          </cell>
          <cell r="D13" t="str">
            <v>采集</v>
          </cell>
          <cell r="E13">
            <v>0.9</v>
          </cell>
          <cell r="F13">
            <v>900</v>
          </cell>
          <cell r="G13">
            <v>270</v>
          </cell>
          <cell r="H13">
            <v>3780</v>
          </cell>
          <cell r="I13">
            <v>1080</v>
          </cell>
          <cell r="J13">
            <v>3900</v>
          </cell>
          <cell r="K13">
            <v>2200</v>
          </cell>
          <cell r="L13">
            <v>3900</v>
          </cell>
          <cell r="M13">
            <v>10000</v>
          </cell>
          <cell r="N13">
            <v>70</v>
          </cell>
          <cell r="O13">
            <v>40</v>
          </cell>
          <cell r="P13">
            <v>421</v>
          </cell>
        </row>
        <row r="14">
          <cell r="B14" t="str">
            <v>千里·阳光号</v>
          </cell>
          <cell r="C14" t="str">
            <v>3级船</v>
          </cell>
          <cell r="D14" t="str">
            <v>战斗</v>
          </cell>
          <cell r="E14">
            <v>1.2</v>
          </cell>
          <cell r="F14">
            <v>1200</v>
          </cell>
          <cell r="G14">
            <v>360</v>
          </cell>
          <cell r="H14">
            <v>5040</v>
          </cell>
          <cell r="I14">
            <v>1440</v>
          </cell>
          <cell r="J14">
            <v>3900</v>
          </cell>
          <cell r="K14">
            <v>2200</v>
          </cell>
          <cell r="L14">
            <v>3900</v>
          </cell>
          <cell r="M14">
            <v>10000</v>
          </cell>
          <cell r="N14">
            <v>94</v>
          </cell>
          <cell r="O14">
            <v>53</v>
          </cell>
          <cell r="P14">
            <v>562</v>
          </cell>
        </row>
        <row r="15">
          <cell r="B15" t="str">
            <v>海军战舰</v>
          </cell>
          <cell r="C15" t="str">
            <v>5级船</v>
          </cell>
          <cell r="D15" t="str">
            <v>续航</v>
          </cell>
          <cell r="E15">
            <v>1.1</v>
          </cell>
          <cell r="F15">
            <v>1100</v>
          </cell>
          <cell r="G15">
            <v>330</v>
          </cell>
          <cell r="H15">
            <v>4620</v>
          </cell>
          <cell r="I15">
            <v>1320</v>
          </cell>
          <cell r="J15">
            <v>3700</v>
          </cell>
          <cell r="K15">
            <v>2300</v>
          </cell>
          <cell r="L15">
            <v>4000</v>
          </cell>
          <cell r="M15">
            <v>10000</v>
          </cell>
          <cell r="N15">
            <v>81</v>
          </cell>
          <cell r="O15">
            <v>51</v>
          </cell>
          <cell r="P15">
            <v>528</v>
          </cell>
        </row>
        <row r="16">
          <cell r="B16" t="str">
            <v>九蛇海盗船</v>
          </cell>
          <cell r="C16" t="str">
            <v>消费船</v>
          </cell>
          <cell r="D16" t="str">
            <v>均衡</v>
          </cell>
          <cell r="E16">
            <v>1.3</v>
          </cell>
          <cell r="F16">
            <v>1300</v>
          </cell>
          <cell r="G16">
            <v>390</v>
          </cell>
          <cell r="H16">
            <v>5460</v>
          </cell>
          <cell r="I16">
            <v>1560</v>
          </cell>
          <cell r="J16">
            <v>3800</v>
          </cell>
          <cell r="K16">
            <v>2300</v>
          </cell>
          <cell r="L16">
            <v>3900</v>
          </cell>
          <cell r="M16">
            <v>10000</v>
          </cell>
          <cell r="N16">
            <v>99</v>
          </cell>
          <cell r="O16">
            <v>60</v>
          </cell>
          <cell r="P16">
            <v>608</v>
          </cell>
        </row>
        <row r="17">
          <cell r="B17" t="str">
            <v>雷德佛斯号</v>
          </cell>
          <cell r="C17" t="str">
            <v>消费船</v>
          </cell>
          <cell r="D17" t="str">
            <v>采集</v>
          </cell>
          <cell r="E17">
            <v>1.25</v>
          </cell>
          <cell r="F17">
            <v>1250</v>
          </cell>
          <cell r="G17">
            <v>375</v>
          </cell>
          <cell r="H17">
            <v>5250</v>
          </cell>
          <cell r="I17">
            <v>1500</v>
          </cell>
          <cell r="J17">
            <v>3750</v>
          </cell>
          <cell r="K17">
            <v>2300</v>
          </cell>
          <cell r="L17">
            <v>3950</v>
          </cell>
          <cell r="M17">
            <v>10000</v>
          </cell>
          <cell r="N17">
            <v>94</v>
          </cell>
          <cell r="O17">
            <v>58</v>
          </cell>
          <cell r="P17">
            <v>593</v>
          </cell>
        </row>
        <row r="18">
          <cell r="B18" t="str">
            <v>莫比迪克号</v>
          </cell>
          <cell r="C18" t="str">
            <v>消费船</v>
          </cell>
          <cell r="D18" t="str">
            <v>续航</v>
          </cell>
          <cell r="E18">
            <v>1.4</v>
          </cell>
          <cell r="F18">
            <v>1400</v>
          </cell>
          <cell r="G18">
            <v>420</v>
          </cell>
          <cell r="H18">
            <v>5880</v>
          </cell>
          <cell r="I18">
            <v>1680</v>
          </cell>
          <cell r="J18">
            <v>3800</v>
          </cell>
          <cell r="K18">
            <v>2250</v>
          </cell>
          <cell r="L18">
            <v>3950</v>
          </cell>
          <cell r="M18">
            <v>10000</v>
          </cell>
          <cell r="N18">
            <v>106</v>
          </cell>
          <cell r="O18">
            <v>63</v>
          </cell>
          <cell r="P18">
            <v>664</v>
          </cell>
        </row>
        <row r="19">
          <cell r="B19" t="str">
            <v>飞翔的荷兰人号</v>
          </cell>
          <cell r="C19" t="str">
            <v>消费船</v>
          </cell>
          <cell r="D19" t="str">
            <v>加强均衡</v>
          </cell>
          <cell r="E19">
            <v>1.5</v>
          </cell>
          <cell r="F19">
            <v>1500</v>
          </cell>
          <cell r="G19">
            <v>450</v>
          </cell>
          <cell r="H19">
            <v>6300</v>
          </cell>
          <cell r="I19">
            <v>1800</v>
          </cell>
          <cell r="J19">
            <v>3850</v>
          </cell>
          <cell r="K19">
            <v>2300</v>
          </cell>
          <cell r="L19">
            <v>3850</v>
          </cell>
          <cell r="M19">
            <v>10000</v>
          </cell>
          <cell r="N19">
            <v>116</v>
          </cell>
          <cell r="O19">
            <v>69</v>
          </cell>
          <cell r="P19">
            <v>693</v>
          </cell>
        </row>
        <row r="20">
          <cell r="B20" t="str">
            <v>黑色战士号</v>
          </cell>
          <cell r="C20" t="str">
            <v>1级船</v>
          </cell>
          <cell r="D20" t="str">
            <v>续航</v>
          </cell>
          <cell r="E20">
            <v>0.9</v>
          </cell>
          <cell r="F20">
            <v>900</v>
          </cell>
          <cell r="G20">
            <v>270</v>
          </cell>
          <cell r="H20">
            <v>3780</v>
          </cell>
          <cell r="I20">
            <v>1080</v>
          </cell>
          <cell r="J20">
            <v>3800</v>
          </cell>
          <cell r="K20">
            <v>2200</v>
          </cell>
          <cell r="L20">
            <v>4000</v>
          </cell>
          <cell r="M20">
            <v>10000</v>
          </cell>
          <cell r="N20">
            <v>68</v>
          </cell>
          <cell r="O20">
            <v>40</v>
          </cell>
          <cell r="P20">
            <v>432</v>
          </cell>
        </row>
        <row r="21">
          <cell r="B21" t="str">
            <v>海军军舰</v>
          </cell>
          <cell r="C21" t="str">
            <v>2级船</v>
          </cell>
          <cell r="D21" t="str">
            <v>战斗</v>
          </cell>
          <cell r="E21">
            <v>1</v>
          </cell>
          <cell r="F21">
            <v>1000</v>
          </cell>
          <cell r="G21">
            <v>300</v>
          </cell>
          <cell r="H21">
            <v>4200</v>
          </cell>
          <cell r="I21">
            <v>1200</v>
          </cell>
          <cell r="J21">
            <v>3900</v>
          </cell>
          <cell r="K21">
            <v>2200</v>
          </cell>
          <cell r="L21">
            <v>3900</v>
          </cell>
          <cell r="M21">
            <v>10000</v>
          </cell>
          <cell r="N21">
            <v>78</v>
          </cell>
          <cell r="O21">
            <v>44</v>
          </cell>
          <cell r="P21">
            <v>468</v>
          </cell>
        </row>
        <row r="22">
          <cell r="B22" t="str">
            <v>可爱小鸭号</v>
          </cell>
          <cell r="C22" t="str">
            <v>3级船</v>
          </cell>
          <cell r="D22" t="str">
            <v>采集</v>
          </cell>
          <cell r="E22">
            <v>0.95</v>
          </cell>
          <cell r="F22">
            <v>950</v>
          </cell>
          <cell r="G22">
            <v>285</v>
          </cell>
          <cell r="H22">
            <v>3990</v>
          </cell>
          <cell r="I22">
            <v>1140</v>
          </cell>
          <cell r="J22">
            <v>3700</v>
          </cell>
          <cell r="K22">
            <v>2300</v>
          </cell>
          <cell r="L22">
            <v>4000</v>
          </cell>
          <cell r="M22">
            <v>10000</v>
          </cell>
          <cell r="N22">
            <v>70</v>
          </cell>
          <cell r="O22">
            <v>44</v>
          </cell>
          <cell r="P22">
            <v>456</v>
          </cell>
        </row>
        <row r="23">
          <cell r="B23" t="str">
            <v>性感福克斯号</v>
          </cell>
          <cell r="C23" t="str">
            <v>4级船</v>
          </cell>
          <cell r="D23" t="str">
            <v>均衡</v>
          </cell>
          <cell r="E23">
            <v>1.1</v>
          </cell>
          <cell r="F23">
            <v>1100</v>
          </cell>
          <cell r="G23">
            <v>330</v>
          </cell>
          <cell r="H23">
            <v>4620</v>
          </cell>
          <cell r="I23">
            <v>1320</v>
          </cell>
          <cell r="J23">
            <v>3800</v>
          </cell>
          <cell r="K23">
            <v>2300</v>
          </cell>
          <cell r="L23">
            <v>3900</v>
          </cell>
          <cell r="M23">
            <v>10000</v>
          </cell>
          <cell r="N23">
            <v>84</v>
          </cell>
          <cell r="O23">
            <v>51</v>
          </cell>
          <cell r="P23">
            <v>515</v>
          </cell>
        </row>
        <row r="24">
          <cell r="B24" t="str">
            <v>黑胡子木筏</v>
          </cell>
          <cell r="C24" t="str">
            <v>5级船</v>
          </cell>
          <cell r="D24" t="str">
            <v>战斗</v>
          </cell>
          <cell r="E24">
            <v>1.15</v>
          </cell>
          <cell r="F24">
            <v>1150</v>
          </cell>
          <cell r="G24">
            <v>345</v>
          </cell>
          <cell r="H24">
            <v>4830</v>
          </cell>
          <cell r="I24">
            <v>1380</v>
          </cell>
          <cell r="J24">
            <v>3900</v>
          </cell>
          <cell r="K24">
            <v>2300</v>
          </cell>
          <cell r="L24">
            <v>3800</v>
          </cell>
          <cell r="M24">
            <v>10000</v>
          </cell>
          <cell r="N24">
            <v>90</v>
          </cell>
          <cell r="O24">
            <v>53</v>
          </cell>
          <cell r="P24">
            <v>524</v>
          </cell>
        </row>
        <row r="25">
          <cell r="B25" t="str">
            <v>太阳海盗团</v>
          </cell>
          <cell r="C25" t="str">
            <v>6级船</v>
          </cell>
          <cell r="D25" t="str">
            <v>采集</v>
          </cell>
          <cell r="E25">
            <v>1.2</v>
          </cell>
          <cell r="F25">
            <v>1200</v>
          </cell>
          <cell r="G25">
            <v>360</v>
          </cell>
          <cell r="H25">
            <v>5040</v>
          </cell>
          <cell r="I25">
            <v>1440</v>
          </cell>
          <cell r="J25">
            <v>3800</v>
          </cell>
          <cell r="K25">
            <v>2250</v>
          </cell>
          <cell r="L25">
            <v>3950</v>
          </cell>
          <cell r="M25">
            <v>10000</v>
          </cell>
          <cell r="N25">
            <v>91</v>
          </cell>
          <cell r="O25">
            <v>54</v>
          </cell>
          <cell r="P25">
            <v>569</v>
          </cell>
        </row>
        <row r="26">
          <cell r="B26" t="str">
            <v>戈普的军舰</v>
          </cell>
          <cell r="C26" t="str">
            <v>6级船</v>
          </cell>
          <cell r="D26" t="str">
            <v>战斗</v>
          </cell>
          <cell r="E26">
            <v>1.35</v>
          </cell>
          <cell r="F26">
            <v>1350</v>
          </cell>
          <cell r="G26">
            <v>405</v>
          </cell>
          <cell r="H26">
            <v>5670</v>
          </cell>
          <cell r="I26">
            <v>1620</v>
          </cell>
          <cell r="J26">
            <v>3900</v>
          </cell>
          <cell r="K26">
            <v>2250</v>
          </cell>
          <cell r="L26">
            <v>3850</v>
          </cell>
          <cell r="M26">
            <v>10000</v>
          </cell>
          <cell r="N26">
            <v>105</v>
          </cell>
          <cell r="O26">
            <v>61</v>
          </cell>
          <cell r="P26">
            <v>624</v>
          </cell>
        </row>
        <row r="27">
          <cell r="B27" t="str">
            <v>极地潜水号</v>
          </cell>
          <cell r="C27" t="str">
            <v>消费船</v>
          </cell>
          <cell r="D27" t="str">
            <v>续航</v>
          </cell>
          <cell r="E27">
            <v>1.25</v>
          </cell>
          <cell r="F27">
            <v>1250</v>
          </cell>
          <cell r="G27">
            <v>375</v>
          </cell>
          <cell r="H27">
            <v>5250</v>
          </cell>
          <cell r="I27">
            <v>1500</v>
          </cell>
          <cell r="J27">
            <v>3900</v>
          </cell>
          <cell r="K27">
            <v>2200</v>
          </cell>
          <cell r="L27">
            <v>3900</v>
          </cell>
          <cell r="M27">
            <v>10000</v>
          </cell>
          <cell r="N27">
            <v>98</v>
          </cell>
          <cell r="O27">
            <v>55</v>
          </cell>
          <cell r="P27">
            <v>585</v>
          </cell>
        </row>
        <row r="28">
          <cell r="B28" t="str">
            <v>幽灵船</v>
          </cell>
          <cell r="C28" t="str">
            <v>消费船</v>
          </cell>
          <cell r="D28" t="str">
            <v>战斗</v>
          </cell>
          <cell r="E28">
            <v>1.35</v>
          </cell>
          <cell r="F28">
            <v>1350</v>
          </cell>
          <cell r="G28">
            <v>405</v>
          </cell>
          <cell r="H28">
            <v>5670</v>
          </cell>
          <cell r="I28">
            <v>1620</v>
          </cell>
          <cell r="J28">
            <v>3900</v>
          </cell>
          <cell r="K28">
            <v>2200</v>
          </cell>
          <cell r="L28">
            <v>3900</v>
          </cell>
          <cell r="M28">
            <v>10000</v>
          </cell>
          <cell r="N28">
            <v>105</v>
          </cell>
          <cell r="O28">
            <v>59</v>
          </cell>
          <cell r="P28">
            <v>632</v>
          </cell>
        </row>
        <row r="29">
          <cell r="B29" t="str">
            <v>风·格拉玛号</v>
          </cell>
          <cell r="C29" t="str">
            <v>消费船</v>
          </cell>
          <cell r="D29" t="str">
            <v>均衡</v>
          </cell>
          <cell r="E29">
            <v>1.3</v>
          </cell>
          <cell r="F29">
            <v>1300</v>
          </cell>
          <cell r="G29">
            <v>390</v>
          </cell>
          <cell r="H29">
            <v>5460</v>
          </cell>
          <cell r="I29">
            <v>1560</v>
          </cell>
          <cell r="J29">
            <v>3700</v>
          </cell>
          <cell r="K29">
            <v>2300</v>
          </cell>
          <cell r="L29">
            <v>4000</v>
          </cell>
          <cell r="M29">
            <v>10000</v>
          </cell>
          <cell r="N29">
            <v>96</v>
          </cell>
          <cell r="O29">
            <v>60</v>
          </cell>
          <cell r="P29">
            <v>624</v>
          </cell>
        </row>
        <row r="30">
          <cell r="B30" t="str">
            <v>弗兰姆.瑞兹号</v>
          </cell>
          <cell r="C30" t="str">
            <v>消费船</v>
          </cell>
          <cell r="D30" t="str">
            <v>采集</v>
          </cell>
          <cell r="E30">
            <v>1.25</v>
          </cell>
          <cell r="F30">
            <v>1250</v>
          </cell>
          <cell r="G30">
            <v>375</v>
          </cell>
          <cell r="H30">
            <v>5250</v>
          </cell>
          <cell r="I30">
            <v>1500</v>
          </cell>
          <cell r="J30">
            <v>3800</v>
          </cell>
          <cell r="K30">
            <v>2300</v>
          </cell>
          <cell r="L30">
            <v>3900</v>
          </cell>
          <cell r="M30">
            <v>10000</v>
          </cell>
          <cell r="N30">
            <v>95</v>
          </cell>
          <cell r="O30">
            <v>58</v>
          </cell>
          <cell r="P30">
            <v>585</v>
          </cell>
        </row>
        <row r="69">
          <cell r="B69" t="str">
            <v>黄金梅丽号</v>
          </cell>
          <cell r="C69" t="str">
            <v>1级船</v>
          </cell>
          <cell r="D69" t="str">
            <v>采集</v>
          </cell>
          <cell r="E69">
            <v>0.95</v>
          </cell>
          <cell r="F69">
            <v>706.5625</v>
          </cell>
          <cell r="G69">
            <v>14131.25</v>
          </cell>
          <cell r="H69">
            <v>58.046875</v>
          </cell>
          <cell r="I69">
            <v>116.960416666667</v>
          </cell>
          <cell r="J69">
            <v>35.3</v>
          </cell>
        </row>
        <row r="70">
          <cell r="B70" t="str">
            <v>千里·阳光号</v>
          </cell>
          <cell r="C70" t="str">
            <v>3级船</v>
          </cell>
          <cell r="D70" t="str">
            <v>战斗</v>
          </cell>
          <cell r="E70">
            <v>1</v>
          </cell>
          <cell r="F70">
            <v>743.75</v>
          </cell>
          <cell r="G70">
            <v>14875</v>
          </cell>
          <cell r="H70">
            <v>61.1458333333333</v>
          </cell>
          <cell r="I70">
            <v>123.158333333333</v>
          </cell>
          <cell r="J70">
            <v>37.2</v>
          </cell>
        </row>
        <row r="71">
          <cell r="B71" t="str">
            <v>海军战舰</v>
          </cell>
          <cell r="C71" t="str">
            <v>5级船</v>
          </cell>
          <cell r="D71" t="str">
            <v>续航</v>
          </cell>
          <cell r="E71">
            <v>1.2</v>
          </cell>
          <cell r="F71">
            <v>892.5</v>
          </cell>
          <cell r="G71">
            <v>17850</v>
          </cell>
          <cell r="H71">
            <v>73.5416666666667</v>
          </cell>
          <cell r="I71">
            <v>147.95</v>
          </cell>
          <cell r="J71">
            <v>44.6</v>
          </cell>
        </row>
        <row r="72">
          <cell r="B72" t="str">
            <v>九蛇海盗船</v>
          </cell>
          <cell r="C72" t="str">
            <v>消费船</v>
          </cell>
          <cell r="D72" t="str">
            <v>均衡</v>
          </cell>
          <cell r="E72">
            <v>1.26</v>
          </cell>
          <cell r="F72">
            <v>937.125</v>
          </cell>
          <cell r="G72">
            <v>18742.5</v>
          </cell>
          <cell r="H72">
            <v>77.2604166666667</v>
          </cell>
          <cell r="I72">
            <v>155.3875</v>
          </cell>
          <cell r="J72">
            <v>46.9</v>
          </cell>
        </row>
        <row r="73">
          <cell r="B73" t="str">
            <v>雷德佛斯号</v>
          </cell>
          <cell r="C73" t="str">
            <v>消费船</v>
          </cell>
          <cell r="D73" t="str">
            <v>采集</v>
          </cell>
          <cell r="E73">
            <v>1.25</v>
          </cell>
          <cell r="F73">
            <v>929.6875</v>
          </cell>
          <cell r="G73">
            <v>18593.75</v>
          </cell>
          <cell r="H73">
            <v>76.640625</v>
          </cell>
          <cell r="I73">
            <v>154.147916666667</v>
          </cell>
          <cell r="J73">
            <v>46.5</v>
          </cell>
        </row>
        <row r="74">
          <cell r="B74" t="str">
            <v>莫比迪克号</v>
          </cell>
          <cell r="C74" t="str">
            <v>消费船</v>
          </cell>
          <cell r="D74" t="str">
            <v>续航</v>
          </cell>
          <cell r="E74">
            <v>1.28</v>
          </cell>
          <cell r="F74">
            <v>952</v>
          </cell>
          <cell r="G74">
            <v>19040</v>
          </cell>
          <cell r="H74">
            <v>78.5</v>
          </cell>
          <cell r="I74">
            <v>157.866666666667</v>
          </cell>
          <cell r="J74">
            <v>47.6</v>
          </cell>
        </row>
        <row r="75">
          <cell r="B75" t="str">
            <v>飞翔的荷兰人号</v>
          </cell>
          <cell r="C75" t="str">
            <v>消费船</v>
          </cell>
          <cell r="D75" t="str">
            <v>加强均衡</v>
          </cell>
          <cell r="E75">
            <v>1.34</v>
          </cell>
          <cell r="F75">
            <v>996.625</v>
          </cell>
          <cell r="G75">
            <v>19932.5</v>
          </cell>
          <cell r="H75">
            <v>82.21875</v>
          </cell>
          <cell r="I75">
            <v>165.304166666667</v>
          </cell>
          <cell r="J75">
            <v>49.8</v>
          </cell>
        </row>
        <row r="76">
          <cell r="B76" t="str">
            <v>黑色战士号</v>
          </cell>
          <cell r="C76" t="str">
            <v>1级船</v>
          </cell>
          <cell r="D76" t="str">
            <v>续航</v>
          </cell>
          <cell r="E76">
            <v>1</v>
          </cell>
          <cell r="F76">
            <v>743.75</v>
          </cell>
          <cell r="G76">
            <v>14875</v>
          </cell>
          <cell r="H76">
            <v>61.1458333333333</v>
          </cell>
          <cell r="I76">
            <v>123.158333333333</v>
          </cell>
          <cell r="J76">
            <v>37.2</v>
          </cell>
        </row>
        <row r="77">
          <cell r="B77" t="str">
            <v>海军军舰</v>
          </cell>
          <cell r="C77" t="str">
            <v>2级船</v>
          </cell>
          <cell r="D77" t="str">
            <v>战斗</v>
          </cell>
          <cell r="E77">
            <v>0.95</v>
          </cell>
          <cell r="F77">
            <v>706.5625</v>
          </cell>
          <cell r="G77">
            <v>14131.25</v>
          </cell>
          <cell r="H77">
            <v>58.046875</v>
          </cell>
          <cell r="I77">
            <v>116.960416666667</v>
          </cell>
          <cell r="J77">
            <v>35.3</v>
          </cell>
        </row>
        <row r="78">
          <cell r="B78" t="str">
            <v>可爱小鸭号</v>
          </cell>
          <cell r="C78" t="str">
            <v>3级船</v>
          </cell>
          <cell r="D78" t="str">
            <v>采集</v>
          </cell>
          <cell r="E78">
            <v>1</v>
          </cell>
          <cell r="F78">
            <v>743.75</v>
          </cell>
          <cell r="G78">
            <v>14875</v>
          </cell>
          <cell r="H78">
            <v>61.1458333333333</v>
          </cell>
          <cell r="I78">
            <v>123.158333333333</v>
          </cell>
          <cell r="J78">
            <v>37.2</v>
          </cell>
        </row>
        <row r="79">
          <cell r="B79" t="str">
            <v>性感福克斯号</v>
          </cell>
          <cell r="C79" t="str">
            <v>4级船</v>
          </cell>
          <cell r="D79" t="str">
            <v>均衡</v>
          </cell>
          <cell r="E79">
            <v>1</v>
          </cell>
          <cell r="F79">
            <v>743.75</v>
          </cell>
          <cell r="G79">
            <v>14875</v>
          </cell>
          <cell r="H79">
            <v>61.1458333333333</v>
          </cell>
          <cell r="I79">
            <v>123.158333333333</v>
          </cell>
          <cell r="J79">
            <v>37.2</v>
          </cell>
        </row>
        <row r="80">
          <cell r="B80" t="str">
            <v>黑胡子木筏</v>
          </cell>
          <cell r="C80" t="str">
            <v>5级船</v>
          </cell>
          <cell r="D80" t="str">
            <v>战斗</v>
          </cell>
          <cell r="E80">
            <v>1.2</v>
          </cell>
          <cell r="F80">
            <v>892.5</v>
          </cell>
          <cell r="G80">
            <v>17850</v>
          </cell>
          <cell r="H80">
            <v>73.5416666666667</v>
          </cell>
          <cell r="I80">
            <v>147.95</v>
          </cell>
          <cell r="J80">
            <v>44.6</v>
          </cell>
        </row>
        <row r="81">
          <cell r="B81" t="str">
            <v>太阳海盗团</v>
          </cell>
          <cell r="C81" t="str">
            <v>6级船</v>
          </cell>
          <cell r="D81" t="str">
            <v>采集</v>
          </cell>
          <cell r="E81">
            <v>1.25</v>
          </cell>
          <cell r="F81">
            <v>929.6875</v>
          </cell>
          <cell r="G81">
            <v>18593.75</v>
          </cell>
          <cell r="H81">
            <v>76.640625</v>
          </cell>
          <cell r="I81">
            <v>154.147916666667</v>
          </cell>
          <cell r="J81">
            <v>46.5</v>
          </cell>
        </row>
        <row r="82">
          <cell r="B82" t="str">
            <v>戈普的军舰</v>
          </cell>
          <cell r="C82" t="str">
            <v>6级船</v>
          </cell>
          <cell r="D82" t="str">
            <v>战斗</v>
          </cell>
          <cell r="E82">
            <v>1.2</v>
          </cell>
          <cell r="F82">
            <v>892.5</v>
          </cell>
          <cell r="G82">
            <v>17850</v>
          </cell>
          <cell r="H82">
            <v>73.5416666666667</v>
          </cell>
          <cell r="I82">
            <v>147.95</v>
          </cell>
          <cell r="J82">
            <v>44.6</v>
          </cell>
        </row>
        <row r="83">
          <cell r="B83" t="str">
            <v>极地潜水号</v>
          </cell>
          <cell r="C83" t="str">
            <v>消费船</v>
          </cell>
          <cell r="D83" t="str">
            <v>续航</v>
          </cell>
          <cell r="E83">
            <v>1.3</v>
          </cell>
          <cell r="F83">
            <v>966.875</v>
          </cell>
          <cell r="G83">
            <v>19337.5</v>
          </cell>
          <cell r="H83">
            <v>79.7395833333333</v>
          </cell>
          <cell r="I83">
            <v>160.345833333333</v>
          </cell>
          <cell r="J83">
            <v>48.3</v>
          </cell>
        </row>
        <row r="84">
          <cell r="B84" t="str">
            <v>幽灵船</v>
          </cell>
          <cell r="C84" t="str">
            <v>消费船</v>
          </cell>
          <cell r="D84" t="str">
            <v>战斗</v>
          </cell>
          <cell r="E84">
            <v>1.28</v>
          </cell>
          <cell r="F84">
            <v>952</v>
          </cell>
          <cell r="G84">
            <v>19040</v>
          </cell>
          <cell r="H84">
            <v>78.5</v>
          </cell>
          <cell r="I84">
            <v>157.866666666667</v>
          </cell>
          <cell r="J84">
            <v>47.6</v>
          </cell>
        </row>
        <row r="85">
          <cell r="B85" t="str">
            <v>风·格拉玛号</v>
          </cell>
          <cell r="C85" t="str">
            <v>消费船</v>
          </cell>
          <cell r="D85" t="str">
            <v>均衡</v>
          </cell>
          <cell r="E85">
            <v>1.34</v>
          </cell>
          <cell r="F85">
            <v>996.625</v>
          </cell>
          <cell r="G85">
            <v>19932.5</v>
          </cell>
          <cell r="H85">
            <v>82.21875</v>
          </cell>
          <cell r="I85">
            <v>165.304166666667</v>
          </cell>
          <cell r="J85">
            <v>49.8</v>
          </cell>
        </row>
        <row r="86">
          <cell r="B86" t="str">
            <v>弗兰姆.瑞兹号</v>
          </cell>
          <cell r="C86" t="str">
            <v>消费船</v>
          </cell>
          <cell r="D86" t="str">
            <v>采集</v>
          </cell>
          <cell r="E86">
            <v>1.25</v>
          </cell>
          <cell r="F86">
            <v>929.6875</v>
          </cell>
          <cell r="G86">
            <v>18593.75</v>
          </cell>
          <cell r="H86">
            <v>76.640625</v>
          </cell>
          <cell r="I86">
            <v>154.147916666667</v>
          </cell>
          <cell r="J86">
            <v>46.5</v>
          </cell>
        </row>
        <row r="91">
          <cell r="B91" t="str">
            <v>黄金梅丽号</v>
          </cell>
          <cell r="C91" t="str">
            <v>1级船</v>
          </cell>
          <cell r="D91" t="str">
            <v>采集</v>
          </cell>
          <cell r="E91">
            <v>0.3</v>
          </cell>
        </row>
        <row r="92">
          <cell r="B92" t="str">
            <v>千里·阳光号</v>
          </cell>
          <cell r="C92" t="str">
            <v>3级船</v>
          </cell>
          <cell r="D92" t="str">
            <v>战斗</v>
          </cell>
          <cell r="E92">
            <v>0.3</v>
          </cell>
        </row>
        <row r="93">
          <cell r="B93" t="str">
            <v>海军战舰</v>
          </cell>
          <cell r="C93" t="str">
            <v>5级船</v>
          </cell>
          <cell r="D93" t="str">
            <v>续航</v>
          </cell>
          <cell r="E93">
            <v>0.3</v>
          </cell>
        </row>
        <row r="94">
          <cell r="B94" t="str">
            <v>九蛇海盗船</v>
          </cell>
          <cell r="C94" t="str">
            <v>消费船</v>
          </cell>
          <cell r="D94" t="str">
            <v>均衡</v>
          </cell>
          <cell r="E94">
            <v>0.3</v>
          </cell>
        </row>
        <row r="95">
          <cell r="B95" t="str">
            <v>雷德佛斯号</v>
          </cell>
          <cell r="C95" t="str">
            <v>消费船</v>
          </cell>
          <cell r="D95" t="str">
            <v>采集</v>
          </cell>
          <cell r="E95">
            <v>0.3</v>
          </cell>
        </row>
        <row r="96">
          <cell r="B96" t="str">
            <v>莫比迪克号</v>
          </cell>
          <cell r="C96" t="str">
            <v>消费船</v>
          </cell>
          <cell r="D96" t="str">
            <v>续航</v>
          </cell>
          <cell r="E96">
            <v>0.3</v>
          </cell>
        </row>
        <row r="97">
          <cell r="B97" t="str">
            <v>飞翔的荷兰人号</v>
          </cell>
          <cell r="C97" t="str">
            <v>消费船</v>
          </cell>
          <cell r="D97" t="str">
            <v>加强均衡</v>
          </cell>
          <cell r="E97">
            <v>0.3</v>
          </cell>
        </row>
        <row r="98">
          <cell r="B98" t="str">
            <v>黑色战士号</v>
          </cell>
          <cell r="C98" t="str">
            <v>1级船</v>
          </cell>
          <cell r="D98" t="str">
            <v>续航</v>
          </cell>
          <cell r="E98">
            <v>0.3</v>
          </cell>
        </row>
        <row r="99">
          <cell r="B99" t="str">
            <v>海军军舰</v>
          </cell>
          <cell r="C99" t="str">
            <v>2级船</v>
          </cell>
          <cell r="D99" t="str">
            <v>战斗</v>
          </cell>
          <cell r="E99">
            <v>0.3</v>
          </cell>
        </row>
        <row r="100">
          <cell r="B100" t="str">
            <v>可爱小鸭号</v>
          </cell>
          <cell r="C100" t="str">
            <v>3级船</v>
          </cell>
          <cell r="D100" t="str">
            <v>采集</v>
          </cell>
          <cell r="E100">
            <v>0.3</v>
          </cell>
        </row>
        <row r="101">
          <cell r="B101" t="str">
            <v>性感福克斯号</v>
          </cell>
          <cell r="C101" t="str">
            <v>4级船</v>
          </cell>
          <cell r="D101" t="str">
            <v>均衡</v>
          </cell>
          <cell r="E101">
            <v>0.3</v>
          </cell>
        </row>
        <row r="102">
          <cell r="B102" t="str">
            <v>黑胡子木筏</v>
          </cell>
          <cell r="C102" t="str">
            <v>5级船</v>
          </cell>
          <cell r="D102" t="str">
            <v>战斗</v>
          </cell>
          <cell r="E102">
            <v>0.3</v>
          </cell>
        </row>
        <row r="103">
          <cell r="B103" t="str">
            <v>太阳海盗团</v>
          </cell>
          <cell r="C103" t="str">
            <v>6级船</v>
          </cell>
          <cell r="D103" t="str">
            <v>采集</v>
          </cell>
          <cell r="E103">
            <v>0.3</v>
          </cell>
        </row>
        <row r="104">
          <cell r="B104" t="str">
            <v>戈普的军舰</v>
          </cell>
          <cell r="C104" t="str">
            <v>6级船</v>
          </cell>
          <cell r="D104" t="str">
            <v>战斗</v>
          </cell>
          <cell r="E104">
            <v>0.3</v>
          </cell>
        </row>
        <row r="105">
          <cell r="B105" t="str">
            <v>极地潜水号</v>
          </cell>
          <cell r="C105" t="str">
            <v>消费船</v>
          </cell>
          <cell r="D105" t="str">
            <v>续航</v>
          </cell>
          <cell r="E105">
            <v>0.3</v>
          </cell>
        </row>
        <row r="106">
          <cell r="B106" t="str">
            <v>幽灵船</v>
          </cell>
          <cell r="C106" t="str">
            <v>消费船</v>
          </cell>
          <cell r="D106" t="str">
            <v>战斗</v>
          </cell>
          <cell r="E106">
            <v>0.3</v>
          </cell>
        </row>
        <row r="107">
          <cell r="B107" t="str">
            <v>风·格拉玛号</v>
          </cell>
          <cell r="C107" t="str">
            <v>消费船</v>
          </cell>
          <cell r="D107" t="str">
            <v>均衡</v>
          </cell>
          <cell r="E107">
            <v>0.3</v>
          </cell>
        </row>
        <row r="108">
          <cell r="B108" t="str">
            <v>弗兰姆.瑞兹号</v>
          </cell>
          <cell r="C108" t="str">
            <v>消费船</v>
          </cell>
          <cell r="D108" t="str">
            <v>采集</v>
          </cell>
          <cell r="E108">
            <v>0.3</v>
          </cell>
        </row>
        <row r="112">
          <cell r="B112" t="str">
            <v>黄金梅丽号</v>
          </cell>
          <cell r="C112" t="str">
            <v>1级船</v>
          </cell>
          <cell r="D112" t="str">
            <v>采集</v>
          </cell>
          <cell r="E112">
            <v>0.85</v>
          </cell>
          <cell r="F112">
            <v>38.6363636363636</v>
          </cell>
        </row>
        <row r="113">
          <cell r="B113" t="str">
            <v>千里·阳光号</v>
          </cell>
          <cell r="C113" t="str">
            <v>3级船</v>
          </cell>
          <cell r="D113" t="str">
            <v>战斗</v>
          </cell>
          <cell r="E113">
            <v>0.8</v>
          </cell>
          <cell r="F113">
            <v>36.3636363636364</v>
          </cell>
        </row>
        <row r="114">
          <cell r="B114" t="str">
            <v>海军战舰</v>
          </cell>
          <cell r="C114" t="str">
            <v>5级船</v>
          </cell>
          <cell r="D114" t="str">
            <v>续航</v>
          </cell>
          <cell r="E114">
            <v>0.9</v>
          </cell>
          <cell r="F114">
            <v>40.9090909090909</v>
          </cell>
        </row>
        <row r="115">
          <cell r="B115" t="str">
            <v>九蛇海盗船</v>
          </cell>
          <cell r="C115" t="str">
            <v>消费船</v>
          </cell>
          <cell r="D115" t="str">
            <v>均衡</v>
          </cell>
          <cell r="E115">
            <v>1.05</v>
          </cell>
          <cell r="F115">
            <v>47.7272727272727</v>
          </cell>
        </row>
        <row r="116">
          <cell r="B116" t="str">
            <v>雷德佛斯号</v>
          </cell>
          <cell r="C116" t="str">
            <v>消费船</v>
          </cell>
          <cell r="D116" t="str">
            <v>采集</v>
          </cell>
          <cell r="E116">
            <v>1.1</v>
          </cell>
          <cell r="F116">
            <v>50</v>
          </cell>
        </row>
        <row r="117">
          <cell r="B117" t="str">
            <v>莫比迪克号</v>
          </cell>
          <cell r="C117" t="str">
            <v>消费船</v>
          </cell>
          <cell r="D117" t="str">
            <v>续航</v>
          </cell>
          <cell r="E117">
            <v>0.95</v>
          </cell>
          <cell r="F117">
            <v>43.1818181818182</v>
          </cell>
        </row>
        <row r="118">
          <cell r="B118" t="str">
            <v>飞翔的荷兰人号</v>
          </cell>
          <cell r="C118" t="str">
            <v>消费船</v>
          </cell>
          <cell r="D118" t="str">
            <v>加强均衡</v>
          </cell>
          <cell r="E118">
            <v>1.3</v>
          </cell>
          <cell r="F118">
            <v>59.0909090909091</v>
          </cell>
        </row>
        <row r="119">
          <cell r="B119" t="str">
            <v>黑色战士号</v>
          </cell>
          <cell r="C119" t="str">
            <v>1级船</v>
          </cell>
          <cell r="D119" t="str">
            <v>续航</v>
          </cell>
          <cell r="E119">
            <v>0.8</v>
          </cell>
          <cell r="F119">
            <v>36.3636363636364</v>
          </cell>
        </row>
        <row r="120">
          <cell r="B120" t="str">
            <v>海军军舰</v>
          </cell>
          <cell r="C120" t="str">
            <v>2级船</v>
          </cell>
          <cell r="D120" t="str">
            <v>战斗</v>
          </cell>
          <cell r="E120">
            <v>0.8</v>
          </cell>
          <cell r="F120">
            <v>36.3636363636364</v>
          </cell>
        </row>
        <row r="121">
          <cell r="B121" t="str">
            <v>可爱小鸭号</v>
          </cell>
          <cell r="C121" t="str">
            <v>3级船</v>
          </cell>
          <cell r="D121" t="str">
            <v>采集</v>
          </cell>
          <cell r="E121">
            <v>0.9</v>
          </cell>
          <cell r="F121">
            <v>40.9090909090909</v>
          </cell>
        </row>
        <row r="122">
          <cell r="B122" t="str">
            <v>性感福克斯号</v>
          </cell>
          <cell r="C122" t="str">
            <v>4级船</v>
          </cell>
          <cell r="D122" t="str">
            <v>均衡</v>
          </cell>
          <cell r="E122">
            <v>0.9</v>
          </cell>
          <cell r="F122">
            <v>40.9090909090909</v>
          </cell>
        </row>
        <row r="123">
          <cell r="B123" t="str">
            <v>黑胡子木筏</v>
          </cell>
          <cell r="C123" t="str">
            <v>5级船</v>
          </cell>
          <cell r="D123" t="str">
            <v>战斗</v>
          </cell>
          <cell r="E123">
            <v>1</v>
          </cell>
          <cell r="F123">
            <v>45.4545454545455</v>
          </cell>
        </row>
        <row r="124">
          <cell r="B124" t="str">
            <v>太阳海盗团</v>
          </cell>
          <cell r="C124" t="str">
            <v>6级船</v>
          </cell>
          <cell r="D124" t="str">
            <v>采集</v>
          </cell>
          <cell r="E124">
            <v>1.05</v>
          </cell>
          <cell r="F124">
            <v>47.7272727272727</v>
          </cell>
        </row>
        <row r="125">
          <cell r="B125" t="str">
            <v>戈普的军舰</v>
          </cell>
          <cell r="C125" t="str">
            <v>6级船</v>
          </cell>
          <cell r="D125" t="str">
            <v>战斗</v>
          </cell>
          <cell r="E125">
            <v>1</v>
          </cell>
          <cell r="F125">
            <v>45.4545454545455</v>
          </cell>
        </row>
        <row r="126">
          <cell r="B126" t="str">
            <v>极地潜水号</v>
          </cell>
          <cell r="C126" t="str">
            <v>消费船</v>
          </cell>
          <cell r="D126" t="str">
            <v>续航</v>
          </cell>
          <cell r="E126">
            <v>1</v>
          </cell>
          <cell r="F126">
            <v>45.4545454545455</v>
          </cell>
        </row>
        <row r="127">
          <cell r="B127" t="str">
            <v>幽灵船</v>
          </cell>
          <cell r="C127" t="str">
            <v>消费船</v>
          </cell>
          <cell r="D127" t="str">
            <v>战斗</v>
          </cell>
          <cell r="E127">
            <v>0.95</v>
          </cell>
          <cell r="F127">
            <v>43.1818181818182</v>
          </cell>
        </row>
        <row r="128">
          <cell r="B128" t="str">
            <v>风·格拉玛号</v>
          </cell>
          <cell r="C128" t="str">
            <v>消费船</v>
          </cell>
          <cell r="D128" t="str">
            <v>均衡</v>
          </cell>
          <cell r="E128">
            <v>1.05</v>
          </cell>
          <cell r="F128">
            <v>47.7272727272727</v>
          </cell>
        </row>
        <row r="129">
          <cell r="B129" t="str">
            <v>弗兰姆.瑞兹号</v>
          </cell>
          <cell r="C129" t="str">
            <v>消费船</v>
          </cell>
          <cell r="D129" t="str">
            <v>采集</v>
          </cell>
          <cell r="E129">
            <v>1.1</v>
          </cell>
          <cell r="F129">
            <v>50</v>
          </cell>
        </row>
        <row r="144">
          <cell r="B144" t="str">
            <v>黄金梅丽号</v>
          </cell>
          <cell r="C144" t="str">
            <v>采集</v>
          </cell>
          <cell r="D144">
            <v>2</v>
          </cell>
          <cell r="E144">
            <v>3</v>
          </cell>
          <cell r="F144">
            <v>4</v>
          </cell>
          <cell r="G144">
            <v>3</v>
          </cell>
          <cell r="H144">
            <v>13</v>
          </cell>
          <cell r="I144">
            <v>4</v>
          </cell>
          <cell r="J144">
            <v>2</v>
          </cell>
          <cell r="K144">
            <v>4</v>
          </cell>
          <cell r="L144">
            <v>1</v>
          </cell>
        </row>
        <row r="145">
          <cell r="B145" t="str">
            <v>千里·阳光号</v>
          </cell>
          <cell r="C145" t="str">
            <v>战斗</v>
          </cell>
          <cell r="D145">
            <v>5</v>
          </cell>
          <cell r="E145">
            <v>2</v>
          </cell>
          <cell r="F145">
            <v>2</v>
          </cell>
          <cell r="G145">
            <v>3</v>
          </cell>
          <cell r="H145">
            <v>13</v>
          </cell>
          <cell r="I145">
            <v>1</v>
          </cell>
          <cell r="J145">
            <v>4</v>
          </cell>
          <cell r="K145">
            <v>2</v>
          </cell>
          <cell r="L145">
            <v>4</v>
          </cell>
        </row>
        <row r="146">
          <cell r="B146" t="str">
            <v>海军战舰</v>
          </cell>
          <cell r="C146" t="str">
            <v>续航</v>
          </cell>
          <cell r="D146">
            <v>2</v>
          </cell>
          <cell r="E146">
            <v>3</v>
          </cell>
          <cell r="F146">
            <v>4</v>
          </cell>
          <cell r="G146">
            <v>5</v>
          </cell>
          <cell r="H146">
            <v>14</v>
          </cell>
          <cell r="I146">
            <v>5</v>
          </cell>
          <cell r="J146">
            <v>3</v>
          </cell>
          <cell r="K146">
            <v>5</v>
          </cell>
          <cell r="L146">
            <v>2</v>
          </cell>
        </row>
        <row r="147">
          <cell r="B147" t="str">
            <v>九蛇海盗船</v>
          </cell>
          <cell r="C147" t="str">
            <v>均衡</v>
          </cell>
          <cell r="D147">
            <v>3</v>
          </cell>
          <cell r="E147">
            <v>3</v>
          </cell>
          <cell r="F147">
            <v>3</v>
          </cell>
          <cell r="G147">
            <v>5</v>
          </cell>
          <cell r="H147">
            <v>15</v>
          </cell>
          <cell r="I147">
            <v>4</v>
          </cell>
          <cell r="J147">
            <v>5</v>
          </cell>
          <cell r="K147">
            <v>4</v>
          </cell>
          <cell r="L147">
            <v>5</v>
          </cell>
        </row>
        <row r="148">
          <cell r="B148" t="str">
            <v>雷德佛斯号</v>
          </cell>
          <cell r="C148" t="str">
            <v>采集</v>
          </cell>
          <cell r="D148">
            <v>2</v>
          </cell>
          <cell r="E148">
            <v>3</v>
          </cell>
          <cell r="F148">
            <v>4</v>
          </cell>
          <cell r="G148">
            <v>5</v>
          </cell>
          <cell r="H148">
            <v>15</v>
          </cell>
          <cell r="I148">
            <v>8</v>
          </cell>
          <cell r="J148">
            <v>4</v>
          </cell>
          <cell r="K148">
            <v>5</v>
          </cell>
          <cell r="L148">
            <v>6</v>
          </cell>
        </row>
        <row r="149">
          <cell r="B149" t="str">
            <v>莫比迪克号</v>
          </cell>
          <cell r="C149" t="str">
            <v>续航</v>
          </cell>
          <cell r="D149">
            <v>2</v>
          </cell>
          <cell r="E149">
            <v>3</v>
          </cell>
          <cell r="F149">
            <v>4</v>
          </cell>
          <cell r="G149">
            <v>6</v>
          </cell>
          <cell r="H149">
            <v>15</v>
          </cell>
          <cell r="I149">
            <v>7</v>
          </cell>
          <cell r="J149">
            <v>3</v>
          </cell>
          <cell r="K149">
            <v>4</v>
          </cell>
          <cell r="L149">
            <v>3</v>
          </cell>
        </row>
        <row r="150">
          <cell r="B150" t="str">
            <v>飞翔的荷兰人号</v>
          </cell>
          <cell r="C150" t="str">
            <v>战斗</v>
          </cell>
          <cell r="D150">
            <v>5</v>
          </cell>
          <cell r="E150">
            <v>2</v>
          </cell>
          <cell r="F150">
            <v>2</v>
          </cell>
          <cell r="G150">
            <v>6</v>
          </cell>
          <cell r="H150">
            <v>15</v>
          </cell>
          <cell r="I150">
            <v>6</v>
          </cell>
          <cell r="J150">
            <v>4</v>
          </cell>
          <cell r="K150">
            <v>3</v>
          </cell>
          <cell r="L150">
            <v>3</v>
          </cell>
        </row>
        <row r="151">
          <cell r="B151" t="str">
            <v>黑色战士号</v>
          </cell>
          <cell r="C151" t="str">
            <v>续航</v>
          </cell>
          <cell r="D151">
            <v>2</v>
          </cell>
          <cell r="E151">
            <v>3</v>
          </cell>
          <cell r="F151">
            <v>4</v>
          </cell>
          <cell r="G151">
            <v>4</v>
          </cell>
          <cell r="H151">
            <v>13</v>
          </cell>
          <cell r="I151">
            <v>3</v>
          </cell>
          <cell r="J151">
            <v>2</v>
          </cell>
          <cell r="K151">
            <v>3</v>
          </cell>
          <cell r="L151">
            <v>1</v>
          </cell>
        </row>
        <row r="152">
          <cell r="B152" t="str">
            <v>海军军舰</v>
          </cell>
          <cell r="C152" t="str">
            <v>战斗</v>
          </cell>
          <cell r="D152">
            <v>5</v>
          </cell>
          <cell r="E152">
            <v>2</v>
          </cell>
          <cell r="F152">
            <v>2</v>
          </cell>
          <cell r="G152">
            <v>3</v>
          </cell>
          <cell r="H152">
            <v>13</v>
          </cell>
          <cell r="I152">
            <v>1</v>
          </cell>
          <cell r="J152">
            <v>4</v>
          </cell>
          <cell r="K152">
            <v>2</v>
          </cell>
          <cell r="L152">
            <v>4</v>
          </cell>
        </row>
        <row r="153">
          <cell r="B153" t="str">
            <v>可爱小鸭号</v>
          </cell>
          <cell r="C153" t="str">
            <v>采集</v>
          </cell>
          <cell r="D153">
            <v>3</v>
          </cell>
          <cell r="E153">
            <v>2</v>
          </cell>
          <cell r="F153">
            <v>4</v>
          </cell>
          <cell r="G153">
            <v>3</v>
          </cell>
          <cell r="H153">
            <v>13</v>
          </cell>
          <cell r="I153">
            <v>4</v>
          </cell>
          <cell r="J153">
            <v>4</v>
          </cell>
          <cell r="K153">
            <v>2</v>
          </cell>
          <cell r="L153">
            <v>1</v>
          </cell>
        </row>
        <row r="154">
          <cell r="B154" t="str">
            <v>性感福克斯号</v>
          </cell>
          <cell r="C154" t="str">
            <v>均衡</v>
          </cell>
          <cell r="D154">
            <v>3</v>
          </cell>
          <cell r="E154">
            <v>3</v>
          </cell>
          <cell r="F154">
            <v>3</v>
          </cell>
          <cell r="G154">
            <v>4</v>
          </cell>
          <cell r="H154">
            <v>13</v>
          </cell>
          <cell r="I154">
            <v>4</v>
          </cell>
          <cell r="J154">
            <v>4</v>
          </cell>
          <cell r="K154">
            <v>4</v>
          </cell>
          <cell r="L154">
            <v>4</v>
          </cell>
        </row>
        <row r="155">
          <cell r="B155" t="str">
            <v>黑胡子木筏</v>
          </cell>
          <cell r="C155" t="str">
            <v>战斗</v>
          </cell>
          <cell r="D155">
            <v>5</v>
          </cell>
          <cell r="E155">
            <v>2</v>
          </cell>
          <cell r="F155">
            <v>2</v>
          </cell>
          <cell r="G155">
            <v>5</v>
          </cell>
          <cell r="H155">
            <v>14</v>
          </cell>
          <cell r="I155">
            <v>4</v>
          </cell>
          <cell r="J155">
            <v>3</v>
          </cell>
          <cell r="K155">
            <v>4</v>
          </cell>
          <cell r="L155">
            <v>2</v>
          </cell>
        </row>
        <row r="156">
          <cell r="B156" t="str">
            <v>太阳海盗团</v>
          </cell>
          <cell r="C156" t="str">
            <v>采集</v>
          </cell>
          <cell r="D156">
            <v>2</v>
          </cell>
          <cell r="E156">
            <v>3</v>
          </cell>
          <cell r="F156">
            <v>4</v>
          </cell>
          <cell r="G156">
            <v>5</v>
          </cell>
          <cell r="H156">
            <v>14</v>
          </cell>
          <cell r="I156">
            <v>3</v>
          </cell>
          <cell r="J156">
            <v>5</v>
          </cell>
          <cell r="K156">
            <v>3</v>
          </cell>
          <cell r="L156">
            <v>5</v>
          </cell>
        </row>
        <row r="157">
          <cell r="B157" t="str">
            <v>戈普的军舰</v>
          </cell>
          <cell r="C157" t="str">
            <v>战斗</v>
          </cell>
          <cell r="D157">
            <v>5</v>
          </cell>
          <cell r="E157">
            <v>2</v>
          </cell>
          <cell r="F157">
            <v>2</v>
          </cell>
          <cell r="G157">
            <v>5</v>
          </cell>
          <cell r="H157">
            <v>14</v>
          </cell>
          <cell r="I157">
            <v>4</v>
          </cell>
          <cell r="J157">
            <v>4</v>
          </cell>
          <cell r="K157">
            <v>3</v>
          </cell>
          <cell r="L157">
            <v>4</v>
          </cell>
        </row>
        <row r="158">
          <cell r="B158" t="str">
            <v>极地潜水号</v>
          </cell>
          <cell r="C158" t="str">
            <v>续航</v>
          </cell>
          <cell r="D158">
            <v>2</v>
          </cell>
          <cell r="E158">
            <v>3</v>
          </cell>
          <cell r="F158">
            <v>4</v>
          </cell>
          <cell r="G158">
            <v>6</v>
          </cell>
          <cell r="H158">
            <v>15</v>
          </cell>
          <cell r="I158">
            <v>4</v>
          </cell>
          <cell r="J158">
            <v>3</v>
          </cell>
          <cell r="K158">
            <v>7</v>
          </cell>
          <cell r="L158">
            <v>3</v>
          </cell>
        </row>
        <row r="159">
          <cell r="B159" t="str">
            <v>幽灵船</v>
          </cell>
          <cell r="C159" t="str">
            <v>战斗</v>
          </cell>
          <cell r="D159">
            <v>5</v>
          </cell>
          <cell r="E159">
            <v>2</v>
          </cell>
          <cell r="F159">
            <v>2</v>
          </cell>
          <cell r="G159">
            <v>5</v>
          </cell>
          <cell r="H159">
            <v>15</v>
          </cell>
          <cell r="I159">
            <v>3</v>
          </cell>
          <cell r="J159">
            <v>6</v>
          </cell>
          <cell r="K159">
            <v>4</v>
          </cell>
          <cell r="L159">
            <v>4</v>
          </cell>
        </row>
        <row r="160">
          <cell r="B160" t="str">
            <v>风·格拉玛号</v>
          </cell>
          <cell r="C160" t="str">
            <v>均衡</v>
          </cell>
          <cell r="D160">
            <v>3</v>
          </cell>
          <cell r="E160">
            <v>3</v>
          </cell>
          <cell r="F160">
            <v>3</v>
          </cell>
          <cell r="G160">
            <v>5</v>
          </cell>
          <cell r="H160">
            <v>15</v>
          </cell>
          <cell r="I160">
            <v>5</v>
          </cell>
          <cell r="J160">
            <v>4</v>
          </cell>
          <cell r="K160">
            <v>5</v>
          </cell>
          <cell r="L160">
            <v>4</v>
          </cell>
        </row>
        <row r="161">
          <cell r="B161" t="str">
            <v>弗兰姆.瑞兹号</v>
          </cell>
          <cell r="C161" t="str">
            <v>采集</v>
          </cell>
          <cell r="D161">
            <v>2</v>
          </cell>
          <cell r="E161">
            <v>3</v>
          </cell>
          <cell r="F161">
            <v>4</v>
          </cell>
          <cell r="G161">
            <v>5</v>
          </cell>
          <cell r="H161">
            <v>15</v>
          </cell>
          <cell r="I161">
            <v>5</v>
          </cell>
          <cell r="J161">
            <v>4</v>
          </cell>
          <cell r="K161">
            <v>8</v>
          </cell>
          <cell r="L161">
            <v>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41"/>
  <sheetViews>
    <sheetView tabSelected="1" workbookViewId="0">
      <pane xSplit="2" ySplit="6" topLeftCell="C16" activePane="bottomRight" state="frozen"/>
      <selection/>
      <selection pane="topRight"/>
      <selection pane="bottomLeft"/>
      <selection pane="bottomRight" activeCell="A41" sqref="$A41:$XFD41"/>
    </sheetView>
  </sheetViews>
  <sheetFormatPr defaultColWidth="9" defaultRowHeight="13.5"/>
  <cols>
    <col min="1" max="1" width="12.625" customWidth="1"/>
    <col min="2" max="4" width="16" customWidth="1"/>
    <col min="5" max="5" width="12" customWidth="1"/>
    <col min="6" max="7" width="14.875" customWidth="1"/>
    <col min="8" max="8" width="85.875" customWidth="1"/>
    <col min="9" max="9" width="19.5" customWidth="1"/>
    <col min="10" max="10" width="20.375" customWidth="1"/>
    <col min="12" max="12" width="13.7583333333333" customWidth="1"/>
    <col min="13" max="17" width="26.7583333333333" customWidth="1"/>
    <col min="18" max="18" width="45" customWidth="1"/>
    <col min="19" max="19" width="30" customWidth="1"/>
    <col min="20" max="20" width="34.875" customWidth="1"/>
    <col min="21" max="22" width="12.875" customWidth="1"/>
    <col min="23" max="23" width="17.875" customWidth="1"/>
    <col min="24" max="25" width="12.875" customWidth="1"/>
  </cols>
  <sheetData>
    <row r="1" spans="1:8">
      <c r="A1" s="24">
        <v>7</v>
      </c>
      <c r="B1" s="24">
        <v>1</v>
      </c>
      <c r="C1" s="24">
        <v>999</v>
      </c>
      <c r="D1" s="24">
        <v>30</v>
      </c>
      <c r="F1" s="24"/>
      <c r="G1" s="24"/>
      <c r="H1" s="24"/>
    </row>
    <row r="2" spans="1:33">
      <c r="A2" s="24" t="s">
        <v>0</v>
      </c>
      <c r="B2" s="24" t="s">
        <v>1</v>
      </c>
      <c r="C2" s="24" t="s">
        <v>2</v>
      </c>
      <c r="D2" s="24" t="s">
        <v>3</v>
      </c>
      <c r="E2" s="24" t="s">
        <v>4</v>
      </c>
      <c r="F2" s="24" t="s">
        <v>5</v>
      </c>
      <c r="G2" s="24" t="s">
        <v>6</v>
      </c>
      <c r="H2" s="24" t="s">
        <v>7</v>
      </c>
      <c r="I2" s="29" t="s">
        <v>8</v>
      </c>
      <c r="J2" s="29" t="s">
        <v>8</v>
      </c>
      <c r="K2" s="29" t="s">
        <v>9</v>
      </c>
      <c r="L2" s="29" t="s">
        <v>10</v>
      </c>
      <c r="M2" s="29" t="s">
        <v>11</v>
      </c>
      <c r="N2" s="29" t="s">
        <v>12</v>
      </c>
      <c r="O2" s="29" t="s">
        <v>13</v>
      </c>
      <c r="P2" s="29" t="s">
        <v>14</v>
      </c>
      <c r="Q2" s="29" t="s">
        <v>15</v>
      </c>
      <c r="R2" s="26" t="s">
        <v>16</v>
      </c>
      <c r="S2" s="26" t="s">
        <v>17</v>
      </c>
      <c r="T2" s="26" t="s">
        <v>18</v>
      </c>
      <c r="U2" s="29" t="s">
        <v>19</v>
      </c>
      <c r="V2" s="29" t="s">
        <v>20</v>
      </c>
      <c r="W2" s="29" t="s">
        <v>21</v>
      </c>
      <c r="X2" s="29" t="s">
        <v>22</v>
      </c>
      <c r="Y2" s="29"/>
      <c r="Z2" s="29"/>
      <c r="AA2" s="29"/>
      <c r="AB2" s="29"/>
      <c r="AC2" s="29"/>
      <c r="AD2" s="29"/>
      <c r="AE2" s="29" t="s">
        <v>23</v>
      </c>
      <c r="AF2" s="29"/>
      <c r="AG2" s="29"/>
    </row>
    <row r="3" spans="1:33">
      <c r="A3" s="24" t="s">
        <v>24</v>
      </c>
      <c r="B3" s="24" t="s">
        <v>25</v>
      </c>
      <c r="C3" s="24" t="s">
        <v>26</v>
      </c>
      <c r="D3" s="24" t="s">
        <v>27</v>
      </c>
      <c r="E3" s="24" t="s">
        <v>28</v>
      </c>
      <c r="F3" s="24" t="s">
        <v>29</v>
      </c>
      <c r="G3" s="24" t="s">
        <v>30</v>
      </c>
      <c r="H3" s="24" t="s">
        <v>31</v>
      </c>
      <c r="I3" s="29" t="s">
        <v>32</v>
      </c>
      <c r="J3" s="29" t="s">
        <v>33</v>
      </c>
      <c r="K3" s="29"/>
      <c r="L3" s="29" t="s">
        <v>34</v>
      </c>
      <c r="M3" s="29" t="s">
        <v>35</v>
      </c>
      <c r="N3" s="29" t="s">
        <v>36</v>
      </c>
      <c r="O3" s="29" t="s">
        <v>37</v>
      </c>
      <c r="P3" s="29" t="s">
        <v>38</v>
      </c>
      <c r="Q3" s="29" t="s">
        <v>39</v>
      </c>
      <c r="R3" s="26" t="s">
        <v>40</v>
      </c>
      <c r="S3" s="26" t="s">
        <v>41</v>
      </c>
      <c r="T3" s="26" t="s">
        <v>42</v>
      </c>
      <c r="U3" s="29"/>
      <c r="V3" s="29" t="s">
        <v>43</v>
      </c>
      <c r="W3" s="29" t="s">
        <v>44</v>
      </c>
      <c r="X3" s="29" t="s">
        <v>45</v>
      </c>
      <c r="Y3" s="29"/>
      <c r="Z3" s="29"/>
      <c r="AA3" s="29"/>
      <c r="AB3" s="29"/>
      <c r="AC3" s="29"/>
      <c r="AD3" s="29" t="s">
        <v>46</v>
      </c>
      <c r="AE3" s="29" t="s">
        <v>47</v>
      </c>
      <c r="AF3" s="29" t="s">
        <v>48</v>
      </c>
      <c r="AG3" s="29" t="s">
        <v>48</v>
      </c>
    </row>
    <row r="4" spans="1:33">
      <c r="A4" s="24" t="s">
        <v>49</v>
      </c>
      <c r="B4" s="24" t="s">
        <v>47</v>
      </c>
      <c r="C4" s="24" t="s">
        <v>49</v>
      </c>
      <c r="D4" s="24" t="s">
        <v>50</v>
      </c>
      <c r="E4" s="24" t="s">
        <v>49</v>
      </c>
      <c r="F4" s="24" t="s">
        <v>49</v>
      </c>
      <c r="G4" s="24" t="s">
        <v>49</v>
      </c>
      <c r="H4" s="24" t="s">
        <v>47</v>
      </c>
      <c r="I4" s="29" t="s">
        <v>48</v>
      </c>
      <c r="J4" s="29" t="s">
        <v>48</v>
      </c>
      <c r="K4" s="29" t="s">
        <v>49</v>
      </c>
      <c r="L4" s="29" t="s">
        <v>48</v>
      </c>
      <c r="M4" s="29" t="s">
        <v>47</v>
      </c>
      <c r="N4" s="24" t="s">
        <v>50</v>
      </c>
      <c r="O4" s="29" t="s">
        <v>48</v>
      </c>
      <c r="P4" s="29" t="s">
        <v>47</v>
      </c>
      <c r="Q4" s="29" t="s">
        <v>47</v>
      </c>
      <c r="R4" s="26" t="s">
        <v>47</v>
      </c>
      <c r="S4" s="26" t="s">
        <v>49</v>
      </c>
      <c r="T4" s="26" t="s">
        <v>47</v>
      </c>
      <c r="U4" s="26"/>
      <c r="V4" s="26" t="s">
        <v>49</v>
      </c>
      <c r="W4" s="26" t="s">
        <v>51</v>
      </c>
      <c r="X4" s="26" t="s">
        <v>47</v>
      </c>
      <c r="Y4" s="29"/>
      <c r="Z4" s="29"/>
      <c r="AA4" s="29"/>
      <c r="AB4" s="29"/>
      <c r="AC4" s="29"/>
      <c r="AD4" s="29"/>
      <c r="AE4" s="29" t="s">
        <v>52</v>
      </c>
      <c r="AF4" s="29" t="s">
        <v>53</v>
      </c>
      <c r="AG4" s="29" t="s">
        <v>54</v>
      </c>
    </row>
    <row r="5" spans="1:33">
      <c r="A5" s="24" t="s">
        <v>55</v>
      </c>
      <c r="B5" s="24" t="s">
        <v>56</v>
      </c>
      <c r="C5" s="24" t="s">
        <v>56</v>
      </c>
      <c r="D5" s="24" t="s">
        <v>56</v>
      </c>
      <c r="E5" s="24" t="s">
        <v>56</v>
      </c>
      <c r="F5" s="24" t="s">
        <v>56</v>
      </c>
      <c r="G5" s="24" t="s">
        <v>56</v>
      </c>
      <c r="H5" s="24" t="s">
        <v>56</v>
      </c>
      <c r="I5" s="29" t="s">
        <v>56</v>
      </c>
      <c r="J5" s="29" t="s">
        <v>56</v>
      </c>
      <c r="K5" s="29" t="s">
        <v>56</v>
      </c>
      <c r="L5" s="29" t="s">
        <v>56</v>
      </c>
      <c r="M5" s="29" t="s">
        <v>56</v>
      </c>
      <c r="N5" s="29" t="s">
        <v>56</v>
      </c>
      <c r="O5" s="29" t="s">
        <v>56</v>
      </c>
      <c r="P5" s="29" t="s">
        <v>56</v>
      </c>
      <c r="Q5" s="29" t="s">
        <v>56</v>
      </c>
      <c r="R5" s="26" t="s">
        <v>56</v>
      </c>
      <c r="S5" s="26" t="s">
        <v>56</v>
      </c>
      <c r="T5" s="26" t="s">
        <v>56</v>
      </c>
      <c r="U5" s="26"/>
      <c r="V5" s="26" t="s">
        <v>56</v>
      </c>
      <c r="W5" s="26" t="s">
        <v>56</v>
      </c>
      <c r="X5" s="26" t="s">
        <v>56</v>
      </c>
      <c r="Y5" s="29"/>
      <c r="Z5" s="29"/>
      <c r="AA5" s="29"/>
      <c r="AB5" s="29"/>
      <c r="AC5" s="29"/>
      <c r="AD5" s="29"/>
      <c r="AE5" s="29" t="s">
        <v>56</v>
      </c>
      <c r="AF5" s="29" t="s">
        <v>56</v>
      </c>
      <c r="AG5" s="29" t="s">
        <v>56</v>
      </c>
    </row>
    <row r="6" spans="1:23">
      <c r="A6" s="24" t="s">
        <v>24</v>
      </c>
      <c r="B6" s="24" t="s">
        <v>25</v>
      </c>
      <c r="C6" s="24"/>
      <c r="D6" s="24"/>
      <c r="E6" s="24" t="s">
        <v>28</v>
      </c>
      <c r="F6" s="24" t="s">
        <v>29</v>
      </c>
      <c r="G6" s="24" t="s">
        <v>30</v>
      </c>
      <c r="H6" s="24"/>
      <c r="K6" t="s">
        <v>57</v>
      </c>
      <c r="L6" t="s">
        <v>34</v>
      </c>
      <c r="M6" s="29" t="s">
        <v>35</v>
      </c>
      <c r="N6" s="29"/>
      <c r="O6" s="29"/>
      <c r="P6" s="29" t="s">
        <v>38</v>
      </c>
      <c r="Q6" s="29" t="s">
        <v>39</v>
      </c>
      <c r="R6" s="26" t="s">
        <v>40</v>
      </c>
      <c r="S6" s="26" t="s">
        <v>58</v>
      </c>
      <c r="T6" s="26" t="s">
        <v>42</v>
      </c>
      <c r="U6" s="26" t="s">
        <v>59</v>
      </c>
      <c r="W6" t="s">
        <v>44</v>
      </c>
    </row>
    <row r="7" spans="1:25">
      <c r="A7">
        <v>130001</v>
      </c>
      <c r="B7" s="25" t="s">
        <v>60</v>
      </c>
      <c r="C7">
        <v>10</v>
      </c>
      <c r="D7" t="s">
        <v>61</v>
      </c>
      <c r="E7">
        <v>1</v>
      </c>
      <c r="F7">
        <v>1</v>
      </c>
      <c r="G7">
        <v>1</v>
      </c>
      <c r="H7" s="25"/>
      <c r="I7">
        <v>-16.6</v>
      </c>
      <c r="J7">
        <v>0.6</v>
      </c>
      <c r="L7">
        <v>2.4</v>
      </c>
      <c r="M7" s="30"/>
      <c r="N7" t="s">
        <v>62</v>
      </c>
      <c r="O7">
        <v>1</v>
      </c>
      <c r="P7" s="30"/>
      <c r="Q7" s="30"/>
      <c r="R7" s="31" t="s">
        <v>63</v>
      </c>
      <c r="S7" s="31" t="s">
        <v>64</v>
      </c>
      <c r="T7" s="31"/>
      <c r="Y7" t="s">
        <v>65</v>
      </c>
    </row>
    <row r="8" spans="1:33">
      <c r="A8">
        <v>130002</v>
      </c>
      <c r="B8" s="26" t="s">
        <v>66</v>
      </c>
      <c r="C8">
        <v>2</v>
      </c>
      <c r="D8" t="s">
        <v>67</v>
      </c>
      <c r="E8">
        <v>0</v>
      </c>
      <c r="F8">
        <v>0</v>
      </c>
      <c r="G8">
        <v>1</v>
      </c>
      <c r="H8" s="26" t="s">
        <v>68</v>
      </c>
      <c r="I8">
        <v>5</v>
      </c>
      <c r="J8">
        <v>-0.98</v>
      </c>
      <c r="L8">
        <v>2.4</v>
      </c>
      <c r="M8" s="30" t="s">
        <v>69</v>
      </c>
      <c r="N8" t="s">
        <v>70</v>
      </c>
      <c r="O8">
        <v>0.7</v>
      </c>
      <c r="P8" s="30" t="s">
        <v>71</v>
      </c>
      <c r="Q8" s="30"/>
      <c r="R8" s="31" t="s">
        <v>72</v>
      </c>
      <c r="S8" s="31" t="s">
        <v>73</v>
      </c>
      <c r="T8" s="31" t="s">
        <v>74</v>
      </c>
      <c r="U8" s="23" t="s">
        <v>75</v>
      </c>
      <c r="V8" s="23"/>
      <c r="W8" s="23"/>
      <c r="X8" s="23"/>
      <c r="Y8" s="23" t="s">
        <v>66</v>
      </c>
      <c r="AE8" t="s">
        <v>76</v>
      </c>
      <c r="AF8">
        <v>-135</v>
      </c>
      <c r="AG8">
        <v>0.3</v>
      </c>
    </row>
    <row r="9" spans="1:25">
      <c r="A9">
        <v>130003</v>
      </c>
      <c r="B9" s="26" t="s">
        <v>77</v>
      </c>
      <c r="C9">
        <v>1</v>
      </c>
      <c r="D9" s="24" t="s">
        <v>78</v>
      </c>
      <c r="E9">
        <v>0</v>
      </c>
      <c r="F9">
        <v>0</v>
      </c>
      <c r="G9">
        <v>1</v>
      </c>
      <c r="H9" s="26" t="s">
        <v>79</v>
      </c>
      <c r="I9">
        <v>2.2</v>
      </c>
      <c r="J9">
        <v>4.25</v>
      </c>
      <c r="L9">
        <v>2.4</v>
      </c>
      <c r="M9" s="30" t="s">
        <v>80</v>
      </c>
      <c r="N9" s="24" t="s">
        <v>81</v>
      </c>
      <c r="O9">
        <v>0.65</v>
      </c>
      <c r="P9" s="30" t="s">
        <v>71</v>
      </c>
      <c r="Q9" s="30"/>
      <c r="R9" s="31" t="s">
        <v>82</v>
      </c>
      <c r="S9" s="31" t="s">
        <v>73</v>
      </c>
      <c r="T9" s="31" t="s">
        <v>74</v>
      </c>
      <c r="U9" s="23" t="s">
        <v>75</v>
      </c>
      <c r="Y9" t="s">
        <v>77</v>
      </c>
    </row>
    <row r="10" spans="1:25">
      <c r="A10">
        <v>130004</v>
      </c>
      <c r="B10" s="25" t="s">
        <v>83</v>
      </c>
      <c r="C10">
        <v>12</v>
      </c>
      <c r="D10" t="s">
        <v>84</v>
      </c>
      <c r="E10">
        <v>0</v>
      </c>
      <c r="F10">
        <v>0</v>
      </c>
      <c r="G10">
        <v>1</v>
      </c>
      <c r="H10" s="26" t="s">
        <v>85</v>
      </c>
      <c r="I10">
        <v>0</v>
      </c>
      <c r="J10">
        <v>0.8</v>
      </c>
      <c r="L10">
        <v>2.4</v>
      </c>
      <c r="M10" s="30" t="s">
        <v>86</v>
      </c>
      <c r="N10" t="s">
        <v>87</v>
      </c>
      <c r="O10">
        <v>0.7</v>
      </c>
      <c r="P10" s="30" t="s">
        <v>71</v>
      </c>
      <c r="Q10" s="30"/>
      <c r="R10" s="31" t="s">
        <v>88</v>
      </c>
      <c r="S10" s="31" t="s">
        <v>73</v>
      </c>
      <c r="T10" s="31" t="s">
        <v>74</v>
      </c>
      <c r="U10" s="23" t="s">
        <v>75</v>
      </c>
      <c r="Y10" t="s">
        <v>83</v>
      </c>
    </row>
    <row r="11" spans="1:25">
      <c r="A11">
        <v>130005</v>
      </c>
      <c r="B11" s="26" t="s">
        <v>89</v>
      </c>
      <c r="C11">
        <v>6</v>
      </c>
      <c r="D11" t="s">
        <v>90</v>
      </c>
      <c r="E11">
        <v>0</v>
      </c>
      <c r="F11">
        <v>0</v>
      </c>
      <c r="G11">
        <v>2</v>
      </c>
      <c r="H11" s="26" t="s">
        <v>91</v>
      </c>
      <c r="I11">
        <v>-1.6</v>
      </c>
      <c r="J11">
        <v>-1.29</v>
      </c>
      <c r="L11">
        <v>2.4</v>
      </c>
      <c r="M11" s="30" t="s">
        <v>92</v>
      </c>
      <c r="N11" t="s">
        <v>93</v>
      </c>
      <c r="O11">
        <v>0.8</v>
      </c>
      <c r="P11" s="30" t="s">
        <v>71</v>
      </c>
      <c r="Q11" s="30"/>
      <c r="R11" s="31" t="s">
        <v>94</v>
      </c>
      <c r="S11" s="31" t="s">
        <v>73</v>
      </c>
      <c r="T11" s="31" t="s">
        <v>95</v>
      </c>
      <c r="U11" s="23" t="s">
        <v>96</v>
      </c>
      <c r="Y11" t="s">
        <v>89</v>
      </c>
    </row>
    <row r="12" spans="1:25">
      <c r="A12">
        <v>130006</v>
      </c>
      <c r="B12" s="26" t="s">
        <v>97</v>
      </c>
      <c r="C12">
        <v>4</v>
      </c>
      <c r="D12" t="s">
        <v>98</v>
      </c>
      <c r="E12">
        <v>0</v>
      </c>
      <c r="F12">
        <v>0</v>
      </c>
      <c r="G12">
        <v>2</v>
      </c>
      <c r="H12" s="26" t="s">
        <v>99</v>
      </c>
      <c r="I12">
        <v>0.6</v>
      </c>
      <c r="J12">
        <v>-1.42</v>
      </c>
      <c r="L12">
        <v>2.4</v>
      </c>
      <c r="M12" s="30" t="s">
        <v>100</v>
      </c>
      <c r="N12" t="s">
        <v>101</v>
      </c>
      <c r="O12">
        <v>0.7</v>
      </c>
      <c r="P12" s="30" t="s">
        <v>71</v>
      </c>
      <c r="Q12" s="30"/>
      <c r="R12" s="31" t="s">
        <v>88</v>
      </c>
      <c r="S12" s="31" t="s">
        <v>73</v>
      </c>
      <c r="T12" s="31" t="s">
        <v>95</v>
      </c>
      <c r="U12" s="23" t="s">
        <v>96</v>
      </c>
      <c r="V12" s="23"/>
      <c r="W12" s="23"/>
      <c r="X12" s="23"/>
      <c r="Y12" s="23" t="s">
        <v>102</v>
      </c>
    </row>
    <row r="13" spans="1:25">
      <c r="A13">
        <v>130007</v>
      </c>
      <c r="B13" s="26" t="s">
        <v>103</v>
      </c>
      <c r="C13">
        <v>9</v>
      </c>
      <c r="D13" t="s">
        <v>104</v>
      </c>
      <c r="E13">
        <v>0</v>
      </c>
      <c r="F13">
        <v>0</v>
      </c>
      <c r="G13">
        <v>2</v>
      </c>
      <c r="H13" s="26" t="s">
        <v>105</v>
      </c>
      <c r="I13">
        <v>-0.5</v>
      </c>
      <c r="J13">
        <v>-2.27</v>
      </c>
      <c r="L13">
        <v>2.4</v>
      </c>
      <c r="M13" s="30" t="s">
        <v>106</v>
      </c>
      <c r="N13" t="s">
        <v>107</v>
      </c>
      <c r="O13">
        <v>0.7</v>
      </c>
      <c r="P13" s="30" t="s">
        <v>71</v>
      </c>
      <c r="Q13" s="30"/>
      <c r="R13" s="31" t="s">
        <v>108</v>
      </c>
      <c r="S13" s="31" t="s">
        <v>73</v>
      </c>
      <c r="T13" s="31" t="s">
        <v>95</v>
      </c>
      <c r="U13" s="23" t="s">
        <v>96</v>
      </c>
      <c r="Y13" t="s">
        <v>103</v>
      </c>
    </row>
    <row r="14" spans="1:25">
      <c r="A14">
        <v>130008</v>
      </c>
      <c r="B14" s="26" t="s">
        <v>109</v>
      </c>
      <c r="C14">
        <v>8</v>
      </c>
      <c r="D14" t="s">
        <v>110</v>
      </c>
      <c r="E14">
        <v>0</v>
      </c>
      <c r="F14">
        <v>0</v>
      </c>
      <c r="G14">
        <v>3</v>
      </c>
      <c r="H14" s="26" t="s">
        <v>111</v>
      </c>
      <c r="I14">
        <v>2.68</v>
      </c>
      <c r="J14">
        <v>9.64</v>
      </c>
      <c r="L14">
        <v>2.4</v>
      </c>
      <c r="M14" s="30" t="s">
        <v>112</v>
      </c>
      <c r="N14" t="s">
        <v>113</v>
      </c>
      <c r="O14">
        <v>0.6</v>
      </c>
      <c r="P14" s="30" t="s">
        <v>114</v>
      </c>
      <c r="Q14" s="30"/>
      <c r="R14" s="31" t="s">
        <v>115</v>
      </c>
      <c r="S14" s="31" t="s">
        <v>73</v>
      </c>
      <c r="T14" s="31" t="s">
        <v>116</v>
      </c>
      <c r="U14" s="23" t="s">
        <v>117</v>
      </c>
      <c r="Y14" t="s">
        <v>109</v>
      </c>
    </row>
    <row r="15" spans="1:27">
      <c r="A15">
        <v>130009</v>
      </c>
      <c r="B15" s="26" t="s">
        <v>46</v>
      </c>
      <c r="C15">
        <v>3</v>
      </c>
      <c r="D15" t="s">
        <v>118</v>
      </c>
      <c r="E15">
        <v>0</v>
      </c>
      <c r="F15">
        <v>0</v>
      </c>
      <c r="G15">
        <v>3</v>
      </c>
      <c r="H15" s="26" t="s">
        <v>119</v>
      </c>
      <c r="I15">
        <v>2</v>
      </c>
      <c r="J15">
        <v>2.5</v>
      </c>
      <c r="L15">
        <v>2.4</v>
      </c>
      <c r="M15" s="30" t="s">
        <v>120</v>
      </c>
      <c r="N15" t="s">
        <v>121</v>
      </c>
      <c r="O15">
        <v>0.7</v>
      </c>
      <c r="P15" s="30" t="s">
        <v>114</v>
      </c>
      <c r="Q15" s="30"/>
      <c r="R15" s="31" t="s">
        <v>122</v>
      </c>
      <c r="S15" s="31" t="s">
        <v>73</v>
      </c>
      <c r="T15" s="31" t="s">
        <v>116</v>
      </c>
      <c r="U15" s="23" t="s">
        <v>117</v>
      </c>
      <c r="V15" s="23"/>
      <c r="W15" s="23"/>
      <c r="X15" s="23"/>
      <c r="Y15" s="23" t="s">
        <v>46</v>
      </c>
      <c r="Z15">
        <v>130008</v>
      </c>
      <c r="AA15" t="s">
        <v>123</v>
      </c>
    </row>
    <row r="16" spans="1:25">
      <c r="A16">
        <v>130010</v>
      </c>
      <c r="B16" s="26" t="s">
        <v>124</v>
      </c>
      <c r="C16">
        <v>5</v>
      </c>
      <c r="D16" t="s">
        <v>125</v>
      </c>
      <c r="E16">
        <v>0</v>
      </c>
      <c r="F16">
        <v>1</v>
      </c>
      <c r="G16">
        <v>5</v>
      </c>
      <c r="H16" s="26" t="s">
        <v>126</v>
      </c>
      <c r="I16">
        <v>7.2</v>
      </c>
      <c r="J16">
        <v>2.5</v>
      </c>
      <c r="L16">
        <v>2.4</v>
      </c>
      <c r="M16" s="30" t="s">
        <v>127</v>
      </c>
      <c r="N16" t="s">
        <v>128</v>
      </c>
      <c r="O16">
        <v>0.6</v>
      </c>
      <c r="P16" s="30" t="s">
        <v>129</v>
      </c>
      <c r="Q16" s="30"/>
      <c r="R16" s="31" t="s">
        <v>130</v>
      </c>
      <c r="S16" s="31" t="s">
        <v>73</v>
      </c>
      <c r="T16" s="31" t="s">
        <v>131</v>
      </c>
      <c r="U16" s="23" t="s">
        <v>132</v>
      </c>
      <c r="V16" s="23"/>
      <c r="W16" s="23"/>
      <c r="X16" s="23"/>
      <c r="Y16" s="23" t="s">
        <v>124</v>
      </c>
    </row>
    <row r="17" spans="1:25">
      <c r="A17">
        <v>130011</v>
      </c>
      <c r="B17" s="26" t="s">
        <v>133</v>
      </c>
      <c r="C17">
        <v>7</v>
      </c>
      <c r="D17" t="s">
        <v>134</v>
      </c>
      <c r="E17">
        <v>0</v>
      </c>
      <c r="F17">
        <v>1</v>
      </c>
      <c r="G17">
        <v>5</v>
      </c>
      <c r="H17" s="26" t="s">
        <v>135</v>
      </c>
      <c r="I17">
        <v>-3.6</v>
      </c>
      <c r="J17">
        <v>10.49</v>
      </c>
      <c r="L17">
        <v>2.4</v>
      </c>
      <c r="M17" s="30" t="s">
        <v>136</v>
      </c>
      <c r="N17" t="s">
        <v>137</v>
      </c>
      <c r="O17">
        <v>0.7</v>
      </c>
      <c r="P17" s="30" t="s">
        <v>129</v>
      </c>
      <c r="Q17" s="30"/>
      <c r="R17" s="31" t="s">
        <v>138</v>
      </c>
      <c r="S17" s="31" t="s">
        <v>73</v>
      </c>
      <c r="T17" s="31" t="s">
        <v>131</v>
      </c>
      <c r="U17" s="23" t="s">
        <v>132</v>
      </c>
      <c r="V17" s="23"/>
      <c r="W17" s="23"/>
      <c r="X17" s="23"/>
      <c r="Y17" s="23" t="s">
        <v>133</v>
      </c>
    </row>
    <row r="18" spans="1:25">
      <c r="A18">
        <v>130012</v>
      </c>
      <c r="B18" s="26" t="s">
        <v>139</v>
      </c>
      <c r="C18">
        <v>13</v>
      </c>
      <c r="D18" t="s">
        <v>140</v>
      </c>
      <c r="E18">
        <v>0</v>
      </c>
      <c r="F18">
        <v>1</v>
      </c>
      <c r="G18">
        <v>5</v>
      </c>
      <c r="H18" s="26" t="s">
        <v>141</v>
      </c>
      <c r="I18">
        <v>2.35</v>
      </c>
      <c r="J18">
        <v>10.54</v>
      </c>
      <c r="L18">
        <v>2.4</v>
      </c>
      <c r="M18" s="30" t="s">
        <v>142</v>
      </c>
      <c r="N18" t="s">
        <v>143</v>
      </c>
      <c r="O18">
        <v>0.75</v>
      </c>
      <c r="P18" s="30" t="s">
        <v>129</v>
      </c>
      <c r="Q18" s="30"/>
      <c r="R18" s="31" t="s">
        <v>144</v>
      </c>
      <c r="S18" s="31" t="s">
        <v>73</v>
      </c>
      <c r="T18" s="31" t="s">
        <v>131</v>
      </c>
      <c r="U18" s="23" t="s">
        <v>132</v>
      </c>
      <c r="Y18" t="s">
        <v>139</v>
      </c>
    </row>
    <row r="19" spans="1:25">
      <c r="A19">
        <v>130013</v>
      </c>
      <c r="B19" s="26" t="s">
        <v>145</v>
      </c>
      <c r="C19">
        <v>14</v>
      </c>
      <c r="D19" t="s">
        <v>146</v>
      </c>
      <c r="E19">
        <v>0</v>
      </c>
      <c r="F19">
        <v>1</v>
      </c>
      <c r="G19">
        <v>6</v>
      </c>
      <c r="H19" s="26" t="s">
        <v>147</v>
      </c>
      <c r="I19">
        <v>0</v>
      </c>
      <c r="J19">
        <v>0</v>
      </c>
      <c r="L19">
        <v>2.4</v>
      </c>
      <c r="M19" s="30" t="s">
        <v>148</v>
      </c>
      <c r="N19" t="s">
        <v>149</v>
      </c>
      <c r="O19">
        <v>1</v>
      </c>
      <c r="P19" s="30" t="s">
        <v>129</v>
      </c>
      <c r="Q19" s="30"/>
      <c r="R19" s="31" t="s">
        <v>150</v>
      </c>
      <c r="S19" s="31" t="s">
        <v>73</v>
      </c>
      <c r="T19" s="31" t="s">
        <v>151</v>
      </c>
      <c r="U19" s="23" t="s">
        <v>152</v>
      </c>
      <c r="Y19" t="s">
        <v>153</v>
      </c>
    </row>
    <row r="20" spans="1:26">
      <c r="A20">
        <v>130014</v>
      </c>
      <c r="B20" s="26" t="s">
        <v>154</v>
      </c>
      <c r="C20">
        <v>15</v>
      </c>
      <c r="D20" t="s">
        <v>155</v>
      </c>
      <c r="E20">
        <v>0</v>
      </c>
      <c r="F20">
        <v>0</v>
      </c>
      <c r="G20">
        <v>3</v>
      </c>
      <c r="H20" s="26" t="s">
        <v>156</v>
      </c>
      <c r="I20">
        <v>2.35</v>
      </c>
      <c r="J20">
        <v>10.54</v>
      </c>
      <c r="L20">
        <v>2.4</v>
      </c>
      <c r="M20" s="30" t="s">
        <v>157</v>
      </c>
      <c r="N20" t="s">
        <v>158</v>
      </c>
      <c r="O20">
        <v>0.75</v>
      </c>
      <c r="P20" s="30" t="s">
        <v>114</v>
      </c>
      <c r="Q20" s="30"/>
      <c r="R20" s="31" t="s">
        <v>159</v>
      </c>
      <c r="S20" s="31" t="s">
        <v>73</v>
      </c>
      <c r="T20" s="31" t="s">
        <v>116</v>
      </c>
      <c r="U20" s="23" t="s">
        <v>117</v>
      </c>
      <c r="Y20" t="s">
        <v>154</v>
      </c>
      <c r="Z20">
        <v>15</v>
      </c>
    </row>
    <row r="21" spans="1:26">
      <c r="A21">
        <v>130015</v>
      </c>
      <c r="B21" s="26" t="s">
        <v>160</v>
      </c>
      <c r="C21">
        <v>16</v>
      </c>
      <c r="D21" t="s">
        <v>161</v>
      </c>
      <c r="E21">
        <v>0</v>
      </c>
      <c r="F21">
        <v>0</v>
      </c>
      <c r="G21">
        <v>3</v>
      </c>
      <c r="H21" s="26" t="s">
        <v>162</v>
      </c>
      <c r="I21">
        <v>8.6</v>
      </c>
      <c r="J21">
        <v>2.95</v>
      </c>
      <c r="L21">
        <v>2.4</v>
      </c>
      <c r="M21" s="30" t="s">
        <v>163</v>
      </c>
      <c r="N21" t="s">
        <v>164</v>
      </c>
      <c r="O21">
        <v>0.7</v>
      </c>
      <c r="P21" s="30" t="s">
        <v>114</v>
      </c>
      <c r="Q21" s="30"/>
      <c r="R21" s="31" t="s">
        <v>165</v>
      </c>
      <c r="S21" s="31" t="s">
        <v>73</v>
      </c>
      <c r="T21" s="31" t="s">
        <v>116</v>
      </c>
      <c r="U21" s="23" t="s">
        <v>117</v>
      </c>
      <c r="Y21" t="s">
        <v>160</v>
      </c>
      <c r="Z21">
        <v>16</v>
      </c>
    </row>
    <row r="22" spans="1:26">
      <c r="A22">
        <v>130016</v>
      </c>
      <c r="B22" s="26" t="s">
        <v>166</v>
      </c>
      <c r="C22">
        <v>17</v>
      </c>
      <c r="D22" t="s">
        <v>167</v>
      </c>
      <c r="E22">
        <v>0</v>
      </c>
      <c r="F22">
        <v>1</v>
      </c>
      <c r="G22">
        <v>4</v>
      </c>
      <c r="H22" s="26" t="s">
        <v>168</v>
      </c>
      <c r="I22">
        <v>0</v>
      </c>
      <c r="J22">
        <v>0</v>
      </c>
      <c r="L22">
        <v>2.4</v>
      </c>
      <c r="M22" s="30">
        <v>1130101</v>
      </c>
      <c r="N22" t="s">
        <v>169</v>
      </c>
      <c r="O22">
        <v>1</v>
      </c>
      <c r="P22" s="30" t="s">
        <v>129</v>
      </c>
      <c r="Q22" s="30"/>
      <c r="R22" s="31" t="s">
        <v>170</v>
      </c>
      <c r="S22" s="31" t="s">
        <v>73</v>
      </c>
      <c r="T22" s="31" t="s">
        <v>171</v>
      </c>
      <c r="U22" s="23" t="s">
        <v>172</v>
      </c>
      <c r="Y22" t="s">
        <v>173</v>
      </c>
      <c r="Z22">
        <v>17</v>
      </c>
    </row>
    <row r="23" spans="1:26">
      <c r="A23">
        <v>130017</v>
      </c>
      <c r="B23" s="26" t="s">
        <v>174</v>
      </c>
      <c r="C23">
        <v>18</v>
      </c>
      <c r="D23" t="s">
        <v>175</v>
      </c>
      <c r="E23">
        <v>0</v>
      </c>
      <c r="F23">
        <v>1</v>
      </c>
      <c r="G23">
        <v>6</v>
      </c>
      <c r="H23" s="26" t="s">
        <v>176</v>
      </c>
      <c r="I23">
        <v>0</v>
      </c>
      <c r="J23">
        <v>0</v>
      </c>
      <c r="L23">
        <v>2.4</v>
      </c>
      <c r="M23" s="30" t="s">
        <v>177</v>
      </c>
      <c r="N23" t="s">
        <v>178</v>
      </c>
      <c r="O23">
        <v>1</v>
      </c>
      <c r="P23" s="30" t="s">
        <v>129</v>
      </c>
      <c r="Q23" s="30"/>
      <c r="R23" s="31" t="s">
        <v>179</v>
      </c>
      <c r="S23" s="31" t="s">
        <v>73</v>
      </c>
      <c r="T23" s="31" t="s">
        <v>151</v>
      </c>
      <c r="U23" s="23" t="s">
        <v>152</v>
      </c>
      <c r="Y23" t="s">
        <v>174</v>
      </c>
      <c r="Z23">
        <v>18</v>
      </c>
    </row>
    <row r="24" spans="1:25">
      <c r="A24">
        <v>130018</v>
      </c>
      <c r="B24" t="s">
        <v>180</v>
      </c>
      <c r="C24">
        <v>19</v>
      </c>
      <c r="D24" t="s">
        <v>181</v>
      </c>
      <c r="E24">
        <v>0</v>
      </c>
      <c r="F24">
        <v>1</v>
      </c>
      <c r="G24">
        <v>6</v>
      </c>
      <c r="H24" t="s">
        <v>182</v>
      </c>
      <c r="I24">
        <v>0</v>
      </c>
      <c r="J24">
        <v>0</v>
      </c>
      <c r="L24">
        <v>2.4</v>
      </c>
      <c r="M24" s="30" t="s">
        <v>183</v>
      </c>
      <c r="N24" t="s">
        <v>184</v>
      </c>
      <c r="O24">
        <v>1</v>
      </c>
      <c r="P24" s="30" t="s">
        <v>129</v>
      </c>
      <c r="Q24" s="30"/>
      <c r="R24" s="31" t="s">
        <v>185</v>
      </c>
      <c r="S24" s="31" t="s">
        <v>73</v>
      </c>
      <c r="T24" s="31" t="s">
        <v>151</v>
      </c>
      <c r="U24" s="23" t="s">
        <v>152</v>
      </c>
      <c r="Y24" t="s">
        <v>180</v>
      </c>
    </row>
    <row r="25" spans="1:25">
      <c r="A25">
        <v>130019</v>
      </c>
      <c r="B25" t="s">
        <v>186</v>
      </c>
      <c r="C25">
        <v>20</v>
      </c>
      <c r="D25" t="s">
        <v>187</v>
      </c>
      <c r="E25">
        <v>0</v>
      </c>
      <c r="F25">
        <v>1</v>
      </c>
      <c r="G25">
        <v>6</v>
      </c>
      <c r="H25" t="s">
        <v>188</v>
      </c>
      <c r="I25">
        <v>0</v>
      </c>
      <c r="J25">
        <v>0</v>
      </c>
      <c r="L25">
        <v>2.4</v>
      </c>
      <c r="M25" s="30" t="s">
        <v>189</v>
      </c>
      <c r="N25" t="s">
        <v>190</v>
      </c>
      <c r="O25">
        <v>1</v>
      </c>
      <c r="P25" s="30" t="s">
        <v>129</v>
      </c>
      <c r="Q25" s="30"/>
      <c r="R25" s="31" t="s">
        <v>191</v>
      </c>
      <c r="S25" s="31" t="s">
        <v>73</v>
      </c>
      <c r="T25" s="31" t="s">
        <v>151</v>
      </c>
      <c r="U25" s="23" t="s">
        <v>152</v>
      </c>
      <c r="V25" s="23"/>
      <c r="W25" s="23"/>
      <c r="X25" s="23"/>
      <c r="Y25" s="23" t="s">
        <v>186</v>
      </c>
    </row>
    <row r="26" spans="1:25">
      <c r="A26">
        <v>130020</v>
      </c>
      <c r="B26" t="s">
        <v>192</v>
      </c>
      <c r="C26">
        <v>21</v>
      </c>
      <c r="D26" t="s">
        <v>193</v>
      </c>
      <c r="E26">
        <v>0</v>
      </c>
      <c r="F26">
        <v>1</v>
      </c>
      <c r="G26">
        <v>6</v>
      </c>
      <c r="H26" t="s">
        <v>194</v>
      </c>
      <c r="I26">
        <v>0</v>
      </c>
      <c r="J26">
        <v>0</v>
      </c>
      <c r="L26">
        <v>2.4</v>
      </c>
      <c r="M26" s="30" t="s">
        <v>195</v>
      </c>
      <c r="N26" t="s">
        <v>196</v>
      </c>
      <c r="O26">
        <v>1</v>
      </c>
      <c r="P26" s="30" t="s">
        <v>129</v>
      </c>
      <c r="Q26" s="30"/>
      <c r="R26" s="31" t="s">
        <v>197</v>
      </c>
      <c r="S26" s="31" t="s">
        <v>73</v>
      </c>
      <c r="T26" s="31" t="s">
        <v>151</v>
      </c>
      <c r="U26" s="23" t="s">
        <v>152</v>
      </c>
      <c r="V26" s="23"/>
      <c r="W26" s="23"/>
      <c r="X26" s="23"/>
      <c r="Y26" s="23" t="s">
        <v>192</v>
      </c>
    </row>
    <row r="27" spans="1:25">
      <c r="A27">
        <v>130021</v>
      </c>
      <c r="B27" t="s">
        <v>198</v>
      </c>
      <c r="C27">
        <v>23</v>
      </c>
      <c r="D27" t="s">
        <v>199</v>
      </c>
      <c r="E27">
        <v>0</v>
      </c>
      <c r="F27">
        <v>1</v>
      </c>
      <c r="G27">
        <v>6</v>
      </c>
      <c r="H27" t="s">
        <v>200</v>
      </c>
      <c r="I27">
        <v>0</v>
      </c>
      <c r="J27">
        <v>0</v>
      </c>
      <c r="L27">
        <v>2.4</v>
      </c>
      <c r="M27" s="30" t="s">
        <v>201</v>
      </c>
      <c r="N27" t="s">
        <v>202</v>
      </c>
      <c r="O27">
        <v>1</v>
      </c>
      <c r="P27" s="30" t="s">
        <v>129</v>
      </c>
      <c r="Q27" s="31"/>
      <c r="R27" s="31" t="s">
        <v>203</v>
      </c>
      <c r="S27" s="31" t="s">
        <v>73</v>
      </c>
      <c r="T27" s="31" t="s">
        <v>151</v>
      </c>
      <c r="U27" s="23" t="s">
        <v>152</v>
      </c>
      <c r="Y27" t="s">
        <v>204</v>
      </c>
    </row>
    <row r="28" spans="1:25">
      <c r="A28">
        <v>130022</v>
      </c>
      <c r="B28" t="s">
        <v>205</v>
      </c>
      <c r="C28">
        <v>24</v>
      </c>
      <c r="D28" t="s">
        <v>206</v>
      </c>
      <c r="E28">
        <v>1</v>
      </c>
      <c r="F28">
        <v>1</v>
      </c>
      <c r="G28">
        <v>6</v>
      </c>
      <c r="I28">
        <v>0</v>
      </c>
      <c r="J28">
        <v>0</v>
      </c>
      <c r="L28">
        <v>2.4</v>
      </c>
      <c r="N28" t="s">
        <v>207</v>
      </c>
      <c r="O28">
        <v>1</v>
      </c>
      <c r="P28" s="30" t="s">
        <v>129</v>
      </c>
      <c r="Q28" s="30"/>
      <c r="R28" s="31" t="s">
        <v>208</v>
      </c>
      <c r="S28" s="31" t="s">
        <v>73</v>
      </c>
      <c r="T28" s="31" t="s">
        <v>151</v>
      </c>
      <c r="U28" s="23" t="s">
        <v>152</v>
      </c>
      <c r="Y28" t="s">
        <v>209</v>
      </c>
    </row>
    <row r="29" spans="1:25">
      <c r="A29">
        <v>130023</v>
      </c>
      <c r="B29" t="s">
        <v>210</v>
      </c>
      <c r="C29">
        <v>25</v>
      </c>
      <c r="D29" t="s">
        <v>211</v>
      </c>
      <c r="E29">
        <v>0</v>
      </c>
      <c r="F29">
        <v>1</v>
      </c>
      <c r="G29">
        <v>6</v>
      </c>
      <c r="H29" s="27" t="s">
        <v>212</v>
      </c>
      <c r="I29">
        <v>0</v>
      </c>
      <c r="J29">
        <v>0</v>
      </c>
      <c r="L29">
        <v>2.4</v>
      </c>
      <c r="M29" s="30" t="s">
        <v>213</v>
      </c>
      <c r="N29" t="s">
        <v>214</v>
      </c>
      <c r="O29">
        <v>1</v>
      </c>
      <c r="P29" s="31" t="s">
        <v>114</v>
      </c>
      <c r="Q29" s="31"/>
      <c r="R29" s="31" t="s">
        <v>215</v>
      </c>
      <c r="S29" s="31" t="s">
        <v>73</v>
      </c>
      <c r="T29" s="31" t="s">
        <v>151</v>
      </c>
      <c r="U29" s="23" t="s">
        <v>152</v>
      </c>
      <c r="Y29" t="s">
        <v>216</v>
      </c>
    </row>
    <row r="30" spans="1:25">
      <c r="A30">
        <v>130024</v>
      </c>
      <c r="B30" t="s">
        <v>217</v>
      </c>
      <c r="C30">
        <v>26</v>
      </c>
      <c r="D30" t="s">
        <v>218</v>
      </c>
      <c r="E30">
        <v>0</v>
      </c>
      <c r="F30">
        <v>1</v>
      </c>
      <c r="G30">
        <v>6</v>
      </c>
      <c r="H30" s="27" t="s">
        <v>219</v>
      </c>
      <c r="I30">
        <v>0</v>
      </c>
      <c r="J30">
        <v>0</v>
      </c>
      <c r="L30">
        <v>2.4</v>
      </c>
      <c r="M30" s="30" t="s">
        <v>220</v>
      </c>
      <c r="N30" t="s">
        <v>221</v>
      </c>
      <c r="O30">
        <v>1</v>
      </c>
      <c r="P30" s="30" t="s">
        <v>129</v>
      </c>
      <c r="Q30" s="30"/>
      <c r="R30" s="31" t="s">
        <v>222</v>
      </c>
      <c r="S30" s="31" t="s">
        <v>73</v>
      </c>
      <c r="T30" s="31" t="s">
        <v>151</v>
      </c>
      <c r="U30" s="23" t="s">
        <v>152</v>
      </c>
      <c r="Y30" t="s">
        <v>223</v>
      </c>
    </row>
    <row r="31" spans="1:25">
      <c r="A31">
        <v>130025</v>
      </c>
      <c r="B31" t="s">
        <v>224</v>
      </c>
      <c r="C31">
        <v>27</v>
      </c>
      <c r="D31" t="s">
        <v>225</v>
      </c>
      <c r="E31">
        <v>1</v>
      </c>
      <c r="F31">
        <v>1</v>
      </c>
      <c r="G31">
        <v>6</v>
      </c>
      <c r="I31">
        <v>0</v>
      </c>
      <c r="J31">
        <v>0</v>
      </c>
      <c r="L31">
        <v>2.4</v>
      </c>
      <c r="N31" t="s">
        <v>226</v>
      </c>
      <c r="O31">
        <v>1</v>
      </c>
      <c r="P31" s="30" t="s">
        <v>129</v>
      </c>
      <c r="Q31" s="30"/>
      <c r="R31" s="33" t="s">
        <v>197</v>
      </c>
      <c r="S31" s="31" t="s">
        <v>73</v>
      </c>
      <c r="T31" s="31" t="s">
        <v>151</v>
      </c>
      <c r="U31" s="23" t="s">
        <v>152</v>
      </c>
      <c r="Y31" t="s">
        <v>227</v>
      </c>
    </row>
    <row r="32" customFormat="1" spans="1:25">
      <c r="A32">
        <v>130026</v>
      </c>
      <c r="B32" t="s">
        <v>228</v>
      </c>
      <c r="C32">
        <v>28</v>
      </c>
      <c r="D32" t="s">
        <v>229</v>
      </c>
      <c r="E32">
        <v>0</v>
      </c>
      <c r="F32">
        <v>1</v>
      </c>
      <c r="G32">
        <v>6</v>
      </c>
      <c r="H32" t="s">
        <v>230</v>
      </c>
      <c r="I32">
        <v>0</v>
      </c>
      <c r="J32">
        <v>0</v>
      </c>
      <c r="L32">
        <v>2.4</v>
      </c>
      <c r="M32" s="30" t="s">
        <v>231</v>
      </c>
      <c r="N32" t="s">
        <v>232</v>
      </c>
      <c r="O32">
        <v>1</v>
      </c>
      <c r="P32" s="30" t="s">
        <v>129</v>
      </c>
      <c r="Q32" s="30"/>
      <c r="R32" s="33" t="s">
        <v>197</v>
      </c>
      <c r="S32" s="31" t="s">
        <v>73</v>
      </c>
      <c r="T32" s="31" t="s">
        <v>151</v>
      </c>
      <c r="U32" s="23" t="s">
        <v>152</v>
      </c>
      <c r="Y32" t="s">
        <v>233</v>
      </c>
    </row>
    <row r="33" spans="1:25">
      <c r="A33">
        <v>130027</v>
      </c>
      <c r="B33" t="s">
        <v>234</v>
      </c>
      <c r="C33">
        <v>29</v>
      </c>
      <c r="D33" t="s">
        <v>235</v>
      </c>
      <c r="E33">
        <v>0</v>
      </c>
      <c r="F33">
        <v>1</v>
      </c>
      <c r="G33">
        <v>6</v>
      </c>
      <c r="H33" t="s">
        <v>236</v>
      </c>
      <c r="I33">
        <v>0</v>
      </c>
      <c r="J33">
        <v>0</v>
      </c>
      <c r="L33">
        <v>2.4</v>
      </c>
      <c r="M33" s="30" t="s">
        <v>237</v>
      </c>
      <c r="N33" t="s">
        <v>238</v>
      </c>
      <c r="O33">
        <v>1</v>
      </c>
      <c r="P33" s="30" t="s">
        <v>129</v>
      </c>
      <c r="Q33" s="30"/>
      <c r="R33" s="33" t="s">
        <v>197</v>
      </c>
      <c r="S33" s="31" t="s">
        <v>73</v>
      </c>
      <c r="T33" s="31" t="s">
        <v>151</v>
      </c>
      <c r="U33" s="23" t="s">
        <v>152</v>
      </c>
      <c r="Y33" t="s">
        <v>239</v>
      </c>
    </row>
    <row r="34" spans="1:25">
      <c r="A34">
        <v>130028</v>
      </c>
      <c r="B34" t="s">
        <v>240</v>
      </c>
      <c r="C34">
        <v>32</v>
      </c>
      <c r="D34" t="s">
        <v>241</v>
      </c>
      <c r="E34">
        <v>0</v>
      </c>
      <c r="F34">
        <v>1</v>
      </c>
      <c r="G34">
        <v>6</v>
      </c>
      <c r="H34" t="s">
        <v>242</v>
      </c>
      <c r="I34">
        <v>0</v>
      </c>
      <c r="J34">
        <v>0</v>
      </c>
      <c r="L34">
        <v>2.4</v>
      </c>
      <c r="M34" s="30" t="s">
        <v>243</v>
      </c>
      <c r="N34" t="s">
        <v>244</v>
      </c>
      <c r="O34">
        <v>1</v>
      </c>
      <c r="P34" s="30" t="s">
        <v>129</v>
      </c>
      <c r="Q34" s="30"/>
      <c r="R34" s="34" t="s">
        <v>245</v>
      </c>
      <c r="S34" s="31" t="s">
        <v>73</v>
      </c>
      <c r="T34" s="31" t="s">
        <v>151</v>
      </c>
      <c r="U34" s="23" t="s">
        <v>152</v>
      </c>
      <c r="Y34" t="s">
        <v>240</v>
      </c>
    </row>
    <row r="35" spans="1:25">
      <c r="A35">
        <v>130029</v>
      </c>
      <c r="B35" t="s">
        <v>246</v>
      </c>
      <c r="C35">
        <v>33</v>
      </c>
      <c r="D35" t="s">
        <v>247</v>
      </c>
      <c r="E35">
        <v>0</v>
      </c>
      <c r="F35">
        <v>1</v>
      </c>
      <c r="G35">
        <v>6</v>
      </c>
      <c r="H35" s="27" t="s">
        <v>248</v>
      </c>
      <c r="I35">
        <v>0</v>
      </c>
      <c r="J35">
        <v>0</v>
      </c>
      <c r="L35">
        <v>2.4</v>
      </c>
      <c r="M35" s="30" t="s">
        <v>249</v>
      </c>
      <c r="N35" t="s">
        <v>250</v>
      </c>
      <c r="O35">
        <v>1</v>
      </c>
      <c r="P35" s="30" t="s">
        <v>129</v>
      </c>
      <c r="Q35" s="30"/>
      <c r="R35" s="34" t="s">
        <v>251</v>
      </c>
      <c r="S35" s="31" t="s">
        <v>73</v>
      </c>
      <c r="T35" s="31" t="s">
        <v>151</v>
      </c>
      <c r="U35" s="23" t="s">
        <v>152</v>
      </c>
      <c r="Y35" t="s">
        <v>252</v>
      </c>
    </row>
    <row r="36" spans="1:25">
      <c r="A36">
        <v>130030</v>
      </c>
      <c r="B36" t="s">
        <v>253</v>
      </c>
      <c r="C36">
        <v>37</v>
      </c>
      <c r="D36" t="s">
        <v>254</v>
      </c>
      <c r="E36">
        <v>0</v>
      </c>
      <c r="F36">
        <v>1</v>
      </c>
      <c r="G36">
        <v>6</v>
      </c>
      <c r="H36" s="27" t="s">
        <v>255</v>
      </c>
      <c r="I36">
        <v>0</v>
      </c>
      <c r="J36">
        <v>0</v>
      </c>
      <c r="L36">
        <v>2.4</v>
      </c>
      <c r="M36" s="30" t="s">
        <v>256</v>
      </c>
      <c r="N36" t="s">
        <v>257</v>
      </c>
      <c r="O36">
        <v>1</v>
      </c>
      <c r="P36" s="30" t="s">
        <v>129</v>
      </c>
      <c r="Q36" s="30"/>
      <c r="R36" s="34" t="s">
        <v>258</v>
      </c>
      <c r="S36" s="31" t="s">
        <v>73</v>
      </c>
      <c r="T36" s="31" t="s">
        <v>151</v>
      </c>
      <c r="U36" s="23" t="s">
        <v>152</v>
      </c>
      <c r="Y36" t="s">
        <v>253</v>
      </c>
    </row>
    <row r="37" spans="1:25">
      <c r="A37">
        <v>130031</v>
      </c>
      <c r="B37" t="s">
        <v>259</v>
      </c>
      <c r="C37">
        <v>38</v>
      </c>
      <c r="D37" t="s">
        <v>260</v>
      </c>
      <c r="E37">
        <v>0</v>
      </c>
      <c r="F37">
        <v>1</v>
      </c>
      <c r="G37">
        <v>6</v>
      </c>
      <c r="H37" t="s">
        <v>261</v>
      </c>
      <c r="I37">
        <v>0</v>
      </c>
      <c r="J37">
        <v>0</v>
      </c>
      <c r="L37">
        <v>2.4</v>
      </c>
      <c r="M37" s="30" t="s">
        <v>262</v>
      </c>
      <c r="N37" t="s">
        <v>263</v>
      </c>
      <c r="O37">
        <v>1</v>
      </c>
      <c r="P37" s="30" t="s">
        <v>129</v>
      </c>
      <c r="Q37" s="30"/>
      <c r="R37" s="34" t="s">
        <v>264</v>
      </c>
      <c r="S37" s="31" t="s">
        <v>73</v>
      </c>
      <c r="T37" s="31" t="s">
        <v>151</v>
      </c>
      <c r="U37" s="23" t="s">
        <v>152</v>
      </c>
      <c r="Y37" t="s">
        <v>259</v>
      </c>
    </row>
    <row r="38" spans="1:25">
      <c r="A38">
        <v>130032</v>
      </c>
      <c r="B38" s="25" t="s">
        <v>265</v>
      </c>
      <c r="C38" s="28">
        <v>39</v>
      </c>
      <c r="D38" t="s">
        <v>266</v>
      </c>
      <c r="E38">
        <v>0</v>
      </c>
      <c r="F38">
        <v>1</v>
      </c>
      <c r="G38">
        <v>6</v>
      </c>
      <c r="H38" s="25" t="s">
        <v>267</v>
      </c>
      <c r="I38">
        <v>-16.6</v>
      </c>
      <c r="J38">
        <v>0.6</v>
      </c>
      <c r="L38">
        <v>2.4</v>
      </c>
      <c r="M38" s="30"/>
      <c r="N38" t="s">
        <v>268</v>
      </c>
      <c r="O38">
        <v>1</v>
      </c>
      <c r="P38" s="30" t="s">
        <v>129</v>
      </c>
      <c r="Q38" s="30"/>
      <c r="R38" s="34" t="s">
        <v>245</v>
      </c>
      <c r="S38" s="31" t="s">
        <v>64</v>
      </c>
      <c r="T38" s="31"/>
      <c r="V38">
        <v>1</v>
      </c>
      <c r="Y38" t="s">
        <v>65</v>
      </c>
    </row>
    <row r="39" s="23" customFormat="1" spans="1:25">
      <c r="A39" s="23">
        <v>130033</v>
      </c>
      <c r="B39" s="23" t="s">
        <v>269</v>
      </c>
      <c r="C39" s="28">
        <v>40</v>
      </c>
      <c r="D39" s="23" t="s">
        <v>270</v>
      </c>
      <c r="E39" s="23">
        <v>0</v>
      </c>
      <c r="F39" s="23">
        <v>1</v>
      </c>
      <c r="G39" s="23">
        <v>6</v>
      </c>
      <c r="H39" s="23" t="s">
        <v>271</v>
      </c>
      <c r="I39" s="23">
        <v>0</v>
      </c>
      <c r="J39" s="23">
        <v>0</v>
      </c>
      <c r="L39" s="23">
        <v>2.4</v>
      </c>
      <c r="M39" s="32" t="s">
        <v>272</v>
      </c>
      <c r="N39" s="23" t="s">
        <v>273</v>
      </c>
      <c r="O39" s="23">
        <v>1</v>
      </c>
      <c r="P39" s="32" t="s">
        <v>129</v>
      </c>
      <c r="Q39" s="32"/>
      <c r="R39" s="35" t="s">
        <v>197</v>
      </c>
      <c r="S39" s="36" t="s">
        <v>73</v>
      </c>
      <c r="T39" s="36" t="s">
        <v>151</v>
      </c>
      <c r="U39" s="23" t="s">
        <v>152</v>
      </c>
      <c r="Y39" s="23" t="s">
        <v>269</v>
      </c>
    </row>
    <row r="40" spans="1:25">
      <c r="A40">
        <v>130034</v>
      </c>
      <c r="B40" t="s">
        <v>274</v>
      </c>
      <c r="C40">
        <v>41</v>
      </c>
      <c r="D40" s="23" t="s">
        <v>275</v>
      </c>
      <c r="E40">
        <v>0</v>
      </c>
      <c r="F40">
        <v>1</v>
      </c>
      <c r="G40">
        <v>6</v>
      </c>
      <c r="H40" t="s">
        <v>276</v>
      </c>
      <c r="I40">
        <v>0</v>
      </c>
      <c r="J40">
        <v>0</v>
      </c>
      <c r="L40">
        <v>2.4</v>
      </c>
      <c r="M40" s="30" t="s">
        <v>277</v>
      </c>
      <c r="N40" t="s">
        <v>278</v>
      </c>
      <c r="O40">
        <v>1</v>
      </c>
      <c r="P40" s="30" t="s">
        <v>129</v>
      </c>
      <c r="Q40" s="30"/>
      <c r="R40" s="34" t="s">
        <v>264</v>
      </c>
      <c r="S40" s="31" t="s">
        <v>73</v>
      </c>
      <c r="T40" s="31" t="s">
        <v>151</v>
      </c>
      <c r="U40" s="23" t="s">
        <v>152</v>
      </c>
      <c r="Y40" t="s">
        <v>274</v>
      </c>
    </row>
    <row r="41" spans="13:13">
      <c r="M41" s="26"/>
    </row>
  </sheetData>
  <sortState ref="A7:AJ16">
    <sortCondition ref="A7"/>
  </sortState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T69"/>
  <sheetViews>
    <sheetView workbookViewId="0">
      <selection activeCell="H61" sqref="H61"/>
    </sheetView>
  </sheetViews>
  <sheetFormatPr defaultColWidth="9" defaultRowHeight="16.5"/>
  <cols>
    <col min="1" max="1" width="9" style="2"/>
    <col min="2" max="2" width="15" style="1" customWidth="1"/>
    <col min="3" max="3" width="9.25833333333333" style="2"/>
    <col min="4" max="7" width="9" style="2"/>
    <col min="8" max="11" width="9" style="2" customWidth="1"/>
    <col min="12" max="16384" width="9" style="2"/>
  </cols>
  <sheetData>
    <row r="3" spans="2:20">
      <c r="B3" s="4"/>
      <c r="C3" s="5" t="s">
        <v>279</v>
      </c>
      <c r="D3" s="6"/>
      <c r="E3" s="6"/>
      <c r="F3" s="6"/>
      <c r="G3" s="6"/>
      <c r="H3" s="6"/>
      <c r="I3" s="6"/>
      <c r="J3" s="6"/>
      <c r="K3" s="16"/>
      <c r="L3" s="5" t="s">
        <v>280</v>
      </c>
      <c r="M3" s="6"/>
      <c r="N3" s="6"/>
      <c r="O3" s="6"/>
      <c r="P3" s="6"/>
      <c r="Q3" s="6"/>
      <c r="R3" s="6"/>
      <c r="S3" s="6"/>
      <c r="T3" s="16"/>
    </row>
    <row r="4" spans="2:20">
      <c r="B4" s="7"/>
      <c r="C4" s="8">
        <v>1</v>
      </c>
      <c r="D4" s="9">
        <v>2</v>
      </c>
      <c r="E4" s="9">
        <v>3</v>
      </c>
      <c r="F4" s="9">
        <v>4</v>
      </c>
      <c r="G4" s="9">
        <v>5</v>
      </c>
      <c r="H4" s="9">
        <v>6</v>
      </c>
      <c r="I4" s="9">
        <v>7</v>
      </c>
      <c r="J4" s="9">
        <v>8</v>
      </c>
      <c r="K4" s="17">
        <v>9</v>
      </c>
      <c r="L4" s="8">
        <v>1</v>
      </c>
      <c r="M4" s="9">
        <v>2</v>
      </c>
      <c r="N4" s="9">
        <v>3</v>
      </c>
      <c r="O4" s="9">
        <v>4</v>
      </c>
      <c r="P4" s="9">
        <v>5</v>
      </c>
      <c r="Q4" s="9">
        <v>6</v>
      </c>
      <c r="R4" s="9">
        <v>7</v>
      </c>
      <c r="S4" s="9">
        <v>8</v>
      </c>
      <c r="T4" s="17">
        <v>9</v>
      </c>
    </row>
    <row r="5" spans="2:20">
      <c r="B5" s="10" t="s">
        <v>66</v>
      </c>
      <c r="C5" s="11">
        <f>VLOOKUP(B5,[1]标准战斗!$B$13:$P$30,13,FALSE)</f>
        <v>70</v>
      </c>
      <c r="D5" s="2">
        <f>VLOOKUP(B5,[1]标准战斗!$B$13:$P$30,14,FALSE)</f>
        <v>40</v>
      </c>
      <c r="E5" s="2">
        <f>VLOOKUP(B5,[1]标准战斗!$B$13:$P$30,15,FALSE)</f>
        <v>421</v>
      </c>
      <c r="F5" s="2">
        <f>VLOOKUP(B5,[1]标准战斗!$B$91:$E$108,4,FALSE)</f>
        <v>0.3</v>
      </c>
      <c r="G5" s="2">
        <f>VLOOKUP(B5,[1]标准战斗!$B$69:$J$86,9,FALSE)</f>
        <v>35.3</v>
      </c>
      <c r="H5" s="3">
        <f>VLOOKUP(B5,[1]标准战斗!$B$112:$F$129,5,FALSE)</f>
        <v>38.6363636363636</v>
      </c>
      <c r="I5" s="3">
        <f t="shared" ref="I5:K5" si="0">H5</f>
        <v>38.6363636363636</v>
      </c>
      <c r="J5" s="3">
        <f t="shared" si="0"/>
        <v>38.6363636363636</v>
      </c>
      <c r="K5" s="18">
        <f t="shared" si="0"/>
        <v>38.6363636363636</v>
      </c>
      <c r="L5" s="11">
        <f>VLOOKUP(B5,[1]标准战斗!$B$144:$L$161,3,FALSE)</f>
        <v>2</v>
      </c>
      <c r="M5" s="2">
        <f>VLOOKUP(B5,[1]标准战斗!$B$144:$L$161,4,FALSE)</f>
        <v>3</v>
      </c>
      <c r="N5" s="2">
        <f>VLOOKUP(B5,[1]标准战斗!$B$144:$L$161,5,FALSE)</f>
        <v>4</v>
      </c>
      <c r="O5" s="2">
        <f>VLOOKUP(B5,[1]标准战斗!$B$144:$L$161,7,FALSE)</f>
        <v>13</v>
      </c>
      <c r="P5" s="2">
        <f>VLOOKUP(B5,[1]标准战斗!$B$144:$L$161,6,FALSE)</f>
        <v>3</v>
      </c>
      <c r="Q5" s="2">
        <f>VLOOKUP(B5,[1]标准战斗!$B$144:$L$161,11,FALSE)</f>
        <v>1</v>
      </c>
      <c r="R5" s="2">
        <f>VLOOKUP(B5,[1]标准战斗!$B$144:$L$161,9,FALSE)</f>
        <v>2</v>
      </c>
      <c r="S5" s="2">
        <f>VLOOKUP(B5,[1]标准战斗!$B$144:$L$161,8,FALSE)</f>
        <v>4</v>
      </c>
      <c r="T5" s="21">
        <f>VLOOKUP(B5,[1]标准战斗!$B$144:$L$161,10,FALSE)</f>
        <v>4</v>
      </c>
    </row>
    <row r="6" spans="2:20">
      <c r="B6" s="10" t="s">
        <v>77</v>
      </c>
      <c r="C6" s="11">
        <f>VLOOKUP(B6,[1]标准战斗!$B$13:$P$30,13,FALSE)</f>
        <v>68</v>
      </c>
      <c r="D6" s="2">
        <f>VLOOKUP(B6,[1]标准战斗!$B$13:$P$30,14,FALSE)</f>
        <v>40</v>
      </c>
      <c r="E6" s="2">
        <f>VLOOKUP(B6,[1]标准战斗!$B$13:$P$30,15,FALSE)</f>
        <v>432</v>
      </c>
      <c r="F6" s="2">
        <f>VLOOKUP(B6,[1]标准战斗!$B$91:$E$108,4,FALSE)</f>
        <v>0.3</v>
      </c>
      <c r="G6" s="2">
        <f>VLOOKUP(B6,[1]标准战斗!$B$69:$J$86,9,FALSE)</f>
        <v>37.2</v>
      </c>
      <c r="H6" s="3">
        <f>VLOOKUP(B6,[1]标准战斗!$B$112:$F$129,5,FALSE)</f>
        <v>36.3636363636364</v>
      </c>
      <c r="I6" s="3">
        <f t="shared" ref="I6:K6" si="1">H6</f>
        <v>36.3636363636364</v>
      </c>
      <c r="J6" s="3">
        <f t="shared" si="1"/>
        <v>36.3636363636364</v>
      </c>
      <c r="K6" s="18">
        <f t="shared" si="1"/>
        <v>36.3636363636364</v>
      </c>
      <c r="L6" s="11">
        <f>VLOOKUP(B6,[1]标准战斗!$B$144:$L$161,3,FALSE)</f>
        <v>2</v>
      </c>
      <c r="M6" s="2">
        <f>VLOOKUP(B6,[1]标准战斗!$B$144:$L$161,4,FALSE)</f>
        <v>3</v>
      </c>
      <c r="N6" s="2">
        <f>VLOOKUP(B6,[1]标准战斗!$B$144:$L$161,5,FALSE)</f>
        <v>4</v>
      </c>
      <c r="O6" s="2">
        <f>VLOOKUP(B6,[1]标准战斗!$B$144:$L$161,7,FALSE)</f>
        <v>13</v>
      </c>
      <c r="P6" s="2">
        <f>VLOOKUP(B6,[1]标准战斗!$B$144:$L$161,6,FALSE)</f>
        <v>4</v>
      </c>
      <c r="Q6" s="2">
        <f>VLOOKUP(B6,[1]标准战斗!$B$144:$L$161,11,FALSE)</f>
        <v>1</v>
      </c>
      <c r="R6" s="2">
        <f>VLOOKUP(B6,[1]标准战斗!$B$144:$L$161,9,FALSE)</f>
        <v>2</v>
      </c>
      <c r="S6" s="2">
        <f>VLOOKUP(B6,[1]标准战斗!$B$144:$L$161,8,FALSE)</f>
        <v>3</v>
      </c>
      <c r="T6" s="21">
        <f>VLOOKUP(B6,[1]标准战斗!$B$144:$L$161,10,FALSE)</f>
        <v>3</v>
      </c>
    </row>
    <row r="7" spans="2:20">
      <c r="B7" s="10" t="s">
        <v>83</v>
      </c>
      <c r="C7" s="11">
        <f>VLOOKUP(B7,[1]标准战斗!$B$13:$P$30,13,FALSE)</f>
        <v>78</v>
      </c>
      <c r="D7" s="2">
        <f>VLOOKUP(B7,[1]标准战斗!$B$13:$P$30,14,FALSE)</f>
        <v>44</v>
      </c>
      <c r="E7" s="2">
        <f>VLOOKUP(B7,[1]标准战斗!$B$13:$P$30,15,FALSE)</f>
        <v>468</v>
      </c>
      <c r="F7" s="2">
        <f>VLOOKUP(B7,[1]标准战斗!$B$91:$E$108,4,FALSE)</f>
        <v>0.3</v>
      </c>
      <c r="G7" s="2">
        <f>VLOOKUP(B7,[1]标准战斗!$B$69:$J$86,9,FALSE)</f>
        <v>35.3</v>
      </c>
      <c r="H7" s="3">
        <f>VLOOKUP(B7,[1]标准战斗!$B$112:$F$129,5,FALSE)</f>
        <v>36.3636363636364</v>
      </c>
      <c r="I7" s="3">
        <f t="shared" ref="I7:K7" si="2">H7</f>
        <v>36.3636363636364</v>
      </c>
      <c r="J7" s="3">
        <f t="shared" si="2"/>
        <v>36.3636363636364</v>
      </c>
      <c r="K7" s="18">
        <f t="shared" si="2"/>
        <v>36.3636363636364</v>
      </c>
      <c r="L7" s="11">
        <f>VLOOKUP(B7,[1]标准战斗!$B$144:$L$161,3,FALSE)</f>
        <v>5</v>
      </c>
      <c r="M7" s="2">
        <f>VLOOKUP(B7,[1]标准战斗!$B$144:$L$161,4,FALSE)</f>
        <v>2</v>
      </c>
      <c r="N7" s="2">
        <f>VLOOKUP(B7,[1]标准战斗!$B$144:$L$161,5,FALSE)</f>
        <v>2</v>
      </c>
      <c r="O7" s="2">
        <f>VLOOKUP(B7,[1]标准战斗!$B$144:$L$161,7,FALSE)</f>
        <v>13</v>
      </c>
      <c r="P7" s="2">
        <f>VLOOKUP(B7,[1]标准战斗!$B$144:$L$161,6,FALSE)</f>
        <v>3</v>
      </c>
      <c r="Q7" s="2">
        <f>VLOOKUP(B7,[1]标准战斗!$B$144:$L$161,11,FALSE)</f>
        <v>4</v>
      </c>
      <c r="R7" s="2">
        <f>VLOOKUP(B7,[1]标准战斗!$B$144:$L$161,9,FALSE)</f>
        <v>4</v>
      </c>
      <c r="S7" s="2">
        <f>VLOOKUP(B7,[1]标准战斗!$B$144:$L$161,8,FALSE)</f>
        <v>1</v>
      </c>
      <c r="T7" s="21">
        <f>VLOOKUP(B7,[1]标准战斗!$B$144:$L$161,10,FALSE)</f>
        <v>2</v>
      </c>
    </row>
    <row r="8" spans="2:20">
      <c r="B8" s="10" t="s">
        <v>89</v>
      </c>
      <c r="C8" s="11">
        <f>VLOOKUP(B8,[1]标准战斗!$B$13:$P$30,13,FALSE)</f>
        <v>70</v>
      </c>
      <c r="D8" s="2">
        <f>VLOOKUP(B8,[1]标准战斗!$B$13:$P$30,14,FALSE)</f>
        <v>44</v>
      </c>
      <c r="E8" s="2">
        <f>VLOOKUP(B8,[1]标准战斗!$B$13:$P$30,15,FALSE)</f>
        <v>456</v>
      </c>
      <c r="F8" s="2">
        <f>VLOOKUP(B8,[1]标准战斗!$B$91:$E$108,4,FALSE)</f>
        <v>0.3</v>
      </c>
      <c r="G8" s="2">
        <f>VLOOKUP(B8,[1]标准战斗!$B$69:$J$86,9,FALSE)</f>
        <v>37.2</v>
      </c>
      <c r="H8" s="3">
        <f>VLOOKUP(B8,[1]标准战斗!$B$112:$F$129,5,FALSE)</f>
        <v>40.9090909090909</v>
      </c>
      <c r="I8" s="3">
        <f t="shared" ref="I8:K8" si="3">H8</f>
        <v>40.9090909090909</v>
      </c>
      <c r="J8" s="3">
        <f t="shared" si="3"/>
        <v>40.9090909090909</v>
      </c>
      <c r="K8" s="18">
        <f t="shared" si="3"/>
        <v>40.9090909090909</v>
      </c>
      <c r="L8" s="11">
        <f>VLOOKUP(B8,[1]标准战斗!$B$144:$L$161,3,FALSE)</f>
        <v>3</v>
      </c>
      <c r="M8" s="2">
        <f>VLOOKUP(B8,[1]标准战斗!$B$144:$L$161,4,FALSE)</f>
        <v>2</v>
      </c>
      <c r="N8" s="2">
        <f>VLOOKUP(B8,[1]标准战斗!$B$144:$L$161,5,FALSE)</f>
        <v>4</v>
      </c>
      <c r="O8" s="2">
        <f>VLOOKUP(B8,[1]标准战斗!$B$144:$L$161,7,FALSE)</f>
        <v>13</v>
      </c>
      <c r="P8" s="2">
        <f>VLOOKUP(B8,[1]标准战斗!$B$144:$L$161,6,FALSE)</f>
        <v>3</v>
      </c>
      <c r="Q8" s="2">
        <f>VLOOKUP(B8,[1]标准战斗!$B$144:$L$161,11,FALSE)</f>
        <v>1</v>
      </c>
      <c r="R8" s="2">
        <f>VLOOKUP(B8,[1]标准战斗!$B$144:$L$161,9,FALSE)</f>
        <v>4</v>
      </c>
      <c r="S8" s="2">
        <f>VLOOKUP(B8,[1]标准战斗!$B$144:$L$161,8,FALSE)</f>
        <v>4</v>
      </c>
      <c r="T8" s="21">
        <f>VLOOKUP(B8,[1]标准战斗!$B$144:$L$161,10,FALSE)</f>
        <v>2</v>
      </c>
    </row>
    <row r="9" spans="2:20">
      <c r="B9" s="10" t="s">
        <v>102</v>
      </c>
      <c r="C9" s="11">
        <f>VLOOKUP(B9,[1]标准战斗!$B$13:$P$30,13,FALSE)</f>
        <v>94</v>
      </c>
      <c r="D9" s="2">
        <f>VLOOKUP(B9,[1]标准战斗!$B$13:$P$30,14,FALSE)</f>
        <v>53</v>
      </c>
      <c r="E9" s="2">
        <f>VLOOKUP(B9,[1]标准战斗!$B$13:$P$30,15,FALSE)</f>
        <v>562</v>
      </c>
      <c r="F9" s="2">
        <f>VLOOKUP(B9,[1]标准战斗!$B$91:$E$108,4,FALSE)</f>
        <v>0.3</v>
      </c>
      <c r="G9" s="2">
        <f>VLOOKUP(B9,[1]标准战斗!$B$69:$J$86,9,FALSE)</f>
        <v>37.2</v>
      </c>
      <c r="H9" s="3">
        <f>VLOOKUP(B9,[1]标准战斗!$B$112:$F$129,5,FALSE)</f>
        <v>36.3636363636364</v>
      </c>
      <c r="I9" s="3">
        <f t="shared" ref="I9:K9" si="4">H9</f>
        <v>36.3636363636364</v>
      </c>
      <c r="J9" s="3">
        <f t="shared" si="4"/>
        <v>36.3636363636364</v>
      </c>
      <c r="K9" s="18">
        <f t="shared" si="4"/>
        <v>36.3636363636364</v>
      </c>
      <c r="L9" s="11">
        <f>VLOOKUP(B9,[1]标准战斗!$B$144:$L$161,3,FALSE)</f>
        <v>5</v>
      </c>
      <c r="M9" s="2">
        <f>VLOOKUP(B9,[1]标准战斗!$B$144:$L$161,4,FALSE)</f>
        <v>2</v>
      </c>
      <c r="N9" s="2">
        <f>VLOOKUP(B9,[1]标准战斗!$B$144:$L$161,5,FALSE)</f>
        <v>2</v>
      </c>
      <c r="O9" s="2">
        <f>VLOOKUP(B9,[1]标准战斗!$B$144:$L$161,7,FALSE)</f>
        <v>13</v>
      </c>
      <c r="P9" s="2">
        <f>VLOOKUP(B9,[1]标准战斗!$B$144:$L$161,6,FALSE)</f>
        <v>3</v>
      </c>
      <c r="Q9" s="2">
        <f>VLOOKUP(B9,[1]标准战斗!$B$144:$L$161,11,FALSE)</f>
        <v>4</v>
      </c>
      <c r="R9" s="2">
        <f>VLOOKUP(B9,[1]标准战斗!$B$144:$L$161,9,FALSE)</f>
        <v>4</v>
      </c>
      <c r="S9" s="2">
        <f>VLOOKUP(B9,[1]标准战斗!$B$144:$L$161,8,FALSE)</f>
        <v>1</v>
      </c>
      <c r="T9" s="21">
        <f>VLOOKUP(B9,[1]标准战斗!$B$144:$L$161,10,FALSE)</f>
        <v>2</v>
      </c>
    </row>
    <row r="10" spans="2:20">
      <c r="B10" s="10" t="s">
        <v>103</v>
      </c>
      <c r="C10" s="11">
        <f>VLOOKUP(B10,[1]标准战斗!$B$13:$P$30,13,FALSE)</f>
        <v>84</v>
      </c>
      <c r="D10" s="2">
        <f>VLOOKUP(B10,[1]标准战斗!$B$13:$P$30,14,FALSE)</f>
        <v>51</v>
      </c>
      <c r="E10" s="2">
        <f>VLOOKUP(B10,[1]标准战斗!$B$13:$P$30,15,FALSE)</f>
        <v>515</v>
      </c>
      <c r="F10" s="2">
        <f>VLOOKUP(B10,[1]标准战斗!$B$91:$E$108,4,FALSE)</f>
        <v>0.3</v>
      </c>
      <c r="G10" s="2">
        <f>VLOOKUP(B10,[1]标准战斗!$B$69:$J$86,9,FALSE)</f>
        <v>37.2</v>
      </c>
      <c r="H10" s="3">
        <f>VLOOKUP(B10,[1]标准战斗!$B$112:$F$129,5,FALSE)</f>
        <v>40.9090909090909</v>
      </c>
      <c r="I10" s="3">
        <f t="shared" ref="I10:K10" si="5">H10</f>
        <v>40.9090909090909</v>
      </c>
      <c r="J10" s="3">
        <f t="shared" si="5"/>
        <v>40.9090909090909</v>
      </c>
      <c r="K10" s="18">
        <f t="shared" si="5"/>
        <v>40.9090909090909</v>
      </c>
      <c r="L10" s="11">
        <f>VLOOKUP(B10,[1]标准战斗!$B$144:$L$161,3,FALSE)</f>
        <v>3</v>
      </c>
      <c r="M10" s="2">
        <f>VLOOKUP(B10,[1]标准战斗!$B$144:$L$161,4,FALSE)</f>
        <v>3</v>
      </c>
      <c r="N10" s="2">
        <f>VLOOKUP(B10,[1]标准战斗!$B$144:$L$161,5,FALSE)</f>
        <v>3</v>
      </c>
      <c r="O10" s="2">
        <f>VLOOKUP(B10,[1]标准战斗!$B$144:$L$161,7,FALSE)</f>
        <v>13</v>
      </c>
      <c r="P10" s="2">
        <f>VLOOKUP(B10,[1]标准战斗!$B$144:$L$161,6,FALSE)</f>
        <v>4</v>
      </c>
      <c r="Q10" s="2">
        <f>VLOOKUP(B10,[1]标准战斗!$B$144:$L$161,11,FALSE)</f>
        <v>4</v>
      </c>
      <c r="R10" s="2">
        <f>VLOOKUP(B10,[1]标准战斗!$B$144:$L$161,9,FALSE)</f>
        <v>4</v>
      </c>
      <c r="S10" s="2">
        <f>VLOOKUP(B10,[1]标准战斗!$B$144:$L$161,8,FALSE)</f>
        <v>4</v>
      </c>
      <c r="T10" s="21">
        <f>VLOOKUP(B10,[1]标准战斗!$B$144:$L$161,10,FALSE)</f>
        <v>4</v>
      </c>
    </row>
    <row r="11" spans="2:20">
      <c r="B11" s="10" t="s">
        <v>46</v>
      </c>
      <c r="C11" s="11">
        <f>VLOOKUP(B11,[1]标准战斗!$B$13:$P$30,13,FALSE)</f>
        <v>81</v>
      </c>
      <c r="D11" s="2">
        <f>VLOOKUP(B11,[1]标准战斗!$B$13:$P$30,14,FALSE)</f>
        <v>51</v>
      </c>
      <c r="E11" s="2">
        <f>VLOOKUP(B11,[1]标准战斗!$B$13:$P$30,15,FALSE)</f>
        <v>528</v>
      </c>
      <c r="F11" s="2">
        <f>VLOOKUP(B11,[1]标准战斗!$B$91:$E$108,4,FALSE)</f>
        <v>0.3</v>
      </c>
      <c r="G11" s="2">
        <f>VLOOKUP(B11,[1]标准战斗!$B$69:$J$86,9,FALSE)</f>
        <v>44.6</v>
      </c>
      <c r="H11" s="3">
        <f>VLOOKUP(B11,[1]标准战斗!$B$112:$F$129,5,FALSE)</f>
        <v>40.9090909090909</v>
      </c>
      <c r="I11" s="3">
        <f t="shared" ref="I11:K11" si="6">H11</f>
        <v>40.9090909090909</v>
      </c>
      <c r="J11" s="3">
        <f t="shared" si="6"/>
        <v>40.9090909090909</v>
      </c>
      <c r="K11" s="18">
        <f t="shared" si="6"/>
        <v>40.9090909090909</v>
      </c>
      <c r="L11" s="11">
        <f>VLOOKUP(B11,[1]标准战斗!$B$144:$L$161,3,FALSE)</f>
        <v>2</v>
      </c>
      <c r="M11" s="2">
        <f>VLOOKUP(B11,[1]标准战斗!$B$144:$L$161,4,FALSE)</f>
        <v>3</v>
      </c>
      <c r="N11" s="2">
        <f>VLOOKUP(B11,[1]标准战斗!$B$144:$L$161,5,FALSE)</f>
        <v>4</v>
      </c>
      <c r="O11" s="2">
        <f>VLOOKUP(B11,[1]标准战斗!$B$144:$L$161,7,FALSE)</f>
        <v>14</v>
      </c>
      <c r="P11" s="2">
        <f>VLOOKUP(B11,[1]标准战斗!$B$144:$L$161,6,FALSE)</f>
        <v>5</v>
      </c>
      <c r="Q11" s="2">
        <f>VLOOKUP(B11,[1]标准战斗!$B$144:$L$161,11,FALSE)</f>
        <v>2</v>
      </c>
      <c r="R11" s="2">
        <f>VLOOKUP(B11,[1]标准战斗!$B$144:$L$161,9,FALSE)</f>
        <v>3</v>
      </c>
      <c r="S11" s="2">
        <f>VLOOKUP(B11,[1]标准战斗!$B$144:$L$161,8,FALSE)</f>
        <v>5</v>
      </c>
      <c r="T11" s="21">
        <f>VLOOKUP(B11,[1]标准战斗!$B$144:$L$161,10,FALSE)</f>
        <v>5</v>
      </c>
    </row>
    <row r="12" spans="2:20">
      <c r="B12" s="10" t="s">
        <v>109</v>
      </c>
      <c r="C12" s="11">
        <f>VLOOKUP(B12,[1]标准战斗!$B$13:$P$30,13,FALSE)</f>
        <v>90</v>
      </c>
      <c r="D12" s="2">
        <f>VLOOKUP(B12,[1]标准战斗!$B$13:$P$30,14,FALSE)</f>
        <v>53</v>
      </c>
      <c r="E12" s="2">
        <f>VLOOKUP(B12,[1]标准战斗!$B$13:$P$30,15,FALSE)</f>
        <v>524</v>
      </c>
      <c r="F12" s="2">
        <f>VLOOKUP(B12,[1]标准战斗!$B$91:$E$108,4,FALSE)</f>
        <v>0.3</v>
      </c>
      <c r="G12" s="2">
        <f>VLOOKUP(B12,[1]标准战斗!$B$69:$J$86,9,FALSE)</f>
        <v>44.6</v>
      </c>
      <c r="H12" s="3">
        <f>VLOOKUP(B12,[1]标准战斗!$B$112:$F$129,5,FALSE)</f>
        <v>45.4545454545455</v>
      </c>
      <c r="I12" s="3">
        <f t="shared" ref="I12:K12" si="7">H12</f>
        <v>45.4545454545455</v>
      </c>
      <c r="J12" s="3">
        <f t="shared" si="7"/>
        <v>45.4545454545455</v>
      </c>
      <c r="K12" s="18">
        <f t="shared" si="7"/>
        <v>45.4545454545455</v>
      </c>
      <c r="L12" s="11">
        <f>VLOOKUP(B12,[1]标准战斗!$B$144:$L$161,3,FALSE)</f>
        <v>5</v>
      </c>
      <c r="M12" s="2">
        <f>VLOOKUP(B12,[1]标准战斗!$B$144:$L$161,4,FALSE)</f>
        <v>2</v>
      </c>
      <c r="N12" s="2">
        <f>VLOOKUP(B12,[1]标准战斗!$B$144:$L$161,5,FALSE)</f>
        <v>2</v>
      </c>
      <c r="O12" s="2">
        <f>VLOOKUP(B12,[1]标准战斗!$B$144:$L$161,7,FALSE)</f>
        <v>14</v>
      </c>
      <c r="P12" s="2">
        <f>VLOOKUP(B12,[1]标准战斗!$B$144:$L$161,6,FALSE)</f>
        <v>5</v>
      </c>
      <c r="Q12" s="2">
        <f>VLOOKUP(B12,[1]标准战斗!$B$144:$L$161,11,FALSE)</f>
        <v>2</v>
      </c>
      <c r="R12" s="2">
        <f>VLOOKUP(B12,[1]标准战斗!$B$144:$L$161,9,FALSE)</f>
        <v>3</v>
      </c>
      <c r="S12" s="2">
        <f>VLOOKUP(B12,[1]标准战斗!$B$144:$L$161,8,FALSE)</f>
        <v>4</v>
      </c>
      <c r="T12" s="21">
        <f>VLOOKUP(B12,[1]标准战斗!$B$144:$L$161,10,FALSE)</f>
        <v>4</v>
      </c>
    </row>
    <row r="13" spans="2:20">
      <c r="B13" s="10" t="s">
        <v>281</v>
      </c>
      <c r="C13" s="11">
        <f>VLOOKUP(B13,[1]标准战斗!$B$13:$P$30,13,FALSE)</f>
        <v>91</v>
      </c>
      <c r="D13" s="2">
        <f>VLOOKUP(B13,[1]标准战斗!$B$13:$P$30,14,FALSE)</f>
        <v>54</v>
      </c>
      <c r="E13" s="2">
        <f>VLOOKUP(B13,[1]标准战斗!$B$13:$P$30,15,FALSE)</f>
        <v>569</v>
      </c>
      <c r="F13" s="2">
        <f>VLOOKUP(B13,[1]标准战斗!$B$91:$E$108,4,FALSE)</f>
        <v>0.3</v>
      </c>
      <c r="G13" s="2">
        <f>VLOOKUP(B13,[1]标准战斗!$B$69:$J$86,9,FALSE)</f>
        <v>46.5</v>
      </c>
      <c r="H13" s="3">
        <f>VLOOKUP(B13,[1]标准战斗!$B$112:$F$129,5,FALSE)</f>
        <v>47.7272727272727</v>
      </c>
      <c r="I13" s="3">
        <f t="shared" ref="I13:K13" si="8">H13</f>
        <v>47.7272727272727</v>
      </c>
      <c r="J13" s="3">
        <f t="shared" si="8"/>
        <v>47.7272727272727</v>
      </c>
      <c r="K13" s="18">
        <f t="shared" si="8"/>
        <v>47.7272727272727</v>
      </c>
      <c r="L13" s="11">
        <f>VLOOKUP(B13,[1]标准战斗!$B$144:$L$161,3,FALSE)</f>
        <v>2</v>
      </c>
      <c r="M13" s="2">
        <f>VLOOKUP(B13,[1]标准战斗!$B$144:$L$161,4,FALSE)</f>
        <v>3</v>
      </c>
      <c r="N13" s="2">
        <f>VLOOKUP(B13,[1]标准战斗!$B$144:$L$161,5,FALSE)</f>
        <v>4</v>
      </c>
      <c r="O13" s="2">
        <f>VLOOKUP(B13,[1]标准战斗!$B$144:$L$161,7,FALSE)</f>
        <v>14</v>
      </c>
      <c r="P13" s="2">
        <f>VLOOKUP(B13,[1]标准战斗!$B$144:$L$161,6,FALSE)</f>
        <v>5</v>
      </c>
      <c r="Q13" s="2">
        <f>VLOOKUP(B13,[1]标准战斗!$B$144:$L$161,11,FALSE)</f>
        <v>5</v>
      </c>
      <c r="R13" s="2">
        <f>VLOOKUP(B13,[1]标准战斗!$B$144:$L$161,9,FALSE)</f>
        <v>5</v>
      </c>
      <c r="S13" s="2">
        <f>VLOOKUP(B13,[1]标准战斗!$B$144:$L$161,8,FALSE)</f>
        <v>3</v>
      </c>
      <c r="T13" s="21">
        <f>VLOOKUP(B13,[1]标准战斗!$B$144:$L$161,10,FALSE)</f>
        <v>3</v>
      </c>
    </row>
    <row r="14" spans="2:20">
      <c r="B14" s="10" t="s">
        <v>154</v>
      </c>
      <c r="C14" s="11">
        <f>VLOOKUP(B14,[1]标准战斗!$B$13:$P$30,13,FALSE)</f>
        <v>105</v>
      </c>
      <c r="D14" s="2">
        <f>VLOOKUP(B14,[1]标准战斗!$B$13:$P$30,14,FALSE)</f>
        <v>61</v>
      </c>
      <c r="E14" s="2">
        <f>VLOOKUP(B14,[1]标准战斗!$B$13:$P$30,15,FALSE)</f>
        <v>624</v>
      </c>
      <c r="F14" s="2">
        <f>VLOOKUP(B14,[1]标准战斗!$B$91:$E$108,4,FALSE)</f>
        <v>0.3</v>
      </c>
      <c r="G14" s="2">
        <f>VLOOKUP(B14,[1]标准战斗!$B$69:$J$86,9,FALSE)</f>
        <v>44.6</v>
      </c>
      <c r="H14" s="3">
        <f>VLOOKUP(B14,[1]标准战斗!$B$112:$F$129,5,FALSE)</f>
        <v>45.4545454545455</v>
      </c>
      <c r="I14" s="3">
        <f t="shared" ref="I14:K14" si="9">H14</f>
        <v>45.4545454545455</v>
      </c>
      <c r="J14" s="3">
        <f t="shared" si="9"/>
        <v>45.4545454545455</v>
      </c>
      <c r="K14" s="18">
        <f t="shared" si="9"/>
        <v>45.4545454545455</v>
      </c>
      <c r="L14" s="11">
        <f>VLOOKUP(B14,[1]标准战斗!$B$144:$L$161,3,FALSE)</f>
        <v>5</v>
      </c>
      <c r="M14" s="2">
        <f>VLOOKUP(B14,[1]标准战斗!$B$144:$L$161,4,FALSE)</f>
        <v>2</v>
      </c>
      <c r="N14" s="2">
        <f>VLOOKUP(B14,[1]标准战斗!$B$144:$L$161,5,FALSE)</f>
        <v>2</v>
      </c>
      <c r="O14" s="2">
        <f>VLOOKUP(B14,[1]标准战斗!$B$144:$L$161,7,FALSE)</f>
        <v>14</v>
      </c>
      <c r="P14" s="2">
        <f>VLOOKUP(B14,[1]标准战斗!$B$144:$L$161,6,FALSE)</f>
        <v>5</v>
      </c>
      <c r="Q14" s="2">
        <f>VLOOKUP(B14,[1]标准战斗!$B$144:$L$161,11,FALSE)</f>
        <v>4</v>
      </c>
      <c r="R14" s="2">
        <f>VLOOKUP(B14,[1]标准战斗!$B$144:$L$161,9,FALSE)</f>
        <v>4</v>
      </c>
      <c r="S14" s="2">
        <f>VLOOKUP(B14,[1]标准战斗!$B$144:$L$161,8,FALSE)</f>
        <v>4</v>
      </c>
      <c r="T14" s="21">
        <f>VLOOKUP(B14,[1]标准战斗!$B$144:$L$161,10,FALSE)</f>
        <v>3</v>
      </c>
    </row>
    <row r="15" spans="2:20">
      <c r="B15" s="10" t="s">
        <v>124</v>
      </c>
      <c r="C15" s="11">
        <f>VLOOKUP(B15,[1]标准战斗!$B$13:$P$30,13,FALSE)</f>
        <v>99</v>
      </c>
      <c r="D15" s="2">
        <f>VLOOKUP(B15,[1]标准战斗!$B$13:$P$30,14,FALSE)</f>
        <v>60</v>
      </c>
      <c r="E15" s="2">
        <f>VLOOKUP(B15,[1]标准战斗!$B$13:$P$30,15,FALSE)</f>
        <v>608</v>
      </c>
      <c r="F15" s="2">
        <f>VLOOKUP(B15,[1]标准战斗!$B$91:$E$108,4,FALSE)</f>
        <v>0.3</v>
      </c>
      <c r="G15" s="2">
        <f>VLOOKUP(B15,[1]标准战斗!$B$69:$J$86,9,FALSE)</f>
        <v>46.9</v>
      </c>
      <c r="H15" s="3">
        <f>VLOOKUP(B15,[1]标准战斗!$B$112:$F$129,5,FALSE)</f>
        <v>47.7272727272727</v>
      </c>
      <c r="I15" s="3">
        <f t="shared" ref="I15:K15" si="10">H15</f>
        <v>47.7272727272727</v>
      </c>
      <c r="J15" s="3">
        <f t="shared" si="10"/>
        <v>47.7272727272727</v>
      </c>
      <c r="K15" s="18">
        <f t="shared" si="10"/>
        <v>47.7272727272727</v>
      </c>
      <c r="L15" s="11">
        <f>VLOOKUP(B15,[1]标准战斗!$B$144:$L$161,3,FALSE)</f>
        <v>3</v>
      </c>
      <c r="M15" s="2">
        <f>VLOOKUP(B15,[1]标准战斗!$B$144:$L$161,4,FALSE)</f>
        <v>3</v>
      </c>
      <c r="N15" s="2">
        <f>VLOOKUP(B15,[1]标准战斗!$B$144:$L$161,5,FALSE)</f>
        <v>3</v>
      </c>
      <c r="O15" s="2">
        <f>VLOOKUP(B15,[1]标准战斗!$B$144:$L$161,7,FALSE)</f>
        <v>15</v>
      </c>
      <c r="P15" s="2">
        <f>VLOOKUP(B15,[1]标准战斗!$B$144:$L$161,6,FALSE)</f>
        <v>5</v>
      </c>
      <c r="Q15" s="2">
        <f>VLOOKUP(B15,[1]标准战斗!$B$144:$L$161,11,FALSE)</f>
        <v>5</v>
      </c>
      <c r="R15" s="2">
        <f>VLOOKUP(B15,[1]标准战斗!$B$144:$L$161,9,FALSE)</f>
        <v>5</v>
      </c>
      <c r="S15" s="2">
        <f>VLOOKUP(B15,[1]标准战斗!$B$144:$L$161,8,FALSE)</f>
        <v>4</v>
      </c>
      <c r="T15" s="21">
        <f>VLOOKUP(B15,[1]标准战斗!$B$144:$L$161,10,FALSE)</f>
        <v>4</v>
      </c>
    </row>
    <row r="16" spans="2:20">
      <c r="B16" s="10" t="s">
        <v>282</v>
      </c>
      <c r="C16" s="11">
        <f>VLOOKUP(B16,[1]标准战斗!$B$13:$P$30,13,FALSE)</f>
        <v>94</v>
      </c>
      <c r="D16" s="2">
        <f>VLOOKUP(B16,[1]标准战斗!$B$13:$P$30,14,FALSE)</f>
        <v>58</v>
      </c>
      <c r="E16" s="2">
        <f>VLOOKUP(B16,[1]标准战斗!$B$13:$P$30,15,FALSE)</f>
        <v>593</v>
      </c>
      <c r="F16" s="2">
        <f>VLOOKUP(B16,[1]标准战斗!$B$91:$E$108,4,FALSE)</f>
        <v>0.3</v>
      </c>
      <c r="G16" s="2">
        <f>VLOOKUP(B16,[1]标准战斗!$B$69:$J$86,9,FALSE)</f>
        <v>46.5</v>
      </c>
      <c r="H16" s="3">
        <f>VLOOKUP(B16,[1]标准战斗!$B$112:$F$129,5,FALSE)</f>
        <v>50</v>
      </c>
      <c r="I16" s="3">
        <f t="shared" ref="I16:K16" si="11">H16</f>
        <v>50</v>
      </c>
      <c r="J16" s="3">
        <f t="shared" si="11"/>
        <v>50</v>
      </c>
      <c r="K16" s="18">
        <f t="shared" si="11"/>
        <v>50</v>
      </c>
      <c r="L16" s="11">
        <f>VLOOKUP(B16,[1]标准战斗!$B$144:$L$161,3,FALSE)</f>
        <v>2</v>
      </c>
      <c r="M16" s="2">
        <f>VLOOKUP(B16,[1]标准战斗!$B$144:$L$161,4,FALSE)</f>
        <v>3</v>
      </c>
      <c r="N16" s="2">
        <f>VLOOKUP(B16,[1]标准战斗!$B$144:$L$161,5,FALSE)</f>
        <v>4</v>
      </c>
      <c r="O16" s="2">
        <f>VLOOKUP(B16,[1]标准战斗!$B$144:$L$161,7,FALSE)</f>
        <v>15</v>
      </c>
      <c r="P16" s="2">
        <f>VLOOKUP(B16,[1]标准战斗!$B$144:$L$161,6,FALSE)</f>
        <v>5</v>
      </c>
      <c r="Q16" s="2">
        <f>VLOOKUP(B16,[1]标准战斗!$B$144:$L$161,11,FALSE)</f>
        <v>6</v>
      </c>
      <c r="R16" s="2">
        <f>VLOOKUP(B16,[1]标准战斗!$B$144:$L$161,9,FALSE)</f>
        <v>4</v>
      </c>
      <c r="S16" s="2">
        <f>VLOOKUP(B16,[1]标准战斗!$B$144:$L$161,8,FALSE)</f>
        <v>8</v>
      </c>
      <c r="T16" s="21">
        <f>VLOOKUP(B16,[1]标准战斗!$B$144:$L$161,10,FALSE)</f>
        <v>5</v>
      </c>
    </row>
    <row r="17" spans="2:20">
      <c r="B17" s="10" t="s">
        <v>166</v>
      </c>
      <c r="C17" s="11">
        <f>VLOOKUP(B17,[1]标准战斗!$B$13:$P$30,13,FALSE)</f>
        <v>98</v>
      </c>
      <c r="D17" s="2">
        <f>VLOOKUP(B17,[1]标准战斗!$B$13:$P$30,14,FALSE)</f>
        <v>55</v>
      </c>
      <c r="E17" s="2">
        <f>VLOOKUP(B17,[1]标准战斗!$B$13:$P$30,15,FALSE)</f>
        <v>585</v>
      </c>
      <c r="F17" s="2">
        <f>VLOOKUP(B17,[1]标准战斗!$B$91:$E$108,4,FALSE)</f>
        <v>0.3</v>
      </c>
      <c r="G17" s="2">
        <f>VLOOKUP(B17,[1]标准战斗!$B$69:$J$86,9,FALSE)</f>
        <v>48.3</v>
      </c>
      <c r="H17" s="3">
        <f>VLOOKUP(B17,[1]标准战斗!$B$112:$F$129,5,FALSE)</f>
        <v>45.4545454545455</v>
      </c>
      <c r="I17" s="3">
        <f t="shared" ref="I17:K17" si="12">H17</f>
        <v>45.4545454545455</v>
      </c>
      <c r="J17" s="3">
        <f t="shared" si="12"/>
        <v>45.4545454545455</v>
      </c>
      <c r="K17" s="18">
        <f t="shared" si="12"/>
        <v>45.4545454545455</v>
      </c>
      <c r="L17" s="11">
        <f>VLOOKUP(B17,[1]标准战斗!$B$144:$L$161,3,FALSE)</f>
        <v>2</v>
      </c>
      <c r="M17" s="2">
        <f>VLOOKUP(B17,[1]标准战斗!$B$144:$L$161,4,FALSE)</f>
        <v>3</v>
      </c>
      <c r="N17" s="2">
        <f>VLOOKUP(B17,[1]标准战斗!$B$144:$L$161,5,FALSE)</f>
        <v>4</v>
      </c>
      <c r="O17" s="2">
        <f>VLOOKUP(B17,[1]标准战斗!$B$144:$L$161,7,FALSE)</f>
        <v>15</v>
      </c>
      <c r="P17" s="2">
        <f>VLOOKUP(B17,[1]标准战斗!$B$144:$L$161,6,FALSE)</f>
        <v>6</v>
      </c>
      <c r="Q17" s="2">
        <f>VLOOKUP(B17,[1]标准战斗!$B$144:$L$161,11,FALSE)</f>
        <v>3</v>
      </c>
      <c r="R17" s="2">
        <f>VLOOKUP(B17,[1]标准战斗!$B$144:$L$161,9,FALSE)</f>
        <v>3</v>
      </c>
      <c r="S17" s="2">
        <f>VLOOKUP(B17,[1]标准战斗!$B$144:$L$161,8,FALSE)</f>
        <v>4</v>
      </c>
      <c r="T17" s="21">
        <f>VLOOKUP(B17,[1]标准战斗!$B$144:$L$161,10,FALSE)</f>
        <v>7</v>
      </c>
    </row>
    <row r="18" spans="2:20">
      <c r="B18" s="10" t="s">
        <v>174</v>
      </c>
      <c r="C18" s="11">
        <f>VLOOKUP(B18,[1]标准战斗!$B$13:$P$30,13,FALSE)</f>
        <v>105</v>
      </c>
      <c r="D18" s="2">
        <f>VLOOKUP(B18,[1]标准战斗!$B$13:$P$30,14,FALSE)</f>
        <v>59</v>
      </c>
      <c r="E18" s="2">
        <f>VLOOKUP(B18,[1]标准战斗!$B$13:$P$30,15,FALSE)</f>
        <v>632</v>
      </c>
      <c r="F18" s="2">
        <f>VLOOKUP(B18,[1]标准战斗!$B$91:$E$108,4,FALSE)</f>
        <v>0.3</v>
      </c>
      <c r="G18" s="2">
        <f>VLOOKUP(B18,[1]标准战斗!$B$69:$J$86,9,FALSE)</f>
        <v>47.6</v>
      </c>
      <c r="H18" s="3">
        <f>VLOOKUP(B18,[1]标准战斗!$B$112:$F$129,5,FALSE)</f>
        <v>43.1818181818182</v>
      </c>
      <c r="I18" s="3">
        <f t="shared" ref="I18:K18" si="13">H18</f>
        <v>43.1818181818182</v>
      </c>
      <c r="J18" s="3">
        <f t="shared" si="13"/>
        <v>43.1818181818182</v>
      </c>
      <c r="K18" s="18">
        <f t="shared" si="13"/>
        <v>43.1818181818182</v>
      </c>
      <c r="L18" s="11">
        <f>VLOOKUP(B18,[1]标准战斗!$B$144:$L$161,3,FALSE)</f>
        <v>5</v>
      </c>
      <c r="M18" s="2">
        <f>VLOOKUP(B18,[1]标准战斗!$B$144:$L$161,4,FALSE)</f>
        <v>2</v>
      </c>
      <c r="N18" s="2">
        <f>VLOOKUP(B18,[1]标准战斗!$B$144:$L$161,5,FALSE)</f>
        <v>2</v>
      </c>
      <c r="O18" s="2">
        <f>VLOOKUP(B18,[1]标准战斗!$B$144:$L$161,7,FALSE)</f>
        <v>15</v>
      </c>
      <c r="P18" s="2">
        <f>VLOOKUP(B18,[1]标准战斗!$B$144:$L$161,6,FALSE)</f>
        <v>5</v>
      </c>
      <c r="Q18" s="2">
        <f>VLOOKUP(B18,[1]标准战斗!$B$144:$L$161,11,FALSE)</f>
        <v>4</v>
      </c>
      <c r="R18" s="2">
        <f>VLOOKUP(B18,[1]标准战斗!$B$144:$L$161,9,FALSE)</f>
        <v>6</v>
      </c>
      <c r="S18" s="2">
        <f>VLOOKUP(B18,[1]标准战斗!$B$144:$L$161,8,FALSE)</f>
        <v>3</v>
      </c>
      <c r="T18" s="21">
        <f>VLOOKUP(B18,[1]标准战斗!$B$144:$L$161,10,FALSE)</f>
        <v>4</v>
      </c>
    </row>
    <row r="19" spans="2:20">
      <c r="B19" s="10" t="s">
        <v>145</v>
      </c>
      <c r="C19" s="11">
        <f>VLOOKUP(B19,[1]标准战斗!$B$13:$P$30,13,FALSE)</f>
        <v>96</v>
      </c>
      <c r="D19" s="2">
        <f>VLOOKUP(B19,[1]标准战斗!$B$13:$P$30,14,FALSE)</f>
        <v>60</v>
      </c>
      <c r="E19" s="2">
        <f>VLOOKUP(B19,[1]标准战斗!$B$13:$P$30,15,FALSE)</f>
        <v>624</v>
      </c>
      <c r="F19" s="2">
        <f>VLOOKUP(B19,[1]标准战斗!$B$91:$E$108,4,FALSE)</f>
        <v>0.3</v>
      </c>
      <c r="G19" s="2">
        <f>VLOOKUP(B19,[1]标准战斗!$B$69:$J$86,9,FALSE)</f>
        <v>49.8</v>
      </c>
      <c r="H19" s="3">
        <f>VLOOKUP(B19,[1]标准战斗!$B$112:$F$129,5,FALSE)</f>
        <v>47.7272727272727</v>
      </c>
      <c r="I19" s="3">
        <f t="shared" ref="I19:K19" si="14">H19</f>
        <v>47.7272727272727</v>
      </c>
      <c r="J19" s="3">
        <f t="shared" si="14"/>
        <v>47.7272727272727</v>
      </c>
      <c r="K19" s="18">
        <f t="shared" si="14"/>
        <v>47.7272727272727</v>
      </c>
      <c r="L19" s="11">
        <f>VLOOKUP(B19,[1]标准战斗!$B$144:$L$161,3,FALSE)</f>
        <v>3</v>
      </c>
      <c r="M19" s="2">
        <f>VLOOKUP(B19,[1]标准战斗!$B$144:$L$161,4,FALSE)</f>
        <v>3</v>
      </c>
      <c r="N19" s="2">
        <f>VLOOKUP(B19,[1]标准战斗!$B$144:$L$161,5,FALSE)</f>
        <v>3</v>
      </c>
      <c r="O19" s="2">
        <f>VLOOKUP(B19,[1]标准战斗!$B$144:$L$161,7,FALSE)</f>
        <v>15</v>
      </c>
      <c r="P19" s="2">
        <f>VLOOKUP(B19,[1]标准战斗!$B$144:$L$161,6,FALSE)</f>
        <v>5</v>
      </c>
      <c r="Q19" s="2">
        <f>VLOOKUP(B19,[1]标准战斗!$B$144:$L$161,11,FALSE)</f>
        <v>4</v>
      </c>
      <c r="R19" s="2">
        <f>VLOOKUP(B19,[1]标准战斗!$B$144:$L$161,9,FALSE)</f>
        <v>4</v>
      </c>
      <c r="S19" s="2">
        <f>VLOOKUP(B19,[1]标准战斗!$B$144:$L$161,8,FALSE)</f>
        <v>5</v>
      </c>
      <c r="T19" s="21">
        <f>VLOOKUP(B19,[1]标准战斗!$B$144:$L$161,10,FALSE)</f>
        <v>5</v>
      </c>
    </row>
    <row r="20" spans="2:20">
      <c r="B20" s="10" t="s">
        <v>283</v>
      </c>
      <c r="C20" s="11">
        <f>VLOOKUP(B20,[1]标准战斗!$B$13:$P$30,13,FALSE)</f>
        <v>95</v>
      </c>
      <c r="D20" s="2">
        <f>VLOOKUP(B20,[1]标准战斗!$B$13:$P$30,14,FALSE)</f>
        <v>58</v>
      </c>
      <c r="E20" s="2">
        <f>VLOOKUP(B20,[1]标准战斗!$B$13:$P$30,15,FALSE)</f>
        <v>585</v>
      </c>
      <c r="F20" s="2">
        <f>VLOOKUP(B20,[1]标准战斗!$B$91:$E$108,4,FALSE)</f>
        <v>0.3</v>
      </c>
      <c r="G20" s="2">
        <f>VLOOKUP(B20,[1]标准战斗!$B$69:$J$86,9,FALSE)</f>
        <v>46.5</v>
      </c>
      <c r="H20" s="3">
        <f>VLOOKUP(B20,[1]标准战斗!$B$112:$F$129,5,FALSE)</f>
        <v>50</v>
      </c>
      <c r="I20" s="3">
        <f t="shared" ref="I20:K20" si="15">H20</f>
        <v>50</v>
      </c>
      <c r="J20" s="3">
        <f t="shared" si="15"/>
        <v>50</v>
      </c>
      <c r="K20" s="18">
        <f t="shared" si="15"/>
        <v>50</v>
      </c>
      <c r="L20" s="11">
        <f>VLOOKUP(B20,[1]标准战斗!$B$144:$L$161,3,FALSE)</f>
        <v>2</v>
      </c>
      <c r="M20" s="2">
        <f>VLOOKUP(B20,[1]标准战斗!$B$144:$L$161,4,FALSE)</f>
        <v>3</v>
      </c>
      <c r="N20" s="2">
        <f>VLOOKUP(B20,[1]标准战斗!$B$144:$L$161,5,FALSE)</f>
        <v>4</v>
      </c>
      <c r="O20" s="2">
        <f>VLOOKUP(B20,[1]标准战斗!$B$144:$L$161,7,FALSE)</f>
        <v>15</v>
      </c>
      <c r="P20" s="2">
        <f>VLOOKUP(B20,[1]标准战斗!$B$144:$L$161,6,FALSE)</f>
        <v>5</v>
      </c>
      <c r="Q20" s="2">
        <f>VLOOKUP(B20,[1]标准战斗!$B$144:$L$161,11,FALSE)</f>
        <v>6</v>
      </c>
      <c r="R20" s="2">
        <f>VLOOKUP(B20,[1]标准战斗!$B$144:$L$161,9,FALSE)</f>
        <v>4</v>
      </c>
      <c r="S20" s="2">
        <f>VLOOKUP(B20,[1]标准战斗!$B$144:$L$161,8,FALSE)</f>
        <v>5</v>
      </c>
      <c r="T20" s="21">
        <f>VLOOKUP(B20,[1]标准战斗!$B$144:$L$161,10,FALSE)</f>
        <v>8</v>
      </c>
    </row>
    <row r="21" spans="2:20">
      <c r="B21" s="10" t="s">
        <v>192</v>
      </c>
      <c r="C21" s="11">
        <f>VLOOKUP(B21,[1]标准战斗!$B$13:$P$30,13,FALSE)</f>
        <v>106</v>
      </c>
      <c r="D21" s="2">
        <f>VLOOKUP(B21,[1]标准战斗!$B$13:$P$30,14,FALSE)</f>
        <v>63</v>
      </c>
      <c r="E21" s="2">
        <f>VLOOKUP(B21,[1]标准战斗!$B$13:$P$30,15,FALSE)</f>
        <v>664</v>
      </c>
      <c r="F21" s="2">
        <f>VLOOKUP(B21,[1]标准战斗!$B$91:$E$108,4,FALSE)</f>
        <v>0.3</v>
      </c>
      <c r="G21" s="2">
        <f>VLOOKUP(B21,[1]标准战斗!$B$69:$J$86,9,FALSE)</f>
        <v>47.6</v>
      </c>
      <c r="H21" s="3">
        <f>VLOOKUP(B21,[1]标准战斗!$B$112:$F$129,5,FALSE)</f>
        <v>43.1818181818182</v>
      </c>
      <c r="I21" s="3">
        <f t="shared" ref="I21:K21" si="16">H21</f>
        <v>43.1818181818182</v>
      </c>
      <c r="J21" s="3">
        <f t="shared" si="16"/>
        <v>43.1818181818182</v>
      </c>
      <c r="K21" s="18">
        <f t="shared" si="16"/>
        <v>43.1818181818182</v>
      </c>
      <c r="L21" s="11">
        <f>VLOOKUP(B21,[1]标准战斗!$B$144:$L$161,3,FALSE)</f>
        <v>2</v>
      </c>
      <c r="M21" s="2">
        <f>VLOOKUP(B21,[1]标准战斗!$B$144:$L$161,4,FALSE)</f>
        <v>3</v>
      </c>
      <c r="N21" s="2">
        <f>VLOOKUP(B21,[1]标准战斗!$B$144:$L$161,5,FALSE)</f>
        <v>4</v>
      </c>
      <c r="O21" s="2">
        <f>VLOOKUP(B21,[1]标准战斗!$B$144:$L$161,7,FALSE)</f>
        <v>15</v>
      </c>
      <c r="P21" s="2">
        <f>VLOOKUP(B21,[1]标准战斗!$B$144:$L$161,6,FALSE)</f>
        <v>6</v>
      </c>
      <c r="Q21" s="2">
        <f>VLOOKUP(B21,[1]标准战斗!$B$144:$L$161,11,FALSE)</f>
        <v>3</v>
      </c>
      <c r="R21" s="2">
        <f>VLOOKUP(B21,[1]标准战斗!$B$144:$L$161,9,FALSE)</f>
        <v>3</v>
      </c>
      <c r="S21" s="2">
        <f>VLOOKUP(B21,[1]标准战斗!$B$144:$L$161,8,FALSE)</f>
        <v>7</v>
      </c>
      <c r="T21" s="21">
        <f>VLOOKUP(B21,[1]标准战斗!$B$144:$L$161,10,FALSE)</f>
        <v>4</v>
      </c>
    </row>
    <row r="22" ht="17.25" spans="2:20">
      <c r="B22" s="12" t="s">
        <v>186</v>
      </c>
      <c r="C22" s="13">
        <f>VLOOKUP(B22,[1]标准战斗!$B$13:$P$30,13,FALSE)</f>
        <v>116</v>
      </c>
      <c r="D22" s="14">
        <f>VLOOKUP(B22,[1]标准战斗!$B$13:$P$30,14,FALSE)</f>
        <v>69</v>
      </c>
      <c r="E22" s="14">
        <f>VLOOKUP(B22,[1]标准战斗!$B$13:$P$30,15,FALSE)</f>
        <v>693</v>
      </c>
      <c r="F22" s="14">
        <f>VLOOKUP(B22,[1]标准战斗!$B$91:$E$108,4,FALSE)</f>
        <v>0.3</v>
      </c>
      <c r="G22" s="14">
        <f>VLOOKUP(B22,[1]标准战斗!$B$69:$J$86,9,FALSE)</f>
        <v>49.8</v>
      </c>
      <c r="H22" s="15">
        <f>VLOOKUP(B22,[1]标准战斗!$B$112:$F$129,5,FALSE)</f>
        <v>59.0909090909091</v>
      </c>
      <c r="I22" s="15">
        <f t="shared" ref="I22:K22" si="17">H22</f>
        <v>59.0909090909091</v>
      </c>
      <c r="J22" s="15">
        <f t="shared" si="17"/>
        <v>59.0909090909091</v>
      </c>
      <c r="K22" s="19">
        <f t="shared" si="17"/>
        <v>59.0909090909091</v>
      </c>
      <c r="L22" s="13">
        <f>VLOOKUP(B22,[1]标准战斗!$B$144:$L$161,3,FALSE)</f>
        <v>5</v>
      </c>
      <c r="M22" s="14">
        <f>VLOOKUP(B22,[1]标准战斗!$B$144:$L$161,4,FALSE)</f>
        <v>2</v>
      </c>
      <c r="N22" s="14">
        <f>VLOOKUP(B22,[1]标准战斗!$B$144:$L$161,5,FALSE)</f>
        <v>2</v>
      </c>
      <c r="O22" s="14">
        <f>VLOOKUP(B22,[1]标准战斗!$B$144:$L$161,7,FALSE)</f>
        <v>15</v>
      </c>
      <c r="P22" s="14">
        <f>VLOOKUP(B22,[1]标准战斗!$B$144:$L$161,6,FALSE)</f>
        <v>6</v>
      </c>
      <c r="Q22" s="14">
        <f>VLOOKUP(B22,[1]标准战斗!$B$144:$L$161,11,FALSE)</f>
        <v>3</v>
      </c>
      <c r="R22" s="14">
        <f>VLOOKUP(B22,[1]标准战斗!$B$144:$L$161,9,FALSE)</f>
        <v>4</v>
      </c>
      <c r="S22" s="14">
        <f>VLOOKUP(B22,[1]标准战斗!$B$144:$L$161,8,FALSE)</f>
        <v>6</v>
      </c>
      <c r="T22" s="22">
        <f>VLOOKUP(B22,[1]标准战斗!$B$144:$L$161,10,FALSE)</f>
        <v>3</v>
      </c>
    </row>
    <row r="24" spans="2:12">
      <c r="B24" s="1" t="s">
        <v>66</v>
      </c>
      <c r="C24" s="2" t="str">
        <f>L$4&amp;","&amp;L5</f>
        <v>1,2</v>
      </c>
      <c r="D24" s="2" t="str">
        <f t="shared" ref="D24:K24" si="18">";"&amp;M$4&amp;","&amp;M5</f>
        <v>;2,3</v>
      </c>
      <c r="E24" s="2" t="str">
        <f t="shared" si="18"/>
        <v>;3,4</v>
      </c>
      <c r="F24" s="2" t="str">
        <f t="shared" si="18"/>
        <v>;4,13</v>
      </c>
      <c r="G24" s="2" t="str">
        <f t="shared" si="18"/>
        <v>;5,3</v>
      </c>
      <c r="H24" s="2" t="str">
        <f t="shared" si="18"/>
        <v>;6,1</v>
      </c>
      <c r="I24" s="2" t="str">
        <f t="shared" si="18"/>
        <v>;7,2</v>
      </c>
      <c r="J24" s="2" t="str">
        <f t="shared" si="18"/>
        <v>;8,4</v>
      </c>
      <c r="K24" s="2" t="str">
        <f t="shared" si="18"/>
        <v>;9,4</v>
      </c>
      <c r="L24" s="20" t="str">
        <f>C24&amp;D24&amp;E24&amp;F24&amp;G24&amp;H24&amp;I24&amp;J24&amp;K24</f>
        <v>1,2;2,3;3,4;4,13;5,3;6,1;7,2;8,4;9,4</v>
      </c>
    </row>
    <row r="25" spans="2:12">
      <c r="B25" s="1" t="s">
        <v>77</v>
      </c>
      <c r="C25" s="2" t="str">
        <f t="shared" ref="C25:C41" si="19">L$4&amp;","&amp;L6</f>
        <v>1,2</v>
      </c>
      <c r="D25" s="2" t="str">
        <f t="shared" ref="D25:D41" si="20">";"&amp;M$4&amp;","&amp;M6</f>
        <v>;2,3</v>
      </c>
      <c r="E25" s="2" t="str">
        <f t="shared" ref="E25:E41" si="21">";"&amp;N$4&amp;","&amp;N6</f>
        <v>;3,4</v>
      </c>
      <c r="F25" s="2" t="str">
        <f t="shared" ref="F25:F41" si="22">";"&amp;O$4&amp;","&amp;O6</f>
        <v>;4,13</v>
      </c>
      <c r="G25" s="2" t="str">
        <f t="shared" ref="G25:G41" si="23">";"&amp;P$4&amp;","&amp;P6</f>
        <v>;5,4</v>
      </c>
      <c r="H25" s="2" t="str">
        <f t="shared" ref="H25:H41" si="24">";"&amp;Q$4&amp;","&amp;Q6</f>
        <v>;6,1</v>
      </c>
      <c r="I25" s="2" t="str">
        <f t="shared" ref="I25:I41" si="25">";"&amp;R$4&amp;","&amp;R6</f>
        <v>;7,2</v>
      </c>
      <c r="J25" s="2" t="str">
        <f t="shared" ref="J25:J41" si="26">";"&amp;S$4&amp;","&amp;S6</f>
        <v>;8,3</v>
      </c>
      <c r="K25" s="2" t="str">
        <f t="shared" ref="K25:K41" si="27">";"&amp;T$4&amp;","&amp;T6</f>
        <v>;9,3</v>
      </c>
      <c r="L25" s="20" t="str">
        <f t="shared" ref="L25:L41" si="28">C25&amp;D25&amp;E25&amp;F25&amp;G25&amp;H25&amp;I25&amp;J25&amp;K25</f>
        <v>1,2;2,3;3,4;4,13;5,4;6,1;7,2;8,3;9,3</v>
      </c>
    </row>
    <row r="26" spans="2:12">
      <c r="B26" s="1" t="s">
        <v>83</v>
      </c>
      <c r="C26" s="2" t="str">
        <f t="shared" si="19"/>
        <v>1,5</v>
      </c>
      <c r="D26" s="2" t="str">
        <f t="shared" si="20"/>
        <v>;2,2</v>
      </c>
      <c r="E26" s="2" t="str">
        <f t="shared" si="21"/>
        <v>;3,2</v>
      </c>
      <c r="F26" s="2" t="str">
        <f t="shared" si="22"/>
        <v>;4,13</v>
      </c>
      <c r="G26" s="2" t="str">
        <f t="shared" si="23"/>
        <v>;5,3</v>
      </c>
      <c r="H26" s="2" t="str">
        <f t="shared" si="24"/>
        <v>;6,4</v>
      </c>
      <c r="I26" s="2" t="str">
        <f t="shared" si="25"/>
        <v>;7,4</v>
      </c>
      <c r="J26" s="2" t="str">
        <f t="shared" si="26"/>
        <v>;8,1</v>
      </c>
      <c r="K26" s="2" t="str">
        <f t="shared" si="27"/>
        <v>;9,2</v>
      </c>
      <c r="L26" s="20" t="str">
        <f t="shared" si="28"/>
        <v>1,5;2,2;3,2;4,13;5,3;6,4;7,4;8,1;9,2</v>
      </c>
    </row>
    <row r="27" spans="2:12">
      <c r="B27" s="1" t="s">
        <v>89</v>
      </c>
      <c r="C27" s="2" t="str">
        <f t="shared" si="19"/>
        <v>1,3</v>
      </c>
      <c r="D27" s="2" t="str">
        <f t="shared" si="20"/>
        <v>;2,2</v>
      </c>
      <c r="E27" s="2" t="str">
        <f t="shared" si="21"/>
        <v>;3,4</v>
      </c>
      <c r="F27" s="2" t="str">
        <f t="shared" si="22"/>
        <v>;4,13</v>
      </c>
      <c r="G27" s="2" t="str">
        <f t="shared" si="23"/>
        <v>;5,3</v>
      </c>
      <c r="H27" s="2" t="str">
        <f t="shared" si="24"/>
        <v>;6,1</v>
      </c>
      <c r="I27" s="2" t="str">
        <f t="shared" si="25"/>
        <v>;7,4</v>
      </c>
      <c r="J27" s="2" t="str">
        <f t="shared" si="26"/>
        <v>;8,4</v>
      </c>
      <c r="K27" s="2" t="str">
        <f t="shared" si="27"/>
        <v>;9,2</v>
      </c>
      <c r="L27" s="20" t="str">
        <f t="shared" si="28"/>
        <v>1,3;2,2;3,4;4,13;5,3;6,1;7,4;8,4;9,2</v>
      </c>
    </row>
    <row r="28" spans="2:12">
      <c r="B28" s="1" t="s">
        <v>102</v>
      </c>
      <c r="C28" s="2" t="str">
        <f t="shared" si="19"/>
        <v>1,5</v>
      </c>
      <c r="D28" s="2" t="str">
        <f t="shared" si="20"/>
        <v>;2,2</v>
      </c>
      <c r="E28" s="2" t="str">
        <f t="shared" si="21"/>
        <v>;3,2</v>
      </c>
      <c r="F28" s="2" t="str">
        <f t="shared" si="22"/>
        <v>;4,13</v>
      </c>
      <c r="G28" s="2" t="str">
        <f t="shared" si="23"/>
        <v>;5,3</v>
      </c>
      <c r="H28" s="2" t="str">
        <f t="shared" si="24"/>
        <v>;6,4</v>
      </c>
      <c r="I28" s="2" t="str">
        <f t="shared" si="25"/>
        <v>;7,4</v>
      </c>
      <c r="J28" s="2" t="str">
        <f t="shared" si="26"/>
        <v>;8,1</v>
      </c>
      <c r="K28" s="2" t="str">
        <f t="shared" si="27"/>
        <v>;9,2</v>
      </c>
      <c r="L28" s="20" t="str">
        <f t="shared" si="28"/>
        <v>1,5;2,2;3,2;4,13;5,3;6,4;7,4;8,1;9,2</v>
      </c>
    </row>
    <row r="29" spans="2:12">
      <c r="B29" s="1" t="s">
        <v>103</v>
      </c>
      <c r="C29" s="2" t="str">
        <f t="shared" si="19"/>
        <v>1,3</v>
      </c>
      <c r="D29" s="2" t="str">
        <f t="shared" si="20"/>
        <v>;2,3</v>
      </c>
      <c r="E29" s="2" t="str">
        <f t="shared" si="21"/>
        <v>;3,3</v>
      </c>
      <c r="F29" s="2" t="str">
        <f t="shared" si="22"/>
        <v>;4,13</v>
      </c>
      <c r="G29" s="2" t="str">
        <f t="shared" si="23"/>
        <v>;5,4</v>
      </c>
      <c r="H29" s="2" t="str">
        <f t="shared" si="24"/>
        <v>;6,4</v>
      </c>
      <c r="I29" s="2" t="str">
        <f t="shared" si="25"/>
        <v>;7,4</v>
      </c>
      <c r="J29" s="2" t="str">
        <f t="shared" si="26"/>
        <v>;8,4</v>
      </c>
      <c r="K29" s="2" t="str">
        <f t="shared" si="27"/>
        <v>;9,4</v>
      </c>
      <c r="L29" s="20" t="str">
        <f t="shared" si="28"/>
        <v>1,3;2,3;3,3;4,13;5,4;6,4;7,4;8,4;9,4</v>
      </c>
    </row>
    <row r="30" spans="2:12">
      <c r="B30" s="1" t="s">
        <v>46</v>
      </c>
      <c r="C30" s="2" t="str">
        <f t="shared" si="19"/>
        <v>1,2</v>
      </c>
      <c r="D30" s="2" t="str">
        <f t="shared" si="20"/>
        <v>;2,3</v>
      </c>
      <c r="E30" s="2" t="str">
        <f t="shared" si="21"/>
        <v>;3,4</v>
      </c>
      <c r="F30" s="2" t="str">
        <f t="shared" si="22"/>
        <v>;4,14</v>
      </c>
      <c r="G30" s="2" t="str">
        <f t="shared" si="23"/>
        <v>;5,5</v>
      </c>
      <c r="H30" s="2" t="str">
        <f t="shared" si="24"/>
        <v>;6,2</v>
      </c>
      <c r="I30" s="2" t="str">
        <f t="shared" si="25"/>
        <v>;7,3</v>
      </c>
      <c r="J30" s="2" t="str">
        <f t="shared" si="26"/>
        <v>;8,5</v>
      </c>
      <c r="K30" s="2" t="str">
        <f t="shared" si="27"/>
        <v>;9,5</v>
      </c>
      <c r="L30" s="20" t="str">
        <f t="shared" si="28"/>
        <v>1,2;2,3;3,4;4,14;5,5;6,2;7,3;8,5;9,5</v>
      </c>
    </row>
    <row r="31" spans="2:12">
      <c r="B31" s="1" t="s">
        <v>109</v>
      </c>
      <c r="C31" s="2" t="str">
        <f t="shared" si="19"/>
        <v>1,5</v>
      </c>
      <c r="D31" s="2" t="str">
        <f t="shared" si="20"/>
        <v>;2,2</v>
      </c>
      <c r="E31" s="2" t="str">
        <f t="shared" si="21"/>
        <v>;3,2</v>
      </c>
      <c r="F31" s="2" t="str">
        <f t="shared" si="22"/>
        <v>;4,14</v>
      </c>
      <c r="G31" s="2" t="str">
        <f t="shared" si="23"/>
        <v>;5,5</v>
      </c>
      <c r="H31" s="2" t="str">
        <f t="shared" si="24"/>
        <v>;6,2</v>
      </c>
      <c r="I31" s="2" t="str">
        <f t="shared" si="25"/>
        <v>;7,3</v>
      </c>
      <c r="J31" s="2" t="str">
        <f t="shared" si="26"/>
        <v>;8,4</v>
      </c>
      <c r="K31" s="2" t="str">
        <f t="shared" si="27"/>
        <v>;9,4</v>
      </c>
      <c r="L31" s="20" t="str">
        <f t="shared" si="28"/>
        <v>1,5;2,2;3,2;4,14;5,5;6,2;7,3;8,4;9,4</v>
      </c>
    </row>
    <row r="32" spans="2:12">
      <c r="B32" s="1" t="s">
        <v>281</v>
      </c>
      <c r="C32" s="2" t="str">
        <f t="shared" si="19"/>
        <v>1,2</v>
      </c>
      <c r="D32" s="2" t="str">
        <f t="shared" si="20"/>
        <v>;2,3</v>
      </c>
      <c r="E32" s="2" t="str">
        <f t="shared" si="21"/>
        <v>;3,4</v>
      </c>
      <c r="F32" s="2" t="str">
        <f t="shared" si="22"/>
        <v>;4,14</v>
      </c>
      <c r="G32" s="2" t="str">
        <f t="shared" si="23"/>
        <v>;5,5</v>
      </c>
      <c r="H32" s="2" t="str">
        <f t="shared" si="24"/>
        <v>;6,5</v>
      </c>
      <c r="I32" s="2" t="str">
        <f t="shared" si="25"/>
        <v>;7,5</v>
      </c>
      <c r="J32" s="2" t="str">
        <f t="shared" si="26"/>
        <v>;8,3</v>
      </c>
      <c r="K32" s="2" t="str">
        <f t="shared" si="27"/>
        <v>;9,3</v>
      </c>
      <c r="L32" s="20" t="str">
        <f t="shared" si="28"/>
        <v>1,2;2,3;3,4;4,14;5,5;6,5;7,5;8,3;9,3</v>
      </c>
    </row>
    <row r="33" spans="2:12">
      <c r="B33" s="1" t="s">
        <v>154</v>
      </c>
      <c r="C33" s="2" t="str">
        <f t="shared" si="19"/>
        <v>1,5</v>
      </c>
      <c r="D33" s="2" t="str">
        <f t="shared" si="20"/>
        <v>;2,2</v>
      </c>
      <c r="E33" s="2" t="str">
        <f t="shared" si="21"/>
        <v>;3,2</v>
      </c>
      <c r="F33" s="2" t="str">
        <f t="shared" si="22"/>
        <v>;4,14</v>
      </c>
      <c r="G33" s="2" t="str">
        <f t="shared" si="23"/>
        <v>;5,5</v>
      </c>
      <c r="H33" s="2" t="str">
        <f t="shared" si="24"/>
        <v>;6,4</v>
      </c>
      <c r="I33" s="2" t="str">
        <f t="shared" si="25"/>
        <v>;7,4</v>
      </c>
      <c r="J33" s="2" t="str">
        <f t="shared" si="26"/>
        <v>;8,4</v>
      </c>
      <c r="K33" s="2" t="str">
        <f t="shared" si="27"/>
        <v>;9,3</v>
      </c>
      <c r="L33" s="20" t="str">
        <f t="shared" si="28"/>
        <v>1,5;2,2;3,2;4,14;5,5;6,4;7,4;8,4;9,3</v>
      </c>
    </row>
    <row r="34" spans="2:12">
      <c r="B34" s="1" t="s">
        <v>124</v>
      </c>
      <c r="C34" s="2" t="str">
        <f t="shared" si="19"/>
        <v>1,3</v>
      </c>
      <c r="D34" s="2" t="str">
        <f t="shared" si="20"/>
        <v>;2,3</v>
      </c>
      <c r="E34" s="2" t="str">
        <f t="shared" si="21"/>
        <v>;3,3</v>
      </c>
      <c r="F34" s="2" t="str">
        <f t="shared" si="22"/>
        <v>;4,15</v>
      </c>
      <c r="G34" s="2" t="str">
        <f t="shared" si="23"/>
        <v>;5,5</v>
      </c>
      <c r="H34" s="2" t="str">
        <f t="shared" si="24"/>
        <v>;6,5</v>
      </c>
      <c r="I34" s="2" t="str">
        <f t="shared" si="25"/>
        <v>;7,5</v>
      </c>
      <c r="J34" s="2" t="str">
        <f t="shared" si="26"/>
        <v>;8,4</v>
      </c>
      <c r="K34" s="2" t="str">
        <f t="shared" si="27"/>
        <v>;9,4</v>
      </c>
      <c r="L34" s="20" t="str">
        <f t="shared" si="28"/>
        <v>1,3;2,3;3,3;4,15;5,5;6,5;7,5;8,4;9,4</v>
      </c>
    </row>
    <row r="35" spans="2:12">
      <c r="B35" s="1" t="s">
        <v>282</v>
      </c>
      <c r="C35" s="2" t="str">
        <f t="shared" si="19"/>
        <v>1,2</v>
      </c>
      <c r="D35" s="2" t="str">
        <f t="shared" si="20"/>
        <v>;2,3</v>
      </c>
      <c r="E35" s="2" t="str">
        <f t="shared" si="21"/>
        <v>;3,4</v>
      </c>
      <c r="F35" s="2" t="str">
        <f t="shared" si="22"/>
        <v>;4,15</v>
      </c>
      <c r="G35" s="2" t="str">
        <f t="shared" si="23"/>
        <v>;5,5</v>
      </c>
      <c r="H35" s="2" t="str">
        <f t="shared" si="24"/>
        <v>;6,6</v>
      </c>
      <c r="I35" s="2" t="str">
        <f t="shared" si="25"/>
        <v>;7,4</v>
      </c>
      <c r="J35" s="2" t="str">
        <f t="shared" si="26"/>
        <v>;8,8</v>
      </c>
      <c r="K35" s="2" t="str">
        <f t="shared" si="27"/>
        <v>;9,5</v>
      </c>
      <c r="L35" s="20" t="str">
        <f t="shared" si="28"/>
        <v>1,2;2,3;3,4;4,15;5,5;6,6;7,4;8,8;9,5</v>
      </c>
    </row>
    <row r="36" spans="2:12">
      <c r="B36" s="1" t="s">
        <v>166</v>
      </c>
      <c r="C36" s="2" t="str">
        <f t="shared" si="19"/>
        <v>1,2</v>
      </c>
      <c r="D36" s="2" t="str">
        <f t="shared" si="20"/>
        <v>;2,3</v>
      </c>
      <c r="E36" s="2" t="str">
        <f t="shared" si="21"/>
        <v>;3,4</v>
      </c>
      <c r="F36" s="2" t="str">
        <f t="shared" si="22"/>
        <v>;4,15</v>
      </c>
      <c r="G36" s="2" t="str">
        <f t="shared" si="23"/>
        <v>;5,6</v>
      </c>
      <c r="H36" s="2" t="str">
        <f t="shared" si="24"/>
        <v>;6,3</v>
      </c>
      <c r="I36" s="2" t="str">
        <f t="shared" si="25"/>
        <v>;7,3</v>
      </c>
      <c r="J36" s="2" t="str">
        <f t="shared" si="26"/>
        <v>;8,4</v>
      </c>
      <c r="K36" s="2" t="str">
        <f t="shared" si="27"/>
        <v>;9,7</v>
      </c>
      <c r="L36" s="20" t="str">
        <f t="shared" si="28"/>
        <v>1,2;2,3;3,4;4,15;5,6;6,3;7,3;8,4;9,7</v>
      </c>
    </row>
    <row r="37" spans="2:12">
      <c r="B37" s="1" t="s">
        <v>174</v>
      </c>
      <c r="C37" s="2" t="str">
        <f t="shared" si="19"/>
        <v>1,5</v>
      </c>
      <c r="D37" s="2" t="str">
        <f t="shared" si="20"/>
        <v>;2,2</v>
      </c>
      <c r="E37" s="2" t="str">
        <f t="shared" si="21"/>
        <v>;3,2</v>
      </c>
      <c r="F37" s="2" t="str">
        <f t="shared" si="22"/>
        <v>;4,15</v>
      </c>
      <c r="G37" s="2" t="str">
        <f t="shared" si="23"/>
        <v>;5,5</v>
      </c>
      <c r="H37" s="2" t="str">
        <f t="shared" si="24"/>
        <v>;6,4</v>
      </c>
      <c r="I37" s="2" t="str">
        <f t="shared" si="25"/>
        <v>;7,6</v>
      </c>
      <c r="J37" s="2" t="str">
        <f t="shared" si="26"/>
        <v>;8,3</v>
      </c>
      <c r="K37" s="2" t="str">
        <f t="shared" si="27"/>
        <v>;9,4</v>
      </c>
      <c r="L37" s="20" t="str">
        <f t="shared" si="28"/>
        <v>1,5;2,2;3,2;4,15;5,5;6,4;7,6;8,3;9,4</v>
      </c>
    </row>
    <row r="38" spans="2:12">
      <c r="B38" s="1" t="s">
        <v>145</v>
      </c>
      <c r="C38" s="2" t="str">
        <f t="shared" si="19"/>
        <v>1,3</v>
      </c>
      <c r="D38" s="2" t="str">
        <f t="shared" si="20"/>
        <v>;2,3</v>
      </c>
      <c r="E38" s="2" t="str">
        <f t="shared" si="21"/>
        <v>;3,3</v>
      </c>
      <c r="F38" s="2" t="str">
        <f t="shared" si="22"/>
        <v>;4,15</v>
      </c>
      <c r="G38" s="2" t="str">
        <f t="shared" si="23"/>
        <v>;5,5</v>
      </c>
      <c r="H38" s="2" t="str">
        <f t="shared" si="24"/>
        <v>;6,4</v>
      </c>
      <c r="I38" s="2" t="str">
        <f t="shared" si="25"/>
        <v>;7,4</v>
      </c>
      <c r="J38" s="2" t="str">
        <f t="shared" si="26"/>
        <v>;8,5</v>
      </c>
      <c r="K38" s="2" t="str">
        <f t="shared" si="27"/>
        <v>;9,5</v>
      </c>
      <c r="L38" s="20" t="str">
        <f t="shared" si="28"/>
        <v>1,3;2,3;3,3;4,15;5,5;6,4;7,4;8,5;9,5</v>
      </c>
    </row>
    <row r="39" spans="2:12">
      <c r="B39" s="1" t="s">
        <v>283</v>
      </c>
      <c r="C39" s="2" t="str">
        <f t="shared" si="19"/>
        <v>1,2</v>
      </c>
      <c r="D39" s="2" t="str">
        <f t="shared" si="20"/>
        <v>;2,3</v>
      </c>
      <c r="E39" s="2" t="str">
        <f t="shared" si="21"/>
        <v>;3,4</v>
      </c>
      <c r="F39" s="2" t="str">
        <f t="shared" si="22"/>
        <v>;4,15</v>
      </c>
      <c r="G39" s="2" t="str">
        <f t="shared" si="23"/>
        <v>;5,5</v>
      </c>
      <c r="H39" s="2" t="str">
        <f t="shared" si="24"/>
        <v>;6,6</v>
      </c>
      <c r="I39" s="2" t="str">
        <f t="shared" si="25"/>
        <v>;7,4</v>
      </c>
      <c r="J39" s="2" t="str">
        <f t="shared" si="26"/>
        <v>;8,5</v>
      </c>
      <c r="K39" s="2" t="str">
        <f t="shared" si="27"/>
        <v>;9,8</v>
      </c>
      <c r="L39" s="20" t="str">
        <f t="shared" si="28"/>
        <v>1,2;2,3;3,4;4,15;5,5;6,6;7,4;8,5;9,8</v>
      </c>
    </row>
    <row r="40" spans="2:12">
      <c r="B40" s="1" t="s">
        <v>192</v>
      </c>
      <c r="C40" s="2" t="str">
        <f t="shared" si="19"/>
        <v>1,2</v>
      </c>
      <c r="D40" s="2" t="str">
        <f t="shared" si="20"/>
        <v>;2,3</v>
      </c>
      <c r="E40" s="2" t="str">
        <f t="shared" si="21"/>
        <v>;3,4</v>
      </c>
      <c r="F40" s="2" t="str">
        <f t="shared" si="22"/>
        <v>;4,15</v>
      </c>
      <c r="G40" s="2" t="str">
        <f t="shared" si="23"/>
        <v>;5,6</v>
      </c>
      <c r="H40" s="2" t="str">
        <f t="shared" si="24"/>
        <v>;6,3</v>
      </c>
      <c r="I40" s="2" t="str">
        <f t="shared" si="25"/>
        <v>;7,3</v>
      </c>
      <c r="J40" s="2" t="str">
        <f t="shared" si="26"/>
        <v>;8,7</v>
      </c>
      <c r="K40" s="2" t="str">
        <f t="shared" si="27"/>
        <v>;9,4</v>
      </c>
      <c r="L40" s="20" t="str">
        <f t="shared" si="28"/>
        <v>1,2;2,3;3,4;4,15;5,6;6,3;7,3;8,7;9,4</v>
      </c>
    </row>
    <row r="41" spans="2:12">
      <c r="B41" s="1" t="s">
        <v>186</v>
      </c>
      <c r="C41" s="2" t="str">
        <f t="shared" si="19"/>
        <v>1,5</v>
      </c>
      <c r="D41" s="2" t="str">
        <f t="shared" si="20"/>
        <v>;2,2</v>
      </c>
      <c r="E41" s="2" t="str">
        <f t="shared" si="21"/>
        <v>;3,2</v>
      </c>
      <c r="F41" s="2" t="str">
        <f t="shared" si="22"/>
        <v>;4,15</v>
      </c>
      <c r="G41" s="2" t="str">
        <f t="shared" si="23"/>
        <v>;5,6</v>
      </c>
      <c r="H41" s="2" t="str">
        <f t="shared" si="24"/>
        <v>;6,3</v>
      </c>
      <c r="I41" s="2" t="str">
        <f t="shared" si="25"/>
        <v>;7,4</v>
      </c>
      <c r="J41" s="2" t="str">
        <f t="shared" si="26"/>
        <v>;8,6</v>
      </c>
      <c r="K41" s="2" t="str">
        <f t="shared" si="27"/>
        <v>;9,3</v>
      </c>
      <c r="L41" s="20" t="str">
        <f t="shared" si="28"/>
        <v>1,5;2,2;3,2;4,15;5,6;6,3;7,4;8,6;9,3</v>
      </c>
    </row>
    <row r="69" spans="2:19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</row>
  </sheetData>
  <mergeCells count="2">
    <mergeCell ref="C3:K3"/>
    <mergeCell ref="L3:T3"/>
  </mergeCells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10"/>
  <sheetViews>
    <sheetView workbookViewId="0">
      <selection activeCell="I7" sqref="I7"/>
    </sheetView>
  </sheetViews>
  <sheetFormatPr defaultColWidth="9" defaultRowHeight="13.5"/>
  <cols>
    <col min="2" max="3" width="10.875" customWidth="1"/>
    <col min="4" max="4" width="8.875" customWidth="1"/>
    <col min="5" max="5" width="10.875" customWidth="1"/>
    <col min="6" max="6" width="11.375" customWidth="1"/>
    <col min="7" max="7" width="12.875" customWidth="1"/>
    <col min="8" max="8" width="8.875" customWidth="1"/>
    <col min="9" max="14" width="10.875" customWidth="1"/>
    <col min="15" max="15" width="7" customWidth="1"/>
    <col min="16" max="16" width="11.375" customWidth="1"/>
    <col min="17" max="17" width="13.5" customWidth="1"/>
    <col min="18" max="18" width="10.875" customWidth="1"/>
    <col min="19" max="19" width="15" customWidth="1"/>
  </cols>
  <sheetData>
    <row r="1" ht="16.5" spans="2:19">
      <c r="B1" s="1" t="s">
        <v>66</v>
      </c>
      <c r="C1" s="1" t="s">
        <v>77</v>
      </c>
      <c r="D1" s="1" t="s">
        <v>83</v>
      </c>
      <c r="E1" s="1" t="s">
        <v>89</v>
      </c>
      <c r="F1" s="1" t="s">
        <v>102</v>
      </c>
      <c r="G1" s="1" t="s">
        <v>103</v>
      </c>
      <c r="H1" s="1" t="s">
        <v>46</v>
      </c>
      <c r="I1" s="1" t="s">
        <v>109</v>
      </c>
      <c r="J1" s="1" t="s">
        <v>281</v>
      </c>
      <c r="K1" s="1" t="s">
        <v>154</v>
      </c>
      <c r="L1" s="1" t="s">
        <v>124</v>
      </c>
      <c r="M1" s="1" t="s">
        <v>282</v>
      </c>
      <c r="N1" s="1" t="s">
        <v>166</v>
      </c>
      <c r="O1" s="1" t="s">
        <v>174</v>
      </c>
      <c r="P1" s="1" t="s">
        <v>145</v>
      </c>
      <c r="Q1" s="1" t="s">
        <v>283</v>
      </c>
      <c r="R1" s="1" t="s">
        <v>192</v>
      </c>
      <c r="S1" s="1" t="s">
        <v>186</v>
      </c>
    </row>
    <row r="2" ht="16.5" spans="2:19">
      <c r="B2" s="2">
        <v>70</v>
      </c>
      <c r="C2" s="2">
        <v>68</v>
      </c>
      <c r="D2" s="2">
        <v>78</v>
      </c>
      <c r="E2" s="2">
        <v>70</v>
      </c>
      <c r="F2" s="2">
        <v>94</v>
      </c>
      <c r="G2" s="2">
        <v>84</v>
      </c>
      <c r="H2" s="2">
        <v>81</v>
      </c>
      <c r="I2" s="2">
        <v>90</v>
      </c>
      <c r="J2" s="2">
        <v>91</v>
      </c>
      <c r="K2" s="2">
        <v>105</v>
      </c>
      <c r="L2" s="2">
        <v>99</v>
      </c>
      <c r="M2" s="2">
        <v>94</v>
      </c>
      <c r="N2" s="2">
        <v>98</v>
      </c>
      <c r="O2" s="2">
        <v>105</v>
      </c>
      <c r="P2" s="2">
        <v>96</v>
      </c>
      <c r="Q2" s="2">
        <v>95</v>
      </c>
      <c r="R2" s="2">
        <v>106</v>
      </c>
      <c r="S2" s="2">
        <v>116</v>
      </c>
    </row>
    <row r="3" ht="16.5" spans="2:19">
      <c r="B3" s="2">
        <v>40</v>
      </c>
      <c r="C3" s="2">
        <v>40</v>
      </c>
      <c r="D3" s="2">
        <v>44</v>
      </c>
      <c r="E3" s="2">
        <v>44</v>
      </c>
      <c r="F3" s="2">
        <v>53</v>
      </c>
      <c r="G3" s="2">
        <v>51</v>
      </c>
      <c r="H3" s="2">
        <v>51</v>
      </c>
      <c r="I3" s="2">
        <v>53</v>
      </c>
      <c r="J3" s="2">
        <v>54</v>
      </c>
      <c r="K3" s="2">
        <v>61</v>
      </c>
      <c r="L3" s="2">
        <v>60</v>
      </c>
      <c r="M3" s="2">
        <v>58</v>
      </c>
      <c r="N3" s="2">
        <v>55</v>
      </c>
      <c r="O3" s="2">
        <v>59</v>
      </c>
      <c r="P3" s="2">
        <v>60</v>
      </c>
      <c r="Q3" s="2">
        <v>58</v>
      </c>
      <c r="R3" s="2">
        <v>63</v>
      </c>
      <c r="S3" s="2">
        <v>69</v>
      </c>
    </row>
    <row r="4" ht="16.5" spans="2:19">
      <c r="B4" s="2">
        <v>421</v>
      </c>
      <c r="C4" s="2">
        <v>432</v>
      </c>
      <c r="D4" s="2">
        <v>468</v>
      </c>
      <c r="E4" s="2">
        <v>456</v>
      </c>
      <c r="F4" s="2">
        <v>562</v>
      </c>
      <c r="G4" s="2">
        <v>515</v>
      </c>
      <c r="H4" s="2">
        <v>528</v>
      </c>
      <c r="I4" s="2">
        <v>524</v>
      </c>
      <c r="J4" s="2">
        <v>569</v>
      </c>
      <c r="K4" s="2">
        <v>624</v>
      </c>
      <c r="L4" s="2">
        <v>608</v>
      </c>
      <c r="M4" s="2">
        <v>593</v>
      </c>
      <c r="N4" s="2">
        <v>585</v>
      </c>
      <c r="O4" s="2">
        <v>632</v>
      </c>
      <c r="P4" s="2">
        <v>624</v>
      </c>
      <c r="Q4" s="2">
        <v>585</v>
      </c>
      <c r="R4" s="2">
        <v>664</v>
      </c>
      <c r="S4" s="2">
        <v>693</v>
      </c>
    </row>
    <row r="5" ht="16.5" spans="2:19">
      <c r="B5" s="2">
        <v>0.3</v>
      </c>
      <c r="C5" s="2">
        <v>0.3</v>
      </c>
      <c r="D5" s="2">
        <v>0.3</v>
      </c>
      <c r="E5" s="2">
        <v>0.3</v>
      </c>
      <c r="F5" s="2">
        <v>0.3</v>
      </c>
      <c r="G5" s="2">
        <v>0.3</v>
      </c>
      <c r="H5" s="2">
        <v>0.3</v>
      </c>
      <c r="I5" s="2">
        <v>0.3</v>
      </c>
      <c r="J5" s="2">
        <v>0.3</v>
      </c>
      <c r="K5" s="2">
        <v>0.3</v>
      </c>
      <c r="L5" s="2">
        <v>0.3</v>
      </c>
      <c r="M5" s="2">
        <v>0.3</v>
      </c>
      <c r="N5" s="2">
        <v>0.3</v>
      </c>
      <c r="O5" s="2">
        <v>0.3</v>
      </c>
      <c r="P5" s="2">
        <v>0.3</v>
      </c>
      <c r="Q5" s="2">
        <v>0.3</v>
      </c>
      <c r="R5" s="2">
        <v>0.3</v>
      </c>
      <c r="S5" s="2">
        <v>0.3</v>
      </c>
    </row>
    <row r="6" ht="16.5" spans="2:19">
      <c r="B6" s="2">
        <v>35.3</v>
      </c>
      <c r="C6" s="2">
        <v>37.2</v>
      </c>
      <c r="D6" s="2">
        <v>35.3</v>
      </c>
      <c r="E6" s="2">
        <v>37.2</v>
      </c>
      <c r="F6" s="2">
        <v>37.2</v>
      </c>
      <c r="G6" s="2">
        <v>37.2</v>
      </c>
      <c r="H6" s="2">
        <v>44.6</v>
      </c>
      <c r="I6" s="2">
        <v>44.6</v>
      </c>
      <c r="J6" s="2">
        <v>46.5</v>
      </c>
      <c r="K6" s="2">
        <v>44.6</v>
      </c>
      <c r="L6" s="2">
        <v>46.9</v>
      </c>
      <c r="M6" s="2">
        <v>46.5</v>
      </c>
      <c r="N6" s="2">
        <v>48.3</v>
      </c>
      <c r="O6" s="2">
        <v>47.6</v>
      </c>
      <c r="P6" s="2">
        <v>49.8</v>
      </c>
      <c r="Q6" s="2">
        <v>46.5</v>
      </c>
      <c r="R6" s="2">
        <v>47.6</v>
      </c>
      <c r="S6" s="2">
        <v>49.8</v>
      </c>
    </row>
    <row r="7" ht="16.5" spans="2:19">
      <c r="B7" s="3">
        <v>38.6</v>
      </c>
      <c r="C7" s="3">
        <v>36.4</v>
      </c>
      <c r="D7" s="3">
        <v>36.4</v>
      </c>
      <c r="E7" s="3">
        <v>40.9</v>
      </c>
      <c r="F7" s="3">
        <v>36.4</v>
      </c>
      <c r="G7" s="3">
        <v>40.9</v>
      </c>
      <c r="H7" s="3">
        <v>40.9</v>
      </c>
      <c r="I7" s="3">
        <v>45.5</v>
      </c>
      <c r="J7" s="3">
        <v>47.7</v>
      </c>
      <c r="K7" s="3">
        <v>45.5</v>
      </c>
      <c r="L7" s="3">
        <v>47.7</v>
      </c>
      <c r="M7" s="3">
        <v>50</v>
      </c>
      <c r="N7" s="3">
        <v>45.5</v>
      </c>
      <c r="O7" s="3">
        <v>43.2</v>
      </c>
      <c r="P7" s="3">
        <v>47.7</v>
      </c>
      <c r="Q7" s="3">
        <v>50</v>
      </c>
      <c r="R7" s="3">
        <v>43.2</v>
      </c>
      <c r="S7" s="3">
        <v>59.1</v>
      </c>
    </row>
    <row r="8" ht="16.5" spans="2:19">
      <c r="B8" s="3">
        <v>38.6</v>
      </c>
      <c r="C8" s="3">
        <v>36.4</v>
      </c>
      <c r="D8" s="3">
        <v>36.4</v>
      </c>
      <c r="E8" s="3">
        <v>40.9</v>
      </c>
      <c r="F8" s="3">
        <v>36.4</v>
      </c>
      <c r="G8" s="3">
        <v>40.9</v>
      </c>
      <c r="H8" s="3">
        <v>40.9</v>
      </c>
      <c r="I8" s="3">
        <v>45.5</v>
      </c>
      <c r="J8" s="3">
        <v>47.7</v>
      </c>
      <c r="K8" s="3">
        <v>45.5</v>
      </c>
      <c r="L8" s="3">
        <v>47.7</v>
      </c>
      <c r="M8" s="3">
        <v>50</v>
      </c>
      <c r="N8" s="3">
        <v>45.5</v>
      </c>
      <c r="O8" s="3">
        <v>43.2</v>
      </c>
      <c r="P8" s="3">
        <v>47.7</v>
      </c>
      <c r="Q8" s="3">
        <v>50</v>
      </c>
      <c r="R8" s="3">
        <v>43.2</v>
      </c>
      <c r="S8" s="3">
        <v>59.1</v>
      </c>
    </row>
    <row r="9" ht="16.5" spans="2:19">
      <c r="B9" s="3">
        <v>38.6</v>
      </c>
      <c r="C9" s="3">
        <v>36.4</v>
      </c>
      <c r="D9" s="3">
        <v>36.4</v>
      </c>
      <c r="E9" s="3">
        <v>40.9</v>
      </c>
      <c r="F9" s="3">
        <v>36.4</v>
      </c>
      <c r="G9" s="3">
        <v>40.9</v>
      </c>
      <c r="H9" s="3">
        <v>40.9</v>
      </c>
      <c r="I9" s="3">
        <v>45.5</v>
      </c>
      <c r="J9" s="3">
        <v>47.7</v>
      </c>
      <c r="K9" s="3">
        <v>45.5</v>
      </c>
      <c r="L9" s="3">
        <v>47.7</v>
      </c>
      <c r="M9" s="3">
        <v>50</v>
      </c>
      <c r="N9" s="3">
        <v>45.5</v>
      </c>
      <c r="O9" s="3">
        <v>43.2</v>
      </c>
      <c r="P9" s="3">
        <v>47.7</v>
      </c>
      <c r="Q9" s="3">
        <v>50</v>
      </c>
      <c r="R9" s="3">
        <v>43.2</v>
      </c>
      <c r="S9" s="3">
        <v>59.1</v>
      </c>
    </row>
    <row r="10" ht="16.5" spans="2:19">
      <c r="B10" s="3">
        <v>38.6</v>
      </c>
      <c r="C10" s="3">
        <v>36.4</v>
      </c>
      <c r="D10" s="3">
        <v>36.4</v>
      </c>
      <c r="E10" s="3">
        <v>40.9</v>
      </c>
      <c r="F10" s="3">
        <v>36.4</v>
      </c>
      <c r="G10" s="3">
        <v>40.9</v>
      </c>
      <c r="H10" s="3">
        <v>40.9</v>
      </c>
      <c r="I10" s="3">
        <v>45.5</v>
      </c>
      <c r="J10" s="3">
        <v>47.7</v>
      </c>
      <c r="K10" s="3">
        <v>45.5</v>
      </c>
      <c r="L10" s="3">
        <v>47.7</v>
      </c>
      <c r="M10" s="3">
        <v>50</v>
      </c>
      <c r="N10" s="3">
        <v>45.5</v>
      </c>
      <c r="O10" s="3">
        <v>43.2</v>
      </c>
      <c r="P10" s="3">
        <v>47.7</v>
      </c>
      <c r="Q10" s="3">
        <v>50</v>
      </c>
      <c r="R10" s="3">
        <v>43.2</v>
      </c>
      <c r="S10" s="3">
        <v>59.1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wangyufei</cp:lastModifiedBy>
  <dcterms:created xsi:type="dcterms:W3CDTF">2018-05-10T02:41:00Z</dcterms:created>
  <dcterms:modified xsi:type="dcterms:W3CDTF">2026-02-09T17:51:32Z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KSOReadingLayout">
    <vt:bool>true</vt:bool>
  </property>
  <property fmtid="{D5CDD505-2E9C-101B-9397-08002B2CF9AE}" pid="4" name="ICV">
    <vt:lpwstr>E040B665DBCA48A293E4B486804533D1</vt:lpwstr>
  </property>
</Properties>
</file>