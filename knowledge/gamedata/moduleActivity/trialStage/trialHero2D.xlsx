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G:\op_new\data\excel\moduleActivity\trialStage\"/>
    </mc:Choice>
  </mc:AlternateContent>
  <xr:revisionPtr revIDLastSave="0" documentId="13_ncr:1_{059D4C15-8C14-4DAF-B4B5-9A42D1AD92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K10" i="1"/>
  <c r="N10" i="1" s="1"/>
  <c r="J10" i="1"/>
  <c r="M10" i="1" s="1"/>
  <c r="Q9" i="1"/>
  <c r="K9" i="1"/>
  <c r="N9" i="1" s="1"/>
  <c r="J9" i="1"/>
  <c r="M9" i="1" s="1"/>
  <c r="Q8" i="1"/>
  <c r="K8" i="1"/>
  <c r="N8" i="1" s="1"/>
  <c r="J8" i="1"/>
  <c r="M8" i="1" s="1"/>
  <c r="Q7" i="1"/>
  <c r="N7" i="1"/>
  <c r="M7" i="1"/>
  <c r="K7" i="1"/>
  <c r="J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sz val="9"/>
            <rFont val="宋体"/>
            <family val="3"/>
            <charset val="134"/>
          </rPr>
          <t>OutputBundle/UIPicture/NormalIcon/videoRecruit/</t>
        </r>
      </text>
    </comment>
    <comment ref="D2" authorId="0" shapeId="0" xr:uid="{00000000-0006-0000-0000-000002000000}">
      <text>
        <r>
          <rPr>
            <sz val="9"/>
            <rFont val="宋体"/>
            <family val="3"/>
            <charset val="134"/>
          </rPr>
          <t xml:space="preserve">
float</t>
        </r>
      </text>
    </comment>
  </commentList>
</comments>
</file>

<file path=xl/sharedStrings.xml><?xml version="1.0" encoding="utf-8"?>
<sst xmlns="http://schemas.openxmlformats.org/spreadsheetml/2006/main" count="47" uniqueCount="39">
  <si>
    <t>索引</t>
  </si>
  <si>
    <t>英雄中文名</t>
  </si>
  <si>
    <t>人物立绘资源路径</t>
  </si>
  <si>
    <t>位置</t>
  </si>
  <si>
    <t>人物缩放</t>
  </si>
  <si>
    <t>Index</t>
  </si>
  <si>
    <t>heroPath</t>
  </si>
  <si>
    <t>heroPos</t>
  </si>
  <si>
    <t>heroScaleX</t>
  </si>
  <si>
    <t>heroScaleY</t>
  </si>
  <si>
    <t>int</t>
  </si>
  <si>
    <t>string</t>
  </si>
  <si>
    <t>float</t>
  </si>
  <si>
    <t>预设xy</t>
  </si>
  <si>
    <t>primary</t>
  </si>
  <si>
    <t>none</t>
  </si>
  <si>
    <t>粘贴用</t>
  </si>
  <si>
    <t>图片原始x</t>
  </si>
  <si>
    <t>图片原始y</t>
  </si>
  <si>
    <t>基础x缩放</t>
  </si>
  <si>
    <t>基础y缩放</t>
  </si>
  <si>
    <t>整体缩放</t>
  </si>
  <si>
    <t>实际x缩放</t>
  </si>
  <si>
    <t>实际y缩放</t>
  </si>
  <si>
    <t>坐标x</t>
  </si>
  <si>
    <t>坐标y</t>
  </si>
  <si>
    <t>坐标合并</t>
  </si>
  <si>
    <t>希流</t>
  </si>
  <si>
    <t>UI_icon_xl</t>
  </si>
  <si>
    <t>369,-248</t>
  </si>
  <si>
    <t>奎因</t>
  </si>
  <si>
    <t>UI_icon_ky</t>
  </si>
  <si>
    <t>640,-141</t>
  </si>
  <si>
    <t>乌塔</t>
  </si>
  <si>
    <t>UI_icon_uta_1</t>
  </si>
  <si>
    <t>640,-230</t>
  </si>
  <si>
    <t>和之国山智</t>
    <phoneticPr fontId="5" type="noConversion"/>
  </si>
  <si>
    <t>UI_icon_hzgsz</t>
    <phoneticPr fontId="5" type="noConversion"/>
  </si>
  <si>
    <t>640,-68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</si>
</sst>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4" borderId="0" xfId="0" applyFill="1">
      <alignment vertical="center"/>
    </xf>
    <xf numFmtId="0" fontId="2" fillId="5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>
      <alignment vertical="center"/>
    </xf>
    <xf numFmtId="49" fontId="3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workbookViewId="0">
      <selection activeCell="M10" sqref="M10"/>
    </sheetView>
  </sheetViews>
  <sheetFormatPr defaultColWidth="9" defaultRowHeight="13.5" x14ac:dyDescent="0.15"/>
  <cols>
    <col min="1" max="1" width="8.375" customWidth="1"/>
    <col min="2" max="2" width="10.875" customWidth="1"/>
    <col min="3" max="3" width="17.125" customWidth="1"/>
    <col min="4" max="4" width="9.375" customWidth="1"/>
    <col min="5" max="6" width="11.5" customWidth="1"/>
    <col min="7" max="7" width="21.375" customWidth="1"/>
    <col min="8" max="9" width="9.875" customWidth="1"/>
    <col min="10" max="10" width="11.5" customWidth="1"/>
    <col min="11" max="11" width="9.875" customWidth="1"/>
    <col min="12" max="12" width="8.875" customWidth="1"/>
    <col min="13" max="14" width="9.875" customWidth="1"/>
    <col min="15" max="16" width="6.125" customWidth="1"/>
    <col min="17" max="17" width="9.375" customWidth="1"/>
    <col min="19" max="27" width="12.625"/>
  </cols>
  <sheetData>
    <row r="1" spans="1:17" x14ac:dyDescent="0.15">
      <c r="A1">
        <v>7</v>
      </c>
      <c r="B1">
        <v>1</v>
      </c>
      <c r="C1">
        <v>9999</v>
      </c>
      <c r="D1">
        <v>6</v>
      </c>
    </row>
    <row r="2" spans="1:17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</row>
    <row r="3" spans="1:17" x14ac:dyDescent="0.15">
      <c r="A3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spans="1:17" x14ac:dyDescent="0.15">
      <c r="A4" t="s">
        <v>10</v>
      </c>
      <c r="C4" t="s">
        <v>11</v>
      </c>
      <c r="D4" t="s">
        <v>11</v>
      </c>
      <c r="E4" t="s">
        <v>12</v>
      </c>
      <c r="F4" t="s">
        <v>12</v>
      </c>
      <c r="H4" t="s">
        <v>13</v>
      </c>
    </row>
    <row r="5" spans="1:17" x14ac:dyDescent="0.15">
      <c r="A5" t="s">
        <v>14</v>
      </c>
      <c r="C5" t="s">
        <v>15</v>
      </c>
      <c r="D5" t="s">
        <v>15</v>
      </c>
      <c r="E5" t="s">
        <v>15</v>
      </c>
      <c r="F5" t="s">
        <v>15</v>
      </c>
      <c r="H5" s="2">
        <v>256</v>
      </c>
      <c r="M5" s="7" t="s">
        <v>16</v>
      </c>
      <c r="N5" s="7" t="s">
        <v>16</v>
      </c>
      <c r="Q5" s="7" t="s">
        <v>16</v>
      </c>
    </row>
    <row r="6" spans="1:17" x14ac:dyDescent="0.15"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</row>
    <row r="7" spans="1:17" x14ac:dyDescent="0.15">
      <c r="A7">
        <v>101</v>
      </c>
      <c r="B7" s="3" t="s">
        <v>27</v>
      </c>
      <c r="C7" s="4" t="s">
        <v>28</v>
      </c>
      <c r="D7" s="5" t="s">
        <v>29</v>
      </c>
      <c r="E7" s="6">
        <v>2.0819999999999999</v>
      </c>
      <c r="F7" s="6">
        <v>3.125</v>
      </c>
      <c r="H7">
        <v>533</v>
      </c>
      <c r="I7">
        <v>800</v>
      </c>
      <c r="J7" s="8">
        <f>H7/H$5</f>
        <v>2.08203125</v>
      </c>
      <c r="K7" s="8">
        <f>I7/H$5</f>
        <v>3.125</v>
      </c>
      <c r="L7">
        <v>1</v>
      </c>
      <c r="M7" s="9">
        <f t="shared" ref="M7:M9" si="0">ROUND(J7*L7,3)</f>
        <v>2.0819999999999999</v>
      </c>
      <c r="N7" s="9">
        <f t="shared" ref="N7:N9" si="1">ROUND(K7*L7,3)</f>
        <v>3.125</v>
      </c>
      <c r="O7">
        <v>369</v>
      </c>
      <c r="P7">
        <v>-248</v>
      </c>
      <c r="Q7" s="9" t="str">
        <f t="shared" ref="Q7:Q9" si="2">O7&amp;","&amp;P7</f>
        <v>369,-248</v>
      </c>
    </row>
    <row r="8" spans="1:17" x14ac:dyDescent="0.15">
      <c r="A8">
        <v>102</v>
      </c>
      <c r="B8" s="3" t="s">
        <v>30</v>
      </c>
      <c r="C8" s="4" t="s">
        <v>31</v>
      </c>
      <c r="D8" s="5" t="s">
        <v>32</v>
      </c>
      <c r="E8" s="6">
        <v>2.0819999999999999</v>
      </c>
      <c r="F8" s="6">
        <v>3.125</v>
      </c>
      <c r="H8">
        <v>533</v>
      </c>
      <c r="I8">
        <v>800</v>
      </c>
      <c r="J8" s="8">
        <f>H8/H$5</f>
        <v>2.08203125</v>
      </c>
      <c r="K8" s="8">
        <f>I8/H$5</f>
        <v>3.125</v>
      </c>
      <c r="L8">
        <v>1</v>
      </c>
      <c r="M8" s="9">
        <f t="shared" si="0"/>
        <v>2.0819999999999999</v>
      </c>
      <c r="N8" s="9">
        <f t="shared" si="1"/>
        <v>3.125</v>
      </c>
      <c r="O8">
        <v>640</v>
      </c>
      <c r="P8">
        <v>-141</v>
      </c>
      <c r="Q8" s="9" t="str">
        <f t="shared" si="2"/>
        <v>640,-141</v>
      </c>
    </row>
    <row r="9" spans="1:17" x14ac:dyDescent="0.15">
      <c r="A9">
        <v>103</v>
      </c>
      <c r="B9" s="3" t="s">
        <v>33</v>
      </c>
      <c r="C9" s="4" t="s">
        <v>34</v>
      </c>
      <c r="D9" s="5" t="s">
        <v>35</v>
      </c>
      <c r="E9" s="6">
        <v>1.758</v>
      </c>
      <c r="F9" s="6">
        <v>2.93</v>
      </c>
      <c r="H9">
        <v>600</v>
      </c>
      <c r="I9">
        <v>1000</v>
      </c>
      <c r="J9" s="8">
        <f>H9/H$5</f>
        <v>2.34375</v>
      </c>
      <c r="K9" s="8">
        <f>I9/H$5</f>
        <v>3.90625</v>
      </c>
      <c r="L9">
        <v>0.75</v>
      </c>
      <c r="M9" s="9">
        <f t="shared" si="0"/>
        <v>1.758</v>
      </c>
      <c r="N9" s="9">
        <f t="shared" si="1"/>
        <v>2.93</v>
      </c>
      <c r="O9">
        <v>640</v>
      </c>
      <c r="P9">
        <v>-230</v>
      </c>
      <c r="Q9" s="9" t="str">
        <f t="shared" si="2"/>
        <v>640,-230</v>
      </c>
    </row>
    <row r="10" spans="1:17" x14ac:dyDescent="0.15">
      <c r="A10">
        <v>104</v>
      </c>
      <c r="B10" s="10" t="s">
        <v>36</v>
      </c>
      <c r="C10" s="11" t="s">
        <v>37</v>
      </c>
      <c r="D10" s="12" t="s">
        <v>38</v>
      </c>
      <c r="E10" s="6">
        <v>2.96</v>
      </c>
      <c r="F10" s="6">
        <v>3.125</v>
      </c>
      <c r="H10">
        <v>758</v>
      </c>
      <c r="I10">
        <v>800</v>
      </c>
      <c r="J10" s="8">
        <f>H10/H$5</f>
        <v>2.9609375</v>
      </c>
      <c r="K10" s="8">
        <f>I10/H$5</f>
        <v>3.125</v>
      </c>
      <c r="L10">
        <v>1</v>
      </c>
      <c r="M10" s="9">
        <f t="shared" ref="M10" si="3">ROUND(J10*L10,3)</f>
        <v>2.9609999999999999</v>
      </c>
      <c r="N10" s="9">
        <f t="shared" ref="N10" si="4">ROUND(K10*L10,3)</f>
        <v>3.125</v>
      </c>
      <c r="O10">
        <v>640</v>
      </c>
      <c r="P10">
        <v>-230</v>
      </c>
      <c r="Q10" s="9" t="str">
        <f t="shared" ref="Q10" si="5">O10&amp;","&amp;P10</f>
        <v>640,-230</v>
      </c>
    </row>
    <row r="17" ht="39.950000000000003" customHeight="1" x14ac:dyDescent="0.15"/>
    <row r="18" ht="39.950000000000003" customHeight="1" x14ac:dyDescent="0.15"/>
    <row r="19" ht="39.950000000000003" customHeight="1" x14ac:dyDescent="0.15"/>
    <row r="20" ht="39.950000000000003" customHeight="1" x14ac:dyDescent="0.15"/>
    <row r="21" ht="39.950000000000003" customHeight="1" x14ac:dyDescent="0.15"/>
    <row r="22" ht="39.950000000000003" customHeight="1" x14ac:dyDescent="0.15"/>
    <row r="23" ht="39.950000000000003" customHeight="1" x14ac:dyDescent="0.15"/>
    <row r="24" ht="39.950000000000003" customHeight="1" x14ac:dyDescent="0.15"/>
    <row r="25" ht="39.950000000000003" customHeight="1" x14ac:dyDescent="0.15"/>
    <row r="26" ht="39.950000000000003" customHeight="1" x14ac:dyDescent="0.15"/>
    <row r="27" ht="39.950000000000003" customHeight="1" x14ac:dyDescent="0.15"/>
    <row r="28" ht="39.950000000000003" customHeight="1" x14ac:dyDescent="0.15"/>
    <row r="29" ht="39.950000000000003" customHeight="1" x14ac:dyDescent="0.15"/>
    <row r="30" ht="39.950000000000003" customHeight="1" x14ac:dyDescent="0.15"/>
    <row r="31" ht="39.950000000000003" customHeight="1" x14ac:dyDescent="0.15"/>
    <row r="32" ht="39.950000000000003" customHeight="1" x14ac:dyDescent="0.15"/>
    <row r="33" ht="39.950000000000003" customHeight="1" x14ac:dyDescent="0.15"/>
    <row r="34" ht="39.950000000000003" customHeight="1" x14ac:dyDescent="0.15"/>
    <row r="35" ht="39.950000000000003" customHeight="1" x14ac:dyDescent="0.15"/>
    <row r="36" ht="39.950000000000003" customHeight="1" x14ac:dyDescent="0.15"/>
    <row r="37" ht="39.950000000000003" customHeight="1" x14ac:dyDescent="0.15"/>
    <row r="38" ht="39.950000000000003" customHeight="1" x14ac:dyDescent="0.15"/>
    <row r="39" ht="39.950000000000003" customHeight="1" x14ac:dyDescent="0.15"/>
    <row r="40" ht="39.950000000000003" customHeight="1" x14ac:dyDescent="0.15"/>
    <row r="41" ht="39.950000000000003" customHeight="1" x14ac:dyDescent="0.15"/>
    <row r="42" ht="39.950000000000003" customHeight="1" x14ac:dyDescent="0.15"/>
    <row r="43" ht="39.950000000000003" customHeight="1" x14ac:dyDescent="0.15"/>
    <row r="44" ht="39.950000000000003" customHeight="1" x14ac:dyDescent="0.15"/>
    <row r="45" ht="39.950000000000003" customHeight="1" x14ac:dyDescent="0.15"/>
    <row r="46" ht="39.950000000000003" customHeight="1" x14ac:dyDescent="0.15"/>
    <row r="47" ht="39.950000000000003" customHeight="1" x14ac:dyDescent="0.15"/>
    <row r="48" ht="39.950000000000003" customHeight="1" x14ac:dyDescent="0.15"/>
    <row r="49" ht="39.950000000000003" customHeight="1" x14ac:dyDescent="0.15"/>
    <row r="50" ht="39.950000000000003" customHeight="1" x14ac:dyDescent="0.15"/>
    <row r="51" ht="39.950000000000003" customHeight="1" x14ac:dyDescent="0.15"/>
    <row r="52" ht="39.950000000000003" customHeight="1" x14ac:dyDescent="0.15"/>
    <row r="53" ht="39.950000000000003" customHeight="1" x14ac:dyDescent="0.15"/>
    <row r="54" ht="39.950000000000003" customHeight="1" x14ac:dyDescent="0.15"/>
    <row r="55" ht="39.950000000000003" customHeight="1" x14ac:dyDescent="0.15"/>
    <row r="56" ht="39.950000000000003" customHeight="1" x14ac:dyDescent="0.15"/>
    <row r="57" ht="39.950000000000003" customHeight="1" x14ac:dyDescent="0.15"/>
    <row r="58" ht="39.950000000000003" customHeight="1" x14ac:dyDescent="0.15"/>
    <row r="59" ht="39.950000000000003" customHeight="1" x14ac:dyDescent="0.15"/>
    <row r="60" ht="39.950000000000003" customHeight="1" x14ac:dyDescent="0.15"/>
    <row r="61" ht="39.950000000000003" customHeight="1" x14ac:dyDescent="0.15"/>
    <row r="62" ht="39.950000000000003" customHeight="1" x14ac:dyDescent="0.15"/>
    <row r="63" ht="39.950000000000003" customHeight="1" x14ac:dyDescent="0.15"/>
    <row r="64" ht="39.950000000000003" customHeight="1" x14ac:dyDescent="0.15"/>
    <row r="65" ht="39.950000000000003" customHeight="1" x14ac:dyDescent="0.15"/>
    <row r="66" ht="39.950000000000003" customHeight="1" x14ac:dyDescent="0.15"/>
    <row r="67" ht="39.950000000000003" customHeight="1" x14ac:dyDescent="0.15"/>
    <row r="68" ht="39.950000000000003" customHeight="1" x14ac:dyDescent="0.15"/>
    <row r="69" ht="39.950000000000003" customHeight="1" x14ac:dyDescent="0.15"/>
    <row r="70" ht="39.950000000000003" customHeight="1" x14ac:dyDescent="0.15"/>
    <row r="71" ht="39.950000000000003" customHeight="1" x14ac:dyDescent="0.15"/>
    <row r="72" ht="39.950000000000003" customHeight="1" x14ac:dyDescent="0.15"/>
    <row r="73" ht="39.950000000000003" customHeight="1" x14ac:dyDescent="0.15"/>
    <row r="74" ht="39.950000000000003" customHeight="1" x14ac:dyDescent="0.15"/>
    <row r="75" ht="39.950000000000003" customHeight="1" x14ac:dyDescent="0.15"/>
    <row r="76" ht="39.950000000000003" customHeight="1" x14ac:dyDescent="0.15"/>
    <row r="77" ht="39.950000000000003" customHeight="1" x14ac:dyDescent="0.15"/>
    <row r="78" ht="39.950000000000003" customHeight="1" x14ac:dyDescent="0.15"/>
  </sheetData>
  <phoneticPr fontId="5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2" rgbClr="2FC844"/>
    <comment s:ref="D2" rgbClr="2FC84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2021-07-26T07:35:00Z</dcterms:created>
  <dcterms:modified xsi:type="dcterms:W3CDTF">2023-12-26T06:48:59Z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2052-11.1.0.12651</vt:lpwstr>
  </property>
  <property fmtid="{D5CDD505-2E9C-101B-9397-08002B2CF9AE}" pid="3" name="ICV">
    <vt:lpwstr>47F115EF386F4338A564D18ACB18E281</vt:lpwstr>
  </property>
</Properties>
</file>